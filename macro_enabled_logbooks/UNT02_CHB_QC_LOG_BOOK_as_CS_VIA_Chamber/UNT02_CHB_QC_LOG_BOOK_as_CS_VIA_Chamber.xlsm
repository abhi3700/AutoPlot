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UNT02_CHB_QC_LOG_BOOK_as_CS_VIA_Chamber\"/>
    </mc:Choice>
  </mc:AlternateContent>
  <bookViews>
    <workbookView xWindow="-5361" yWindow="-21135" windowWidth="38404" windowHeight="21135" tabRatio="666" activeTab="1"/>
  </bookViews>
  <sheets>
    <sheet name="RESP1B-CP" sheetId="4" r:id="rId1"/>
    <sheet name="ER-BARC,PR &amp; TEOS" sheetId="5" r:id="rId2"/>
    <sheet name="SIN ER" sheetId="6" r:id="rId3"/>
    <sheet name="CP Plot" sheetId="8" state="hidden" r:id="rId4"/>
    <sheet name="BARC Plot" sheetId="9" state="hidden" r:id="rId5"/>
    <sheet name="PR Plot" sheetId="10" state="hidden" r:id="rId6"/>
    <sheet name="TEOS Plot" sheetId="11" state="hidden" r:id="rId7"/>
    <sheet name="SIN Plot" sheetId="12" state="hidden" r:id="rId8"/>
    <sheet name="RUN_code" sheetId="3" r:id="rId9"/>
    <sheet name="CL calculation Sheet" sheetId="7" r:id="rId10"/>
    <sheet name="_xlwings.conf" sheetId="2" state="hidden" r:id="rId11"/>
  </sheets>
  <definedNames>
    <definedName name="_xlnm._FilterDatabase" localSheetId="2" hidden="1">'SIN ER'!$A$5:$AF$398</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H60" i="7" l="1"/>
  <c r="G60" i="7"/>
  <c r="F60" i="7"/>
  <c r="E60" i="7"/>
  <c r="D60" i="7"/>
  <c r="C58" i="7"/>
  <c r="B58" i="7"/>
  <c r="A58" i="7"/>
  <c r="X36" i="7"/>
  <c r="V37" i="7" s="1"/>
  <c r="V36" i="7"/>
  <c r="U36" i="7"/>
  <c r="R36" i="7"/>
  <c r="P36" i="7"/>
  <c r="P37" i="7" s="1"/>
  <c r="O36" i="7"/>
  <c r="R35" i="7" s="1"/>
  <c r="X35" i="7"/>
  <c r="W35" i="7"/>
  <c r="V35" i="7"/>
  <c r="V38" i="7" s="1"/>
  <c r="U35" i="7"/>
  <c r="U38" i="7" s="1"/>
  <c r="Q35" i="7"/>
  <c r="P35" i="7"/>
  <c r="P38" i="7" s="1"/>
  <c r="O35" i="7"/>
  <c r="L10" i="7"/>
  <c r="L9" i="7"/>
  <c r="L8" i="7"/>
  <c r="L7" i="7"/>
  <c r="L6" i="7"/>
  <c r="L5" i="7"/>
  <c r="L4" i="7"/>
  <c r="L3" i="7"/>
  <c r="Q410" i="6"/>
  <c r="P410" i="6"/>
  <c r="O410" i="6"/>
  <c r="N410" i="6"/>
  <c r="M410" i="6"/>
  <c r="L410" i="6"/>
  <c r="K410" i="6"/>
  <c r="J410" i="6"/>
  <c r="I410" i="6"/>
  <c r="H410" i="6"/>
  <c r="G410" i="6"/>
  <c r="F410" i="6"/>
  <c r="E410" i="6"/>
  <c r="Q407" i="6"/>
  <c r="P407" i="6"/>
  <c r="O407" i="6"/>
  <c r="N407" i="6"/>
  <c r="M407" i="6"/>
  <c r="L407" i="6"/>
  <c r="K407" i="6"/>
  <c r="J407" i="6"/>
  <c r="I407" i="6"/>
  <c r="H407" i="6"/>
  <c r="G407" i="6"/>
  <c r="F407" i="6"/>
  <c r="E407" i="6"/>
  <c r="T405" i="6"/>
  <c r="Q404" i="6"/>
  <c r="P404" i="6"/>
  <c r="O404" i="6"/>
  <c r="N404" i="6"/>
  <c r="M404" i="6"/>
  <c r="L404" i="6"/>
  <c r="K404" i="6"/>
  <c r="J404" i="6"/>
  <c r="I404" i="6"/>
  <c r="H404" i="6"/>
  <c r="T402" i="6" s="1"/>
  <c r="G404" i="6"/>
  <c r="F404" i="6"/>
  <c r="E404" i="6"/>
  <c r="S402" i="6"/>
  <c r="Q401" i="6"/>
  <c r="P401" i="6"/>
  <c r="O401" i="6"/>
  <c r="N401" i="6"/>
  <c r="M401" i="6"/>
  <c r="L401" i="6"/>
  <c r="K401" i="6"/>
  <c r="J401" i="6"/>
  <c r="I401" i="6"/>
  <c r="H401" i="6"/>
  <c r="G401" i="6"/>
  <c r="F401" i="6"/>
  <c r="E401" i="6"/>
  <c r="R399" i="6"/>
  <c r="Q398" i="6"/>
  <c r="P398" i="6"/>
  <c r="O398" i="6"/>
  <c r="N398" i="6"/>
  <c r="M398" i="6"/>
  <c r="L398" i="6"/>
  <c r="K398" i="6"/>
  <c r="J398" i="6"/>
  <c r="I398" i="6"/>
  <c r="H398" i="6"/>
  <c r="G398" i="6"/>
  <c r="F398" i="6"/>
  <c r="E398" i="6"/>
  <c r="Q395" i="6"/>
  <c r="P395" i="6"/>
  <c r="O395" i="6"/>
  <c r="N395" i="6"/>
  <c r="M395" i="6"/>
  <c r="L395" i="6"/>
  <c r="K395" i="6"/>
  <c r="J395" i="6"/>
  <c r="I395" i="6"/>
  <c r="H395" i="6"/>
  <c r="G395" i="6"/>
  <c r="F395" i="6"/>
  <c r="E395" i="6"/>
  <c r="T393" i="6"/>
  <c r="W393" i="6" s="1"/>
  <c r="Q392" i="6"/>
  <c r="P392" i="6"/>
  <c r="O392" i="6"/>
  <c r="N392" i="6"/>
  <c r="M392" i="6"/>
  <c r="L392" i="6"/>
  <c r="K392" i="6"/>
  <c r="J392" i="6"/>
  <c r="I392" i="6"/>
  <c r="H392" i="6"/>
  <c r="G392" i="6"/>
  <c r="F392" i="6"/>
  <c r="E392" i="6"/>
  <c r="Q389" i="6"/>
  <c r="P389" i="6"/>
  <c r="O389" i="6"/>
  <c r="N389" i="6"/>
  <c r="M389" i="6"/>
  <c r="L389" i="6"/>
  <c r="K389" i="6"/>
  <c r="J389" i="6"/>
  <c r="I389" i="6"/>
  <c r="H389" i="6"/>
  <c r="G389" i="6"/>
  <c r="F389" i="6"/>
  <c r="E389" i="6"/>
  <c r="Q386" i="6"/>
  <c r="P386" i="6"/>
  <c r="O386" i="6"/>
  <c r="N386" i="6"/>
  <c r="M386" i="6"/>
  <c r="L386" i="6"/>
  <c r="K386" i="6"/>
  <c r="J386" i="6"/>
  <c r="I386" i="6"/>
  <c r="H386" i="6"/>
  <c r="G386" i="6"/>
  <c r="F386" i="6"/>
  <c r="E386" i="6"/>
  <c r="Q383" i="6"/>
  <c r="P383" i="6"/>
  <c r="O383" i="6"/>
  <c r="N383" i="6"/>
  <c r="M383" i="6"/>
  <c r="L383" i="6"/>
  <c r="K383" i="6"/>
  <c r="J383" i="6"/>
  <c r="I383" i="6"/>
  <c r="H383" i="6"/>
  <c r="G383" i="6"/>
  <c r="F383" i="6"/>
  <c r="E383" i="6"/>
  <c r="T381" i="6"/>
  <c r="Q380" i="6"/>
  <c r="P380" i="6"/>
  <c r="O380" i="6"/>
  <c r="N380" i="6"/>
  <c r="M380" i="6"/>
  <c r="L380" i="6"/>
  <c r="K380" i="6"/>
  <c r="J380" i="6"/>
  <c r="I380" i="6"/>
  <c r="H380" i="6"/>
  <c r="T378" i="6" s="1"/>
  <c r="G380" i="6"/>
  <c r="F380" i="6"/>
  <c r="E380" i="6"/>
  <c r="S378" i="6"/>
  <c r="Q377" i="6"/>
  <c r="P377" i="6"/>
  <c r="O377" i="6"/>
  <c r="N377" i="6"/>
  <c r="M377" i="6"/>
  <c r="L377" i="6"/>
  <c r="K377" i="6"/>
  <c r="J377" i="6"/>
  <c r="I377" i="6"/>
  <c r="H377" i="6"/>
  <c r="G377" i="6"/>
  <c r="F377" i="6"/>
  <c r="E377" i="6"/>
  <c r="R375" i="6"/>
  <c r="Q374" i="6"/>
  <c r="P374" i="6"/>
  <c r="O374" i="6"/>
  <c r="N374" i="6"/>
  <c r="M374" i="6"/>
  <c r="L374" i="6"/>
  <c r="K374" i="6"/>
  <c r="J374" i="6"/>
  <c r="I374" i="6"/>
  <c r="H374" i="6"/>
  <c r="G374" i="6"/>
  <c r="F374" i="6"/>
  <c r="E374" i="6"/>
  <c r="Q371" i="6"/>
  <c r="P371" i="6"/>
  <c r="O371" i="6"/>
  <c r="N371" i="6"/>
  <c r="M371" i="6"/>
  <c r="L371" i="6"/>
  <c r="K371" i="6"/>
  <c r="J371" i="6"/>
  <c r="I371" i="6"/>
  <c r="H371" i="6"/>
  <c r="G371" i="6"/>
  <c r="F371" i="6"/>
  <c r="E371" i="6"/>
  <c r="T369" i="6"/>
  <c r="Q368" i="6"/>
  <c r="P368" i="6"/>
  <c r="O368" i="6"/>
  <c r="N368" i="6"/>
  <c r="M368" i="6"/>
  <c r="L368" i="6"/>
  <c r="K368" i="6"/>
  <c r="J368" i="6"/>
  <c r="I368" i="6"/>
  <c r="H368" i="6"/>
  <c r="G368" i="6"/>
  <c r="F368" i="6"/>
  <c r="E368" i="6"/>
  <c r="Q365" i="6"/>
  <c r="P365" i="6"/>
  <c r="O365" i="6"/>
  <c r="N365" i="6"/>
  <c r="M365" i="6"/>
  <c r="L365" i="6"/>
  <c r="K365" i="6"/>
  <c r="J365" i="6"/>
  <c r="I365" i="6"/>
  <c r="H365" i="6"/>
  <c r="G365" i="6"/>
  <c r="F365" i="6"/>
  <c r="E365" i="6"/>
  <c r="Q362" i="6"/>
  <c r="P362" i="6"/>
  <c r="O362" i="6"/>
  <c r="N362" i="6"/>
  <c r="M362" i="6"/>
  <c r="L362" i="6"/>
  <c r="K362" i="6"/>
  <c r="J362" i="6"/>
  <c r="I362" i="6"/>
  <c r="H362" i="6"/>
  <c r="G362" i="6"/>
  <c r="F362" i="6"/>
  <c r="E362" i="6"/>
  <c r="Q359" i="6"/>
  <c r="P359" i="6"/>
  <c r="O359" i="6"/>
  <c r="N359" i="6"/>
  <c r="M359" i="6"/>
  <c r="L359" i="6"/>
  <c r="K359" i="6"/>
  <c r="J359" i="6"/>
  <c r="I359" i="6"/>
  <c r="H359" i="6"/>
  <c r="G359" i="6"/>
  <c r="F359" i="6"/>
  <c r="E359" i="6"/>
  <c r="T357" i="6"/>
  <c r="Q356" i="6"/>
  <c r="P356" i="6"/>
  <c r="O356" i="6"/>
  <c r="N356" i="6"/>
  <c r="M356" i="6"/>
  <c r="L356" i="6"/>
  <c r="K356" i="6"/>
  <c r="J356" i="6"/>
  <c r="I356" i="6"/>
  <c r="H356" i="6"/>
  <c r="T354" i="6" s="1"/>
  <c r="G356" i="6"/>
  <c r="F356" i="6"/>
  <c r="E356" i="6"/>
  <c r="S354" i="6"/>
  <c r="Q353" i="6"/>
  <c r="P353" i="6"/>
  <c r="O353" i="6"/>
  <c r="N353" i="6"/>
  <c r="M353" i="6"/>
  <c r="L353" i="6"/>
  <c r="K353" i="6"/>
  <c r="J353" i="6"/>
  <c r="I353" i="6"/>
  <c r="H353" i="6"/>
  <c r="G353" i="6"/>
  <c r="S351" i="6" s="1"/>
  <c r="F353" i="6"/>
  <c r="T351" i="6" s="1"/>
  <c r="W351" i="6" s="1"/>
  <c r="E353" i="6"/>
  <c r="R351" i="6"/>
  <c r="U351" i="6" s="1"/>
  <c r="Q350" i="6"/>
  <c r="P350" i="6"/>
  <c r="O350" i="6"/>
  <c r="N350" i="6"/>
  <c r="M350" i="6"/>
  <c r="L350" i="6"/>
  <c r="K350" i="6"/>
  <c r="J350" i="6"/>
  <c r="I350" i="6"/>
  <c r="H350" i="6"/>
  <c r="G350" i="6"/>
  <c r="F350" i="6"/>
  <c r="E350" i="6"/>
  <c r="S348" i="6" s="1"/>
  <c r="Q347" i="6"/>
  <c r="P347" i="6"/>
  <c r="O347" i="6"/>
  <c r="N347" i="6"/>
  <c r="M347" i="6"/>
  <c r="L347" i="6"/>
  <c r="K347" i="6"/>
  <c r="J347" i="6"/>
  <c r="I347" i="6"/>
  <c r="H347" i="6"/>
  <c r="G347" i="6"/>
  <c r="F347" i="6"/>
  <c r="E347" i="6"/>
  <c r="T345" i="6"/>
  <c r="Q344" i="6"/>
  <c r="P344" i="6"/>
  <c r="O344" i="6"/>
  <c r="N344" i="6"/>
  <c r="M344" i="6"/>
  <c r="L344" i="6"/>
  <c r="K344" i="6"/>
  <c r="J344" i="6"/>
  <c r="I344" i="6"/>
  <c r="H344" i="6"/>
  <c r="G344" i="6"/>
  <c r="F344" i="6"/>
  <c r="E344" i="6"/>
  <c r="Q341" i="6"/>
  <c r="P341" i="6"/>
  <c r="O341" i="6"/>
  <c r="N341" i="6"/>
  <c r="M341" i="6"/>
  <c r="L341" i="6"/>
  <c r="K341" i="6"/>
  <c r="J341" i="6"/>
  <c r="I341" i="6"/>
  <c r="H341" i="6"/>
  <c r="G341" i="6"/>
  <c r="F341" i="6"/>
  <c r="E341" i="6"/>
  <c r="R339" i="6"/>
  <c r="Q338" i="6"/>
  <c r="P338" i="6"/>
  <c r="O338" i="6"/>
  <c r="N338" i="6"/>
  <c r="M338" i="6"/>
  <c r="L338" i="6"/>
  <c r="K338" i="6"/>
  <c r="J338" i="6"/>
  <c r="I338" i="6"/>
  <c r="H338" i="6"/>
  <c r="G338" i="6"/>
  <c r="F338" i="6"/>
  <c r="E338" i="6"/>
  <c r="Q335" i="6"/>
  <c r="P335" i="6"/>
  <c r="O335" i="6"/>
  <c r="N335" i="6"/>
  <c r="M335" i="6"/>
  <c r="L335" i="6"/>
  <c r="K335" i="6"/>
  <c r="J335" i="6"/>
  <c r="I335" i="6"/>
  <c r="H335" i="6"/>
  <c r="G335" i="6"/>
  <c r="F335" i="6"/>
  <c r="E335" i="6"/>
  <c r="T333" i="6"/>
  <c r="Q332" i="6"/>
  <c r="P332" i="6"/>
  <c r="O332" i="6"/>
  <c r="N332" i="6"/>
  <c r="M332" i="6"/>
  <c r="L332" i="6"/>
  <c r="K332" i="6"/>
  <c r="J332" i="6"/>
  <c r="I332" i="6"/>
  <c r="H332" i="6"/>
  <c r="T330" i="6" s="1"/>
  <c r="G332" i="6"/>
  <c r="F332" i="6"/>
  <c r="E332" i="6"/>
  <c r="S330" i="6"/>
  <c r="Q329" i="6"/>
  <c r="P329" i="6"/>
  <c r="O329" i="6"/>
  <c r="N329" i="6"/>
  <c r="M329" i="6"/>
  <c r="L329" i="6"/>
  <c r="K329" i="6"/>
  <c r="J329" i="6"/>
  <c r="I329" i="6"/>
  <c r="H329" i="6"/>
  <c r="G329" i="6"/>
  <c r="S327" i="6" s="1"/>
  <c r="F329" i="6"/>
  <c r="T327" i="6" s="1"/>
  <c r="W327" i="6" s="1"/>
  <c r="E329" i="6"/>
  <c r="R327" i="6"/>
  <c r="U327" i="6" s="1"/>
  <c r="Q326" i="6"/>
  <c r="P326" i="6"/>
  <c r="O326" i="6"/>
  <c r="N326" i="6"/>
  <c r="M326" i="6"/>
  <c r="L326" i="6"/>
  <c r="K326" i="6"/>
  <c r="J326" i="6"/>
  <c r="I326" i="6"/>
  <c r="H326" i="6"/>
  <c r="G326" i="6"/>
  <c r="F326" i="6"/>
  <c r="E326" i="6"/>
  <c r="S324" i="6" s="1"/>
  <c r="Q323" i="6"/>
  <c r="P323" i="6"/>
  <c r="O323" i="6"/>
  <c r="N323" i="6"/>
  <c r="M323" i="6"/>
  <c r="L323" i="6"/>
  <c r="K323" i="6"/>
  <c r="J323" i="6"/>
  <c r="I323" i="6"/>
  <c r="H323" i="6"/>
  <c r="G323" i="6"/>
  <c r="F323" i="6"/>
  <c r="E323" i="6"/>
  <c r="T321" i="6"/>
  <c r="Q320" i="6"/>
  <c r="P320" i="6"/>
  <c r="O320" i="6"/>
  <c r="N320" i="6"/>
  <c r="M320" i="6"/>
  <c r="L320" i="6"/>
  <c r="K320" i="6"/>
  <c r="J320" i="6"/>
  <c r="I320" i="6"/>
  <c r="H320" i="6"/>
  <c r="G320" i="6"/>
  <c r="F320" i="6"/>
  <c r="E320" i="6"/>
  <c r="Q317" i="6"/>
  <c r="P317" i="6"/>
  <c r="O317" i="6"/>
  <c r="N317" i="6"/>
  <c r="M317" i="6"/>
  <c r="L317" i="6"/>
  <c r="K317" i="6"/>
  <c r="J317" i="6"/>
  <c r="I317" i="6"/>
  <c r="H317" i="6"/>
  <c r="G317" i="6"/>
  <c r="F317" i="6"/>
  <c r="E317" i="6"/>
  <c r="R315" i="6"/>
  <c r="Q314" i="6"/>
  <c r="P314" i="6"/>
  <c r="O314" i="6"/>
  <c r="N314" i="6"/>
  <c r="M314" i="6"/>
  <c r="L314" i="6"/>
  <c r="K314" i="6"/>
  <c r="J314" i="6"/>
  <c r="I314" i="6"/>
  <c r="H314" i="6"/>
  <c r="G314" i="6"/>
  <c r="F314" i="6"/>
  <c r="E314" i="6"/>
  <c r="Q311" i="6"/>
  <c r="P311" i="6"/>
  <c r="O311" i="6"/>
  <c r="N311" i="6"/>
  <c r="M311" i="6"/>
  <c r="L311" i="6"/>
  <c r="K311" i="6"/>
  <c r="J311" i="6"/>
  <c r="I311" i="6"/>
  <c r="H311" i="6"/>
  <c r="G311" i="6"/>
  <c r="F311" i="6"/>
  <c r="E311" i="6"/>
  <c r="T309" i="6"/>
  <c r="Q308" i="6"/>
  <c r="P308" i="6"/>
  <c r="O308" i="6"/>
  <c r="N308" i="6"/>
  <c r="M308" i="6"/>
  <c r="L308" i="6"/>
  <c r="K308" i="6"/>
  <c r="J308" i="6"/>
  <c r="I308" i="6"/>
  <c r="H308" i="6"/>
  <c r="T306" i="6" s="1"/>
  <c r="G308" i="6"/>
  <c r="F308" i="6"/>
  <c r="E308" i="6"/>
  <c r="W306" i="6"/>
  <c r="S306" i="6"/>
  <c r="Q305" i="6"/>
  <c r="P305" i="6"/>
  <c r="O305" i="6"/>
  <c r="N305" i="6"/>
  <c r="M305" i="6"/>
  <c r="L305" i="6"/>
  <c r="K305" i="6"/>
  <c r="J305" i="6"/>
  <c r="I305" i="6"/>
  <c r="H305" i="6"/>
  <c r="G305" i="6"/>
  <c r="S303" i="6" s="1"/>
  <c r="F305" i="6"/>
  <c r="T303" i="6" s="1"/>
  <c r="W303" i="6" s="1"/>
  <c r="E305" i="6"/>
  <c r="R303" i="6"/>
  <c r="U303" i="6" s="1"/>
  <c r="Q302" i="6"/>
  <c r="P302" i="6"/>
  <c r="O302" i="6"/>
  <c r="N302" i="6"/>
  <c r="M302" i="6"/>
  <c r="L302" i="6"/>
  <c r="K302" i="6"/>
  <c r="J302" i="6"/>
  <c r="I302" i="6"/>
  <c r="H302" i="6"/>
  <c r="G302" i="6"/>
  <c r="F302" i="6"/>
  <c r="E302" i="6"/>
  <c r="S300" i="6" s="1"/>
  <c r="Q299" i="6"/>
  <c r="P299" i="6"/>
  <c r="O299" i="6"/>
  <c r="N299" i="6"/>
  <c r="M299" i="6"/>
  <c r="L299" i="6"/>
  <c r="K299" i="6"/>
  <c r="J299" i="6"/>
  <c r="I299" i="6"/>
  <c r="H299" i="6"/>
  <c r="G299" i="6"/>
  <c r="F299" i="6"/>
  <c r="E299" i="6"/>
  <c r="T297" i="6"/>
  <c r="W297" i="6" s="1"/>
  <c r="Q296" i="6"/>
  <c r="P296" i="6"/>
  <c r="O296" i="6"/>
  <c r="N296" i="6"/>
  <c r="M296" i="6"/>
  <c r="L296" i="6"/>
  <c r="K296" i="6"/>
  <c r="J296" i="6"/>
  <c r="I296" i="6"/>
  <c r="H296" i="6"/>
  <c r="G296" i="6"/>
  <c r="F296" i="6"/>
  <c r="E296" i="6"/>
  <c r="Q293" i="6"/>
  <c r="P293" i="6"/>
  <c r="O293" i="6"/>
  <c r="N293" i="6"/>
  <c r="M293" i="6"/>
  <c r="L293" i="6"/>
  <c r="K293" i="6"/>
  <c r="J293" i="6"/>
  <c r="I293" i="6"/>
  <c r="H293" i="6"/>
  <c r="G293" i="6"/>
  <c r="F293" i="6"/>
  <c r="E293" i="6"/>
  <c r="R291" i="6"/>
  <c r="Q290" i="6"/>
  <c r="P290" i="6"/>
  <c r="O290" i="6"/>
  <c r="N290" i="6"/>
  <c r="M290" i="6"/>
  <c r="L290" i="6"/>
  <c r="K290" i="6"/>
  <c r="J290" i="6"/>
  <c r="I290" i="6"/>
  <c r="H290" i="6"/>
  <c r="G290" i="6"/>
  <c r="F290" i="6"/>
  <c r="E290" i="6"/>
  <c r="Q287" i="6"/>
  <c r="P287" i="6"/>
  <c r="O287" i="6"/>
  <c r="N287" i="6"/>
  <c r="M287" i="6"/>
  <c r="L287" i="6"/>
  <c r="K287" i="6"/>
  <c r="J287" i="6"/>
  <c r="I287" i="6"/>
  <c r="H287" i="6"/>
  <c r="G287" i="6"/>
  <c r="F287" i="6"/>
  <c r="T285" i="6" s="1"/>
  <c r="E287" i="6"/>
  <c r="Q284" i="6"/>
  <c r="P284" i="6"/>
  <c r="O284" i="6"/>
  <c r="N284" i="6"/>
  <c r="M284" i="6"/>
  <c r="L284" i="6"/>
  <c r="K284" i="6"/>
  <c r="J284" i="6"/>
  <c r="I284" i="6"/>
  <c r="H284" i="6"/>
  <c r="G284" i="6"/>
  <c r="F284" i="6"/>
  <c r="E284" i="6"/>
  <c r="Q281" i="6"/>
  <c r="P281" i="6"/>
  <c r="O281" i="6"/>
  <c r="N281" i="6"/>
  <c r="M281" i="6"/>
  <c r="L281" i="6"/>
  <c r="K281" i="6"/>
  <c r="J281" i="6"/>
  <c r="I281" i="6"/>
  <c r="H281" i="6"/>
  <c r="G281" i="6"/>
  <c r="F281" i="6"/>
  <c r="T279" i="6" s="1"/>
  <c r="E281" i="6"/>
  <c r="V279" i="6"/>
  <c r="S279" i="6"/>
  <c r="R279" i="6"/>
  <c r="U279" i="6" s="1"/>
  <c r="Q278" i="6"/>
  <c r="P278" i="6"/>
  <c r="O278" i="6"/>
  <c r="N278" i="6"/>
  <c r="M278" i="6"/>
  <c r="L278" i="6"/>
  <c r="K278" i="6"/>
  <c r="J278" i="6"/>
  <c r="I278" i="6"/>
  <c r="H278" i="6"/>
  <c r="G278" i="6"/>
  <c r="F278" i="6"/>
  <c r="E278" i="6"/>
  <c r="Q275" i="6"/>
  <c r="P275" i="6"/>
  <c r="O275" i="6"/>
  <c r="N275" i="6"/>
  <c r="M275" i="6"/>
  <c r="L275" i="6"/>
  <c r="K275" i="6"/>
  <c r="J275" i="6"/>
  <c r="I275" i="6"/>
  <c r="H275" i="6"/>
  <c r="G275" i="6"/>
  <c r="F275" i="6"/>
  <c r="T273" i="6" s="1"/>
  <c r="E275" i="6"/>
  <c r="Q272" i="6"/>
  <c r="P272" i="6"/>
  <c r="O272" i="6"/>
  <c r="N272" i="6"/>
  <c r="M272" i="6"/>
  <c r="L272" i="6"/>
  <c r="K272" i="6"/>
  <c r="J272" i="6"/>
  <c r="I272" i="6"/>
  <c r="H272" i="6"/>
  <c r="G272" i="6"/>
  <c r="F272" i="6"/>
  <c r="E272" i="6"/>
  <c r="Q269" i="6"/>
  <c r="P269" i="6"/>
  <c r="O269" i="6"/>
  <c r="N269" i="6"/>
  <c r="M269" i="6"/>
  <c r="L269" i="6"/>
  <c r="K269" i="6"/>
  <c r="J269" i="6"/>
  <c r="I269" i="6"/>
  <c r="H269" i="6"/>
  <c r="G269" i="6"/>
  <c r="F269" i="6"/>
  <c r="T267" i="6" s="1"/>
  <c r="E269" i="6"/>
  <c r="V267" i="6"/>
  <c r="S267" i="6"/>
  <c r="R267" i="6"/>
  <c r="U267" i="6" s="1"/>
  <c r="Q266" i="6"/>
  <c r="P266" i="6"/>
  <c r="O266" i="6"/>
  <c r="N266" i="6"/>
  <c r="M266" i="6"/>
  <c r="L266" i="6"/>
  <c r="K266" i="6"/>
  <c r="J266" i="6"/>
  <c r="I266" i="6"/>
  <c r="H266" i="6"/>
  <c r="G266" i="6"/>
  <c r="F266" i="6"/>
  <c r="E266" i="6"/>
  <c r="Q263" i="6"/>
  <c r="P263" i="6"/>
  <c r="O263" i="6"/>
  <c r="N263" i="6"/>
  <c r="M263" i="6"/>
  <c r="L263" i="6"/>
  <c r="K263" i="6"/>
  <c r="J263" i="6"/>
  <c r="I263" i="6"/>
  <c r="H263" i="6"/>
  <c r="G263" i="6"/>
  <c r="F263" i="6"/>
  <c r="T261" i="6" s="1"/>
  <c r="E263" i="6"/>
  <c r="Q260" i="6"/>
  <c r="P260" i="6"/>
  <c r="O260" i="6"/>
  <c r="N260" i="6"/>
  <c r="M260" i="6"/>
  <c r="L260" i="6"/>
  <c r="K260" i="6"/>
  <c r="J260" i="6"/>
  <c r="I260" i="6"/>
  <c r="H260" i="6"/>
  <c r="G260" i="6"/>
  <c r="F260" i="6"/>
  <c r="E260" i="6"/>
  <c r="Q257" i="6"/>
  <c r="P257" i="6"/>
  <c r="O257" i="6"/>
  <c r="N257" i="6"/>
  <c r="M257" i="6"/>
  <c r="L257" i="6"/>
  <c r="K257" i="6"/>
  <c r="J257" i="6"/>
  <c r="I257" i="6"/>
  <c r="H257" i="6"/>
  <c r="G257" i="6"/>
  <c r="T255" i="6" s="1"/>
  <c r="F257" i="6"/>
  <c r="E257" i="6"/>
  <c r="V255" i="6"/>
  <c r="S255" i="6"/>
  <c r="R255" i="6"/>
  <c r="U255" i="6" s="1"/>
  <c r="Q254" i="6"/>
  <c r="P254" i="6"/>
  <c r="O254" i="6"/>
  <c r="N254" i="6"/>
  <c r="M254" i="6"/>
  <c r="L254" i="6"/>
  <c r="K254" i="6"/>
  <c r="J254" i="6"/>
  <c r="I254" i="6"/>
  <c r="H254" i="6"/>
  <c r="G254" i="6"/>
  <c r="F254" i="6"/>
  <c r="E254" i="6"/>
  <c r="Q251" i="6"/>
  <c r="P251" i="6"/>
  <c r="O251" i="6"/>
  <c r="N251" i="6"/>
  <c r="M251" i="6"/>
  <c r="L251" i="6"/>
  <c r="K251" i="6"/>
  <c r="J251" i="6"/>
  <c r="I251" i="6"/>
  <c r="H251" i="6"/>
  <c r="G251" i="6"/>
  <c r="F251" i="6"/>
  <c r="T249" i="6" s="1"/>
  <c r="E251" i="6"/>
  <c r="Q248" i="6"/>
  <c r="P248" i="6"/>
  <c r="O248" i="6"/>
  <c r="N248" i="6"/>
  <c r="M248" i="6"/>
  <c r="L248" i="6"/>
  <c r="K248" i="6"/>
  <c r="J248" i="6"/>
  <c r="I248" i="6"/>
  <c r="H248" i="6"/>
  <c r="G248" i="6"/>
  <c r="F248" i="6"/>
  <c r="E248" i="6"/>
  <c r="Q245" i="6"/>
  <c r="P245" i="6"/>
  <c r="O245" i="6"/>
  <c r="N245" i="6"/>
  <c r="M245" i="6"/>
  <c r="L245" i="6"/>
  <c r="K245" i="6"/>
  <c r="J245" i="6"/>
  <c r="I245" i="6"/>
  <c r="H245" i="6"/>
  <c r="V243" i="6" s="1"/>
  <c r="G245" i="6"/>
  <c r="F245" i="6"/>
  <c r="E245" i="6"/>
  <c r="S243" i="6"/>
  <c r="R243" i="6"/>
  <c r="U243" i="6" s="1"/>
  <c r="Q242" i="6"/>
  <c r="P242" i="6"/>
  <c r="O242" i="6"/>
  <c r="N242" i="6"/>
  <c r="M242" i="6"/>
  <c r="L242" i="6"/>
  <c r="K242" i="6"/>
  <c r="J242" i="6"/>
  <c r="I242" i="6"/>
  <c r="H242" i="6"/>
  <c r="G242" i="6"/>
  <c r="F242" i="6"/>
  <c r="E242" i="6"/>
  <c r="Q239" i="6"/>
  <c r="P239" i="6"/>
  <c r="O239" i="6"/>
  <c r="N239" i="6"/>
  <c r="M239" i="6"/>
  <c r="L239" i="6"/>
  <c r="K239" i="6"/>
  <c r="J239" i="6"/>
  <c r="I239" i="6"/>
  <c r="H239" i="6"/>
  <c r="G239" i="6"/>
  <c r="F239" i="6"/>
  <c r="E239" i="6"/>
  <c r="S237" i="6" s="1"/>
  <c r="Q236" i="6"/>
  <c r="P236" i="6"/>
  <c r="O236" i="6"/>
  <c r="N236" i="6"/>
  <c r="M236" i="6"/>
  <c r="L236" i="6"/>
  <c r="K236" i="6"/>
  <c r="J236" i="6"/>
  <c r="I236" i="6"/>
  <c r="H236" i="6"/>
  <c r="G236" i="6"/>
  <c r="F236" i="6"/>
  <c r="E236" i="6"/>
  <c r="Q233" i="6"/>
  <c r="P233" i="6"/>
  <c r="O233" i="6"/>
  <c r="N233" i="6"/>
  <c r="M233" i="6"/>
  <c r="L233" i="6"/>
  <c r="K233" i="6"/>
  <c r="J233" i="6"/>
  <c r="I233" i="6"/>
  <c r="H233" i="6"/>
  <c r="G233" i="6"/>
  <c r="F233" i="6"/>
  <c r="E233" i="6"/>
  <c r="T231" i="6"/>
  <c r="Q230" i="6"/>
  <c r="P230" i="6"/>
  <c r="O230" i="6"/>
  <c r="N230" i="6"/>
  <c r="M230" i="6"/>
  <c r="L230" i="6"/>
  <c r="K230" i="6"/>
  <c r="J230" i="6"/>
  <c r="I230" i="6"/>
  <c r="H230" i="6"/>
  <c r="G230" i="6"/>
  <c r="F230" i="6"/>
  <c r="E230" i="6"/>
  <c r="V228" i="6"/>
  <c r="Q227" i="6"/>
  <c r="P227" i="6"/>
  <c r="O227" i="6"/>
  <c r="N227" i="6"/>
  <c r="M227" i="6"/>
  <c r="L227" i="6"/>
  <c r="K227" i="6"/>
  <c r="J227" i="6"/>
  <c r="I227" i="6"/>
  <c r="H227" i="6"/>
  <c r="G227" i="6"/>
  <c r="F227" i="6"/>
  <c r="T225" i="6" s="1"/>
  <c r="E227" i="6"/>
  <c r="V225" i="6"/>
  <c r="R225" i="6"/>
  <c r="Q224" i="6"/>
  <c r="P224" i="6"/>
  <c r="O224" i="6"/>
  <c r="N224" i="6"/>
  <c r="M224" i="6"/>
  <c r="L224" i="6"/>
  <c r="K224" i="6"/>
  <c r="J224" i="6"/>
  <c r="I224" i="6"/>
  <c r="H224" i="6"/>
  <c r="G224" i="6"/>
  <c r="F224" i="6"/>
  <c r="E224" i="6"/>
  <c r="Q221" i="6"/>
  <c r="P221" i="6"/>
  <c r="O221" i="6"/>
  <c r="N221" i="6"/>
  <c r="M221" i="6"/>
  <c r="L221" i="6"/>
  <c r="K221" i="6"/>
  <c r="J221" i="6"/>
  <c r="I221" i="6"/>
  <c r="H221" i="6"/>
  <c r="G221" i="6"/>
  <c r="F221" i="6"/>
  <c r="E221" i="6"/>
  <c r="T219" i="6"/>
  <c r="W219" i="6" s="1"/>
  <c r="Q218" i="6"/>
  <c r="P218" i="6"/>
  <c r="O218" i="6"/>
  <c r="N218" i="6"/>
  <c r="M218" i="6"/>
  <c r="L218" i="6"/>
  <c r="K218" i="6"/>
  <c r="J218" i="6"/>
  <c r="I218" i="6"/>
  <c r="H218" i="6"/>
  <c r="G218" i="6"/>
  <c r="F218" i="6"/>
  <c r="E218" i="6"/>
  <c r="V216" i="6"/>
  <c r="Q215" i="6"/>
  <c r="P215" i="6"/>
  <c r="O215" i="6"/>
  <c r="N215" i="6"/>
  <c r="M215" i="6"/>
  <c r="L215" i="6"/>
  <c r="K215" i="6"/>
  <c r="J215" i="6"/>
  <c r="I215" i="6"/>
  <c r="H215" i="6"/>
  <c r="G215" i="6"/>
  <c r="F215" i="6"/>
  <c r="T213" i="6" s="1"/>
  <c r="E215" i="6"/>
  <c r="V213" i="6"/>
  <c r="R213" i="6"/>
  <c r="Q212" i="6"/>
  <c r="T210" i="6" s="1"/>
  <c r="P212" i="6"/>
  <c r="O212" i="6"/>
  <c r="N212" i="6"/>
  <c r="M212" i="6"/>
  <c r="L212" i="6"/>
  <c r="K212" i="6"/>
  <c r="J212" i="6"/>
  <c r="I212" i="6"/>
  <c r="H212" i="6"/>
  <c r="G212" i="6"/>
  <c r="F212" i="6"/>
  <c r="E212" i="6"/>
  <c r="Q209" i="6"/>
  <c r="P209" i="6"/>
  <c r="O209" i="6"/>
  <c r="N209" i="6"/>
  <c r="M209" i="6"/>
  <c r="L209" i="6"/>
  <c r="K209" i="6"/>
  <c r="J209" i="6"/>
  <c r="I209" i="6"/>
  <c r="H209" i="6"/>
  <c r="G209" i="6"/>
  <c r="F209" i="6"/>
  <c r="E209" i="6"/>
  <c r="T207" i="6"/>
  <c r="Q206" i="6"/>
  <c r="P206" i="6"/>
  <c r="O206" i="6"/>
  <c r="N206" i="6"/>
  <c r="M206" i="6"/>
  <c r="L206" i="6"/>
  <c r="K206" i="6"/>
  <c r="J206" i="6"/>
  <c r="I206" i="6"/>
  <c r="H206" i="6"/>
  <c r="G206" i="6"/>
  <c r="F206" i="6"/>
  <c r="E206" i="6"/>
  <c r="Q203" i="6"/>
  <c r="P203" i="6"/>
  <c r="O203" i="6"/>
  <c r="N203" i="6"/>
  <c r="M203" i="6"/>
  <c r="L203" i="6"/>
  <c r="K203" i="6"/>
  <c r="J203" i="6"/>
  <c r="I203" i="6"/>
  <c r="H203" i="6"/>
  <c r="G203" i="6"/>
  <c r="F203" i="6"/>
  <c r="T201" i="6" s="1"/>
  <c r="E203" i="6"/>
  <c r="V201" i="6"/>
  <c r="R201" i="6"/>
  <c r="Q200" i="6"/>
  <c r="T198" i="6" s="1"/>
  <c r="P200" i="6"/>
  <c r="O200" i="6"/>
  <c r="N200" i="6"/>
  <c r="M200" i="6"/>
  <c r="L200" i="6"/>
  <c r="K200" i="6"/>
  <c r="J200" i="6"/>
  <c r="I200" i="6"/>
  <c r="H200" i="6"/>
  <c r="G200" i="6"/>
  <c r="F200" i="6"/>
  <c r="E200" i="6"/>
  <c r="Q197" i="6"/>
  <c r="P197" i="6"/>
  <c r="O197" i="6"/>
  <c r="N197" i="6"/>
  <c r="M197" i="6"/>
  <c r="L197" i="6"/>
  <c r="K197" i="6"/>
  <c r="J197" i="6"/>
  <c r="I197" i="6"/>
  <c r="H197" i="6"/>
  <c r="G197" i="6"/>
  <c r="F197" i="6"/>
  <c r="E197" i="6"/>
  <c r="T195" i="6"/>
  <c r="Q194" i="6"/>
  <c r="P194" i="6"/>
  <c r="O194" i="6"/>
  <c r="N194" i="6"/>
  <c r="M194" i="6"/>
  <c r="L194" i="6"/>
  <c r="K194" i="6"/>
  <c r="J194" i="6"/>
  <c r="I194" i="6"/>
  <c r="H194" i="6"/>
  <c r="G194" i="6"/>
  <c r="V192" i="6" s="1"/>
  <c r="F194" i="6"/>
  <c r="E194" i="6"/>
  <c r="Q191" i="6"/>
  <c r="P191" i="6"/>
  <c r="O191" i="6"/>
  <c r="N191" i="6"/>
  <c r="M191" i="6"/>
  <c r="L191" i="6"/>
  <c r="K191" i="6"/>
  <c r="J191" i="6"/>
  <c r="I191" i="6"/>
  <c r="H191" i="6"/>
  <c r="G191" i="6"/>
  <c r="F191" i="6"/>
  <c r="T189" i="6" s="1"/>
  <c r="E191" i="6"/>
  <c r="V189" i="6"/>
  <c r="R189" i="6"/>
  <c r="Q188" i="6"/>
  <c r="T186" i="6" s="1"/>
  <c r="P188" i="6"/>
  <c r="O188" i="6"/>
  <c r="N188" i="6"/>
  <c r="M188" i="6"/>
  <c r="L188" i="6"/>
  <c r="K188" i="6"/>
  <c r="J188" i="6"/>
  <c r="I188" i="6"/>
  <c r="H188" i="6"/>
  <c r="G188" i="6"/>
  <c r="F188" i="6"/>
  <c r="E188" i="6"/>
  <c r="Q185" i="6"/>
  <c r="P185" i="6"/>
  <c r="O185" i="6"/>
  <c r="N185" i="6"/>
  <c r="M185" i="6"/>
  <c r="L185" i="6"/>
  <c r="K185" i="6"/>
  <c r="J185" i="6"/>
  <c r="I185" i="6"/>
  <c r="H185" i="6"/>
  <c r="G185" i="6"/>
  <c r="F185" i="6"/>
  <c r="E185" i="6"/>
  <c r="T183" i="6"/>
  <c r="Q182" i="6"/>
  <c r="P182" i="6"/>
  <c r="O182" i="6"/>
  <c r="N182" i="6"/>
  <c r="M182" i="6"/>
  <c r="L182" i="6"/>
  <c r="K182" i="6"/>
  <c r="J182" i="6"/>
  <c r="I182" i="6"/>
  <c r="H182" i="6"/>
  <c r="G182" i="6"/>
  <c r="F182" i="6"/>
  <c r="E182" i="6"/>
  <c r="V180" i="6"/>
  <c r="Q179" i="6"/>
  <c r="P179" i="6"/>
  <c r="O179" i="6"/>
  <c r="N179" i="6"/>
  <c r="M179" i="6"/>
  <c r="L179" i="6"/>
  <c r="K179" i="6"/>
  <c r="J179" i="6"/>
  <c r="I179" i="6"/>
  <c r="H179" i="6"/>
  <c r="G179" i="6"/>
  <c r="F179" i="6"/>
  <c r="T177" i="6" s="1"/>
  <c r="E179" i="6"/>
  <c r="V177" i="6"/>
  <c r="R177" i="6"/>
  <c r="Q176" i="6"/>
  <c r="T174" i="6" s="1"/>
  <c r="P176" i="6"/>
  <c r="O176" i="6"/>
  <c r="N176" i="6"/>
  <c r="M176" i="6"/>
  <c r="L176" i="6"/>
  <c r="K176" i="6"/>
  <c r="J176" i="6"/>
  <c r="I176" i="6"/>
  <c r="H176" i="6"/>
  <c r="G176" i="6"/>
  <c r="F176" i="6"/>
  <c r="E176" i="6"/>
  <c r="Q173" i="6"/>
  <c r="P173" i="6"/>
  <c r="O173" i="6"/>
  <c r="N173" i="6"/>
  <c r="M173" i="6"/>
  <c r="L173" i="6"/>
  <c r="K173" i="6"/>
  <c r="J173" i="6"/>
  <c r="I173" i="6"/>
  <c r="H173" i="6"/>
  <c r="G173" i="6"/>
  <c r="F173" i="6"/>
  <c r="E173" i="6"/>
  <c r="T171" i="6"/>
  <c r="Q170" i="6"/>
  <c r="P170" i="6"/>
  <c r="O170" i="6"/>
  <c r="N170" i="6"/>
  <c r="M170" i="6"/>
  <c r="L170" i="6"/>
  <c r="K170" i="6"/>
  <c r="J170" i="6"/>
  <c r="I170" i="6"/>
  <c r="H170" i="6"/>
  <c r="G170" i="6"/>
  <c r="F170" i="6"/>
  <c r="E170" i="6"/>
  <c r="V168" i="6"/>
  <c r="Q167" i="6"/>
  <c r="P167" i="6"/>
  <c r="O167" i="6"/>
  <c r="N167" i="6"/>
  <c r="M167" i="6"/>
  <c r="L167" i="6"/>
  <c r="K167" i="6"/>
  <c r="J167" i="6"/>
  <c r="I167" i="6"/>
  <c r="H167" i="6"/>
  <c r="G167" i="6"/>
  <c r="F167" i="6"/>
  <c r="T165" i="6" s="1"/>
  <c r="E167" i="6"/>
  <c r="S165" i="6" s="1"/>
  <c r="V165" i="6"/>
  <c r="R165" i="6"/>
  <c r="U165" i="6" s="1"/>
  <c r="Q164" i="6"/>
  <c r="T162" i="6" s="1"/>
  <c r="P164" i="6"/>
  <c r="O164" i="6"/>
  <c r="N164" i="6"/>
  <c r="M164" i="6"/>
  <c r="L164" i="6"/>
  <c r="K164" i="6"/>
  <c r="J164" i="6"/>
  <c r="I164" i="6"/>
  <c r="H164" i="6"/>
  <c r="S162" i="6" s="1"/>
  <c r="G164" i="6"/>
  <c r="F164" i="6"/>
  <c r="E164" i="6"/>
  <c r="Q161" i="6"/>
  <c r="P161" i="6"/>
  <c r="O161" i="6"/>
  <c r="N161" i="6"/>
  <c r="M161" i="6"/>
  <c r="L161" i="6"/>
  <c r="K161" i="6"/>
  <c r="J161" i="6"/>
  <c r="I161" i="6"/>
  <c r="H161" i="6"/>
  <c r="G161" i="6"/>
  <c r="F161" i="6"/>
  <c r="E161" i="6"/>
  <c r="S159" i="6"/>
  <c r="Q158" i="6"/>
  <c r="P158" i="6"/>
  <c r="O158" i="6"/>
  <c r="N158" i="6"/>
  <c r="M158" i="6"/>
  <c r="L158" i="6"/>
  <c r="K158" i="6"/>
  <c r="J158" i="6"/>
  <c r="I158" i="6"/>
  <c r="H158" i="6"/>
  <c r="G158" i="6"/>
  <c r="F158" i="6"/>
  <c r="E158" i="6"/>
  <c r="Q155" i="6"/>
  <c r="P155" i="6"/>
  <c r="O155" i="6"/>
  <c r="N155" i="6"/>
  <c r="M155" i="6"/>
  <c r="L155" i="6"/>
  <c r="K155" i="6"/>
  <c r="J155" i="6"/>
  <c r="I155" i="6"/>
  <c r="H155" i="6"/>
  <c r="G155" i="6"/>
  <c r="F155" i="6"/>
  <c r="E155" i="6"/>
  <c r="R153" i="6"/>
  <c r="Q152" i="6"/>
  <c r="P152" i="6"/>
  <c r="O152" i="6"/>
  <c r="N152" i="6"/>
  <c r="M152" i="6"/>
  <c r="L152" i="6"/>
  <c r="K152" i="6"/>
  <c r="J152" i="6"/>
  <c r="I152" i="6"/>
  <c r="H152" i="6"/>
  <c r="G152" i="6"/>
  <c r="F152" i="6"/>
  <c r="S150" i="6" s="1"/>
  <c r="E152" i="6"/>
  <c r="Q149" i="6"/>
  <c r="T147" i="6" s="1"/>
  <c r="P149" i="6"/>
  <c r="O149" i="6"/>
  <c r="N149" i="6"/>
  <c r="M149" i="6"/>
  <c r="L149" i="6"/>
  <c r="K149" i="6"/>
  <c r="J149" i="6"/>
  <c r="I149" i="6"/>
  <c r="H149" i="6"/>
  <c r="G149" i="6"/>
  <c r="F149" i="6"/>
  <c r="E149" i="6"/>
  <c r="V147" i="6"/>
  <c r="Q146" i="6"/>
  <c r="P146" i="6"/>
  <c r="O146" i="6"/>
  <c r="N146" i="6"/>
  <c r="M146" i="6"/>
  <c r="L146" i="6"/>
  <c r="K146" i="6"/>
  <c r="J146" i="6"/>
  <c r="I146" i="6"/>
  <c r="H146" i="6"/>
  <c r="G146" i="6"/>
  <c r="F146" i="6"/>
  <c r="T144" i="6" s="1"/>
  <c r="E146" i="6"/>
  <c r="S144" i="6"/>
  <c r="Q143" i="6"/>
  <c r="T141" i="6" s="1"/>
  <c r="P143" i="6"/>
  <c r="O143" i="6"/>
  <c r="N143" i="6"/>
  <c r="M143" i="6"/>
  <c r="L143" i="6"/>
  <c r="K143" i="6"/>
  <c r="J143" i="6"/>
  <c r="I143" i="6"/>
  <c r="H143" i="6"/>
  <c r="G143" i="6"/>
  <c r="F143" i="6"/>
  <c r="E143" i="6"/>
  <c r="Q140" i="6"/>
  <c r="T138" i="6" s="1"/>
  <c r="P140" i="6"/>
  <c r="O140" i="6"/>
  <c r="N140" i="6"/>
  <c r="M140" i="6"/>
  <c r="L140" i="6"/>
  <c r="K140" i="6"/>
  <c r="J140" i="6"/>
  <c r="I140" i="6"/>
  <c r="H140" i="6"/>
  <c r="S138" i="6" s="1"/>
  <c r="G140" i="6"/>
  <c r="F140" i="6"/>
  <c r="E140" i="6"/>
  <c r="Q137" i="6"/>
  <c r="P137" i="6"/>
  <c r="O137" i="6"/>
  <c r="N137" i="6"/>
  <c r="M137" i="6"/>
  <c r="L137" i="6"/>
  <c r="K137" i="6"/>
  <c r="J137" i="6"/>
  <c r="I137" i="6"/>
  <c r="H137" i="6"/>
  <c r="G137" i="6"/>
  <c r="F137" i="6"/>
  <c r="E137" i="6"/>
  <c r="S135" i="6"/>
  <c r="Q134" i="6"/>
  <c r="P134" i="6"/>
  <c r="O134" i="6"/>
  <c r="N134" i="6"/>
  <c r="M134" i="6"/>
  <c r="L134" i="6"/>
  <c r="K134" i="6"/>
  <c r="J134" i="6"/>
  <c r="I134" i="6"/>
  <c r="H134" i="6"/>
  <c r="G134" i="6"/>
  <c r="F134" i="6"/>
  <c r="E134" i="6"/>
  <c r="Q131" i="6"/>
  <c r="P131" i="6"/>
  <c r="O131" i="6"/>
  <c r="N131" i="6"/>
  <c r="M131" i="6"/>
  <c r="L131" i="6"/>
  <c r="K131" i="6"/>
  <c r="J131" i="6"/>
  <c r="I131" i="6"/>
  <c r="H131" i="6"/>
  <c r="G131" i="6"/>
  <c r="F131" i="6"/>
  <c r="E131" i="6"/>
  <c r="T129" i="6"/>
  <c r="Q128" i="6"/>
  <c r="P128" i="6"/>
  <c r="O128" i="6"/>
  <c r="N128" i="6"/>
  <c r="M128" i="6"/>
  <c r="L128" i="6"/>
  <c r="K128" i="6"/>
  <c r="J128" i="6"/>
  <c r="I128" i="6"/>
  <c r="H128" i="6"/>
  <c r="T126" i="6" s="1"/>
  <c r="G128" i="6"/>
  <c r="F128" i="6"/>
  <c r="E128" i="6"/>
  <c r="V126" i="6" s="1"/>
  <c r="S126" i="6"/>
  <c r="Q125" i="6"/>
  <c r="P125" i="6"/>
  <c r="O125" i="6"/>
  <c r="N125" i="6"/>
  <c r="M125" i="6"/>
  <c r="L125" i="6"/>
  <c r="K125" i="6"/>
  <c r="J125" i="6"/>
  <c r="I125" i="6"/>
  <c r="H125" i="6"/>
  <c r="G125" i="6"/>
  <c r="F125" i="6"/>
  <c r="E125" i="6"/>
  <c r="R123" i="6"/>
  <c r="Q122" i="6"/>
  <c r="P122" i="6"/>
  <c r="O122" i="6"/>
  <c r="N122" i="6"/>
  <c r="M122" i="6"/>
  <c r="L122" i="6"/>
  <c r="K122" i="6"/>
  <c r="J122" i="6"/>
  <c r="I122" i="6"/>
  <c r="H122" i="6"/>
  <c r="G122" i="6"/>
  <c r="F122" i="6"/>
  <c r="E122" i="6"/>
  <c r="Q119" i="6"/>
  <c r="P119" i="6"/>
  <c r="O119" i="6"/>
  <c r="N119" i="6"/>
  <c r="M119" i="6"/>
  <c r="L119" i="6"/>
  <c r="K119" i="6"/>
  <c r="J119" i="6"/>
  <c r="I119" i="6"/>
  <c r="H119" i="6"/>
  <c r="G119" i="6"/>
  <c r="F119" i="6"/>
  <c r="E119" i="6"/>
  <c r="T117" i="6"/>
  <c r="Q116" i="6"/>
  <c r="P116" i="6"/>
  <c r="O116" i="6"/>
  <c r="N116" i="6"/>
  <c r="M116" i="6"/>
  <c r="L116" i="6"/>
  <c r="K116" i="6"/>
  <c r="J116" i="6"/>
  <c r="I116" i="6"/>
  <c r="H116" i="6"/>
  <c r="T114" i="6" s="1"/>
  <c r="G116" i="6"/>
  <c r="F116" i="6"/>
  <c r="E116" i="6"/>
  <c r="Q113" i="6"/>
  <c r="P113" i="6"/>
  <c r="O113" i="6"/>
  <c r="N113" i="6"/>
  <c r="M113" i="6"/>
  <c r="L113" i="6"/>
  <c r="K113" i="6"/>
  <c r="J113" i="6"/>
  <c r="I113" i="6"/>
  <c r="H113" i="6"/>
  <c r="G113" i="6"/>
  <c r="F113" i="6"/>
  <c r="E113" i="6"/>
  <c r="R111" i="6"/>
  <c r="Q110" i="6"/>
  <c r="P110" i="6"/>
  <c r="O110" i="6"/>
  <c r="N110" i="6"/>
  <c r="M110" i="6"/>
  <c r="L110" i="6"/>
  <c r="K110" i="6"/>
  <c r="J110" i="6"/>
  <c r="I110" i="6"/>
  <c r="H110" i="6"/>
  <c r="G110" i="6"/>
  <c r="F110" i="6"/>
  <c r="E110" i="6"/>
  <c r="Q107" i="6"/>
  <c r="P107" i="6"/>
  <c r="O107" i="6"/>
  <c r="N107" i="6"/>
  <c r="M107" i="6"/>
  <c r="L107" i="6"/>
  <c r="K107" i="6"/>
  <c r="J107" i="6"/>
  <c r="I107" i="6"/>
  <c r="H107" i="6"/>
  <c r="G107" i="6"/>
  <c r="F107" i="6"/>
  <c r="E107" i="6"/>
  <c r="T105" i="6"/>
  <c r="Q104" i="6"/>
  <c r="P104" i="6"/>
  <c r="O104" i="6"/>
  <c r="N104" i="6"/>
  <c r="M104" i="6"/>
  <c r="L104" i="6"/>
  <c r="K104" i="6"/>
  <c r="J104" i="6"/>
  <c r="I104" i="6"/>
  <c r="H104" i="6"/>
  <c r="T102" i="6" s="1"/>
  <c r="G104" i="6"/>
  <c r="F104" i="6"/>
  <c r="E104" i="6"/>
  <c r="S102" i="6"/>
  <c r="Q101" i="6"/>
  <c r="P101" i="6"/>
  <c r="O101" i="6"/>
  <c r="N101" i="6"/>
  <c r="M101" i="6"/>
  <c r="L101" i="6"/>
  <c r="K101" i="6"/>
  <c r="J101" i="6"/>
  <c r="I101" i="6"/>
  <c r="H101" i="6"/>
  <c r="G101" i="6"/>
  <c r="F101" i="6"/>
  <c r="E101" i="6"/>
  <c r="R99" i="6"/>
  <c r="Q98" i="6"/>
  <c r="P98" i="6"/>
  <c r="O98" i="6"/>
  <c r="N98" i="6"/>
  <c r="M98" i="6"/>
  <c r="L98" i="6"/>
  <c r="K98" i="6"/>
  <c r="J98" i="6"/>
  <c r="I98" i="6"/>
  <c r="H98" i="6"/>
  <c r="G98" i="6"/>
  <c r="F98" i="6"/>
  <c r="E98" i="6"/>
  <c r="Q95" i="6"/>
  <c r="P95" i="6"/>
  <c r="O95" i="6"/>
  <c r="N95" i="6"/>
  <c r="M95" i="6"/>
  <c r="L95" i="6"/>
  <c r="K95" i="6"/>
  <c r="J95" i="6"/>
  <c r="I95" i="6"/>
  <c r="H95" i="6"/>
  <c r="G95" i="6"/>
  <c r="F95" i="6"/>
  <c r="E95" i="6"/>
  <c r="T93" i="6"/>
  <c r="Q92" i="6"/>
  <c r="P92" i="6"/>
  <c r="O92" i="6"/>
  <c r="N92" i="6"/>
  <c r="M92" i="6"/>
  <c r="L92" i="6"/>
  <c r="K92" i="6"/>
  <c r="J92" i="6"/>
  <c r="I92" i="6"/>
  <c r="H92" i="6"/>
  <c r="T90" i="6" s="1"/>
  <c r="G92" i="6"/>
  <c r="F92" i="6"/>
  <c r="E92" i="6"/>
  <c r="Q89" i="6"/>
  <c r="P89" i="6"/>
  <c r="O89" i="6"/>
  <c r="N89" i="6"/>
  <c r="M89" i="6"/>
  <c r="L89" i="6"/>
  <c r="K89" i="6"/>
  <c r="J89" i="6"/>
  <c r="I89" i="6"/>
  <c r="H89" i="6"/>
  <c r="G89" i="6"/>
  <c r="V87" i="6" s="1"/>
  <c r="F89" i="6"/>
  <c r="E89" i="6"/>
  <c r="R87" i="6"/>
  <c r="Q86" i="6"/>
  <c r="P86" i="6"/>
  <c r="O86" i="6"/>
  <c r="N86" i="6"/>
  <c r="M86" i="6"/>
  <c r="L86" i="6"/>
  <c r="K86" i="6"/>
  <c r="J86" i="6"/>
  <c r="I86" i="6"/>
  <c r="H86" i="6"/>
  <c r="G86" i="6"/>
  <c r="F86" i="6"/>
  <c r="E86" i="6"/>
  <c r="Q83" i="6"/>
  <c r="P83" i="6"/>
  <c r="O83" i="6"/>
  <c r="N83" i="6"/>
  <c r="M83" i="6"/>
  <c r="L83" i="6"/>
  <c r="K83" i="6"/>
  <c r="J83" i="6"/>
  <c r="I83" i="6"/>
  <c r="H83" i="6"/>
  <c r="G83" i="6"/>
  <c r="F83" i="6"/>
  <c r="E83" i="6"/>
  <c r="T81" i="6"/>
  <c r="Q80" i="6"/>
  <c r="P80" i="6"/>
  <c r="O80" i="6"/>
  <c r="N80" i="6"/>
  <c r="M80" i="6"/>
  <c r="L80" i="6"/>
  <c r="K80" i="6"/>
  <c r="J80" i="6"/>
  <c r="I80" i="6"/>
  <c r="H80" i="6"/>
  <c r="T78" i="6" s="1"/>
  <c r="G80" i="6"/>
  <c r="F80" i="6"/>
  <c r="E80" i="6"/>
  <c r="S78" i="6"/>
  <c r="Q77" i="6"/>
  <c r="P77" i="6"/>
  <c r="O77" i="6"/>
  <c r="N77" i="6"/>
  <c r="M77" i="6"/>
  <c r="L77" i="6"/>
  <c r="K77" i="6"/>
  <c r="J77" i="6"/>
  <c r="I77" i="6"/>
  <c r="H77" i="6"/>
  <c r="G77" i="6"/>
  <c r="F77" i="6"/>
  <c r="E77" i="6"/>
  <c r="R75" i="6"/>
  <c r="Q74" i="6"/>
  <c r="P74" i="6"/>
  <c r="O74" i="6"/>
  <c r="N74" i="6"/>
  <c r="M74" i="6"/>
  <c r="L74" i="6"/>
  <c r="K74" i="6"/>
  <c r="J74" i="6"/>
  <c r="I74" i="6"/>
  <c r="H74" i="6"/>
  <c r="G74" i="6"/>
  <c r="F74" i="6"/>
  <c r="E74" i="6"/>
  <c r="Q71" i="6"/>
  <c r="P71" i="6"/>
  <c r="O71" i="6"/>
  <c r="N71" i="6"/>
  <c r="M71" i="6"/>
  <c r="L71" i="6"/>
  <c r="K71" i="6"/>
  <c r="J71" i="6"/>
  <c r="I71" i="6"/>
  <c r="H71" i="6"/>
  <c r="G71" i="6"/>
  <c r="F71" i="6"/>
  <c r="E71" i="6"/>
  <c r="T69" i="6"/>
  <c r="Q68" i="6"/>
  <c r="P68" i="6"/>
  <c r="O68" i="6"/>
  <c r="N68" i="6"/>
  <c r="M68" i="6"/>
  <c r="L68" i="6"/>
  <c r="K68" i="6"/>
  <c r="J68" i="6"/>
  <c r="I68" i="6"/>
  <c r="H68" i="6"/>
  <c r="T66" i="6" s="1"/>
  <c r="G68" i="6"/>
  <c r="F68" i="6"/>
  <c r="E68" i="6"/>
  <c r="Q65" i="6"/>
  <c r="P65" i="6"/>
  <c r="O65" i="6"/>
  <c r="N65" i="6"/>
  <c r="M65" i="6"/>
  <c r="L65" i="6"/>
  <c r="K65" i="6"/>
  <c r="J65" i="6"/>
  <c r="I65" i="6"/>
  <c r="H65" i="6"/>
  <c r="G65" i="6"/>
  <c r="R63" i="6" s="1"/>
  <c r="F65" i="6"/>
  <c r="E65" i="6"/>
  <c r="Q62" i="6"/>
  <c r="P62" i="6"/>
  <c r="O62" i="6"/>
  <c r="N62" i="6"/>
  <c r="M62" i="6"/>
  <c r="L62" i="6"/>
  <c r="K62" i="6"/>
  <c r="J62" i="6"/>
  <c r="I62" i="6"/>
  <c r="H62" i="6"/>
  <c r="G62" i="6"/>
  <c r="F62" i="6"/>
  <c r="E62" i="6"/>
  <c r="Q59" i="6"/>
  <c r="P59" i="6"/>
  <c r="O59" i="6"/>
  <c r="N59" i="6"/>
  <c r="M59" i="6"/>
  <c r="L59" i="6"/>
  <c r="K59" i="6"/>
  <c r="J59" i="6"/>
  <c r="I59" i="6"/>
  <c r="H59" i="6"/>
  <c r="G59" i="6"/>
  <c r="F59" i="6"/>
  <c r="E59" i="6"/>
  <c r="T57" i="6"/>
  <c r="Q56" i="6"/>
  <c r="P56" i="6"/>
  <c r="O56" i="6"/>
  <c r="N56" i="6"/>
  <c r="M56" i="6"/>
  <c r="L56" i="6"/>
  <c r="K56" i="6"/>
  <c r="J56" i="6"/>
  <c r="I56" i="6"/>
  <c r="H56" i="6"/>
  <c r="T54" i="6" s="1"/>
  <c r="G56" i="6"/>
  <c r="F56" i="6"/>
  <c r="E56" i="6"/>
  <c r="S54" i="6"/>
  <c r="Q53" i="6"/>
  <c r="P53" i="6"/>
  <c r="O53" i="6"/>
  <c r="N53" i="6"/>
  <c r="M53" i="6"/>
  <c r="L53" i="6"/>
  <c r="K53" i="6"/>
  <c r="J53" i="6"/>
  <c r="I53" i="6"/>
  <c r="H53" i="6"/>
  <c r="G53" i="6"/>
  <c r="F53" i="6"/>
  <c r="E53" i="6"/>
  <c r="R51" i="6"/>
  <c r="Q50" i="6"/>
  <c r="P50" i="6"/>
  <c r="O50" i="6"/>
  <c r="N50" i="6"/>
  <c r="M50" i="6"/>
  <c r="L50" i="6"/>
  <c r="K50" i="6"/>
  <c r="J50" i="6"/>
  <c r="I50" i="6"/>
  <c r="H50" i="6"/>
  <c r="G50" i="6"/>
  <c r="F50" i="6"/>
  <c r="E50" i="6"/>
  <c r="Q47" i="6"/>
  <c r="P47" i="6"/>
  <c r="O47" i="6"/>
  <c r="N47" i="6"/>
  <c r="M47" i="6"/>
  <c r="L47" i="6"/>
  <c r="K47" i="6"/>
  <c r="J47" i="6"/>
  <c r="I47" i="6"/>
  <c r="H47" i="6"/>
  <c r="G47" i="6"/>
  <c r="F47" i="6"/>
  <c r="E47" i="6"/>
  <c r="T45" i="6"/>
  <c r="Q44" i="6"/>
  <c r="T42" i="6" s="1"/>
  <c r="P44" i="6"/>
  <c r="O44" i="6"/>
  <c r="N44" i="6"/>
  <c r="M44" i="6"/>
  <c r="L44" i="6"/>
  <c r="K44" i="6"/>
  <c r="J44" i="6"/>
  <c r="I44" i="6"/>
  <c r="H44" i="6"/>
  <c r="G44" i="6"/>
  <c r="F44" i="6"/>
  <c r="E44" i="6"/>
  <c r="Q41" i="6"/>
  <c r="P41" i="6"/>
  <c r="O41" i="6"/>
  <c r="N41" i="6"/>
  <c r="M41" i="6"/>
  <c r="L41" i="6"/>
  <c r="K41" i="6"/>
  <c r="J41" i="6"/>
  <c r="I41" i="6"/>
  <c r="H41" i="6"/>
  <c r="V39" i="6" s="1"/>
  <c r="G41" i="6"/>
  <c r="F41" i="6"/>
  <c r="E41" i="6"/>
  <c r="Q38" i="6"/>
  <c r="P38" i="6"/>
  <c r="O38" i="6"/>
  <c r="N38" i="6"/>
  <c r="M38" i="6"/>
  <c r="L38" i="6"/>
  <c r="K38" i="6"/>
  <c r="J38" i="6"/>
  <c r="I38" i="6"/>
  <c r="H38" i="6"/>
  <c r="G38" i="6"/>
  <c r="F38" i="6"/>
  <c r="E38" i="6"/>
  <c r="R36" i="6"/>
  <c r="Q35" i="6"/>
  <c r="T33" i="6" s="1"/>
  <c r="P35" i="6"/>
  <c r="O35" i="6"/>
  <c r="N35" i="6"/>
  <c r="M35" i="6"/>
  <c r="L35" i="6"/>
  <c r="K35" i="6"/>
  <c r="J35" i="6"/>
  <c r="I35" i="6"/>
  <c r="H35" i="6"/>
  <c r="G35" i="6"/>
  <c r="F35" i="6"/>
  <c r="E35" i="6"/>
  <c r="Q32" i="6"/>
  <c r="T30" i="6" s="1"/>
  <c r="P32" i="6"/>
  <c r="O32" i="6"/>
  <c r="N32" i="6"/>
  <c r="M32" i="6"/>
  <c r="L32" i="6"/>
  <c r="K32" i="6"/>
  <c r="J32" i="6"/>
  <c r="I32" i="6"/>
  <c r="H32" i="6"/>
  <c r="G32" i="6"/>
  <c r="F32" i="6"/>
  <c r="E32" i="6"/>
  <c r="S30" i="6" s="1"/>
  <c r="Q29" i="6"/>
  <c r="P29" i="6"/>
  <c r="O29" i="6"/>
  <c r="N29" i="6"/>
  <c r="M29" i="6"/>
  <c r="L29" i="6"/>
  <c r="K29" i="6"/>
  <c r="J29" i="6"/>
  <c r="I29" i="6"/>
  <c r="H29" i="6"/>
  <c r="V27" i="6" s="1"/>
  <c r="G29" i="6"/>
  <c r="F29" i="6"/>
  <c r="E29" i="6"/>
  <c r="Q26" i="6"/>
  <c r="P26" i="6"/>
  <c r="O26" i="6"/>
  <c r="N26" i="6"/>
  <c r="M26" i="6"/>
  <c r="L26" i="6"/>
  <c r="K26" i="6"/>
  <c r="J26" i="6"/>
  <c r="I26" i="6"/>
  <c r="H26" i="6"/>
  <c r="G26" i="6"/>
  <c r="F26" i="6"/>
  <c r="E26" i="6"/>
  <c r="R24" i="6"/>
  <c r="Q23" i="6"/>
  <c r="T21" i="6" s="1"/>
  <c r="P23" i="6"/>
  <c r="O23" i="6"/>
  <c r="N23" i="6"/>
  <c r="M23" i="6"/>
  <c r="L23" i="6"/>
  <c r="K23" i="6"/>
  <c r="J23" i="6"/>
  <c r="I23" i="6"/>
  <c r="H23" i="6"/>
  <c r="G23" i="6"/>
  <c r="F23" i="6"/>
  <c r="E23" i="6"/>
  <c r="Q20" i="6"/>
  <c r="T18" i="6" s="1"/>
  <c r="P20" i="6"/>
  <c r="O20" i="6"/>
  <c r="N20" i="6"/>
  <c r="M20" i="6"/>
  <c r="L20" i="6"/>
  <c r="K20" i="6"/>
  <c r="J20" i="6"/>
  <c r="I20" i="6"/>
  <c r="H20" i="6"/>
  <c r="G20" i="6"/>
  <c r="F20" i="6"/>
  <c r="E20" i="6"/>
  <c r="S18" i="6" s="1"/>
  <c r="Q17" i="6"/>
  <c r="P17" i="6"/>
  <c r="O17" i="6"/>
  <c r="N17" i="6"/>
  <c r="M17" i="6"/>
  <c r="L17" i="6"/>
  <c r="K17" i="6"/>
  <c r="J17" i="6"/>
  <c r="I17" i="6"/>
  <c r="H17" i="6"/>
  <c r="V15" i="6" s="1"/>
  <c r="G17" i="6"/>
  <c r="F17" i="6"/>
  <c r="E17" i="6"/>
  <c r="Q14" i="6"/>
  <c r="P14" i="6"/>
  <c r="O14" i="6"/>
  <c r="N14" i="6"/>
  <c r="M14" i="6"/>
  <c r="L14" i="6"/>
  <c r="K14" i="6"/>
  <c r="J14" i="6"/>
  <c r="I14" i="6"/>
  <c r="H14" i="6"/>
  <c r="G14" i="6"/>
  <c r="F14" i="6"/>
  <c r="E14" i="6"/>
  <c r="R12" i="6"/>
  <c r="Q11" i="6"/>
  <c r="T9" i="6" s="1"/>
  <c r="P11" i="6"/>
  <c r="O11" i="6"/>
  <c r="N11" i="6"/>
  <c r="M11" i="6"/>
  <c r="L11" i="6"/>
  <c r="K11" i="6"/>
  <c r="J11" i="6"/>
  <c r="I11" i="6"/>
  <c r="H11" i="6"/>
  <c r="G11" i="6"/>
  <c r="F11" i="6"/>
  <c r="E11" i="6"/>
  <c r="Q8" i="6"/>
  <c r="T6" i="6" s="1"/>
  <c r="P8" i="6"/>
  <c r="O8" i="6"/>
  <c r="N8" i="6"/>
  <c r="M8" i="6"/>
  <c r="L8" i="6"/>
  <c r="K8" i="6"/>
  <c r="J8" i="6"/>
  <c r="I8" i="6"/>
  <c r="H8" i="6"/>
  <c r="G8" i="6"/>
  <c r="F8" i="6"/>
  <c r="E8" i="6"/>
  <c r="N1065" i="5"/>
  <c r="M1065" i="5"/>
  <c r="L1065" i="5"/>
  <c r="K1065" i="5"/>
  <c r="J1065" i="5"/>
  <c r="I1065" i="5"/>
  <c r="H1065" i="5"/>
  <c r="G1065" i="5"/>
  <c r="F1065" i="5"/>
  <c r="N1062" i="5"/>
  <c r="M1062" i="5"/>
  <c r="L1062" i="5"/>
  <c r="K1062" i="5"/>
  <c r="J1062" i="5"/>
  <c r="I1062" i="5"/>
  <c r="H1062" i="5"/>
  <c r="G1062" i="5"/>
  <c r="O1060" i="5" s="1"/>
  <c r="F1062" i="5"/>
  <c r="N1059" i="5"/>
  <c r="M1059" i="5"/>
  <c r="L1059" i="5"/>
  <c r="K1059" i="5"/>
  <c r="J1059" i="5"/>
  <c r="I1059" i="5"/>
  <c r="H1059" i="5"/>
  <c r="G1059" i="5"/>
  <c r="F1059" i="5"/>
  <c r="N1056" i="5"/>
  <c r="M1056" i="5"/>
  <c r="L1056" i="5"/>
  <c r="K1056" i="5"/>
  <c r="J1056" i="5"/>
  <c r="I1056" i="5"/>
  <c r="H1056" i="5"/>
  <c r="G1056" i="5"/>
  <c r="F1056" i="5"/>
  <c r="S1054" i="5" s="1"/>
  <c r="N1053" i="5"/>
  <c r="M1053" i="5"/>
  <c r="L1053" i="5"/>
  <c r="K1053" i="5"/>
  <c r="J1053" i="5"/>
  <c r="I1053" i="5"/>
  <c r="H1053" i="5"/>
  <c r="G1053" i="5"/>
  <c r="F1053" i="5"/>
  <c r="O1051" i="5" s="1"/>
  <c r="N1050" i="5"/>
  <c r="M1050" i="5"/>
  <c r="L1050" i="5"/>
  <c r="K1050" i="5"/>
  <c r="J1050" i="5"/>
  <c r="I1050" i="5"/>
  <c r="H1050" i="5"/>
  <c r="G1050" i="5"/>
  <c r="F1050" i="5"/>
  <c r="N1047" i="5"/>
  <c r="M1047" i="5"/>
  <c r="L1047" i="5"/>
  <c r="K1047" i="5"/>
  <c r="J1047" i="5"/>
  <c r="I1047" i="5"/>
  <c r="H1047" i="5"/>
  <c r="G1047" i="5"/>
  <c r="F1047" i="5"/>
  <c r="N1044" i="5"/>
  <c r="M1044" i="5"/>
  <c r="L1044" i="5"/>
  <c r="K1044" i="5"/>
  <c r="J1044" i="5"/>
  <c r="I1044" i="5"/>
  <c r="H1044" i="5"/>
  <c r="G1044" i="5"/>
  <c r="F1044" i="5"/>
  <c r="N1041" i="5"/>
  <c r="M1041" i="5"/>
  <c r="L1041" i="5"/>
  <c r="K1041" i="5"/>
  <c r="J1041" i="5"/>
  <c r="I1041" i="5"/>
  <c r="H1041" i="5"/>
  <c r="G1041" i="5"/>
  <c r="F1041" i="5"/>
  <c r="N1038" i="5"/>
  <c r="M1038" i="5"/>
  <c r="L1038" i="5"/>
  <c r="K1038" i="5"/>
  <c r="J1038" i="5"/>
  <c r="I1038" i="5"/>
  <c r="H1038" i="5"/>
  <c r="G1038" i="5"/>
  <c r="F1038" i="5"/>
  <c r="N1035" i="5"/>
  <c r="M1035" i="5"/>
  <c r="L1035" i="5"/>
  <c r="K1035" i="5"/>
  <c r="J1035" i="5"/>
  <c r="I1035" i="5"/>
  <c r="H1035" i="5"/>
  <c r="G1035" i="5"/>
  <c r="F1035" i="5"/>
  <c r="N1032" i="5"/>
  <c r="M1032" i="5"/>
  <c r="L1032" i="5"/>
  <c r="K1032" i="5"/>
  <c r="J1032" i="5"/>
  <c r="I1032" i="5"/>
  <c r="H1032" i="5"/>
  <c r="G1032" i="5"/>
  <c r="F1032" i="5"/>
  <c r="N1029" i="5"/>
  <c r="M1029" i="5"/>
  <c r="L1029" i="5"/>
  <c r="K1029" i="5"/>
  <c r="J1029" i="5"/>
  <c r="I1029" i="5"/>
  <c r="H1029" i="5"/>
  <c r="G1029" i="5"/>
  <c r="F1029" i="5"/>
  <c r="P1027" i="5"/>
  <c r="N1026" i="5"/>
  <c r="M1026" i="5"/>
  <c r="L1026" i="5"/>
  <c r="K1026" i="5"/>
  <c r="J1026" i="5"/>
  <c r="I1026" i="5"/>
  <c r="H1026" i="5"/>
  <c r="G1026" i="5"/>
  <c r="F1026" i="5"/>
  <c r="N1023" i="5"/>
  <c r="M1023" i="5"/>
  <c r="L1023" i="5"/>
  <c r="K1023" i="5"/>
  <c r="J1023" i="5"/>
  <c r="I1023" i="5"/>
  <c r="H1023" i="5"/>
  <c r="G1023" i="5"/>
  <c r="F1023" i="5"/>
  <c r="N1020" i="5"/>
  <c r="M1020" i="5"/>
  <c r="L1020" i="5"/>
  <c r="K1020" i="5"/>
  <c r="J1020" i="5"/>
  <c r="I1020" i="5"/>
  <c r="P1018" i="5" s="1"/>
  <c r="H1020" i="5"/>
  <c r="G1020" i="5"/>
  <c r="F1020" i="5"/>
  <c r="N1017" i="5"/>
  <c r="M1017" i="5"/>
  <c r="L1017" i="5"/>
  <c r="K1017" i="5"/>
  <c r="J1017" i="5"/>
  <c r="I1017" i="5"/>
  <c r="H1017" i="5"/>
  <c r="G1017" i="5"/>
  <c r="S1015" i="5" s="1"/>
  <c r="F1017" i="5"/>
  <c r="N1014" i="5"/>
  <c r="M1014" i="5"/>
  <c r="L1014" i="5"/>
  <c r="K1014" i="5"/>
  <c r="J1014" i="5"/>
  <c r="I1014" i="5"/>
  <c r="H1014" i="5"/>
  <c r="O1012" i="5" s="1"/>
  <c r="G1014" i="5"/>
  <c r="F1014" i="5"/>
  <c r="N1011" i="5"/>
  <c r="M1011" i="5"/>
  <c r="L1011" i="5"/>
  <c r="K1011" i="5"/>
  <c r="J1011" i="5"/>
  <c r="I1011" i="5"/>
  <c r="H1011" i="5"/>
  <c r="G1011" i="5"/>
  <c r="F1011" i="5"/>
  <c r="N1008" i="5"/>
  <c r="M1008" i="5"/>
  <c r="L1008" i="5"/>
  <c r="K1008" i="5"/>
  <c r="J1008" i="5"/>
  <c r="I1008" i="5"/>
  <c r="H1008" i="5"/>
  <c r="G1008" i="5"/>
  <c r="F1008" i="5"/>
  <c r="S1006" i="5" s="1"/>
  <c r="N1005" i="5"/>
  <c r="M1005" i="5"/>
  <c r="L1005" i="5"/>
  <c r="K1005" i="5"/>
  <c r="J1005" i="5"/>
  <c r="I1005" i="5"/>
  <c r="H1005" i="5"/>
  <c r="G1005" i="5"/>
  <c r="F1005" i="5"/>
  <c r="N1002" i="5"/>
  <c r="M1002" i="5"/>
  <c r="L1002" i="5"/>
  <c r="K1002" i="5"/>
  <c r="J1002" i="5"/>
  <c r="I1002" i="5"/>
  <c r="H1002" i="5"/>
  <c r="G1002" i="5"/>
  <c r="F1002" i="5"/>
  <c r="S1000" i="5" s="1"/>
  <c r="N999" i="5"/>
  <c r="M999" i="5"/>
  <c r="L999" i="5"/>
  <c r="K999" i="5"/>
  <c r="J999" i="5"/>
  <c r="I999" i="5"/>
  <c r="H999" i="5"/>
  <c r="G999" i="5"/>
  <c r="P997" i="5" s="1"/>
  <c r="F999" i="5"/>
  <c r="N996" i="5"/>
  <c r="M996" i="5"/>
  <c r="L996" i="5"/>
  <c r="K996" i="5"/>
  <c r="J996" i="5"/>
  <c r="I996" i="5"/>
  <c r="H996" i="5"/>
  <c r="P994" i="5" s="1"/>
  <c r="G996" i="5"/>
  <c r="F996" i="5"/>
  <c r="N993" i="5"/>
  <c r="M993" i="5"/>
  <c r="L993" i="5"/>
  <c r="K993" i="5"/>
  <c r="J993" i="5"/>
  <c r="I993" i="5"/>
  <c r="H993" i="5"/>
  <c r="G993" i="5"/>
  <c r="F993" i="5"/>
  <c r="N990" i="5"/>
  <c r="M990" i="5"/>
  <c r="L990" i="5"/>
  <c r="K990" i="5"/>
  <c r="J990" i="5"/>
  <c r="I990" i="5"/>
  <c r="H990" i="5"/>
  <c r="G990" i="5"/>
  <c r="F990" i="5"/>
  <c r="N987" i="5"/>
  <c r="M987" i="5"/>
  <c r="L987" i="5"/>
  <c r="K987" i="5"/>
  <c r="J987" i="5"/>
  <c r="I987" i="5"/>
  <c r="H987" i="5"/>
  <c r="G987" i="5"/>
  <c r="F987" i="5"/>
  <c r="N984" i="5"/>
  <c r="M984" i="5"/>
  <c r="L984" i="5"/>
  <c r="K984" i="5"/>
  <c r="J984" i="5"/>
  <c r="I984" i="5"/>
  <c r="H984" i="5"/>
  <c r="G984" i="5"/>
  <c r="F984" i="5"/>
  <c r="N981" i="5"/>
  <c r="M981" i="5"/>
  <c r="L981" i="5"/>
  <c r="K981" i="5"/>
  <c r="J981" i="5"/>
  <c r="I981" i="5"/>
  <c r="H981" i="5"/>
  <c r="G981" i="5"/>
  <c r="F981" i="5"/>
  <c r="N978" i="5"/>
  <c r="M978" i="5"/>
  <c r="L978" i="5"/>
  <c r="K978" i="5"/>
  <c r="J978" i="5"/>
  <c r="I978" i="5"/>
  <c r="H978" i="5"/>
  <c r="G978" i="5"/>
  <c r="F978" i="5"/>
  <c r="N975" i="5"/>
  <c r="M975" i="5"/>
  <c r="L975" i="5"/>
  <c r="K975" i="5"/>
  <c r="J975" i="5"/>
  <c r="I975" i="5"/>
  <c r="H975" i="5"/>
  <c r="G975" i="5"/>
  <c r="F975" i="5"/>
  <c r="N972" i="5"/>
  <c r="M972" i="5"/>
  <c r="L972" i="5"/>
  <c r="K972" i="5"/>
  <c r="J972" i="5"/>
  <c r="I972" i="5"/>
  <c r="H972" i="5"/>
  <c r="G972" i="5"/>
  <c r="F972" i="5"/>
  <c r="N969" i="5"/>
  <c r="M969" i="5"/>
  <c r="L969" i="5"/>
  <c r="K969" i="5"/>
  <c r="J969" i="5"/>
  <c r="I969" i="5"/>
  <c r="S967" i="5" s="1"/>
  <c r="H969" i="5"/>
  <c r="G969" i="5"/>
  <c r="F969" i="5"/>
  <c r="N966" i="5"/>
  <c r="M966" i="5"/>
  <c r="L966" i="5"/>
  <c r="K966" i="5"/>
  <c r="J966" i="5"/>
  <c r="I966" i="5"/>
  <c r="H966" i="5"/>
  <c r="G966" i="5"/>
  <c r="O964" i="5" s="1"/>
  <c r="F966" i="5"/>
  <c r="N963" i="5"/>
  <c r="M963" i="5"/>
  <c r="L963" i="5"/>
  <c r="K963" i="5"/>
  <c r="J963" i="5"/>
  <c r="I963" i="5"/>
  <c r="H963" i="5"/>
  <c r="Q961" i="5" s="1"/>
  <c r="G963" i="5"/>
  <c r="F963" i="5"/>
  <c r="N960" i="5"/>
  <c r="M960" i="5"/>
  <c r="L960" i="5"/>
  <c r="K960" i="5"/>
  <c r="J960" i="5"/>
  <c r="I960" i="5"/>
  <c r="H960" i="5"/>
  <c r="G960" i="5"/>
  <c r="F960" i="5"/>
  <c r="N957" i="5"/>
  <c r="M957" i="5"/>
  <c r="L957" i="5"/>
  <c r="K957" i="5"/>
  <c r="J957" i="5"/>
  <c r="I957" i="5"/>
  <c r="H957" i="5"/>
  <c r="G957" i="5"/>
  <c r="F957" i="5"/>
  <c r="S955" i="5" s="1"/>
  <c r="N954" i="5"/>
  <c r="M954" i="5"/>
  <c r="L954" i="5"/>
  <c r="K954" i="5"/>
  <c r="J954" i="5"/>
  <c r="I954" i="5"/>
  <c r="H954" i="5"/>
  <c r="G954" i="5"/>
  <c r="F954" i="5"/>
  <c r="N951" i="5"/>
  <c r="M951" i="5"/>
  <c r="L951" i="5"/>
  <c r="K951" i="5"/>
  <c r="J951" i="5"/>
  <c r="I951" i="5"/>
  <c r="H951" i="5"/>
  <c r="G951" i="5"/>
  <c r="F951" i="5"/>
  <c r="N948" i="5"/>
  <c r="M948" i="5"/>
  <c r="L948" i="5"/>
  <c r="K948" i="5"/>
  <c r="J948" i="5"/>
  <c r="I948" i="5"/>
  <c r="H948" i="5"/>
  <c r="G948" i="5"/>
  <c r="F948" i="5"/>
  <c r="N945" i="5"/>
  <c r="M945" i="5"/>
  <c r="L945" i="5"/>
  <c r="K945" i="5"/>
  <c r="J945" i="5"/>
  <c r="I945" i="5"/>
  <c r="H945" i="5"/>
  <c r="G945" i="5"/>
  <c r="F945" i="5"/>
  <c r="N942" i="5"/>
  <c r="M942" i="5"/>
  <c r="L942" i="5"/>
  <c r="K942" i="5"/>
  <c r="J942" i="5"/>
  <c r="I942" i="5"/>
  <c r="H942" i="5"/>
  <c r="G942" i="5"/>
  <c r="F942" i="5"/>
  <c r="N939" i="5"/>
  <c r="M939" i="5"/>
  <c r="L939" i="5"/>
  <c r="K939" i="5"/>
  <c r="J939" i="5"/>
  <c r="I939" i="5"/>
  <c r="H939" i="5"/>
  <c r="G939" i="5"/>
  <c r="F939" i="5"/>
  <c r="N936" i="5"/>
  <c r="M936" i="5"/>
  <c r="L936" i="5"/>
  <c r="K936" i="5"/>
  <c r="J936" i="5"/>
  <c r="I936" i="5"/>
  <c r="H936" i="5"/>
  <c r="G936" i="5"/>
  <c r="F936" i="5"/>
  <c r="N933" i="5"/>
  <c r="M933" i="5"/>
  <c r="L933" i="5"/>
  <c r="K933" i="5"/>
  <c r="J933" i="5"/>
  <c r="I933" i="5"/>
  <c r="H933" i="5"/>
  <c r="G933" i="5"/>
  <c r="F933" i="5"/>
  <c r="N930" i="5"/>
  <c r="M930" i="5"/>
  <c r="L930" i="5"/>
  <c r="K930" i="5"/>
  <c r="J930" i="5"/>
  <c r="I930" i="5"/>
  <c r="H930" i="5"/>
  <c r="G930" i="5"/>
  <c r="F930" i="5"/>
  <c r="N927" i="5"/>
  <c r="M927" i="5"/>
  <c r="L927" i="5"/>
  <c r="K927" i="5"/>
  <c r="J927" i="5"/>
  <c r="I927" i="5"/>
  <c r="H927" i="5"/>
  <c r="G927" i="5"/>
  <c r="F927" i="5"/>
  <c r="N924" i="5"/>
  <c r="M924" i="5"/>
  <c r="L924" i="5"/>
  <c r="K924" i="5"/>
  <c r="J924" i="5"/>
  <c r="I924" i="5"/>
  <c r="H924" i="5"/>
  <c r="G924" i="5"/>
  <c r="F924" i="5"/>
  <c r="P922" i="5" s="1"/>
  <c r="N921" i="5"/>
  <c r="M921" i="5"/>
  <c r="L921" i="5"/>
  <c r="K921" i="5"/>
  <c r="J921" i="5"/>
  <c r="I921" i="5"/>
  <c r="H921" i="5"/>
  <c r="G921" i="5"/>
  <c r="F921" i="5"/>
  <c r="N918" i="5"/>
  <c r="M918" i="5"/>
  <c r="L918" i="5"/>
  <c r="K918" i="5"/>
  <c r="J918" i="5"/>
  <c r="I918" i="5"/>
  <c r="H918" i="5"/>
  <c r="G918" i="5"/>
  <c r="F918" i="5"/>
  <c r="O916" i="5" s="1"/>
  <c r="N915" i="5"/>
  <c r="M915" i="5"/>
  <c r="L915" i="5"/>
  <c r="K915" i="5"/>
  <c r="J915" i="5"/>
  <c r="I915" i="5"/>
  <c r="H915" i="5"/>
  <c r="G915" i="5"/>
  <c r="F915" i="5"/>
  <c r="N912" i="5"/>
  <c r="M912" i="5"/>
  <c r="L912" i="5"/>
  <c r="K912" i="5"/>
  <c r="J912" i="5"/>
  <c r="I912" i="5"/>
  <c r="S910" i="5" s="1"/>
  <c r="H912" i="5"/>
  <c r="G912" i="5"/>
  <c r="F912" i="5"/>
  <c r="N909" i="5"/>
  <c r="M909" i="5"/>
  <c r="L909" i="5"/>
  <c r="K909" i="5"/>
  <c r="J909" i="5"/>
  <c r="I909" i="5"/>
  <c r="H909" i="5"/>
  <c r="G909" i="5"/>
  <c r="F909" i="5"/>
  <c r="N906" i="5"/>
  <c r="M906" i="5"/>
  <c r="L906" i="5"/>
  <c r="K906" i="5"/>
  <c r="J906" i="5"/>
  <c r="I906" i="5"/>
  <c r="H906" i="5"/>
  <c r="G906" i="5"/>
  <c r="F906" i="5"/>
  <c r="N903" i="5"/>
  <c r="M903" i="5"/>
  <c r="L903" i="5"/>
  <c r="K903" i="5"/>
  <c r="J903" i="5"/>
  <c r="I903" i="5"/>
  <c r="H903" i="5"/>
  <c r="G903" i="5"/>
  <c r="F903" i="5"/>
  <c r="N900" i="5"/>
  <c r="M900" i="5"/>
  <c r="L900" i="5"/>
  <c r="K900" i="5"/>
  <c r="J900" i="5"/>
  <c r="I900" i="5"/>
  <c r="H900" i="5"/>
  <c r="G900" i="5"/>
  <c r="F900" i="5"/>
  <c r="S898" i="5" s="1"/>
  <c r="N897" i="5"/>
  <c r="M897" i="5"/>
  <c r="L897" i="5"/>
  <c r="K897" i="5"/>
  <c r="J897" i="5"/>
  <c r="I897" i="5"/>
  <c r="H897" i="5"/>
  <c r="G897" i="5"/>
  <c r="F897" i="5"/>
  <c r="N894" i="5"/>
  <c r="M894" i="5"/>
  <c r="L894" i="5"/>
  <c r="K894" i="5"/>
  <c r="J894" i="5"/>
  <c r="I894" i="5"/>
  <c r="H894" i="5"/>
  <c r="G894" i="5"/>
  <c r="F894" i="5"/>
  <c r="N891" i="5"/>
  <c r="M891" i="5"/>
  <c r="L891" i="5"/>
  <c r="K891" i="5"/>
  <c r="J891" i="5"/>
  <c r="I891" i="5"/>
  <c r="H891" i="5"/>
  <c r="G891" i="5"/>
  <c r="F891" i="5"/>
  <c r="N888" i="5"/>
  <c r="M888" i="5"/>
  <c r="L888" i="5"/>
  <c r="K888" i="5"/>
  <c r="J888" i="5"/>
  <c r="I888" i="5"/>
  <c r="H888" i="5"/>
  <c r="G888" i="5"/>
  <c r="F888" i="5"/>
  <c r="N885" i="5"/>
  <c r="M885" i="5"/>
  <c r="L885" i="5"/>
  <c r="K885" i="5"/>
  <c r="J885" i="5"/>
  <c r="I885" i="5"/>
  <c r="H885" i="5"/>
  <c r="Q883" i="5" s="1"/>
  <c r="G885" i="5"/>
  <c r="F885" i="5"/>
  <c r="N882" i="5"/>
  <c r="M882" i="5"/>
  <c r="L882" i="5"/>
  <c r="K882" i="5"/>
  <c r="J882" i="5"/>
  <c r="I882" i="5"/>
  <c r="H882" i="5"/>
  <c r="G882" i="5"/>
  <c r="F882" i="5"/>
  <c r="N879" i="5"/>
  <c r="M879" i="5"/>
  <c r="L879" i="5"/>
  <c r="K879" i="5"/>
  <c r="J879" i="5"/>
  <c r="I879" i="5"/>
  <c r="H879" i="5"/>
  <c r="G879" i="5"/>
  <c r="F879" i="5"/>
  <c r="N876" i="5"/>
  <c r="M876" i="5"/>
  <c r="L876" i="5"/>
  <c r="K876" i="5"/>
  <c r="J876" i="5"/>
  <c r="I876" i="5"/>
  <c r="H876" i="5"/>
  <c r="G876" i="5"/>
  <c r="F876" i="5"/>
  <c r="N873" i="5"/>
  <c r="M873" i="5"/>
  <c r="L873" i="5"/>
  <c r="K873" i="5"/>
  <c r="J873" i="5"/>
  <c r="I873" i="5"/>
  <c r="H873" i="5"/>
  <c r="P871" i="5" s="1"/>
  <c r="G873" i="5"/>
  <c r="F873" i="5"/>
  <c r="N870" i="5"/>
  <c r="M870" i="5"/>
  <c r="L870" i="5"/>
  <c r="K870" i="5"/>
  <c r="J870" i="5"/>
  <c r="I870" i="5"/>
  <c r="H870" i="5"/>
  <c r="G870" i="5"/>
  <c r="F870" i="5"/>
  <c r="N867" i="5"/>
  <c r="M867" i="5"/>
  <c r="L867" i="5"/>
  <c r="K867" i="5"/>
  <c r="J867" i="5"/>
  <c r="I867" i="5"/>
  <c r="H867" i="5"/>
  <c r="G867" i="5"/>
  <c r="F867" i="5"/>
  <c r="N864" i="5"/>
  <c r="M864" i="5"/>
  <c r="L864" i="5"/>
  <c r="K864" i="5"/>
  <c r="J864" i="5"/>
  <c r="I864" i="5"/>
  <c r="H864" i="5"/>
  <c r="G864" i="5"/>
  <c r="F864" i="5"/>
  <c r="N861" i="5"/>
  <c r="M861" i="5"/>
  <c r="L861" i="5"/>
  <c r="K861" i="5"/>
  <c r="J861" i="5"/>
  <c r="I861" i="5"/>
  <c r="H861" i="5"/>
  <c r="G861" i="5"/>
  <c r="F861" i="5"/>
  <c r="N858" i="5"/>
  <c r="M858" i="5"/>
  <c r="L858" i="5"/>
  <c r="K858" i="5"/>
  <c r="J858" i="5"/>
  <c r="I858" i="5"/>
  <c r="H858" i="5"/>
  <c r="G858" i="5"/>
  <c r="F858" i="5"/>
  <c r="N855" i="5"/>
  <c r="M855" i="5"/>
  <c r="L855" i="5"/>
  <c r="K855" i="5"/>
  <c r="J855" i="5"/>
  <c r="I855" i="5"/>
  <c r="H855" i="5"/>
  <c r="G855" i="5"/>
  <c r="F855" i="5"/>
  <c r="N852" i="5"/>
  <c r="M852" i="5"/>
  <c r="L852" i="5"/>
  <c r="K852" i="5"/>
  <c r="J852" i="5"/>
  <c r="I852" i="5"/>
  <c r="H852" i="5"/>
  <c r="G852" i="5"/>
  <c r="F852" i="5"/>
  <c r="N849" i="5"/>
  <c r="M849" i="5"/>
  <c r="L849" i="5"/>
  <c r="K849" i="5"/>
  <c r="J849" i="5"/>
  <c r="I849" i="5"/>
  <c r="H849" i="5"/>
  <c r="G849" i="5"/>
  <c r="F849" i="5"/>
  <c r="N846" i="5"/>
  <c r="M846" i="5"/>
  <c r="L846" i="5"/>
  <c r="K846" i="5"/>
  <c r="J846" i="5"/>
  <c r="I846" i="5"/>
  <c r="H846" i="5"/>
  <c r="G846" i="5"/>
  <c r="F846" i="5"/>
  <c r="N843" i="5"/>
  <c r="M843" i="5"/>
  <c r="L843" i="5"/>
  <c r="K843" i="5"/>
  <c r="J843" i="5"/>
  <c r="I843" i="5"/>
  <c r="H843" i="5"/>
  <c r="G843" i="5"/>
  <c r="F843" i="5"/>
  <c r="N840" i="5"/>
  <c r="M840" i="5"/>
  <c r="L840" i="5"/>
  <c r="K840" i="5"/>
  <c r="J840" i="5"/>
  <c r="I840" i="5"/>
  <c r="H840" i="5"/>
  <c r="G840" i="5"/>
  <c r="F840" i="5"/>
  <c r="N837" i="5"/>
  <c r="M837" i="5"/>
  <c r="L837" i="5"/>
  <c r="K837" i="5"/>
  <c r="J837" i="5"/>
  <c r="I837" i="5"/>
  <c r="H837" i="5"/>
  <c r="G837" i="5"/>
  <c r="F837" i="5"/>
  <c r="N834" i="5"/>
  <c r="M834" i="5"/>
  <c r="L834" i="5"/>
  <c r="K834" i="5"/>
  <c r="J834" i="5"/>
  <c r="I834" i="5"/>
  <c r="H834" i="5"/>
  <c r="G834" i="5"/>
  <c r="F834" i="5"/>
  <c r="O832" i="5"/>
  <c r="N831" i="5"/>
  <c r="M831" i="5"/>
  <c r="L831" i="5"/>
  <c r="K831" i="5"/>
  <c r="J831" i="5"/>
  <c r="I831" i="5"/>
  <c r="H831" i="5"/>
  <c r="G831" i="5"/>
  <c r="Q829" i="5" s="1"/>
  <c r="F831" i="5"/>
  <c r="N828" i="5"/>
  <c r="M828" i="5"/>
  <c r="L828" i="5"/>
  <c r="K828" i="5"/>
  <c r="J828" i="5"/>
  <c r="I828" i="5"/>
  <c r="H828" i="5"/>
  <c r="Q826" i="5" s="1"/>
  <c r="G828" i="5"/>
  <c r="F828" i="5"/>
  <c r="N825" i="5"/>
  <c r="M825" i="5"/>
  <c r="L825" i="5"/>
  <c r="K825" i="5"/>
  <c r="J825" i="5"/>
  <c r="I825" i="5"/>
  <c r="H825" i="5"/>
  <c r="G825" i="5"/>
  <c r="F825" i="5"/>
  <c r="N822" i="5"/>
  <c r="M822" i="5"/>
  <c r="L822" i="5"/>
  <c r="K822" i="5"/>
  <c r="J822" i="5"/>
  <c r="I822" i="5"/>
  <c r="H822" i="5"/>
  <c r="G822" i="5"/>
  <c r="F822" i="5"/>
  <c r="N819" i="5"/>
  <c r="M819" i="5"/>
  <c r="L819" i="5"/>
  <c r="K819" i="5"/>
  <c r="J819" i="5"/>
  <c r="I819" i="5"/>
  <c r="H819" i="5"/>
  <c r="G819" i="5"/>
  <c r="Q817" i="5" s="1"/>
  <c r="F819" i="5"/>
  <c r="N816" i="5"/>
  <c r="M816" i="5"/>
  <c r="L816" i="5"/>
  <c r="K816" i="5"/>
  <c r="J816" i="5"/>
  <c r="I816" i="5"/>
  <c r="H816" i="5"/>
  <c r="G816" i="5"/>
  <c r="F816" i="5"/>
  <c r="N813" i="5"/>
  <c r="M813" i="5"/>
  <c r="L813" i="5"/>
  <c r="K813" i="5"/>
  <c r="J813" i="5"/>
  <c r="I813" i="5"/>
  <c r="H813" i="5"/>
  <c r="G813" i="5"/>
  <c r="F813" i="5"/>
  <c r="N810" i="5"/>
  <c r="M810" i="5"/>
  <c r="L810" i="5"/>
  <c r="K810" i="5"/>
  <c r="J810" i="5"/>
  <c r="I810" i="5"/>
  <c r="H810" i="5"/>
  <c r="G810" i="5"/>
  <c r="F810" i="5"/>
  <c r="O808" i="5" s="1"/>
  <c r="N807" i="5"/>
  <c r="M807" i="5"/>
  <c r="L807" i="5"/>
  <c r="K807" i="5"/>
  <c r="J807" i="5"/>
  <c r="I807" i="5"/>
  <c r="H807" i="5"/>
  <c r="G807" i="5"/>
  <c r="F807" i="5"/>
  <c r="N804" i="5"/>
  <c r="M804" i="5"/>
  <c r="L804" i="5"/>
  <c r="K804" i="5"/>
  <c r="J804" i="5"/>
  <c r="I804" i="5"/>
  <c r="H804" i="5"/>
  <c r="Q802" i="5" s="1"/>
  <c r="G804" i="5"/>
  <c r="F804" i="5"/>
  <c r="N801" i="5"/>
  <c r="M801" i="5"/>
  <c r="L801" i="5"/>
  <c r="K801" i="5"/>
  <c r="J801" i="5"/>
  <c r="I801" i="5"/>
  <c r="H801" i="5"/>
  <c r="G801" i="5"/>
  <c r="F801" i="5"/>
  <c r="N798" i="5"/>
  <c r="M798" i="5"/>
  <c r="L798" i="5"/>
  <c r="K798" i="5"/>
  <c r="J798" i="5"/>
  <c r="I798" i="5"/>
  <c r="H798" i="5"/>
  <c r="G798" i="5"/>
  <c r="F798" i="5"/>
  <c r="N795" i="5"/>
  <c r="M795" i="5"/>
  <c r="L795" i="5"/>
  <c r="K795" i="5"/>
  <c r="J795" i="5"/>
  <c r="I795" i="5"/>
  <c r="H795" i="5"/>
  <c r="G795" i="5"/>
  <c r="F795" i="5"/>
  <c r="N792" i="5"/>
  <c r="M792" i="5"/>
  <c r="L792" i="5"/>
  <c r="K792" i="5"/>
  <c r="J792" i="5"/>
  <c r="I792" i="5"/>
  <c r="H792" i="5"/>
  <c r="G792" i="5"/>
  <c r="F792" i="5"/>
  <c r="N789" i="5"/>
  <c r="M789" i="5"/>
  <c r="L789" i="5"/>
  <c r="K789" i="5"/>
  <c r="J789" i="5"/>
  <c r="I789" i="5"/>
  <c r="H789" i="5"/>
  <c r="G789" i="5"/>
  <c r="F789" i="5"/>
  <c r="N786" i="5"/>
  <c r="M786" i="5"/>
  <c r="L786" i="5"/>
  <c r="K786" i="5"/>
  <c r="J786" i="5"/>
  <c r="I786" i="5"/>
  <c r="H786" i="5"/>
  <c r="G786" i="5"/>
  <c r="F786" i="5"/>
  <c r="N783" i="5"/>
  <c r="M783" i="5"/>
  <c r="L783" i="5"/>
  <c r="K783" i="5"/>
  <c r="J783" i="5"/>
  <c r="I783" i="5"/>
  <c r="H783" i="5"/>
  <c r="G783" i="5"/>
  <c r="F783" i="5"/>
  <c r="N780" i="5"/>
  <c r="M780" i="5"/>
  <c r="L780" i="5"/>
  <c r="K780" i="5"/>
  <c r="J780" i="5"/>
  <c r="I780" i="5"/>
  <c r="H780" i="5"/>
  <c r="G780" i="5"/>
  <c r="F780" i="5"/>
  <c r="N777" i="5"/>
  <c r="M777" i="5"/>
  <c r="L777" i="5"/>
  <c r="K777" i="5"/>
  <c r="J777" i="5"/>
  <c r="I777" i="5"/>
  <c r="H777" i="5"/>
  <c r="G777" i="5"/>
  <c r="F777" i="5"/>
  <c r="N774" i="5"/>
  <c r="M774" i="5"/>
  <c r="L774" i="5"/>
  <c r="K774" i="5"/>
  <c r="J774" i="5"/>
  <c r="I774" i="5"/>
  <c r="H774" i="5"/>
  <c r="G774" i="5"/>
  <c r="F774" i="5"/>
  <c r="S772" i="5" s="1"/>
  <c r="N771" i="5"/>
  <c r="M771" i="5"/>
  <c r="L771" i="5"/>
  <c r="K771" i="5"/>
  <c r="J771" i="5"/>
  <c r="I771" i="5"/>
  <c r="H771" i="5"/>
  <c r="G771" i="5"/>
  <c r="F771" i="5"/>
  <c r="N768" i="5"/>
  <c r="M768" i="5"/>
  <c r="L768" i="5"/>
  <c r="K768" i="5"/>
  <c r="J768" i="5"/>
  <c r="I768" i="5"/>
  <c r="H768" i="5"/>
  <c r="G768" i="5"/>
  <c r="F768" i="5"/>
  <c r="N765" i="5"/>
  <c r="M765" i="5"/>
  <c r="L765" i="5"/>
  <c r="K765" i="5"/>
  <c r="J765" i="5"/>
  <c r="I765" i="5"/>
  <c r="H765" i="5"/>
  <c r="G765" i="5"/>
  <c r="F765" i="5"/>
  <c r="N762" i="5"/>
  <c r="M762" i="5"/>
  <c r="L762" i="5"/>
  <c r="K762" i="5"/>
  <c r="J762" i="5"/>
  <c r="I762" i="5"/>
  <c r="H762" i="5"/>
  <c r="G762" i="5"/>
  <c r="F762" i="5"/>
  <c r="N759" i="5"/>
  <c r="M759" i="5"/>
  <c r="L759" i="5"/>
  <c r="K759" i="5"/>
  <c r="J759" i="5"/>
  <c r="I759" i="5"/>
  <c r="H759" i="5"/>
  <c r="G759" i="5"/>
  <c r="F759" i="5"/>
  <c r="N756" i="5"/>
  <c r="Q754" i="5" s="1"/>
  <c r="M756" i="5"/>
  <c r="L756" i="5"/>
  <c r="K756" i="5"/>
  <c r="J756" i="5"/>
  <c r="I756" i="5"/>
  <c r="H756" i="5"/>
  <c r="G756" i="5"/>
  <c r="F756" i="5"/>
  <c r="N753" i="5"/>
  <c r="M753" i="5"/>
  <c r="L753" i="5"/>
  <c r="K753" i="5"/>
  <c r="J753" i="5"/>
  <c r="I753" i="5"/>
  <c r="H753" i="5"/>
  <c r="G753" i="5"/>
  <c r="F753" i="5"/>
  <c r="N750" i="5"/>
  <c r="M750" i="5"/>
  <c r="L750" i="5"/>
  <c r="K750" i="5"/>
  <c r="J750" i="5"/>
  <c r="I750" i="5"/>
  <c r="Q748" i="5" s="1"/>
  <c r="H750" i="5"/>
  <c r="G750" i="5"/>
  <c r="N747" i="5"/>
  <c r="M747" i="5"/>
  <c r="L747" i="5"/>
  <c r="K747" i="5"/>
  <c r="J747" i="5"/>
  <c r="I747" i="5"/>
  <c r="Q745" i="5" s="1"/>
  <c r="H747" i="5"/>
  <c r="G747" i="5"/>
  <c r="N744" i="5"/>
  <c r="M744" i="5"/>
  <c r="L744" i="5"/>
  <c r="K744" i="5"/>
  <c r="J744" i="5"/>
  <c r="I744" i="5"/>
  <c r="H744" i="5"/>
  <c r="G744" i="5"/>
  <c r="F744" i="5"/>
  <c r="N741" i="5"/>
  <c r="M741" i="5"/>
  <c r="L741" i="5"/>
  <c r="K741" i="5"/>
  <c r="J741" i="5"/>
  <c r="I741" i="5"/>
  <c r="H741" i="5"/>
  <c r="G741" i="5"/>
  <c r="F741" i="5"/>
  <c r="N738" i="5"/>
  <c r="M738" i="5"/>
  <c r="L738" i="5"/>
  <c r="K738" i="5"/>
  <c r="J738" i="5"/>
  <c r="I738" i="5"/>
  <c r="H738" i="5"/>
  <c r="G738" i="5"/>
  <c r="F738" i="5"/>
  <c r="N735" i="5"/>
  <c r="M735" i="5"/>
  <c r="L735" i="5"/>
  <c r="K735" i="5"/>
  <c r="J735" i="5"/>
  <c r="I735" i="5"/>
  <c r="Q733" i="5" s="1"/>
  <c r="H735" i="5"/>
  <c r="G735" i="5"/>
  <c r="F735" i="5"/>
  <c r="N732" i="5"/>
  <c r="M732" i="5"/>
  <c r="L732" i="5"/>
  <c r="K732" i="5"/>
  <c r="J732" i="5"/>
  <c r="I732" i="5"/>
  <c r="H732" i="5"/>
  <c r="G732" i="5"/>
  <c r="F732" i="5"/>
  <c r="N729" i="5"/>
  <c r="M729" i="5"/>
  <c r="L729" i="5"/>
  <c r="K729" i="5"/>
  <c r="J729" i="5"/>
  <c r="I729" i="5"/>
  <c r="H729" i="5"/>
  <c r="S727" i="5" s="1"/>
  <c r="G729" i="5"/>
  <c r="F729" i="5"/>
  <c r="N726" i="5"/>
  <c r="M726" i="5"/>
  <c r="L726" i="5"/>
  <c r="K726" i="5"/>
  <c r="J726" i="5"/>
  <c r="I726" i="5"/>
  <c r="H726" i="5"/>
  <c r="G726" i="5"/>
  <c r="F726" i="5"/>
  <c r="N723" i="5"/>
  <c r="M723" i="5"/>
  <c r="L723" i="5"/>
  <c r="K723" i="5"/>
  <c r="J723" i="5"/>
  <c r="I723" i="5"/>
  <c r="H723" i="5"/>
  <c r="G723" i="5"/>
  <c r="F723" i="5"/>
  <c r="Q721" i="5" s="1"/>
  <c r="N720" i="5"/>
  <c r="M720" i="5"/>
  <c r="L720" i="5"/>
  <c r="K720" i="5"/>
  <c r="J720" i="5"/>
  <c r="I720" i="5"/>
  <c r="H720" i="5"/>
  <c r="G720" i="5"/>
  <c r="F720" i="5"/>
  <c r="N717" i="5"/>
  <c r="M717" i="5"/>
  <c r="L717" i="5"/>
  <c r="K717" i="5"/>
  <c r="J717" i="5"/>
  <c r="I717" i="5"/>
  <c r="H717" i="5"/>
  <c r="G717" i="5"/>
  <c r="F717" i="5"/>
  <c r="N714" i="5"/>
  <c r="M714" i="5"/>
  <c r="L714" i="5"/>
  <c r="K714" i="5"/>
  <c r="J714" i="5"/>
  <c r="I714" i="5"/>
  <c r="H714" i="5"/>
  <c r="G714" i="5"/>
  <c r="F714" i="5"/>
  <c r="N711" i="5"/>
  <c r="M711" i="5"/>
  <c r="L711" i="5"/>
  <c r="K711" i="5"/>
  <c r="J711" i="5"/>
  <c r="I711" i="5"/>
  <c r="H711" i="5"/>
  <c r="G711" i="5"/>
  <c r="F711" i="5"/>
  <c r="N708" i="5"/>
  <c r="M708" i="5"/>
  <c r="L708" i="5"/>
  <c r="K708" i="5"/>
  <c r="J708" i="5"/>
  <c r="I708" i="5"/>
  <c r="H708" i="5"/>
  <c r="G708" i="5"/>
  <c r="F708" i="5"/>
  <c r="N705" i="5"/>
  <c r="M705" i="5"/>
  <c r="L705" i="5"/>
  <c r="K705" i="5"/>
  <c r="J705" i="5"/>
  <c r="I705" i="5"/>
  <c r="H705" i="5"/>
  <c r="G705" i="5"/>
  <c r="F705" i="5"/>
  <c r="S703" i="5" s="1"/>
  <c r="N702" i="5"/>
  <c r="M702" i="5"/>
  <c r="L702" i="5"/>
  <c r="K702" i="5"/>
  <c r="J702" i="5"/>
  <c r="I702" i="5"/>
  <c r="H702" i="5"/>
  <c r="G702" i="5"/>
  <c r="F702" i="5"/>
  <c r="N699" i="5"/>
  <c r="M699" i="5"/>
  <c r="L699" i="5"/>
  <c r="K699" i="5"/>
  <c r="J699" i="5"/>
  <c r="I699" i="5"/>
  <c r="H699" i="5"/>
  <c r="G699" i="5"/>
  <c r="F699" i="5"/>
  <c r="Q697" i="5"/>
  <c r="N696" i="5"/>
  <c r="M696" i="5"/>
  <c r="L696" i="5"/>
  <c r="K696" i="5"/>
  <c r="J696" i="5"/>
  <c r="I696" i="5"/>
  <c r="H696" i="5"/>
  <c r="G696" i="5"/>
  <c r="F696" i="5"/>
  <c r="N693" i="5"/>
  <c r="M693" i="5"/>
  <c r="L693" i="5"/>
  <c r="K693" i="5"/>
  <c r="J693" i="5"/>
  <c r="I693" i="5"/>
  <c r="H693" i="5"/>
  <c r="G693" i="5"/>
  <c r="F693" i="5"/>
  <c r="N690" i="5"/>
  <c r="M690" i="5"/>
  <c r="L690" i="5"/>
  <c r="K690" i="5"/>
  <c r="J690" i="5"/>
  <c r="I690" i="5"/>
  <c r="H690" i="5"/>
  <c r="G690" i="5"/>
  <c r="F690" i="5"/>
  <c r="N687" i="5"/>
  <c r="M687" i="5"/>
  <c r="L687" i="5"/>
  <c r="K687" i="5"/>
  <c r="J687" i="5"/>
  <c r="I687" i="5"/>
  <c r="H687" i="5"/>
  <c r="G687" i="5"/>
  <c r="F687" i="5"/>
  <c r="P685" i="5" s="1"/>
  <c r="N684" i="5"/>
  <c r="M684" i="5"/>
  <c r="L684" i="5"/>
  <c r="K684" i="5"/>
  <c r="J684" i="5"/>
  <c r="I684" i="5"/>
  <c r="H684" i="5"/>
  <c r="G684" i="5"/>
  <c r="F684" i="5"/>
  <c r="N681" i="5"/>
  <c r="M681" i="5"/>
  <c r="L681" i="5"/>
  <c r="K681" i="5"/>
  <c r="J681" i="5"/>
  <c r="I681" i="5"/>
  <c r="H681" i="5"/>
  <c r="S679" i="5" s="1"/>
  <c r="G681" i="5"/>
  <c r="F681" i="5"/>
  <c r="N678" i="5"/>
  <c r="M678" i="5"/>
  <c r="L678" i="5"/>
  <c r="K678" i="5"/>
  <c r="J678" i="5"/>
  <c r="I678" i="5"/>
  <c r="H678" i="5"/>
  <c r="G678" i="5"/>
  <c r="F678" i="5"/>
  <c r="S676" i="5" s="1"/>
  <c r="N675" i="5"/>
  <c r="M675" i="5"/>
  <c r="L675" i="5"/>
  <c r="K675" i="5"/>
  <c r="J675" i="5"/>
  <c r="I675" i="5"/>
  <c r="H675" i="5"/>
  <c r="G675" i="5"/>
  <c r="Q673" i="5" s="1"/>
  <c r="F675" i="5"/>
  <c r="N672" i="5"/>
  <c r="M672" i="5"/>
  <c r="L672" i="5"/>
  <c r="K672" i="5"/>
  <c r="J672" i="5"/>
  <c r="I672" i="5"/>
  <c r="H672" i="5"/>
  <c r="G672" i="5"/>
  <c r="F672" i="5"/>
  <c r="N669" i="5"/>
  <c r="M669" i="5"/>
  <c r="L669" i="5"/>
  <c r="K669" i="5"/>
  <c r="J669" i="5"/>
  <c r="I669" i="5"/>
  <c r="H669" i="5"/>
  <c r="G669" i="5"/>
  <c r="F669" i="5"/>
  <c r="N666" i="5"/>
  <c r="M666" i="5"/>
  <c r="L666" i="5"/>
  <c r="K666" i="5"/>
  <c r="J666" i="5"/>
  <c r="I666" i="5"/>
  <c r="H666" i="5"/>
  <c r="G666" i="5"/>
  <c r="F666" i="5"/>
  <c r="N663" i="5"/>
  <c r="M663" i="5"/>
  <c r="L663" i="5"/>
  <c r="K663" i="5"/>
  <c r="J663" i="5"/>
  <c r="I663" i="5"/>
  <c r="H663" i="5"/>
  <c r="G663" i="5"/>
  <c r="F663" i="5"/>
  <c r="N660" i="5"/>
  <c r="M660" i="5"/>
  <c r="L660" i="5"/>
  <c r="K660" i="5"/>
  <c r="J660" i="5"/>
  <c r="I660" i="5"/>
  <c r="H660" i="5"/>
  <c r="P658" i="5" s="1"/>
  <c r="G660" i="5"/>
  <c r="F660" i="5"/>
  <c r="N657" i="5"/>
  <c r="M657" i="5"/>
  <c r="L657" i="5"/>
  <c r="K657" i="5"/>
  <c r="J657" i="5"/>
  <c r="I657" i="5"/>
  <c r="H657" i="5"/>
  <c r="G657" i="5"/>
  <c r="F657" i="5"/>
  <c r="N654" i="5"/>
  <c r="M654" i="5"/>
  <c r="L654" i="5"/>
  <c r="K654" i="5"/>
  <c r="J654" i="5"/>
  <c r="I654" i="5"/>
  <c r="H654" i="5"/>
  <c r="G654" i="5"/>
  <c r="F654" i="5"/>
  <c r="N651" i="5"/>
  <c r="M651" i="5"/>
  <c r="L651" i="5"/>
  <c r="K651" i="5"/>
  <c r="J651" i="5"/>
  <c r="I651" i="5"/>
  <c r="H651" i="5"/>
  <c r="G651" i="5"/>
  <c r="F651" i="5"/>
  <c r="N648" i="5"/>
  <c r="M648" i="5"/>
  <c r="L648" i="5"/>
  <c r="K648" i="5"/>
  <c r="J648" i="5"/>
  <c r="I648" i="5"/>
  <c r="H648" i="5"/>
  <c r="G648" i="5"/>
  <c r="F648" i="5"/>
  <c r="N645" i="5"/>
  <c r="M645" i="5"/>
  <c r="L645" i="5"/>
  <c r="K645" i="5"/>
  <c r="J645" i="5"/>
  <c r="I645" i="5"/>
  <c r="H645" i="5"/>
  <c r="G645" i="5"/>
  <c r="F645" i="5"/>
  <c r="S643" i="5" s="1"/>
  <c r="N642" i="5"/>
  <c r="M642" i="5"/>
  <c r="L642" i="5"/>
  <c r="K642" i="5"/>
  <c r="J642" i="5"/>
  <c r="I642" i="5"/>
  <c r="H642" i="5"/>
  <c r="G642" i="5"/>
  <c r="F642" i="5"/>
  <c r="N639" i="5"/>
  <c r="M639" i="5"/>
  <c r="Q637" i="5" s="1"/>
  <c r="L639" i="5"/>
  <c r="K639" i="5"/>
  <c r="J639" i="5"/>
  <c r="I639" i="5"/>
  <c r="H639" i="5"/>
  <c r="G639" i="5"/>
  <c r="F639" i="5"/>
  <c r="N636" i="5"/>
  <c r="M636" i="5"/>
  <c r="L636" i="5"/>
  <c r="K636" i="5"/>
  <c r="J636" i="5"/>
  <c r="I636" i="5"/>
  <c r="H636" i="5"/>
  <c r="G636" i="5"/>
  <c r="F636" i="5"/>
  <c r="N633" i="5"/>
  <c r="M633" i="5"/>
  <c r="L633" i="5"/>
  <c r="K633" i="5"/>
  <c r="J633" i="5"/>
  <c r="I633" i="5"/>
  <c r="H633" i="5"/>
  <c r="G633" i="5"/>
  <c r="F633" i="5"/>
  <c r="N630" i="5"/>
  <c r="M630" i="5"/>
  <c r="L630" i="5"/>
  <c r="K630" i="5"/>
  <c r="J630" i="5"/>
  <c r="I630" i="5"/>
  <c r="H630" i="5"/>
  <c r="G630" i="5"/>
  <c r="F630" i="5"/>
  <c r="N627" i="5"/>
  <c r="Q625" i="5" s="1"/>
  <c r="M627" i="5"/>
  <c r="L627" i="5"/>
  <c r="K627" i="5"/>
  <c r="J627" i="5"/>
  <c r="I627" i="5"/>
  <c r="H627" i="5"/>
  <c r="G627" i="5"/>
  <c r="F627" i="5"/>
  <c r="P625" i="5" s="1"/>
  <c r="N624" i="5"/>
  <c r="M624" i="5"/>
  <c r="L624" i="5"/>
  <c r="K624" i="5"/>
  <c r="J624" i="5"/>
  <c r="I624" i="5"/>
  <c r="H624" i="5"/>
  <c r="G624" i="5"/>
  <c r="F624" i="5"/>
  <c r="N621" i="5"/>
  <c r="M621" i="5"/>
  <c r="L621" i="5"/>
  <c r="K621" i="5"/>
  <c r="J621" i="5"/>
  <c r="I621" i="5"/>
  <c r="H621" i="5"/>
  <c r="G621" i="5"/>
  <c r="F621" i="5"/>
  <c r="N618" i="5"/>
  <c r="M618" i="5"/>
  <c r="L618" i="5"/>
  <c r="K618" i="5"/>
  <c r="J618" i="5"/>
  <c r="I618" i="5"/>
  <c r="H618" i="5"/>
  <c r="G618" i="5"/>
  <c r="F618" i="5"/>
  <c r="N615" i="5"/>
  <c r="M615" i="5"/>
  <c r="L615" i="5"/>
  <c r="K615" i="5"/>
  <c r="J615" i="5"/>
  <c r="I615" i="5"/>
  <c r="H615" i="5"/>
  <c r="G615" i="5"/>
  <c r="F615" i="5"/>
  <c r="N612" i="5"/>
  <c r="M612" i="5"/>
  <c r="L612" i="5"/>
  <c r="K612" i="5"/>
  <c r="J612" i="5"/>
  <c r="I612" i="5"/>
  <c r="H612" i="5"/>
  <c r="G612" i="5"/>
  <c r="F612" i="5"/>
  <c r="N609" i="5"/>
  <c r="M609" i="5"/>
  <c r="L609" i="5"/>
  <c r="K609" i="5"/>
  <c r="J609" i="5"/>
  <c r="I609" i="5"/>
  <c r="H609" i="5"/>
  <c r="G609" i="5"/>
  <c r="F609" i="5"/>
  <c r="N606" i="5"/>
  <c r="M606" i="5"/>
  <c r="L606" i="5"/>
  <c r="K606" i="5"/>
  <c r="J606" i="5"/>
  <c r="I606" i="5"/>
  <c r="H606" i="5"/>
  <c r="G606" i="5"/>
  <c r="F606" i="5"/>
  <c r="N603" i="5"/>
  <c r="Q601" i="5" s="1"/>
  <c r="M603" i="5"/>
  <c r="L603" i="5"/>
  <c r="K603" i="5"/>
  <c r="J603" i="5"/>
  <c r="I603" i="5"/>
  <c r="H603" i="5"/>
  <c r="G603" i="5"/>
  <c r="F603" i="5"/>
  <c r="P601" i="5" s="1"/>
  <c r="N600" i="5"/>
  <c r="M600" i="5"/>
  <c r="L600" i="5"/>
  <c r="K600" i="5"/>
  <c r="J600" i="5"/>
  <c r="I600" i="5"/>
  <c r="H600" i="5"/>
  <c r="G600" i="5"/>
  <c r="F600" i="5"/>
  <c r="N597" i="5"/>
  <c r="M597" i="5"/>
  <c r="L597" i="5"/>
  <c r="K597" i="5"/>
  <c r="J597" i="5"/>
  <c r="I597" i="5"/>
  <c r="H597" i="5"/>
  <c r="G597" i="5"/>
  <c r="F597" i="5"/>
  <c r="N594" i="5"/>
  <c r="M594" i="5"/>
  <c r="L594" i="5"/>
  <c r="K594" i="5"/>
  <c r="J594" i="5"/>
  <c r="I594" i="5"/>
  <c r="H594" i="5"/>
  <c r="G594" i="5"/>
  <c r="F594" i="5"/>
  <c r="N591" i="5"/>
  <c r="M591" i="5"/>
  <c r="L591" i="5"/>
  <c r="K591" i="5"/>
  <c r="J591" i="5"/>
  <c r="I591" i="5"/>
  <c r="H591" i="5"/>
  <c r="G591" i="5"/>
  <c r="F591" i="5"/>
  <c r="N588" i="5"/>
  <c r="M588" i="5"/>
  <c r="L588" i="5"/>
  <c r="K588" i="5"/>
  <c r="J588" i="5"/>
  <c r="I588" i="5"/>
  <c r="H588" i="5"/>
  <c r="G588" i="5"/>
  <c r="F588" i="5"/>
  <c r="N585" i="5"/>
  <c r="M585" i="5"/>
  <c r="L585" i="5"/>
  <c r="K585" i="5"/>
  <c r="J585" i="5"/>
  <c r="I585" i="5"/>
  <c r="H585" i="5"/>
  <c r="G585" i="5"/>
  <c r="F585" i="5"/>
  <c r="N582" i="5"/>
  <c r="M582" i="5"/>
  <c r="L582" i="5"/>
  <c r="K582" i="5"/>
  <c r="J582" i="5"/>
  <c r="I582" i="5"/>
  <c r="H582" i="5"/>
  <c r="G582" i="5"/>
  <c r="F582" i="5"/>
  <c r="N579" i="5"/>
  <c r="M579" i="5"/>
  <c r="L579" i="5"/>
  <c r="K579" i="5"/>
  <c r="J579" i="5"/>
  <c r="I579" i="5"/>
  <c r="H579" i="5"/>
  <c r="G579" i="5"/>
  <c r="F579" i="5"/>
  <c r="P577" i="5" s="1"/>
  <c r="N576" i="5"/>
  <c r="M576" i="5"/>
  <c r="L576" i="5"/>
  <c r="K576" i="5"/>
  <c r="J576" i="5"/>
  <c r="I576" i="5"/>
  <c r="H576" i="5"/>
  <c r="G576" i="5"/>
  <c r="F576" i="5"/>
  <c r="N573" i="5"/>
  <c r="M573" i="5"/>
  <c r="L573" i="5"/>
  <c r="K573" i="5"/>
  <c r="J573" i="5"/>
  <c r="I573" i="5"/>
  <c r="H573" i="5"/>
  <c r="G573" i="5"/>
  <c r="F573" i="5"/>
  <c r="S571" i="5" s="1"/>
  <c r="N570" i="5"/>
  <c r="M570" i="5"/>
  <c r="L570" i="5"/>
  <c r="K570" i="5"/>
  <c r="J570" i="5"/>
  <c r="I570" i="5"/>
  <c r="H570" i="5"/>
  <c r="G570" i="5"/>
  <c r="F570" i="5"/>
  <c r="N567" i="5"/>
  <c r="M567" i="5"/>
  <c r="L567" i="5"/>
  <c r="K567" i="5"/>
  <c r="J567" i="5"/>
  <c r="I567" i="5"/>
  <c r="H567" i="5"/>
  <c r="G567" i="5"/>
  <c r="F567" i="5"/>
  <c r="N564" i="5"/>
  <c r="M564" i="5"/>
  <c r="L564" i="5"/>
  <c r="K564" i="5"/>
  <c r="J564" i="5"/>
  <c r="I564" i="5"/>
  <c r="H564" i="5"/>
  <c r="G564" i="5"/>
  <c r="F564" i="5"/>
  <c r="N561" i="5"/>
  <c r="M561" i="5"/>
  <c r="L561" i="5"/>
  <c r="K561" i="5"/>
  <c r="J561" i="5"/>
  <c r="I561" i="5"/>
  <c r="H561" i="5"/>
  <c r="G561" i="5"/>
  <c r="F561" i="5"/>
  <c r="N558" i="5"/>
  <c r="M558" i="5"/>
  <c r="L558" i="5"/>
  <c r="K558" i="5"/>
  <c r="J558" i="5"/>
  <c r="I558" i="5"/>
  <c r="H558" i="5"/>
  <c r="G558" i="5"/>
  <c r="F558" i="5"/>
  <c r="N555" i="5"/>
  <c r="M555" i="5"/>
  <c r="L555" i="5"/>
  <c r="K555" i="5"/>
  <c r="J555" i="5"/>
  <c r="I555" i="5"/>
  <c r="H555" i="5"/>
  <c r="G555" i="5"/>
  <c r="F555" i="5"/>
  <c r="N552" i="5"/>
  <c r="M552" i="5"/>
  <c r="L552" i="5"/>
  <c r="K552" i="5"/>
  <c r="J552" i="5"/>
  <c r="I552" i="5"/>
  <c r="H552" i="5"/>
  <c r="G552" i="5"/>
  <c r="F552" i="5"/>
  <c r="N549" i="5"/>
  <c r="M549" i="5"/>
  <c r="L549" i="5"/>
  <c r="K549" i="5"/>
  <c r="J549" i="5"/>
  <c r="I549" i="5"/>
  <c r="S547" i="5" s="1"/>
  <c r="H549" i="5"/>
  <c r="G549" i="5"/>
  <c r="F549" i="5"/>
  <c r="N546" i="5"/>
  <c r="M546" i="5"/>
  <c r="L546" i="5"/>
  <c r="K546" i="5"/>
  <c r="J546" i="5"/>
  <c r="I546" i="5"/>
  <c r="H546" i="5"/>
  <c r="G546" i="5"/>
  <c r="F546" i="5"/>
  <c r="N543" i="5"/>
  <c r="Q541" i="5" s="1"/>
  <c r="M543" i="5"/>
  <c r="L543" i="5"/>
  <c r="K543" i="5"/>
  <c r="J543" i="5"/>
  <c r="I543" i="5"/>
  <c r="H543" i="5"/>
  <c r="G543" i="5"/>
  <c r="F543" i="5"/>
  <c r="N540" i="5"/>
  <c r="M540" i="5"/>
  <c r="L540" i="5"/>
  <c r="K540" i="5"/>
  <c r="J540" i="5"/>
  <c r="I540" i="5"/>
  <c r="H540" i="5"/>
  <c r="G540" i="5"/>
  <c r="F540" i="5"/>
  <c r="N537" i="5"/>
  <c r="M537" i="5"/>
  <c r="L537" i="5"/>
  <c r="K537" i="5"/>
  <c r="J537" i="5"/>
  <c r="I537" i="5"/>
  <c r="H537" i="5"/>
  <c r="G537" i="5"/>
  <c r="F537" i="5"/>
  <c r="N534" i="5"/>
  <c r="M534" i="5"/>
  <c r="L534" i="5"/>
  <c r="K534" i="5"/>
  <c r="J534" i="5"/>
  <c r="I534" i="5"/>
  <c r="H534" i="5"/>
  <c r="G534" i="5"/>
  <c r="F534" i="5"/>
  <c r="N531" i="5"/>
  <c r="M531" i="5"/>
  <c r="L531" i="5"/>
  <c r="K531" i="5"/>
  <c r="J531" i="5"/>
  <c r="I531" i="5"/>
  <c r="H531" i="5"/>
  <c r="G531" i="5"/>
  <c r="F531" i="5"/>
  <c r="N528" i="5"/>
  <c r="M528" i="5"/>
  <c r="L528" i="5"/>
  <c r="K528" i="5"/>
  <c r="J528" i="5"/>
  <c r="I528" i="5"/>
  <c r="H528" i="5"/>
  <c r="G528" i="5"/>
  <c r="F528" i="5"/>
  <c r="N525" i="5"/>
  <c r="M525" i="5"/>
  <c r="L525" i="5"/>
  <c r="K525" i="5"/>
  <c r="J525" i="5"/>
  <c r="I525" i="5"/>
  <c r="H525" i="5"/>
  <c r="G525" i="5"/>
  <c r="S523" i="5" s="1"/>
  <c r="F525" i="5"/>
  <c r="N522" i="5"/>
  <c r="M522" i="5"/>
  <c r="L522" i="5"/>
  <c r="K522" i="5"/>
  <c r="J522" i="5"/>
  <c r="I522" i="5"/>
  <c r="H522" i="5"/>
  <c r="G522" i="5"/>
  <c r="F522" i="5"/>
  <c r="N519" i="5"/>
  <c r="M519" i="5"/>
  <c r="L519" i="5"/>
  <c r="K519" i="5"/>
  <c r="J519" i="5"/>
  <c r="I519" i="5"/>
  <c r="H519" i="5"/>
  <c r="G519" i="5"/>
  <c r="F519" i="5"/>
  <c r="N516" i="5"/>
  <c r="M516" i="5"/>
  <c r="L516" i="5"/>
  <c r="K516" i="5"/>
  <c r="J516" i="5"/>
  <c r="I516" i="5"/>
  <c r="H516" i="5"/>
  <c r="G516" i="5"/>
  <c r="F516" i="5"/>
  <c r="N513" i="5"/>
  <c r="M513" i="5"/>
  <c r="L513" i="5"/>
  <c r="K513" i="5"/>
  <c r="J513" i="5"/>
  <c r="I513" i="5"/>
  <c r="H513" i="5"/>
  <c r="G513" i="5"/>
  <c r="F513" i="5"/>
  <c r="N510" i="5"/>
  <c r="M510" i="5"/>
  <c r="L510" i="5"/>
  <c r="K510" i="5"/>
  <c r="J510" i="5"/>
  <c r="I510" i="5"/>
  <c r="H510" i="5"/>
  <c r="G510" i="5"/>
  <c r="F510" i="5"/>
  <c r="N507" i="5"/>
  <c r="Q505" i="5" s="1"/>
  <c r="M507" i="5"/>
  <c r="L507" i="5"/>
  <c r="K507" i="5"/>
  <c r="J507" i="5"/>
  <c r="I507" i="5"/>
  <c r="H507" i="5"/>
  <c r="G507" i="5"/>
  <c r="F507" i="5"/>
  <c r="P505" i="5" s="1"/>
  <c r="N504" i="5"/>
  <c r="M504" i="5"/>
  <c r="L504" i="5"/>
  <c r="K504" i="5"/>
  <c r="J504" i="5"/>
  <c r="I504" i="5"/>
  <c r="H504" i="5"/>
  <c r="G504" i="5"/>
  <c r="F504" i="5"/>
  <c r="N501" i="5"/>
  <c r="M501" i="5"/>
  <c r="L501" i="5"/>
  <c r="K501" i="5"/>
  <c r="J501" i="5"/>
  <c r="I501" i="5"/>
  <c r="H501" i="5"/>
  <c r="G501" i="5"/>
  <c r="F501" i="5"/>
  <c r="N498" i="5"/>
  <c r="M498" i="5"/>
  <c r="L498" i="5"/>
  <c r="K498" i="5"/>
  <c r="J498" i="5"/>
  <c r="I498" i="5"/>
  <c r="H498" i="5"/>
  <c r="G498" i="5"/>
  <c r="F498" i="5"/>
  <c r="N495" i="5"/>
  <c r="Q493" i="5" s="1"/>
  <c r="M495" i="5"/>
  <c r="L495" i="5"/>
  <c r="K495" i="5"/>
  <c r="J495" i="5"/>
  <c r="I495" i="5"/>
  <c r="H495" i="5"/>
  <c r="G495" i="5"/>
  <c r="F495" i="5"/>
  <c r="N492" i="5"/>
  <c r="M492" i="5"/>
  <c r="L492" i="5"/>
  <c r="K492" i="5"/>
  <c r="J492" i="5"/>
  <c r="I492" i="5"/>
  <c r="H492" i="5"/>
  <c r="G492" i="5"/>
  <c r="F492" i="5"/>
  <c r="N489" i="5"/>
  <c r="M489" i="5"/>
  <c r="L489" i="5"/>
  <c r="K489" i="5"/>
  <c r="J489" i="5"/>
  <c r="I489" i="5"/>
  <c r="H489" i="5"/>
  <c r="G489" i="5"/>
  <c r="F489" i="5"/>
  <c r="N486" i="5"/>
  <c r="M486" i="5"/>
  <c r="L486" i="5"/>
  <c r="K486" i="5"/>
  <c r="J486" i="5"/>
  <c r="I486" i="5"/>
  <c r="H486" i="5"/>
  <c r="G486" i="5"/>
  <c r="F486" i="5"/>
  <c r="N483" i="5"/>
  <c r="M483" i="5"/>
  <c r="L483" i="5"/>
  <c r="K483" i="5"/>
  <c r="J483" i="5"/>
  <c r="I483" i="5"/>
  <c r="H483" i="5"/>
  <c r="G483" i="5"/>
  <c r="F483" i="5"/>
  <c r="N480" i="5"/>
  <c r="M480" i="5"/>
  <c r="L480" i="5"/>
  <c r="K480" i="5"/>
  <c r="J480" i="5"/>
  <c r="I480" i="5"/>
  <c r="H480" i="5"/>
  <c r="G480" i="5"/>
  <c r="F480" i="5"/>
  <c r="N477" i="5"/>
  <c r="M477" i="5"/>
  <c r="L477" i="5"/>
  <c r="K477" i="5"/>
  <c r="J477" i="5"/>
  <c r="I477" i="5"/>
  <c r="H477" i="5"/>
  <c r="G477" i="5"/>
  <c r="F477" i="5"/>
  <c r="S475" i="5"/>
  <c r="N474" i="5"/>
  <c r="M474" i="5"/>
  <c r="L474" i="5"/>
  <c r="K474" i="5"/>
  <c r="J474" i="5"/>
  <c r="I474" i="5"/>
  <c r="H474" i="5"/>
  <c r="G474" i="5"/>
  <c r="F474" i="5"/>
  <c r="N471" i="5"/>
  <c r="Q469" i="5" s="1"/>
  <c r="M471" i="5"/>
  <c r="L471" i="5"/>
  <c r="K471" i="5"/>
  <c r="J471" i="5"/>
  <c r="I471" i="5"/>
  <c r="H471" i="5"/>
  <c r="G471" i="5"/>
  <c r="F471" i="5"/>
  <c r="N468" i="5"/>
  <c r="M468" i="5"/>
  <c r="L468" i="5"/>
  <c r="K468" i="5"/>
  <c r="J468" i="5"/>
  <c r="I468" i="5"/>
  <c r="H468" i="5"/>
  <c r="G468" i="5"/>
  <c r="F468" i="5"/>
  <c r="N465" i="5"/>
  <c r="M465" i="5"/>
  <c r="L465" i="5"/>
  <c r="K465" i="5"/>
  <c r="J465" i="5"/>
  <c r="I465" i="5"/>
  <c r="H465" i="5"/>
  <c r="G465" i="5"/>
  <c r="F465" i="5"/>
  <c r="N462" i="5"/>
  <c r="M462" i="5"/>
  <c r="L462" i="5"/>
  <c r="K462" i="5"/>
  <c r="J462" i="5"/>
  <c r="I462" i="5"/>
  <c r="H462" i="5"/>
  <c r="G462" i="5"/>
  <c r="F462" i="5"/>
  <c r="N459" i="5"/>
  <c r="M459" i="5"/>
  <c r="L459" i="5"/>
  <c r="K459" i="5"/>
  <c r="J459" i="5"/>
  <c r="I459" i="5"/>
  <c r="H459" i="5"/>
  <c r="G459" i="5"/>
  <c r="F459" i="5"/>
  <c r="N456" i="5"/>
  <c r="M456" i="5"/>
  <c r="L456" i="5"/>
  <c r="K456" i="5"/>
  <c r="J456" i="5"/>
  <c r="I456" i="5"/>
  <c r="H456" i="5"/>
  <c r="G456" i="5"/>
  <c r="F456" i="5"/>
  <c r="N453" i="5"/>
  <c r="M453" i="5"/>
  <c r="L453" i="5"/>
  <c r="K453" i="5"/>
  <c r="J453" i="5"/>
  <c r="I453" i="5"/>
  <c r="H453" i="5"/>
  <c r="G453" i="5"/>
  <c r="F453" i="5"/>
  <c r="N450" i="5"/>
  <c r="M450" i="5"/>
  <c r="L450" i="5"/>
  <c r="K450" i="5"/>
  <c r="J450" i="5"/>
  <c r="I450" i="5"/>
  <c r="H450" i="5"/>
  <c r="G450" i="5"/>
  <c r="F450" i="5"/>
  <c r="N447" i="5"/>
  <c r="M447" i="5"/>
  <c r="L447" i="5"/>
  <c r="K447" i="5"/>
  <c r="J447" i="5"/>
  <c r="I447" i="5"/>
  <c r="H447" i="5"/>
  <c r="G447" i="5"/>
  <c r="F447" i="5"/>
  <c r="N444" i="5"/>
  <c r="M444" i="5"/>
  <c r="L444" i="5"/>
  <c r="K444" i="5"/>
  <c r="J444" i="5"/>
  <c r="I444" i="5"/>
  <c r="H444" i="5"/>
  <c r="G444" i="5"/>
  <c r="F444" i="5"/>
  <c r="N441" i="5"/>
  <c r="M441" i="5"/>
  <c r="L441" i="5"/>
  <c r="K441" i="5"/>
  <c r="J441" i="5"/>
  <c r="I441" i="5"/>
  <c r="H441" i="5"/>
  <c r="G441" i="5"/>
  <c r="P439" i="5" s="1"/>
  <c r="F441" i="5"/>
  <c r="N438" i="5"/>
  <c r="M438" i="5"/>
  <c r="L438" i="5"/>
  <c r="K438" i="5"/>
  <c r="J438" i="5"/>
  <c r="I438" i="5"/>
  <c r="H438" i="5"/>
  <c r="G438" i="5"/>
  <c r="F438" i="5"/>
  <c r="N435" i="5"/>
  <c r="M435" i="5"/>
  <c r="L435" i="5"/>
  <c r="K435" i="5"/>
  <c r="J435" i="5"/>
  <c r="I435" i="5"/>
  <c r="H435" i="5"/>
  <c r="G435" i="5"/>
  <c r="F435" i="5"/>
  <c r="N432" i="5"/>
  <c r="M432" i="5"/>
  <c r="L432" i="5"/>
  <c r="K432" i="5"/>
  <c r="J432" i="5"/>
  <c r="I432" i="5"/>
  <c r="H432" i="5"/>
  <c r="G432" i="5"/>
  <c r="S430" i="5" s="1"/>
  <c r="F432" i="5"/>
  <c r="N429" i="5"/>
  <c r="M429" i="5"/>
  <c r="L429" i="5"/>
  <c r="K429" i="5"/>
  <c r="J429" i="5"/>
  <c r="I429" i="5"/>
  <c r="H429" i="5"/>
  <c r="G429" i="5"/>
  <c r="F429" i="5"/>
  <c r="N426" i="5"/>
  <c r="M426" i="5"/>
  <c r="L426" i="5"/>
  <c r="K426" i="5"/>
  <c r="J426" i="5"/>
  <c r="I426" i="5"/>
  <c r="H426" i="5"/>
  <c r="G426" i="5"/>
  <c r="F426" i="5"/>
  <c r="S424" i="5" s="1"/>
  <c r="N423" i="5"/>
  <c r="M423" i="5"/>
  <c r="L423" i="5"/>
  <c r="K423" i="5"/>
  <c r="J423" i="5"/>
  <c r="I423" i="5"/>
  <c r="H423" i="5"/>
  <c r="G423" i="5"/>
  <c r="O421" i="5" s="1"/>
  <c r="F423" i="5"/>
  <c r="N420" i="5"/>
  <c r="M420" i="5"/>
  <c r="L420" i="5"/>
  <c r="K420" i="5"/>
  <c r="J420" i="5"/>
  <c r="I420" i="5"/>
  <c r="H420" i="5"/>
  <c r="G420" i="5"/>
  <c r="F420" i="5"/>
  <c r="N417" i="5"/>
  <c r="M417" i="5"/>
  <c r="L417" i="5"/>
  <c r="K417" i="5"/>
  <c r="J417" i="5"/>
  <c r="I417" i="5"/>
  <c r="H417" i="5"/>
  <c r="G417" i="5"/>
  <c r="F417" i="5"/>
  <c r="N414" i="5"/>
  <c r="M414" i="5"/>
  <c r="L414" i="5"/>
  <c r="K414" i="5"/>
  <c r="J414" i="5"/>
  <c r="I414" i="5"/>
  <c r="H414" i="5"/>
  <c r="G414" i="5"/>
  <c r="F414" i="5"/>
  <c r="P412" i="5" s="1"/>
  <c r="N411" i="5"/>
  <c r="M411" i="5"/>
  <c r="L411" i="5"/>
  <c r="K411" i="5"/>
  <c r="J411" i="5"/>
  <c r="I411" i="5"/>
  <c r="H411" i="5"/>
  <c r="G411" i="5"/>
  <c r="F411" i="5"/>
  <c r="O409" i="5" s="1"/>
  <c r="N408" i="5"/>
  <c r="M408" i="5"/>
  <c r="L408" i="5"/>
  <c r="K408" i="5"/>
  <c r="J408" i="5"/>
  <c r="I408" i="5"/>
  <c r="H408" i="5"/>
  <c r="G408" i="5"/>
  <c r="F408" i="5"/>
  <c r="N405" i="5"/>
  <c r="M405" i="5"/>
  <c r="L405" i="5"/>
  <c r="K405" i="5"/>
  <c r="J405" i="5"/>
  <c r="I405" i="5"/>
  <c r="H405" i="5"/>
  <c r="G405" i="5"/>
  <c r="F405" i="5"/>
  <c r="N402" i="5"/>
  <c r="M402" i="5"/>
  <c r="L402" i="5"/>
  <c r="K402" i="5"/>
  <c r="J402" i="5"/>
  <c r="I402" i="5"/>
  <c r="H402" i="5"/>
  <c r="G402" i="5"/>
  <c r="F402" i="5"/>
  <c r="N399" i="5"/>
  <c r="M399" i="5"/>
  <c r="L399" i="5"/>
  <c r="K399" i="5"/>
  <c r="J399" i="5"/>
  <c r="I399" i="5"/>
  <c r="H399" i="5"/>
  <c r="G399" i="5"/>
  <c r="F399" i="5"/>
  <c r="N396" i="5"/>
  <c r="M396" i="5"/>
  <c r="L396" i="5"/>
  <c r="K396" i="5"/>
  <c r="J396" i="5"/>
  <c r="I396" i="5"/>
  <c r="H396" i="5"/>
  <c r="G396" i="5"/>
  <c r="F396" i="5"/>
  <c r="N393" i="5"/>
  <c r="M393" i="5"/>
  <c r="L393" i="5"/>
  <c r="K393" i="5"/>
  <c r="J393" i="5"/>
  <c r="I393" i="5"/>
  <c r="H393" i="5"/>
  <c r="G393" i="5"/>
  <c r="Q391" i="5" s="1"/>
  <c r="F393" i="5"/>
  <c r="N390" i="5"/>
  <c r="M390" i="5"/>
  <c r="L390" i="5"/>
  <c r="K390" i="5"/>
  <c r="J390" i="5"/>
  <c r="I390" i="5"/>
  <c r="H390" i="5"/>
  <c r="G390" i="5"/>
  <c r="F390" i="5"/>
  <c r="N387" i="5"/>
  <c r="M387" i="5"/>
  <c r="L387" i="5"/>
  <c r="K387" i="5"/>
  <c r="J387" i="5"/>
  <c r="I387" i="5"/>
  <c r="H387" i="5"/>
  <c r="G387" i="5"/>
  <c r="F387" i="5"/>
  <c r="O385" i="5"/>
  <c r="N384" i="5"/>
  <c r="M384" i="5"/>
  <c r="L384" i="5"/>
  <c r="K384" i="5"/>
  <c r="J384" i="5"/>
  <c r="I384" i="5"/>
  <c r="H384" i="5"/>
  <c r="G384" i="5"/>
  <c r="S382" i="5" s="1"/>
  <c r="F384" i="5"/>
  <c r="N381" i="5"/>
  <c r="M381" i="5"/>
  <c r="L381" i="5"/>
  <c r="K381" i="5"/>
  <c r="J381" i="5"/>
  <c r="I381" i="5"/>
  <c r="H381" i="5"/>
  <c r="G381" i="5"/>
  <c r="F381" i="5"/>
  <c r="N378" i="5"/>
  <c r="M378" i="5"/>
  <c r="L378" i="5"/>
  <c r="K378" i="5"/>
  <c r="J378" i="5"/>
  <c r="I378" i="5"/>
  <c r="H378" i="5"/>
  <c r="G378" i="5"/>
  <c r="F378" i="5"/>
  <c r="N375" i="5"/>
  <c r="M375" i="5"/>
  <c r="L375" i="5"/>
  <c r="K375" i="5"/>
  <c r="J375" i="5"/>
  <c r="I375" i="5"/>
  <c r="H375" i="5"/>
  <c r="G375" i="5"/>
  <c r="F375" i="5"/>
  <c r="N372" i="5"/>
  <c r="M372" i="5"/>
  <c r="L372" i="5"/>
  <c r="K372" i="5"/>
  <c r="J372" i="5"/>
  <c r="I372" i="5"/>
  <c r="H372" i="5"/>
  <c r="G372" i="5"/>
  <c r="F372" i="5"/>
  <c r="N369" i="5"/>
  <c r="M369" i="5"/>
  <c r="L369" i="5"/>
  <c r="K369" i="5"/>
  <c r="J369" i="5"/>
  <c r="I369" i="5"/>
  <c r="H369" i="5"/>
  <c r="G369" i="5"/>
  <c r="F369" i="5"/>
  <c r="N366" i="5"/>
  <c r="M366" i="5"/>
  <c r="L366" i="5"/>
  <c r="K366" i="5"/>
  <c r="J366" i="5"/>
  <c r="I366" i="5"/>
  <c r="H366" i="5"/>
  <c r="G366" i="5"/>
  <c r="F366" i="5"/>
  <c r="N363" i="5"/>
  <c r="M363" i="5"/>
  <c r="L363" i="5"/>
  <c r="K363" i="5"/>
  <c r="J363" i="5"/>
  <c r="I363" i="5"/>
  <c r="H363" i="5"/>
  <c r="G363" i="5"/>
  <c r="F363" i="5"/>
  <c r="N360" i="5"/>
  <c r="M360" i="5"/>
  <c r="L360" i="5"/>
  <c r="K360" i="5"/>
  <c r="J360" i="5"/>
  <c r="I360" i="5"/>
  <c r="H360" i="5"/>
  <c r="G360" i="5"/>
  <c r="S358" i="5" s="1"/>
  <c r="F360" i="5"/>
  <c r="N357" i="5"/>
  <c r="M357" i="5"/>
  <c r="L357" i="5"/>
  <c r="K357" i="5"/>
  <c r="J357" i="5"/>
  <c r="I357" i="5"/>
  <c r="H357" i="5"/>
  <c r="G357" i="5"/>
  <c r="F357" i="5"/>
  <c r="N354" i="5"/>
  <c r="M354" i="5"/>
  <c r="L354" i="5"/>
  <c r="K354" i="5"/>
  <c r="J354" i="5"/>
  <c r="I354" i="5"/>
  <c r="H354" i="5"/>
  <c r="G354" i="5"/>
  <c r="F354" i="5"/>
  <c r="N351" i="5"/>
  <c r="M351" i="5"/>
  <c r="L351" i="5"/>
  <c r="K351" i="5"/>
  <c r="J351" i="5"/>
  <c r="I351" i="5"/>
  <c r="H351" i="5"/>
  <c r="G351" i="5"/>
  <c r="F351" i="5"/>
  <c r="N348" i="5"/>
  <c r="M348" i="5"/>
  <c r="L348" i="5"/>
  <c r="K348" i="5"/>
  <c r="J348" i="5"/>
  <c r="I348" i="5"/>
  <c r="H348" i="5"/>
  <c r="G348" i="5"/>
  <c r="F348" i="5"/>
  <c r="N345" i="5"/>
  <c r="M345" i="5"/>
  <c r="L345" i="5"/>
  <c r="K345" i="5"/>
  <c r="J345" i="5"/>
  <c r="I345" i="5"/>
  <c r="H345" i="5"/>
  <c r="G345" i="5"/>
  <c r="F345" i="5"/>
  <c r="N342" i="5"/>
  <c r="M342" i="5"/>
  <c r="L342" i="5"/>
  <c r="K342" i="5"/>
  <c r="J342" i="5"/>
  <c r="I342" i="5"/>
  <c r="H342" i="5"/>
  <c r="G342" i="5"/>
  <c r="F342" i="5"/>
  <c r="N339" i="5"/>
  <c r="M339" i="5"/>
  <c r="L339" i="5"/>
  <c r="K339" i="5"/>
  <c r="J339" i="5"/>
  <c r="I339" i="5"/>
  <c r="H339" i="5"/>
  <c r="G339" i="5"/>
  <c r="F339" i="5"/>
  <c r="N336" i="5"/>
  <c r="M336" i="5"/>
  <c r="L336" i="5"/>
  <c r="K336" i="5"/>
  <c r="J336" i="5"/>
  <c r="I336" i="5"/>
  <c r="H336" i="5"/>
  <c r="G336" i="5"/>
  <c r="F336" i="5"/>
  <c r="N333" i="5"/>
  <c r="M333" i="5"/>
  <c r="L333" i="5"/>
  <c r="K333" i="5"/>
  <c r="J333" i="5"/>
  <c r="I333" i="5"/>
  <c r="H333" i="5"/>
  <c r="G333" i="5"/>
  <c r="F333" i="5"/>
  <c r="N330" i="5"/>
  <c r="M330" i="5"/>
  <c r="L330" i="5"/>
  <c r="K330" i="5"/>
  <c r="J330" i="5"/>
  <c r="I330" i="5"/>
  <c r="H330" i="5"/>
  <c r="G330" i="5"/>
  <c r="F330" i="5"/>
  <c r="N327" i="5"/>
  <c r="M327" i="5"/>
  <c r="L327" i="5"/>
  <c r="K327" i="5"/>
  <c r="J327" i="5"/>
  <c r="I327" i="5"/>
  <c r="H327" i="5"/>
  <c r="G327" i="5"/>
  <c r="F327" i="5"/>
  <c r="N324" i="5"/>
  <c r="M324" i="5"/>
  <c r="L324" i="5"/>
  <c r="K324" i="5"/>
  <c r="J324" i="5"/>
  <c r="I324" i="5"/>
  <c r="H324" i="5"/>
  <c r="G324" i="5"/>
  <c r="F324" i="5"/>
  <c r="N321" i="5"/>
  <c r="M321" i="5"/>
  <c r="L321" i="5"/>
  <c r="K321" i="5"/>
  <c r="J321" i="5"/>
  <c r="I321" i="5"/>
  <c r="H321" i="5"/>
  <c r="G321" i="5"/>
  <c r="F321" i="5"/>
  <c r="N318" i="5"/>
  <c r="M318" i="5"/>
  <c r="L318" i="5"/>
  <c r="K318" i="5"/>
  <c r="J318" i="5"/>
  <c r="I318" i="5"/>
  <c r="H318" i="5"/>
  <c r="G318" i="5"/>
  <c r="F318" i="5"/>
  <c r="N315" i="5"/>
  <c r="M315" i="5"/>
  <c r="L315" i="5"/>
  <c r="K315" i="5"/>
  <c r="J315" i="5"/>
  <c r="I315" i="5"/>
  <c r="H315" i="5"/>
  <c r="G315" i="5"/>
  <c r="F315" i="5"/>
  <c r="N312" i="5"/>
  <c r="M312" i="5"/>
  <c r="L312" i="5"/>
  <c r="K312" i="5"/>
  <c r="J312" i="5"/>
  <c r="I312" i="5"/>
  <c r="H312" i="5"/>
  <c r="G312" i="5"/>
  <c r="F312" i="5"/>
  <c r="N309" i="5"/>
  <c r="M309" i="5"/>
  <c r="L309" i="5"/>
  <c r="K309" i="5"/>
  <c r="J309" i="5"/>
  <c r="I309" i="5"/>
  <c r="H309" i="5"/>
  <c r="G309" i="5"/>
  <c r="F309" i="5"/>
  <c r="N306" i="5"/>
  <c r="M306" i="5"/>
  <c r="L306" i="5"/>
  <c r="K306" i="5"/>
  <c r="J306" i="5"/>
  <c r="I306" i="5"/>
  <c r="P304" i="5" s="1"/>
  <c r="H306" i="5"/>
  <c r="G306" i="5"/>
  <c r="F306" i="5"/>
  <c r="N303" i="5"/>
  <c r="M303" i="5"/>
  <c r="L303" i="5"/>
  <c r="K303" i="5"/>
  <c r="J303" i="5"/>
  <c r="I303" i="5"/>
  <c r="H303" i="5"/>
  <c r="G303" i="5"/>
  <c r="F303" i="5"/>
  <c r="S301" i="5" s="1"/>
  <c r="N300" i="5"/>
  <c r="M300" i="5"/>
  <c r="L300" i="5"/>
  <c r="K300" i="5"/>
  <c r="J300" i="5"/>
  <c r="I300" i="5"/>
  <c r="H300" i="5"/>
  <c r="G300" i="5"/>
  <c r="F300" i="5"/>
  <c r="N297" i="5"/>
  <c r="M297" i="5"/>
  <c r="L297" i="5"/>
  <c r="K297" i="5"/>
  <c r="J297" i="5"/>
  <c r="I297" i="5"/>
  <c r="H297" i="5"/>
  <c r="G297" i="5"/>
  <c r="F297" i="5"/>
  <c r="N294" i="5"/>
  <c r="M294" i="5"/>
  <c r="L294" i="5"/>
  <c r="K294" i="5"/>
  <c r="J294" i="5"/>
  <c r="I294" i="5"/>
  <c r="H294" i="5"/>
  <c r="G294" i="5"/>
  <c r="F294" i="5"/>
  <c r="N291" i="5"/>
  <c r="M291" i="5"/>
  <c r="L291" i="5"/>
  <c r="K291" i="5"/>
  <c r="J291" i="5"/>
  <c r="I291" i="5"/>
  <c r="H291" i="5"/>
  <c r="G291" i="5"/>
  <c r="F291" i="5"/>
  <c r="S289" i="5" s="1"/>
  <c r="N288" i="5"/>
  <c r="M288" i="5"/>
  <c r="L288" i="5"/>
  <c r="K288" i="5"/>
  <c r="J288" i="5"/>
  <c r="I288" i="5"/>
  <c r="H288" i="5"/>
  <c r="G288" i="5"/>
  <c r="F288" i="5"/>
  <c r="N285" i="5"/>
  <c r="M285" i="5"/>
  <c r="L285" i="5"/>
  <c r="K285" i="5"/>
  <c r="J285" i="5"/>
  <c r="I285" i="5"/>
  <c r="H285" i="5"/>
  <c r="G285" i="5"/>
  <c r="F285" i="5"/>
  <c r="N282" i="5"/>
  <c r="M282" i="5"/>
  <c r="L282" i="5"/>
  <c r="K282" i="5"/>
  <c r="J282" i="5"/>
  <c r="I282" i="5"/>
  <c r="H282" i="5"/>
  <c r="G282" i="5"/>
  <c r="F282" i="5"/>
  <c r="S280" i="5" s="1"/>
  <c r="N279" i="5"/>
  <c r="M279" i="5"/>
  <c r="L279" i="5"/>
  <c r="K279" i="5"/>
  <c r="J279" i="5"/>
  <c r="I279" i="5"/>
  <c r="H279" i="5"/>
  <c r="G279" i="5"/>
  <c r="S277" i="5" s="1"/>
  <c r="F279" i="5"/>
  <c r="N276" i="5"/>
  <c r="M276" i="5"/>
  <c r="L276" i="5"/>
  <c r="K276" i="5"/>
  <c r="J276" i="5"/>
  <c r="I276" i="5"/>
  <c r="H276" i="5"/>
  <c r="G276" i="5"/>
  <c r="F276" i="5"/>
  <c r="N273" i="5"/>
  <c r="M273" i="5"/>
  <c r="L273" i="5"/>
  <c r="K273" i="5"/>
  <c r="J273" i="5"/>
  <c r="I273" i="5"/>
  <c r="H273" i="5"/>
  <c r="G273" i="5"/>
  <c r="F273" i="5"/>
  <c r="N270" i="5"/>
  <c r="M270" i="5"/>
  <c r="L270" i="5"/>
  <c r="K270" i="5"/>
  <c r="J270" i="5"/>
  <c r="I270" i="5"/>
  <c r="H270" i="5"/>
  <c r="G270" i="5"/>
  <c r="F270" i="5"/>
  <c r="N267" i="5"/>
  <c r="M267" i="5"/>
  <c r="L267" i="5"/>
  <c r="O265" i="5" s="1"/>
  <c r="K267" i="5"/>
  <c r="J267" i="5"/>
  <c r="I267" i="5"/>
  <c r="H267" i="5"/>
  <c r="G267" i="5"/>
  <c r="F267" i="5"/>
  <c r="N264" i="5"/>
  <c r="M264" i="5"/>
  <c r="L264" i="5"/>
  <c r="K264" i="5"/>
  <c r="J264" i="5"/>
  <c r="I264" i="5"/>
  <c r="H264" i="5"/>
  <c r="G264" i="5"/>
  <c r="F264" i="5"/>
  <c r="N261" i="5"/>
  <c r="M261" i="5"/>
  <c r="L261" i="5"/>
  <c r="K261" i="5"/>
  <c r="J261" i="5"/>
  <c r="I261" i="5"/>
  <c r="H261" i="5"/>
  <c r="G261" i="5"/>
  <c r="F261" i="5"/>
  <c r="N258" i="5"/>
  <c r="M258" i="5"/>
  <c r="L258" i="5"/>
  <c r="K258" i="5"/>
  <c r="J258" i="5"/>
  <c r="I258" i="5"/>
  <c r="H258" i="5"/>
  <c r="G258" i="5"/>
  <c r="F258" i="5"/>
  <c r="N255" i="5"/>
  <c r="M255" i="5"/>
  <c r="L255" i="5"/>
  <c r="K255" i="5"/>
  <c r="J255" i="5"/>
  <c r="I255" i="5"/>
  <c r="H255" i="5"/>
  <c r="Q253" i="5" s="1"/>
  <c r="G255" i="5"/>
  <c r="F255" i="5"/>
  <c r="N252" i="5"/>
  <c r="M252" i="5"/>
  <c r="L252" i="5"/>
  <c r="K252" i="5"/>
  <c r="J252" i="5"/>
  <c r="I252" i="5"/>
  <c r="H252" i="5"/>
  <c r="G252" i="5"/>
  <c r="F252" i="5"/>
  <c r="N249" i="5"/>
  <c r="M249" i="5"/>
  <c r="L249" i="5"/>
  <c r="K249" i="5"/>
  <c r="J249" i="5"/>
  <c r="I249" i="5"/>
  <c r="H249" i="5"/>
  <c r="G249" i="5"/>
  <c r="Q247" i="5" s="1"/>
  <c r="F249" i="5"/>
  <c r="N246" i="5"/>
  <c r="M246" i="5"/>
  <c r="L246" i="5"/>
  <c r="K246" i="5"/>
  <c r="J246" i="5"/>
  <c r="I246" i="5"/>
  <c r="H246" i="5"/>
  <c r="G246" i="5"/>
  <c r="F246" i="5"/>
  <c r="N243" i="5"/>
  <c r="M243" i="5"/>
  <c r="L243" i="5"/>
  <c r="K243" i="5"/>
  <c r="J243" i="5"/>
  <c r="I243" i="5"/>
  <c r="O241" i="5" s="1"/>
  <c r="H243" i="5"/>
  <c r="G243" i="5"/>
  <c r="F243" i="5"/>
  <c r="N240" i="5"/>
  <c r="M240" i="5"/>
  <c r="L240" i="5"/>
  <c r="K240" i="5"/>
  <c r="J240" i="5"/>
  <c r="I240" i="5"/>
  <c r="H240" i="5"/>
  <c r="G240" i="5"/>
  <c r="Q238" i="5" s="1"/>
  <c r="F240" i="5"/>
  <c r="N237" i="5"/>
  <c r="M237" i="5"/>
  <c r="L237" i="5"/>
  <c r="K237" i="5"/>
  <c r="J237" i="5"/>
  <c r="I237" i="5"/>
  <c r="H237" i="5"/>
  <c r="G237" i="5"/>
  <c r="F237" i="5"/>
  <c r="N234" i="5"/>
  <c r="M234" i="5"/>
  <c r="L234" i="5"/>
  <c r="K234" i="5"/>
  <c r="J234" i="5"/>
  <c r="I234" i="5"/>
  <c r="H234" i="5"/>
  <c r="G234" i="5"/>
  <c r="F234" i="5"/>
  <c r="N231" i="5"/>
  <c r="M231" i="5"/>
  <c r="L231" i="5"/>
  <c r="K231" i="5"/>
  <c r="J231" i="5"/>
  <c r="I231" i="5"/>
  <c r="H231" i="5"/>
  <c r="G231" i="5"/>
  <c r="F231" i="5"/>
  <c r="N228" i="5"/>
  <c r="M228" i="5"/>
  <c r="L228" i="5"/>
  <c r="K228" i="5"/>
  <c r="J228" i="5"/>
  <c r="I228" i="5"/>
  <c r="H228" i="5"/>
  <c r="G228" i="5"/>
  <c r="Q226" i="5" s="1"/>
  <c r="F228" i="5"/>
  <c r="N225" i="5"/>
  <c r="M225" i="5"/>
  <c r="L225" i="5"/>
  <c r="K225" i="5"/>
  <c r="J225" i="5"/>
  <c r="I225" i="5"/>
  <c r="H225" i="5"/>
  <c r="G225" i="5"/>
  <c r="F225" i="5"/>
  <c r="N222" i="5"/>
  <c r="M222" i="5"/>
  <c r="L222" i="5"/>
  <c r="K222" i="5"/>
  <c r="J222" i="5"/>
  <c r="I222" i="5"/>
  <c r="H222" i="5"/>
  <c r="G222" i="5"/>
  <c r="F222" i="5"/>
  <c r="N219" i="5"/>
  <c r="M219" i="5"/>
  <c r="L219" i="5"/>
  <c r="K219" i="5"/>
  <c r="J219" i="5"/>
  <c r="I219" i="5"/>
  <c r="H219" i="5"/>
  <c r="G219" i="5"/>
  <c r="F219" i="5"/>
  <c r="O217" i="5" s="1"/>
  <c r="N216" i="5"/>
  <c r="M216" i="5"/>
  <c r="L216" i="5"/>
  <c r="K216" i="5"/>
  <c r="J216" i="5"/>
  <c r="I216" i="5"/>
  <c r="H216" i="5"/>
  <c r="G216" i="5"/>
  <c r="F216" i="5"/>
  <c r="N213" i="5"/>
  <c r="M213" i="5"/>
  <c r="L213" i="5"/>
  <c r="K213" i="5"/>
  <c r="J213" i="5"/>
  <c r="I213" i="5"/>
  <c r="H213" i="5"/>
  <c r="G213" i="5"/>
  <c r="F213" i="5"/>
  <c r="N210" i="5"/>
  <c r="M210" i="5"/>
  <c r="L210" i="5"/>
  <c r="K210" i="5"/>
  <c r="J210" i="5"/>
  <c r="I210" i="5"/>
  <c r="H210" i="5"/>
  <c r="G210" i="5"/>
  <c r="F210" i="5"/>
  <c r="S208" i="5" s="1"/>
  <c r="N207" i="5"/>
  <c r="M207" i="5"/>
  <c r="L207" i="5"/>
  <c r="K207" i="5"/>
  <c r="J207" i="5"/>
  <c r="I207" i="5"/>
  <c r="H207" i="5"/>
  <c r="G207" i="5"/>
  <c r="S205" i="5" s="1"/>
  <c r="F207" i="5"/>
  <c r="N204" i="5"/>
  <c r="M204" i="5"/>
  <c r="L204" i="5"/>
  <c r="K204" i="5"/>
  <c r="J204" i="5"/>
  <c r="I204" i="5"/>
  <c r="H204" i="5"/>
  <c r="G204" i="5"/>
  <c r="F204" i="5"/>
  <c r="N201" i="5"/>
  <c r="M201" i="5"/>
  <c r="L201" i="5"/>
  <c r="K201" i="5"/>
  <c r="J201" i="5"/>
  <c r="I201" i="5"/>
  <c r="H201" i="5"/>
  <c r="G201" i="5"/>
  <c r="F201" i="5"/>
  <c r="N198" i="5"/>
  <c r="M198" i="5"/>
  <c r="L198" i="5"/>
  <c r="K198" i="5"/>
  <c r="J198" i="5"/>
  <c r="I198" i="5"/>
  <c r="H198" i="5"/>
  <c r="G198" i="5"/>
  <c r="F198" i="5"/>
  <c r="N195" i="5"/>
  <c r="M195" i="5"/>
  <c r="L195" i="5"/>
  <c r="K195" i="5"/>
  <c r="J195" i="5"/>
  <c r="I195" i="5"/>
  <c r="H195" i="5"/>
  <c r="Q193" i="5" s="1"/>
  <c r="G195" i="5"/>
  <c r="F195" i="5"/>
  <c r="N192" i="5"/>
  <c r="M192" i="5"/>
  <c r="L192" i="5"/>
  <c r="K192" i="5"/>
  <c r="J192" i="5"/>
  <c r="I192" i="5"/>
  <c r="H192" i="5"/>
  <c r="G192" i="5"/>
  <c r="F192" i="5"/>
  <c r="N189" i="5"/>
  <c r="M189" i="5"/>
  <c r="L189" i="5"/>
  <c r="K189" i="5"/>
  <c r="J189" i="5"/>
  <c r="I189" i="5"/>
  <c r="H189" i="5"/>
  <c r="G189" i="5"/>
  <c r="F189" i="5"/>
  <c r="N186" i="5"/>
  <c r="M186" i="5"/>
  <c r="L186" i="5"/>
  <c r="K186" i="5"/>
  <c r="J186" i="5"/>
  <c r="I186" i="5"/>
  <c r="H186" i="5"/>
  <c r="G186" i="5"/>
  <c r="F186" i="5"/>
  <c r="N183" i="5"/>
  <c r="M183" i="5"/>
  <c r="L183" i="5"/>
  <c r="K183" i="5"/>
  <c r="J183" i="5"/>
  <c r="I183" i="5"/>
  <c r="H183" i="5"/>
  <c r="Q181" i="5" s="1"/>
  <c r="G183" i="5"/>
  <c r="F183" i="5"/>
  <c r="N180" i="5"/>
  <c r="M180" i="5"/>
  <c r="L180" i="5"/>
  <c r="K180" i="5"/>
  <c r="J180" i="5"/>
  <c r="I180" i="5"/>
  <c r="H180" i="5"/>
  <c r="G180" i="5"/>
  <c r="F180" i="5"/>
  <c r="N177" i="5"/>
  <c r="M177" i="5"/>
  <c r="L177" i="5"/>
  <c r="K177" i="5"/>
  <c r="J177" i="5"/>
  <c r="I177" i="5"/>
  <c r="H177" i="5"/>
  <c r="G177" i="5"/>
  <c r="F177" i="5"/>
  <c r="N174" i="5"/>
  <c r="M174" i="5"/>
  <c r="L174" i="5"/>
  <c r="K174" i="5"/>
  <c r="J174" i="5"/>
  <c r="I174" i="5"/>
  <c r="H174" i="5"/>
  <c r="G174" i="5"/>
  <c r="F174" i="5"/>
  <c r="N171" i="5"/>
  <c r="M171" i="5"/>
  <c r="L171" i="5"/>
  <c r="K171" i="5"/>
  <c r="J171" i="5"/>
  <c r="I171" i="5"/>
  <c r="H171" i="5"/>
  <c r="Q169" i="5" s="1"/>
  <c r="G171" i="5"/>
  <c r="F171" i="5"/>
  <c r="N168" i="5"/>
  <c r="M168" i="5"/>
  <c r="L168" i="5"/>
  <c r="K168" i="5"/>
  <c r="J168" i="5"/>
  <c r="I168" i="5"/>
  <c r="H168" i="5"/>
  <c r="G168" i="5"/>
  <c r="F168" i="5"/>
  <c r="N165" i="5"/>
  <c r="M165" i="5"/>
  <c r="L165" i="5"/>
  <c r="K165" i="5"/>
  <c r="J165" i="5"/>
  <c r="I165" i="5"/>
  <c r="H165" i="5"/>
  <c r="G165" i="5"/>
  <c r="Q163" i="5" s="1"/>
  <c r="F165" i="5"/>
  <c r="N162" i="5"/>
  <c r="M162" i="5"/>
  <c r="L162" i="5"/>
  <c r="K162" i="5"/>
  <c r="J162" i="5"/>
  <c r="I162" i="5"/>
  <c r="H162" i="5"/>
  <c r="G162" i="5"/>
  <c r="F162" i="5"/>
  <c r="N159" i="5"/>
  <c r="M159" i="5"/>
  <c r="L159" i="5"/>
  <c r="K159" i="5"/>
  <c r="J159" i="5"/>
  <c r="I159" i="5"/>
  <c r="H159" i="5"/>
  <c r="G159" i="5"/>
  <c r="F159" i="5"/>
  <c r="O157" i="5"/>
  <c r="N156" i="5"/>
  <c r="M156" i="5"/>
  <c r="L156" i="5"/>
  <c r="K156" i="5"/>
  <c r="J156" i="5"/>
  <c r="I156" i="5"/>
  <c r="H156" i="5"/>
  <c r="G156" i="5"/>
  <c r="Q154" i="5" s="1"/>
  <c r="F156" i="5"/>
  <c r="N153" i="5"/>
  <c r="M153" i="5"/>
  <c r="L153" i="5"/>
  <c r="K153" i="5"/>
  <c r="J153" i="5"/>
  <c r="I153" i="5"/>
  <c r="H153" i="5"/>
  <c r="G153" i="5"/>
  <c r="F153" i="5"/>
  <c r="N150" i="5"/>
  <c r="M150" i="5"/>
  <c r="L150" i="5"/>
  <c r="K150" i="5"/>
  <c r="J150" i="5"/>
  <c r="I150" i="5"/>
  <c r="H150" i="5"/>
  <c r="G150" i="5"/>
  <c r="F150" i="5"/>
  <c r="N147" i="5"/>
  <c r="M147" i="5"/>
  <c r="L147" i="5"/>
  <c r="K147" i="5"/>
  <c r="J147" i="5"/>
  <c r="I147" i="5"/>
  <c r="H147" i="5"/>
  <c r="G147" i="5"/>
  <c r="F147" i="5"/>
  <c r="O145" i="5" s="1"/>
  <c r="N144" i="5"/>
  <c r="M144" i="5"/>
  <c r="L144" i="5"/>
  <c r="K144" i="5"/>
  <c r="J144" i="5"/>
  <c r="I144" i="5"/>
  <c r="H144" i="5"/>
  <c r="G144" i="5"/>
  <c r="F144" i="5"/>
  <c r="N141" i="5"/>
  <c r="M141" i="5"/>
  <c r="L141" i="5"/>
  <c r="K141" i="5"/>
  <c r="J141" i="5"/>
  <c r="I141" i="5"/>
  <c r="H141" i="5"/>
  <c r="G141" i="5"/>
  <c r="F141" i="5"/>
  <c r="N138" i="5"/>
  <c r="M138" i="5"/>
  <c r="L138" i="5"/>
  <c r="K138" i="5"/>
  <c r="J138" i="5"/>
  <c r="I138" i="5"/>
  <c r="H138" i="5"/>
  <c r="G138" i="5"/>
  <c r="F138" i="5"/>
  <c r="P136" i="5" s="1"/>
  <c r="N135" i="5"/>
  <c r="M135" i="5"/>
  <c r="L135" i="5"/>
  <c r="K135" i="5"/>
  <c r="J135" i="5"/>
  <c r="I135" i="5"/>
  <c r="H135" i="5"/>
  <c r="G135" i="5"/>
  <c r="S133" i="5" s="1"/>
  <c r="F135" i="5"/>
  <c r="N132" i="5"/>
  <c r="M132" i="5"/>
  <c r="L132" i="5"/>
  <c r="K132" i="5"/>
  <c r="J132" i="5"/>
  <c r="I132" i="5"/>
  <c r="H132" i="5"/>
  <c r="G132" i="5"/>
  <c r="F132" i="5"/>
  <c r="N129" i="5"/>
  <c r="M129" i="5"/>
  <c r="L129" i="5"/>
  <c r="K129" i="5"/>
  <c r="J129" i="5"/>
  <c r="I129" i="5"/>
  <c r="H129" i="5"/>
  <c r="G129" i="5"/>
  <c r="F129" i="5"/>
  <c r="N126" i="5"/>
  <c r="M126" i="5"/>
  <c r="L126" i="5"/>
  <c r="K126" i="5"/>
  <c r="J126" i="5"/>
  <c r="I126" i="5"/>
  <c r="H126" i="5"/>
  <c r="G126" i="5"/>
  <c r="F126" i="5"/>
  <c r="N123" i="5"/>
  <c r="M123" i="5"/>
  <c r="L123" i="5"/>
  <c r="K123" i="5"/>
  <c r="J123" i="5"/>
  <c r="I123" i="5"/>
  <c r="H123" i="5"/>
  <c r="Q121" i="5" s="1"/>
  <c r="G123" i="5"/>
  <c r="F123" i="5"/>
  <c r="N120" i="5"/>
  <c r="M120" i="5"/>
  <c r="L120" i="5"/>
  <c r="K120" i="5"/>
  <c r="J120" i="5"/>
  <c r="I120" i="5"/>
  <c r="H120" i="5"/>
  <c r="G120" i="5"/>
  <c r="F120" i="5"/>
  <c r="N117" i="5"/>
  <c r="M117" i="5"/>
  <c r="L117" i="5"/>
  <c r="K117" i="5"/>
  <c r="J117" i="5"/>
  <c r="I117" i="5"/>
  <c r="H117" i="5"/>
  <c r="G117" i="5"/>
  <c r="Q115" i="5" s="1"/>
  <c r="F117" i="5"/>
  <c r="N114" i="5"/>
  <c r="M114" i="5"/>
  <c r="L114" i="5"/>
  <c r="K114" i="5"/>
  <c r="J114" i="5"/>
  <c r="I114" i="5"/>
  <c r="H114" i="5"/>
  <c r="G114" i="5"/>
  <c r="F114" i="5"/>
  <c r="N111" i="5"/>
  <c r="M111" i="5"/>
  <c r="L111" i="5"/>
  <c r="K111" i="5"/>
  <c r="J111" i="5"/>
  <c r="I111" i="5"/>
  <c r="H111" i="5"/>
  <c r="G111" i="5"/>
  <c r="F111" i="5"/>
  <c r="N108" i="5"/>
  <c r="M108" i="5"/>
  <c r="L108" i="5"/>
  <c r="K108" i="5"/>
  <c r="J108" i="5"/>
  <c r="I108" i="5"/>
  <c r="H108" i="5"/>
  <c r="G108" i="5"/>
  <c r="F108" i="5"/>
  <c r="N105" i="5"/>
  <c r="M105" i="5"/>
  <c r="L105" i="5"/>
  <c r="K105" i="5"/>
  <c r="J105" i="5"/>
  <c r="I105" i="5"/>
  <c r="H105" i="5"/>
  <c r="G105" i="5"/>
  <c r="Q103" i="5" s="1"/>
  <c r="F105" i="5"/>
  <c r="N102" i="5"/>
  <c r="M102" i="5"/>
  <c r="L102" i="5"/>
  <c r="K102" i="5"/>
  <c r="J102" i="5"/>
  <c r="I102" i="5"/>
  <c r="H102" i="5"/>
  <c r="G102" i="5"/>
  <c r="F102" i="5"/>
  <c r="N99" i="5"/>
  <c r="M99" i="5"/>
  <c r="L99" i="5"/>
  <c r="K99" i="5"/>
  <c r="J99" i="5"/>
  <c r="I99" i="5"/>
  <c r="H99" i="5"/>
  <c r="G99" i="5"/>
  <c r="F99" i="5"/>
  <c r="O97" i="5"/>
  <c r="N96" i="5"/>
  <c r="M96" i="5"/>
  <c r="L96" i="5"/>
  <c r="K96" i="5"/>
  <c r="J96" i="5"/>
  <c r="I96" i="5"/>
  <c r="H96" i="5"/>
  <c r="G96" i="5"/>
  <c r="Q94" i="5" s="1"/>
  <c r="F96" i="5"/>
  <c r="N93" i="5"/>
  <c r="M93" i="5"/>
  <c r="L93" i="5"/>
  <c r="K93" i="5"/>
  <c r="J93" i="5"/>
  <c r="I93" i="5"/>
  <c r="H93" i="5"/>
  <c r="G93" i="5"/>
  <c r="F93" i="5"/>
  <c r="N90" i="5"/>
  <c r="M90" i="5"/>
  <c r="L90" i="5"/>
  <c r="K90" i="5"/>
  <c r="J90" i="5"/>
  <c r="I90" i="5"/>
  <c r="H90" i="5"/>
  <c r="G90" i="5"/>
  <c r="F90" i="5"/>
  <c r="N87" i="5"/>
  <c r="M87" i="5"/>
  <c r="L87" i="5"/>
  <c r="K87" i="5"/>
  <c r="J87" i="5"/>
  <c r="I87" i="5"/>
  <c r="H87" i="5"/>
  <c r="G87" i="5"/>
  <c r="F87" i="5"/>
  <c r="O85" i="5" s="1"/>
  <c r="N84" i="5"/>
  <c r="M84" i="5"/>
  <c r="L84" i="5"/>
  <c r="K84" i="5"/>
  <c r="J84" i="5"/>
  <c r="I84" i="5"/>
  <c r="H84" i="5"/>
  <c r="G84" i="5"/>
  <c r="F84" i="5"/>
  <c r="N81" i="5"/>
  <c r="M81" i="5"/>
  <c r="L81" i="5"/>
  <c r="K81" i="5"/>
  <c r="J81" i="5"/>
  <c r="I81" i="5"/>
  <c r="H81" i="5"/>
  <c r="G81" i="5"/>
  <c r="F81" i="5"/>
  <c r="N78" i="5"/>
  <c r="M78" i="5"/>
  <c r="L78" i="5"/>
  <c r="K78" i="5"/>
  <c r="J78" i="5"/>
  <c r="I78" i="5"/>
  <c r="H78" i="5"/>
  <c r="G78" i="5"/>
  <c r="F78" i="5"/>
  <c r="N75" i="5"/>
  <c r="M75" i="5"/>
  <c r="L75" i="5"/>
  <c r="K75" i="5"/>
  <c r="J75" i="5"/>
  <c r="I75" i="5"/>
  <c r="H75" i="5"/>
  <c r="G75" i="5"/>
  <c r="S73" i="5" s="1"/>
  <c r="F75" i="5"/>
  <c r="N72" i="5"/>
  <c r="M72" i="5"/>
  <c r="L72" i="5"/>
  <c r="K72" i="5"/>
  <c r="J72" i="5"/>
  <c r="I72" i="5"/>
  <c r="H72" i="5"/>
  <c r="G72" i="5"/>
  <c r="F72" i="5"/>
  <c r="N69" i="5"/>
  <c r="M69" i="5"/>
  <c r="L69" i="5"/>
  <c r="K69" i="5"/>
  <c r="J69" i="5"/>
  <c r="I69" i="5"/>
  <c r="H69" i="5"/>
  <c r="G69" i="5"/>
  <c r="F69" i="5"/>
  <c r="N66" i="5"/>
  <c r="M66" i="5"/>
  <c r="L66" i="5"/>
  <c r="K66" i="5"/>
  <c r="J66" i="5"/>
  <c r="I66" i="5"/>
  <c r="H66" i="5"/>
  <c r="G66" i="5"/>
  <c r="F66" i="5"/>
  <c r="P64" i="5" s="1"/>
  <c r="N63" i="5"/>
  <c r="M63" i="5"/>
  <c r="L63" i="5"/>
  <c r="K63" i="5"/>
  <c r="J63" i="5"/>
  <c r="I63" i="5"/>
  <c r="H63" i="5"/>
  <c r="G63" i="5"/>
  <c r="S61" i="5" s="1"/>
  <c r="F63" i="5"/>
  <c r="N60" i="5"/>
  <c r="M60" i="5"/>
  <c r="L60" i="5"/>
  <c r="K60" i="5"/>
  <c r="J60" i="5"/>
  <c r="I60" i="5"/>
  <c r="H60" i="5"/>
  <c r="G60" i="5"/>
  <c r="F60" i="5"/>
  <c r="N57" i="5"/>
  <c r="M57" i="5"/>
  <c r="L57" i="5"/>
  <c r="K57" i="5"/>
  <c r="J57" i="5"/>
  <c r="I57" i="5"/>
  <c r="H57" i="5"/>
  <c r="G57" i="5"/>
  <c r="F57" i="5"/>
  <c r="N54" i="5"/>
  <c r="M54" i="5"/>
  <c r="L54" i="5"/>
  <c r="K54" i="5"/>
  <c r="J54" i="5"/>
  <c r="I54" i="5"/>
  <c r="H54" i="5"/>
  <c r="G54" i="5"/>
  <c r="F54" i="5"/>
  <c r="P52" i="5" s="1"/>
  <c r="N51" i="5"/>
  <c r="M51" i="5"/>
  <c r="L51" i="5"/>
  <c r="K51" i="5"/>
  <c r="J51" i="5"/>
  <c r="I51" i="5"/>
  <c r="H51" i="5"/>
  <c r="G51" i="5"/>
  <c r="S49" i="5" s="1"/>
  <c r="F51" i="5"/>
  <c r="N48" i="5"/>
  <c r="M48" i="5"/>
  <c r="L48" i="5"/>
  <c r="K48" i="5"/>
  <c r="J48" i="5"/>
  <c r="I48" i="5"/>
  <c r="H48" i="5"/>
  <c r="G48" i="5"/>
  <c r="F48" i="5"/>
  <c r="N45" i="5"/>
  <c r="M45" i="5"/>
  <c r="L45" i="5"/>
  <c r="K45" i="5"/>
  <c r="J45" i="5"/>
  <c r="I45" i="5"/>
  <c r="H45" i="5"/>
  <c r="G45" i="5"/>
  <c r="F45" i="5"/>
  <c r="N42" i="5"/>
  <c r="M42" i="5"/>
  <c r="L42" i="5"/>
  <c r="K42" i="5"/>
  <c r="J42" i="5"/>
  <c r="I42" i="5"/>
  <c r="H42" i="5"/>
  <c r="G42" i="5"/>
  <c r="F42" i="5"/>
  <c r="N39" i="5"/>
  <c r="M39" i="5"/>
  <c r="L39" i="5"/>
  <c r="K39" i="5"/>
  <c r="J39" i="5"/>
  <c r="I39" i="5"/>
  <c r="H39" i="5"/>
  <c r="Q37" i="5" s="1"/>
  <c r="G39" i="5"/>
  <c r="F39" i="5"/>
  <c r="N36" i="5"/>
  <c r="M36" i="5"/>
  <c r="L36" i="5"/>
  <c r="K36" i="5"/>
  <c r="J36" i="5"/>
  <c r="I36" i="5"/>
  <c r="H36" i="5"/>
  <c r="G36" i="5"/>
  <c r="F36" i="5"/>
  <c r="N33" i="5"/>
  <c r="M33" i="5"/>
  <c r="L33" i="5"/>
  <c r="K33" i="5"/>
  <c r="J33" i="5"/>
  <c r="I33" i="5"/>
  <c r="H33" i="5"/>
  <c r="G33" i="5"/>
  <c r="Q31" i="5" s="1"/>
  <c r="F33" i="5"/>
  <c r="N30" i="5"/>
  <c r="M30" i="5"/>
  <c r="L30" i="5"/>
  <c r="K30" i="5"/>
  <c r="J30" i="5"/>
  <c r="I30" i="5"/>
  <c r="H30" i="5"/>
  <c r="G30" i="5"/>
  <c r="F30" i="5"/>
  <c r="N27" i="5"/>
  <c r="M27" i="5"/>
  <c r="L27" i="5"/>
  <c r="K27" i="5"/>
  <c r="J27" i="5"/>
  <c r="I27" i="5"/>
  <c r="H27" i="5"/>
  <c r="G27" i="5"/>
  <c r="F27" i="5"/>
  <c r="O25" i="5"/>
  <c r="N24" i="5"/>
  <c r="M24" i="5"/>
  <c r="L24" i="5"/>
  <c r="K24" i="5"/>
  <c r="J24" i="5"/>
  <c r="I24" i="5"/>
  <c r="H24" i="5"/>
  <c r="G24" i="5"/>
  <c r="Q22" i="5" s="1"/>
  <c r="F24" i="5"/>
  <c r="N21" i="5"/>
  <c r="M21" i="5"/>
  <c r="L21" i="5"/>
  <c r="K21" i="5"/>
  <c r="J21" i="5"/>
  <c r="I21" i="5"/>
  <c r="H21" i="5"/>
  <c r="G21" i="5"/>
  <c r="F21" i="5"/>
  <c r="N18" i="5"/>
  <c r="M18" i="5"/>
  <c r="L18" i="5"/>
  <c r="K18" i="5"/>
  <c r="J18" i="5"/>
  <c r="I18" i="5"/>
  <c r="H18" i="5"/>
  <c r="G18" i="5"/>
  <c r="F18" i="5"/>
  <c r="N15" i="5"/>
  <c r="M15" i="5"/>
  <c r="L15" i="5"/>
  <c r="K15" i="5"/>
  <c r="J15" i="5"/>
  <c r="I15" i="5"/>
  <c r="H15" i="5"/>
  <c r="G15" i="5"/>
  <c r="F15" i="5"/>
  <c r="O13" i="5" s="1"/>
  <c r="N12" i="5"/>
  <c r="M12" i="5"/>
  <c r="L12" i="5"/>
  <c r="K12" i="5"/>
  <c r="J12" i="5"/>
  <c r="I12" i="5"/>
  <c r="H12" i="5"/>
  <c r="G12" i="5"/>
  <c r="F12" i="5"/>
  <c r="E232" i="4"/>
  <c r="G232" i="4" s="1"/>
  <c r="E231" i="4"/>
  <c r="G231" i="4" s="1"/>
  <c r="E230" i="4"/>
  <c r="G230" i="4" s="1"/>
  <c r="E229" i="4"/>
  <c r="G229" i="4" s="1"/>
  <c r="G228" i="4"/>
  <c r="E228" i="4"/>
  <c r="E227" i="4"/>
  <c r="G227" i="4" s="1"/>
  <c r="G226" i="4"/>
  <c r="E226" i="4"/>
  <c r="E225" i="4"/>
  <c r="G225" i="4" s="1"/>
  <c r="E224" i="4"/>
  <c r="G224" i="4" s="1"/>
  <c r="E223" i="4"/>
  <c r="G223" i="4" s="1"/>
  <c r="E222" i="4"/>
  <c r="G222" i="4" s="1"/>
  <c r="E221" i="4"/>
  <c r="G221" i="4" s="1"/>
  <c r="G220" i="4"/>
  <c r="E220" i="4"/>
  <c r="E219" i="4"/>
  <c r="G219" i="4" s="1"/>
  <c r="G218" i="4"/>
  <c r="E218" i="4"/>
  <c r="E217" i="4"/>
  <c r="G217" i="4" s="1"/>
  <c r="E216" i="4"/>
  <c r="G216" i="4" s="1"/>
  <c r="E215" i="4"/>
  <c r="G215" i="4" s="1"/>
  <c r="E214" i="4"/>
  <c r="G214" i="4" s="1"/>
  <c r="E213" i="4"/>
  <c r="G213" i="4" s="1"/>
  <c r="G212" i="4"/>
  <c r="E212" i="4"/>
  <c r="E211" i="4"/>
  <c r="G211" i="4" s="1"/>
  <c r="G210" i="4"/>
  <c r="E210" i="4"/>
  <c r="E209" i="4"/>
  <c r="G209" i="4" s="1"/>
  <c r="E208" i="4"/>
  <c r="G208" i="4" s="1"/>
  <c r="E207" i="4"/>
  <c r="G207" i="4" s="1"/>
  <c r="E206" i="4"/>
  <c r="G206" i="4" s="1"/>
  <c r="E205" i="4"/>
  <c r="G205" i="4" s="1"/>
  <c r="G204" i="4"/>
  <c r="E204" i="4"/>
  <c r="E203" i="4"/>
  <c r="G203" i="4" s="1"/>
  <c r="G202" i="4"/>
  <c r="E202" i="4"/>
  <c r="E201" i="4"/>
  <c r="G201" i="4" s="1"/>
  <c r="E200" i="4"/>
  <c r="G200" i="4" s="1"/>
  <c r="E199" i="4"/>
  <c r="G199" i="4" s="1"/>
  <c r="E198" i="4"/>
  <c r="G198" i="4" s="1"/>
  <c r="E197" i="4"/>
  <c r="G197" i="4" s="1"/>
  <c r="G196" i="4"/>
  <c r="E196" i="4"/>
  <c r="E195" i="4"/>
  <c r="G195" i="4" s="1"/>
  <c r="G194" i="4"/>
  <c r="E194" i="4"/>
  <c r="E193" i="4"/>
  <c r="G193" i="4" s="1"/>
  <c r="E192" i="4"/>
  <c r="G192" i="4" s="1"/>
  <c r="E191" i="4"/>
  <c r="G191" i="4" s="1"/>
  <c r="E190" i="4"/>
  <c r="G190" i="4" s="1"/>
  <c r="E189" i="4"/>
  <c r="G189" i="4" s="1"/>
  <c r="G188" i="4"/>
  <c r="E188" i="4"/>
  <c r="E187" i="4"/>
  <c r="G187" i="4" s="1"/>
  <c r="G186" i="4"/>
  <c r="E186" i="4"/>
  <c r="E185" i="4"/>
  <c r="G185" i="4" s="1"/>
  <c r="E184" i="4"/>
  <c r="G184" i="4" s="1"/>
  <c r="E183" i="4"/>
  <c r="G183" i="4" s="1"/>
  <c r="E182" i="4"/>
  <c r="G182" i="4" s="1"/>
  <c r="E181" i="4"/>
  <c r="G181" i="4" s="1"/>
  <c r="G180" i="4"/>
  <c r="E180" i="4"/>
  <c r="E179" i="4"/>
  <c r="G179" i="4" s="1"/>
  <c r="G178" i="4"/>
  <c r="E178" i="4"/>
  <c r="E177" i="4"/>
  <c r="G177" i="4" s="1"/>
  <c r="E176" i="4"/>
  <c r="G176" i="4" s="1"/>
  <c r="E175" i="4"/>
  <c r="G175" i="4" s="1"/>
  <c r="G174" i="4"/>
  <c r="E174" i="4"/>
  <c r="E173" i="4"/>
  <c r="G173" i="4" s="1"/>
  <c r="G172" i="4"/>
  <c r="E172" i="4"/>
  <c r="E171" i="4"/>
  <c r="G171" i="4" s="1"/>
  <c r="G170" i="4"/>
  <c r="E170" i="4"/>
  <c r="E169" i="4"/>
  <c r="G169" i="4" s="1"/>
  <c r="E168" i="4"/>
  <c r="G168" i="4" s="1"/>
  <c r="E167" i="4"/>
  <c r="G167" i="4" s="1"/>
  <c r="G166" i="4"/>
  <c r="E166" i="4"/>
  <c r="E165" i="4"/>
  <c r="G165" i="4" s="1"/>
  <c r="G164" i="4"/>
  <c r="E164" i="4"/>
  <c r="E163" i="4"/>
  <c r="G163" i="4" s="1"/>
  <c r="G162" i="4"/>
  <c r="E162" i="4"/>
  <c r="E161" i="4"/>
  <c r="G161" i="4" s="1"/>
  <c r="E160" i="4"/>
  <c r="G160" i="4" s="1"/>
  <c r="E159" i="4"/>
  <c r="G159" i="4" s="1"/>
  <c r="G158" i="4"/>
  <c r="E158" i="4"/>
  <c r="E157" i="4"/>
  <c r="G157" i="4" s="1"/>
  <c r="G156" i="4"/>
  <c r="E156" i="4"/>
  <c r="E155" i="4"/>
  <c r="G155" i="4" s="1"/>
  <c r="G154" i="4"/>
  <c r="E154" i="4"/>
  <c r="E153" i="4"/>
  <c r="G153" i="4" s="1"/>
  <c r="E152" i="4"/>
  <c r="G152" i="4" s="1"/>
  <c r="E151" i="4"/>
  <c r="G151" i="4" s="1"/>
  <c r="G150" i="4"/>
  <c r="E150" i="4"/>
  <c r="E149" i="4"/>
  <c r="G149" i="4" s="1"/>
  <c r="G148" i="4"/>
  <c r="E148" i="4"/>
  <c r="E147" i="4"/>
  <c r="G147" i="4" s="1"/>
  <c r="G146" i="4"/>
  <c r="E146" i="4"/>
  <c r="E145" i="4"/>
  <c r="G145" i="4" s="1"/>
  <c r="E144" i="4"/>
  <c r="G144" i="4" s="1"/>
  <c r="E143" i="4"/>
  <c r="G143" i="4" s="1"/>
  <c r="G142" i="4"/>
  <c r="E142" i="4"/>
  <c r="E141" i="4"/>
  <c r="G141" i="4" s="1"/>
  <c r="E140" i="4"/>
  <c r="G140" i="4" s="1"/>
  <c r="E139" i="4"/>
  <c r="G139" i="4" s="1"/>
  <c r="G138" i="4"/>
  <c r="E138" i="4"/>
  <c r="E137" i="4"/>
  <c r="G137" i="4" s="1"/>
  <c r="E136" i="4"/>
  <c r="G136" i="4" s="1"/>
  <c r="E135" i="4"/>
  <c r="G135" i="4" s="1"/>
  <c r="G134" i="4"/>
  <c r="E134" i="4"/>
  <c r="E133" i="4"/>
  <c r="G133" i="4" s="1"/>
  <c r="E132" i="4"/>
  <c r="G132" i="4" s="1"/>
  <c r="E131" i="4"/>
  <c r="G131" i="4" s="1"/>
  <c r="G130" i="4"/>
  <c r="E130" i="4"/>
  <c r="E129" i="4"/>
  <c r="G129" i="4" s="1"/>
  <c r="E128" i="4"/>
  <c r="G128" i="4" s="1"/>
  <c r="E127" i="4"/>
  <c r="G127" i="4" s="1"/>
  <c r="G126" i="4"/>
  <c r="E126" i="4"/>
  <c r="E125" i="4"/>
  <c r="G125" i="4" s="1"/>
  <c r="E124" i="4"/>
  <c r="G124" i="4" s="1"/>
  <c r="E123" i="4"/>
  <c r="G123" i="4" s="1"/>
  <c r="G122" i="4"/>
  <c r="E122" i="4"/>
  <c r="E121" i="4"/>
  <c r="G121" i="4" s="1"/>
  <c r="E120" i="4"/>
  <c r="G120" i="4" s="1"/>
  <c r="E119" i="4"/>
  <c r="G119" i="4" s="1"/>
  <c r="G118" i="4"/>
  <c r="E118" i="4"/>
  <c r="E117" i="4"/>
  <c r="G117" i="4" s="1"/>
  <c r="E116" i="4"/>
  <c r="G116" i="4" s="1"/>
  <c r="E115" i="4"/>
  <c r="G115" i="4" s="1"/>
  <c r="G114" i="4"/>
  <c r="E114" i="4"/>
  <c r="E113" i="4"/>
  <c r="G113" i="4" s="1"/>
  <c r="E112" i="4"/>
  <c r="G112" i="4" s="1"/>
  <c r="E111" i="4"/>
  <c r="G111" i="4" s="1"/>
  <c r="G110" i="4"/>
  <c r="E110" i="4"/>
  <c r="E109" i="4"/>
  <c r="G109" i="4" s="1"/>
  <c r="E108" i="4"/>
  <c r="G108" i="4" s="1"/>
  <c r="G107" i="4"/>
  <c r="G106" i="4"/>
  <c r="E106" i="4"/>
  <c r="G105" i="4"/>
  <c r="E105" i="4"/>
  <c r="G104" i="4"/>
  <c r="E104" i="4"/>
  <c r="G103" i="4"/>
  <c r="E103" i="4"/>
  <c r="G102" i="4"/>
  <c r="E102" i="4"/>
  <c r="G101" i="4"/>
  <c r="E101" i="4"/>
  <c r="G100" i="4"/>
  <c r="E100" i="4"/>
  <c r="G99" i="4"/>
  <c r="E99" i="4"/>
  <c r="G98" i="4"/>
  <c r="E98" i="4"/>
  <c r="G97" i="4"/>
  <c r="E97" i="4"/>
  <c r="G96" i="4"/>
  <c r="E96" i="4"/>
  <c r="G95" i="4"/>
  <c r="E95" i="4"/>
  <c r="G94" i="4"/>
  <c r="E94" i="4"/>
  <c r="G93" i="4"/>
  <c r="E93" i="4"/>
  <c r="G92" i="4"/>
  <c r="E92" i="4"/>
  <c r="G91" i="4"/>
  <c r="E91" i="4"/>
  <c r="G90" i="4"/>
  <c r="E90" i="4"/>
  <c r="G89" i="4"/>
  <c r="E89" i="4"/>
  <c r="G88" i="4"/>
  <c r="E88" i="4"/>
  <c r="G87" i="4"/>
  <c r="E87" i="4"/>
  <c r="G86" i="4"/>
  <c r="E86" i="4"/>
  <c r="G85" i="4"/>
  <c r="E85" i="4"/>
  <c r="G84" i="4"/>
  <c r="E84" i="4"/>
  <c r="G83" i="4"/>
  <c r="E83" i="4"/>
  <c r="G82" i="4"/>
  <c r="E82" i="4"/>
  <c r="G81" i="4"/>
  <c r="E81" i="4"/>
  <c r="G80" i="4"/>
  <c r="E80" i="4"/>
  <c r="G79" i="4"/>
  <c r="E79" i="4"/>
  <c r="G78" i="4"/>
  <c r="E78" i="4"/>
  <c r="G77" i="4"/>
  <c r="E77" i="4"/>
  <c r="G76" i="4"/>
  <c r="E76" i="4"/>
  <c r="G75" i="4"/>
  <c r="E75" i="4"/>
  <c r="G74" i="4"/>
  <c r="E74" i="4"/>
  <c r="G73" i="4"/>
  <c r="E73" i="4"/>
  <c r="G72" i="4"/>
  <c r="E72" i="4"/>
  <c r="G71" i="4"/>
  <c r="E71" i="4"/>
  <c r="G70" i="4"/>
  <c r="E70" i="4"/>
  <c r="G69" i="4"/>
  <c r="E69" i="4"/>
  <c r="G68" i="4"/>
  <c r="E68" i="4"/>
  <c r="G67" i="4"/>
  <c r="E67" i="4"/>
  <c r="G66" i="4"/>
  <c r="E66" i="4"/>
  <c r="G65" i="4"/>
  <c r="E65" i="4"/>
  <c r="G64" i="4"/>
  <c r="E64" i="4"/>
  <c r="G63" i="4"/>
  <c r="E63" i="4"/>
  <c r="G62" i="4"/>
  <c r="E62" i="4"/>
  <c r="G61" i="4"/>
  <c r="E61" i="4"/>
  <c r="G60" i="4"/>
  <c r="E60" i="4"/>
  <c r="G59" i="4"/>
  <c r="E59" i="4"/>
  <c r="G58" i="4"/>
  <c r="E58" i="4"/>
  <c r="G57" i="4"/>
  <c r="E57" i="4"/>
  <c r="G56" i="4"/>
  <c r="E56" i="4"/>
  <c r="G55" i="4"/>
  <c r="E55" i="4"/>
  <c r="G54" i="4"/>
  <c r="E54" i="4"/>
  <c r="G53" i="4"/>
  <c r="E53" i="4"/>
  <c r="G52" i="4"/>
  <c r="E52" i="4"/>
  <c r="G51" i="4"/>
  <c r="E51" i="4"/>
  <c r="G50" i="4"/>
  <c r="E50" i="4"/>
  <c r="G49" i="4"/>
  <c r="E49" i="4"/>
  <c r="G48" i="4"/>
  <c r="E48" i="4"/>
  <c r="G47" i="4"/>
  <c r="E47" i="4"/>
  <c r="G46" i="4"/>
  <c r="E46" i="4"/>
  <c r="G45" i="4"/>
  <c r="E45" i="4"/>
  <c r="G44" i="4"/>
  <c r="E44" i="4"/>
  <c r="G43" i="4"/>
  <c r="E43" i="4"/>
  <c r="G42" i="4"/>
  <c r="E42" i="4"/>
  <c r="G41" i="4"/>
  <c r="E41" i="4"/>
  <c r="G40" i="4"/>
  <c r="E40" i="4"/>
  <c r="G39" i="4"/>
  <c r="E39" i="4"/>
  <c r="G38" i="4"/>
  <c r="E38" i="4"/>
  <c r="G37" i="4"/>
  <c r="E37" i="4"/>
  <c r="G36" i="4"/>
  <c r="E36" i="4"/>
  <c r="G35" i="4"/>
  <c r="E35" i="4"/>
  <c r="G34" i="4"/>
  <c r="E34" i="4"/>
  <c r="G33" i="4"/>
  <c r="E33" i="4"/>
  <c r="G32" i="4"/>
  <c r="E32" i="4"/>
  <c r="G31" i="4"/>
  <c r="E31" i="4"/>
  <c r="G30" i="4"/>
  <c r="E30" i="4"/>
  <c r="G29" i="4"/>
  <c r="E29" i="4"/>
  <c r="G28" i="4"/>
  <c r="E28" i="4"/>
  <c r="G27" i="4"/>
  <c r="E27" i="4"/>
  <c r="G26" i="4"/>
  <c r="E26" i="4"/>
  <c r="G25" i="4"/>
  <c r="E25" i="4"/>
  <c r="G24" i="4"/>
  <c r="E24" i="4"/>
  <c r="G23" i="4"/>
  <c r="E23" i="4"/>
  <c r="G22" i="4"/>
  <c r="E22" i="4"/>
  <c r="G21" i="4"/>
  <c r="E21" i="4"/>
  <c r="G20" i="4"/>
  <c r="E20" i="4"/>
  <c r="G19" i="4"/>
  <c r="E19" i="4"/>
  <c r="G18" i="4"/>
  <c r="E18" i="4"/>
  <c r="G17" i="4"/>
  <c r="E17" i="4"/>
  <c r="G16" i="4"/>
  <c r="E16" i="4"/>
  <c r="G15" i="4"/>
  <c r="E15" i="4"/>
  <c r="G14" i="4"/>
  <c r="E14" i="4"/>
  <c r="G13" i="4"/>
  <c r="E13" i="4"/>
  <c r="G12" i="4"/>
  <c r="E12" i="4"/>
  <c r="G11" i="4"/>
  <c r="E11" i="4"/>
  <c r="G10" i="4"/>
  <c r="E10" i="4"/>
  <c r="S13" i="5" l="1"/>
  <c r="Q61" i="5"/>
  <c r="Q73" i="5"/>
  <c r="S85" i="5"/>
  <c r="S88" i="5"/>
  <c r="Q106" i="5"/>
  <c r="Q118" i="5"/>
  <c r="O121" i="5"/>
  <c r="R121" i="5" s="1"/>
  <c r="T121" i="5" s="1"/>
  <c r="Q127" i="5"/>
  <c r="Q133" i="5"/>
  <c r="S145" i="5"/>
  <c r="P148" i="5"/>
  <c r="Q166" i="5"/>
  <c r="O169" i="5"/>
  <c r="Q175" i="5"/>
  <c r="Q187" i="5"/>
  <c r="Q199" i="5"/>
  <c r="Q205" i="5"/>
  <c r="S217" i="5"/>
  <c r="S220" i="5"/>
  <c r="S229" i="5"/>
  <c r="S232" i="5"/>
  <c r="Q250" i="5"/>
  <c r="O253" i="5"/>
  <c r="Q259" i="5"/>
  <c r="Q271" i="5"/>
  <c r="Q277" i="5"/>
  <c r="O313" i="5"/>
  <c r="P316" i="5"/>
  <c r="P328" i="5"/>
  <c r="Q331" i="5"/>
  <c r="O349" i="5"/>
  <c r="S352" i="5"/>
  <c r="O373" i="5"/>
  <c r="S376" i="5"/>
  <c r="S385" i="5"/>
  <c r="P388" i="5"/>
  <c r="S406" i="5"/>
  <c r="Q421" i="5"/>
  <c r="O448" i="5"/>
  <c r="Q463" i="5"/>
  <c r="S466" i="5"/>
  <c r="S487" i="5"/>
  <c r="S499" i="5"/>
  <c r="P529" i="5"/>
  <c r="Q529" i="5"/>
  <c r="S559" i="5"/>
  <c r="S595" i="5"/>
  <c r="S619" i="5"/>
  <c r="P670" i="5"/>
  <c r="Q763" i="5"/>
  <c r="S784" i="5"/>
  <c r="P799" i="5"/>
  <c r="P823" i="5"/>
  <c r="S958" i="5"/>
  <c r="S991" i="5"/>
  <c r="Q1033" i="5"/>
  <c r="Q1045" i="5"/>
  <c r="Q577" i="5"/>
  <c r="Q685" i="5"/>
  <c r="S16" i="5"/>
  <c r="Q34" i="5"/>
  <c r="O37" i="5"/>
  <c r="Q49" i="5"/>
  <c r="Q13" i="5"/>
  <c r="P28" i="5"/>
  <c r="Q55" i="5"/>
  <c r="P100" i="5"/>
  <c r="P112" i="5"/>
  <c r="Q130" i="5"/>
  <c r="Q139" i="5"/>
  <c r="P160" i="5"/>
  <c r="Q178" i="5"/>
  <c r="Q190" i="5"/>
  <c r="Q202" i="5"/>
  <c r="O205" i="5"/>
  <c r="Q211" i="5"/>
  <c r="Q217" i="5"/>
  <c r="Q229" i="5"/>
  <c r="S241" i="5"/>
  <c r="S244" i="5"/>
  <c r="Q262" i="5"/>
  <c r="Q274" i="5"/>
  <c r="O277" i="5"/>
  <c r="S283" i="5"/>
  <c r="Q307" i="5"/>
  <c r="Q313" i="5"/>
  <c r="Q328" i="5"/>
  <c r="Q349" i="5"/>
  <c r="Q373" i="5"/>
  <c r="O397" i="5"/>
  <c r="S400" i="5"/>
  <c r="Q415" i="5"/>
  <c r="Q430" i="5"/>
  <c r="S436" i="5"/>
  <c r="O445" i="5"/>
  <c r="Q457" i="5"/>
  <c r="S511" i="5"/>
  <c r="Q565" i="5"/>
  <c r="S583" i="5"/>
  <c r="S607" i="5"/>
  <c r="S631" i="5"/>
  <c r="P649" i="5"/>
  <c r="Q649" i="5"/>
  <c r="S667" i="5"/>
  <c r="P709" i="5"/>
  <c r="Q709" i="5"/>
  <c r="O760" i="5"/>
  <c r="S820" i="5"/>
  <c r="P889" i="5"/>
  <c r="S919" i="5"/>
  <c r="Q937" i="5"/>
  <c r="O988" i="5"/>
  <c r="S76" i="5"/>
  <c r="Q43" i="5"/>
  <c r="S25" i="5"/>
  <c r="Q46" i="5"/>
  <c r="O49" i="5"/>
  <c r="Q67" i="5"/>
  <c r="Q79" i="5"/>
  <c r="Q85" i="5"/>
  <c r="S97" i="5"/>
  <c r="S109" i="5"/>
  <c r="O133" i="5"/>
  <c r="Q145" i="5"/>
  <c r="S157" i="5"/>
  <c r="Q10" i="5"/>
  <c r="Q19" i="5"/>
  <c r="Q25" i="5"/>
  <c r="S37" i="5"/>
  <c r="P40" i="5"/>
  <c r="Q58" i="5"/>
  <c r="Q70" i="5"/>
  <c r="Q82" i="5"/>
  <c r="Q91" i="5"/>
  <c r="Q97" i="5"/>
  <c r="S100" i="5"/>
  <c r="Q109" i="5"/>
  <c r="S121" i="5"/>
  <c r="P124" i="5"/>
  <c r="Q142" i="5"/>
  <c r="Q151" i="5"/>
  <c r="Q157" i="5"/>
  <c r="S169" i="5"/>
  <c r="P172" i="5"/>
  <c r="S181" i="5"/>
  <c r="P184" i="5"/>
  <c r="S193" i="5"/>
  <c r="P196" i="5"/>
  <c r="Q214" i="5"/>
  <c r="Q223" i="5"/>
  <c r="Q235" i="5"/>
  <c r="Q241" i="5"/>
  <c r="S253" i="5"/>
  <c r="S256" i="5"/>
  <c r="S265" i="5"/>
  <c r="S268" i="5"/>
  <c r="O325" i="5"/>
  <c r="P340" i="5"/>
  <c r="P364" i="5"/>
  <c r="Q397" i="5"/>
  <c r="S409" i="5"/>
  <c r="P481" i="5"/>
  <c r="Q481" i="5"/>
  <c r="Q517" i="5"/>
  <c r="S535" i="5"/>
  <c r="P553" i="5"/>
  <c r="Q553" i="5"/>
  <c r="Q589" i="5"/>
  <c r="Q613" i="5"/>
  <c r="P661" i="5"/>
  <c r="S751" i="5"/>
  <c r="P838" i="5"/>
  <c r="P850" i="5"/>
  <c r="P862" i="5"/>
  <c r="P874" i="5"/>
  <c r="Q949" i="5"/>
  <c r="O952" i="5"/>
  <c r="P970" i="5"/>
  <c r="R397" i="5"/>
  <c r="S112" i="5"/>
  <c r="S160" i="5"/>
  <c r="S172" i="5"/>
  <c r="S184" i="5"/>
  <c r="Q289" i="5"/>
  <c r="O301" i="5"/>
  <c r="Q319" i="5"/>
  <c r="P325" i="5"/>
  <c r="P331" i="5"/>
  <c r="S346" i="5"/>
  <c r="P355" i="5"/>
  <c r="Q355" i="5"/>
  <c r="S370" i="5"/>
  <c r="S394" i="5"/>
  <c r="Q433" i="5"/>
  <c r="S439" i="5"/>
  <c r="P475" i="5"/>
  <c r="O475" i="5"/>
  <c r="P499" i="5"/>
  <c r="O499" i="5"/>
  <c r="S514" i="5"/>
  <c r="P514" i="5"/>
  <c r="P523" i="5"/>
  <c r="O523" i="5"/>
  <c r="P547" i="5"/>
  <c r="O547" i="5"/>
  <c r="S562" i="5"/>
  <c r="P562" i="5"/>
  <c r="S586" i="5"/>
  <c r="P586" i="5"/>
  <c r="P595" i="5"/>
  <c r="O595" i="5"/>
  <c r="P619" i="5"/>
  <c r="O619" i="5"/>
  <c r="P643" i="5"/>
  <c r="O643" i="5"/>
  <c r="Q661" i="5"/>
  <c r="P715" i="5"/>
  <c r="O715" i="5"/>
  <c r="R715" i="5" s="1"/>
  <c r="S715" i="5"/>
  <c r="S730" i="5"/>
  <c r="P730" i="5"/>
  <c r="P904" i="5"/>
  <c r="O904" i="5"/>
  <c r="Q904" i="5"/>
  <c r="Q940" i="5"/>
  <c r="S979" i="5"/>
  <c r="P979" i="5"/>
  <c r="P1009" i="5"/>
  <c r="Q1009" i="5"/>
  <c r="O61" i="5"/>
  <c r="O73" i="5"/>
  <c r="R97" i="5"/>
  <c r="T97" i="5" s="1"/>
  <c r="O109" i="5"/>
  <c r="R169" i="5"/>
  <c r="T169" i="5" s="1"/>
  <c r="O181" i="5"/>
  <c r="O193" i="5"/>
  <c r="S325" i="5"/>
  <c r="P739" i="5"/>
  <c r="R739" i="5" s="1"/>
  <c r="T739" i="5" s="1"/>
  <c r="O739" i="5"/>
  <c r="S739" i="5"/>
  <c r="S844" i="5"/>
  <c r="O844" i="5"/>
  <c r="S856" i="5"/>
  <c r="O856" i="5"/>
  <c r="P868" i="5"/>
  <c r="R868" i="5" s="1"/>
  <c r="S868" i="5"/>
  <c r="O868" i="5"/>
  <c r="P880" i="5"/>
  <c r="S880" i="5"/>
  <c r="O880" i="5"/>
  <c r="R880" i="5" s="1"/>
  <c r="P892" i="5"/>
  <c r="O892" i="5"/>
  <c r="R892" i="5" s="1"/>
  <c r="Q892" i="5"/>
  <c r="O931" i="5"/>
  <c r="R931" i="5" s="1"/>
  <c r="S931" i="5"/>
  <c r="P943" i="5"/>
  <c r="S943" i="5"/>
  <c r="R964" i="5"/>
  <c r="P982" i="5"/>
  <c r="S982" i="5"/>
  <c r="Q1000" i="5"/>
  <c r="P1036" i="5"/>
  <c r="O1036" i="5"/>
  <c r="Q1036" i="5"/>
  <c r="S1063" i="5"/>
  <c r="O1063" i="5"/>
  <c r="S28" i="5"/>
  <c r="S40" i="5"/>
  <c r="Q52" i="5"/>
  <c r="S124" i="5"/>
  <c r="S136" i="5"/>
  <c r="S148" i="5"/>
  <c r="S196" i="5"/>
  <c r="P289" i="5"/>
  <c r="P292" i="5"/>
  <c r="Q301" i="5"/>
  <c r="S304" i="5"/>
  <c r="Q379" i="5"/>
  <c r="S418" i="5"/>
  <c r="Q436" i="5"/>
  <c r="S490" i="5"/>
  <c r="P490" i="5"/>
  <c r="S538" i="5"/>
  <c r="P538" i="5"/>
  <c r="P571" i="5"/>
  <c r="O571" i="5"/>
  <c r="R571" i="5" s="1"/>
  <c r="T571" i="5" s="1"/>
  <c r="S610" i="5"/>
  <c r="P610" i="5"/>
  <c r="S634" i="5"/>
  <c r="P634" i="5"/>
  <c r="O796" i="5"/>
  <c r="S796" i="5"/>
  <c r="P931" i="5"/>
  <c r="P940" i="5"/>
  <c r="O940" i="5"/>
  <c r="P13" i="5"/>
  <c r="R13" i="5" s="1"/>
  <c r="T13" i="5" s="1"/>
  <c r="P19" i="5"/>
  <c r="P25" i="5"/>
  <c r="R25" i="5" s="1"/>
  <c r="T25" i="5" s="1"/>
  <c r="P31" i="5"/>
  <c r="P37" i="5"/>
  <c r="P43" i="5"/>
  <c r="P49" i="5"/>
  <c r="R49" i="5" s="1"/>
  <c r="T49" i="5" s="1"/>
  <c r="P55" i="5"/>
  <c r="P67" i="5"/>
  <c r="P79" i="5"/>
  <c r="P91" i="5"/>
  <c r="P97" i="5"/>
  <c r="P103" i="5"/>
  <c r="P109" i="5"/>
  <c r="P115" i="5"/>
  <c r="P121" i="5"/>
  <c r="P127" i="5"/>
  <c r="P133" i="5"/>
  <c r="P139" i="5"/>
  <c r="P145" i="5"/>
  <c r="R145" i="5" s="1"/>
  <c r="T145" i="5" s="1"/>
  <c r="P151" i="5"/>
  <c r="P157" i="5"/>
  <c r="R157" i="5" s="1"/>
  <c r="T157" i="5" s="1"/>
  <c r="P163" i="5"/>
  <c r="P169" i="5"/>
  <c r="P175" i="5"/>
  <c r="P181" i="5"/>
  <c r="P187" i="5"/>
  <c r="P193" i="5"/>
  <c r="P199" i="5"/>
  <c r="P211" i="5"/>
  <c r="P223" i="5"/>
  <c r="P235" i="5"/>
  <c r="P247" i="5"/>
  <c r="P259" i="5"/>
  <c r="P271" i="5"/>
  <c r="P283" i="5"/>
  <c r="Q283" i="5"/>
  <c r="P286" i="5"/>
  <c r="Q304" i="5"/>
  <c r="Q337" i="5"/>
  <c r="S340" i="5"/>
  <c r="P349" i="5"/>
  <c r="S349" i="5"/>
  <c r="Q361" i="5"/>
  <c r="S364" i="5"/>
  <c r="S373" i="5"/>
  <c r="Q385" i="5"/>
  <c r="T385" i="5" s="1"/>
  <c r="S388" i="5"/>
  <c r="Q403" i="5"/>
  <c r="Q409" i="5"/>
  <c r="S412" i="5"/>
  <c r="P427" i="5"/>
  <c r="Q427" i="5"/>
  <c r="O430" i="5"/>
  <c r="P433" i="5"/>
  <c r="O436" i="5"/>
  <c r="O451" i="5"/>
  <c r="Q454" i="5"/>
  <c r="O463" i="5"/>
  <c r="R463" i="5" s="1"/>
  <c r="T463" i="5" s="1"/>
  <c r="P493" i="5"/>
  <c r="P517" i="5"/>
  <c r="P541" i="5"/>
  <c r="P565" i="5"/>
  <c r="P589" i="5"/>
  <c r="P613" i="5"/>
  <c r="P637" i="5"/>
  <c r="P655" i="5"/>
  <c r="O655" i="5"/>
  <c r="S655" i="5"/>
  <c r="S664" i="5"/>
  <c r="P691" i="5"/>
  <c r="O691" i="5"/>
  <c r="S691" i="5"/>
  <c r="S706" i="5"/>
  <c r="P706" i="5"/>
  <c r="P733" i="5"/>
  <c r="Q766" i="5"/>
  <c r="O784" i="5"/>
  <c r="O820" i="5"/>
  <c r="R37" i="5"/>
  <c r="O229" i="5"/>
  <c r="Q265" i="5"/>
  <c r="P337" i="5"/>
  <c r="S337" i="5"/>
  <c r="P361" i="5"/>
  <c r="S361" i="5"/>
  <c r="P16" i="5"/>
  <c r="Q16" i="5"/>
  <c r="S34" i="5"/>
  <c r="O40" i="5"/>
  <c r="R40" i="5" s="1"/>
  <c r="S46" i="5"/>
  <c r="S52" i="5"/>
  <c r="S58" i="5"/>
  <c r="S64" i="5"/>
  <c r="S70" i="5"/>
  <c r="P76" i="5"/>
  <c r="O76" i="5"/>
  <c r="S82" i="5"/>
  <c r="P88" i="5"/>
  <c r="O88" i="5"/>
  <c r="S94" i="5"/>
  <c r="O100" i="5"/>
  <c r="S106" i="5"/>
  <c r="O112" i="5"/>
  <c r="R112" i="5" s="1"/>
  <c r="S118" i="5"/>
  <c r="O124" i="5"/>
  <c r="S130" i="5"/>
  <c r="O136" i="5"/>
  <c r="R136" i="5" s="1"/>
  <c r="S142" i="5"/>
  <c r="S154" i="5"/>
  <c r="S166" i="5"/>
  <c r="O172" i="5"/>
  <c r="R172" i="5" s="1"/>
  <c r="S178" i="5"/>
  <c r="O184" i="5"/>
  <c r="R184" i="5" s="1"/>
  <c r="S190" i="5"/>
  <c r="O196" i="5"/>
  <c r="R196" i="5" s="1"/>
  <c r="S202" i="5"/>
  <c r="P208" i="5"/>
  <c r="O208" i="5"/>
  <c r="R208" i="5" s="1"/>
  <c r="P220" i="5"/>
  <c r="O220" i="5"/>
  <c r="S226" i="5"/>
  <c r="P232" i="5"/>
  <c r="O232" i="5"/>
  <c r="P244" i="5"/>
  <c r="Q244" i="5"/>
  <c r="P256" i="5"/>
  <c r="Q256" i="5"/>
  <c r="P268" i="5"/>
  <c r="Q268" i="5"/>
  <c r="P280" i="5"/>
  <c r="Q280" i="5"/>
  <c r="Q295" i="5"/>
  <c r="P301" i="5"/>
  <c r="Q325" i="5"/>
  <c r="S328" i="5"/>
  <c r="S334" i="5"/>
  <c r="O337" i="5"/>
  <c r="P343" i="5"/>
  <c r="Q343" i="5"/>
  <c r="P352" i="5"/>
  <c r="O361" i="5"/>
  <c r="Q367" i="5"/>
  <c r="P376" i="5"/>
  <c r="S397" i="5"/>
  <c r="P400" i="5"/>
  <c r="S421" i="5"/>
  <c r="P424" i="5"/>
  <c r="Q442" i="5"/>
  <c r="S445" i="5"/>
  <c r="S478" i="5"/>
  <c r="P478" i="5"/>
  <c r="P487" i="5"/>
  <c r="O487" i="5"/>
  <c r="S502" i="5"/>
  <c r="P502" i="5"/>
  <c r="P511" i="5"/>
  <c r="O511" i="5"/>
  <c r="S526" i="5"/>
  <c r="P526" i="5"/>
  <c r="P535" i="5"/>
  <c r="O535" i="5"/>
  <c r="S550" i="5"/>
  <c r="P550" i="5"/>
  <c r="P559" i="5"/>
  <c r="O559" i="5"/>
  <c r="O574" i="5"/>
  <c r="P574" i="5"/>
  <c r="P583" i="5"/>
  <c r="O583" i="5"/>
  <c r="S598" i="5"/>
  <c r="P598" i="5"/>
  <c r="P607" i="5"/>
  <c r="O607" i="5"/>
  <c r="S622" i="5"/>
  <c r="P622" i="5"/>
  <c r="P631" i="5"/>
  <c r="O631" i="5"/>
  <c r="S646" i="5"/>
  <c r="P646" i="5"/>
  <c r="S682" i="5"/>
  <c r="P682" i="5"/>
  <c r="S760" i="5"/>
  <c r="Q778" i="5"/>
  <c r="Q790" i="5"/>
  <c r="Q340" i="5"/>
  <c r="Q352" i="5"/>
  <c r="Q364" i="5"/>
  <c r="Q376" i="5"/>
  <c r="Q388" i="5"/>
  <c r="Q400" i="5"/>
  <c r="Q412" i="5"/>
  <c r="Q424" i="5"/>
  <c r="Q439" i="5"/>
  <c r="P463" i="5"/>
  <c r="P466" i="5"/>
  <c r="O478" i="5"/>
  <c r="R478" i="5" s="1"/>
  <c r="S484" i="5"/>
  <c r="O490" i="5"/>
  <c r="S496" i="5"/>
  <c r="O502" i="5"/>
  <c r="R502" i="5" s="1"/>
  <c r="S508" i="5"/>
  <c r="O514" i="5"/>
  <c r="R514" i="5" s="1"/>
  <c r="S520" i="5"/>
  <c r="O526" i="5"/>
  <c r="R526" i="5" s="1"/>
  <c r="S532" i="5"/>
  <c r="S544" i="5"/>
  <c r="S556" i="5"/>
  <c r="S568" i="5"/>
  <c r="Q574" i="5"/>
  <c r="S580" i="5"/>
  <c r="S592" i="5"/>
  <c r="S604" i="5"/>
  <c r="S616" i="5"/>
  <c r="S628" i="5"/>
  <c r="S640" i="5"/>
  <c r="S652" i="5"/>
  <c r="S670" i="5"/>
  <c r="P679" i="5"/>
  <c r="O679" i="5"/>
  <c r="S694" i="5"/>
  <c r="P694" i="5"/>
  <c r="P703" i="5"/>
  <c r="O703" i="5"/>
  <c r="S718" i="5"/>
  <c r="P718" i="5"/>
  <c r="P727" i="5"/>
  <c r="O727" i="5"/>
  <c r="S742" i="5"/>
  <c r="P742" i="5"/>
  <c r="Q751" i="5"/>
  <c r="Q838" i="5"/>
  <c r="Q850" i="5"/>
  <c r="Q862" i="5"/>
  <c r="Q874" i="5"/>
  <c r="P886" i="5"/>
  <c r="O886" i="5"/>
  <c r="R886" i="5" s="1"/>
  <c r="T886" i="5" s="1"/>
  <c r="Q886" i="5"/>
  <c r="P913" i="5"/>
  <c r="Q913" i="5"/>
  <c r="R916" i="5"/>
  <c r="S1003" i="5"/>
  <c r="P1003" i="5"/>
  <c r="O1030" i="5"/>
  <c r="S1030" i="5"/>
  <c r="Q1030" i="5"/>
  <c r="S1042" i="5"/>
  <c r="P1042" i="5"/>
  <c r="Q1042" i="5"/>
  <c r="P1057" i="5"/>
  <c r="Q1057" i="5"/>
  <c r="P367" i="5"/>
  <c r="P373" i="5"/>
  <c r="P379" i="5"/>
  <c r="P385" i="5"/>
  <c r="R385" i="5" s="1"/>
  <c r="P391" i="5"/>
  <c r="P397" i="5"/>
  <c r="P403" i="5"/>
  <c r="P409" i="5"/>
  <c r="R409" i="5" s="1"/>
  <c r="T409" i="5" s="1"/>
  <c r="P415" i="5"/>
  <c r="P421" i="5"/>
  <c r="R421" i="5" s="1"/>
  <c r="T421" i="5" s="1"/>
  <c r="P430" i="5"/>
  <c r="R430" i="5" s="1"/>
  <c r="P436" i="5"/>
  <c r="P442" i="5"/>
  <c r="Q475" i="5"/>
  <c r="Q484" i="5"/>
  <c r="Q487" i="5"/>
  <c r="Q496" i="5"/>
  <c r="Q499" i="5"/>
  <c r="Q508" i="5"/>
  <c r="Q511" i="5"/>
  <c r="Q520" i="5"/>
  <c r="Q523" i="5"/>
  <c r="Q532" i="5"/>
  <c r="Q535" i="5"/>
  <c r="Q544" i="5"/>
  <c r="Q547" i="5"/>
  <c r="Q556" i="5"/>
  <c r="Q559" i="5"/>
  <c r="Q568" i="5"/>
  <c r="Q571" i="5"/>
  <c r="S574" i="5"/>
  <c r="Q580" i="5"/>
  <c r="Q583" i="5"/>
  <c r="Q592" i="5"/>
  <c r="Q595" i="5"/>
  <c r="Q604" i="5"/>
  <c r="Q607" i="5"/>
  <c r="Q616" i="5"/>
  <c r="Q619" i="5"/>
  <c r="Q628" i="5"/>
  <c r="Q631" i="5"/>
  <c r="Q640" i="5"/>
  <c r="Q643" i="5"/>
  <c r="S658" i="5"/>
  <c r="P667" i="5"/>
  <c r="O667" i="5"/>
  <c r="P673" i="5"/>
  <c r="P697" i="5"/>
  <c r="P721" i="5"/>
  <c r="P745" i="5"/>
  <c r="S763" i="5"/>
  <c r="O772" i="5"/>
  <c r="P775" i="5"/>
  <c r="Q799" i="5"/>
  <c r="Q847" i="5"/>
  <c r="P847" i="5"/>
  <c r="Q859" i="5"/>
  <c r="P859" i="5"/>
  <c r="S895" i="5"/>
  <c r="P895" i="5"/>
  <c r="P898" i="5"/>
  <c r="S907" i="5"/>
  <c r="P907" i="5"/>
  <c r="O934" i="5"/>
  <c r="S934" i="5"/>
  <c r="Q934" i="5"/>
  <c r="S946" i="5"/>
  <c r="P946" i="5"/>
  <c r="Q946" i="5"/>
  <c r="P955" i="5"/>
  <c r="Q985" i="5"/>
  <c r="O1027" i="5"/>
  <c r="R1027" i="5" s="1"/>
  <c r="S1027" i="5"/>
  <c r="P1039" i="5"/>
  <c r="S1039" i="5"/>
  <c r="Q1051" i="5"/>
  <c r="S1051" i="5"/>
  <c r="P1051" i="5"/>
  <c r="R1051" i="5" s="1"/>
  <c r="P841" i="5"/>
  <c r="Q844" i="5"/>
  <c r="S847" i="5"/>
  <c r="P853" i="5"/>
  <c r="Q856" i="5"/>
  <c r="S859" i="5"/>
  <c r="P865" i="5"/>
  <c r="Q868" i="5"/>
  <c r="S871" i="5"/>
  <c r="P877" i="5"/>
  <c r="Q880" i="5"/>
  <c r="Q901" i="5"/>
  <c r="O907" i="5"/>
  <c r="R907" i="5" s="1"/>
  <c r="O910" i="5"/>
  <c r="R910" i="5" s="1"/>
  <c r="Q910" i="5"/>
  <c r="P916" i="5"/>
  <c r="Q916" i="5"/>
  <c r="P919" i="5"/>
  <c r="S922" i="5"/>
  <c r="Q922" i="5"/>
  <c r="Q925" i="5"/>
  <c r="O928" i="5"/>
  <c r="P958" i="5"/>
  <c r="P973" i="5"/>
  <c r="S976" i="5"/>
  <c r="Q976" i="5"/>
  <c r="P985" i="5"/>
  <c r="O1003" i="5"/>
  <c r="O1006" i="5"/>
  <c r="R1006" i="5" s="1"/>
  <c r="Q1006" i="5"/>
  <c r="P1012" i="5"/>
  <c r="R1012" i="5" s="1"/>
  <c r="Q1012" i="5"/>
  <c r="P1015" i="5"/>
  <c r="S1018" i="5"/>
  <c r="Q1018" i="5"/>
  <c r="Q1021" i="5"/>
  <c r="O1024" i="5"/>
  <c r="O1048" i="5"/>
  <c r="P1060" i="5"/>
  <c r="R1060" i="5" s="1"/>
  <c r="Q1063" i="5"/>
  <c r="S688" i="5"/>
  <c r="S700" i="5"/>
  <c r="S712" i="5"/>
  <c r="S724" i="5"/>
  <c r="S736" i="5"/>
  <c r="Q781" i="5"/>
  <c r="Q796" i="5"/>
  <c r="S808" i="5"/>
  <c r="Q814" i="5"/>
  <c r="Q823" i="5"/>
  <c r="Q841" i="5"/>
  <c r="Q853" i="5"/>
  <c r="Q865" i="5"/>
  <c r="Q877" i="5"/>
  <c r="P934" i="5"/>
  <c r="P949" i="5"/>
  <c r="S952" i="5"/>
  <c r="Q952" i="5"/>
  <c r="P961" i="5"/>
  <c r="O979" i="5"/>
  <c r="O982" i="5"/>
  <c r="R982" i="5" s="1"/>
  <c r="Q982" i="5"/>
  <c r="P988" i="5"/>
  <c r="R988" i="5" s="1"/>
  <c r="T988" i="5" s="1"/>
  <c r="Q988" i="5"/>
  <c r="P991" i="5"/>
  <c r="S994" i="5"/>
  <c r="Q994" i="5"/>
  <c r="Q997" i="5"/>
  <c r="O1000" i="5"/>
  <c r="P1030" i="5"/>
  <c r="Q652" i="5"/>
  <c r="Q655" i="5"/>
  <c r="Q664" i="5"/>
  <c r="Q667" i="5"/>
  <c r="Q676" i="5"/>
  <c r="Q679" i="5"/>
  <c r="Q688" i="5"/>
  <c r="Q691" i="5"/>
  <c r="Q700" i="5"/>
  <c r="Q703" i="5"/>
  <c r="Q712" i="5"/>
  <c r="Q715" i="5"/>
  <c r="Q724" i="5"/>
  <c r="Q727" i="5"/>
  <c r="Q736" i="5"/>
  <c r="Q739" i="5"/>
  <c r="Q757" i="5"/>
  <c r="Q769" i="5"/>
  <c r="Q793" i="5"/>
  <c r="Q805" i="5"/>
  <c r="P817" i="5"/>
  <c r="Q820" i="5"/>
  <c r="S832" i="5"/>
  <c r="Q871" i="5"/>
  <c r="P883" i="5"/>
  <c r="P910" i="5"/>
  <c r="P925" i="5"/>
  <c r="S928" i="5"/>
  <c r="Q928" i="5"/>
  <c r="P937" i="5"/>
  <c r="O955" i="5"/>
  <c r="R955" i="5" s="1"/>
  <c r="O958" i="5"/>
  <c r="Q958" i="5"/>
  <c r="P964" i="5"/>
  <c r="Q964" i="5"/>
  <c r="P967" i="5"/>
  <c r="S970" i="5"/>
  <c r="Q970" i="5"/>
  <c r="Q973" i="5"/>
  <c r="O976" i="5"/>
  <c r="P1006" i="5"/>
  <c r="P1021" i="5"/>
  <c r="S1024" i="5"/>
  <c r="Q1024" i="5"/>
  <c r="P1033" i="5"/>
  <c r="P1045" i="5"/>
  <c r="S1048" i="5"/>
  <c r="P1054" i="5"/>
  <c r="O38" i="7"/>
  <c r="O37" i="7"/>
  <c r="U37" i="7"/>
  <c r="U36" i="6"/>
  <c r="V6" i="6"/>
  <c r="R6" i="6"/>
  <c r="T12" i="6"/>
  <c r="S12" i="6"/>
  <c r="U12" i="6" s="1"/>
  <c r="R15" i="6"/>
  <c r="U15" i="6" s="1"/>
  <c r="T24" i="6"/>
  <c r="S24" i="6"/>
  <c r="U24" i="6" s="1"/>
  <c r="R27" i="6"/>
  <c r="T36" i="6"/>
  <c r="W36" i="6" s="1"/>
  <c r="S36" i="6"/>
  <c r="V42" i="6"/>
  <c r="R42" i="6"/>
  <c r="S57" i="6"/>
  <c r="V57" i="6"/>
  <c r="R57" i="6"/>
  <c r="V66" i="6"/>
  <c r="S81" i="6"/>
  <c r="V81" i="6"/>
  <c r="R81" i="6"/>
  <c r="V114" i="6"/>
  <c r="S132" i="6"/>
  <c r="R132" i="6"/>
  <c r="S153" i="6"/>
  <c r="V153" i="6"/>
  <c r="S156" i="6"/>
  <c r="R156" i="6"/>
  <c r="T159" i="6"/>
  <c r="S204" i="6"/>
  <c r="R204" i="6"/>
  <c r="U204" i="6" s="1"/>
  <c r="T252" i="6"/>
  <c r="S252" i="6"/>
  <c r="V252" i="6"/>
  <c r="R252" i="6"/>
  <c r="U252" i="6" s="1"/>
  <c r="V258" i="6"/>
  <c r="R258" i="6"/>
  <c r="S258" i="6"/>
  <c r="T258" i="6"/>
  <c r="S21" i="6"/>
  <c r="V21" i="6"/>
  <c r="R21" i="6"/>
  <c r="U21" i="6" s="1"/>
  <c r="W21" i="6" s="1"/>
  <c r="S33" i="6"/>
  <c r="V33" i="6"/>
  <c r="R33" i="6"/>
  <c r="T60" i="6"/>
  <c r="S60" i="6"/>
  <c r="V60" i="6"/>
  <c r="R60" i="6"/>
  <c r="U60" i="6" s="1"/>
  <c r="T84" i="6"/>
  <c r="S84" i="6"/>
  <c r="V84" i="6"/>
  <c r="R84" i="6"/>
  <c r="U84" i="6" s="1"/>
  <c r="T111" i="6"/>
  <c r="S111" i="6"/>
  <c r="U111" i="6" s="1"/>
  <c r="S192" i="6"/>
  <c r="R192" i="6"/>
  <c r="T234" i="6"/>
  <c r="W267" i="6"/>
  <c r="T270" i="6"/>
  <c r="T312" i="6"/>
  <c r="V312" i="6"/>
  <c r="R312" i="6"/>
  <c r="U312" i="6" s="1"/>
  <c r="T408" i="6"/>
  <c r="S408" i="6"/>
  <c r="V408" i="6"/>
  <c r="R408" i="6"/>
  <c r="U408" i="6" s="1"/>
  <c r="V90" i="6"/>
  <c r="V111" i="6"/>
  <c r="S129" i="6"/>
  <c r="V129" i="6"/>
  <c r="R129" i="6"/>
  <c r="U129" i="6" s="1"/>
  <c r="W129" i="6" s="1"/>
  <c r="R135" i="6"/>
  <c r="U135" i="6" s="1"/>
  <c r="V135" i="6"/>
  <c r="T135" i="6"/>
  <c r="W135" i="6" s="1"/>
  <c r="T153" i="6"/>
  <c r="R159" i="6"/>
  <c r="U159" i="6" s="1"/>
  <c r="V159" i="6"/>
  <c r="S6" i="6"/>
  <c r="S15" i="6"/>
  <c r="S27" i="6"/>
  <c r="S39" i="6"/>
  <c r="S42" i="6"/>
  <c r="T48" i="6"/>
  <c r="S48" i="6"/>
  <c r="V48" i="6"/>
  <c r="R48" i="6"/>
  <c r="T51" i="6"/>
  <c r="S51" i="6"/>
  <c r="U51" i="6" s="1"/>
  <c r="W69" i="6"/>
  <c r="T72" i="6"/>
  <c r="S72" i="6"/>
  <c r="V72" i="6"/>
  <c r="R72" i="6"/>
  <c r="T75" i="6"/>
  <c r="S75" i="6"/>
  <c r="U75" i="6" s="1"/>
  <c r="T96" i="6"/>
  <c r="S96" i="6"/>
  <c r="V96" i="6"/>
  <c r="R96" i="6"/>
  <c r="T99" i="6"/>
  <c r="S99" i="6"/>
  <c r="U99" i="6" s="1"/>
  <c r="W117" i="6"/>
  <c r="T120" i="6"/>
  <c r="S120" i="6"/>
  <c r="V120" i="6"/>
  <c r="R120" i="6"/>
  <c r="T123" i="6"/>
  <c r="S123" i="6"/>
  <c r="U123" i="6" s="1"/>
  <c r="V132" i="6"/>
  <c r="T150" i="6"/>
  <c r="V156" i="6"/>
  <c r="S168" i="6"/>
  <c r="R168" i="6"/>
  <c r="U168" i="6" s="1"/>
  <c r="U189" i="6"/>
  <c r="V204" i="6"/>
  <c r="S216" i="6"/>
  <c r="R216" i="6"/>
  <c r="U216" i="6" s="1"/>
  <c r="V246" i="6"/>
  <c r="R246" i="6"/>
  <c r="S246" i="6"/>
  <c r="T246" i="6"/>
  <c r="T288" i="6"/>
  <c r="V288" i="6"/>
  <c r="R288" i="6"/>
  <c r="T387" i="6"/>
  <c r="S387" i="6"/>
  <c r="V387" i="6"/>
  <c r="R387" i="6"/>
  <c r="S9" i="6"/>
  <c r="V9" i="6"/>
  <c r="R9" i="6"/>
  <c r="T63" i="6"/>
  <c r="S63" i="6"/>
  <c r="U63" i="6" s="1"/>
  <c r="T87" i="6"/>
  <c r="S87" i="6"/>
  <c r="U87" i="6" s="1"/>
  <c r="T108" i="6"/>
  <c r="S108" i="6"/>
  <c r="V108" i="6"/>
  <c r="R108" i="6"/>
  <c r="U153" i="6"/>
  <c r="S234" i="6"/>
  <c r="V234" i="6"/>
  <c r="R234" i="6"/>
  <c r="U234" i="6" s="1"/>
  <c r="T264" i="6"/>
  <c r="V264" i="6"/>
  <c r="R264" i="6"/>
  <c r="V270" i="6"/>
  <c r="R270" i="6"/>
  <c r="S270" i="6"/>
  <c r="V18" i="6"/>
  <c r="R18" i="6"/>
  <c r="U18" i="6" s="1"/>
  <c r="W18" i="6" s="1"/>
  <c r="V30" i="6"/>
  <c r="R30" i="6"/>
  <c r="U30" i="6" s="1"/>
  <c r="W30" i="6" s="1"/>
  <c r="R39" i="6"/>
  <c r="U39" i="6" s="1"/>
  <c r="V63" i="6"/>
  <c r="S105" i="6"/>
  <c r="V105" i="6"/>
  <c r="R105" i="6"/>
  <c r="U105" i="6" s="1"/>
  <c r="W105" i="6" s="1"/>
  <c r="V12" i="6"/>
  <c r="T15" i="6"/>
  <c r="V24" i="6"/>
  <c r="T27" i="6"/>
  <c r="V36" i="6"/>
  <c r="T39" i="6"/>
  <c r="S45" i="6"/>
  <c r="V45" i="6"/>
  <c r="R45" i="6"/>
  <c r="V51" i="6"/>
  <c r="V54" i="6"/>
  <c r="S66" i="6"/>
  <c r="S69" i="6"/>
  <c r="V69" i="6"/>
  <c r="R69" i="6"/>
  <c r="U69" i="6" s="1"/>
  <c r="V75" i="6"/>
  <c r="V78" i="6"/>
  <c r="S90" i="6"/>
  <c r="S93" i="6"/>
  <c r="V93" i="6"/>
  <c r="R93" i="6"/>
  <c r="V99" i="6"/>
  <c r="V102" i="6"/>
  <c r="S114" i="6"/>
  <c r="S117" i="6"/>
  <c r="V117" i="6"/>
  <c r="R117" i="6"/>
  <c r="U117" i="6" s="1"/>
  <c r="V123" i="6"/>
  <c r="R141" i="6"/>
  <c r="V141" i="6"/>
  <c r="S147" i="6"/>
  <c r="R147" i="6"/>
  <c r="U147" i="6" s="1"/>
  <c r="W147" i="6" s="1"/>
  <c r="S180" i="6"/>
  <c r="R180" i="6"/>
  <c r="U180" i="6" s="1"/>
  <c r="U201" i="6"/>
  <c r="W201" i="6" s="1"/>
  <c r="S228" i="6"/>
  <c r="R228" i="6"/>
  <c r="T276" i="6"/>
  <c r="V276" i="6"/>
  <c r="R276" i="6"/>
  <c r="W279" i="6"/>
  <c r="V282" i="6"/>
  <c r="R282" i="6"/>
  <c r="S282" i="6"/>
  <c r="T282" i="6"/>
  <c r="T366" i="6"/>
  <c r="W366" i="6" s="1"/>
  <c r="S366" i="6"/>
  <c r="V138" i="6"/>
  <c r="R138" i="6"/>
  <c r="U138" i="6" s="1"/>
  <c r="W138" i="6" s="1"/>
  <c r="V162" i="6"/>
  <c r="R162" i="6"/>
  <c r="U162" i="6" s="1"/>
  <c r="W162" i="6" s="1"/>
  <c r="S174" i="6"/>
  <c r="V174" i="6"/>
  <c r="R174" i="6"/>
  <c r="U174" i="6" s="1"/>
  <c r="W174" i="6" s="1"/>
  <c r="S177" i="6"/>
  <c r="U177" i="6" s="1"/>
  <c r="W177" i="6" s="1"/>
  <c r="S186" i="6"/>
  <c r="V186" i="6"/>
  <c r="R186" i="6"/>
  <c r="U186" i="6" s="1"/>
  <c r="W186" i="6" s="1"/>
  <c r="S189" i="6"/>
  <c r="S198" i="6"/>
  <c r="V198" i="6"/>
  <c r="R198" i="6"/>
  <c r="U198" i="6" s="1"/>
  <c r="W198" i="6" s="1"/>
  <c r="S201" i="6"/>
  <c r="S210" i="6"/>
  <c r="V210" i="6"/>
  <c r="R210" i="6"/>
  <c r="U210" i="6" s="1"/>
  <c r="W210" i="6" s="1"/>
  <c r="S213" i="6"/>
  <c r="U213" i="6" s="1"/>
  <c r="W213" i="6" s="1"/>
  <c r="S222" i="6"/>
  <c r="V222" i="6"/>
  <c r="R222" i="6"/>
  <c r="U222" i="6" s="1"/>
  <c r="S225" i="6"/>
  <c r="U225" i="6" s="1"/>
  <c r="W225" i="6" s="1"/>
  <c r="S240" i="6"/>
  <c r="V240" i="6"/>
  <c r="W255" i="6"/>
  <c r="T342" i="6"/>
  <c r="W342" i="6" s="1"/>
  <c r="S342" i="6"/>
  <c r="T363" i="6"/>
  <c r="W363" i="6" s="1"/>
  <c r="S363" i="6"/>
  <c r="V363" i="6"/>
  <c r="T384" i="6"/>
  <c r="S384" i="6"/>
  <c r="V384" i="6"/>
  <c r="R384" i="6"/>
  <c r="S141" i="6"/>
  <c r="V144" i="6"/>
  <c r="W165" i="6"/>
  <c r="V171" i="6"/>
  <c r="R171" i="6"/>
  <c r="V183" i="6"/>
  <c r="R183" i="6"/>
  <c r="W189" i="6"/>
  <c r="V195" i="6"/>
  <c r="R195" i="6"/>
  <c r="V207" i="6"/>
  <c r="R207" i="6"/>
  <c r="V219" i="6"/>
  <c r="R219" i="6"/>
  <c r="V231" i="6"/>
  <c r="R231" i="6"/>
  <c r="W273" i="6"/>
  <c r="T294" i="6"/>
  <c r="S294" i="6"/>
  <c r="T318" i="6"/>
  <c r="S318" i="6"/>
  <c r="S339" i="6"/>
  <c r="U339" i="6" s="1"/>
  <c r="V339" i="6"/>
  <c r="T360" i="6"/>
  <c r="W360" i="6" s="1"/>
  <c r="V360" i="6"/>
  <c r="R360" i="6"/>
  <c r="U360" i="6" s="1"/>
  <c r="R363" i="6"/>
  <c r="U363" i="6" s="1"/>
  <c r="R54" i="6"/>
  <c r="U54" i="6" s="1"/>
  <c r="W54" i="6" s="1"/>
  <c r="R66" i="6"/>
  <c r="U66" i="6" s="1"/>
  <c r="W66" i="6" s="1"/>
  <c r="R78" i="6"/>
  <c r="U78" i="6" s="1"/>
  <c r="W78" i="6" s="1"/>
  <c r="R90" i="6"/>
  <c r="U90" i="6" s="1"/>
  <c r="W90" i="6" s="1"/>
  <c r="R102" i="6"/>
  <c r="U102" i="6" s="1"/>
  <c r="W102" i="6" s="1"/>
  <c r="R114" i="6"/>
  <c r="U114" i="6" s="1"/>
  <c r="W114" i="6" s="1"/>
  <c r="R126" i="6"/>
  <c r="U126" i="6" s="1"/>
  <c r="W126" i="6" s="1"/>
  <c r="T132" i="6"/>
  <c r="R144" i="6"/>
  <c r="U144" i="6" s="1"/>
  <c r="W144" i="6" s="1"/>
  <c r="V150" i="6"/>
  <c r="R150" i="6"/>
  <c r="U150" i="6" s="1"/>
  <c r="T156" i="6"/>
  <c r="T168" i="6"/>
  <c r="S171" i="6"/>
  <c r="T180" i="6"/>
  <c r="S183" i="6"/>
  <c r="T192" i="6"/>
  <c r="S195" i="6"/>
  <c r="T204" i="6"/>
  <c r="S207" i="6"/>
  <c r="T216" i="6"/>
  <c r="S219" i="6"/>
  <c r="T222" i="6"/>
  <c r="T228" i="6"/>
  <c r="S231" i="6"/>
  <c r="T237" i="6"/>
  <c r="W237" i="6" s="1"/>
  <c r="V237" i="6"/>
  <c r="R237" i="6"/>
  <c r="U237" i="6" s="1"/>
  <c r="R240" i="6"/>
  <c r="S291" i="6"/>
  <c r="U291" i="6" s="1"/>
  <c r="V291" i="6"/>
  <c r="S315" i="6"/>
  <c r="U315" i="6" s="1"/>
  <c r="V315" i="6"/>
  <c r="T336" i="6"/>
  <c r="W336" i="6" s="1"/>
  <c r="V336" i="6"/>
  <c r="R336" i="6"/>
  <c r="T390" i="6"/>
  <c r="S390" i="6"/>
  <c r="V294" i="6"/>
  <c r="S309" i="6"/>
  <c r="V309" i="6"/>
  <c r="R309" i="6"/>
  <c r="V318" i="6"/>
  <c r="S333" i="6"/>
  <c r="V333" i="6"/>
  <c r="R333" i="6"/>
  <c r="V342" i="6"/>
  <c r="S357" i="6"/>
  <c r="V357" i="6"/>
  <c r="R357" i="6"/>
  <c r="V366" i="6"/>
  <c r="S381" i="6"/>
  <c r="V381" i="6"/>
  <c r="R381" i="6"/>
  <c r="V390" i="6"/>
  <c r="S405" i="6"/>
  <c r="V405" i="6"/>
  <c r="R405" i="6"/>
  <c r="T243" i="6"/>
  <c r="W243" i="6" s="1"/>
  <c r="T300" i="6"/>
  <c r="W300" i="6" s="1"/>
  <c r="V300" i="6"/>
  <c r="R300" i="6"/>
  <c r="U300" i="6" s="1"/>
  <c r="T324" i="6"/>
  <c r="W324" i="6" s="1"/>
  <c r="V324" i="6"/>
  <c r="R324" i="6"/>
  <c r="U324" i="6" s="1"/>
  <c r="T348" i="6"/>
  <c r="W348" i="6" s="1"/>
  <c r="V348" i="6"/>
  <c r="R348" i="6"/>
  <c r="U348" i="6" s="1"/>
  <c r="T372" i="6"/>
  <c r="W372" i="6" s="1"/>
  <c r="S372" i="6"/>
  <c r="V372" i="6"/>
  <c r="R372" i="6"/>
  <c r="U372" i="6" s="1"/>
  <c r="U375" i="6"/>
  <c r="T375" i="6"/>
  <c r="S375" i="6"/>
  <c r="T396" i="6"/>
  <c r="S396" i="6"/>
  <c r="V396" i="6"/>
  <c r="R396" i="6"/>
  <c r="U399" i="6"/>
  <c r="T399" i="6"/>
  <c r="W399" i="6" s="1"/>
  <c r="S399" i="6"/>
  <c r="S249" i="6"/>
  <c r="V249" i="6"/>
  <c r="R249" i="6"/>
  <c r="U249" i="6" s="1"/>
  <c r="W249" i="6" s="1"/>
  <c r="S261" i="6"/>
  <c r="V261" i="6"/>
  <c r="R261" i="6"/>
  <c r="U261" i="6" s="1"/>
  <c r="W261" i="6" s="1"/>
  <c r="S264" i="6"/>
  <c r="S273" i="6"/>
  <c r="V273" i="6"/>
  <c r="R273" i="6"/>
  <c r="U273" i="6" s="1"/>
  <c r="S276" i="6"/>
  <c r="S285" i="6"/>
  <c r="V285" i="6"/>
  <c r="R285" i="6"/>
  <c r="U285" i="6" s="1"/>
  <c r="W285" i="6" s="1"/>
  <c r="S288" i="6"/>
  <c r="T291" i="6"/>
  <c r="S297" i="6"/>
  <c r="V297" i="6"/>
  <c r="R297" i="6"/>
  <c r="U297" i="6" s="1"/>
  <c r="V303" i="6"/>
  <c r="V306" i="6"/>
  <c r="S312" i="6"/>
  <c r="T315" i="6"/>
  <c r="W315" i="6" s="1"/>
  <c r="S321" i="6"/>
  <c r="V321" i="6"/>
  <c r="R321" i="6"/>
  <c r="U321" i="6" s="1"/>
  <c r="W321" i="6" s="1"/>
  <c r="V327" i="6"/>
  <c r="V330" i="6"/>
  <c r="S336" i="6"/>
  <c r="T339" i="6"/>
  <c r="S345" i="6"/>
  <c r="V345" i="6"/>
  <c r="R345" i="6"/>
  <c r="V351" i="6"/>
  <c r="V354" i="6"/>
  <c r="S360" i="6"/>
  <c r="S369" i="6"/>
  <c r="V369" i="6"/>
  <c r="R369" i="6"/>
  <c r="U369" i="6" s="1"/>
  <c r="W369" i="6" s="1"/>
  <c r="V375" i="6"/>
  <c r="V378" i="6"/>
  <c r="S393" i="6"/>
  <c r="V393" i="6"/>
  <c r="R393" i="6"/>
  <c r="V399" i="6"/>
  <c r="V402" i="6"/>
  <c r="R294" i="6"/>
  <c r="U294" i="6" s="1"/>
  <c r="R306" i="6"/>
  <c r="U306" i="6" s="1"/>
  <c r="R318" i="6"/>
  <c r="U318" i="6" s="1"/>
  <c r="R330" i="6"/>
  <c r="U330" i="6" s="1"/>
  <c r="W330" i="6" s="1"/>
  <c r="R342" i="6"/>
  <c r="U342" i="6" s="1"/>
  <c r="R354" i="6"/>
  <c r="U354" i="6" s="1"/>
  <c r="W354" i="6" s="1"/>
  <c r="R366" i="6"/>
  <c r="U366" i="6" s="1"/>
  <c r="R378" i="6"/>
  <c r="U378" i="6" s="1"/>
  <c r="W378" i="6" s="1"/>
  <c r="R390" i="6"/>
  <c r="U390" i="6" s="1"/>
  <c r="R402" i="6"/>
  <c r="U402" i="6" s="1"/>
  <c r="W402" i="6" s="1"/>
  <c r="T37" i="5"/>
  <c r="P295" i="5"/>
  <c r="S295" i="5"/>
  <c r="P319" i="5"/>
  <c r="S319" i="5"/>
  <c r="O319" i="5"/>
  <c r="R319" i="5" s="1"/>
  <c r="T397" i="5"/>
  <c r="O10" i="5"/>
  <c r="S10" i="5"/>
  <c r="O22" i="5"/>
  <c r="S22" i="5"/>
  <c r="Q28" i="5"/>
  <c r="O34" i="5"/>
  <c r="Q40" i="5"/>
  <c r="T40" i="5" s="1"/>
  <c r="O46" i="5"/>
  <c r="O58" i="5"/>
  <c r="P61" i="5"/>
  <c r="R61" i="5" s="1"/>
  <c r="T61" i="5" s="1"/>
  <c r="Q64" i="5"/>
  <c r="O70" i="5"/>
  <c r="P73" i="5"/>
  <c r="Q76" i="5"/>
  <c r="O82" i="5"/>
  <c r="P85" i="5"/>
  <c r="R85" i="5" s="1"/>
  <c r="T85" i="5" s="1"/>
  <c r="Q88" i="5"/>
  <c r="O94" i="5"/>
  <c r="Q100" i="5"/>
  <c r="O106" i="5"/>
  <c r="Q112" i="5"/>
  <c r="T112" i="5" s="1"/>
  <c r="O118" i="5"/>
  <c r="Q124" i="5"/>
  <c r="O130" i="5"/>
  <c r="Q136" i="5"/>
  <c r="T136" i="5" s="1"/>
  <c r="O142" i="5"/>
  <c r="Q148" i="5"/>
  <c r="O154" i="5"/>
  <c r="Q160" i="5"/>
  <c r="O166" i="5"/>
  <c r="Q172" i="5"/>
  <c r="T172" i="5" s="1"/>
  <c r="O178" i="5"/>
  <c r="Q184" i="5"/>
  <c r="O190" i="5"/>
  <c r="Q196" i="5"/>
  <c r="T196" i="5" s="1"/>
  <c r="O202" i="5"/>
  <c r="P205" i="5"/>
  <c r="Q208" i="5"/>
  <c r="O214" i="5"/>
  <c r="S214" i="5"/>
  <c r="P217" i="5"/>
  <c r="R217" i="5" s="1"/>
  <c r="Q220" i="5"/>
  <c r="O226" i="5"/>
  <c r="P229" i="5"/>
  <c r="R229" i="5" s="1"/>
  <c r="T229" i="5" s="1"/>
  <c r="Q232" i="5"/>
  <c r="O238" i="5"/>
  <c r="S238" i="5"/>
  <c r="P241" i="5"/>
  <c r="R241" i="5" s="1"/>
  <c r="T241" i="5" s="1"/>
  <c r="O250" i="5"/>
  <c r="S250" i="5"/>
  <c r="P253" i="5"/>
  <c r="O262" i="5"/>
  <c r="S262" i="5"/>
  <c r="P265" i="5"/>
  <c r="R265" i="5" s="1"/>
  <c r="O274" i="5"/>
  <c r="S274" i="5"/>
  <c r="P277" i="5"/>
  <c r="S292" i="5"/>
  <c r="S310" i="5"/>
  <c r="O310" i="5"/>
  <c r="Q310" i="5"/>
  <c r="P310" i="5"/>
  <c r="P10" i="5"/>
  <c r="O19" i="5"/>
  <c r="R19" i="5" s="1"/>
  <c r="T19" i="5" s="1"/>
  <c r="S19" i="5"/>
  <c r="P22" i="5"/>
  <c r="O31" i="5"/>
  <c r="R31" i="5" s="1"/>
  <c r="T31" i="5" s="1"/>
  <c r="S31" i="5"/>
  <c r="P34" i="5"/>
  <c r="O43" i="5"/>
  <c r="S43" i="5"/>
  <c r="P46" i="5"/>
  <c r="O55" i="5"/>
  <c r="R55" i="5" s="1"/>
  <c r="T55" i="5" s="1"/>
  <c r="S55" i="5"/>
  <c r="P58" i="5"/>
  <c r="O67" i="5"/>
  <c r="R67" i="5" s="1"/>
  <c r="T67" i="5" s="1"/>
  <c r="S67" i="5"/>
  <c r="P70" i="5"/>
  <c r="O79" i="5"/>
  <c r="R79" i="5" s="1"/>
  <c r="S79" i="5"/>
  <c r="P82" i="5"/>
  <c r="O91" i="5"/>
  <c r="S91" i="5"/>
  <c r="P94" i="5"/>
  <c r="O103" i="5"/>
  <c r="S103" i="5"/>
  <c r="P106" i="5"/>
  <c r="O115" i="5"/>
  <c r="R115" i="5" s="1"/>
  <c r="T115" i="5" s="1"/>
  <c r="S115" i="5"/>
  <c r="P118" i="5"/>
  <c r="O127" i="5"/>
  <c r="S127" i="5"/>
  <c r="P130" i="5"/>
  <c r="O139" i="5"/>
  <c r="S139" i="5"/>
  <c r="P142" i="5"/>
  <c r="O151" i="5"/>
  <c r="S151" i="5"/>
  <c r="P154" i="5"/>
  <c r="O163" i="5"/>
  <c r="R163" i="5" s="1"/>
  <c r="T163" i="5" s="1"/>
  <c r="S163" i="5"/>
  <c r="P166" i="5"/>
  <c r="O175" i="5"/>
  <c r="S175" i="5"/>
  <c r="P178" i="5"/>
  <c r="O187" i="5"/>
  <c r="S187" i="5"/>
  <c r="P190" i="5"/>
  <c r="O199" i="5"/>
  <c r="S199" i="5"/>
  <c r="P202" i="5"/>
  <c r="O211" i="5"/>
  <c r="R211" i="5" s="1"/>
  <c r="T211" i="5" s="1"/>
  <c r="S211" i="5"/>
  <c r="P214" i="5"/>
  <c r="O223" i="5"/>
  <c r="S223" i="5"/>
  <c r="P226" i="5"/>
  <c r="O235" i="5"/>
  <c r="R235" i="5" s="1"/>
  <c r="T235" i="5" s="1"/>
  <c r="S235" i="5"/>
  <c r="P238" i="5"/>
  <c r="O247" i="5"/>
  <c r="S247" i="5"/>
  <c r="P250" i="5"/>
  <c r="O259" i="5"/>
  <c r="R259" i="5" s="1"/>
  <c r="T259" i="5" s="1"/>
  <c r="S259" i="5"/>
  <c r="P262" i="5"/>
  <c r="O271" i="5"/>
  <c r="S271" i="5"/>
  <c r="P274" i="5"/>
  <c r="O283" i="5"/>
  <c r="R283" i="5" s="1"/>
  <c r="T283" i="5" s="1"/>
  <c r="S286" i="5"/>
  <c r="O286" i="5"/>
  <c r="R286" i="5" s="1"/>
  <c r="Q286" i="5"/>
  <c r="O289" i="5"/>
  <c r="Q292" i="5"/>
  <c r="O292" i="5"/>
  <c r="R292" i="5" s="1"/>
  <c r="T292" i="5" s="1"/>
  <c r="O295" i="5"/>
  <c r="P307" i="5"/>
  <c r="S307" i="5"/>
  <c r="O307" i="5"/>
  <c r="S313" i="5"/>
  <c r="S316" i="5"/>
  <c r="O16" i="5"/>
  <c r="O28" i="5"/>
  <c r="R28" i="5" s="1"/>
  <c r="O52" i="5"/>
  <c r="R52" i="5" s="1"/>
  <c r="T52" i="5" s="1"/>
  <c r="O64" i="5"/>
  <c r="R64" i="5" s="1"/>
  <c r="O148" i="5"/>
  <c r="O160" i="5"/>
  <c r="R160" i="5" s="1"/>
  <c r="O244" i="5"/>
  <c r="O256" i="5"/>
  <c r="O268" i="5"/>
  <c r="O280" i="5"/>
  <c r="R280" i="5" s="1"/>
  <c r="T280" i="5" s="1"/>
  <c r="S298" i="5"/>
  <c r="O298" i="5"/>
  <c r="Q298" i="5"/>
  <c r="P298" i="5"/>
  <c r="R301" i="5"/>
  <c r="P313" i="5"/>
  <c r="R313" i="5" s="1"/>
  <c r="T313" i="5" s="1"/>
  <c r="Q316" i="5"/>
  <c r="S322" i="5"/>
  <c r="O322" i="5"/>
  <c r="Q322" i="5"/>
  <c r="P322" i="5"/>
  <c r="R325" i="5"/>
  <c r="T325" i="5" s="1"/>
  <c r="O331" i="5"/>
  <c r="S331" i="5"/>
  <c r="P334" i="5"/>
  <c r="O343" i="5"/>
  <c r="S343" i="5"/>
  <c r="P346" i="5"/>
  <c r="O355" i="5"/>
  <c r="S355" i="5"/>
  <c r="P358" i="5"/>
  <c r="O367" i="5"/>
  <c r="R367" i="5" s="1"/>
  <c r="S367" i="5"/>
  <c r="P370" i="5"/>
  <c r="O379" i="5"/>
  <c r="S379" i="5"/>
  <c r="P382" i="5"/>
  <c r="O391" i="5"/>
  <c r="R391" i="5" s="1"/>
  <c r="T391" i="5" s="1"/>
  <c r="S391" i="5"/>
  <c r="P394" i="5"/>
  <c r="O403" i="5"/>
  <c r="S403" i="5"/>
  <c r="P406" i="5"/>
  <c r="O415" i="5"/>
  <c r="R415" i="5" s="1"/>
  <c r="T415" i="5" s="1"/>
  <c r="S415" i="5"/>
  <c r="P418" i="5"/>
  <c r="O427" i="5"/>
  <c r="R427" i="5" s="1"/>
  <c r="S427" i="5"/>
  <c r="O433" i="5"/>
  <c r="S433" i="5"/>
  <c r="O442" i="5"/>
  <c r="S442" i="5"/>
  <c r="P445" i="5"/>
  <c r="Q460" i="5"/>
  <c r="P460" i="5"/>
  <c r="O460" i="5"/>
  <c r="O304" i="5"/>
  <c r="R304" i="5" s="1"/>
  <c r="O316" i="5"/>
  <c r="R316" i="5" s="1"/>
  <c r="O328" i="5"/>
  <c r="R328" i="5" s="1"/>
  <c r="T328" i="5" s="1"/>
  <c r="Q334" i="5"/>
  <c r="O340" i="5"/>
  <c r="R340" i="5" s="1"/>
  <c r="T340" i="5" s="1"/>
  <c r="Q346" i="5"/>
  <c r="O352" i="5"/>
  <c r="R352" i="5" s="1"/>
  <c r="T352" i="5" s="1"/>
  <c r="Q358" i="5"/>
  <c r="O364" i="5"/>
  <c r="R364" i="5" s="1"/>
  <c r="T364" i="5" s="1"/>
  <c r="Q370" i="5"/>
  <c r="O376" i="5"/>
  <c r="R376" i="5" s="1"/>
  <c r="Q382" i="5"/>
  <c r="O388" i="5"/>
  <c r="R388" i="5" s="1"/>
  <c r="T388" i="5" s="1"/>
  <c r="Q394" i="5"/>
  <c r="O400" i="5"/>
  <c r="Q406" i="5"/>
  <c r="O412" i="5"/>
  <c r="R412" i="5" s="1"/>
  <c r="T412" i="5" s="1"/>
  <c r="Q418" i="5"/>
  <c r="O424" i="5"/>
  <c r="R424" i="5" s="1"/>
  <c r="O439" i="5"/>
  <c r="R439" i="5" s="1"/>
  <c r="T439" i="5" s="1"/>
  <c r="Q445" i="5"/>
  <c r="P454" i="5"/>
  <c r="P457" i="5"/>
  <c r="S457" i="5"/>
  <c r="O457" i="5"/>
  <c r="S463" i="5"/>
  <c r="S472" i="5"/>
  <c r="Q448" i="5"/>
  <c r="S448" i="5"/>
  <c r="Q451" i="5"/>
  <c r="P451" i="5"/>
  <c r="R451" i="5" s="1"/>
  <c r="T451" i="5" s="1"/>
  <c r="Q472" i="5"/>
  <c r="P472" i="5"/>
  <c r="O334" i="5"/>
  <c r="O346" i="5"/>
  <c r="O358" i="5"/>
  <c r="R358" i="5" s="1"/>
  <c r="O370" i="5"/>
  <c r="O382" i="5"/>
  <c r="O394" i="5"/>
  <c r="O406" i="5"/>
  <c r="R406" i="5" s="1"/>
  <c r="O418" i="5"/>
  <c r="P448" i="5"/>
  <c r="R448" i="5" s="1"/>
  <c r="S451" i="5"/>
  <c r="S454" i="5"/>
  <c r="S460" i="5"/>
  <c r="P469" i="5"/>
  <c r="S469" i="5"/>
  <c r="O469" i="5"/>
  <c r="S787" i="5"/>
  <c r="O787" i="5"/>
  <c r="S811" i="5"/>
  <c r="O811" i="5"/>
  <c r="S835" i="5"/>
  <c r="O835" i="5"/>
  <c r="Q466" i="5"/>
  <c r="O472" i="5"/>
  <c r="R472" i="5" s="1"/>
  <c r="Q478" i="5"/>
  <c r="O484" i="5"/>
  <c r="Q490" i="5"/>
  <c r="O496" i="5"/>
  <c r="Q502" i="5"/>
  <c r="O508" i="5"/>
  <c r="Q514" i="5"/>
  <c r="O520" i="5"/>
  <c r="Q526" i="5"/>
  <c r="O532" i="5"/>
  <c r="Q538" i="5"/>
  <c r="O544" i="5"/>
  <c r="Q550" i="5"/>
  <c r="O556" i="5"/>
  <c r="Q562" i="5"/>
  <c r="O568" i="5"/>
  <c r="O580" i="5"/>
  <c r="Q586" i="5"/>
  <c r="O592" i="5"/>
  <c r="Q598" i="5"/>
  <c r="O604" i="5"/>
  <c r="Q610" i="5"/>
  <c r="O616" i="5"/>
  <c r="Q622" i="5"/>
  <c r="T622" i="5" s="1"/>
  <c r="O628" i="5"/>
  <c r="Q634" i="5"/>
  <c r="O640" i="5"/>
  <c r="Q646" i="5"/>
  <c r="O652" i="5"/>
  <c r="Q658" i="5"/>
  <c r="O664" i="5"/>
  <c r="Q670" i="5"/>
  <c r="O676" i="5"/>
  <c r="Q682" i="5"/>
  <c r="O688" i="5"/>
  <c r="Q694" i="5"/>
  <c r="O700" i="5"/>
  <c r="Q706" i="5"/>
  <c r="O712" i="5"/>
  <c r="Q718" i="5"/>
  <c r="O724" i="5"/>
  <c r="Q730" i="5"/>
  <c r="O736" i="5"/>
  <c r="Q742" i="5"/>
  <c r="P757" i="5"/>
  <c r="S757" i="5"/>
  <c r="O757" i="5"/>
  <c r="P769" i="5"/>
  <c r="S769" i="5"/>
  <c r="O769" i="5"/>
  <c r="Q772" i="5"/>
  <c r="Q775" i="5"/>
  <c r="P778" i="5"/>
  <c r="S778" i="5"/>
  <c r="O778" i="5"/>
  <c r="P793" i="5"/>
  <c r="P802" i="5"/>
  <c r="S802" i="5"/>
  <c r="O802" i="5"/>
  <c r="P826" i="5"/>
  <c r="S826" i="5"/>
  <c r="O826" i="5"/>
  <c r="O481" i="5"/>
  <c r="R481" i="5" s="1"/>
  <c r="S481" i="5"/>
  <c r="P484" i="5"/>
  <c r="O493" i="5"/>
  <c r="R493" i="5" s="1"/>
  <c r="T493" i="5" s="1"/>
  <c r="S493" i="5"/>
  <c r="P496" i="5"/>
  <c r="O505" i="5"/>
  <c r="R505" i="5" s="1"/>
  <c r="T505" i="5" s="1"/>
  <c r="S505" i="5"/>
  <c r="P508" i="5"/>
  <c r="O517" i="5"/>
  <c r="R517" i="5" s="1"/>
  <c r="T517" i="5" s="1"/>
  <c r="S517" i="5"/>
  <c r="P520" i="5"/>
  <c r="O529" i="5"/>
  <c r="R529" i="5" s="1"/>
  <c r="S529" i="5"/>
  <c r="P532" i="5"/>
  <c r="O541" i="5"/>
  <c r="R541" i="5" s="1"/>
  <c r="T541" i="5" s="1"/>
  <c r="S541" i="5"/>
  <c r="P544" i="5"/>
  <c r="O553" i="5"/>
  <c r="R553" i="5" s="1"/>
  <c r="S553" i="5"/>
  <c r="P556" i="5"/>
  <c r="O565" i="5"/>
  <c r="S565" i="5"/>
  <c r="P568" i="5"/>
  <c r="O577" i="5"/>
  <c r="R577" i="5" s="1"/>
  <c r="T577" i="5" s="1"/>
  <c r="S577" i="5"/>
  <c r="P580" i="5"/>
  <c r="O589" i="5"/>
  <c r="R589" i="5" s="1"/>
  <c r="T589" i="5" s="1"/>
  <c r="S589" i="5"/>
  <c r="P592" i="5"/>
  <c r="O601" i="5"/>
  <c r="R601" i="5" s="1"/>
  <c r="T601" i="5" s="1"/>
  <c r="S601" i="5"/>
  <c r="P604" i="5"/>
  <c r="O613" i="5"/>
  <c r="R613" i="5" s="1"/>
  <c r="T613" i="5" s="1"/>
  <c r="S613" i="5"/>
  <c r="P616" i="5"/>
  <c r="O625" i="5"/>
  <c r="R625" i="5" s="1"/>
  <c r="T625" i="5" s="1"/>
  <c r="S625" i="5"/>
  <c r="P628" i="5"/>
  <c r="O637" i="5"/>
  <c r="R637" i="5" s="1"/>
  <c r="T637" i="5" s="1"/>
  <c r="S637" i="5"/>
  <c r="P640" i="5"/>
  <c r="O649" i="5"/>
  <c r="R649" i="5" s="1"/>
  <c r="S649" i="5"/>
  <c r="P652" i="5"/>
  <c r="O661" i="5"/>
  <c r="R661" i="5" s="1"/>
  <c r="T661" i="5" s="1"/>
  <c r="S661" i="5"/>
  <c r="P664" i="5"/>
  <c r="O673" i="5"/>
  <c r="S673" i="5"/>
  <c r="P676" i="5"/>
  <c r="O685" i="5"/>
  <c r="R685" i="5" s="1"/>
  <c r="T685" i="5" s="1"/>
  <c r="S685" i="5"/>
  <c r="P688" i="5"/>
  <c r="O697" i="5"/>
  <c r="S697" i="5"/>
  <c r="P700" i="5"/>
  <c r="O709" i="5"/>
  <c r="R709" i="5" s="1"/>
  <c r="T709" i="5" s="1"/>
  <c r="S709" i="5"/>
  <c r="P712" i="5"/>
  <c r="O721" i="5"/>
  <c r="S721" i="5"/>
  <c r="P724" i="5"/>
  <c r="O733" i="5"/>
  <c r="R733" i="5" s="1"/>
  <c r="T733" i="5" s="1"/>
  <c r="S733" i="5"/>
  <c r="P736" i="5"/>
  <c r="O745" i="5"/>
  <c r="R745" i="5" s="1"/>
  <c r="T745" i="5" s="1"/>
  <c r="S745" i="5"/>
  <c r="P748" i="5"/>
  <c r="S748" i="5"/>
  <c r="O748" i="5"/>
  <c r="O751" i="5"/>
  <c r="S754" i="5"/>
  <c r="O754" i="5"/>
  <c r="Q760" i="5"/>
  <c r="P760" i="5"/>
  <c r="R760" i="5" s="1"/>
  <c r="T760" i="5" s="1"/>
  <c r="O763" i="5"/>
  <c r="S766" i="5"/>
  <c r="O766" i="5"/>
  <c r="S775" i="5"/>
  <c r="O775" i="5"/>
  <c r="S799" i="5"/>
  <c r="O799" i="5"/>
  <c r="R799" i="5" s="1"/>
  <c r="T799" i="5" s="1"/>
  <c r="S823" i="5"/>
  <c r="O823" i="5"/>
  <c r="O454" i="5"/>
  <c r="R454" i="5" s="1"/>
  <c r="T454" i="5" s="1"/>
  <c r="O466" i="5"/>
  <c r="O538" i="5"/>
  <c r="R538" i="5" s="1"/>
  <c r="O550" i="5"/>
  <c r="R550" i="5" s="1"/>
  <c r="T550" i="5" s="1"/>
  <c r="O562" i="5"/>
  <c r="O586" i="5"/>
  <c r="R586" i="5" s="1"/>
  <c r="O598" i="5"/>
  <c r="R598" i="5" s="1"/>
  <c r="O610" i="5"/>
  <c r="O622" i="5"/>
  <c r="R622" i="5" s="1"/>
  <c r="O634" i="5"/>
  <c r="O646" i="5"/>
  <c r="R646" i="5" s="1"/>
  <c r="T646" i="5" s="1"/>
  <c r="O658" i="5"/>
  <c r="R658" i="5" s="1"/>
  <c r="O670" i="5"/>
  <c r="R670" i="5" s="1"/>
  <c r="O682" i="5"/>
  <c r="R682" i="5" s="1"/>
  <c r="O694" i="5"/>
  <c r="R694" i="5" s="1"/>
  <c r="O706" i="5"/>
  <c r="O718" i="5"/>
  <c r="R718" i="5" s="1"/>
  <c r="O730" i="5"/>
  <c r="R730" i="5" s="1"/>
  <c r="O742" i="5"/>
  <c r="R742" i="5" s="1"/>
  <c r="T742" i="5" s="1"/>
  <c r="P751" i="5"/>
  <c r="P754" i="5"/>
  <c r="P763" i="5"/>
  <c r="P766" i="5"/>
  <c r="P781" i="5"/>
  <c r="Q784" i="5"/>
  <c r="P787" i="5"/>
  <c r="Q787" i="5"/>
  <c r="P790" i="5"/>
  <c r="S790" i="5"/>
  <c r="O790" i="5"/>
  <c r="P805" i="5"/>
  <c r="Q808" i="5"/>
  <c r="P811" i="5"/>
  <c r="Q811" i="5"/>
  <c r="P814" i="5"/>
  <c r="S814" i="5"/>
  <c r="O814" i="5"/>
  <c r="P829" i="5"/>
  <c r="Q832" i="5"/>
  <c r="P835" i="5"/>
  <c r="Q835" i="5"/>
  <c r="Q889" i="5"/>
  <c r="S889" i="5"/>
  <c r="O889" i="5"/>
  <c r="P772" i="5"/>
  <c r="R772" i="5" s="1"/>
  <c r="O781" i="5"/>
  <c r="S781" i="5"/>
  <c r="P784" i="5"/>
  <c r="R784" i="5" s="1"/>
  <c r="O793" i="5"/>
  <c r="R793" i="5" s="1"/>
  <c r="S793" i="5"/>
  <c r="P796" i="5"/>
  <c r="R796" i="5" s="1"/>
  <c r="T796" i="5" s="1"/>
  <c r="O805" i="5"/>
  <c r="S805" i="5"/>
  <c r="P808" i="5"/>
  <c r="R808" i="5" s="1"/>
  <c r="O817" i="5"/>
  <c r="R817" i="5" s="1"/>
  <c r="T817" i="5" s="1"/>
  <c r="S817" i="5"/>
  <c r="P820" i="5"/>
  <c r="R820" i="5" s="1"/>
  <c r="T820" i="5" s="1"/>
  <c r="O829" i="5"/>
  <c r="R829" i="5" s="1"/>
  <c r="T829" i="5" s="1"/>
  <c r="S829" i="5"/>
  <c r="P832" i="5"/>
  <c r="R832" i="5" s="1"/>
  <c r="O841" i="5"/>
  <c r="S841" i="5"/>
  <c r="P844" i="5"/>
  <c r="O853" i="5"/>
  <c r="R853" i="5" s="1"/>
  <c r="T853" i="5" s="1"/>
  <c r="S853" i="5"/>
  <c r="P856" i="5"/>
  <c r="O865" i="5"/>
  <c r="R865" i="5" s="1"/>
  <c r="S865" i="5"/>
  <c r="O877" i="5"/>
  <c r="R877" i="5" s="1"/>
  <c r="T877" i="5" s="1"/>
  <c r="S877" i="5"/>
  <c r="O898" i="5"/>
  <c r="R898" i="5" s="1"/>
  <c r="Q898" i="5"/>
  <c r="P901" i="5"/>
  <c r="O838" i="5"/>
  <c r="R838" i="5" s="1"/>
  <c r="S838" i="5"/>
  <c r="O850" i="5"/>
  <c r="R850" i="5" s="1"/>
  <c r="T850" i="5" s="1"/>
  <c r="S850" i="5"/>
  <c r="O862" i="5"/>
  <c r="R862" i="5" s="1"/>
  <c r="T862" i="5" s="1"/>
  <c r="S862" i="5"/>
  <c r="O874" i="5"/>
  <c r="R874" i="5" s="1"/>
  <c r="T874" i="5" s="1"/>
  <c r="S874" i="5"/>
  <c r="S886" i="5"/>
  <c r="S892" i="5"/>
  <c r="O847" i="5"/>
  <c r="O859" i="5"/>
  <c r="R859" i="5" s="1"/>
  <c r="O871" i="5"/>
  <c r="R871" i="5" s="1"/>
  <c r="S883" i="5"/>
  <c r="O883" i="5"/>
  <c r="R883" i="5" s="1"/>
  <c r="T883" i="5" s="1"/>
  <c r="Q895" i="5"/>
  <c r="S913" i="5"/>
  <c r="O913" i="5"/>
  <c r="R913" i="5" s="1"/>
  <c r="S916" i="5"/>
  <c r="Q919" i="5"/>
  <c r="O922" i="5"/>
  <c r="R922" i="5" s="1"/>
  <c r="T922" i="5" s="1"/>
  <c r="S937" i="5"/>
  <c r="O937" i="5"/>
  <c r="R937" i="5" s="1"/>
  <c r="S940" i="5"/>
  <c r="Q943" i="5"/>
  <c r="O946" i="5"/>
  <c r="S961" i="5"/>
  <c r="O961" i="5"/>
  <c r="R961" i="5" s="1"/>
  <c r="T961" i="5" s="1"/>
  <c r="S964" i="5"/>
  <c r="Q967" i="5"/>
  <c r="O970" i="5"/>
  <c r="R970" i="5" s="1"/>
  <c r="T970" i="5" s="1"/>
  <c r="S985" i="5"/>
  <c r="O985" i="5"/>
  <c r="S988" i="5"/>
  <c r="Q991" i="5"/>
  <c r="O994" i="5"/>
  <c r="R994" i="5" s="1"/>
  <c r="T994" i="5" s="1"/>
  <c r="S1009" i="5"/>
  <c r="O1009" i="5"/>
  <c r="R1009" i="5" s="1"/>
  <c r="T1009" i="5" s="1"/>
  <c r="S1012" i="5"/>
  <c r="Q1015" i="5"/>
  <c r="O1018" i="5"/>
  <c r="R1018" i="5" s="1"/>
  <c r="S1033" i="5"/>
  <c r="O1033" i="5"/>
  <c r="S1036" i="5"/>
  <c r="Q1039" i="5"/>
  <c r="O1042" i="5"/>
  <c r="Q1048" i="5"/>
  <c r="Q1054" i="5"/>
  <c r="S1057" i="5"/>
  <c r="O1057" i="5"/>
  <c r="R1057" i="5" s="1"/>
  <c r="S1060" i="5"/>
  <c r="O895" i="5"/>
  <c r="R895" i="5" s="1"/>
  <c r="T895" i="5" s="1"/>
  <c r="S901" i="5"/>
  <c r="O901" i="5"/>
  <c r="S904" i="5"/>
  <c r="Q907" i="5"/>
  <c r="O919" i="5"/>
  <c r="S925" i="5"/>
  <c r="O925" i="5"/>
  <c r="Q931" i="5"/>
  <c r="T931" i="5" s="1"/>
  <c r="O943" i="5"/>
  <c r="S949" i="5"/>
  <c r="O949" i="5"/>
  <c r="R949" i="5" s="1"/>
  <c r="T949" i="5" s="1"/>
  <c r="Q955" i="5"/>
  <c r="T955" i="5" s="1"/>
  <c r="O967" i="5"/>
  <c r="S973" i="5"/>
  <c r="O973" i="5"/>
  <c r="R973" i="5" s="1"/>
  <c r="Q979" i="5"/>
  <c r="O991" i="5"/>
  <c r="S997" i="5"/>
  <c r="O997" i="5"/>
  <c r="R997" i="5" s="1"/>
  <c r="T997" i="5" s="1"/>
  <c r="Q1003" i="5"/>
  <c r="O1015" i="5"/>
  <c r="S1021" i="5"/>
  <c r="O1021" i="5"/>
  <c r="R1021" i="5" s="1"/>
  <c r="T1021" i="5" s="1"/>
  <c r="Q1027" i="5"/>
  <c r="T1027" i="5" s="1"/>
  <c r="O1039" i="5"/>
  <c r="R1039" i="5" s="1"/>
  <c r="S1045" i="5"/>
  <c r="O1045" i="5"/>
  <c r="R1045" i="5" s="1"/>
  <c r="O1054" i="5"/>
  <c r="R1054" i="5" s="1"/>
  <c r="T1054" i="5" s="1"/>
  <c r="Q1060" i="5"/>
  <c r="P928" i="5"/>
  <c r="P952" i="5"/>
  <c r="P976" i="5"/>
  <c r="R976" i="5" s="1"/>
  <c r="T976" i="5" s="1"/>
  <c r="P1000" i="5"/>
  <c r="P1024" i="5"/>
  <c r="P1048" i="5"/>
  <c r="P1063" i="5"/>
  <c r="R1063" i="5" s="1"/>
  <c r="T1063" i="5" s="1"/>
  <c r="R952" i="5" l="1"/>
  <c r="T1045" i="5"/>
  <c r="T973" i="5"/>
  <c r="R925" i="5"/>
  <c r="T925" i="5" s="1"/>
  <c r="R1033" i="5"/>
  <c r="T1033" i="5" s="1"/>
  <c r="T937" i="5"/>
  <c r="T859" i="5"/>
  <c r="R856" i="5"/>
  <c r="T856" i="5" s="1"/>
  <c r="T649" i="5"/>
  <c r="T553" i="5"/>
  <c r="T526" i="5"/>
  <c r="T502" i="5"/>
  <c r="T478" i="5"/>
  <c r="R418" i="5"/>
  <c r="T418" i="5" s="1"/>
  <c r="R370" i="5"/>
  <c r="T370" i="5" s="1"/>
  <c r="R442" i="5"/>
  <c r="R331" i="5"/>
  <c r="T331" i="5" s="1"/>
  <c r="T301" i="5"/>
  <c r="R244" i="5"/>
  <c r="T244" i="5" s="1"/>
  <c r="R247" i="5"/>
  <c r="T247" i="5" s="1"/>
  <c r="R199" i="5"/>
  <c r="T199" i="5" s="1"/>
  <c r="R151" i="5"/>
  <c r="T151" i="5" s="1"/>
  <c r="R103" i="5"/>
  <c r="T103" i="5" s="1"/>
  <c r="R277" i="5"/>
  <c r="T277" i="5" s="1"/>
  <c r="T217" i="5"/>
  <c r="R205" i="5"/>
  <c r="T205" i="5" s="1"/>
  <c r="R373" i="5"/>
  <c r="T373" i="5" s="1"/>
  <c r="R361" i="5"/>
  <c r="T361" i="5" s="1"/>
  <c r="R124" i="5"/>
  <c r="R100" i="5"/>
  <c r="T100" i="5" s="1"/>
  <c r="R619" i="5"/>
  <c r="T619" i="5" s="1"/>
  <c r="R547" i="5"/>
  <c r="T547" i="5" s="1"/>
  <c r="R475" i="5"/>
  <c r="T475" i="5" s="1"/>
  <c r="R841" i="5"/>
  <c r="T841" i="5" s="1"/>
  <c r="T793" i="5"/>
  <c r="R307" i="5"/>
  <c r="T307" i="5" s="1"/>
  <c r="R469" i="5"/>
  <c r="T469" i="5" s="1"/>
  <c r="T880" i="5"/>
  <c r="R1000" i="5"/>
  <c r="T1000" i="5" s="1"/>
  <c r="R1015" i="5"/>
  <c r="R991" i="5"/>
  <c r="R943" i="5"/>
  <c r="T1018" i="5"/>
  <c r="R985" i="5"/>
  <c r="T985" i="5" s="1"/>
  <c r="T832" i="5"/>
  <c r="R805" i="5"/>
  <c r="T805" i="5" s="1"/>
  <c r="R889" i="5"/>
  <c r="T889" i="5" s="1"/>
  <c r="R706" i="5"/>
  <c r="T706" i="5" s="1"/>
  <c r="R610" i="5"/>
  <c r="R823" i="5"/>
  <c r="T823" i="5" s="1"/>
  <c r="R775" i="5"/>
  <c r="R721" i="5"/>
  <c r="T721" i="5" s="1"/>
  <c r="R673" i="5"/>
  <c r="T673" i="5" s="1"/>
  <c r="T529" i="5"/>
  <c r="T481" i="5"/>
  <c r="T514" i="5"/>
  <c r="R445" i="5"/>
  <c r="R433" i="5"/>
  <c r="R403" i="5"/>
  <c r="T403" i="5" s="1"/>
  <c r="R355" i="5"/>
  <c r="T355" i="5" s="1"/>
  <c r="R268" i="5"/>
  <c r="T268" i="5" s="1"/>
  <c r="R148" i="5"/>
  <c r="T148" i="5" s="1"/>
  <c r="R175" i="5"/>
  <c r="T175" i="5" s="1"/>
  <c r="R127" i="5"/>
  <c r="T127" i="5" s="1"/>
  <c r="T79" i="5"/>
  <c r="R253" i="5"/>
  <c r="T253" i="5" s="1"/>
  <c r="T124" i="5"/>
  <c r="T319" i="5"/>
  <c r="R958" i="5"/>
  <c r="T958" i="5" s="1"/>
  <c r="T910" i="5"/>
  <c r="T1051" i="5"/>
  <c r="R934" i="5"/>
  <c r="T934" i="5" s="1"/>
  <c r="R727" i="5"/>
  <c r="T727" i="5" s="1"/>
  <c r="R703" i="5"/>
  <c r="T703" i="5" s="1"/>
  <c r="R679" i="5"/>
  <c r="T679" i="5" s="1"/>
  <c r="R349" i="5"/>
  <c r="T349" i="5" s="1"/>
  <c r="R133" i="5"/>
  <c r="T133" i="5" s="1"/>
  <c r="T892" i="5"/>
  <c r="T868" i="5"/>
  <c r="R643" i="5"/>
  <c r="T643" i="5" s="1"/>
  <c r="R595" i="5"/>
  <c r="T595" i="5" s="1"/>
  <c r="R523" i="5"/>
  <c r="T523" i="5" s="1"/>
  <c r="R499" i="5"/>
  <c r="T499" i="5" s="1"/>
  <c r="R1030" i="5"/>
  <c r="T1030" i="5" s="1"/>
  <c r="T952" i="5"/>
  <c r="R847" i="5"/>
  <c r="T847" i="5" s="1"/>
  <c r="T424" i="5"/>
  <c r="R400" i="5"/>
  <c r="T400" i="5" s="1"/>
  <c r="T376" i="5"/>
  <c r="T367" i="5"/>
  <c r="R16" i="5"/>
  <c r="T16" i="5" s="1"/>
  <c r="R271" i="5"/>
  <c r="T271" i="5" s="1"/>
  <c r="R223" i="5"/>
  <c r="T223" i="5" s="1"/>
  <c r="T907" i="5"/>
  <c r="T964" i="5"/>
  <c r="T1006" i="5"/>
  <c r="T916" i="5"/>
  <c r="R337" i="5"/>
  <c r="T337" i="5" s="1"/>
  <c r="R904" i="5"/>
  <c r="T904" i="5" s="1"/>
  <c r="T715" i="5"/>
  <c r="R1024" i="5"/>
  <c r="T1024" i="5" s="1"/>
  <c r="R928" i="5"/>
  <c r="T928" i="5" s="1"/>
  <c r="R901" i="5"/>
  <c r="T901" i="5" s="1"/>
  <c r="T1057" i="5"/>
  <c r="R1042" i="5"/>
  <c r="T1042" i="5" s="1"/>
  <c r="R946" i="5"/>
  <c r="T946" i="5" s="1"/>
  <c r="T913" i="5"/>
  <c r="T838" i="5"/>
  <c r="T865" i="5"/>
  <c r="R844" i="5"/>
  <c r="T844" i="5" s="1"/>
  <c r="R634" i="5"/>
  <c r="T586" i="5"/>
  <c r="R466" i="5"/>
  <c r="T466" i="5" s="1"/>
  <c r="R748" i="5"/>
  <c r="T748" i="5" s="1"/>
  <c r="R697" i="5"/>
  <c r="T697" i="5" s="1"/>
  <c r="R802" i="5"/>
  <c r="T802" i="5" s="1"/>
  <c r="R778" i="5"/>
  <c r="T778" i="5" s="1"/>
  <c r="R757" i="5"/>
  <c r="T757" i="5" s="1"/>
  <c r="R394" i="5"/>
  <c r="T394" i="5" s="1"/>
  <c r="R346" i="5"/>
  <c r="T346" i="5" s="1"/>
  <c r="T442" i="5"/>
  <c r="R379" i="5"/>
  <c r="T379" i="5" s="1"/>
  <c r="R256" i="5"/>
  <c r="T256" i="5" s="1"/>
  <c r="R289" i="5"/>
  <c r="T289" i="5" s="1"/>
  <c r="R187" i="5"/>
  <c r="T187" i="5" s="1"/>
  <c r="R139" i="5"/>
  <c r="T139" i="5" s="1"/>
  <c r="R91" i="5"/>
  <c r="T91" i="5" s="1"/>
  <c r="R43" i="5"/>
  <c r="T43" i="5" s="1"/>
  <c r="T265" i="5"/>
  <c r="T208" i="5"/>
  <c r="R979" i="5"/>
  <c r="T979" i="5" s="1"/>
  <c r="T1012" i="5"/>
  <c r="R1003" i="5"/>
  <c r="T1003" i="5" s="1"/>
  <c r="R667" i="5"/>
  <c r="T667" i="5" s="1"/>
  <c r="R490" i="5"/>
  <c r="T490" i="5" s="1"/>
  <c r="R574" i="5"/>
  <c r="T574" i="5" s="1"/>
  <c r="R220" i="5"/>
  <c r="T220" i="5" s="1"/>
  <c r="R76" i="5"/>
  <c r="T76" i="5" s="1"/>
  <c r="R193" i="5"/>
  <c r="T193" i="5" s="1"/>
  <c r="R1048" i="5"/>
  <c r="T1048" i="5" s="1"/>
  <c r="T1060" i="5"/>
  <c r="T1015" i="5"/>
  <c r="R967" i="5"/>
  <c r="R919" i="5"/>
  <c r="T871" i="5"/>
  <c r="T982" i="5"/>
  <c r="R814" i="5"/>
  <c r="T814" i="5" s="1"/>
  <c r="T670" i="5"/>
  <c r="R562" i="5"/>
  <c r="R565" i="5"/>
  <c r="T565" i="5" s="1"/>
  <c r="R826" i="5"/>
  <c r="T826" i="5" s="1"/>
  <c r="R769" i="5"/>
  <c r="T769" i="5" s="1"/>
  <c r="R382" i="5"/>
  <c r="T382" i="5" s="1"/>
  <c r="R334" i="5"/>
  <c r="T334" i="5" s="1"/>
  <c r="T304" i="5"/>
  <c r="R343" i="5"/>
  <c r="T343" i="5" s="1"/>
  <c r="R322" i="5"/>
  <c r="T322" i="5" s="1"/>
  <c r="R295" i="5"/>
  <c r="T295" i="5" s="1"/>
  <c r="T184" i="5"/>
  <c r="R73" i="5"/>
  <c r="T73" i="5" s="1"/>
  <c r="R631" i="5"/>
  <c r="T631" i="5" s="1"/>
  <c r="R607" i="5"/>
  <c r="T607" i="5" s="1"/>
  <c r="R583" i="5"/>
  <c r="T583" i="5" s="1"/>
  <c r="R559" i="5"/>
  <c r="T559" i="5" s="1"/>
  <c r="R535" i="5"/>
  <c r="T535" i="5" s="1"/>
  <c r="R511" i="5"/>
  <c r="T511" i="5" s="1"/>
  <c r="R487" i="5"/>
  <c r="T487" i="5" s="1"/>
  <c r="R232" i="5"/>
  <c r="T232" i="5" s="1"/>
  <c r="R88" i="5"/>
  <c r="T88" i="5" s="1"/>
  <c r="R691" i="5"/>
  <c r="T691" i="5" s="1"/>
  <c r="R655" i="5"/>
  <c r="T655" i="5" s="1"/>
  <c r="R436" i="5"/>
  <c r="T436" i="5" s="1"/>
  <c r="R940" i="5"/>
  <c r="T940" i="5" s="1"/>
  <c r="R1036" i="5"/>
  <c r="T1036" i="5" s="1"/>
  <c r="R181" i="5"/>
  <c r="T181" i="5" s="1"/>
  <c r="R109" i="5"/>
  <c r="T109" i="5" s="1"/>
  <c r="W294" i="6"/>
  <c r="U288" i="6"/>
  <c r="W123" i="6"/>
  <c r="W75" i="6"/>
  <c r="W111" i="6"/>
  <c r="W339" i="6"/>
  <c r="U240" i="6"/>
  <c r="W240" i="6" s="1"/>
  <c r="W216" i="6"/>
  <c r="W168" i="6"/>
  <c r="U231" i="6"/>
  <c r="W231" i="6" s="1"/>
  <c r="U183" i="6"/>
  <c r="W183" i="6" s="1"/>
  <c r="U228" i="6"/>
  <c r="U264" i="6"/>
  <c r="U246" i="6"/>
  <c r="W150" i="6"/>
  <c r="W234" i="6"/>
  <c r="U33" i="6"/>
  <c r="W33" i="6" s="1"/>
  <c r="U258" i="6"/>
  <c r="W159" i="6"/>
  <c r="U42" i="6"/>
  <c r="W42" i="6" s="1"/>
  <c r="U27" i="6"/>
  <c r="W27" i="6" s="1"/>
  <c r="U345" i="6"/>
  <c r="W345" i="6" s="1"/>
  <c r="U396" i="6"/>
  <c r="W396" i="6" s="1"/>
  <c r="U381" i="6"/>
  <c r="W381" i="6" s="1"/>
  <c r="U333" i="6"/>
  <c r="W333" i="6" s="1"/>
  <c r="U336" i="6"/>
  <c r="W318" i="6"/>
  <c r="U195" i="6"/>
  <c r="W195" i="6" s="1"/>
  <c r="U384" i="6"/>
  <c r="W384" i="6" s="1"/>
  <c r="U276" i="6"/>
  <c r="W276" i="6" s="1"/>
  <c r="W39" i="6"/>
  <c r="W15" i="6"/>
  <c r="U108" i="6"/>
  <c r="W108" i="6" s="1"/>
  <c r="W63" i="6"/>
  <c r="U387" i="6"/>
  <c r="W387" i="6" s="1"/>
  <c r="W288" i="6"/>
  <c r="U120" i="6"/>
  <c r="W120" i="6" s="1"/>
  <c r="U96" i="6"/>
  <c r="W96" i="6" s="1"/>
  <c r="U72" i="6"/>
  <c r="W72" i="6" s="1"/>
  <c r="U48" i="6"/>
  <c r="W48" i="6" s="1"/>
  <c r="W153" i="6"/>
  <c r="W312" i="6"/>
  <c r="W252" i="6"/>
  <c r="U156" i="6"/>
  <c r="W156" i="6" s="1"/>
  <c r="U81" i="6"/>
  <c r="W81" i="6" s="1"/>
  <c r="U57" i="6"/>
  <c r="W57" i="6" s="1"/>
  <c r="W12" i="6"/>
  <c r="U219" i="6"/>
  <c r="U171" i="6"/>
  <c r="W171" i="6" s="1"/>
  <c r="W99" i="6"/>
  <c r="W51" i="6"/>
  <c r="U405" i="6"/>
  <c r="W405" i="6" s="1"/>
  <c r="U357" i="6"/>
  <c r="W357" i="6" s="1"/>
  <c r="U309" i="6"/>
  <c r="W309" i="6" s="1"/>
  <c r="W228" i="6"/>
  <c r="U393" i="6"/>
  <c r="W291" i="6"/>
  <c r="W375" i="6"/>
  <c r="W390" i="6"/>
  <c r="W222" i="6"/>
  <c r="W204" i="6"/>
  <c r="W180" i="6"/>
  <c r="U207" i="6"/>
  <c r="W207" i="6" s="1"/>
  <c r="U282" i="6"/>
  <c r="W282" i="6" s="1"/>
  <c r="U141" i="6"/>
  <c r="W141" i="6" s="1"/>
  <c r="U93" i="6"/>
  <c r="W93" i="6" s="1"/>
  <c r="U45" i="6"/>
  <c r="W45" i="6" s="1"/>
  <c r="U270" i="6"/>
  <c r="W264" i="6"/>
  <c r="W87" i="6"/>
  <c r="U9" i="6"/>
  <c r="W9" i="6" s="1"/>
  <c r="W246" i="6"/>
  <c r="W408" i="6"/>
  <c r="W270" i="6"/>
  <c r="U192" i="6"/>
  <c r="W192" i="6" s="1"/>
  <c r="W84" i="6"/>
  <c r="W60" i="6"/>
  <c r="W258" i="6"/>
  <c r="U132" i="6"/>
  <c r="W132" i="6" s="1"/>
  <c r="W24" i="6"/>
  <c r="U6" i="6"/>
  <c r="W6" i="6" s="1"/>
  <c r="T919" i="5"/>
  <c r="T808" i="5"/>
  <c r="R754" i="5"/>
  <c r="T754" i="5" s="1"/>
  <c r="T772" i="5"/>
  <c r="R736" i="5"/>
  <c r="T736" i="5" s="1"/>
  <c r="R712" i="5"/>
  <c r="T712" i="5" s="1"/>
  <c r="R688" i="5"/>
  <c r="T688" i="5" s="1"/>
  <c r="R664" i="5"/>
  <c r="T664" i="5" s="1"/>
  <c r="R640" i="5"/>
  <c r="T640" i="5" s="1"/>
  <c r="R616" i="5"/>
  <c r="T616" i="5" s="1"/>
  <c r="R592" i="5"/>
  <c r="T592" i="5" s="1"/>
  <c r="T562" i="5"/>
  <c r="T538" i="5"/>
  <c r="T472" i="5"/>
  <c r="T406" i="5"/>
  <c r="T358" i="5"/>
  <c r="R298" i="5"/>
  <c r="R274" i="5"/>
  <c r="T274" i="5" s="1"/>
  <c r="R226" i="5"/>
  <c r="T226" i="5" s="1"/>
  <c r="R214" i="5"/>
  <c r="T214" i="5" s="1"/>
  <c r="R82" i="5"/>
  <c r="T82" i="5" s="1"/>
  <c r="T64" i="5"/>
  <c r="R22" i="5"/>
  <c r="T22" i="5" s="1"/>
  <c r="T991" i="5"/>
  <c r="R781" i="5"/>
  <c r="T781" i="5" s="1"/>
  <c r="R763" i="5"/>
  <c r="T763" i="5" s="1"/>
  <c r="T730" i="5"/>
  <c r="T682" i="5"/>
  <c r="T658" i="5"/>
  <c r="T634" i="5"/>
  <c r="T610" i="5"/>
  <c r="R556" i="5"/>
  <c r="T556" i="5" s="1"/>
  <c r="R532" i="5"/>
  <c r="T532" i="5" s="1"/>
  <c r="R508" i="5"/>
  <c r="T508" i="5" s="1"/>
  <c r="R484" i="5"/>
  <c r="T484" i="5" s="1"/>
  <c r="T448" i="5"/>
  <c r="R460" i="5"/>
  <c r="T460" i="5" s="1"/>
  <c r="T286" i="5"/>
  <c r="R238" i="5"/>
  <c r="T238" i="5" s="1"/>
  <c r="R190" i="5"/>
  <c r="T190" i="5" s="1"/>
  <c r="R166" i="5"/>
  <c r="T166" i="5" s="1"/>
  <c r="R142" i="5"/>
  <c r="T142" i="5" s="1"/>
  <c r="R118" i="5"/>
  <c r="T118" i="5" s="1"/>
  <c r="R94" i="5"/>
  <c r="T94" i="5" s="1"/>
  <c r="R34" i="5"/>
  <c r="T34" i="5" s="1"/>
  <c r="T967" i="5"/>
  <c r="R790" i="5"/>
  <c r="T790" i="5" s="1"/>
  <c r="R751" i="5"/>
  <c r="T751" i="5" s="1"/>
  <c r="R724" i="5"/>
  <c r="T724" i="5" s="1"/>
  <c r="R700" i="5"/>
  <c r="T700" i="5" s="1"/>
  <c r="R676" i="5"/>
  <c r="T676" i="5" s="1"/>
  <c r="R652" i="5"/>
  <c r="T652" i="5" s="1"/>
  <c r="R628" i="5"/>
  <c r="T628" i="5" s="1"/>
  <c r="R604" i="5"/>
  <c r="T604" i="5" s="1"/>
  <c r="R580" i="5"/>
  <c r="T580" i="5" s="1"/>
  <c r="R835" i="5"/>
  <c r="R310" i="5"/>
  <c r="T310" i="5" s="1"/>
  <c r="R250" i="5"/>
  <c r="T250" i="5" s="1"/>
  <c r="T160" i="5"/>
  <c r="R58" i="5"/>
  <c r="T58" i="5" s="1"/>
  <c r="T28" i="5"/>
  <c r="R10" i="5"/>
  <c r="T10" i="5" s="1"/>
  <c r="T1039" i="5"/>
  <c r="T943" i="5"/>
  <c r="T898" i="5"/>
  <c r="T835" i="5"/>
  <c r="T784" i="5"/>
  <c r="R766" i="5"/>
  <c r="T766" i="5" s="1"/>
  <c r="T775" i="5"/>
  <c r="T718" i="5"/>
  <c r="T694" i="5"/>
  <c r="T598" i="5"/>
  <c r="R568" i="5"/>
  <c r="T568" i="5" s="1"/>
  <c r="R544" i="5"/>
  <c r="T544" i="5" s="1"/>
  <c r="R520" i="5"/>
  <c r="T520" i="5" s="1"/>
  <c r="R496" i="5"/>
  <c r="T496" i="5" s="1"/>
  <c r="R811" i="5"/>
  <c r="T811" i="5" s="1"/>
  <c r="R787" i="5"/>
  <c r="T787" i="5" s="1"/>
  <c r="R457" i="5"/>
  <c r="T457" i="5" s="1"/>
  <c r="T445" i="5"/>
  <c r="T316" i="5"/>
  <c r="T298" i="5"/>
  <c r="R262" i="5"/>
  <c r="T262" i="5" s="1"/>
  <c r="R202" i="5"/>
  <c r="T202" i="5" s="1"/>
  <c r="R178" i="5"/>
  <c r="T178" i="5" s="1"/>
  <c r="R154" i="5"/>
  <c r="T154" i="5" s="1"/>
  <c r="R130" i="5"/>
  <c r="T130" i="5" s="1"/>
  <c r="R106" i="5"/>
  <c r="T106" i="5" s="1"/>
  <c r="R70" i="5"/>
  <c r="T70" i="5" s="1"/>
  <c r="R46" i="5"/>
  <c r="T46" i="5" s="1"/>
</calcChain>
</file>

<file path=xl/sharedStrings.xml><?xml version="1.0" encoding="utf-8"?>
<sst xmlns="http://schemas.openxmlformats.org/spreadsheetml/2006/main" count="3507" uniqueCount="278">
  <si>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</si>
  <si>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</si>
  <si>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</si>
  <si>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</si>
  <si>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</si>
  <si>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</si>
  <si>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</si>
  <si>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</si>
  <si>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</si>
  <si>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</si>
  <si>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</si>
  <si>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</si>
  <si>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</si>
  <si>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RESPB</t>
    </r>
  </si>
  <si>
    <r>
      <t>QC Name</t>
    </r>
    <r>
      <rPr>
        <b/>
        <sz val="9"/>
        <rFont val="Arial"/>
        <family val="2"/>
      </rPr>
      <t>: CP Test</t>
    </r>
  </si>
  <si>
    <t xml:space="preserve">                                     Frequency: 72hrs or 250 production wfs  </t>
  </si>
  <si>
    <r>
      <t xml:space="preserve">Recipe: </t>
    </r>
    <r>
      <rPr>
        <b/>
        <sz val="9"/>
        <rFont val="Arial"/>
        <family val="2"/>
      </rPr>
      <t>CP-TEST</t>
    </r>
  </si>
  <si>
    <t>Measurment Tool Recipe: WET_PreSilicon_COPs,WET_PostSilicon_COPs</t>
  </si>
  <si>
    <r>
      <t>Wafer Type</t>
    </r>
    <r>
      <rPr>
        <b/>
        <sz val="9"/>
        <rFont val="Arial"/>
        <family val="2"/>
      </rPr>
      <t>: Bare Si (&lt;50 Particle of size &gt;0.16 µ)</t>
    </r>
  </si>
  <si>
    <r>
      <t>Pass Criteria</t>
    </r>
    <r>
      <rPr>
        <b/>
        <sz val="9"/>
        <rFont val="Arial"/>
        <family val="2"/>
      </rPr>
      <t>:  LSL = 0, USL = 50 (&lt;0.16µ)</t>
    </r>
  </si>
  <si>
    <t>Chamber</t>
  </si>
  <si>
    <t>CP count</t>
  </si>
  <si>
    <t>USL</t>
  </si>
  <si>
    <t>Result</t>
  </si>
  <si>
    <t>Remarks</t>
  </si>
  <si>
    <t>Pre CP</t>
  </si>
  <si>
    <t>Post CP</t>
  </si>
  <si>
    <t>RESP1B</t>
  </si>
  <si>
    <t>CPX(LPDN PRE 112, POST 167)</t>
  </si>
  <si>
    <t>CPX</t>
  </si>
  <si>
    <t>CPX(LPDN PRE 269, POST 394)</t>
  </si>
  <si>
    <t>CPX(LPDN PRE 10, POST 11)</t>
  </si>
  <si>
    <t>CPX(LPDN PRE 1, POST 17)</t>
  </si>
  <si>
    <t>CPX(LPDN PRE 205, POST 359)</t>
  </si>
  <si>
    <t>CPX(LPDN PRE 218, POST 321)</t>
  </si>
  <si>
    <t>CPX(LPDN PRE 101, POST 178)</t>
  </si>
  <si>
    <t>CPX(LPDN PRE 111, POST 181)</t>
  </si>
  <si>
    <t>YEDR1</t>
  </si>
  <si>
    <t>CPX(LPDN PRE 136, POST 217)</t>
  </si>
  <si>
    <t>CPX(LPDN PRE 119, POST 216)</t>
  </si>
  <si>
    <t>CPX(LPDN PRE194, POST 571)</t>
  </si>
  <si>
    <t>CPX(LPDN PRE108, POST 179)</t>
  </si>
  <si>
    <t>CPX(LPDN PRE161, POST 252)</t>
  </si>
  <si>
    <t>CPX(LPDN PRE138, POST 245)</t>
  </si>
  <si>
    <t>CPX(LPDN PRE144, POST 242)</t>
  </si>
  <si>
    <t>CPX(LPDN PRE240, POST 322)</t>
  </si>
  <si>
    <t>PRE CP ON CPX,POST ON DIA</t>
  </si>
  <si>
    <t>CPX(LPDN PRE01, POST 03)</t>
  </si>
  <si>
    <t>cpx</t>
  </si>
  <si>
    <t>YEDI1</t>
  </si>
  <si>
    <t>DIA</t>
  </si>
  <si>
    <t>121/1428</t>
  </si>
  <si>
    <t>CPX/DIA</t>
  </si>
  <si>
    <t>1159/102</t>
  </si>
  <si>
    <t>DIA/CPX</t>
  </si>
  <si>
    <t>CPX(LPDN PRE0861, POST 1894)</t>
  </si>
  <si>
    <t>CPX(LPDN PRE42, POST 83)</t>
  </si>
  <si>
    <t>CPX(LPDN PRE101, POST 223)</t>
  </si>
  <si>
    <t>CPX(LPDN PRE111, POST 224)</t>
  </si>
  <si>
    <t>CPX(LPDN PRE98, POST 191)</t>
  </si>
  <si>
    <t>CPX(LPDN PRE88, POST161 )</t>
  </si>
  <si>
    <t>YEDI1 (CPX is down)</t>
  </si>
  <si>
    <t>YEDI</t>
  </si>
  <si>
    <t>CPX(LPDN PRE2, POST 87)</t>
  </si>
  <si>
    <t>CPX(LPDN PRE0, POST 25)</t>
  </si>
  <si>
    <t>CPX(LPDN PRE0, POST 65)</t>
  </si>
  <si>
    <t>CPX(LPDN PRE02, POST 04)</t>
  </si>
  <si>
    <t>CPX(LPDN PRE03, POST05)</t>
  </si>
  <si>
    <t>CPX(LPDN PRE01, POST04)</t>
  </si>
  <si>
    <t>CPX(LPDN PRE0162, POST248)</t>
  </si>
  <si>
    <t>CPX(LPDN PRE0161, POST251)</t>
  </si>
  <si>
    <t>CPX(LPDN PRE309, POST504)</t>
  </si>
  <si>
    <t>CPX(LPDN PRE305, POST366)</t>
  </si>
  <si>
    <t>CPX(LPDN PRE 455, POST 634)</t>
  </si>
  <si>
    <t>CPX(LPDN PRE 143, POST 239)</t>
  </si>
  <si>
    <t>CPX(LPDN PRE 1, POST 13)</t>
  </si>
  <si>
    <t>CPX(LPDN PRE 93, POST 185)</t>
  </si>
  <si>
    <t>CPX (LPDN PRE 114, POST 190)</t>
  </si>
  <si>
    <t>CPX (LPDN PRE 80, POST 134)</t>
  </si>
  <si>
    <t>CPX (LPDN PRE 113, POST 198)</t>
  </si>
  <si>
    <t>CPX (LPDN PRE 93, POST 160)</t>
  </si>
  <si>
    <t>CPX (LPDN PRE 146, POST 233)</t>
  </si>
  <si>
    <t>CPX (LPDN PRE 137, POST 206)</t>
  </si>
  <si>
    <t>CPX (LPDN PRE 2, POST 4)</t>
  </si>
  <si>
    <t>CPX (LPDN PRE 3, POST 5)</t>
  </si>
  <si>
    <t>CPX (LPDN PRE 02, POST 06)</t>
  </si>
  <si>
    <t>CPX (LPDN PRE 90, POST 153)</t>
  </si>
  <si>
    <t>CPX (LPDN PRE 77, POST 147)</t>
  </si>
  <si>
    <t>CPX (LPDN PRE 109, POST 270)</t>
  </si>
  <si>
    <t>CPX (LPDN PRE 106, POST 259)</t>
  </si>
  <si>
    <t>CPX (LPDN PRE 66, POST 129)</t>
  </si>
  <si>
    <t>CPX (LPDN PRE 179, POST 271)</t>
  </si>
  <si>
    <t>CPX (LPDN PRE 137, POST 249)</t>
  </si>
  <si>
    <t>CPX (LPDN PRE 148, POST 242)</t>
  </si>
  <si>
    <t>CPX (LPDN PRE 137, POST 229)</t>
  </si>
  <si>
    <t xml:space="preserve">CPX </t>
  </si>
  <si>
    <t>CPX (LPDN PRE 3, POST 12)</t>
  </si>
  <si>
    <t>CPX (LPDN PRE 1, POST 5)</t>
  </si>
  <si>
    <t>CPX (LPDN PRE 2, POST 5)</t>
  </si>
  <si>
    <t>121/1335</t>
  </si>
  <si>
    <t>CPX (LPDN PRE 98, POST 157)</t>
  </si>
  <si>
    <t>CPX (LPDN PRE 75, POST 128)</t>
  </si>
  <si>
    <t>CPX (LPDN PRE 89, POST 154)</t>
  </si>
  <si>
    <t>CPX (LPDN PRE 1, POST 2)</t>
  </si>
  <si>
    <t>121/102</t>
  </si>
  <si>
    <t>CPX (LPDN PRE 1, POST 1)</t>
  </si>
  <si>
    <t>CPX (LPDN PRE 87, POST 143)</t>
  </si>
  <si>
    <t>YEDR1 (LPDN WAS 57 AND 99)</t>
  </si>
  <si>
    <t>YEDR1 (LPDN WAS 51 AND 141)</t>
  </si>
  <si>
    <t>YEDR1 (LPDN WAS 19 AND 85)</t>
  </si>
  <si>
    <t>YEDR1 (LPDN WAS 30AND 33)</t>
  </si>
  <si>
    <t>YEDR1 (LPDN WAS 30AND 38)</t>
  </si>
  <si>
    <t>CPX (LPDN PRE 104, POST 185)</t>
  </si>
  <si>
    <t>Replaced seasoning wfs with 6 used Bare Si BE wfs (taken from white cassette) with CP &lt; 150. Actual CP wf was fresh.</t>
  </si>
  <si>
    <t>CPX (LPDN PRE 99, POST 177)</t>
  </si>
  <si>
    <t>CPX (LPDN PRE 40, POST 82)</t>
  </si>
  <si>
    <t>NESTEC wfs</t>
  </si>
  <si>
    <t>CPX (LPDN PRE 09, POST 35)</t>
  </si>
  <si>
    <t>CPX (LPDN PRE 12, POST 300)</t>
  </si>
  <si>
    <t>CPX (LPDN PRE 4, POST 77)</t>
  </si>
  <si>
    <t>CPX (LPDN PRE 29, POST 74)</t>
  </si>
  <si>
    <t>CPX (LPDN PRE 32, POST 329)</t>
  </si>
  <si>
    <t>CPX (LPDN PRE 20, POST 99)</t>
  </si>
  <si>
    <t>CPX (LPDN PRE 25, POST 56</t>
  </si>
  <si>
    <t xml:space="preserve">CPX (LPDN PRE 21, POST </t>
  </si>
  <si>
    <t>CPX (LPDN PRE 127, POST 212)</t>
  </si>
  <si>
    <t>CPX (LPDN PRE 18, POST 52)</t>
  </si>
  <si>
    <t>CPX (LPDN PRE 36, POST 68)</t>
  </si>
  <si>
    <t>CPX (LPDN PRE 77, POST 91)</t>
  </si>
  <si>
    <t>CPX (LPDN PRE 86, POST 121)</t>
  </si>
  <si>
    <t>CPX (LPDN PRE 16, POST 09)</t>
  </si>
  <si>
    <t>CPX (LPDN PRE 1, POST 4)</t>
  </si>
  <si>
    <t>CPX (LPDN PRE 23, POST 31)</t>
  </si>
  <si>
    <t>CPX (LPDN PRE 5, POST 27)</t>
  </si>
  <si>
    <t>CPX (LPDN PRE27, POST 221)</t>
  </si>
  <si>
    <t>CPX (LPDN PRE 56, POST 125)</t>
  </si>
  <si>
    <t>CPX (LPDN PRE 2, POST 11)</t>
  </si>
  <si>
    <t>CPX (LPDN PRE 38, POST 67)</t>
  </si>
  <si>
    <t>CPX (LPDN PRE 12, POST 23)</t>
  </si>
  <si>
    <t>CPX (LPDN PRE 35, POST 46)</t>
  </si>
  <si>
    <t>CPX (LPDN PRE 21, POST 25)</t>
  </si>
  <si>
    <t>CPX (LPDN PRE 37, POST 68)</t>
  </si>
  <si>
    <t>08/16/2018</t>
  </si>
  <si>
    <t>CPX (LPDN PRE 89, POST 135 )</t>
  </si>
  <si>
    <t>CPX (LPDN PRE 1, POST 5 )</t>
  </si>
  <si>
    <t>CPX (LPDN PRE 5, POST 13 )</t>
  </si>
  <si>
    <t>CPX (LPDN PRE 13, POST 15)</t>
  </si>
  <si>
    <t>CPX (LPDN PRE 11, POST 152)</t>
  </si>
  <si>
    <t>CPX (LPDN PRE 4 POST 172)</t>
  </si>
  <si>
    <t>CPX (LPDN PRE 4 POST 280)</t>
  </si>
  <si>
    <t>CPX (LPDN PRE 16 POST 84)</t>
  </si>
  <si>
    <t>CPX (LPDN PRE 1 POST 39)</t>
  </si>
  <si>
    <t>CPX (LPDN PRE 18, POST 71)</t>
  </si>
  <si>
    <t>CPX (LPDN PRE 16, POST 95)</t>
  </si>
  <si>
    <t>CPX (LPDN PRE 100, POST 162)</t>
  </si>
  <si>
    <t>CPX (LPDN PRE 164, POST 188)</t>
  </si>
  <si>
    <t>CPX (LPDN PRE 4, POST 6)</t>
  </si>
  <si>
    <t>CPX (LPDN PRE 8, POST 13)</t>
  </si>
  <si>
    <t>CPX (LPDN PRE 06, POST 135)</t>
  </si>
  <si>
    <t>CPX (LPDN PRE 06, POST 19)</t>
  </si>
  <si>
    <t>CPX (LPDN PRE 80, POST 303)</t>
  </si>
  <si>
    <t>After Semi-Annual PM</t>
  </si>
  <si>
    <t>03/28/2019</t>
  </si>
  <si>
    <t>CPX (LPDN PRE 20, POST 37)</t>
  </si>
  <si>
    <t>CPX (LPDN PRE 25, POST 44)</t>
  </si>
  <si>
    <t>CPX (LPDN PRE 13, POST 28)</t>
  </si>
  <si>
    <t>CPX (LPDN PRE 16, POST 56</t>
  </si>
  <si>
    <t>CPX (LPDN PRE 28, POST 49)</t>
  </si>
  <si>
    <t>Layer</t>
  </si>
  <si>
    <t>Wafer Type</t>
  </si>
  <si>
    <t>Recipe on REOSP1B</t>
  </si>
  <si>
    <t>RESP1B QC Log</t>
  </si>
  <si>
    <t>BARC</t>
  </si>
  <si>
    <t>BARC1800</t>
  </si>
  <si>
    <t>BARC-ER</t>
  </si>
  <si>
    <t>PAD PR</t>
  </si>
  <si>
    <t>ASH-RATE</t>
  </si>
  <si>
    <t>TEOS</t>
  </si>
  <si>
    <t>ATZP91</t>
  </si>
  <si>
    <t>ME-ER</t>
  </si>
  <si>
    <t xml:space="preserve">Date
(MM/DD/YYYY)
</t>
  </si>
  <si>
    <t>Recipe</t>
  </si>
  <si>
    <t>Max Etch Rate</t>
  </si>
  <si>
    <t>Min Etch Rate</t>
  </si>
  <si>
    <t>Etch Rate Å/Min</t>
  </si>
  <si>
    <t>%Uniformity</t>
  </si>
  <si>
    <t>STDEV</t>
  </si>
  <si>
    <t>LSL</t>
  </si>
  <si>
    <t>LCL</t>
  </si>
  <si>
    <t>UCL</t>
  </si>
  <si>
    <t>% Uni UCL</t>
  </si>
  <si>
    <t>PR</t>
  </si>
  <si>
    <t>Pre</t>
  </si>
  <si>
    <t>Post</t>
  </si>
  <si>
    <t xml:space="preserve">∆ /Time=ERÅ/Min
</t>
  </si>
  <si>
    <t>ARC1800</t>
  </si>
  <si>
    <t>∆ /Time=ERÅ/Min</t>
  </si>
  <si>
    <t>1335/102</t>
  </si>
  <si>
    <t>After tool shutdown</t>
  </si>
  <si>
    <t>Q18180078.F1</t>
  </si>
  <si>
    <t>74/1335</t>
  </si>
  <si>
    <t>Q18260025.F1</t>
  </si>
  <si>
    <t>121/1159</t>
  </si>
  <si>
    <t>Q18240020.F1</t>
  </si>
  <si>
    <t>Q18250055.F1</t>
  </si>
  <si>
    <t>Q18260023.F1</t>
  </si>
  <si>
    <t>Q18290075.F1</t>
  </si>
  <si>
    <t>Pass</t>
  </si>
  <si>
    <t>PASS</t>
  </si>
  <si>
    <t>Q18310091.F1</t>
  </si>
  <si>
    <t>Q18320068.F1</t>
  </si>
  <si>
    <t>Q18380010.F1</t>
  </si>
  <si>
    <t>Q18400068.F1</t>
  </si>
  <si>
    <t xml:space="preserve"> Q18410002.F1</t>
  </si>
  <si>
    <t>Q18410089.F1</t>
  </si>
  <si>
    <t>Q18420001.F1</t>
  </si>
  <si>
    <t>Q18420063.F1</t>
  </si>
  <si>
    <t>Q18430001.F1</t>
  </si>
  <si>
    <t>Q18430086.F1</t>
  </si>
  <si>
    <t>Q18450002.F1</t>
  </si>
  <si>
    <t>Q18450064.F1</t>
  </si>
  <si>
    <t>Q18460033.F1</t>
  </si>
  <si>
    <t>Q18470039.F1</t>
  </si>
  <si>
    <t>1340/121</t>
  </si>
  <si>
    <t>Q19010023.F1</t>
  </si>
  <si>
    <t>Q19040110.F1</t>
  </si>
  <si>
    <t>Q19050030.F1</t>
  </si>
  <si>
    <t>Q19050104.F1</t>
  </si>
  <si>
    <t>Q19060090.F1</t>
  </si>
  <si>
    <t>Q19070030.F1</t>
  </si>
  <si>
    <t>Q19090022.F1</t>
  </si>
  <si>
    <t>Q19090090.F1</t>
  </si>
  <si>
    <t>Q19100023.F1</t>
  </si>
  <si>
    <t>Q19100069.F1</t>
  </si>
  <si>
    <t>Q19110109.F1</t>
  </si>
  <si>
    <t>Q19150074.F1</t>
  </si>
  <si>
    <t>Recipe on RESP1B</t>
  </si>
  <si>
    <t>SiN</t>
  </si>
  <si>
    <t>NNIT2800</t>
  </si>
  <si>
    <t>Z-CS-NIT-ER2</t>
  </si>
  <si>
    <t>Pre Thickkness  Å</t>
  </si>
  <si>
    <t>Tech EC</t>
  </si>
  <si>
    <t>SIN</t>
  </si>
  <si>
    <t>SOME POST MEASUREMENTS IN mtop1 IS ZERO. SO MEASURED TWICE AND TOOK REF FROM PREVIOUS VALUES</t>
  </si>
  <si>
    <t>Q18090068.F1</t>
  </si>
  <si>
    <t>Q18220024.F1</t>
  </si>
  <si>
    <t>Q18280002.F1</t>
  </si>
  <si>
    <t>07/26/2018</t>
  </si>
  <si>
    <t>07/30/2018</t>
  </si>
  <si>
    <t>Q18320107.F1</t>
  </si>
  <si>
    <t>1340/0074</t>
  </si>
  <si>
    <t>Q18440003.F1</t>
  </si>
  <si>
    <t>1340/1159</t>
  </si>
  <si>
    <t>Q19040011.F1</t>
  </si>
  <si>
    <t>Q19080109.F1</t>
  </si>
  <si>
    <t>Q19120020.F1</t>
  </si>
  <si>
    <t>Affter Semi-Annual PM</t>
  </si>
  <si>
    <t>Q19150144.F1</t>
  </si>
  <si>
    <t>Q19170032.F1</t>
  </si>
  <si>
    <t>Uni</t>
  </si>
  <si>
    <t>sigma</t>
  </si>
  <si>
    <t>Uni SiN</t>
  </si>
  <si>
    <t/>
  </si>
  <si>
    <t>Avg</t>
  </si>
  <si>
    <t>Date (MM/DD/YYYY)</t>
  </si>
  <si>
    <t>delta CP</t>
  </si>
  <si>
    <t>LPDN values</t>
  </si>
  <si>
    <t xml:space="preserve"> Employee code</t>
  </si>
  <si>
    <t>New seasoning wafer taken</t>
  </si>
  <si>
    <t>Site</t>
  </si>
  <si>
    <t>Etch Rate (A/Min)</t>
  </si>
  <si>
    <t>% Uniformity</t>
  </si>
  <si>
    <t>% Uni USL</t>
  </si>
  <si>
    <t>Employee Code</t>
  </si>
  <si>
    <t>Lot ID</t>
  </si>
  <si>
    <t>Thickness  (Å)</t>
  </si>
  <si>
    <t>CPX DOWN</t>
  </si>
  <si>
    <t>On DIA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</si>
</sst>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_);\(0.00\)"/>
    <numFmt numFmtId="166" formatCode="0_);\(0\)"/>
    <numFmt numFmtId="167" formatCode="m/d/yyyy;@"/>
    <numFmt numFmtId="168" formatCode="m/d;@"/>
  </numFmts>
  <fonts count="32" x14ac:knownFonts="1">
    <font>
      <sz val="12"/>
      <color theme="1"/>
      <name val="Calibri"/>
      <family val="2"/>
      <scheme val="minor"/>
    </font>
    <font>
      <sz val="11"/>
      <color theme="1"/>
      <name val="Calibri"/>
      <family val="2"/>
      <scheme val="minor"/>
    </font>
    <font>
      <b/>
      <sz val="12"/>
      <color theme="1"/>
      <name val="Calibri"/>
      <family val="2"/>
      <scheme val="minor"/>
    </font>
    <font>
      <sz val="28"/>
      <color rgb="FF000000"/>
      <name val="Calibri"/>
      <family val="2"/>
    </font>
    <font>
      <b/>
      <sz val="11"/>
      <color theme="1"/>
      <name val="Calibri"/>
      <family val="2"/>
      <scheme val="minor"/>
    </font>
    <font>
      <sz val="10"/>
      <color theme="1"/>
      <name val="Arial"/>
      <family val="2"/>
      <charset val="177"/>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name val="Arial"/>
      <family val="2"/>
      <charset val="177"/>
    </font>
    <font>
      <sz val="10"/>
      <color rgb="FF92D050"/>
      <name val="Arial"/>
      <family val="2"/>
      <charset val="177"/>
    </font>
    <font>
      <b/>
      <sz val="10"/>
      <color theme="1"/>
      <name val="Arial"/>
      <family val="2"/>
    </font>
    <font>
      <b/>
      <sz val="10"/>
      <name val="Arial"/>
      <family val="2"/>
      <charset val="177"/>
    </font>
    <font>
      <sz val="12"/>
      <color theme="1"/>
      <name val="Arial"/>
      <family val="2"/>
      <charset val="177"/>
    </font>
    <font>
      <sz val="10"/>
      <color rgb="FF00B050"/>
      <name val="Arial"/>
      <family val="2"/>
      <charset val="177"/>
    </font>
    <font>
      <b/>
      <sz val="12"/>
      <name val="Arial"/>
      <family val="2"/>
    </font>
    <font>
      <b/>
      <sz val="12"/>
      <color rgb="FF00B050"/>
      <name val="Arial"/>
      <family val="2"/>
    </font>
    <font>
      <sz val="12"/>
      <name val="Arial"/>
      <family val="2"/>
    </font>
    <font>
      <sz val="12"/>
      <color rgb="FF00B050"/>
      <name val="Arial"/>
      <family val="2"/>
      <charset val="177"/>
    </font>
    <font>
      <sz val="12"/>
      <color theme="1"/>
      <name val="Arial"/>
      <family val="2"/>
    </font>
    <font>
      <b/>
      <sz val="10"/>
      <color rgb="FFFF0000"/>
      <name val="Arial"/>
      <family val="2"/>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11"/>
      <name val="Calibri"/>
      <family val="2"/>
      <scheme val="minor"/>
    </font>
    <font>
      <u/>
      <sz val="11"/>
      <color rgb="FF00B050"/>
      <name val="Calibri"/>
      <family val="2"/>
      <scheme val="minor"/>
    </font>
    <font>
      <b/>
      <sz val="11"/>
      <name val="Calibri"/>
      <family val="2"/>
      <scheme val="minor"/>
    </font>
    <font>
      <b/>
      <sz val="11"/>
      <color rgb="FF00B050"/>
      <name val="Calibri"/>
      <family val="2"/>
      <scheme val="minor"/>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48">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right/>
      <top style="medium">
        <color indexed="64"/>
      </top>
      <bottom style="medium">
        <color indexed="64"/>
      </bottom>
      <diagonal/>
    </border>
  </borders>
  <cellStyleXfs count="6">
    <xf numFmtId="0" fontId="0" fillId="0" borderId="0"/>
    <xf numFmtId="0" fontId="5" fillId="0" borderId="0"/>
    <xf numFmtId="0" fontId="1" fillId="0" borderId="0"/>
    <xf numFmtId="0" fontId="1" fillId="0" borderId="0"/>
    <xf numFmtId="0" fontId="1" fillId="0" borderId="0"/>
    <xf numFmtId="0" fontId="1" fillId="0" borderId="0"/>
  </cellStyleXfs>
  <cellXfs count="329">
    <xf numFmtId="0" fontId="0" fillId="0" borderId="0" xfId="0"/>
    <xf numFmtId="0" fontId="2" fillId="0" borderId="0" xfId="0" applyFont="1"/>
    <xf numFmtId="0" fontId="7" fillId="2" borderId="0" xfId="1" applyFont="1" applyFill="1" applyAlignment="1"/>
    <xf numFmtId="164" fontId="6" fillId="2" borderId="0" xfId="1" applyNumberFormat="1" applyFont="1" applyFill="1" applyBorder="1" applyAlignment="1">
      <alignment horizontal="left"/>
    </xf>
    <xf numFmtId="0" fontId="9" fillId="0" borderId="0" xfId="1" applyFont="1" applyBorder="1" applyAlignment="1">
      <alignment horizontal="left"/>
    </xf>
    <xf numFmtId="0" fontId="6" fillId="2" borderId="0" xfId="1" applyFont="1" applyFill="1" applyBorder="1" applyAlignment="1"/>
    <xf numFmtId="0" fontId="6" fillId="2" borderId="0" xfId="1" applyFont="1" applyFill="1" applyBorder="1" applyAlignment="1">
      <alignment horizontal="center"/>
    </xf>
    <xf numFmtId="0" fontId="8" fillId="2" borderId="0" xfId="1" applyFont="1" applyFill="1" applyBorder="1" applyAlignment="1"/>
    <xf numFmtId="0" fontId="9" fillId="0" borderId="0" xfId="1" applyFont="1" applyBorder="1" applyAlignment="1">
      <alignment horizontal="center" vertical="center"/>
    </xf>
    <xf numFmtId="0" fontId="6" fillId="2" borderId="1" xfId="1" applyFont="1" applyFill="1" applyBorder="1" applyAlignment="1">
      <alignment horizontal="right"/>
    </xf>
    <xf numFmtId="0" fontId="5" fillId="0" borderId="0" xfId="1"/>
    <xf numFmtId="0" fontId="8" fillId="2" borderId="0" xfId="1" applyFont="1" applyFill="1" applyBorder="1" applyAlignment="1">
      <alignment horizontal="left"/>
    </xf>
    <xf numFmtId="0" fontId="8" fillId="2" borderId="0" xfId="1" applyFont="1" applyFill="1" applyBorder="1" applyAlignment="1">
      <alignment horizontal="center"/>
    </xf>
    <xf numFmtId="0" fontId="8" fillId="2" borderId="0" xfId="1" applyFont="1" applyFill="1" applyBorder="1" applyAlignment="1">
      <alignment horizontal="center" vertical="center"/>
    </xf>
    <xf numFmtId="0" fontId="8" fillId="2" borderId="1" xfId="1" applyFont="1" applyFill="1" applyBorder="1" applyAlignment="1">
      <alignment horizontal="center"/>
    </xf>
    <xf numFmtId="0" fontId="9" fillId="2" borderId="0" xfId="1" applyFont="1" applyFill="1" applyBorder="1" applyAlignment="1">
      <alignment horizontal="left"/>
    </xf>
    <xf numFmtId="0" fontId="8" fillId="2" borderId="1" xfId="1" applyFont="1" applyFill="1" applyBorder="1" applyAlignment="1"/>
    <xf numFmtId="164" fontId="8" fillId="2" borderId="2" xfId="1" applyNumberFormat="1" applyFont="1" applyFill="1" applyBorder="1" applyAlignment="1">
      <alignment horizontal="left"/>
    </xf>
    <xf numFmtId="0" fontId="9" fillId="2" borderId="2" xfId="1" applyFont="1" applyFill="1" applyBorder="1" applyAlignment="1">
      <alignment horizontal="left"/>
    </xf>
    <xf numFmtId="0" fontId="8" fillId="2" borderId="2" xfId="1" applyFont="1" applyFill="1" applyBorder="1" applyAlignment="1"/>
    <xf numFmtId="0" fontId="8" fillId="2" borderId="2" xfId="1" applyFont="1" applyFill="1" applyBorder="1" applyAlignment="1">
      <alignment horizontal="center"/>
    </xf>
    <xf numFmtId="0" fontId="8" fillId="2" borderId="2" xfId="1" applyFont="1" applyFill="1" applyBorder="1" applyAlignment="1">
      <alignment horizontal="center" vertical="center"/>
    </xf>
    <xf numFmtId="0" fontId="8" fillId="2" borderId="3" xfId="1" applyFont="1" applyFill="1" applyBorder="1" applyAlignment="1"/>
    <xf numFmtId="0" fontId="9" fillId="0" borderId="4" xfId="1" applyFont="1" applyBorder="1" applyAlignment="1">
      <alignment horizontal="center" vertical="top"/>
    </xf>
    <xf numFmtId="0" fontId="9" fillId="0" borderId="4" xfId="1" applyFont="1" applyBorder="1" applyAlignment="1">
      <alignment horizontal="center" vertical="top" wrapText="1"/>
    </xf>
    <xf numFmtId="164" fontId="10" fillId="0" borderId="4" xfId="1" applyNumberFormat="1" applyFont="1" applyBorder="1" applyAlignment="1">
      <alignment horizontal="left"/>
    </xf>
    <xf numFmtId="0" fontId="10" fillId="0" borderId="4" xfId="1" applyFont="1" applyFill="1" applyBorder="1" applyAlignment="1">
      <alignment horizontal="center" wrapText="1"/>
    </xf>
    <xf numFmtId="0" fontId="5" fillId="0" borderId="4" xfId="1" applyBorder="1" applyAlignment="1">
      <alignment horizontal="center" vertical="center"/>
    </xf>
    <xf numFmtId="0" fontId="5" fillId="0" borderId="4" xfId="1" applyBorder="1" applyAlignment="1">
      <alignment horizontal="center"/>
    </xf>
    <xf numFmtId="0" fontId="5" fillId="0" borderId="9" xfId="1" applyFill="1" applyBorder="1" applyAlignment="1">
      <alignment horizontal="center" vertical="center"/>
    </xf>
    <xf numFmtId="0" fontId="5" fillId="0" borderId="10" xfId="1" applyFill="1" applyBorder="1" applyAlignment="1">
      <alignment horizontal="center" vertical="center"/>
    </xf>
    <xf numFmtId="0" fontId="5" fillId="0" borderId="4" xfId="1" applyFill="1" applyBorder="1" applyAlignment="1">
      <alignment horizontal="center" vertical="center"/>
    </xf>
    <xf numFmtId="0" fontId="5" fillId="0" borderId="0" xfId="1" applyAlignment="1">
      <alignment horizontal="center" vertical="center"/>
    </xf>
    <xf numFmtId="0" fontId="5" fillId="0" borderId="0" xfId="1" applyAlignment="1">
      <alignment horizontal="center"/>
    </xf>
    <xf numFmtId="164" fontId="5" fillId="3" borderId="0" xfId="1" applyNumberFormat="1" applyFill="1" applyAlignment="1">
      <alignment horizontal="center" vertical="top"/>
    </xf>
    <xf numFmtId="0" fontId="5" fillId="3" borderId="0" xfId="1" applyFill="1" applyAlignment="1">
      <alignment horizontal="center" vertical="top"/>
    </xf>
    <xf numFmtId="0" fontId="5" fillId="3" borderId="0" xfId="1" applyFill="1"/>
    <xf numFmtId="0" fontId="12" fillId="0" borderId="0" xfId="1" applyFont="1"/>
    <xf numFmtId="0" fontId="5" fillId="3" borderId="1" xfId="1" applyFill="1" applyBorder="1" applyAlignment="1">
      <alignment horizontal="right"/>
    </xf>
    <xf numFmtId="0" fontId="5" fillId="3" borderId="0" xfId="1" applyFill="1" applyBorder="1"/>
    <xf numFmtId="0" fontId="13" fillId="0" borderId="0" xfId="1" applyFont="1"/>
    <xf numFmtId="164" fontId="5" fillId="3" borderId="0" xfId="1" applyNumberFormat="1" applyFill="1" applyBorder="1" applyAlignment="1">
      <alignment horizontal="center" vertical="top"/>
    </xf>
    <xf numFmtId="0" fontId="5" fillId="3" borderId="0" xfId="1" applyFill="1" applyBorder="1" applyAlignment="1">
      <alignment horizontal="center" vertical="top"/>
    </xf>
    <xf numFmtId="0" fontId="14" fillId="0" borderId="4" xfId="1" applyFont="1" applyBorder="1" applyAlignment="1">
      <alignment horizontal="center" vertical="top"/>
    </xf>
    <xf numFmtId="0" fontId="14" fillId="0" borderId="4" xfId="1" applyFont="1" applyBorder="1" applyAlignment="1">
      <alignment horizontal="center"/>
    </xf>
    <xf numFmtId="0" fontId="14" fillId="0" borderId="6" xfId="1" applyFont="1" applyBorder="1" applyAlignment="1"/>
    <xf numFmtId="0" fontId="14" fillId="0" borderId="7" xfId="1" applyFont="1" applyBorder="1" applyAlignment="1"/>
    <xf numFmtId="0" fontId="5" fillId="0" borderId="4" xfId="1" applyBorder="1" applyAlignment="1">
      <alignment horizontal="center" vertical="top"/>
    </xf>
    <xf numFmtId="0" fontId="5" fillId="0" borderId="6" xfId="1" applyBorder="1" applyAlignment="1"/>
    <xf numFmtId="0" fontId="5" fillId="0" borderId="7" xfId="1" applyBorder="1" applyAlignment="1"/>
    <xf numFmtId="0" fontId="5" fillId="3" borderId="3" xfId="1" applyFill="1" applyBorder="1" applyAlignment="1">
      <alignment horizontal="right"/>
    </xf>
    <xf numFmtId="0" fontId="14" fillId="0" borderId="0" xfId="1" applyFont="1"/>
    <xf numFmtId="0" fontId="5" fillId="0" borderId="15" xfId="1" applyBorder="1" applyAlignment="1">
      <alignment horizontal="center" vertical="top"/>
    </xf>
    <xf numFmtId="0" fontId="9" fillId="0" borderId="16" xfId="1" applyFont="1" applyBorder="1" applyAlignment="1">
      <alignment horizontal="center" vertical="top" wrapText="1"/>
    </xf>
    <xf numFmtId="0" fontId="9" fillId="0" borderId="15" xfId="1" applyFont="1" applyBorder="1" applyAlignment="1">
      <alignment horizontal="center" vertical="top" wrapText="1"/>
    </xf>
    <xf numFmtId="0" fontId="9" fillId="0" borderId="15" xfId="1" applyFont="1" applyFill="1" applyBorder="1" applyAlignment="1">
      <alignment horizontal="center" vertical="top" wrapText="1"/>
    </xf>
    <xf numFmtId="165" fontId="9" fillId="0" borderId="15" xfId="1" applyNumberFormat="1" applyFont="1" applyFill="1" applyBorder="1" applyAlignment="1">
      <alignment horizontal="center" vertical="top" wrapText="1"/>
    </xf>
    <xf numFmtId="0" fontId="13" fillId="0" borderId="0" xfId="1" applyFont="1" applyFill="1" applyBorder="1" applyAlignment="1">
      <alignment horizontal="center" vertical="top"/>
    </xf>
    <xf numFmtId="0" fontId="5" fillId="0" borderId="9" xfId="1" applyBorder="1" applyAlignment="1">
      <alignment horizontal="center" vertical="top"/>
    </xf>
    <xf numFmtId="0" fontId="9" fillId="0" borderId="1" xfId="1" applyFont="1" applyBorder="1" applyAlignment="1">
      <alignment horizontal="center" vertical="top" wrapText="1"/>
    </xf>
    <xf numFmtId="0" fontId="9" fillId="0" borderId="9" xfId="1" applyFont="1" applyBorder="1" applyAlignment="1">
      <alignment horizontal="center" vertical="top" wrapText="1"/>
    </xf>
    <xf numFmtId="0" fontId="9" fillId="0" borderId="9" xfId="1" applyFont="1" applyFill="1" applyBorder="1" applyAlignment="1">
      <alignment horizontal="center" vertical="top" wrapText="1"/>
    </xf>
    <xf numFmtId="165" fontId="9" fillId="0" borderId="9" xfId="1" applyNumberFormat="1" applyFont="1" applyFill="1" applyBorder="1" applyAlignment="1">
      <alignment horizontal="center" vertical="top" wrapText="1"/>
    </xf>
    <xf numFmtId="0" fontId="5" fillId="0" borderId="8" xfId="1" applyBorder="1" applyAlignment="1">
      <alignment horizontal="center" vertical="top"/>
    </xf>
    <xf numFmtId="0" fontId="9" fillId="0" borderId="3" xfId="1" applyFont="1" applyBorder="1" applyAlignment="1">
      <alignment horizontal="center" vertical="top" wrapText="1"/>
    </xf>
    <xf numFmtId="0" fontId="9" fillId="0" borderId="8" xfId="1" applyFont="1" applyBorder="1" applyAlignment="1">
      <alignment horizontal="center" vertical="top" wrapText="1"/>
    </xf>
    <xf numFmtId="0" fontId="10" fillId="0" borderId="4" xfId="1" applyFont="1" applyFill="1" applyBorder="1" applyAlignment="1">
      <alignment horizontal="center" vertical="top" wrapText="1"/>
    </xf>
    <xf numFmtId="0" fontId="9" fillId="0" borderId="8" xfId="1" applyFont="1" applyFill="1" applyBorder="1" applyAlignment="1">
      <alignment horizontal="center" vertical="top" wrapText="1"/>
    </xf>
    <xf numFmtId="165" fontId="9" fillId="0" borderId="8" xfId="1" applyNumberFormat="1" applyFont="1" applyFill="1" applyBorder="1" applyAlignment="1">
      <alignment horizontal="center" vertical="top" wrapText="1"/>
    </xf>
    <xf numFmtId="0" fontId="5" fillId="0" borderId="1" xfId="1" applyBorder="1" applyAlignment="1">
      <alignment horizontal="center" vertical="top"/>
    </xf>
    <xf numFmtId="0" fontId="9" fillId="0" borderId="17" xfId="1" applyFont="1" applyBorder="1" applyAlignment="1">
      <alignment horizontal="center" vertical="top" wrapText="1"/>
    </xf>
    <xf numFmtId="0" fontId="10" fillId="0" borderId="5" xfId="1" applyFont="1" applyFill="1" applyBorder="1" applyAlignment="1">
      <alignment horizontal="center" vertical="top" wrapText="1"/>
    </xf>
    <xf numFmtId="0" fontId="9" fillId="0" borderId="5" xfId="1" applyFont="1" applyBorder="1" applyAlignment="1">
      <alignment horizontal="center" vertical="top" wrapText="1"/>
    </xf>
    <xf numFmtId="0" fontId="9" fillId="0" borderId="23" xfId="1" applyFont="1" applyBorder="1" applyAlignment="1">
      <alignment horizontal="center" vertical="top" wrapText="1"/>
    </xf>
    <xf numFmtId="0" fontId="9" fillId="0" borderId="5" xfId="1" applyFont="1" applyFill="1" applyBorder="1" applyAlignment="1">
      <alignment horizontal="center" vertical="top" wrapText="1"/>
    </xf>
    <xf numFmtId="165" fontId="9" fillId="0" borderId="5" xfId="1" applyNumberFormat="1" applyFont="1" applyFill="1" applyBorder="1" applyAlignment="1">
      <alignment horizontal="center" vertical="top" wrapText="1"/>
    </xf>
    <xf numFmtId="0" fontId="5" fillId="0" borderId="24" xfId="1" applyBorder="1" applyAlignment="1">
      <alignment horizontal="center" vertical="top"/>
    </xf>
    <xf numFmtId="0" fontId="9" fillId="0" borderId="25" xfId="1" applyFont="1" applyBorder="1" applyAlignment="1">
      <alignment horizontal="center" vertical="top" wrapText="1"/>
    </xf>
    <xf numFmtId="0" fontId="9" fillId="0" borderId="24" xfId="1" applyFont="1" applyBorder="1" applyAlignment="1">
      <alignment horizontal="center" vertical="top" wrapText="1"/>
    </xf>
    <xf numFmtId="0" fontId="10" fillId="0" borderId="26" xfId="1" applyFont="1" applyFill="1" applyBorder="1" applyAlignment="1">
      <alignment horizontal="center" vertical="top" wrapText="1"/>
    </xf>
    <xf numFmtId="0" fontId="9" fillId="0" borderId="24" xfId="1" applyFont="1" applyFill="1" applyBorder="1" applyAlignment="1">
      <alignment horizontal="center" vertical="top" wrapText="1"/>
    </xf>
    <xf numFmtId="165" fontId="9" fillId="0" borderId="24" xfId="1" applyNumberFormat="1" applyFont="1" applyFill="1" applyBorder="1" applyAlignment="1">
      <alignment horizontal="center" vertical="top" wrapText="1"/>
    </xf>
    <xf numFmtId="0" fontId="5" fillId="0" borderId="0" xfId="1" applyFill="1" applyBorder="1"/>
    <xf numFmtId="0" fontId="10" fillId="0" borderId="10" xfId="1" applyFont="1" applyFill="1" applyBorder="1" applyAlignment="1">
      <alignment horizontal="center" vertical="top" wrapText="1"/>
    </xf>
    <xf numFmtId="0" fontId="10" fillId="0" borderId="0" xfId="1" applyFont="1" applyFill="1" applyBorder="1" applyAlignment="1">
      <alignment horizontal="center" vertical="top" wrapText="1"/>
    </xf>
    <xf numFmtId="0" fontId="5" fillId="0" borderId="17" xfId="1" applyBorder="1" applyAlignment="1">
      <alignment horizontal="center" vertical="top"/>
    </xf>
    <xf numFmtId="0" fontId="9" fillId="0" borderId="17" xfId="1" applyFont="1" applyFill="1" applyBorder="1" applyAlignment="1">
      <alignment horizontal="center" vertical="top" wrapText="1"/>
    </xf>
    <xf numFmtId="165" fontId="9" fillId="0" borderId="17" xfId="1" applyNumberFormat="1" applyFont="1" applyFill="1" applyBorder="1" applyAlignment="1">
      <alignment horizontal="center" vertical="top" wrapText="1"/>
    </xf>
    <xf numFmtId="0" fontId="9" fillId="0" borderId="4" xfId="1" applyFont="1" applyFill="1" applyBorder="1" applyAlignment="1">
      <alignment horizontal="center" vertical="top" wrapText="1"/>
    </xf>
    <xf numFmtId="165" fontId="9" fillId="0" borderId="4" xfId="1" applyNumberFormat="1" applyFont="1" applyFill="1" applyBorder="1" applyAlignment="1">
      <alignment horizontal="center" vertical="top" wrapText="1"/>
    </xf>
    <xf numFmtId="0" fontId="5" fillId="0" borderId="26" xfId="1" applyBorder="1" applyAlignment="1">
      <alignment horizontal="center" vertical="top"/>
    </xf>
    <xf numFmtId="0" fontId="9" fillId="0" borderId="26" xfId="1" applyFont="1" applyBorder="1" applyAlignment="1">
      <alignment horizontal="center" vertical="top" wrapText="1"/>
    </xf>
    <xf numFmtId="0" fontId="9" fillId="0" borderId="26" xfId="1" applyFont="1" applyFill="1" applyBorder="1" applyAlignment="1">
      <alignment horizontal="center" vertical="top" wrapText="1"/>
    </xf>
    <xf numFmtId="165" fontId="9" fillId="0" borderId="26" xfId="1" applyNumberFormat="1" applyFont="1" applyFill="1" applyBorder="1" applyAlignment="1">
      <alignment horizontal="center" vertical="top" wrapText="1"/>
    </xf>
    <xf numFmtId="0" fontId="5" fillId="0" borderId="0" xfId="1" applyAlignment="1">
      <alignment horizontal="right"/>
    </xf>
    <xf numFmtId="0" fontId="5" fillId="0" borderId="5" xfId="1" applyBorder="1" applyAlignment="1">
      <alignment horizontal="center" vertical="top"/>
    </xf>
    <xf numFmtId="164" fontId="5" fillId="0" borderId="0" xfId="1" applyNumberFormat="1" applyAlignment="1">
      <alignment horizontal="center" vertical="top"/>
    </xf>
    <xf numFmtId="0" fontId="5" fillId="0" borderId="0" xfId="1" applyAlignment="1">
      <alignment horizontal="center" vertical="top"/>
    </xf>
    <xf numFmtId="0" fontId="5" fillId="3" borderId="0" xfId="1" applyFill="1" applyAlignment="1">
      <alignment horizontal="right" vertical="top"/>
    </xf>
    <xf numFmtId="14" fontId="5" fillId="3" borderId="0" xfId="1" applyNumberFormat="1" applyFill="1"/>
    <xf numFmtId="0" fontId="5" fillId="3" borderId="0" xfId="1" applyFill="1" applyAlignment="1">
      <alignment horizontal="center"/>
    </xf>
    <xf numFmtId="0" fontId="5" fillId="3" borderId="0" xfId="1" applyNumberFormat="1" applyFill="1" applyAlignment="1">
      <alignment horizontal="center" vertical="top"/>
    </xf>
    <xf numFmtId="0" fontId="5" fillId="3" borderId="1" xfId="1" applyFill="1" applyBorder="1" applyAlignment="1">
      <alignment horizontal="center" vertical="center"/>
    </xf>
    <xf numFmtId="0" fontId="17" fillId="0" borderId="0" xfId="1" applyFont="1" applyAlignment="1">
      <alignment horizontal="center" vertical="center"/>
    </xf>
    <xf numFmtId="0" fontId="5" fillId="3" borderId="4" xfId="1" applyFill="1" applyBorder="1"/>
    <xf numFmtId="0" fontId="5" fillId="3" borderId="6" xfId="1" applyFill="1" applyBorder="1" applyAlignment="1"/>
    <xf numFmtId="0" fontId="5" fillId="3" borderId="7" xfId="1" applyFill="1" applyBorder="1" applyAlignment="1"/>
    <xf numFmtId="0" fontId="5" fillId="3" borderId="3" xfId="1" applyFill="1" applyBorder="1" applyAlignment="1">
      <alignment horizontal="center" vertical="center"/>
    </xf>
    <xf numFmtId="164" fontId="18" fillId="0" borderId="4" xfId="1" applyNumberFormat="1" applyFont="1" applyBorder="1" applyAlignment="1">
      <alignment horizontal="left" vertical="top" wrapText="1"/>
    </xf>
    <xf numFmtId="0" fontId="18" fillId="0" borderId="40" xfId="1" applyFont="1" applyBorder="1" applyAlignment="1">
      <alignment horizontal="center" vertical="top" wrapText="1"/>
    </xf>
    <xf numFmtId="0" fontId="18" fillId="0" borderId="6" xfId="1" applyFont="1" applyBorder="1" applyAlignment="1">
      <alignment horizontal="center" vertical="top" wrapText="1"/>
    </xf>
    <xf numFmtId="0" fontId="18" fillId="0" borderId="6" xfId="1" applyFont="1" applyBorder="1" applyAlignment="1">
      <alignment vertical="top" wrapText="1"/>
    </xf>
    <xf numFmtId="0" fontId="18" fillId="0" borderId="40" xfId="1" applyFont="1" applyBorder="1" applyAlignment="1">
      <alignment vertical="top" wrapText="1"/>
    </xf>
    <xf numFmtId="0" fontId="18" fillId="0" borderId="7" xfId="1" applyFont="1" applyBorder="1" applyAlignment="1">
      <alignment vertical="top" wrapText="1"/>
    </xf>
    <xf numFmtId="165" fontId="18" fillId="0" borderId="4" xfId="1" applyNumberFormat="1" applyFont="1" applyBorder="1" applyAlignment="1">
      <alignment horizontal="center" vertical="top" wrapText="1"/>
    </xf>
    <xf numFmtId="0" fontId="18" fillId="0" borderId="4" xfId="1" applyFont="1" applyBorder="1" applyAlignment="1">
      <alignment horizontal="center" vertical="top"/>
    </xf>
    <xf numFmtId="0" fontId="18" fillId="0" borderId="4" xfId="1" applyNumberFormat="1" applyFont="1" applyBorder="1" applyAlignment="1">
      <alignment horizontal="center" vertical="top" wrapText="1"/>
    </xf>
    <xf numFmtId="0" fontId="19" fillId="0" borderId="0" xfId="1" applyFont="1" applyAlignment="1">
      <alignment horizontal="center" vertical="top"/>
    </xf>
    <xf numFmtId="0" fontId="19" fillId="0" borderId="0" xfId="1" applyFont="1" applyFill="1" applyBorder="1" applyAlignment="1">
      <alignment horizontal="center" vertical="top"/>
    </xf>
    <xf numFmtId="0" fontId="20" fillId="0" borderId="8" xfId="1" applyFont="1" applyBorder="1" applyAlignment="1">
      <alignment vertical="top" wrapText="1"/>
    </xf>
    <xf numFmtId="0" fontId="20" fillId="0" borderId="4" xfId="1" applyFont="1" applyFill="1" applyBorder="1" applyAlignment="1">
      <alignment vertical="top" wrapText="1"/>
    </xf>
    <xf numFmtId="0" fontId="5" fillId="0" borderId="0" xfId="1" applyFont="1"/>
    <xf numFmtId="0" fontId="21" fillId="0" borderId="0" xfId="1" applyFont="1" applyAlignment="1">
      <alignment horizontal="center" vertical="top"/>
    </xf>
    <xf numFmtId="0" fontId="21" fillId="0" borderId="0" xfId="1" applyFont="1" applyFill="1" applyBorder="1" applyAlignment="1">
      <alignment horizontal="center" vertical="top"/>
    </xf>
    <xf numFmtId="0" fontId="20" fillId="0" borderId="9" xfId="1" applyFont="1" applyBorder="1" applyAlignment="1">
      <alignment vertical="top" wrapText="1"/>
    </xf>
    <xf numFmtId="0" fontId="12" fillId="0" borderId="4" xfId="1" applyFont="1" applyFill="1" applyBorder="1" applyAlignment="1">
      <alignment horizontal="center" vertical="top" wrapText="1"/>
    </xf>
    <xf numFmtId="0" fontId="16" fillId="0" borderId="0" xfId="1" applyFont="1"/>
    <xf numFmtId="164" fontId="20" fillId="0" borderId="5" xfId="1" applyNumberFormat="1" applyFont="1" applyBorder="1" applyAlignment="1">
      <alignment horizontal="right" vertical="top" wrapText="1"/>
    </xf>
    <xf numFmtId="0" fontId="16" fillId="0" borderId="9" xfId="1" applyFont="1" applyBorder="1" applyAlignment="1">
      <alignment vertical="top" wrapText="1"/>
    </xf>
    <xf numFmtId="0" fontId="16" fillId="0" borderId="8" xfId="1" applyFont="1" applyBorder="1" applyAlignment="1">
      <alignment vertical="top" wrapText="1"/>
    </xf>
    <xf numFmtId="0" fontId="16" fillId="0" borderId="5" xfId="1" applyFont="1" applyBorder="1" applyAlignment="1">
      <alignment horizontal="center" vertical="center"/>
    </xf>
    <xf numFmtId="0" fontId="16" fillId="0" borderId="9" xfId="1" applyFont="1" applyBorder="1" applyAlignment="1">
      <alignment horizontal="center" vertical="center"/>
    </xf>
    <xf numFmtId="0" fontId="16" fillId="0" borderId="8" xfId="1" applyFont="1" applyBorder="1" applyAlignment="1">
      <alignment horizontal="center" vertical="center"/>
    </xf>
    <xf numFmtId="0" fontId="5" fillId="0" borderId="0" xfId="1" applyFont="1" applyFill="1" applyBorder="1"/>
    <xf numFmtId="0" fontId="20" fillId="0" borderId="4" xfId="1" applyFont="1" applyFill="1" applyBorder="1" applyAlignment="1">
      <alignment horizontal="center" vertical="top" wrapText="1"/>
    </xf>
    <xf numFmtId="0" fontId="1" fillId="0" borderId="0" xfId="4"/>
    <xf numFmtId="0" fontId="1" fillId="0" borderId="0" xfId="5"/>
    <xf numFmtId="0" fontId="5" fillId="0" borderId="0" xfId="1" applyAlignment="1">
      <alignment horizontal="right" vertical="top"/>
    </xf>
    <xf numFmtId="0" fontId="5" fillId="0" borderId="0" xfId="1" applyNumberFormat="1" applyAlignment="1">
      <alignment horizontal="center" vertical="top"/>
    </xf>
    <xf numFmtId="0" fontId="5" fillId="0" borderId="10" xfId="1" applyBorder="1" applyAlignment="1"/>
    <xf numFmtId="165" fontId="9" fillId="0" borderId="15" xfId="1" applyNumberFormat="1" applyFont="1" applyFill="1" applyBorder="1" applyAlignment="1">
      <alignment vertical="center" wrapText="1"/>
    </xf>
    <xf numFmtId="165" fontId="9" fillId="0" borderId="5" xfId="1" applyNumberFormat="1" applyFont="1" applyFill="1" applyBorder="1" applyAlignment="1">
      <alignment vertical="center" wrapText="1"/>
    </xf>
    <xf numFmtId="165" fontId="9" fillId="0" borderId="5" xfId="1" applyNumberFormat="1" applyFont="1" applyFill="1" applyBorder="1" applyAlignment="1">
      <alignment vertical="top" wrapText="1"/>
    </xf>
    <xf numFmtId="0" fontId="5" fillId="0" borderId="0" xfId="1" applyBorder="1" applyAlignment="1"/>
    <xf numFmtId="0" fontId="13" fillId="0" borderId="0" xfId="1" applyFont="1" applyBorder="1"/>
    <xf numFmtId="0" fontId="5" fillId="0" borderId="0" xfId="1" applyFill="1" applyBorder="1" applyAlignment="1"/>
    <xf numFmtId="165" fontId="9" fillId="0" borderId="10" xfId="1" applyNumberFormat="1" applyFont="1" applyFill="1" applyBorder="1" applyAlignment="1">
      <alignment vertical="center" wrapText="1"/>
    </xf>
    <xf numFmtId="165" fontId="9" fillId="0" borderId="0" xfId="1" applyNumberFormat="1" applyFont="1" applyFill="1" applyBorder="1" applyAlignment="1">
      <alignment vertical="center" wrapText="1"/>
    </xf>
    <xf numFmtId="0" fontId="5" fillId="0" borderId="39" xfId="1" applyBorder="1" applyAlignment="1"/>
    <xf numFmtId="0" fontId="23" fillId="0" borderId="0" xfId="1" applyFont="1"/>
    <xf numFmtId="165" fontId="23" fillId="0" borderId="0" xfId="1" applyNumberFormat="1" applyFont="1"/>
    <xf numFmtId="0" fontId="23" fillId="0" borderId="0" xfId="1" applyFont="1" applyFill="1" applyBorder="1"/>
    <xf numFmtId="0" fontId="5" fillId="4" borderId="0" xfId="1" applyFill="1"/>
    <xf numFmtId="164" fontId="24" fillId="0" borderId="0" xfId="0" applyNumberFormat="1" applyFont="1" applyBorder="1" applyAlignment="1">
      <alignment horizontal="left" vertical="center" wrapText="1"/>
    </xf>
    <xf numFmtId="0" fontId="24" fillId="0" borderId="42" xfId="0" applyFont="1" applyBorder="1" applyAlignment="1">
      <alignment horizontal="center" vertical="top"/>
    </xf>
    <xf numFmtId="0" fontId="24" fillId="0" borderId="42" xfId="0" applyFont="1" applyBorder="1" applyAlignment="1">
      <alignment horizontal="center" vertical="top" wrapText="1"/>
    </xf>
    <xf numFmtId="0" fontId="25" fillId="0" borderId="42" xfId="0" applyFont="1" applyBorder="1" applyAlignment="1">
      <alignment horizontal="center" vertical="center"/>
    </xf>
    <xf numFmtId="0" fontId="24" fillId="0" borderId="23" xfId="0" applyFont="1" applyFill="1" applyBorder="1" applyAlignment="1">
      <alignment horizontal="center" vertical="top"/>
    </xf>
    <xf numFmtId="0" fontId="25" fillId="0" borderId="0" xfId="0" applyFont="1"/>
    <xf numFmtId="164" fontId="26" fillId="0" borderId="43" xfId="0" applyNumberFormat="1" applyFont="1" applyBorder="1" applyAlignment="1">
      <alignment horizontal="center" vertical="top" wrapText="1"/>
    </xf>
    <xf numFmtId="0" fontId="26" fillId="0" borderId="44" xfId="0" applyFont="1" applyBorder="1" applyAlignment="1">
      <alignment horizontal="center" vertical="top" wrapText="1"/>
    </xf>
    <xf numFmtId="0" fontId="26" fillId="0" borderId="44" xfId="0" applyFont="1" applyBorder="1" applyAlignment="1">
      <alignment horizontal="center" vertical="top"/>
    </xf>
    <xf numFmtId="0" fontId="27" fillId="0" borderId="45" xfId="0" applyFont="1" applyBorder="1" applyAlignment="1">
      <alignment horizontal="center" vertical="top"/>
    </xf>
    <xf numFmtId="0" fontId="27" fillId="0" borderId="0" xfId="0" applyFont="1" applyAlignment="1">
      <alignment horizontal="center" vertical="top"/>
    </xf>
    <xf numFmtId="164" fontId="10" fillId="0" borderId="4" xfId="1" applyNumberFormat="1" applyFont="1" applyBorder="1" applyAlignment="1">
      <alignment horizontal="center"/>
    </xf>
    <xf numFmtId="0" fontId="11" fillId="0" borderId="4" xfId="1" applyFont="1" applyFill="1" applyBorder="1" applyAlignment="1">
      <alignment horizontal="center"/>
    </xf>
    <xf numFmtId="0" fontId="5" fillId="0" borderId="6" xfId="1" applyBorder="1" applyAlignment="1">
      <alignment horizontal="center"/>
    </xf>
    <xf numFmtId="164" fontId="10" fillId="0" borderId="4" xfId="1" applyNumberFormat="1" applyFont="1" applyBorder="1" applyAlignment="1">
      <alignment horizontal="center" vertical="top"/>
    </xf>
    <xf numFmtId="0" fontId="10" fillId="0" borderId="9" xfId="1" applyFont="1" applyFill="1" applyBorder="1" applyAlignment="1">
      <alignment horizontal="center" wrapText="1"/>
    </xf>
    <xf numFmtId="0" fontId="11" fillId="0" borderId="9" xfId="1" applyFont="1" applyFill="1" applyBorder="1" applyAlignment="1">
      <alignment horizontal="center"/>
    </xf>
    <xf numFmtId="0" fontId="5" fillId="0" borderId="4" xfId="1" applyFill="1" applyBorder="1" applyAlignment="1">
      <alignment horizontal="center"/>
    </xf>
    <xf numFmtId="0" fontId="5" fillId="0" borderId="7" xfId="1" applyBorder="1" applyAlignment="1">
      <alignment horizontal="center"/>
    </xf>
    <xf numFmtId="0" fontId="5" fillId="0" borderId="9" xfId="1" applyFill="1" applyBorder="1" applyAlignment="1">
      <alignment horizontal="center"/>
    </xf>
    <xf numFmtId="164" fontId="24" fillId="0" borderId="13" xfId="0" applyNumberFormat="1" applyFont="1" applyBorder="1" applyAlignment="1">
      <alignment horizontal="left" vertical="center" wrapText="1"/>
    </xf>
    <xf numFmtId="164" fontId="10" fillId="0" borderId="8" xfId="1" applyNumberFormat="1" applyFont="1" applyBorder="1" applyAlignment="1">
      <alignment horizontal="center"/>
    </xf>
    <xf numFmtId="0" fontId="5" fillId="0" borderId="8" xfId="1" applyBorder="1" applyAlignment="1">
      <alignment horizontal="center"/>
    </xf>
    <xf numFmtId="0" fontId="10" fillId="0" borderId="8" xfId="1" applyFont="1" applyFill="1" applyBorder="1" applyAlignment="1">
      <alignment horizontal="center" wrapText="1"/>
    </xf>
    <xf numFmtId="0" fontId="11" fillId="0" borderId="8" xfId="1" applyFont="1" applyFill="1" applyBorder="1" applyAlignment="1">
      <alignment horizontal="center"/>
    </xf>
    <xf numFmtId="0" fontId="5" fillId="0" borderId="8" xfId="1" applyBorder="1" applyAlignment="1">
      <alignment horizontal="center" vertical="center"/>
    </xf>
    <xf numFmtId="0" fontId="5" fillId="0" borderId="46" xfId="1" applyBorder="1" applyAlignment="1">
      <alignment horizontal="center"/>
    </xf>
    <xf numFmtId="0" fontId="27" fillId="0" borderId="47" xfId="0" applyFont="1" applyBorder="1" applyAlignment="1">
      <alignment horizontal="center" vertical="top"/>
    </xf>
    <xf numFmtId="0" fontId="12" fillId="0" borderId="0" xfId="1" applyFont="1" applyBorder="1" applyAlignment="1">
      <alignment horizontal="center"/>
    </xf>
    <xf numFmtId="0" fontId="9" fillId="0" borderId="9" xfId="1" applyFont="1" applyBorder="1" applyAlignment="1">
      <alignment horizontal="center" vertical="top"/>
    </xf>
    <xf numFmtId="0" fontId="9" fillId="0" borderId="18" xfId="1" applyNumberFormat="1" applyFont="1" applyBorder="1" applyAlignment="1">
      <alignment horizontal="center" vertical="top" wrapText="1"/>
    </xf>
    <xf numFmtId="0" fontId="13" fillId="0" borderId="0" xfId="1" applyFont="1" applyAlignment="1">
      <alignment horizontal="center" vertical="top"/>
    </xf>
    <xf numFmtId="0" fontId="9" fillId="0" borderId="20" xfId="1" applyNumberFormat="1" applyFont="1" applyBorder="1" applyAlignment="1">
      <alignment horizontal="center" vertical="top" wrapText="1"/>
    </xf>
    <xf numFmtId="0" fontId="13" fillId="0" borderId="0" xfId="1" applyFont="1" applyAlignment="1">
      <alignment horizontal="center"/>
    </xf>
    <xf numFmtId="0" fontId="9" fillId="0" borderId="8" xfId="1" applyFont="1" applyBorder="1" applyAlignment="1">
      <alignment horizontal="center" vertical="top"/>
    </xf>
    <xf numFmtId="0" fontId="9" fillId="0" borderId="22" xfId="1" applyNumberFormat="1" applyFont="1" applyBorder="1" applyAlignment="1">
      <alignment horizontal="center" vertical="top" wrapText="1"/>
    </xf>
    <xf numFmtId="0" fontId="9" fillId="0" borderId="5" xfId="1" applyFont="1" applyBorder="1" applyAlignment="1">
      <alignment horizontal="center" vertical="top"/>
    </xf>
    <xf numFmtId="0" fontId="9" fillId="0" borderId="20" xfId="1" applyFont="1" applyBorder="1" applyAlignment="1">
      <alignment horizontal="center" vertical="top"/>
    </xf>
    <xf numFmtId="0" fontId="9" fillId="0" borderId="15" xfId="1" applyFont="1" applyBorder="1" applyAlignment="1">
      <alignment horizontal="center" vertical="top"/>
    </xf>
    <xf numFmtId="0" fontId="9" fillId="0" borderId="24" xfId="1" applyFont="1" applyBorder="1" applyAlignment="1">
      <alignment horizontal="center" vertical="top"/>
    </xf>
    <xf numFmtId="0" fontId="9" fillId="0" borderId="27" xfId="1" applyNumberFormat="1" applyFont="1" applyBorder="1" applyAlignment="1">
      <alignment horizontal="center" vertical="top" wrapText="1"/>
    </xf>
    <xf numFmtId="164" fontId="10" fillId="0" borderId="14" xfId="1" applyNumberFormat="1" applyFont="1" applyBorder="1" applyAlignment="1">
      <alignment horizontal="center" vertical="top"/>
    </xf>
    <xf numFmtId="164" fontId="10" fillId="0" borderId="19" xfId="1" applyNumberFormat="1" applyFont="1" applyBorder="1" applyAlignment="1">
      <alignment horizontal="center" vertical="top"/>
    </xf>
    <xf numFmtId="164" fontId="10" fillId="0" borderId="21" xfId="1" applyNumberFormat="1" applyFont="1" applyBorder="1" applyAlignment="1">
      <alignment horizontal="center" vertical="top"/>
    </xf>
    <xf numFmtId="0" fontId="5" fillId="0" borderId="30" xfId="1" applyBorder="1" applyAlignment="1">
      <alignment horizontal="center"/>
    </xf>
    <xf numFmtId="0" fontId="5" fillId="0" borderId="0" xfId="1" applyBorder="1" applyAlignment="1">
      <alignment horizontal="center"/>
    </xf>
    <xf numFmtId="0" fontId="5" fillId="0" borderId="0" xfId="1" applyFill="1" applyBorder="1" applyAlignment="1">
      <alignment horizontal="center"/>
    </xf>
    <xf numFmtId="0" fontId="1" fillId="0" borderId="0" xfId="2" applyAlignment="1">
      <alignment horizontal="center"/>
    </xf>
    <xf numFmtId="0" fontId="1" fillId="0" borderId="0" xfId="3" applyAlignment="1">
      <alignment horizontal="center"/>
    </xf>
    <xf numFmtId="0" fontId="12" fillId="0" borderId="30" xfId="1" applyFont="1" applyBorder="1" applyAlignment="1">
      <alignment horizontal="center"/>
    </xf>
    <xf numFmtId="0" fontId="9" fillId="0" borderId="22" xfId="1" applyFont="1" applyBorder="1" applyAlignment="1">
      <alignment horizontal="center" vertical="top"/>
    </xf>
    <xf numFmtId="0" fontId="12" fillId="0" borderId="31" xfId="1" applyFont="1" applyBorder="1" applyAlignment="1">
      <alignment horizontal="center"/>
    </xf>
    <xf numFmtId="0" fontId="12" fillId="0" borderId="2" xfId="1" applyFont="1" applyBorder="1" applyAlignment="1">
      <alignment horizontal="center"/>
    </xf>
    <xf numFmtId="14" fontId="5" fillId="0" borderId="0" xfId="1" applyNumberFormat="1" applyAlignment="1">
      <alignment horizontal="center"/>
    </xf>
    <xf numFmtId="0" fontId="5" fillId="0" borderId="17" xfId="1" applyBorder="1" applyAlignment="1">
      <alignment horizontal="center"/>
    </xf>
    <xf numFmtId="0" fontId="9" fillId="0" borderId="17" xfId="1" applyFont="1" applyBorder="1" applyAlignment="1">
      <alignment horizontal="center" vertical="top"/>
    </xf>
    <xf numFmtId="0" fontId="9" fillId="0" borderId="33" xfId="1" applyNumberFormat="1" applyFont="1" applyBorder="1" applyAlignment="1">
      <alignment horizontal="center" vertical="top" wrapText="1"/>
    </xf>
    <xf numFmtId="0" fontId="12" fillId="0" borderId="4" xfId="1" applyFont="1" applyBorder="1" applyAlignment="1">
      <alignment horizontal="center"/>
    </xf>
    <xf numFmtId="0" fontId="9" fillId="0" borderId="35" xfId="1" applyNumberFormat="1" applyFont="1" applyBorder="1" applyAlignment="1">
      <alignment horizontal="center" vertical="top" wrapText="1"/>
    </xf>
    <xf numFmtId="0" fontId="9" fillId="0" borderId="35" xfId="1" applyFont="1" applyBorder="1" applyAlignment="1">
      <alignment horizontal="center" vertical="top"/>
    </xf>
    <xf numFmtId="0" fontId="12" fillId="0" borderId="26" xfId="1" applyFont="1" applyBorder="1" applyAlignment="1">
      <alignment horizontal="center"/>
    </xf>
    <xf numFmtId="0" fontId="9" fillId="0" borderId="26" xfId="1" applyFont="1" applyBorder="1" applyAlignment="1">
      <alignment horizontal="center" vertical="top"/>
    </xf>
    <xf numFmtId="0" fontId="9" fillId="0" borderId="37" xfId="1" applyNumberFormat="1" applyFont="1" applyBorder="1" applyAlignment="1">
      <alignment horizontal="center" vertical="top" wrapText="1"/>
    </xf>
    <xf numFmtId="0" fontId="5" fillId="0" borderId="22" xfId="1" applyBorder="1" applyAlignment="1">
      <alignment horizontal="center"/>
    </xf>
    <xf numFmtId="0" fontId="5" fillId="0" borderId="35" xfId="1" applyBorder="1" applyAlignment="1">
      <alignment horizontal="center"/>
    </xf>
    <xf numFmtId="0" fontId="12" fillId="0" borderId="5" xfId="1" applyFont="1" applyBorder="1" applyAlignment="1">
      <alignment horizontal="center"/>
    </xf>
    <xf numFmtId="0" fontId="9" fillId="0" borderId="38" xfId="1" applyNumberFormat="1" applyFont="1" applyBorder="1" applyAlignment="1">
      <alignment horizontal="center" vertical="top" wrapText="1"/>
    </xf>
    <xf numFmtId="0" fontId="5" fillId="0" borderId="33" xfId="1" applyBorder="1" applyAlignment="1">
      <alignment horizontal="center"/>
    </xf>
    <xf numFmtId="0" fontId="12" fillId="0" borderId="17" xfId="1" applyFont="1" applyBorder="1" applyAlignment="1">
      <alignment horizontal="center"/>
    </xf>
    <xf numFmtId="0" fontId="12" fillId="0" borderId="8" xfId="1" applyFont="1" applyBorder="1" applyAlignment="1">
      <alignment horizontal="center"/>
    </xf>
    <xf numFmtId="0" fontId="5" fillId="0" borderId="26" xfId="1" applyBorder="1" applyAlignment="1">
      <alignment horizontal="center"/>
    </xf>
    <xf numFmtId="0" fontId="5" fillId="0" borderId="37" xfId="1" applyBorder="1" applyAlignment="1">
      <alignment horizontal="center"/>
    </xf>
    <xf numFmtId="0" fontId="5" fillId="0" borderId="5" xfId="1" applyBorder="1" applyAlignment="1">
      <alignment horizontal="center"/>
    </xf>
    <xf numFmtId="0" fontId="5" fillId="0" borderId="38" xfId="1" applyBorder="1" applyAlignment="1">
      <alignment horizontal="center"/>
    </xf>
    <xf numFmtId="0" fontId="5" fillId="0" borderId="0" xfId="1" applyAlignment="1" applyProtection="1">
      <alignment horizontal="center"/>
      <protection locked="0"/>
    </xf>
    <xf numFmtId="167" fontId="28" fillId="0" borderId="5" xfId="0" applyNumberFormat="1" applyFont="1" applyBorder="1" applyAlignment="1">
      <alignment horizontal="center" vertical="center" wrapText="1"/>
    </xf>
    <xf numFmtId="0" fontId="28" fillId="0" borderId="41" xfId="0" applyFont="1" applyBorder="1" applyAlignment="1">
      <alignment horizontal="center" vertical="top" wrapText="1"/>
    </xf>
    <xf numFmtId="0" fontId="28" fillId="0" borderId="42" xfId="0" applyFont="1" applyBorder="1" applyAlignment="1">
      <alignment vertical="top" wrapText="1"/>
    </xf>
    <xf numFmtId="0" fontId="1" fillId="0" borderId="0" xfId="0" applyFont="1"/>
    <xf numFmtId="2" fontId="1" fillId="0" borderId="0" xfId="0" applyNumberFormat="1" applyFont="1"/>
    <xf numFmtId="0" fontId="28" fillId="0" borderId="5" xfId="0" applyFont="1" applyBorder="1" applyAlignment="1">
      <alignment horizontal="center" vertical="center" wrapText="1"/>
    </xf>
    <xf numFmtId="0" fontId="28" fillId="0" borderId="41" xfId="0" applyFont="1" applyBorder="1" applyAlignment="1">
      <alignment horizontal="left" vertical="top" wrapText="1"/>
    </xf>
    <xf numFmtId="0" fontId="29" fillId="2" borderId="5" xfId="0" applyFont="1" applyFill="1" applyBorder="1" applyAlignment="1">
      <alignment vertical="center"/>
    </xf>
    <xf numFmtId="0" fontId="29" fillId="2" borderId="5" xfId="0" applyFont="1" applyFill="1" applyBorder="1" applyAlignment="1">
      <alignment horizontal="center" vertical="center"/>
    </xf>
    <xf numFmtId="168" fontId="30" fillId="0" borderId="43" xfId="0" applyNumberFormat="1" applyFont="1" applyBorder="1" applyAlignment="1">
      <alignment horizontal="center" vertical="top" wrapText="1"/>
    </xf>
    <xf numFmtId="0" fontId="30" fillId="0" borderId="44" xfId="0" applyFont="1" applyBorder="1" applyAlignment="1">
      <alignment horizontal="center" vertical="top" wrapText="1"/>
    </xf>
    <xf numFmtId="0" fontId="30" fillId="0" borderId="47" xfId="0" applyFont="1" applyBorder="1" applyAlignment="1">
      <alignment horizontal="center" vertical="top" wrapText="1"/>
    </xf>
    <xf numFmtId="2" fontId="30" fillId="0" borderId="44" xfId="0" applyNumberFormat="1" applyFont="1" applyBorder="1" applyAlignment="1">
      <alignment horizontal="center" vertical="top" wrapText="1"/>
    </xf>
    <xf numFmtId="0" fontId="30" fillId="0" borderId="44" xfId="0" applyFont="1" applyBorder="1" applyAlignment="1">
      <alignment horizontal="center" vertical="top"/>
    </xf>
    <xf numFmtId="0" fontId="31" fillId="2" borderId="44" xfId="0" applyFont="1" applyFill="1" applyBorder="1" applyAlignment="1">
      <alignment horizontal="center" vertical="top"/>
    </xf>
    <xf numFmtId="0" fontId="31" fillId="2" borderId="45" xfId="0" applyFont="1" applyFill="1" applyBorder="1" applyAlignment="1">
      <alignment horizontal="center" vertical="top"/>
    </xf>
    <xf numFmtId="0" fontId="4" fillId="0" borderId="0" xfId="0" applyFont="1" applyAlignment="1">
      <alignment horizontal="center" vertical="top"/>
    </xf>
    <xf numFmtId="0" fontId="5" fillId="3" borderId="0" xfId="1" applyFill="1" applyBorder="1" applyAlignment="1">
      <alignment horizontal="right"/>
    </xf>
    <xf numFmtId="0" fontId="9" fillId="0" borderId="0" xfId="1" applyNumberFormat="1" applyFont="1" applyBorder="1" applyAlignment="1">
      <alignment horizontal="center" vertical="top" wrapText="1"/>
    </xf>
    <xf numFmtId="0" fontId="9" fillId="0" borderId="0" xfId="1" applyFont="1" applyBorder="1" applyAlignment="1">
      <alignment horizontal="center" vertical="top"/>
    </xf>
    <xf numFmtId="0" fontId="14" fillId="0" borderId="44" xfId="1" applyFont="1" applyBorder="1" applyAlignment="1">
      <alignment horizontal="center" vertical="top"/>
    </xf>
    <xf numFmtId="0" fontId="15" fillId="0" borderId="47" xfId="1" applyFont="1" applyBorder="1" applyAlignment="1">
      <alignment horizontal="center" vertical="top"/>
    </xf>
    <xf numFmtId="0" fontId="4" fillId="0" borderId="47" xfId="0" applyFont="1" applyBorder="1" applyAlignment="1">
      <alignment horizontal="center" vertical="top"/>
    </xf>
    <xf numFmtId="0" fontId="5" fillId="0" borderId="39" xfId="1" applyBorder="1" applyAlignment="1">
      <alignment vertical="center"/>
    </xf>
    <xf numFmtId="0" fontId="5" fillId="0" borderId="0" xfId="1" applyBorder="1" applyAlignment="1">
      <alignment vertical="center"/>
    </xf>
    <xf numFmtId="0" fontId="5" fillId="0" borderId="39" xfId="1" applyBorder="1" applyAlignment="1">
      <alignment vertical="center" wrapText="1"/>
    </xf>
    <xf numFmtId="0" fontId="5" fillId="3" borderId="0" xfId="1" applyFill="1" applyBorder="1" applyAlignment="1">
      <alignment horizontal="center" vertical="center"/>
    </xf>
    <xf numFmtId="0" fontId="16" fillId="0" borderId="0" xfId="1" applyFont="1" applyBorder="1" applyAlignment="1">
      <alignment horizontal="center" vertical="center"/>
    </xf>
    <xf numFmtId="0" fontId="16" fillId="0" borderId="0" xfId="1" applyFont="1" applyBorder="1" applyAlignment="1">
      <alignment horizontal="center" vertical="center" wrapText="1"/>
    </xf>
    <xf numFmtId="165" fontId="20" fillId="0" borderId="5" xfId="1" applyNumberFormat="1" applyFont="1" applyFill="1" applyBorder="1" applyAlignment="1">
      <alignment horizontal="center" vertical="center" wrapText="1"/>
    </xf>
    <xf numFmtId="0" fontId="16" fillId="0" borderId="9" xfId="1" applyFont="1" applyBorder="1" applyAlignment="1">
      <alignment vertical="center"/>
    </xf>
    <xf numFmtId="0" fontId="16" fillId="0" borderId="8" xfId="1" applyFont="1" applyBorder="1" applyAlignment="1">
      <alignment vertical="center"/>
    </xf>
    <xf numFmtId="0" fontId="22" fillId="0" borderId="0" xfId="1" applyFont="1" applyBorder="1" applyAlignment="1">
      <alignment horizontal="center" vertical="center"/>
    </xf>
    <xf numFmtId="0" fontId="16" fillId="0" borderId="5" xfId="1" applyFont="1" applyBorder="1" applyAlignment="1">
      <alignment vertical="center"/>
    </xf>
    <xf numFmtId="0" fontId="22" fillId="0" borderId="5" xfId="1" applyFont="1" applyBorder="1" applyAlignment="1">
      <alignment vertical="center"/>
    </xf>
    <xf numFmtId="0" fontId="6" fillId="2" borderId="0" xfId="1" applyFont="1" applyFill="1" applyBorder="1" applyAlignment="1">
      <alignment horizontal="center"/>
    </xf>
    <xf numFmtId="0" fontId="6" fillId="2" borderId="0" xfId="1" applyFont="1" applyFill="1" applyBorder="1" applyAlignment="1">
      <alignment horizontal="center" vertical="center"/>
    </xf>
    <xf numFmtId="0" fontId="6" fillId="2" borderId="1" xfId="1" applyFont="1" applyFill="1" applyBorder="1" applyAlignment="1">
      <alignment horizontal="center"/>
    </xf>
    <xf numFmtId="0" fontId="8" fillId="2" borderId="0" xfId="1" applyFont="1" applyFill="1" applyBorder="1" applyAlignment="1">
      <alignment horizontal="center"/>
    </xf>
    <xf numFmtId="0" fontId="8" fillId="2" borderId="0" xfId="1" applyFont="1" applyFill="1" applyBorder="1" applyAlignment="1">
      <alignment horizontal="center" vertical="center"/>
    </xf>
    <xf numFmtId="0" fontId="8" fillId="2" borderId="1" xfId="1" applyFont="1" applyFill="1" applyBorder="1" applyAlignment="1">
      <alignment horizontal="center"/>
    </xf>
    <xf numFmtId="0" fontId="24" fillId="0" borderId="11" xfId="0" applyFont="1" applyBorder="1" applyAlignment="1">
      <alignment horizontal="center" vertical="top"/>
    </xf>
    <xf numFmtId="0" fontId="24" fillId="0" borderId="12" xfId="0" applyFont="1" applyBorder="1" applyAlignment="1">
      <alignment horizontal="center" vertical="top"/>
    </xf>
    <xf numFmtId="164" fontId="10" fillId="0" borderId="29" xfId="1" applyNumberFormat="1" applyFont="1" applyBorder="1" applyAlignment="1">
      <alignment horizontal="center" vertical="top"/>
    </xf>
    <xf numFmtId="164" fontId="10" fillId="0" borderId="34" xfId="1" applyNumberFormat="1" applyFont="1" applyBorder="1" applyAlignment="1">
      <alignment horizontal="center" vertical="top"/>
    </xf>
    <xf numFmtId="0" fontId="28" fillId="0" borderId="41" xfId="0" applyFont="1" applyBorder="1" applyAlignment="1">
      <alignment horizontal="center" vertical="top" wrapText="1"/>
    </xf>
    <xf numFmtId="0" fontId="28" fillId="0" borderId="42" xfId="0" applyFont="1" applyBorder="1" applyAlignment="1">
      <alignment horizontal="center" vertical="top" wrapText="1"/>
    </xf>
    <xf numFmtId="0" fontId="5" fillId="0" borderId="39" xfId="1" applyBorder="1" applyAlignment="1">
      <alignment horizontal="center"/>
    </xf>
    <xf numFmtId="0" fontId="5" fillId="0" borderId="39" xfId="1" applyBorder="1" applyAlignment="1">
      <alignment horizontal="center" vertical="center"/>
    </xf>
    <xf numFmtId="164" fontId="10" fillId="0" borderId="32" xfId="1" applyNumberFormat="1" applyFont="1" applyBorder="1" applyAlignment="1">
      <alignment horizontal="center" vertical="top"/>
    </xf>
    <xf numFmtId="0" fontId="5" fillId="0" borderId="0" xfId="1" applyBorder="1" applyAlignment="1">
      <alignment horizontal="center" vertical="center"/>
    </xf>
    <xf numFmtId="164" fontId="10" fillId="0" borderId="36" xfId="1" applyNumberFormat="1" applyFont="1" applyBorder="1" applyAlignment="1">
      <alignment horizontal="center" vertical="top"/>
    </xf>
    <xf numFmtId="164" fontId="10" fillId="0" borderId="28" xfId="1" applyNumberFormat="1" applyFont="1" applyBorder="1" applyAlignment="1">
      <alignment horizontal="center" vertical="top"/>
    </xf>
    <xf numFmtId="164" fontId="10" fillId="0" borderId="19" xfId="1" applyNumberFormat="1" applyFont="1" applyBorder="1" applyAlignment="1">
      <alignment horizontal="center" vertical="top"/>
    </xf>
    <xf numFmtId="164" fontId="10" fillId="0" borderId="14" xfId="1" applyNumberFormat="1" applyFont="1" applyBorder="1" applyAlignment="1">
      <alignment horizontal="center" vertical="top"/>
    </xf>
    <xf numFmtId="164" fontId="10" fillId="0" borderId="21" xfId="1" applyNumberFormat="1" applyFont="1" applyBorder="1" applyAlignment="1">
      <alignment horizontal="center" vertical="top"/>
    </xf>
    <xf numFmtId="164" fontId="5" fillId="0" borderId="34" xfId="1" applyNumberFormat="1" applyBorder="1" applyAlignment="1">
      <alignment horizontal="center" vertical="top"/>
    </xf>
    <xf numFmtId="164" fontId="5" fillId="0" borderId="36" xfId="1" applyNumberFormat="1" applyBorder="1" applyAlignment="1">
      <alignment horizontal="center" vertical="top"/>
    </xf>
    <xf numFmtId="0" fontId="16" fillId="0" borderId="23" xfId="1" applyFont="1" applyBorder="1" applyAlignment="1">
      <alignment horizontal="center" vertical="top"/>
    </xf>
    <xf numFmtId="0" fontId="16" fillId="0" borderId="1" xfId="1" applyFont="1" applyBorder="1" applyAlignment="1">
      <alignment horizontal="center" vertical="top"/>
    </xf>
    <xf numFmtId="0" fontId="16" fillId="0" borderId="3" xfId="1" applyFont="1" applyBorder="1" applyAlignment="1">
      <alignment horizontal="center" vertical="top"/>
    </xf>
    <xf numFmtId="164" fontId="10" fillId="0" borderId="5" xfId="1" applyNumberFormat="1" applyFont="1" applyBorder="1" applyAlignment="1">
      <alignment horizontal="center" vertical="top"/>
    </xf>
    <xf numFmtId="164" fontId="10" fillId="0" borderId="9" xfId="1" applyNumberFormat="1" applyFont="1" applyBorder="1" applyAlignment="1">
      <alignment horizontal="center" vertical="top"/>
    </xf>
    <xf numFmtId="164" fontId="10" fillId="0" borderId="8" xfId="1" applyNumberFormat="1" applyFont="1" applyBorder="1" applyAlignment="1">
      <alignment horizontal="center" vertical="top"/>
    </xf>
    <xf numFmtId="0" fontId="20" fillId="0" borderId="5" xfId="1" applyFont="1" applyBorder="1" applyAlignment="1">
      <alignment horizontal="center" vertical="top"/>
    </xf>
    <xf numFmtId="0" fontId="20" fillId="0" borderId="9" xfId="1" applyFont="1" applyBorder="1" applyAlignment="1">
      <alignment horizontal="center" vertical="top"/>
    </xf>
    <xf numFmtId="0" fontId="20" fillId="0" borderId="8" xfId="1" applyFont="1" applyBorder="1" applyAlignment="1">
      <alignment horizontal="center" vertical="top"/>
    </xf>
    <xf numFmtId="0" fontId="20" fillId="0" borderId="5" xfId="1" applyNumberFormat="1" applyFont="1" applyFill="1" applyBorder="1" applyAlignment="1">
      <alignment horizontal="right" vertical="top" wrapText="1"/>
    </xf>
    <xf numFmtId="0" fontId="20" fillId="0" borderId="9" xfId="1" applyNumberFormat="1" applyFont="1" applyFill="1" applyBorder="1" applyAlignment="1">
      <alignment horizontal="right" vertical="top" wrapText="1"/>
    </xf>
    <xf numFmtId="0" fontId="20" fillId="0" borderId="8" xfId="1" applyNumberFormat="1" applyFont="1" applyFill="1" applyBorder="1" applyAlignment="1">
      <alignment horizontal="right" vertical="top" wrapText="1"/>
    </xf>
    <xf numFmtId="164" fontId="20" fillId="0" borderId="5" xfId="1" applyNumberFormat="1" applyFont="1" applyBorder="1" applyAlignment="1">
      <alignment horizontal="right" vertical="top" wrapText="1"/>
    </xf>
    <xf numFmtId="0" fontId="16" fillId="0" borderId="9" xfId="1" applyFont="1" applyBorder="1" applyAlignment="1">
      <alignment vertical="top" wrapText="1"/>
    </xf>
    <xf numFmtId="0" fontId="16" fillId="0" borderId="8" xfId="1" applyFont="1" applyBorder="1" applyAlignment="1">
      <alignment vertical="top" wrapText="1"/>
    </xf>
    <xf numFmtId="0" fontId="20" fillId="0" borderId="5" xfId="1" applyFont="1" applyFill="1" applyBorder="1" applyAlignment="1">
      <alignment horizontal="right" vertical="top" wrapText="1"/>
    </xf>
    <xf numFmtId="0" fontId="20" fillId="0" borderId="9" xfId="1" applyFont="1" applyFill="1" applyBorder="1" applyAlignment="1">
      <alignment horizontal="right" vertical="top" wrapText="1"/>
    </xf>
    <xf numFmtId="0" fontId="20" fillId="0" borderId="8" xfId="1" applyFont="1" applyFill="1" applyBorder="1" applyAlignment="1">
      <alignment horizontal="right" vertical="top" wrapText="1"/>
    </xf>
    <xf numFmtId="165" fontId="20" fillId="0" borderId="5" xfId="1" applyNumberFormat="1" applyFont="1" applyFill="1" applyBorder="1" applyAlignment="1">
      <alignment horizontal="center" vertical="top" wrapText="1"/>
    </xf>
    <xf numFmtId="165" fontId="20" fillId="0" borderId="9" xfId="1" applyNumberFormat="1" applyFont="1" applyFill="1" applyBorder="1" applyAlignment="1">
      <alignment horizontal="center" vertical="top" wrapText="1"/>
    </xf>
    <xf numFmtId="165" fontId="20" fillId="0" borderId="8" xfId="1" applyNumberFormat="1" applyFont="1" applyFill="1" applyBorder="1" applyAlignment="1">
      <alignment horizontal="center" vertical="top" wrapText="1"/>
    </xf>
    <xf numFmtId="0" fontId="16" fillId="0" borderId="9" xfId="1" applyFont="1" applyBorder="1"/>
    <xf numFmtId="0" fontId="16" fillId="0" borderId="8" xfId="1" applyFont="1" applyBorder="1"/>
    <xf numFmtId="0" fontId="16" fillId="0" borderId="5" xfId="1" applyFont="1" applyBorder="1" applyAlignment="1">
      <alignment horizontal="center" vertical="center"/>
    </xf>
    <xf numFmtId="0" fontId="16" fillId="0" borderId="9" xfId="1" applyFont="1" applyBorder="1" applyAlignment="1">
      <alignment horizontal="center" vertical="center"/>
    </xf>
    <xf numFmtId="0" fontId="16" fillId="0" borderId="8" xfId="1" applyFont="1" applyBorder="1" applyAlignment="1">
      <alignment horizontal="center" vertical="center"/>
    </xf>
    <xf numFmtId="0" fontId="16" fillId="0" borderId="5" xfId="1" applyFont="1" applyBorder="1" applyAlignment="1">
      <alignment horizontal="center" vertical="center" wrapText="1"/>
    </xf>
    <xf numFmtId="0" fontId="16" fillId="0" borderId="9" xfId="1" applyFont="1" applyBorder="1" applyAlignment="1">
      <alignment horizontal="center" vertical="center" wrapText="1"/>
    </xf>
    <xf numFmtId="0" fontId="16" fillId="0" borderId="8" xfId="1" applyFont="1" applyBorder="1" applyAlignment="1">
      <alignment horizontal="center" vertical="center" wrapText="1"/>
    </xf>
    <xf numFmtId="164" fontId="20" fillId="4" borderId="5" xfId="1" applyNumberFormat="1" applyFont="1" applyFill="1" applyBorder="1" applyAlignment="1">
      <alignment horizontal="right" vertical="top" wrapText="1"/>
    </xf>
    <xf numFmtId="164" fontId="10" fillId="0" borderId="14" xfId="1" applyNumberFormat="1" applyFont="1" applyBorder="1" applyAlignment="1">
      <alignment horizontal="right" vertical="top"/>
    </xf>
    <xf numFmtId="164" fontId="10" fillId="0" borderId="19" xfId="1" applyNumberFormat="1" applyFont="1" applyBorder="1" applyAlignment="1">
      <alignment horizontal="right" vertical="top"/>
    </xf>
    <xf numFmtId="0" fontId="20" fillId="0" borderId="5" xfId="1" applyNumberFormat="1" applyFont="1" applyFill="1" applyBorder="1" applyAlignment="1">
      <alignment horizontal="center" vertical="top" wrapText="1"/>
    </xf>
    <xf numFmtId="0" fontId="20" fillId="0" borderId="9" xfId="1" applyNumberFormat="1" applyFont="1" applyFill="1" applyBorder="1" applyAlignment="1">
      <alignment horizontal="center" vertical="top" wrapText="1"/>
    </xf>
    <xf numFmtId="0" fontId="20" fillId="0" borderId="8" xfId="1" applyNumberFormat="1" applyFont="1" applyFill="1" applyBorder="1" applyAlignment="1">
      <alignment horizontal="center" vertical="top" wrapText="1"/>
    </xf>
    <xf numFmtId="165" fontId="20" fillId="0" borderId="5" xfId="1" applyNumberFormat="1" applyFont="1" applyFill="1" applyBorder="1" applyAlignment="1">
      <alignment horizontal="center" vertical="center" wrapText="1"/>
    </xf>
    <xf numFmtId="0" fontId="16" fillId="0" borderId="9" xfId="1" applyFont="1" applyBorder="1" applyAlignment="1">
      <alignment vertical="center"/>
    </xf>
    <xf numFmtId="0" fontId="16" fillId="0" borderId="8" xfId="1" applyFont="1" applyBorder="1" applyAlignment="1">
      <alignment vertical="center"/>
    </xf>
    <xf numFmtId="166" fontId="20" fillId="0" borderId="5" xfId="1" applyNumberFormat="1" applyFont="1" applyFill="1" applyBorder="1" applyAlignment="1">
      <alignment horizontal="right" vertical="top" wrapText="1"/>
    </xf>
    <xf numFmtId="164" fontId="10" fillId="0" borderId="28" xfId="1" applyNumberFormat="1" applyFont="1" applyBorder="1" applyAlignment="1">
      <alignment horizontal="right" vertical="top"/>
    </xf>
    <xf numFmtId="0" fontId="20" fillId="0" borderId="18" xfId="1" applyNumberFormat="1" applyFont="1" applyBorder="1" applyAlignment="1">
      <alignment vertical="center" wrapText="1"/>
    </xf>
    <xf numFmtId="0" fontId="20" fillId="0" borderId="20" xfId="1" applyNumberFormat="1" applyFont="1" applyBorder="1" applyAlignment="1">
      <alignment vertical="center" wrapText="1"/>
    </xf>
    <xf numFmtId="0" fontId="20" fillId="0" borderId="22" xfId="1" applyNumberFormat="1" applyFont="1" applyBorder="1" applyAlignment="1">
      <alignment vertical="center" wrapText="1"/>
    </xf>
  </cellXfs>
  <cellStyles count="6">
    <cellStyle name="Normal" xfId="0" builtinId="0"/>
    <cellStyle name="Normal 2" xfId="1"/>
    <cellStyle name="Normal 20" xfId="2"/>
    <cellStyle name="Normal 28" xfId="3"/>
    <cellStyle name="Normal 30" xfId="4"/>
    <cellStyle name="Normal 31" xfId="5"/>
  </cellStyles>
  <dxfs count="30398">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5</xdr:row>
          <xdr:rowOff>84406</xdr:rowOff>
        </xdr:from>
        <xdr:to>
          <xdr:col>7</xdr:col>
          <xdr:colOff>126609</xdr:colOff>
          <xdr:row>9</xdr:row>
          <xdr:rowOff>14068</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US" sz="28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40"/>
  <sheetViews>
    <sheetView zoomScale="90" zoomScaleNormal="90" workbookViewId="0">
      <pane ySplit="9" topLeftCell="A47" activePane="bottomLeft" state="frozen"/>
      <selection pane="bottomLeft" activeCell="J198" sqref="J198"/>
    </sheetView>
  </sheetViews>
  <sheetFormatPr defaultRowHeight="12.75" x14ac:dyDescent="0.25"/>
  <cols>
    <col min="1" max="1" width="13.6328125" style="10" customWidth="1"/>
    <col min="2" max="2" width="9.6328125" style="10" customWidth="1"/>
    <col min="3" max="3" width="7.1796875" style="10" customWidth="1"/>
    <col min="4" max="4" width="9" style="10" customWidth="1"/>
    <col min="5" max="5" width="7.7265625" style="10" customWidth="1"/>
    <col min="6" max="6" width="6.08984375" style="33" customWidth="1"/>
    <col min="7" max="7" width="10.54296875" style="10" customWidth="1"/>
    <col min="8" max="8" width="11.81640625" style="32" customWidth="1"/>
    <col min="9" max="9" width="39.08984375" style="10" customWidth="1"/>
    <col min="10" max="10" width="28.54296875" style="10" customWidth="1"/>
    <col min="11" max="16384" width="8.7265625" style="10"/>
  </cols>
  <sheetData>
    <row r="1" spans="1:10" s="2" customFormat="1" x14ac:dyDescent="0.25">
      <c r="A1" s="263" t="s">
        <v>11</v>
      </c>
      <c r="B1" s="263"/>
      <c r="C1" s="263"/>
      <c r="D1" s="263"/>
      <c r="E1" s="263"/>
      <c r="F1" s="263"/>
      <c r="G1" s="263"/>
      <c r="H1" s="264"/>
      <c r="I1" s="265"/>
    </row>
    <row r="2" spans="1:10" x14ac:dyDescent="0.25">
      <c r="A2" s="3" t="s">
        <v>12</v>
      </c>
      <c r="B2" s="4"/>
      <c r="C2" s="5"/>
      <c r="D2" s="5"/>
      <c r="E2" s="5"/>
      <c r="F2" s="6"/>
      <c r="G2" s="7"/>
      <c r="H2" s="8"/>
      <c r="I2" s="9" t="s">
        <v>13</v>
      </c>
    </row>
    <row r="3" spans="1:10" x14ac:dyDescent="0.25">
      <c r="A3" s="3" t="s">
        <v>14</v>
      </c>
      <c r="B3" s="11"/>
      <c r="C3" s="7"/>
      <c r="D3" s="7"/>
      <c r="E3" s="7"/>
      <c r="F3" s="12"/>
      <c r="G3" s="266" t="s">
        <v>15</v>
      </c>
      <c r="H3" s="267"/>
      <c r="I3" s="268"/>
    </row>
    <row r="4" spans="1:10" x14ac:dyDescent="0.25">
      <c r="A4" s="3" t="s">
        <v>16</v>
      </c>
      <c r="B4" s="11"/>
      <c r="C4" s="7"/>
      <c r="D4" s="7"/>
      <c r="E4" s="7"/>
      <c r="F4" s="12"/>
      <c r="G4" s="12"/>
      <c r="H4" s="13" t="s">
        <v>17</v>
      </c>
      <c r="I4" s="14"/>
    </row>
    <row r="5" spans="1:10" x14ac:dyDescent="0.25">
      <c r="A5" s="3" t="s">
        <v>18</v>
      </c>
      <c r="B5" s="15"/>
      <c r="C5" s="7"/>
      <c r="D5" s="7"/>
      <c r="E5" s="7"/>
      <c r="F5" s="12"/>
      <c r="G5" s="7"/>
      <c r="H5" s="13"/>
      <c r="I5" s="16"/>
    </row>
    <row r="6" spans="1:10" x14ac:dyDescent="0.25">
      <c r="A6" s="3" t="s">
        <v>19</v>
      </c>
      <c r="B6" s="15"/>
      <c r="C6" s="7"/>
      <c r="D6" s="7"/>
      <c r="E6" s="7"/>
      <c r="F6" s="12"/>
      <c r="G6" s="7"/>
      <c r="H6" s="13"/>
      <c r="I6" s="16"/>
    </row>
    <row r="7" spans="1:10" x14ac:dyDescent="0.25">
      <c r="A7" s="17"/>
      <c r="B7" s="18"/>
      <c r="C7" s="19"/>
      <c r="D7" s="19"/>
      <c r="E7" s="19"/>
      <c r="F7" s="20"/>
      <c r="G7" s="19"/>
      <c r="H7" s="21"/>
      <c r="I7" s="22"/>
    </row>
    <row r="8" spans="1:10" s="158" customFormat="1" ht="13.85" thickBot="1" x14ac:dyDescent="0.35">
      <c r="A8" s="153"/>
      <c r="B8" s="173"/>
      <c r="C8" s="269" t="s">
        <v>21</v>
      </c>
      <c r="D8" s="270"/>
      <c r="E8" s="154"/>
      <c r="F8" s="155"/>
      <c r="G8" s="154"/>
      <c r="H8" s="156"/>
      <c r="I8" s="157"/>
    </row>
    <row r="9" spans="1:10" s="163" customFormat="1" ht="32.950000000000003" customHeight="1" thickBot="1" x14ac:dyDescent="0.4">
      <c r="A9" s="159" t="s">
        <v>264</v>
      </c>
      <c r="B9" s="180" t="s">
        <v>20</v>
      </c>
      <c r="C9" s="160" t="s">
        <v>25</v>
      </c>
      <c r="D9" s="160" t="s">
        <v>26</v>
      </c>
      <c r="E9" s="161" t="s">
        <v>265</v>
      </c>
      <c r="F9" s="160" t="s">
        <v>22</v>
      </c>
      <c r="G9" s="161" t="s">
        <v>23</v>
      </c>
      <c r="H9" s="161" t="s">
        <v>267</v>
      </c>
      <c r="I9" s="161" t="s">
        <v>266</v>
      </c>
      <c r="J9" s="162" t="s">
        <v>24</v>
      </c>
    </row>
    <row r="10" spans="1:10" x14ac:dyDescent="0.25">
      <c r="A10" s="174">
        <v>42737</v>
      </c>
      <c r="B10" s="175" t="s">
        <v>27</v>
      </c>
      <c r="C10" s="176">
        <v>3</v>
      </c>
      <c r="D10" s="176">
        <v>51</v>
      </c>
      <c r="E10" s="176">
        <f t="shared" ref="E10:E73" si="0">IF(D10="","",(D10-C10))</f>
        <v>48</v>
      </c>
      <c r="F10" s="176">
        <v>50</v>
      </c>
      <c r="G10" s="177" t="str">
        <f t="shared" ref="G10:G73" si="1">IF(E10="","",IF(E10&lt;50,"Pass","Fail"))</f>
        <v>Pass</v>
      </c>
      <c r="H10" s="178">
        <v>1159</v>
      </c>
      <c r="I10" s="179" t="s">
        <v>28</v>
      </c>
      <c r="J10" s="175"/>
    </row>
    <row r="11" spans="1:10" x14ac:dyDescent="0.25">
      <c r="A11" s="164">
        <v>42740</v>
      </c>
      <c r="B11" s="28" t="s">
        <v>27</v>
      </c>
      <c r="C11" s="26">
        <v>2</v>
      </c>
      <c r="D11" s="26">
        <v>3</v>
      </c>
      <c r="E11" s="26">
        <f t="shared" si="0"/>
        <v>1</v>
      </c>
      <c r="F11" s="26"/>
      <c r="G11" s="165" t="str">
        <f t="shared" si="1"/>
        <v>Pass</v>
      </c>
      <c r="H11" s="27">
        <v>1335</v>
      </c>
      <c r="I11" s="166" t="s">
        <v>29</v>
      </c>
      <c r="J11" s="28"/>
    </row>
    <row r="12" spans="1:10" x14ac:dyDescent="0.25">
      <c r="A12" s="164">
        <v>42744</v>
      </c>
      <c r="B12" s="28" t="s">
        <v>27</v>
      </c>
      <c r="C12" s="26">
        <v>8</v>
      </c>
      <c r="D12" s="26">
        <v>8</v>
      </c>
      <c r="E12" s="26">
        <f t="shared" si="0"/>
        <v>0</v>
      </c>
      <c r="F12" s="26">
        <v>50</v>
      </c>
      <c r="G12" s="165" t="str">
        <f t="shared" si="1"/>
        <v>Pass</v>
      </c>
      <c r="H12" s="27">
        <v>1159</v>
      </c>
      <c r="I12" s="166" t="s">
        <v>30</v>
      </c>
      <c r="J12" s="28"/>
    </row>
    <row r="13" spans="1:10" x14ac:dyDescent="0.25">
      <c r="A13" s="164">
        <v>42748</v>
      </c>
      <c r="B13" s="28" t="s">
        <v>27</v>
      </c>
      <c r="C13" s="26">
        <v>10</v>
      </c>
      <c r="D13" s="26">
        <v>20</v>
      </c>
      <c r="E13" s="26">
        <f t="shared" si="0"/>
        <v>10</v>
      </c>
      <c r="F13" s="26">
        <v>50</v>
      </c>
      <c r="G13" s="165" t="str">
        <f t="shared" si="1"/>
        <v>Pass</v>
      </c>
      <c r="H13" s="27">
        <v>1159</v>
      </c>
      <c r="I13" s="166" t="s">
        <v>31</v>
      </c>
      <c r="J13" s="28"/>
    </row>
    <row r="14" spans="1:10" x14ac:dyDescent="0.25">
      <c r="A14" s="164">
        <v>42759</v>
      </c>
      <c r="B14" s="28" t="s">
        <v>27</v>
      </c>
      <c r="C14" s="26">
        <v>10</v>
      </c>
      <c r="D14" s="26">
        <v>32</v>
      </c>
      <c r="E14" s="26">
        <f t="shared" si="0"/>
        <v>22</v>
      </c>
      <c r="F14" s="26">
        <v>50</v>
      </c>
      <c r="G14" s="165" t="str">
        <f t="shared" si="1"/>
        <v>Pass</v>
      </c>
      <c r="H14" s="27">
        <v>1400</v>
      </c>
      <c r="I14" s="166" t="s">
        <v>32</v>
      </c>
      <c r="J14" s="28"/>
    </row>
    <row r="15" spans="1:10" x14ac:dyDescent="0.25">
      <c r="A15" s="164">
        <v>42762</v>
      </c>
      <c r="B15" s="28" t="s">
        <v>27</v>
      </c>
      <c r="C15" s="26">
        <v>6</v>
      </c>
      <c r="D15" s="26">
        <v>40</v>
      </c>
      <c r="E15" s="26">
        <f t="shared" si="0"/>
        <v>34</v>
      </c>
      <c r="F15" s="26">
        <v>50</v>
      </c>
      <c r="G15" s="165" t="str">
        <f t="shared" si="1"/>
        <v>Pass</v>
      </c>
      <c r="H15" s="27">
        <v>1400</v>
      </c>
      <c r="I15" s="166" t="s">
        <v>33</v>
      </c>
      <c r="J15" s="28"/>
    </row>
    <row r="16" spans="1:10" x14ac:dyDescent="0.25">
      <c r="A16" s="164">
        <v>42765</v>
      </c>
      <c r="B16" s="28" t="s">
        <v>27</v>
      </c>
      <c r="C16" s="26">
        <v>4</v>
      </c>
      <c r="D16" s="26">
        <v>4</v>
      </c>
      <c r="E16" s="26">
        <f t="shared" si="0"/>
        <v>0</v>
      </c>
      <c r="F16" s="26">
        <v>50</v>
      </c>
      <c r="G16" s="165" t="str">
        <f t="shared" si="1"/>
        <v>Pass</v>
      </c>
      <c r="H16" s="27">
        <v>1400</v>
      </c>
      <c r="I16" s="166" t="s">
        <v>34</v>
      </c>
      <c r="J16" s="28"/>
    </row>
    <row r="17" spans="1:10" x14ac:dyDescent="0.25">
      <c r="A17" s="164">
        <v>42769</v>
      </c>
      <c r="B17" s="28" t="s">
        <v>27</v>
      </c>
      <c r="C17" s="26">
        <v>15</v>
      </c>
      <c r="D17" s="26">
        <v>18</v>
      </c>
      <c r="E17" s="26">
        <f t="shared" si="0"/>
        <v>3</v>
      </c>
      <c r="F17" s="26">
        <v>50</v>
      </c>
      <c r="G17" s="165" t="str">
        <f t="shared" si="1"/>
        <v>Pass</v>
      </c>
      <c r="H17" s="27">
        <v>1159</v>
      </c>
      <c r="I17" s="166" t="s">
        <v>35</v>
      </c>
      <c r="J17" s="28"/>
    </row>
    <row r="18" spans="1:10" x14ac:dyDescent="0.25">
      <c r="A18" s="164">
        <v>42772</v>
      </c>
      <c r="B18" s="28" t="s">
        <v>27</v>
      </c>
      <c r="C18" s="26">
        <v>8</v>
      </c>
      <c r="D18" s="26">
        <v>25</v>
      </c>
      <c r="E18" s="26">
        <f t="shared" si="0"/>
        <v>17</v>
      </c>
      <c r="F18" s="26">
        <v>50</v>
      </c>
      <c r="G18" s="165" t="str">
        <f t="shared" si="1"/>
        <v>Pass</v>
      </c>
      <c r="H18" s="27">
        <v>1400</v>
      </c>
      <c r="I18" s="166" t="s">
        <v>36</v>
      </c>
      <c r="J18" s="28"/>
    </row>
    <row r="19" spans="1:10" x14ac:dyDescent="0.25">
      <c r="A19" s="164">
        <v>42775</v>
      </c>
      <c r="B19" s="28" t="s">
        <v>27</v>
      </c>
      <c r="C19" s="26">
        <v>21</v>
      </c>
      <c r="D19" s="26">
        <v>32</v>
      </c>
      <c r="E19" s="26">
        <f t="shared" si="0"/>
        <v>11</v>
      </c>
      <c r="F19" s="26">
        <v>50</v>
      </c>
      <c r="G19" s="165" t="str">
        <f t="shared" si="1"/>
        <v>Pass</v>
      </c>
      <c r="H19" s="27">
        <v>1428</v>
      </c>
      <c r="I19" s="166" t="s">
        <v>37</v>
      </c>
      <c r="J19" s="28"/>
    </row>
    <row r="20" spans="1:10" x14ac:dyDescent="0.25">
      <c r="A20" s="164">
        <v>42779</v>
      </c>
      <c r="B20" s="28" t="s">
        <v>27</v>
      </c>
      <c r="C20" s="26">
        <v>7</v>
      </c>
      <c r="D20" s="26">
        <v>25</v>
      </c>
      <c r="E20" s="26">
        <f t="shared" si="0"/>
        <v>18</v>
      </c>
      <c r="F20" s="26">
        <v>50</v>
      </c>
      <c r="G20" s="165" t="str">
        <f t="shared" si="1"/>
        <v>Pass</v>
      </c>
      <c r="H20" s="27">
        <v>1400</v>
      </c>
      <c r="I20" s="166" t="s">
        <v>38</v>
      </c>
      <c r="J20" s="28"/>
    </row>
    <row r="21" spans="1:10" x14ac:dyDescent="0.25">
      <c r="A21" s="164">
        <v>42782</v>
      </c>
      <c r="B21" s="28" t="s">
        <v>27</v>
      </c>
      <c r="C21" s="26">
        <v>7</v>
      </c>
      <c r="D21" s="26">
        <v>31</v>
      </c>
      <c r="E21" s="26">
        <f t="shared" si="0"/>
        <v>24</v>
      </c>
      <c r="F21" s="26">
        <v>50</v>
      </c>
      <c r="G21" s="165" t="str">
        <f t="shared" si="1"/>
        <v>Pass</v>
      </c>
      <c r="H21" s="27">
        <v>1400</v>
      </c>
      <c r="I21" s="166" t="s">
        <v>39</v>
      </c>
      <c r="J21" s="28"/>
    </row>
    <row r="22" spans="1:10" x14ac:dyDescent="0.25">
      <c r="A22" s="164">
        <v>42787</v>
      </c>
      <c r="B22" s="28" t="s">
        <v>27</v>
      </c>
      <c r="C22" s="26">
        <v>23</v>
      </c>
      <c r="D22" s="26">
        <v>32</v>
      </c>
      <c r="E22" s="26">
        <f t="shared" si="0"/>
        <v>9</v>
      </c>
      <c r="F22" s="26">
        <v>50</v>
      </c>
      <c r="G22" s="165" t="str">
        <f t="shared" si="1"/>
        <v>Pass</v>
      </c>
      <c r="H22" s="27">
        <v>1400</v>
      </c>
      <c r="I22" s="166" t="s">
        <v>40</v>
      </c>
      <c r="J22" s="28"/>
    </row>
    <row r="23" spans="1:10" x14ac:dyDescent="0.25">
      <c r="A23" s="164">
        <v>42796</v>
      </c>
      <c r="B23" s="28" t="s">
        <v>27</v>
      </c>
      <c r="C23" s="26">
        <v>11</v>
      </c>
      <c r="D23" s="26">
        <v>19</v>
      </c>
      <c r="E23" s="26">
        <f t="shared" si="0"/>
        <v>8</v>
      </c>
      <c r="F23" s="26">
        <v>50</v>
      </c>
      <c r="G23" s="165" t="str">
        <f t="shared" si="1"/>
        <v>Pass</v>
      </c>
      <c r="H23" s="27">
        <v>1428</v>
      </c>
      <c r="I23" s="166" t="s">
        <v>37</v>
      </c>
      <c r="J23" s="28"/>
    </row>
    <row r="24" spans="1:10" x14ac:dyDescent="0.25">
      <c r="A24" s="164">
        <v>42800</v>
      </c>
      <c r="B24" s="28" t="s">
        <v>27</v>
      </c>
      <c r="C24" s="26">
        <v>2</v>
      </c>
      <c r="D24" s="26">
        <v>20</v>
      </c>
      <c r="E24" s="26">
        <f t="shared" si="0"/>
        <v>18</v>
      </c>
      <c r="F24" s="26">
        <v>50</v>
      </c>
      <c r="G24" s="165" t="str">
        <f t="shared" si="1"/>
        <v>Pass</v>
      </c>
      <c r="H24" s="27">
        <v>1400</v>
      </c>
      <c r="I24" s="166" t="s">
        <v>41</v>
      </c>
      <c r="J24" s="28"/>
    </row>
    <row r="25" spans="1:10" x14ac:dyDescent="0.25">
      <c r="A25" s="164">
        <v>42804</v>
      </c>
      <c r="B25" s="28" t="s">
        <v>27</v>
      </c>
      <c r="C25" s="26">
        <v>17</v>
      </c>
      <c r="D25" s="26">
        <v>9</v>
      </c>
      <c r="E25" s="26">
        <f t="shared" si="0"/>
        <v>-8</v>
      </c>
      <c r="F25" s="26">
        <v>50</v>
      </c>
      <c r="G25" s="165" t="str">
        <f t="shared" si="1"/>
        <v>Pass</v>
      </c>
      <c r="H25" s="27">
        <v>1400</v>
      </c>
      <c r="I25" s="166" t="s">
        <v>42</v>
      </c>
      <c r="J25" s="28"/>
    </row>
    <row r="26" spans="1:10" x14ac:dyDescent="0.25">
      <c r="A26" s="164">
        <v>42808</v>
      </c>
      <c r="B26" s="28" t="s">
        <v>27</v>
      </c>
      <c r="C26" s="26">
        <v>12</v>
      </c>
      <c r="D26" s="26">
        <v>15</v>
      </c>
      <c r="E26" s="26">
        <f t="shared" si="0"/>
        <v>3</v>
      </c>
      <c r="F26" s="26">
        <v>50</v>
      </c>
      <c r="G26" s="165" t="str">
        <f t="shared" si="1"/>
        <v>Pass</v>
      </c>
      <c r="H26" s="27">
        <v>1400</v>
      </c>
      <c r="I26" s="166" t="s">
        <v>43</v>
      </c>
      <c r="J26" s="28"/>
    </row>
    <row r="27" spans="1:10" x14ac:dyDescent="0.25">
      <c r="A27" s="164">
        <v>42811</v>
      </c>
      <c r="B27" s="28" t="s">
        <v>27</v>
      </c>
      <c r="C27" s="26">
        <v>10</v>
      </c>
      <c r="D27" s="26">
        <v>5</v>
      </c>
      <c r="E27" s="26">
        <f t="shared" si="0"/>
        <v>-5</v>
      </c>
      <c r="F27" s="26">
        <v>50</v>
      </c>
      <c r="G27" s="165" t="str">
        <f t="shared" si="1"/>
        <v>Pass</v>
      </c>
      <c r="H27" s="27">
        <v>1400</v>
      </c>
      <c r="I27" s="166" t="s">
        <v>44</v>
      </c>
      <c r="J27" s="28"/>
    </row>
    <row r="28" spans="1:10" x14ac:dyDescent="0.25">
      <c r="A28" s="164">
        <v>42814</v>
      </c>
      <c r="B28" s="28" t="s">
        <v>27</v>
      </c>
      <c r="C28" s="26">
        <v>8</v>
      </c>
      <c r="D28" s="26">
        <v>8</v>
      </c>
      <c r="E28" s="26">
        <f t="shared" si="0"/>
        <v>0</v>
      </c>
      <c r="F28" s="26">
        <v>50</v>
      </c>
      <c r="G28" s="165" t="str">
        <f t="shared" si="1"/>
        <v>Pass</v>
      </c>
      <c r="H28" s="27">
        <v>1400</v>
      </c>
      <c r="I28" s="166" t="s">
        <v>45</v>
      </c>
      <c r="J28" s="28"/>
    </row>
    <row r="29" spans="1:10" x14ac:dyDescent="0.25">
      <c r="A29" s="164">
        <v>42817</v>
      </c>
      <c r="B29" s="28" t="s">
        <v>27</v>
      </c>
      <c r="C29" s="26">
        <v>22</v>
      </c>
      <c r="D29" s="26">
        <v>36</v>
      </c>
      <c r="E29" s="26">
        <f t="shared" si="0"/>
        <v>14</v>
      </c>
      <c r="F29" s="26">
        <v>50</v>
      </c>
      <c r="G29" s="165" t="str">
        <f t="shared" si="1"/>
        <v>Pass</v>
      </c>
      <c r="H29" s="27">
        <v>1428</v>
      </c>
      <c r="I29" s="166" t="s">
        <v>37</v>
      </c>
      <c r="J29" s="28"/>
    </row>
    <row r="30" spans="1:10" x14ac:dyDescent="0.25">
      <c r="A30" s="164">
        <v>42823</v>
      </c>
      <c r="B30" s="28" t="s">
        <v>27</v>
      </c>
      <c r="C30" s="26">
        <v>0</v>
      </c>
      <c r="D30" s="26">
        <v>20</v>
      </c>
      <c r="E30" s="26">
        <f t="shared" si="0"/>
        <v>20</v>
      </c>
      <c r="F30" s="26">
        <v>50</v>
      </c>
      <c r="G30" s="165" t="str">
        <f t="shared" si="1"/>
        <v>Pass</v>
      </c>
      <c r="H30" s="27">
        <v>1159</v>
      </c>
      <c r="I30" s="166" t="s">
        <v>46</v>
      </c>
      <c r="J30" s="28"/>
    </row>
    <row r="31" spans="1:10" x14ac:dyDescent="0.25">
      <c r="A31" s="164">
        <v>42832</v>
      </c>
      <c r="B31" s="28" t="s">
        <v>27</v>
      </c>
      <c r="C31" s="26">
        <v>44</v>
      </c>
      <c r="D31" s="26">
        <v>53</v>
      </c>
      <c r="E31" s="26">
        <f t="shared" si="0"/>
        <v>9</v>
      </c>
      <c r="F31" s="26">
        <v>50</v>
      </c>
      <c r="G31" s="165" t="str">
        <f t="shared" si="1"/>
        <v>Pass</v>
      </c>
      <c r="H31" s="27">
        <v>1335</v>
      </c>
      <c r="I31" s="166" t="s">
        <v>46</v>
      </c>
      <c r="J31" s="28"/>
    </row>
    <row r="32" spans="1:10" x14ac:dyDescent="0.25">
      <c r="A32" s="164">
        <v>42835</v>
      </c>
      <c r="B32" s="28" t="s">
        <v>27</v>
      </c>
      <c r="C32" s="26">
        <v>12</v>
      </c>
      <c r="D32" s="26">
        <v>53</v>
      </c>
      <c r="E32" s="26">
        <f t="shared" si="0"/>
        <v>41</v>
      </c>
      <c r="F32" s="26">
        <v>50</v>
      </c>
      <c r="G32" s="165" t="str">
        <f t="shared" si="1"/>
        <v>Pass</v>
      </c>
      <c r="H32" s="27">
        <v>1400</v>
      </c>
      <c r="I32" s="166" t="s">
        <v>37</v>
      </c>
      <c r="J32" s="28"/>
    </row>
    <row r="33" spans="1:10" x14ac:dyDescent="0.25">
      <c r="A33" s="164">
        <v>42838</v>
      </c>
      <c r="B33" s="28" t="s">
        <v>27</v>
      </c>
      <c r="C33" s="26">
        <v>33</v>
      </c>
      <c r="D33" s="26">
        <v>34</v>
      </c>
      <c r="E33" s="26">
        <f t="shared" si="0"/>
        <v>1</v>
      </c>
      <c r="F33" s="26">
        <v>50</v>
      </c>
      <c r="G33" s="165" t="str">
        <f t="shared" si="1"/>
        <v>Pass</v>
      </c>
      <c r="H33" s="27">
        <v>1428</v>
      </c>
      <c r="I33" s="166" t="s">
        <v>37</v>
      </c>
      <c r="J33" s="28"/>
    </row>
    <row r="34" spans="1:10" x14ac:dyDescent="0.25">
      <c r="A34" s="164">
        <v>42843</v>
      </c>
      <c r="B34" s="28" t="s">
        <v>27</v>
      </c>
      <c r="C34" s="26">
        <v>1</v>
      </c>
      <c r="D34" s="26">
        <v>49</v>
      </c>
      <c r="E34" s="26">
        <f t="shared" si="0"/>
        <v>48</v>
      </c>
      <c r="F34" s="26">
        <v>50</v>
      </c>
      <c r="G34" s="165" t="str">
        <f t="shared" si="1"/>
        <v>Pass</v>
      </c>
      <c r="H34" s="27">
        <v>1159</v>
      </c>
      <c r="I34" s="166" t="s">
        <v>37</v>
      </c>
      <c r="J34" s="28"/>
    </row>
    <row r="35" spans="1:10" x14ac:dyDescent="0.25">
      <c r="A35" s="164">
        <v>42846</v>
      </c>
      <c r="B35" s="28" t="s">
        <v>27</v>
      </c>
      <c r="C35" s="26">
        <v>4</v>
      </c>
      <c r="D35" s="26">
        <v>5</v>
      </c>
      <c r="E35" s="26">
        <f t="shared" si="0"/>
        <v>1</v>
      </c>
      <c r="F35" s="26">
        <v>50</v>
      </c>
      <c r="G35" s="165" t="str">
        <f t="shared" si="1"/>
        <v>Pass</v>
      </c>
      <c r="H35" s="27">
        <v>1159</v>
      </c>
      <c r="I35" s="166" t="s">
        <v>47</v>
      </c>
      <c r="J35" s="28"/>
    </row>
    <row r="36" spans="1:10" x14ac:dyDescent="0.25">
      <c r="A36" s="164">
        <v>42850</v>
      </c>
      <c r="B36" s="28" t="s">
        <v>27</v>
      </c>
      <c r="C36" s="26">
        <v>8</v>
      </c>
      <c r="D36" s="26">
        <v>18</v>
      </c>
      <c r="E36" s="26">
        <f t="shared" si="0"/>
        <v>10</v>
      </c>
      <c r="F36" s="26">
        <v>50</v>
      </c>
      <c r="G36" s="165" t="str">
        <f t="shared" si="1"/>
        <v>Pass</v>
      </c>
      <c r="H36" s="27">
        <v>121</v>
      </c>
      <c r="I36" s="166" t="s">
        <v>48</v>
      </c>
      <c r="J36" s="28"/>
    </row>
    <row r="37" spans="1:10" x14ac:dyDescent="0.25">
      <c r="A37" s="164">
        <v>42856</v>
      </c>
      <c r="B37" s="28" t="s">
        <v>27</v>
      </c>
      <c r="C37" s="26">
        <v>10</v>
      </c>
      <c r="D37" s="26">
        <v>36</v>
      </c>
      <c r="E37" s="26">
        <f t="shared" si="0"/>
        <v>26</v>
      </c>
      <c r="F37" s="26">
        <v>50</v>
      </c>
      <c r="G37" s="165" t="str">
        <f t="shared" si="1"/>
        <v>Pass</v>
      </c>
      <c r="H37" s="27">
        <v>1428</v>
      </c>
      <c r="I37" s="166" t="s">
        <v>37</v>
      </c>
      <c r="J37" s="28"/>
    </row>
    <row r="38" spans="1:10" x14ac:dyDescent="0.25">
      <c r="A38" s="164">
        <v>42867</v>
      </c>
      <c r="B38" s="28" t="s">
        <v>27</v>
      </c>
      <c r="C38" s="26">
        <v>6</v>
      </c>
      <c r="D38" s="26">
        <v>21</v>
      </c>
      <c r="E38" s="26">
        <f t="shared" si="0"/>
        <v>15</v>
      </c>
      <c r="F38" s="26">
        <v>50</v>
      </c>
      <c r="G38" s="165" t="str">
        <f t="shared" si="1"/>
        <v>Pass</v>
      </c>
      <c r="H38" s="27">
        <v>121</v>
      </c>
      <c r="I38" s="166" t="s">
        <v>29</v>
      </c>
      <c r="J38" s="28"/>
    </row>
    <row r="39" spans="1:10" x14ac:dyDescent="0.25">
      <c r="A39" s="164">
        <v>42870</v>
      </c>
      <c r="B39" s="28" t="s">
        <v>27</v>
      </c>
      <c r="C39" s="26">
        <v>3</v>
      </c>
      <c r="D39" s="26">
        <v>37</v>
      </c>
      <c r="E39" s="26">
        <f t="shared" si="0"/>
        <v>34</v>
      </c>
      <c r="F39" s="26">
        <v>50</v>
      </c>
      <c r="G39" s="165" t="str">
        <f t="shared" si="1"/>
        <v>Pass</v>
      </c>
      <c r="H39" s="27">
        <v>121</v>
      </c>
      <c r="I39" s="166" t="s">
        <v>49</v>
      </c>
      <c r="J39" s="28"/>
    </row>
    <row r="40" spans="1:10" x14ac:dyDescent="0.25">
      <c r="A40" s="167">
        <v>42874</v>
      </c>
      <c r="B40" s="28" t="s">
        <v>27</v>
      </c>
      <c r="C40" s="26">
        <v>3</v>
      </c>
      <c r="D40" s="26">
        <v>5</v>
      </c>
      <c r="E40" s="26">
        <f t="shared" si="0"/>
        <v>2</v>
      </c>
      <c r="F40" s="26">
        <v>50</v>
      </c>
      <c r="G40" s="165" t="str">
        <f t="shared" si="1"/>
        <v>Pass</v>
      </c>
      <c r="H40" s="27">
        <v>1159</v>
      </c>
      <c r="I40" s="166" t="s">
        <v>50</v>
      </c>
      <c r="J40" s="28"/>
    </row>
    <row r="41" spans="1:10" x14ac:dyDescent="0.25">
      <c r="A41" s="167">
        <v>42877</v>
      </c>
      <c r="B41" s="28" t="s">
        <v>27</v>
      </c>
      <c r="C41" s="26">
        <v>5</v>
      </c>
      <c r="D41" s="26">
        <v>9</v>
      </c>
      <c r="E41" s="26">
        <f t="shared" si="0"/>
        <v>4</v>
      </c>
      <c r="F41" s="26">
        <v>50</v>
      </c>
      <c r="G41" s="165" t="str">
        <f t="shared" si="1"/>
        <v>Pass</v>
      </c>
      <c r="H41" s="27" t="s">
        <v>51</v>
      </c>
      <c r="I41" s="166" t="s">
        <v>52</v>
      </c>
      <c r="J41" s="28"/>
    </row>
    <row r="42" spans="1:10" x14ac:dyDescent="0.25">
      <c r="A42" s="167">
        <v>42881</v>
      </c>
      <c r="B42" s="28" t="s">
        <v>27</v>
      </c>
      <c r="C42" s="26">
        <v>27</v>
      </c>
      <c r="D42" s="26">
        <v>55</v>
      </c>
      <c r="E42" s="26">
        <f t="shared" si="0"/>
        <v>28</v>
      </c>
      <c r="F42" s="26">
        <v>50</v>
      </c>
      <c r="G42" s="165" t="str">
        <f t="shared" si="1"/>
        <v>Pass</v>
      </c>
      <c r="H42" s="27">
        <v>1428</v>
      </c>
      <c r="I42" s="166"/>
      <c r="J42" s="28"/>
    </row>
    <row r="43" spans="1:10" x14ac:dyDescent="0.25">
      <c r="A43" s="167">
        <v>42885</v>
      </c>
      <c r="B43" s="28" t="s">
        <v>27</v>
      </c>
      <c r="C43" s="26">
        <v>3</v>
      </c>
      <c r="D43" s="26">
        <v>10</v>
      </c>
      <c r="E43" s="26">
        <f t="shared" si="0"/>
        <v>7</v>
      </c>
      <c r="F43" s="26">
        <v>50</v>
      </c>
      <c r="G43" s="165" t="str">
        <f t="shared" si="1"/>
        <v>Pass</v>
      </c>
      <c r="H43" s="27">
        <v>1159</v>
      </c>
      <c r="I43" s="166" t="s">
        <v>50</v>
      </c>
      <c r="J43" s="28"/>
    </row>
    <row r="44" spans="1:10" x14ac:dyDescent="0.25">
      <c r="A44" s="167">
        <v>42888</v>
      </c>
      <c r="B44" s="28" t="s">
        <v>27</v>
      </c>
      <c r="C44" s="26">
        <v>10</v>
      </c>
      <c r="D44" s="26">
        <v>19</v>
      </c>
      <c r="E44" s="26">
        <f t="shared" si="0"/>
        <v>9</v>
      </c>
      <c r="F44" s="26">
        <v>50</v>
      </c>
      <c r="G44" s="165" t="str">
        <f t="shared" si="1"/>
        <v>Pass</v>
      </c>
      <c r="H44" s="27" t="s">
        <v>53</v>
      </c>
      <c r="I44" s="166" t="s">
        <v>50</v>
      </c>
      <c r="J44" s="28"/>
    </row>
    <row r="45" spans="1:10" x14ac:dyDescent="0.25">
      <c r="A45" s="167">
        <v>42892</v>
      </c>
      <c r="B45" s="28" t="s">
        <v>27</v>
      </c>
      <c r="C45" s="26">
        <v>5</v>
      </c>
      <c r="D45" s="26">
        <v>26</v>
      </c>
      <c r="E45" s="26">
        <f t="shared" si="0"/>
        <v>21</v>
      </c>
      <c r="F45" s="26"/>
      <c r="G45" s="165" t="str">
        <f t="shared" si="1"/>
        <v>Pass</v>
      </c>
      <c r="H45" s="27">
        <v>121</v>
      </c>
      <c r="I45" s="166" t="s">
        <v>54</v>
      </c>
      <c r="J45" s="28"/>
    </row>
    <row r="46" spans="1:10" x14ac:dyDescent="0.25">
      <c r="A46" s="167">
        <v>42895</v>
      </c>
      <c r="B46" s="28" t="s">
        <v>27</v>
      </c>
      <c r="C46" s="26">
        <v>19</v>
      </c>
      <c r="D46" s="26">
        <v>1991</v>
      </c>
      <c r="E46" s="26">
        <f t="shared" si="0"/>
        <v>1972</v>
      </c>
      <c r="F46" s="26">
        <v>50</v>
      </c>
      <c r="G46" s="165" t="str">
        <f t="shared" si="1"/>
        <v>Fail</v>
      </c>
      <c r="H46" s="28">
        <v>1159</v>
      </c>
      <c r="I46" s="166" t="s">
        <v>55</v>
      </c>
      <c r="J46" s="28"/>
    </row>
    <row r="47" spans="1:10" x14ac:dyDescent="0.25">
      <c r="A47" s="167">
        <v>42895</v>
      </c>
      <c r="B47" s="28" t="s">
        <v>27</v>
      </c>
      <c r="C47" s="26">
        <v>7</v>
      </c>
      <c r="D47" s="26">
        <v>16</v>
      </c>
      <c r="E47" s="26">
        <f t="shared" si="0"/>
        <v>9</v>
      </c>
      <c r="F47" s="26">
        <v>50</v>
      </c>
      <c r="G47" s="165" t="str">
        <f t="shared" si="1"/>
        <v>Pass</v>
      </c>
      <c r="H47" s="27">
        <v>1159</v>
      </c>
      <c r="I47" s="166" t="s">
        <v>56</v>
      </c>
      <c r="J47" s="28"/>
    </row>
    <row r="48" spans="1:10" x14ac:dyDescent="0.25">
      <c r="A48" s="167">
        <v>42898</v>
      </c>
      <c r="B48" s="28" t="s">
        <v>27</v>
      </c>
      <c r="C48" s="168">
        <v>27</v>
      </c>
      <c r="D48" s="168">
        <v>76</v>
      </c>
      <c r="E48" s="168">
        <f t="shared" si="0"/>
        <v>49</v>
      </c>
      <c r="F48" s="26">
        <v>50</v>
      </c>
      <c r="G48" s="169" t="str">
        <f t="shared" si="1"/>
        <v>Pass</v>
      </c>
      <c r="H48" s="29">
        <v>1428</v>
      </c>
      <c r="I48" s="33"/>
      <c r="J48" s="28"/>
    </row>
    <row r="49" spans="1:10" x14ac:dyDescent="0.25">
      <c r="A49" s="167">
        <v>42905</v>
      </c>
      <c r="B49" s="28" t="s">
        <v>27</v>
      </c>
      <c r="C49" s="168">
        <v>7</v>
      </c>
      <c r="D49" s="168">
        <v>5</v>
      </c>
      <c r="E49" s="168">
        <f t="shared" si="0"/>
        <v>-2</v>
      </c>
      <c r="F49" s="26">
        <v>50</v>
      </c>
      <c r="G49" s="169" t="str">
        <f t="shared" si="1"/>
        <v>Pass</v>
      </c>
      <c r="H49" s="30">
        <v>1428</v>
      </c>
      <c r="I49" s="33"/>
      <c r="J49" s="28"/>
    </row>
    <row r="50" spans="1:10" x14ac:dyDescent="0.25">
      <c r="A50" s="164">
        <v>42909</v>
      </c>
      <c r="B50" s="28" t="s">
        <v>27</v>
      </c>
      <c r="C50" s="26">
        <v>7</v>
      </c>
      <c r="D50" s="26">
        <v>240</v>
      </c>
      <c r="E50" s="26">
        <f t="shared" si="0"/>
        <v>233</v>
      </c>
      <c r="F50" s="26">
        <v>50</v>
      </c>
      <c r="G50" s="165" t="str">
        <f t="shared" si="1"/>
        <v>Fail</v>
      </c>
      <c r="H50" s="28">
        <v>1159</v>
      </c>
      <c r="I50" s="166" t="s">
        <v>50</v>
      </c>
      <c r="J50" s="28"/>
    </row>
    <row r="51" spans="1:10" x14ac:dyDescent="0.25">
      <c r="A51" s="164">
        <v>42909</v>
      </c>
      <c r="B51" s="28" t="s">
        <v>27</v>
      </c>
      <c r="C51" s="26">
        <v>14</v>
      </c>
      <c r="D51" s="26">
        <v>732</v>
      </c>
      <c r="E51" s="26">
        <f t="shared" si="0"/>
        <v>718</v>
      </c>
      <c r="F51" s="26">
        <v>50</v>
      </c>
      <c r="G51" s="165" t="str">
        <f t="shared" si="1"/>
        <v>Fail</v>
      </c>
      <c r="H51" s="28">
        <v>1159</v>
      </c>
      <c r="I51" s="166" t="s">
        <v>57</v>
      </c>
      <c r="J51" s="28"/>
    </row>
    <row r="52" spans="1:10" x14ac:dyDescent="0.25">
      <c r="A52" s="164">
        <v>42909</v>
      </c>
      <c r="B52" s="28" t="s">
        <v>27</v>
      </c>
      <c r="C52" s="26">
        <v>3</v>
      </c>
      <c r="D52" s="26">
        <v>196</v>
      </c>
      <c r="E52" s="26">
        <f t="shared" si="0"/>
        <v>193</v>
      </c>
      <c r="F52" s="26">
        <v>50</v>
      </c>
      <c r="G52" s="165" t="str">
        <f t="shared" si="1"/>
        <v>Fail</v>
      </c>
      <c r="H52" s="28">
        <v>1159</v>
      </c>
      <c r="I52" s="166" t="s">
        <v>58</v>
      </c>
      <c r="J52" s="28"/>
    </row>
    <row r="53" spans="1:10" x14ac:dyDescent="0.25">
      <c r="A53" s="164">
        <v>42909</v>
      </c>
      <c r="B53" s="28" t="s">
        <v>27</v>
      </c>
      <c r="C53" s="26">
        <v>3</v>
      </c>
      <c r="D53" s="26">
        <v>84</v>
      </c>
      <c r="E53" s="26">
        <f t="shared" si="0"/>
        <v>81</v>
      </c>
      <c r="F53" s="26">
        <v>50</v>
      </c>
      <c r="G53" s="165" t="str">
        <f t="shared" si="1"/>
        <v>Fail</v>
      </c>
      <c r="H53" s="28">
        <v>1159</v>
      </c>
      <c r="I53" s="166" t="s">
        <v>59</v>
      </c>
      <c r="J53" s="28"/>
    </row>
    <row r="54" spans="1:10" x14ac:dyDescent="0.25">
      <c r="A54" s="164">
        <v>42909</v>
      </c>
      <c r="B54" s="28" t="s">
        <v>27</v>
      </c>
      <c r="C54" s="26">
        <v>1</v>
      </c>
      <c r="D54" s="26">
        <v>76</v>
      </c>
      <c r="E54" s="26">
        <f t="shared" si="0"/>
        <v>75</v>
      </c>
      <c r="F54" s="26">
        <v>50</v>
      </c>
      <c r="G54" s="165" t="str">
        <f t="shared" si="1"/>
        <v>Fail</v>
      </c>
      <c r="H54" s="28">
        <v>102</v>
      </c>
      <c r="I54" s="166"/>
      <c r="J54" s="28"/>
    </row>
    <row r="55" spans="1:10" x14ac:dyDescent="0.25">
      <c r="A55" s="164">
        <v>42909</v>
      </c>
      <c r="B55" s="28" t="s">
        <v>27</v>
      </c>
      <c r="C55" s="26">
        <v>0</v>
      </c>
      <c r="D55" s="26">
        <v>45</v>
      </c>
      <c r="E55" s="26">
        <f t="shared" si="0"/>
        <v>45</v>
      </c>
      <c r="F55" s="26">
        <v>50</v>
      </c>
      <c r="G55" s="165" t="str">
        <f t="shared" si="1"/>
        <v>Pass</v>
      </c>
      <c r="H55" s="27">
        <v>102</v>
      </c>
      <c r="I55" s="166"/>
      <c r="J55" s="28"/>
    </row>
    <row r="56" spans="1:10" x14ac:dyDescent="0.25">
      <c r="A56" s="164">
        <v>42912</v>
      </c>
      <c r="B56" s="28" t="s">
        <v>27</v>
      </c>
      <c r="C56" s="26">
        <v>5</v>
      </c>
      <c r="D56" s="26">
        <v>50</v>
      </c>
      <c r="E56" s="26">
        <f t="shared" si="0"/>
        <v>45</v>
      </c>
      <c r="F56" s="26">
        <v>50</v>
      </c>
      <c r="G56" s="165" t="str">
        <f t="shared" si="1"/>
        <v>Pass</v>
      </c>
      <c r="H56" s="27">
        <v>1159</v>
      </c>
      <c r="I56" s="166" t="s">
        <v>60</v>
      </c>
      <c r="J56" s="28"/>
    </row>
    <row r="57" spans="1:10" x14ac:dyDescent="0.25">
      <c r="A57" s="164">
        <v>42916</v>
      </c>
      <c r="B57" s="28" t="s">
        <v>27</v>
      </c>
      <c r="C57" s="26">
        <v>52</v>
      </c>
      <c r="D57" s="26">
        <v>69</v>
      </c>
      <c r="E57" s="26">
        <f t="shared" si="0"/>
        <v>17</v>
      </c>
      <c r="F57" s="26">
        <v>50</v>
      </c>
      <c r="G57" s="165" t="str">
        <f t="shared" si="1"/>
        <v>Pass</v>
      </c>
      <c r="H57" s="27">
        <v>102</v>
      </c>
      <c r="I57" s="33" t="s">
        <v>61</v>
      </c>
      <c r="J57" s="28"/>
    </row>
    <row r="58" spans="1:10" x14ac:dyDescent="0.25">
      <c r="A58" s="164">
        <v>42920</v>
      </c>
      <c r="B58" s="28" t="s">
        <v>27</v>
      </c>
      <c r="C58" s="26">
        <v>22</v>
      </c>
      <c r="D58" s="26">
        <v>18</v>
      </c>
      <c r="E58" s="26">
        <f t="shared" si="0"/>
        <v>-4</v>
      </c>
      <c r="F58" s="26">
        <v>50</v>
      </c>
      <c r="G58" s="165" t="str">
        <f t="shared" si="1"/>
        <v>Pass</v>
      </c>
      <c r="H58" s="27">
        <v>1335</v>
      </c>
      <c r="I58" s="33"/>
      <c r="J58" s="28"/>
    </row>
    <row r="59" spans="1:10" x14ac:dyDescent="0.25">
      <c r="A59" s="164">
        <v>42923</v>
      </c>
      <c r="B59" s="28" t="s">
        <v>27</v>
      </c>
      <c r="C59" s="26">
        <v>24</v>
      </c>
      <c r="D59" s="26">
        <v>48</v>
      </c>
      <c r="E59" s="26">
        <f t="shared" si="0"/>
        <v>24</v>
      </c>
      <c r="F59" s="26">
        <v>50</v>
      </c>
      <c r="G59" s="165" t="str">
        <f t="shared" si="1"/>
        <v>Pass</v>
      </c>
      <c r="H59" s="27">
        <v>1428</v>
      </c>
      <c r="I59" s="166" t="s">
        <v>62</v>
      </c>
      <c r="J59" s="28"/>
    </row>
    <row r="60" spans="1:10" x14ac:dyDescent="0.25">
      <c r="A60" s="164">
        <v>42926</v>
      </c>
      <c r="B60" s="28" t="s">
        <v>27</v>
      </c>
      <c r="C60" s="26">
        <v>0</v>
      </c>
      <c r="D60" s="26">
        <v>25</v>
      </c>
      <c r="E60" s="26">
        <f t="shared" si="0"/>
        <v>25</v>
      </c>
      <c r="F60" s="26">
        <v>50</v>
      </c>
      <c r="G60" s="165" t="str">
        <f t="shared" si="1"/>
        <v>Pass</v>
      </c>
      <c r="H60" s="27">
        <v>121</v>
      </c>
      <c r="I60" s="166" t="s">
        <v>62</v>
      </c>
      <c r="J60" s="28"/>
    </row>
    <row r="61" spans="1:10" x14ac:dyDescent="0.25">
      <c r="A61" s="164">
        <v>42933</v>
      </c>
      <c r="B61" s="28" t="s">
        <v>27</v>
      </c>
      <c r="C61" s="26">
        <v>1</v>
      </c>
      <c r="D61" s="26">
        <v>761</v>
      </c>
      <c r="E61" s="26">
        <f t="shared" si="0"/>
        <v>760</v>
      </c>
      <c r="F61" s="26">
        <v>50</v>
      </c>
      <c r="G61" s="165" t="str">
        <f t="shared" si="1"/>
        <v>Fail</v>
      </c>
      <c r="H61" s="28">
        <v>1335</v>
      </c>
      <c r="I61" s="166" t="s">
        <v>63</v>
      </c>
      <c r="J61" s="28"/>
    </row>
    <row r="62" spans="1:10" x14ac:dyDescent="0.25">
      <c r="A62" s="164">
        <v>42933</v>
      </c>
      <c r="B62" s="28" t="s">
        <v>27</v>
      </c>
      <c r="C62" s="26">
        <v>5</v>
      </c>
      <c r="D62" s="26">
        <v>155</v>
      </c>
      <c r="E62" s="26">
        <f t="shared" si="0"/>
        <v>150</v>
      </c>
      <c r="F62" s="26">
        <v>50</v>
      </c>
      <c r="G62" s="165" t="str">
        <f t="shared" si="1"/>
        <v>Fail</v>
      </c>
      <c r="H62" s="28">
        <v>1335</v>
      </c>
      <c r="I62" s="166" t="s">
        <v>64</v>
      </c>
      <c r="J62" s="28"/>
    </row>
    <row r="63" spans="1:10" x14ac:dyDescent="0.25">
      <c r="A63" s="164">
        <v>42933</v>
      </c>
      <c r="B63" s="28" t="s">
        <v>27</v>
      </c>
      <c r="C63" s="26">
        <v>14</v>
      </c>
      <c r="D63" s="26">
        <v>477</v>
      </c>
      <c r="E63" s="26">
        <f t="shared" si="0"/>
        <v>463</v>
      </c>
      <c r="F63" s="26">
        <v>50</v>
      </c>
      <c r="G63" s="165" t="str">
        <f t="shared" si="1"/>
        <v>Fail</v>
      </c>
      <c r="H63" s="28">
        <v>1335</v>
      </c>
      <c r="I63" s="166" t="s">
        <v>65</v>
      </c>
      <c r="J63" s="28"/>
    </row>
    <row r="64" spans="1:10" x14ac:dyDescent="0.25">
      <c r="A64" s="164">
        <v>42937</v>
      </c>
      <c r="B64" s="28" t="s">
        <v>27</v>
      </c>
      <c r="C64" s="26">
        <v>5</v>
      </c>
      <c r="D64" s="26">
        <v>21</v>
      </c>
      <c r="E64" s="26">
        <f t="shared" si="0"/>
        <v>16</v>
      </c>
      <c r="F64" s="26">
        <v>50</v>
      </c>
      <c r="G64" s="165" t="str">
        <f t="shared" si="1"/>
        <v>Pass</v>
      </c>
      <c r="H64" s="27">
        <v>1335</v>
      </c>
      <c r="I64" s="166" t="s">
        <v>66</v>
      </c>
      <c r="J64" s="28"/>
    </row>
    <row r="65" spans="1:10" x14ac:dyDescent="0.25">
      <c r="A65" s="164">
        <v>42940</v>
      </c>
      <c r="B65" s="28" t="s">
        <v>27</v>
      </c>
      <c r="C65" s="26">
        <v>6</v>
      </c>
      <c r="D65" s="26">
        <v>66</v>
      </c>
      <c r="E65" s="26">
        <f t="shared" si="0"/>
        <v>60</v>
      </c>
      <c r="F65" s="26">
        <v>50</v>
      </c>
      <c r="G65" s="165" t="str">
        <f t="shared" si="1"/>
        <v>Fail</v>
      </c>
      <c r="H65" s="28">
        <v>1159</v>
      </c>
      <c r="I65" s="166" t="s">
        <v>67</v>
      </c>
      <c r="J65" s="28"/>
    </row>
    <row r="66" spans="1:10" x14ac:dyDescent="0.25">
      <c r="A66" s="164">
        <v>42940</v>
      </c>
      <c r="B66" s="28" t="s">
        <v>27</v>
      </c>
      <c r="C66" s="26">
        <v>12</v>
      </c>
      <c r="D66" s="26">
        <v>22</v>
      </c>
      <c r="E66" s="26">
        <f t="shared" si="0"/>
        <v>10</v>
      </c>
      <c r="F66" s="26">
        <v>50</v>
      </c>
      <c r="G66" s="165" t="str">
        <f t="shared" si="1"/>
        <v>Pass</v>
      </c>
      <c r="H66" s="27">
        <v>1159</v>
      </c>
      <c r="I66" s="166" t="s">
        <v>68</v>
      </c>
      <c r="J66" s="28"/>
    </row>
    <row r="67" spans="1:10" x14ac:dyDescent="0.25">
      <c r="A67" s="164">
        <v>42947</v>
      </c>
      <c r="B67" s="28" t="s">
        <v>27</v>
      </c>
      <c r="C67" s="26">
        <v>7</v>
      </c>
      <c r="D67" s="26">
        <v>42</v>
      </c>
      <c r="E67" s="26">
        <f t="shared" si="0"/>
        <v>35</v>
      </c>
      <c r="F67" s="26">
        <v>50</v>
      </c>
      <c r="G67" s="165" t="str">
        <f t="shared" si="1"/>
        <v>Pass</v>
      </c>
      <c r="H67" s="27">
        <v>1159</v>
      </c>
      <c r="I67" s="166" t="s">
        <v>69</v>
      </c>
      <c r="J67" s="28"/>
    </row>
    <row r="68" spans="1:10" x14ac:dyDescent="0.25">
      <c r="A68" s="164">
        <v>42950</v>
      </c>
      <c r="B68" s="28" t="s">
        <v>27</v>
      </c>
      <c r="C68" s="26">
        <v>9</v>
      </c>
      <c r="D68" s="26">
        <v>9</v>
      </c>
      <c r="E68" s="26">
        <f t="shared" si="0"/>
        <v>0</v>
      </c>
      <c r="F68" s="26">
        <v>50</v>
      </c>
      <c r="G68" s="165" t="str">
        <f t="shared" si="1"/>
        <v>Pass</v>
      </c>
      <c r="H68" s="27">
        <v>1159</v>
      </c>
      <c r="I68" s="166" t="s">
        <v>70</v>
      </c>
      <c r="J68" s="28"/>
    </row>
    <row r="69" spans="1:10" x14ac:dyDescent="0.25">
      <c r="A69" s="164">
        <v>42954</v>
      </c>
      <c r="B69" s="28" t="s">
        <v>27</v>
      </c>
      <c r="C69" s="26">
        <v>18</v>
      </c>
      <c r="D69" s="26">
        <v>11</v>
      </c>
      <c r="E69" s="26">
        <f t="shared" si="0"/>
        <v>-7</v>
      </c>
      <c r="F69" s="26">
        <v>50</v>
      </c>
      <c r="G69" s="165" t="str">
        <f t="shared" si="1"/>
        <v>Pass</v>
      </c>
      <c r="H69" s="27">
        <v>121</v>
      </c>
      <c r="I69" s="166"/>
      <c r="J69" s="28"/>
    </row>
    <row r="70" spans="1:10" x14ac:dyDescent="0.25">
      <c r="A70" s="164">
        <v>42957</v>
      </c>
      <c r="B70" s="28" t="s">
        <v>27</v>
      </c>
      <c r="C70" s="26">
        <v>7</v>
      </c>
      <c r="D70" s="26">
        <v>11</v>
      </c>
      <c r="E70" s="26">
        <f t="shared" si="0"/>
        <v>4</v>
      </c>
      <c r="F70" s="26">
        <v>50</v>
      </c>
      <c r="G70" s="165" t="str">
        <f t="shared" si="1"/>
        <v>Pass</v>
      </c>
      <c r="H70" s="27">
        <v>1428</v>
      </c>
      <c r="I70" s="166" t="s">
        <v>29</v>
      </c>
      <c r="J70" s="28"/>
    </row>
    <row r="71" spans="1:10" x14ac:dyDescent="0.25">
      <c r="A71" s="164">
        <v>42961</v>
      </c>
      <c r="B71" s="28" t="s">
        <v>27</v>
      </c>
      <c r="C71" s="26">
        <v>10</v>
      </c>
      <c r="D71" s="26">
        <v>8</v>
      </c>
      <c r="E71" s="26">
        <f>IF(D71="","",(D71-C71))</f>
        <v>-2</v>
      </c>
      <c r="F71" s="26">
        <v>50</v>
      </c>
      <c r="G71" s="165" t="str">
        <f>IF(E71="","",IF(E71&lt;50,"Pass","Fail"))</f>
        <v>Pass</v>
      </c>
      <c r="H71" s="27">
        <v>1335</v>
      </c>
      <c r="I71" s="166" t="s">
        <v>71</v>
      </c>
      <c r="J71" s="28"/>
    </row>
    <row r="72" spans="1:10" x14ac:dyDescent="0.25">
      <c r="A72" s="164">
        <v>42964</v>
      </c>
      <c r="B72" s="28" t="s">
        <v>27</v>
      </c>
      <c r="C72" s="26">
        <v>11</v>
      </c>
      <c r="D72" s="26">
        <v>12</v>
      </c>
      <c r="E72" s="26">
        <f t="shared" si="0"/>
        <v>1</v>
      </c>
      <c r="F72" s="26">
        <v>50</v>
      </c>
      <c r="G72" s="165" t="str">
        <f t="shared" si="1"/>
        <v>Pass</v>
      </c>
      <c r="H72" s="27">
        <v>1335</v>
      </c>
      <c r="I72" s="166" t="s">
        <v>72</v>
      </c>
      <c r="J72" s="28"/>
    </row>
    <row r="73" spans="1:10" x14ac:dyDescent="0.25">
      <c r="A73" s="164">
        <v>42966</v>
      </c>
      <c r="B73" s="28" t="s">
        <v>27</v>
      </c>
      <c r="C73" s="26">
        <v>30</v>
      </c>
      <c r="D73" s="26">
        <v>25</v>
      </c>
      <c r="E73" s="26">
        <f t="shared" si="0"/>
        <v>-5</v>
      </c>
      <c r="F73" s="26">
        <v>50</v>
      </c>
      <c r="G73" s="165" t="str">
        <f t="shared" si="1"/>
        <v>Pass</v>
      </c>
      <c r="H73" s="27">
        <v>121</v>
      </c>
      <c r="I73" s="166" t="s">
        <v>73</v>
      </c>
      <c r="J73" s="28"/>
    </row>
    <row r="74" spans="1:10" x14ac:dyDescent="0.25">
      <c r="A74" s="164">
        <v>42970</v>
      </c>
      <c r="B74" s="28" t="s">
        <v>27</v>
      </c>
      <c r="C74" s="26">
        <v>13</v>
      </c>
      <c r="D74" s="26">
        <v>9</v>
      </c>
      <c r="E74" s="26">
        <f t="shared" ref="E74:E120" si="2">IF(D74="","",(D74-C74))</f>
        <v>-4</v>
      </c>
      <c r="F74" s="26">
        <v>50</v>
      </c>
      <c r="G74" s="165" t="str">
        <f t="shared" ref="G74:G120" si="3">IF(E74="","",IF(E74&lt;50,"Pass","Fail"))</f>
        <v>Pass</v>
      </c>
      <c r="H74" s="27">
        <v>121</v>
      </c>
      <c r="I74" s="166" t="s">
        <v>74</v>
      </c>
      <c r="J74" s="28"/>
    </row>
    <row r="75" spans="1:10" x14ac:dyDescent="0.25">
      <c r="A75" s="164">
        <v>42974</v>
      </c>
      <c r="B75" s="28" t="s">
        <v>27</v>
      </c>
      <c r="C75" s="26">
        <v>15</v>
      </c>
      <c r="D75" s="26">
        <v>8</v>
      </c>
      <c r="E75" s="26">
        <f t="shared" si="2"/>
        <v>-7</v>
      </c>
      <c r="F75" s="26">
        <v>50</v>
      </c>
      <c r="G75" s="165" t="str">
        <f t="shared" si="3"/>
        <v>Pass</v>
      </c>
      <c r="H75" s="27">
        <v>121</v>
      </c>
      <c r="I75" s="166" t="s">
        <v>75</v>
      </c>
      <c r="J75" s="28"/>
    </row>
    <row r="76" spans="1:10" x14ac:dyDescent="0.25">
      <c r="A76" s="164">
        <v>42978</v>
      </c>
      <c r="B76" s="28" t="s">
        <v>27</v>
      </c>
      <c r="C76" s="26">
        <v>31</v>
      </c>
      <c r="D76" s="26">
        <v>54</v>
      </c>
      <c r="E76" s="26">
        <f t="shared" si="2"/>
        <v>23</v>
      </c>
      <c r="F76" s="26">
        <v>50</v>
      </c>
      <c r="G76" s="165" t="str">
        <f t="shared" si="3"/>
        <v>Pass</v>
      </c>
      <c r="H76" s="27">
        <v>1428</v>
      </c>
      <c r="I76" s="166" t="s">
        <v>29</v>
      </c>
      <c r="J76" s="28"/>
    </row>
    <row r="77" spans="1:10" x14ac:dyDescent="0.25">
      <c r="A77" s="164">
        <v>42983</v>
      </c>
      <c r="B77" s="28" t="s">
        <v>27</v>
      </c>
      <c r="C77" s="26">
        <v>9</v>
      </c>
      <c r="D77" s="26">
        <v>16</v>
      </c>
      <c r="E77" s="26">
        <f t="shared" si="2"/>
        <v>7</v>
      </c>
      <c r="F77" s="26">
        <v>50</v>
      </c>
      <c r="G77" s="165" t="str">
        <f t="shared" si="3"/>
        <v>Pass</v>
      </c>
      <c r="H77" s="27">
        <v>1335</v>
      </c>
      <c r="I77" s="166" t="s">
        <v>29</v>
      </c>
      <c r="J77" s="28"/>
    </row>
    <row r="78" spans="1:10" x14ac:dyDescent="0.25">
      <c r="A78" s="164">
        <v>42992</v>
      </c>
      <c r="B78" s="28" t="s">
        <v>27</v>
      </c>
      <c r="C78" s="26">
        <v>20</v>
      </c>
      <c r="D78" s="26">
        <v>18</v>
      </c>
      <c r="E78" s="26">
        <f t="shared" si="2"/>
        <v>-2</v>
      </c>
      <c r="F78" s="26">
        <v>50</v>
      </c>
      <c r="G78" s="165" t="str">
        <f t="shared" si="3"/>
        <v>Pass</v>
      </c>
      <c r="H78" s="27">
        <v>64</v>
      </c>
      <c r="I78" s="166" t="s">
        <v>29</v>
      </c>
      <c r="J78" s="28"/>
    </row>
    <row r="79" spans="1:10" x14ac:dyDescent="0.25">
      <c r="A79" s="164">
        <v>42995</v>
      </c>
      <c r="B79" s="28" t="s">
        <v>27</v>
      </c>
      <c r="C79" s="26">
        <v>13</v>
      </c>
      <c r="D79" s="26">
        <v>17</v>
      </c>
      <c r="E79" s="26">
        <f t="shared" si="2"/>
        <v>4</v>
      </c>
      <c r="F79" s="26">
        <v>50</v>
      </c>
      <c r="G79" s="165" t="str">
        <f t="shared" si="3"/>
        <v>Pass</v>
      </c>
      <c r="H79" s="27">
        <v>121</v>
      </c>
      <c r="I79" s="166" t="s">
        <v>76</v>
      </c>
      <c r="J79" s="28"/>
    </row>
    <row r="80" spans="1:10" x14ac:dyDescent="0.25">
      <c r="A80" s="164">
        <v>42998</v>
      </c>
      <c r="B80" s="28" t="s">
        <v>27</v>
      </c>
      <c r="C80" s="26">
        <v>17</v>
      </c>
      <c r="D80" s="26">
        <v>12</v>
      </c>
      <c r="E80" s="26">
        <f t="shared" si="2"/>
        <v>-5</v>
      </c>
      <c r="F80" s="26">
        <v>50</v>
      </c>
      <c r="G80" s="165" t="str">
        <f t="shared" si="3"/>
        <v>Pass</v>
      </c>
      <c r="H80" s="27">
        <v>1519</v>
      </c>
      <c r="I80" s="166" t="s">
        <v>29</v>
      </c>
      <c r="J80" s="28"/>
    </row>
    <row r="81" spans="1:10" x14ac:dyDescent="0.25">
      <c r="A81" s="164">
        <v>43003</v>
      </c>
      <c r="B81" s="28" t="s">
        <v>27</v>
      </c>
      <c r="C81" s="26">
        <v>7</v>
      </c>
      <c r="D81" s="26">
        <v>9</v>
      </c>
      <c r="E81" s="26">
        <f t="shared" si="2"/>
        <v>2</v>
      </c>
      <c r="F81" s="26">
        <v>50</v>
      </c>
      <c r="G81" s="165" t="str">
        <f t="shared" si="3"/>
        <v>Pass</v>
      </c>
      <c r="H81" s="27">
        <v>121</v>
      </c>
      <c r="I81" s="166" t="s">
        <v>77</v>
      </c>
      <c r="J81" s="28"/>
    </row>
    <row r="82" spans="1:10" x14ac:dyDescent="0.25">
      <c r="A82" s="164">
        <v>43005</v>
      </c>
      <c r="B82" s="28" t="s">
        <v>27</v>
      </c>
      <c r="C82" s="26">
        <v>18</v>
      </c>
      <c r="D82" s="26">
        <v>15</v>
      </c>
      <c r="E82" s="26">
        <f>IF(D82="","",(D82-C82))</f>
        <v>-3</v>
      </c>
      <c r="F82" s="26">
        <v>50</v>
      </c>
      <c r="G82" s="165" t="str">
        <f>IF(E82="","",IF(E82&lt;50,"Pass","Fail"))</f>
        <v>Pass</v>
      </c>
      <c r="H82" s="27">
        <v>64</v>
      </c>
      <c r="I82" s="166" t="s">
        <v>29</v>
      </c>
      <c r="J82" s="28"/>
    </row>
    <row r="83" spans="1:10" x14ac:dyDescent="0.25">
      <c r="A83" s="164">
        <v>43011</v>
      </c>
      <c r="B83" s="28" t="s">
        <v>27</v>
      </c>
      <c r="C83" s="26">
        <v>9</v>
      </c>
      <c r="D83" s="26">
        <v>9</v>
      </c>
      <c r="E83" s="26">
        <f t="shared" si="2"/>
        <v>0</v>
      </c>
      <c r="F83" s="26">
        <v>50</v>
      </c>
      <c r="G83" s="165" t="str">
        <f t="shared" si="3"/>
        <v>Pass</v>
      </c>
      <c r="H83" s="27">
        <v>1159</v>
      </c>
      <c r="I83" s="166" t="s">
        <v>78</v>
      </c>
      <c r="J83" s="28"/>
    </row>
    <row r="84" spans="1:10" x14ac:dyDescent="0.25">
      <c r="A84" s="164">
        <v>43017</v>
      </c>
      <c r="B84" s="28" t="s">
        <v>27</v>
      </c>
      <c r="C84" s="26">
        <v>15</v>
      </c>
      <c r="D84" s="26">
        <v>5</v>
      </c>
      <c r="E84" s="26">
        <f t="shared" si="2"/>
        <v>-10</v>
      </c>
      <c r="F84" s="26">
        <v>50</v>
      </c>
      <c r="G84" s="165" t="str">
        <f t="shared" si="3"/>
        <v>Pass</v>
      </c>
      <c r="H84" s="27">
        <v>1428</v>
      </c>
      <c r="I84" s="166"/>
      <c r="J84" s="28"/>
    </row>
    <row r="85" spans="1:10" x14ac:dyDescent="0.25">
      <c r="A85" s="164">
        <v>43020</v>
      </c>
      <c r="B85" s="28" t="s">
        <v>27</v>
      </c>
      <c r="C85" s="26">
        <v>8</v>
      </c>
      <c r="D85" s="26">
        <v>19</v>
      </c>
      <c r="E85" s="26">
        <f t="shared" si="2"/>
        <v>11</v>
      </c>
      <c r="F85" s="26">
        <v>50</v>
      </c>
      <c r="G85" s="165" t="str">
        <f t="shared" si="3"/>
        <v>Pass</v>
      </c>
      <c r="H85" s="27">
        <v>1428</v>
      </c>
      <c r="I85" s="166"/>
      <c r="J85" s="28"/>
    </row>
    <row r="86" spans="1:10" x14ac:dyDescent="0.25">
      <c r="A86" s="164">
        <v>43023</v>
      </c>
      <c r="B86" s="28" t="s">
        <v>27</v>
      </c>
      <c r="C86" s="26">
        <v>13</v>
      </c>
      <c r="D86" s="26">
        <v>7</v>
      </c>
      <c r="E86" s="26">
        <f t="shared" si="2"/>
        <v>-6</v>
      </c>
      <c r="F86" s="26">
        <v>50</v>
      </c>
      <c r="G86" s="165" t="str">
        <f t="shared" si="3"/>
        <v>Pass</v>
      </c>
      <c r="H86" s="27">
        <v>121</v>
      </c>
      <c r="I86" s="166" t="s">
        <v>79</v>
      </c>
      <c r="J86" s="28"/>
    </row>
    <row r="87" spans="1:10" x14ac:dyDescent="0.25">
      <c r="A87" s="164">
        <v>43029</v>
      </c>
      <c r="B87" s="28" t="s">
        <v>27</v>
      </c>
      <c r="C87" s="26">
        <v>11</v>
      </c>
      <c r="D87" s="26">
        <v>40</v>
      </c>
      <c r="E87" s="26">
        <f>IF(D87="","",(D87-C87))</f>
        <v>29</v>
      </c>
      <c r="F87" s="26">
        <v>50</v>
      </c>
      <c r="G87" s="165" t="str">
        <f>IF(E87="","",IF(E87&lt;50,"Pass","Fail"))</f>
        <v>Pass</v>
      </c>
      <c r="H87" s="27">
        <v>102</v>
      </c>
      <c r="I87" s="166" t="s">
        <v>80</v>
      </c>
      <c r="J87" s="28"/>
    </row>
    <row r="88" spans="1:10" x14ac:dyDescent="0.25">
      <c r="A88" s="164">
        <v>43032</v>
      </c>
      <c r="B88" s="28" t="s">
        <v>27</v>
      </c>
      <c r="C88" s="26">
        <v>12</v>
      </c>
      <c r="D88" s="26">
        <v>13</v>
      </c>
      <c r="E88" s="26">
        <f t="shared" si="2"/>
        <v>1</v>
      </c>
      <c r="F88" s="26">
        <v>50</v>
      </c>
      <c r="G88" s="165" t="str">
        <f t="shared" si="3"/>
        <v>Pass</v>
      </c>
      <c r="H88" s="27">
        <v>1519</v>
      </c>
      <c r="I88" s="166" t="s">
        <v>81</v>
      </c>
      <c r="J88" s="28"/>
    </row>
    <row r="89" spans="1:10" x14ac:dyDescent="0.25">
      <c r="A89" s="164">
        <v>43035</v>
      </c>
      <c r="B89" s="28" t="s">
        <v>27</v>
      </c>
      <c r="C89" s="26">
        <v>6</v>
      </c>
      <c r="D89" s="26">
        <v>9</v>
      </c>
      <c r="E89" s="26">
        <f t="shared" si="2"/>
        <v>3</v>
      </c>
      <c r="F89" s="26">
        <v>50</v>
      </c>
      <c r="G89" s="165" t="str">
        <f t="shared" si="3"/>
        <v>Pass</v>
      </c>
      <c r="H89" s="27">
        <v>121</v>
      </c>
      <c r="I89" s="166" t="s">
        <v>82</v>
      </c>
      <c r="J89" s="28"/>
    </row>
    <row r="90" spans="1:10" x14ac:dyDescent="0.25">
      <c r="A90" s="164">
        <v>43038</v>
      </c>
      <c r="B90" s="28" t="s">
        <v>27</v>
      </c>
      <c r="C90" s="26">
        <v>8</v>
      </c>
      <c r="D90" s="26">
        <v>7</v>
      </c>
      <c r="E90" s="26">
        <f t="shared" si="2"/>
        <v>-1</v>
      </c>
      <c r="F90" s="26">
        <v>50</v>
      </c>
      <c r="G90" s="165" t="str">
        <f t="shared" si="3"/>
        <v>Pass</v>
      </c>
      <c r="H90" s="27">
        <v>1428</v>
      </c>
      <c r="I90" s="166"/>
      <c r="J90" s="28"/>
    </row>
    <row r="91" spans="1:10" x14ac:dyDescent="0.25">
      <c r="A91" s="164">
        <v>43041</v>
      </c>
      <c r="B91" s="28" t="s">
        <v>27</v>
      </c>
      <c r="C91" s="26">
        <v>7</v>
      </c>
      <c r="D91" s="26">
        <v>13</v>
      </c>
      <c r="E91" s="26">
        <f t="shared" si="2"/>
        <v>6</v>
      </c>
      <c r="F91" s="26">
        <v>50</v>
      </c>
      <c r="G91" s="165" t="str">
        <f t="shared" si="3"/>
        <v>Pass</v>
      </c>
      <c r="H91" s="27">
        <v>1428</v>
      </c>
      <c r="I91" s="166"/>
      <c r="J91" s="28"/>
    </row>
    <row r="92" spans="1:10" x14ac:dyDescent="0.25">
      <c r="A92" s="164">
        <v>43045</v>
      </c>
      <c r="B92" s="28" t="s">
        <v>27</v>
      </c>
      <c r="C92" s="26">
        <v>4</v>
      </c>
      <c r="D92" s="26">
        <v>5</v>
      </c>
      <c r="E92" s="26">
        <f t="shared" si="2"/>
        <v>1</v>
      </c>
      <c r="F92" s="26">
        <v>50</v>
      </c>
      <c r="G92" s="165" t="str">
        <f t="shared" si="3"/>
        <v>Pass</v>
      </c>
      <c r="H92" s="27">
        <v>121</v>
      </c>
      <c r="I92" s="166" t="s">
        <v>83</v>
      </c>
      <c r="J92" s="28"/>
    </row>
    <row r="93" spans="1:10" x14ac:dyDescent="0.25">
      <c r="A93" s="164">
        <v>43052</v>
      </c>
      <c r="B93" s="28" t="s">
        <v>27</v>
      </c>
      <c r="C93" s="26">
        <v>3</v>
      </c>
      <c r="D93" s="26">
        <v>9</v>
      </c>
      <c r="E93" s="26">
        <f t="shared" si="2"/>
        <v>6</v>
      </c>
      <c r="F93" s="26">
        <v>50</v>
      </c>
      <c r="G93" s="165" t="str">
        <f t="shared" si="3"/>
        <v>Pass</v>
      </c>
      <c r="H93" s="27">
        <v>121</v>
      </c>
      <c r="I93" s="166" t="s">
        <v>84</v>
      </c>
      <c r="J93" s="28"/>
    </row>
    <row r="94" spans="1:10" x14ac:dyDescent="0.25">
      <c r="A94" s="164">
        <v>43056</v>
      </c>
      <c r="B94" s="28" t="s">
        <v>27</v>
      </c>
      <c r="C94" s="26">
        <v>7</v>
      </c>
      <c r="D94" s="26">
        <v>9</v>
      </c>
      <c r="E94" s="26">
        <f>IF(D94="","",(D94-C94))</f>
        <v>2</v>
      </c>
      <c r="F94" s="26">
        <v>50</v>
      </c>
      <c r="G94" s="165" t="str">
        <f>IF(E94="","",IF(E94&lt;50,"Pass","Fail"))</f>
        <v>Pass</v>
      </c>
      <c r="H94" s="27">
        <v>1159</v>
      </c>
      <c r="I94" s="166" t="s">
        <v>85</v>
      </c>
      <c r="J94" s="28"/>
    </row>
    <row r="95" spans="1:10" x14ac:dyDescent="0.25">
      <c r="A95" s="164">
        <v>43060</v>
      </c>
      <c r="B95" s="28" t="s">
        <v>27</v>
      </c>
      <c r="C95" s="26">
        <v>16</v>
      </c>
      <c r="D95" s="26">
        <v>11</v>
      </c>
      <c r="E95" s="26">
        <f t="shared" si="2"/>
        <v>-5</v>
      </c>
      <c r="F95" s="26">
        <v>50</v>
      </c>
      <c r="G95" s="165" t="str">
        <f t="shared" si="3"/>
        <v>Pass</v>
      </c>
      <c r="H95" s="27">
        <v>102</v>
      </c>
      <c r="I95" s="166" t="s">
        <v>86</v>
      </c>
      <c r="J95" s="28"/>
    </row>
    <row r="96" spans="1:10" x14ac:dyDescent="0.25">
      <c r="A96" s="164">
        <v>43063</v>
      </c>
      <c r="B96" s="28" t="s">
        <v>27</v>
      </c>
      <c r="C96" s="26">
        <v>18</v>
      </c>
      <c r="D96" s="26">
        <v>13</v>
      </c>
      <c r="E96" s="26">
        <f t="shared" si="2"/>
        <v>-5</v>
      </c>
      <c r="F96" s="26">
        <v>50</v>
      </c>
      <c r="G96" s="165" t="str">
        <f t="shared" si="3"/>
        <v>Pass</v>
      </c>
      <c r="H96" s="27">
        <v>1335</v>
      </c>
      <c r="I96" s="166" t="s">
        <v>87</v>
      </c>
      <c r="J96" s="28"/>
    </row>
    <row r="97" spans="1:10" x14ac:dyDescent="0.25">
      <c r="A97" s="164">
        <v>43067</v>
      </c>
      <c r="B97" s="28" t="s">
        <v>27</v>
      </c>
      <c r="C97" s="26">
        <v>28</v>
      </c>
      <c r="D97" s="26">
        <v>158</v>
      </c>
      <c r="E97" s="26">
        <f t="shared" si="2"/>
        <v>130</v>
      </c>
      <c r="F97" s="26">
        <v>50</v>
      </c>
      <c r="G97" s="165" t="str">
        <f t="shared" si="3"/>
        <v>Fail</v>
      </c>
      <c r="H97" s="28">
        <v>102</v>
      </c>
      <c r="I97" s="166" t="s">
        <v>88</v>
      </c>
      <c r="J97" s="28"/>
    </row>
    <row r="98" spans="1:10" x14ac:dyDescent="0.25">
      <c r="A98" s="164">
        <v>43067</v>
      </c>
      <c r="B98" s="28" t="s">
        <v>27</v>
      </c>
      <c r="C98" s="26">
        <v>42</v>
      </c>
      <c r="D98" s="26">
        <v>181</v>
      </c>
      <c r="E98" s="26">
        <f t="shared" si="2"/>
        <v>139</v>
      </c>
      <c r="F98" s="26">
        <v>50</v>
      </c>
      <c r="G98" s="165" t="str">
        <f t="shared" si="3"/>
        <v>Fail</v>
      </c>
      <c r="H98" s="28">
        <v>102</v>
      </c>
      <c r="I98" s="166" t="s">
        <v>89</v>
      </c>
      <c r="J98" s="28"/>
    </row>
    <row r="99" spans="1:10" x14ac:dyDescent="0.25">
      <c r="A99" s="164">
        <v>43067</v>
      </c>
      <c r="B99" s="28" t="s">
        <v>27</v>
      </c>
      <c r="C99" s="26">
        <v>9</v>
      </c>
      <c r="D99" s="26">
        <v>14</v>
      </c>
      <c r="E99" s="26">
        <f t="shared" si="2"/>
        <v>5</v>
      </c>
      <c r="F99" s="26">
        <v>50</v>
      </c>
      <c r="G99" s="165" t="str">
        <f t="shared" si="3"/>
        <v>Pass</v>
      </c>
      <c r="H99" s="27">
        <v>102</v>
      </c>
      <c r="I99" s="166" t="s">
        <v>90</v>
      </c>
      <c r="J99" s="28"/>
    </row>
    <row r="100" spans="1:10" x14ac:dyDescent="0.25">
      <c r="A100" s="164">
        <v>43070</v>
      </c>
      <c r="B100" s="28" t="s">
        <v>27</v>
      </c>
      <c r="C100" s="26">
        <v>9</v>
      </c>
      <c r="D100" s="26">
        <v>8</v>
      </c>
      <c r="E100" s="26">
        <f t="shared" si="2"/>
        <v>-1</v>
      </c>
      <c r="F100" s="26">
        <v>50</v>
      </c>
      <c r="G100" s="165" t="str">
        <f t="shared" si="3"/>
        <v>Pass</v>
      </c>
      <c r="H100" s="27">
        <v>1159</v>
      </c>
      <c r="I100" s="166" t="s">
        <v>91</v>
      </c>
      <c r="J100" s="28"/>
    </row>
    <row r="101" spans="1:10" x14ac:dyDescent="0.25">
      <c r="A101" s="164">
        <v>43073</v>
      </c>
      <c r="B101" s="28" t="s">
        <v>27</v>
      </c>
      <c r="C101" s="26">
        <v>10</v>
      </c>
      <c r="D101" s="26">
        <v>113</v>
      </c>
      <c r="E101" s="26">
        <f>IF(D101="","",(D101-C101))</f>
        <v>103</v>
      </c>
      <c r="F101" s="26">
        <v>50</v>
      </c>
      <c r="G101" s="165" t="str">
        <f>IF(E101="","",IF(E101&lt;50,"Pass","Fail"))</f>
        <v>Fail</v>
      </c>
      <c r="H101" s="28">
        <v>1428</v>
      </c>
      <c r="I101" s="166" t="s">
        <v>92</v>
      </c>
      <c r="J101" s="28"/>
    </row>
    <row r="102" spans="1:10" x14ac:dyDescent="0.25">
      <c r="A102" s="164">
        <v>43073</v>
      </c>
      <c r="B102" s="28" t="s">
        <v>27</v>
      </c>
      <c r="C102" s="26">
        <v>4</v>
      </c>
      <c r="D102" s="26">
        <v>4</v>
      </c>
      <c r="E102" s="26">
        <f t="shared" si="2"/>
        <v>0</v>
      </c>
      <c r="F102" s="26">
        <v>50</v>
      </c>
      <c r="G102" s="165" t="str">
        <f t="shared" si="3"/>
        <v>Pass</v>
      </c>
      <c r="H102" s="27">
        <v>1428</v>
      </c>
      <c r="I102" s="166" t="s">
        <v>93</v>
      </c>
      <c r="J102" s="28"/>
    </row>
    <row r="103" spans="1:10" x14ac:dyDescent="0.25">
      <c r="A103" s="164">
        <v>43077</v>
      </c>
      <c r="B103" s="28" t="s">
        <v>27</v>
      </c>
      <c r="C103" s="26">
        <v>14</v>
      </c>
      <c r="D103" s="26">
        <v>16</v>
      </c>
      <c r="E103" s="26">
        <f t="shared" si="2"/>
        <v>2</v>
      </c>
      <c r="F103" s="26">
        <v>50</v>
      </c>
      <c r="G103" s="165" t="str">
        <f t="shared" si="3"/>
        <v>Pass</v>
      </c>
      <c r="H103" s="27">
        <v>102</v>
      </c>
      <c r="I103" s="166" t="s">
        <v>94</v>
      </c>
      <c r="J103" s="28"/>
    </row>
    <row r="104" spans="1:10" x14ac:dyDescent="0.25">
      <c r="A104" s="164">
        <v>43081</v>
      </c>
      <c r="B104" s="28" t="s">
        <v>27</v>
      </c>
      <c r="C104" s="26">
        <v>3</v>
      </c>
      <c r="D104" s="26">
        <v>13</v>
      </c>
      <c r="E104" s="26">
        <f t="shared" si="2"/>
        <v>10</v>
      </c>
      <c r="F104" s="26">
        <v>50</v>
      </c>
      <c r="G104" s="165" t="str">
        <f t="shared" si="3"/>
        <v>Pass</v>
      </c>
      <c r="H104" s="27">
        <v>1534</v>
      </c>
      <c r="I104" s="166" t="s">
        <v>95</v>
      </c>
      <c r="J104" s="28"/>
    </row>
    <row r="105" spans="1:10" x14ac:dyDescent="0.25">
      <c r="A105" s="164">
        <v>43084</v>
      </c>
      <c r="B105" s="28" t="s">
        <v>27</v>
      </c>
      <c r="C105" s="26">
        <v>12</v>
      </c>
      <c r="D105" s="26">
        <v>10</v>
      </c>
      <c r="E105" s="26">
        <f t="shared" si="2"/>
        <v>-2</v>
      </c>
      <c r="F105" s="26">
        <v>50</v>
      </c>
      <c r="G105" s="165" t="str">
        <f t="shared" si="3"/>
        <v>Pass</v>
      </c>
      <c r="H105" s="27">
        <v>1335</v>
      </c>
      <c r="I105" s="166" t="s">
        <v>95</v>
      </c>
      <c r="J105" s="28"/>
    </row>
    <row r="106" spans="1:10" x14ac:dyDescent="0.25">
      <c r="A106" s="164">
        <v>43088</v>
      </c>
      <c r="B106" s="28" t="s">
        <v>27</v>
      </c>
      <c r="C106" s="26">
        <v>9</v>
      </c>
      <c r="D106" s="26">
        <v>1780</v>
      </c>
      <c r="E106" s="26">
        <f t="shared" si="2"/>
        <v>1771</v>
      </c>
      <c r="F106" s="26">
        <v>50</v>
      </c>
      <c r="G106" s="165" t="str">
        <f t="shared" si="3"/>
        <v>Fail</v>
      </c>
      <c r="H106" s="28">
        <v>1335</v>
      </c>
      <c r="I106" s="166" t="s">
        <v>96</v>
      </c>
      <c r="J106" s="28"/>
    </row>
    <row r="107" spans="1:10" x14ac:dyDescent="0.25">
      <c r="A107" s="164">
        <v>43088</v>
      </c>
      <c r="B107" s="28" t="s">
        <v>27</v>
      </c>
      <c r="C107" s="26">
        <v>5</v>
      </c>
      <c r="D107" s="26">
        <v>9</v>
      </c>
      <c r="E107" s="26">
        <v>4</v>
      </c>
      <c r="F107" s="26">
        <v>50</v>
      </c>
      <c r="G107" s="165" t="str">
        <f>IF(E107="","",IF(E107&lt;50,"Pass","Fail"))</f>
        <v>Pass</v>
      </c>
      <c r="H107" s="27">
        <v>1335</v>
      </c>
      <c r="I107" s="166" t="s">
        <v>96</v>
      </c>
      <c r="J107" s="28" t="s">
        <v>268</v>
      </c>
    </row>
    <row r="108" spans="1:10" x14ac:dyDescent="0.25">
      <c r="A108" s="164">
        <v>43090</v>
      </c>
      <c r="B108" s="28" t="s">
        <v>27</v>
      </c>
      <c r="C108" s="26">
        <v>6</v>
      </c>
      <c r="D108" s="26">
        <v>11</v>
      </c>
      <c r="E108" s="26">
        <f t="shared" si="2"/>
        <v>5</v>
      </c>
      <c r="F108" s="26">
        <v>50</v>
      </c>
      <c r="G108" s="165" t="str">
        <f t="shared" si="3"/>
        <v>Pass</v>
      </c>
      <c r="H108" s="27">
        <v>1335</v>
      </c>
      <c r="I108" s="166" t="s">
        <v>97</v>
      </c>
      <c r="J108" s="28"/>
    </row>
    <row r="109" spans="1:10" x14ac:dyDescent="0.25">
      <c r="A109" s="164">
        <v>43096</v>
      </c>
      <c r="B109" s="28" t="s">
        <v>27</v>
      </c>
      <c r="C109" s="26">
        <v>21</v>
      </c>
      <c r="D109" s="26">
        <v>13</v>
      </c>
      <c r="E109" s="26">
        <f t="shared" si="2"/>
        <v>-8</v>
      </c>
      <c r="F109" s="26">
        <v>50</v>
      </c>
      <c r="G109" s="165" t="str">
        <f t="shared" si="3"/>
        <v>Pass</v>
      </c>
      <c r="H109" s="27">
        <v>1519</v>
      </c>
      <c r="I109" s="166" t="s">
        <v>95</v>
      </c>
      <c r="J109" s="28"/>
    </row>
    <row r="110" spans="1:10" x14ac:dyDescent="0.25">
      <c r="A110" s="164">
        <v>42736</v>
      </c>
      <c r="B110" s="28" t="s">
        <v>27</v>
      </c>
      <c r="C110" s="26">
        <v>5</v>
      </c>
      <c r="D110" s="26">
        <v>32</v>
      </c>
      <c r="E110" s="26">
        <f>IF(D110="","",(D110-C110))</f>
        <v>27</v>
      </c>
      <c r="F110" s="26">
        <v>50</v>
      </c>
      <c r="G110" s="165" t="str">
        <f>IF(E110="","",IF(E110&lt;50,"Pass","Fail"))</f>
        <v>Pass</v>
      </c>
      <c r="H110" s="27">
        <v>1428</v>
      </c>
      <c r="I110" s="166" t="s">
        <v>95</v>
      </c>
      <c r="J110" s="28"/>
    </row>
    <row r="111" spans="1:10" x14ac:dyDescent="0.25">
      <c r="A111" s="164">
        <v>43105</v>
      </c>
      <c r="B111" s="28" t="s">
        <v>27</v>
      </c>
      <c r="C111" s="26">
        <v>7</v>
      </c>
      <c r="D111" s="26">
        <v>10</v>
      </c>
      <c r="E111" s="26">
        <f t="shared" si="2"/>
        <v>3</v>
      </c>
      <c r="F111" s="26">
        <v>50</v>
      </c>
      <c r="G111" s="165" t="str">
        <f t="shared" si="3"/>
        <v>Pass</v>
      </c>
      <c r="H111" s="27">
        <v>1335</v>
      </c>
      <c r="I111" s="166" t="s">
        <v>98</v>
      </c>
      <c r="J111" s="28"/>
    </row>
    <row r="112" spans="1:10" x14ac:dyDescent="0.25">
      <c r="A112" s="164">
        <v>43109</v>
      </c>
      <c r="B112" s="28" t="s">
        <v>27</v>
      </c>
      <c r="C112" s="26">
        <v>14</v>
      </c>
      <c r="D112" s="26">
        <v>19</v>
      </c>
      <c r="E112" s="26">
        <f t="shared" si="2"/>
        <v>5</v>
      </c>
      <c r="F112" s="26">
        <v>50</v>
      </c>
      <c r="G112" s="165" t="str">
        <f t="shared" si="3"/>
        <v>Pass</v>
      </c>
      <c r="H112" s="27" t="s">
        <v>99</v>
      </c>
      <c r="I112" s="166" t="s">
        <v>100</v>
      </c>
      <c r="J112" s="28"/>
    </row>
    <row r="113" spans="1:10" x14ac:dyDescent="0.25">
      <c r="A113" s="164">
        <v>43112</v>
      </c>
      <c r="B113" s="28" t="s">
        <v>27</v>
      </c>
      <c r="C113" s="26">
        <v>11</v>
      </c>
      <c r="D113" s="26">
        <v>8</v>
      </c>
      <c r="E113" s="26">
        <f t="shared" si="2"/>
        <v>-3</v>
      </c>
      <c r="F113" s="26">
        <v>50</v>
      </c>
      <c r="G113" s="165" t="str">
        <f t="shared" si="3"/>
        <v>Pass</v>
      </c>
      <c r="H113" s="27">
        <v>121</v>
      </c>
      <c r="I113" s="166" t="s">
        <v>101</v>
      </c>
      <c r="J113" s="28"/>
    </row>
    <row r="114" spans="1:10" x14ac:dyDescent="0.25">
      <c r="A114" s="164">
        <v>43117</v>
      </c>
      <c r="B114" s="28" t="s">
        <v>27</v>
      </c>
      <c r="C114" s="26">
        <v>11</v>
      </c>
      <c r="D114" s="26">
        <v>12</v>
      </c>
      <c r="E114" s="26">
        <f t="shared" si="2"/>
        <v>1</v>
      </c>
      <c r="F114" s="26">
        <v>50</v>
      </c>
      <c r="G114" s="165" t="str">
        <f t="shared" si="3"/>
        <v>Pass</v>
      </c>
      <c r="H114" s="27">
        <v>1428</v>
      </c>
      <c r="I114" s="166" t="s">
        <v>95</v>
      </c>
      <c r="J114" s="28"/>
    </row>
    <row r="115" spans="1:10" x14ac:dyDescent="0.25">
      <c r="A115" s="164">
        <v>43122</v>
      </c>
      <c r="B115" s="28" t="s">
        <v>27</v>
      </c>
      <c r="C115" s="26">
        <v>7</v>
      </c>
      <c r="D115" s="26">
        <v>8</v>
      </c>
      <c r="E115" s="26">
        <f t="shared" si="2"/>
        <v>1</v>
      </c>
      <c r="F115" s="26">
        <v>50</v>
      </c>
      <c r="G115" s="165" t="str">
        <f t="shared" si="3"/>
        <v>Pass</v>
      </c>
      <c r="H115" s="27">
        <v>1428</v>
      </c>
      <c r="I115" s="166" t="s">
        <v>95</v>
      </c>
      <c r="J115" s="28"/>
    </row>
    <row r="116" spans="1:10" x14ac:dyDescent="0.25">
      <c r="A116" s="164">
        <v>43125</v>
      </c>
      <c r="B116" s="28" t="s">
        <v>27</v>
      </c>
      <c r="C116" s="26">
        <v>28</v>
      </c>
      <c r="D116" s="26">
        <v>30</v>
      </c>
      <c r="E116" s="26">
        <f t="shared" si="2"/>
        <v>2</v>
      </c>
      <c r="F116" s="26">
        <v>50</v>
      </c>
      <c r="G116" s="165" t="str">
        <f t="shared" si="3"/>
        <v>Pass</v>
      </c>
      <c r="H116" s="27">
        <v>1428</v>
      </c>
      <c r="I116" s="166" t="s">
        <v>95</v>
      </c>
      <c r="J116" s="28"/>
    </row>
    <row r="117" spans="1:10" x14ac:dyDescent="0.25">
      <c r="A117" s="164">
        <v>43125</v>
      </c>
      <c r="B117" s="28" t="s">
        <v>27</v>
      </c>
      <c r="C117" s="26">
        <v>52</v>
      </c>
      <c r="D117" s="26">
        <v>52</v>
      </c>
      <c r="E117" s="26">
        <f t="shared" si="2"/>
        <v>0</v>
      </c>
      <c r="F117" s="26">
        <v>50</v>
      </c>
      <c r="G117" s="165" t="str">
        <f t="shared" si="3"/>
        <v>Pass</v>
      </c>
      <c r="H117" s="27">
        <v>1428</v>
      </c>
      <c r="I117" s="166" t="s">
        <v>95</v>
      </c>
      <c r="J117" s="28"/>
    </row>
    <row r="118" spans="1:10" x14ac:dyDescent="0.25">
      <c r="A118" s="164">
        <v>43128</v>
      </c>
      <c r="B118" s="28" t="s">
        <v>27</v>
      </c>
      <c r="C118" s="26">
        <v>6</v>
      </c>
      <c r="D118" s="26">
        <v>9</v>
      </c>
      <c r="E118" s="26">
        <f t="shared" si="2"/>
        <v>3</v>
      </c>
      <c r="F118" s="26">
        <v>50</v>
      </c>
      <c r="G118" s="165" t="str">
        <f t="shared" si="3"/>
        <v>Pass</v>
      </c>
      <c r="H118" s="27">
        <v>1519</v>
      </c>
      <c r="I118" s="166" t="s">
        <v>95</v>
      </c>
      <c r="J118" s="28"/>
    </row>
    <row r="119" spans="1:10" x14ac:dyDescent="0.25">
      <c r="A119" s="164">
        <v>43131</v>
      </c>
      <c r="B119" s="28" t="s">
        <v>27</v>
      </c>
      <c r="C119" s="26">
        <v>8</v>
      </c>
      <c r="D119" s="26">
        <v>10</v>
      </c>
      <c r="E119" s="26">
        <f t="shared" si="2"/>
        <v>2</v>
      </c>
      <c r="F119" s="26">
        <v>50</v>
      </c>
      <c r="G119" s="165" t="str">
        <f t="shared" si="3"/>
        <v>Pass</v>
      </c>
      <c r="H119" s="27">
        <v>1335</v>
      </c>
      <c r="I119" s="166" t="s">
        <v>102</v>
      </c>
      <c r="J119" s="28"/>
    </row>
    <row r="120" spans="1:10" x14ac:dyDescent="0.25">
      <c r="A120" s="164">
        <v>43134</v>
      </c>
      <c r="B120" s="28" t="s">
        <v>27</v>
      </c>
      <c r="C120" s="26">
        <v>1</v>
      </c>
      <c r="D120" s="26">
        <v>28</v>
      </c>
      <c r="E120" s="26">
        <f t="shared" si="2"/>
        <v>27</v>
      </c>
      <c r="F120" s="26">
        <v>50</v>
      </c>
      <c r="G120" s="165" t="str">
        <f t="shared" si="3"/>
        <v>Pass</v>
      </c>
      <c r="H120" s="27">
        <v>1335</v>
      </c>
      <c r="I120" s="166" t="s">
        <v>95</v>
      </c>
      <c r="J120" s="28"/>
    </row>
    <row r="121" spans="1:10" x14ac:dyDescent="0.25">
      <c r="A121" s="164">
        <v>43137</v>
      </c>
      <c r="B121" s="28" t="s">
        <v>27</v>
      </c>
      <c r="C121" s="26">
        <v>2</v>
      </c>
      <c r="D121" s="26">
        <v>7</v>
      </c>
      <c r="E121" s="26">
        <f>IF(D121="","",(D121-C121))</f>
        <v>5</v>
      </c>
      <c r="F121" s="26">
        <v>50</v>
      </c>
      <c r="G121" s="165" t="str">
        <f>IF(E121="","",IF(E121&lt;50,"Pass","Fail"))</f>
        <v>Pass</v>
      </c>
      <c r="H121" s="27">
        <v>102</v>
      </c>
      <c r="I121" s="166" t="s">
        <v>103</v>
      </c>
      <c r="J121" s="28"/>
    </row>
    <row r="122" spans="1:10" x14ac:dyDescent="0.25">
      <c r="A122" s="164">
        <v>43140</v>
      </c>
      <c r="B122" s="28" t="s">
        <v>27</v>
      </c>
      <c r="C122" s="26">
        <v>6</v>
      </c>
      <c r="D122" s="26">
        <v>7</v>
      </c>
      <c r="E122" s="26">
        <f>IF(D122="","",(D122-C122))</f>
        <v>1</v>
      </c>
      <c r="F122" s="26">
        <v>50</v>
      </c>
      <c r="G122" s="165" t="str">
        <f>IF(E122="","",IF(E122&lt;50,"Pass","Fail"))</f>
        <v>Pass</v>
      </c>
      <c r="H122" s="27" t="s">
        <v>104</v>
      </c>
      <c r="I122" s="166" t="s">
        <v>105</v>
      </c>
      <c r="J122" s="28"/>
    </row>
    <row r="123" spans="1:10" x14ac:dyDescent="0.25">
      <c r="A123" s="164">
        <v>43143</v>
      </c>
      <c r="B123" s="28" t="s">
        <v>27</v>
      </c>
      <c r="C123" s="26">
        <v>7</v>
      </c>
      <c r="D123" s="26">
        <v>4</v>
      </c>
      <c r="E123" s="26">
        <f t="shared" ref="E123:E184" si="4">IF(D123="","",(D123-C123))</f>
        <v>-3</v>
      </c>
      <c r="F123" s="26">
        <v>50</v>
      </c>
      <c r="G123" s="165" t="str">
        <f t="shared" ref="G123:G164" si="5">IF(E123="","",IF(E123&lt;50,"Pass","Fail"))</f>
        <v>Pass</v>
      </c>
      <c r="H123" s="27">
        <v>121</v>
      </c>
      <c r="I123" s="166" t="s">
        <v>29</v>
      </c>
      <c r="J123" s="28"/>
    </row>
    <row r="124" spans="1:10" x14ac:dyDescent="0.25">
      <c r="A124" s="164">
        <v>43146</v>
      </c>
      <c r="B124" s="28" t="s">
        <v>27</v>
      </c>
      <c r="C124" s="26">
        <v>15</v>
      </c>
      <c r="D124" s="26">
        <v>9</v>
      </c>
      <c r="E124" s="26">
        <f>IF(D124="","",(D124-C124))</f>
        <v>-6</v>
      </c>
      <c r="F124" s="26">
        <v>50</v>
      </c>
      <c r="G124" s="165" t="str">
        <f>IF(E124="","",IF(E124&lt;50,"Pass","Fail"))</f>
        <v>Pass</v>
      </c>
      <c r="H124" s="27" t="s">
        <v>104</v>
      </c>
      <c r="I124" s="166" t="s">
        <v>106</v>
      </c>
      <c r="J124" s="28"/>
    </row>
    <row r="125" spans="1:10" x14ac:dyDescent="0.25">
      <c r="A125" s="164">
        <v>43159</v>
      </c>
      <c r="B125" s="28" t="s">
        <v>27</v>
      </c>
      <c r="C125" s="26">
        <v>12</v>
      </c>
      <c r="D125" s="26">
        <v>17</v>
      </c>
      <c r="E125" s="26">
        <f t="shared" si="4"/>
        <v>5</v>
      </c>
      <c r="F125" s="26">
        <v>50</v>
      </c>
      <c r="G125" s="165" t="str">
        <f t="shared" si="5"/>
        <v>Pass</v>
      </c>
      <c r="H125" s="27">
        <v>1428</v>
      </c>
      <c r="I125" s="166" t="s">
        <v>107</v>
      </c>
      <c r="J125" s="28"/>
    </row>
    <row r="126" spans="1:10" x14ac:dyDescent="0.25">
      <c r="A126" s="164">
        <v>43167</v>
      </c>
      <c r="B126" s="28" t="s">
        <v>27</v>
      </c>
      <c r="C126" s="26">
        <v>21</v>
      </c>
      <c r="D126" s="26">
        <v>21</v>
      </c>
      <c r="E126" s="26">
        <f t="shared" si="4"/>
        <v>0</v>
      </c>
      <c r="F126" s="26">
        <v>50</v>
      </c>
      <c r="G126" s="165" t="str">
        <f t="shared" si="5"/>
        <v>Pass</v>
      </c>
      <c r="H126" s="27"/>
      <c r="I126" s="166" t="s">
        <v>108</v>
      </c>
      <c r="J126" s="28"/>
    </row>
    <row r="127" spans="1:10" x14ac:dyDescent="0.25">
      <c r="A127" s="164">
        <v>43187</v>
      </c>
      <c r="B127" s="28" t="s">
        <v>27</v>
      </c>
      <c r="C127" s="26">
        <v>17</v>
      </c>
      <c r="D127" s="26">
        <v>27</v>
      </c>
      <c r="E127" s="26">
        <f t="shared" si="4"/>
        <v>10</v>
      </c>
      <c r="F127" s="26">
        <v>50</v>
      </c>
      <c r="G127" s="165" t="str">
        <f t="shared" si="5"/>
        <v>Pass</v>
      </c>
      <c r="H127" s="27">
        <v>1335</v>
      </c>
      <c r="I127" s="166" t="s">
        <v>109</v>
      </c>
      <c r="J127" s="28"/>
    </row>
    <row r="128" spans="1:10" x14ac:dyDescent="0.25">
      <c r="A128" s="164">
        <v>43192</v>
      </c>
      <c r="B128" s="28" t="s">
        <v>27</v>
      </c>
      <c r="C128" s="26">
        <v>9</v>
      </c>
      <c r="D128" s="26">
        <v>11</v>
      </c>
      <c r="E128" s="26">
        <f t="shared" si="4"/>
        <v>2</v>
      </c>
      <c r="F128" s="26">
        <v>50</v>
      </c>
      <c r="G128" s="165" t="str">
        <f t="shared" si="5"/>
        <v>Pass</v>
      </c>
      <c r="H128" s="27">
        <v>1335</v>
      </c>
      <c r="I128" s="166" t="s">
        <v>110</v>
      </c>
      <c r="J128" s="28"/>
    </row>
    <row r="129" spans="1:10" x14ac:dyDescent="0.25">
      <c r="A129" s="164">
        <v>43199</v>
      </c>
      <c r="B129" s="28" t="s">
        <v>27</v>
      </c>
      <c r="C129" s="26">
        <v>13</v>
      </c>
      <c r="D129" s="26">
        <v>22</v>
      </c>
      <c r="E129" s="26">
        <f t="shared" si="4"/>
        <v>9</v>
      </c>
      <c r="F129" s="26">
        <v>50</v>
      </c>
      <c r="G129" s="165" t="str">
        <f t="shared" si="5"/>
        <v>Pass</v>
      </c>
      <c r="H129" s="27">
        <v>74</v>
      </c>
      <c r="I129" s="166" t="s">
        <v>111</v>
      </c>
      <c r="J129" s="28"/>
    </row>
    <row r="130" spans="1:10" x14ac:dyDescent="0.25">
      <c r="A130" s="164">
        <v>43204</v>
      </c>
      <c r="B130" s="28" t="s">
        <v>27</v>
      </c>
      <c r="C130" s="26">
        <v>15</v>
      </c>
      <c r="D130" s="26">
        <v>150</v>
      </c>
      <c r="E130" s="26">
        <f>IF(D130="","",(D130-C130))</f>
        <v>135</v>
      </c>
      <c r="F130" s="26">
        <v>50</v>
      </c>
      <c r="G130" s="165" t="str">
        <f t="shared" si="5"/>
        <v>Fail</v>
      </c>
      <c r="H130" s="28">
        <v>64</v>
      </c>
      <c r="I130" s="166" t="s">
        <v>29</v>
      </c>
      <c r="J130" s="28"/>
    </row>
    <row r="131" spans="1:10" x14ac:dyDescent="0.25">
      <c r="A131" s="164">
        <v>43204</v>
      </c>
      <c r="B131" s="28" t="s">
        <v>27</v>
      </c>
      <c r="C131" s="26">
        <v>28</v>
      </c>
      <c r="D131" s="26">
        <v>112</v>
      </c>
      <c r="E131" s="26">
        <f>IF(D131="","",(D131-C131))</f>
        <v>84</v>
      </c>
      <c r="F131" s="26">
        <v>50</v>
      </c>
      <c r="G131" s="165" t="str">
        <f>IF(E131="","",IF(E131&lt;50,"Pass","Fail"))</f>
        <v>Fail</v>
      </c>
      <c r="H131" s="28">
        <v>64</v>
      </c>
      <c r="I131" s="166" t="s">
        <v>29</v>
      </c>
      <c r="J131" s="28"/>
    </row>
    <row r="132" spans="1:10" x14ac:dyDescent="0.25">
      <c r="A132" s="164">
        <v>43204</v>
      </c>
      <c r="B132" s="28" t="s">
        <v>27</v>
      </c>
      <c r="C132" s="26">
        <v>32</v>
      </c>
      <c r="D132" s="26">
        <v>29</v>
      </c>
      <c r="E132" s="26">
        <f t="shared" si="4"/>
        <v>-3</v>
      </c>
      <c r="F132" s="26">
        <v>50</v>
      </c>
      <c r="G132" s="165" t="str">
        <f t="shared" si="5"/>
        <v>Pass</v>
      </c>
      <c r="H132" s="27">
        <v>121</v>
      </c>
      <c r="I132" s="166" t="s">
        <v>112</v>
      </c>
      <c r="J132" s="28" t="s">
        <v>113</v>
      </c>
    </row>
    <row r="133" spans="1:10" x14ac:dyDescent="0.25">
      <c r="A133" s="164">
        <v>43208</v>
      </c>
      <c r="B133" s="28" t="s">
        <v>27</v>
      </c>
      <c r="C133" s="26">
        <v>19</v>
      </c>
      <c r="D133" s="26">
        <v>22</v>
      </c>
      <c r="E133" s="26">
        <f>IF(D133="","",(D133-C133))</f>
        <v>3</v>
      </c>
      <c r="F133" s="26">
        <v>50</v>
      </c>
      <c r="G133" s="165" t="str">
        <f>IF(E133="","",IF(E133&lt;50,"Pass","Fail"))</f>
        <v>Pass</v>
      </c>
      <c r="H133" s="27">
        <v>74</v>
      </c>
      <c r="I133" s="166" t="s">
        <v>114</v>
      </c>
      <c r="J133" s="28"/>
    </row>
    <row r="134" spans="1:10" x14ac:dyDescent="0.25">
      <c r="A134" s="164">
        <v>43215</v>
      </c>
      <c r="B134" s="28" t="s">
        <v>27</v>
      </c>
      <c r="C134" s="26">
        <v>27</v>
      </c>
      <c r="D134" s="26">
        <v>70</v>
      </c>
      <c r="E134" s="26">
        <f t="shared" si="4"/>
        <v>43</v>
      </c>
      <c r="F134" s="26">
        <v>50</v>
      </c>
      <c r="G134" s="165" t="str">
        <f t="shared" si="5"/>
        <v>Pass</v>
      </c>
      <c r="H134" s="27">
        <v>74</v>
      </c>
      <c r="I134" s="166" t="s">
        <v>115</v>
      </c>
      <c r="J134" s="28" t="s">
        <v>116</v>
      </c>
    </row>
    <row r="135" spans="1:10" x14ac:dyDescent="0.25">
      <c r="A135" s="164">
        <v>43220</v>
      </c>
      <c r="B135" s="28" t="s">
        <v>27</v>
      </c>
      <c r="C135" s="26">
        <v>14</v>
      </c>
      <c r="D135" s="26">
        <v>19</v>
      </c>
      <c r="E135" s="26">
        <f t="shared" si="4"/>
        <v>5</v>
      </c>
      <c r="F135" s="26">
        <v>50</v>
      </c>
      <c r="G135" s="165" t="str">
        <f t="shared" si="5"/>
        <v>Pass</v>
      </c>
      <c r="H135" s="27">
        <v>1519</v>
      </c>
      <c r="I135" s="166"/>
      <c r="J135" s="28" t="s">
        <v>116</v>
      </c>
    </row>
    <row r="136" spans="1:10" x14ac:dyDescent="0.25">
      <c r="A136" s="164">
        <v>43224</v>
      </c>
      <c r="B136" s="28" t="s">
        <v>27</v>
      </c>
      <c r="C136" s="26">
        <v>25</v>
      </c>
      <c r="D136" s="26">
        <v>68</v>
      </c>
      <c r="E136" s="26">
        <f t="shared" si="4"/>
        <v>43</v>
      </c>
      <c r="F136" s="26">
        <v>50</v>
      </c>
      <c r="G136" s="165" t="str">
        <f t="shared" si="5"/>
        <v>Pass</v>
      </c>
      <c r="H136" s="27">
        <v>1159</v>
      </c>
      <c r="I136" s="166" t="s">
        <v>117</v>
      </c>
      <c r="J136" s="28" t="s">
        <v>116</v>
      </c>
    </row>
    <row r="137" spans="1:10" x14ac:dyDescent="0.25">
      <c r="A137" s="164">
        <v>43224</v>
      </c>
      <c r="B137" s="28" t="s">
        <v>27</v>
      </c>
      <c r="C137" s="26">
        <v>22</v>
      </c>
      <c r="D137" s="26">
        <v>35</v>
      </c>
      <c r="E137" s="26">
        <f t="shared" si="4"/>
        <v>13</v>
      </c>
      <c r="F137" s="26">
        <v>50</v>
      </c>
      <c r="G137" s="165" t="str">
        <f t="shared" si="5"/>
        <v>Pass</v>
      </c>
      <c r="H137" s="27">
        <v>1335</v>
      </c>
      <c r="I137" s="166" t="s">
        <v>118</v>
      </c>
      <c r="J137" s="28"/>
    </row>
    <row r="138" spans="1:10" x14ac:dyDescent="0.25">
      <c r="A138" s="164">
        <v>43230</v>
      </c>
      <c r="B138" s="28" t="s">
        <v>27</v>
      </c>
      <c r="C138" s="26">
        <v>29</v>
      </c>
      <c r="D138" s="26">
        <v>45</v>
      </c>
      <c r="E138" s="26">
        <f t="shared" si="4"/>
        <v>16</v>
      </c>
      <c r="F138" s="26">
        <v>50</v>
      </c>
      <c r="G138" s="165" t="str">
        <f t="shared" si="5"/>
        <v>Pass</v>
      </c>
      <c r="H138" s="27">
        <v>1335</v>
      </c>
      <c r="I138" s="166" t="s">
        <v>119</v>
      </c>
      <c r="J138" s="28"/>
    </row>
    <row r="139" spans="1:10" x14ac:dyDescent="0.25">
      <c r="A139" s="164">
        <v>43234</v>
      </c>
      <c r="B139" s="28" t="s">
        <v>27</v>
      </c>
      <c r="C139" s="26">
        <v>24</v>
      </c>
      <c r="D139" s="26">
        <v>29</v>
      </c>
      <c r="E139" s="26">
        <f t="shared" si="4"/>
        <v>5</v>
      </c>
      <c r="F139" s="26">
        <v>50</v>
      </c>
      <c r="G139" s="165" t="str">
        <f t="shared" si="5"/>
        <v>Pass</v>
      </c>
      <c r="H139" s="27">
        <v>1335</v>
      </c>
      <c r="I139" s="166" t="s">
        <v>120</v>
      </c>
      <c r="J139" s="28"/>
    </row>
    <row r="140" spans="1:10" x14ac:dyDescent="0.25">
      <c r="A140" s="164">
        <v>43237</v>
      </c>
      <c r="B140" s="28" t="s">
        <v>27</v>
      </c>
      <c r="C140" s="26">
        <v>25</v>
      </c>
      <c r="D140" s="26">
        <v>39</v>
      </c>
      <c r="E140" s="26">
        <f t="shared" si="4"/>
        <v>14</v>
      </c>
      <c r="F140" s="26">
        <v>50</v>
      </c>
      <c r="G140" s="165" t="str">
        <f t="shared" si="5"/>
        <v>Pass</v>
      </c>
      <c r="H140" s="27">
        <v>121</v>
      </c>
      <c r="I140" s="166" t="s">
        <v>121</v>
      </c>
      <c r="J140" s="28" t="s">
        <v>116</v>
      </c>
    </row>
    <row r="141" spans="1:10" x14ac:dyDescent="0.25">
      <c r="A141" s="164">
        <v>43241</v>
      </c>
      <c r="B141" s="28" t="s">
        <v>27</v>
      </c>
      <c r="C141" s="26">
        <v>50</v>
      </c>
      <c r="D141" s="26">
        <v>38</v>
      </c>
      <c r="E141" s="26">
        <f>IF(D141="","",(D141-C141))</f>
        <v>-12</v>
      </c>
      <c r="F141" s="26">
        <v>50</v>
      </c>
      <c r="G141" s="165" t="str">
        <f>IF(E141="","",IF(E141&lt;50,"Pass","Fail"))</f>
        <v>Pass</v>
      </c>
      <c r="H141" s="27">
        <v>102</v>
      </c>
      <c r="I141" s="166" t="s">
        <v>122</v>
      </c>
      <c r="J141" s="28" t="s">
        <v>116</v>
      </c>
    </row>
    <row r="142" spans="1:10" x14ac:dyDescent="0.25">
      <c r="A142" s="164">
        <v>43244</v>
      </c>
      <c r="B142" s="28" t="s">
        <v>27</v>
      </c>
      <c r="C142" s="26">
        <v>32</v>
      </c>
      <c r="D142" s="26">
        <v>99</v>
      </c>
      <c r="E142" s="26">
        <f>IF(D142="","",(D142-C142))</f>
        <v>67</v>
      </c>
      <c r="F142" s="26">
        <v>50</v>
      </c>
      <c r="G142" s="165" t="str">
        <f>IF(E142="","",IF(E142&lt;50,"Pass","Fail"))</f>
        <v>Fail</v>
      </c>
      <c r="H142" s="28">
        <v>1159</v>
      </c>
      <c r="I142" s="166" t="s">
        <v>123</v>
      </c>
      <c r="J142" s="28" t="s">
        <v>116</v>
      </c>
    </row>
    <row r="143" spans="1:10" x14ac:dyDescent="0.25">
      <c r="A143" s="164">
        <v>43244</v>
      </c>
      <c r="B143" s="28" t="s">
        <v>27</v>
      </c>
      <c r="C143" s="26">
        <v>18</v>
      </c>
      <c r="D143" s="26">
        <v>32</v>
      </c>
      <c r="E143" s="26">
        <f t="shared" si="4"/>
        <v>14</v>
      </c>
      <c r="F143" s="26">
        <v>50</v>
      </c>
      <c r="G143" s="165" t="str">
        <f t="shared" si="5"/>
        <v>Pass</v>
      </c>
      <c r="H143" s="27">
        <v>1340</v>
      </c>
      <c r="I143" s="166" t="s">
        <v>124</v>
      </c>
      <c r="J143" s="28"/>
    </row>
    <row r="144" spans="1:10" x14ac:dyDescent="0.25">
      <c r="A144" s="164">
        <v>43248</v>
      </c>
      <c r="B144" s="28" t="s">
        <v>27</v>
      </c>
      <c r="C144" s="26">
        <v>10</v>
      </c>
      <c r="D144" s="26">
        <v>21</v>
      </c>
      <c r="E144" s="26">
        <f t="shared" si="4"/>
        <v>11</v>
      </c>
      <c r="F144" s="26">
        <v>50</v>
      </c>
      <c r="G144" s="165" t="str">
        <f t="shared" si="5"/>
        <v>Pass</v>
      </c>
      <c r="H144" s="27">
        <v>1428</v>
      </c>
      <c r="I144" s="166" t="s">
        <v>37</v>
      </c>
      <c r="J144" s="28"/>
    </row>
    <row r="145" spans="1:10" x14ac:dyDescent="0.25">
      <c r="A145" s="164">
        <v>43252</v>
      </c>
      <c r="B145" s="28" t="s">
        <v>27</v>
      </c>
      <c r="C145" s="26">
        <v>3</v>
      </c>
      <c r="D145" s="26">
        <v>84</v>
      </c>
      <c r="E145" s="26">
        <f t="shared" si="4"/>
        <v>81</v>
      </c>
      <c r="F145" s="26">
        <v>50</v>
      </c>
      <c r="G145" s="165" t="str">
        <f t="shared" si="5"/>
        <v>Fail</v>
      </c>
      <c r="H145" s="28">
        <v>1428</v>
      </c>
      <c r="I145" s="166" t="s">
        <v>37</v>
      </c>
      <c r="J145" s="28"/>
    </row>
    <row r="146" spans="1:10" x14ac:dyDescent="0.25">
      <c r="A146" s="164">
        <v>43252</v>
      </c>
      <c r="B146" s="28" t="s">
        <v>27</v>
      </c>
      <c r="C146" s="26">
        <v>9</v>
      </c>
      <c r="D146" s="26">
        <v>115</v>
      </c>
      <c r="E146" s="26">
        <f t="shared" si="4"/>
        <v>106</v>
      </c>
      <c r="F146" s="26">
        <v>50</v>
      </c>
      <c r="G146" s="165" t="str">
        <f t="shared" si="5"/>
        <v>Fail</v>
      </c>
      <c r="H146" s="28">
        <v>1428</v>
      </c>
      <c r="I146" s="166" t="s">
        <v>37</v>
      </c>
      <c r="J146" s="28"/>
    </row>
    <row r="147" spans="1:10" x14ac:dyDescent="0.25">
      <c r="A147" s="164">
        <v>43252</v>
      </c>
      <c r="B147" s="28" t="s">
        <v>27</v>
      </c>
      <c r="C147" s="26">
        <v>4</v>
      </c>
      <c r="D147" s="26">
        <v>18</v>
      </c>
      <c r="E147" s="26">
        <f t="shared" si="4"/>
        <v>14</v>
      </c>
      <c r="F147" s="26">
        <v>50</v>
      </c>
      <c r="G147" s="165" t="str">
        <f t="shared" si="5"/>
        <v>Pass</v>
      </c>
      <c r="H147" s="27">
        <v>1428</v>
      </c>
      <c r="I147" s="166" t="s">
        <v>83</v>
      </c>
      <c r="J147" s="28"/>
    </row>
    <row r="148" spans="1:10" x14ac:dyDescent="0.25">
      <c r="A148" s="164">
        <v>43256</v>
      </c>
      <c r="B148" s="28" t="s">
        <v>27</v>
      </c>
      <c r="C148" s="26">
        <v>11</v>
      </c>
      <c r="D148" s="26">
        <v>18</v>
      </c>
      <c r="E148" s="26">
        <f>IF(D148="","",(D148-C148))</f>
        <v>7</v>
      </c>
      <c r="F148" s="26">
        <v>50</v>
      </c>
      <c r="G148" s="165" t="str">
        <f>IF(E148="","",IF(E148&lt;50,"Pass","Fail"))</f>
        <v>Pass</v>
      </c>
      <c r="H148" s="27">
        <v>1335</v>
      </c>
      <c r="I148" s="166" t="s">
        <v>125</v>
      </c>
      <c r="J148" s="28"/>
    </row>
    <row r="149" spans="1:10" x14ac:dyDescent="0.25">
      <c r="A149" s="164">
        <v>43259</v>
      </c>
      <c r="B149" s="28" t="s">
        <v>27</v>
      </c>
      <c r="C149" s="26">
        <v>7</v>
      </c>
      <c r="D149" s="26">
        <v>12</v>
      </c>
      <c r="E149" s="26">
        <f t="shared" si="4"/>
        <v>5</v>
      </c>
      <c r="F149" s="26">
        <v>50</v>
      </c>
      <c r="G149" s="165" t="str">
        <f t="shared" si="5"/>
        <v>Pass</v>
      </c>
      <c r="H149" s="27">
        <v>1335</v>
      </c>
      <c r="I149" s="166" t="s">
        <v>126</v>
      </c>
      <c r="J149" s="28"/>
    </row>
    <row r="150" spans="1:10" x14ac:dyDescent="0.25">
      <c r="A150" s="164">
        <v>43262</v>
      </c>
      <c r="B150" s="28" t="s">
        <v>27</v>
      </c>
      <c r="C150" s="26">
        <v>7</v>
      </c>
      <c r="D150" s="26">
        <v>9</v>
      </c>
      <c r="E150" s="26">
        <f t="shared" si="4"/>
        <v>2</v>
      </c>
      <c r="F150" s="26">
        <v>50</v>
      </c>
      <c r="G150" s="165" t="str">
        <f t="shared" si="5"/>
        <v>Pass</v>
      </c>
      <c r="H150" s="27">
        <v>1159</v>
      </c>
      <c r="I150" s="166" t="s">
        <v>127</v>
      </c>
      <c r="J150" s="28"/>
    </row>
    <row r="151" spans="1:10" x14ac:dyDescent="0.25">
      <c r="A151" s="164">
        <v>43266</v>
      </c>
      <c r="B151" s="28" t="s">
        <v>27</v>
      </c>
      <c r="C151" s="26">
        <v>20</v>
      </c>
      <c r="D151" s="26">
        <v>18</v>
      </c>
      <c r="E151" s="26">
        <f t="shared" si="4"/>
        <v>-2</v>
      </c>
      <c r="F151" s="26">
        <v>50</v>
      </c>
      <c r="G151" s="165" t="str">
        <f t="shared" si="5"/>
        <v>Pass</v>
      </c>
      <c r="H151" s="27">
        <v>121</v>
      </c>
      <c r="I151" s="166" t="s">
        <v>128</v>
      </c>
      <c r="J151" s="28"/>
    </row>
    <row r="152" spans="1:10" x14ac:dyDescent="0.25">
      <c r="A152" s="164">
        <v>43270</v>
      </c>
      <c r="B152" s="28" t="s">
        <v>27</v>
      </c>
      <c r="C152" s="26">
        <v>25</v>
      </c>
      <c r="D152" s="26">
        <v>28</v>
      </c>
      <c r="E152" s="26">
        <f>IF(D152="","",(D152-C152))</f>
        <v>3</v>
      </c>
      <c r="F152" s="26">
        <v>50</v>
      </c>
      <c r="G152" s="165" t="str">
        <f>IF(E152="","",IF(E152&lt;50,"Pass","Fail"))</f>
        <v>Pass</v>
      </c>
      <c r="H152" s="27">
        <v>1159</v>
      </c>
      <c r="I152" s="166" t="s">
        <v>129</v>
      </c>
      <c r="J152" s="28"/>
    </row>
    <row r="153" spans="1:10" x14ac:dyDescent="0.25">
      <c r="A153" s="164">
        <v>43276</v>
      </c>
      <c r="B153" s="28" t="s">
        <v>27</v>
      </c>
      <c r="C153" s="26">
        <v>12</v>
      </c>
      <c r="D153" s="26">
        <v>19</v>
      </c>
      <c r="E153" s="26">
        <f>IF(D153="","",(D153-C153))</f>
        <v>7</v>
      </c>
      <c r="F153" s="26">
        <v>50</v>
      </c>
      <c r="G153" s="165" t="str">
        <f>IF(E153="","",IF(E153&lt;50,"Pass","Fail"))</f>
        <v>Pass</v>
      </c>
      <c r="H153" s="27">
        <v>1340</v>
      </c>
      <c r="I153" s="166" t="s">
        <v>130</v>
      </c>
      <c r="J153" s="28"/>
    </row>
    <row r="154" spans="1:10" x14ac:dyDescent="0.25">
      <c r="A154" s="164">
        <v>43279</v>
      </c>
      <c r="B154" s="28" t="s">
        <v>27</v>
      </c>
      <c r="C154" s="26">
        <v>14</v>
      </c>
      <c r="D154" s="26">
        <v>17</v>
      </c>
      <c r="E154" s="26">
        <f t="shared" si="4"/>
        <v>3</v>
      </c>
      <c r="F154" s="26">
        <v>50</v>
      </c>
      <c r="G154" s="165" t="str">
        <f t="shared" si="5"/>
        <v>Pass</v>
      </c>
      <c r="H154" s="27">
        <v>121</v>
      </c>
      <c r="I154" s="166" t="s">
        <v>131</v>
      </c>
      <c r="J154" s="28"/>
    </row>
    <row r="155" spans="1:10" x14ac:dyDescent="0.25">
      <c r="A155" s="164">
        <v>43283</v>
      </c>
      <c r="B155" s="28" t="s">
        <v>27</v>
      </c>
      <c r="C155" s="26">
        <v>24</v>
      </c>
      <c r="D155" s="26">
        <v>39</v>
      </c>
      <c r="E155" s="26">
        <f t="shared" si="4"/>
        <v>15</v>
      </c>
      <c r="F155" s="26">
        <v>50</v>
      </c>
      <c r="G155" s="165" t="str">
        <f t="shared" si="5"/>
        <v>Pass</v>
      </c>
      <c r="H155" s="27">
        <v>1340</v>
      </c>
      <c r="I155" s="166" t="s">
        <v>132</v>
      </c>
      <c r="J155" s="28"/>
    </row>
    <row r="156" spans="1:10" x14ac:dyDescent="0.25">
      <c r="A156" s="164">
        <v>43289</v>
      </c>
      <c r="B156" s="28" t="s">
        <v>27</v>
      </c>
      <c r="C156" s="26">
        <v>65</v>
      </c>
      <c r="D156" s="26">
        <v>193</v>
      </c>
      <c r="E156" s="26">
        <f t="shared" si="4"/>
        <v>128</v>
      </c>
      <c r="F156" s="26">
        <v>50</v>
      </c>
      <c r="G156" s="165" t="str">
        <f t="shared" si="5"/>
        <v>Fail</v>
      </c>
      <c r="H156" s="28">
        <v>1428</v>
      </c>
      <c r="I156" s="166"/>
      <c r="J156" s="28"/>
    </row>
    <row r="157" spans="1:10" x14ac:dyDescent="0.25">
      <c r="A157" s="164">
        <v>43289</v>
      </c>
      <c r="B157" s="28" t="s">
        <v>27</v>
      </c>
      <c r="C157" s="26">
        <v>40</v>
      </c>
      <c r="D157" s="26">
        <v>56</v>
      </c>
      <c r="E157" s="26">
        <f t="shared" si="4"/>
        <v>16</v>
      </c>
      <c r="F157" s="26">
        <v>50</v>
      </c>
      <c r="G157" s="165" t="str">
        <f t="shared" si="5"/>
        <v>Pass</v>
      </c>
      <c r="H157" s="27">
        <v>1428</v>
      </c>
      <c r="I157" s="166"/>
      <c r="J157" s="28"/>
    </row>
    <row r="158" spans="1:10" x14ac:dyDescent="0.25">
      <c r="A158" s="164">
        <v>43292</v>
      </c>
      <c r="B158" s="28" t="s">
        <v>27</v>
      </c>
      <c r="C158" s="26">
        <v>13</v>
      </c>
      <c r="D158" s="26">
        <v>16</v>
      </c>
      <c r="E158" s="26">
        <f t="shared" si="4"/>
        <v>3</v>
      </c>
      <c r="F158" s="26">
        <v>50</v>
      </c>
      <c r="G158" s="165" t="str">
        <f t="shared" si="5"/>
        <v>Pass</v>
      </c>
      <c r="H158" s="27">
        <v>1335</v>
      </c>
      <c r="I158" s="166" t="s">
        <v>133</v>
      </c>
      <c r="J158" s="28"/>
    </row>
    <row r="159" spans="1:10" x14ac:dyDescent="0.25">
      <c r="A159" s="164">
        <v>43296</v>
      </c>
      <c r="B159" s="28" t="s">
        <v>27</v>
      </c>
      <c r="C159" s="26">
        <v>33</v>
      </c>
      <c r="D159" s="26">
        <v>73</v>
      </c>
      <c r="E159" s="26">
        <f t="shared" si="4"/>
        <v>40</v>
      </c>
      <c r="F159" s="26">
        <v>50</v>
      </c>
      <c r="G159" s="165" t="str">
        <f t="shared" si="5"/>
        <v>Pass</v>
      </c>
      <c r="H159" s="27">
        <v>1335</v>
      </c>
      <c r="I159" s="166" t="s">
        <v>134</v>
      </c>
      <c r="J159" s="28"/>
    </row>
    <row r="160" spans="1:10" x14ac:dyDescent="0.25">
      <c r="A160" s="164">
        <v>43300</v>
      </c>
      <c r="B160" s="28" t="s">
        <v>27</v>
      </c>
      <c r="C160" s="26">
        <v>52</v>
      </c>
      <c r="D160" s="26">
        <v>32</v>
      </c>
      <c r="E160" s="26">
        <f t="shared" si="4"/>
        <v>-20</v>
      </c>
      <c r="F160" s="26">
        <v>50</v>
      </c>
      <c r="G160" s="165" t="str">
        <f t="shared" si="5"/>
        <v>Pass</v>
      </c>
      <c r="H160" s="27">
        <v>1340</v>
      </c>
      <c r="I160" s="166" t="s">
        <v>135</v>
      </c>
      <c r="J160" s="28"/>
    </row>
    <row r="161" spans="1:10" x14ac:dyDescent="0.25">
      <c r="A161" s="164">
        <v>43303</v>
      </c>
      <c r="B161" s="28" t="s">
        <v>27</v>
      </c>
      <c r="C161" s="26">
        <v>46</v>
      </c>
      <c r="D161" s="26">
        <v>52</v>
      </c>
      <c r="E161" s="26">
        <f t="shared" si="4"/>
        <v>6</v>
      </c>
      <c r="F161" s="26">
        <v>50</v>
      </c>
      <c r="G161" s="165" t="str">
        <f t="shared" si="5"/>
        <v>Pass</v>
      </c>
      <c r="H161" s="27">
        <v>1335</v>
      </c>
      <c r="I161" s="166" t="s">
        <v>136</v>
      </c>
      <c r="J161" s="28"/>
    </row>
    <row r="162" spans="1:10" x14ac:dyDescent="0.25">
      <c r="A162" s="164">
        <v>43307</v>
      </c>
      <c r="B162" s="28" t="s">
        <v>27</v>
      </c>
      <c r="C162" s="26">
        <v>21</v>
      </c>
      <c r="D162" s="26">
        <v>20</v>
      </c>
      <c r="E162" s="26">
        <f t="shared" si="4"/>
        <v>-1</v>
      </c>
      <c r="F162" s="26">
        <v>50</v>
      </c>
      <c r="G162" s="165" t="str">
        <f t="shared" si="5"/>
        <v>Pass</v>
      </c>
      <c r="H162" s="27">
        <v>1340</v>
      </c>
      <c r="I162" s="166" t="s">
        <v>137</v>
      </c>
      <c r="J162" s="28"/>
    </row>
    <row r="163" spans="1:10" x14ac:dyDescent="0.25">
      <c r="A163" s="164">
        <v>43311</v>
      </c>
      <c r="B163" s="28" t="s">
        <v>27</v>
      </c>
      <c r="C163" s="26">
        <v>25</v>
      </c>
      <c r="D163" s="26">
        <v>16</v>
      </c>
      <c r="E163" s="26">
        <f t="shared" si="4"/>
        <v>-9</v>
      </c>
      <c r="F163" s="26">
        <v>50</v>
      </c>
      <c r="G163" s="165" t="str">
        <f t="shared" si="5"/>
        <v>Pass</v>
      </c>
      <c r="H163" s="27">
        <v>1340</v>
      </c>
      <c r="I163" s="166" t="s">
        <v>138</v>
      </c>
      <c r="J163" s="28"/>
    </row>
    <row r="164" spans="1:10" x14ac:dyDescent="0.25">
      <c r="A164" s="164">
        <v>43314</v>
      </c>
      <c r="B164" s="28" t="s">
        <v>27</v>
      </c>
      <c r="C164" s="26">
        <v>7</v>
      </c>
      <c r="D164" s="26">
        <v>10</v>
      </c>
      <c r="E164" s="26">
        <f t="shared" si="4"/>
        <v>3</v>
      </c>
      <c r="F164" s="26">
        <v>50</v>
      </c>
      <c r="G164" s="165" t="str">
        <f t="shared" si="5"/>
        <v>Pass</v>
      </c>
      <c r="H164" s="27">
        <v>1340</v>
      </c>
      <c r="I164" s="166" t="s">
        <v>139</v>
      </c>
      <c r="J164" s="28"/>
    </row>
    <row r="165" spans="1:10" x14ac:dyDescent="0.25">
      <c r="A165" s="164">
        <v>43317</v>
      </c>
      <c r="B165" s="28" t="s">
        <v>27</v>
      </c>
      <c r="C165" s="26">
        <v>6</v>
      </c>
      <c r="D165" s="26">
        <v>8</v>
      </c>
      <c r="E165" s="26">
        <f t="shared" si="4"/>
        <v>2</v>
      </c>
      <c r="F165" s="28">
        <v>50</v>
      </c>
      <c r="G165" s="165" t="str">
        <f>IF(E165="","",IF(E165&lt;50,"Pass","Fail"))</f>
        <v>Pass</v>
      </c>
      <c r="H165" s="31">
        <v>1340</v>
      </c>
      <c r="I165" s="28" t="s">
        <v>140</v>
      </c>
      <c r="J165" s="28"/>
    </row>
    <row r="166" spans="1:10" x14ac:dyDescent="0.25">
      <c r="A166" s="164">
        <v>43320</v>
      </c>
      <c r="B166" s="28" t="s">
        <v>27</v>
      </c>
      <c r="C166" s="26">
        <v>6</v>
      </c>
      <c r="D166" s="26">
        <v>10</v>
      </c>
      <c r="E166" s="26">
        <f t="shared" si="4"/>
        <v>4</v>
      </c>
      <c r="F166" s="28">
        <v>50</v>
      </c>
      <c r="G166" s="165" t="str">
        <f t="shared" ref="G166:G184" si="6">IF(E166="","",IF(E166&lt;50,"Pass","Fail"))</f>
        <v>Pass</v>
      </c>
      <c r="H166" s="31">
        <v>1159</v>
      </c>
      <c r="I166" s="28" t="s">
        <v>141</v>
      </c>
      <c r="J166" s="28"/>
    </row>
    <row r="167" spans="1:10" x14ac:dyDescent="0.25">
      <c r="A167" s="164">
        <v>43322</v>
      </c>
      <c r="B167" s="28" t="s">
        <v>27</v>
      </c>
      <c r="C167" s="28">
        <v>62</v>
      </c>
      <c r="D167" s="28">
        <v>108</v>
      </c>
      <c r="E167" s="28">
        <f t="shared" si="4"/>
        <v>46</v>
      </c>
      <c r="F167" s="28">
        <v>50</v>
      </c>
      <c r="G167" s="165" t="str">
        <f t="shared" si="6"/>
        <v>Pass</v>
      </c>
      <c r="H167" s="27">
        <v>1428</v>
      </c>
      <c r="I167" s="28" t="s">
        <v>37</v>
      </c>
      <c r="J167" s="28"/>
    </row>
    <row r="168" spans="1:10" x14ac:dyDescent="0.25">
      <c r="A168" s="164" t="s">
        <v>142</v>
      </c>
      <c r="B168" s="28" t="s">
        <v>27</v>
      </c>
      <c r="C168" s="28">
        <v>19</v>
      </c>
      <c r="D168" s="28">
        <v>43</v>
      </c>
      <c r="E168" s="28">
        <f t="shared" si="4"/>
        <v>24</v>
      </c>
      <c r="F168" s="28">
        <v>50</v>
      </c>
      <c r="G168" s="165" t="str">
        <f t="shared" si="6"/>
        <v>Pass</v>
      </c>
      <c r="H168" s="27">
        <v>1335</v>
      </c>
      <c r="I168" s="28" t="s">
        <v>143</v>
      </c>
      <c r="J168" s="28"/>
    </row>
    <row r="169" spans="1:10" x14ac:dyDescent="0.25">
      <c r="A169" s="164">
        <v>42602</v>
      </c>
      <c r="B169" s="28" t="s">
        <v>27</v>
      </c>
      <c r="C169" s="26">
        <v>10</v>
      </c>
      <c r="D169" s="26">
        <v>17</v>
      </c>
      <c r="E169" s="26">
        <f t="shared" si="4"/>
        <v>7</v>
      </c>
      <c r="F169" s="28">
        <v>50</v>
      </c>
      <c r="G169" s="165" t="str">
        <f t="shared" si="6"/>
        <v>Pass</v>
      </c>
      <c r="H169" s="31">
        <v>1340</v>
      </c>
      <c r="I169" s="28" t="s">
        <v>37</v>
      </c>
      <c r="J169" s="28"/>
    </row>
    <row r="170" spans="1:10" x14ac:dyDescent="0.25">
      <c r="A170" s="164">
        <v>42605</v>
      </c>
      <c r="B170" s="28" t="s">
        <v>27</v>
      </c>
      <c r="C170" s="26">
        <v>15</v>
      </c>
      <c r="D170" s="26">
        <v>22</v>
      </c>
      <c r="E170" s="26">
        <f t="shared" si="4"/>
        <v>7</v>
      </c>
      <c r="F170" s="26">
        <v>50</v>
      </c>
      <c r="G170" s="165" t="str">
        <f t="shared" si="6"/>
        <v>Pass</v>
      </c>
      <c r="H170" s="27">
        <v>1340</v>
      </c>
      <c r="I170" s="28" t="s">
        <v>144</v>
      </c>
      <c r="J170" s="28"/>
    </row>
    <row r="171" spans="1:10" x14ac:dyDescent="0.25">
      <c r="A171" s="164">
        <v>42608</v>
      </c>
      <c r="B171" s="28" t="s">
        <v>27</v>
      </c>
      <c r="C171" s="26">
        <v>44</v>
      </c>
      <c r="D171" s="26">
        <v>38</v>
      </c>
      <c r="E171" s="26">
        <f>IF(D171="","",(D171-C171))</f>
        <v>-6</v>
      </c>
      <c r="F171" s="26">
        <v>50</v>
      </c>
      <c r="G171" s="165" t="str">
        <f>IF(E171="","",IF(E171&lt;50,"Pass","Fail"))</f>
        <v>Pass</v>
      </c>
      <c r="H171" s="27">
        <v>102</v>
      </c>
      <c r="I171" s="28" t="s">
        <v>145</v>
      </c>
      <c r="J171" s="28"/>
    </row>
    <row r="172" spans="1:10" x14ac:dyDescent="0.25">
      <c r="A172" s="164">
        <v>43341</v>
      </c>
      <c r="B172" s="28" t="s">
        <v>27</v>
      </c>
      <c r="C172" s="26">
        <v>57</v>
      </c>
      <c r="D172" s="26">
        <v>70</v>
      </c>
      <c r="E172" s="26">
        <f t="shared" si="4"/>
        <v>13</v>
      </c>
      <c r="F172" s="26">
        <v>50</v>
      </c>
      <c r="G172" s="165" t="str">
        <f t="shared" si="6"/>
        <v>Pass</v>
      </c>
      <c r="H172" s="27">
        <v>121</v>
      </c>
      <c r="I172" s="28" t="s">
        <v>146</v>
      </c>
      <c r="J172" s="28"/>
    </row>
    <row r="173" spans="1:10" x14ac:dyDescent="0.25">
      <c r="A173" s="164">
        <v>43344</v>
      </c>
      <c r="B173" s="28" t="s">
        <v>27</v>
      </c>
      <c r="C173" s="26">
        <v>40</v>
      </c>
      <c r="D173" s="26">
        <v>49</v>
      </c>
      <c r="E173" s="26">
        <f t="shared" si="4"/>
        <v>9</v>
      </c>
      <c r="F173" s="26">
        <v>50</v>
      </c>
      <c r="G173" s="165" t="str">
        <f t="shared" si="6"/>
        <v>Pass</v>
      </c>
      <c r="H173" s="31">
        <v>1335</v>
      </c>
      <c r="I173" s="28" t="s">
        <v>147</v>
      </c>
      <c r="J173" s="28"/>
    </row>
    <row r="174" spans="1:10" x14ac:dyDescent="0.25">
      <c r="A174" s="164">
        <v>43350</v>
      </c>
      <c r="B174" s="28" t="s">
        <v>27</v>
      </c>
      <c r="C174" s="26">
        <v>39</v>
      </c>
      <c r="D174" s="26">
        <v>32</v>
      </c>
      <c r="E174" s="26">
        <f t="shared" si="4"/>
        <v>-7</v>
      </c>
      <c r="F174" s="26">
        <v>50</v>
      </c>
      <c r="G174" s="165" t="str">
        <f t="shared" si="6"/>
        <v>Pass</v>
      </c>
      <c r="H174" s="31">
        <v>1340</v>
      </c>
      <c r="I174" s="28"/>
      <c r="J174" s="28"/>
    </row>
    <row r="175" spans="1:10" x14ac:dyDescent="0.25">
      <c r="A175" s="164">
        <v>43357</v>
      </c>
      <c r="B175" s="28" t="s">
        <v>27</v>
      </c>
      <c r="C175" s="28">
        <v>14</v>
      </c>
      <c r="D175" s="28">
        <v>30</v>
      </c>
      <c r="E175" s="26">
        <f t="shared" si="4"/>
        <v>16</v>
      </c>
      <c r="F175" s="26">
        <v>50</v>
      </c>
      <c r="G175" s="165" t="str">
        <f t="shared" si="6"/>
        <v>Pass</v>
      </c>
      <c r="H175" s="27">
        <v>1335</v>
      </c>
      <c r="I175" s="28" t="s">
        <v>148</v>
      </c>
      <c r="J175" s="28"/>
    </row>
    <row r="176" spans="1:10" x14ac:dyDescent="0.25">
      <c r="A176" s="164">
        <v>43360</v>
      </c>
      <c r="B176" s="28" t="s">
        <v>27</v>
      </c>
      <c r="C176" s="28">
        <v>20</v>
      </c>
      <c r="D176" s="28">
        <v>54</v>
      </c>
      <c r="E176" s="26">
        <f t="shared" si="4"/>
        <v>34</v>
      </c>
      <c r="F176" s="26">
        <v>50</v>
      </c>
      <c r="G176" s="165" t="str">
        <f t="shared" si="6"/>
        <v>Pass</v>
      </c>
      <c r="H176" s="27">
        <v>1340</v>
      </c>
      <c r="I176" s="28"/>
      <c r="J176" s="28"/>
    </row>
    <row r="177" spans="1:10" x14ac:dyDescent="0.25">
      <c r="A177" s="164">
        <v>43363</v>
      </c>
      <c r="B177" s="28" t="s">
        <v>27</v>
      </c>
      <c r="C177" s="26">
        <v>5</v>
      </c>
      <c r="D177" s="26">
        <v>9</v>
      </c>
      <c r="E177" s="26">
        <f t="shared" si="4"/>
        <v>4</v>
      </c>
      <c r="F177" s="26">
        <v>50</v>
      </c>
      <c r="G177" s="165" t="str">
        <f t="shared" si="6"/>
        <v>Pass</v>
      </c>
      <c r="H177" s="31">
        <v>121</v>
      </c>
      <c r="I177" s="170"/>
      <c r="J177" s="28"/>
    </row>
    <row r="178" spans="1:10" x14ac:dyDescent="0.25">
      <c r="A178" s="164">
        <v>43367</v>
      </c>
      <c r="B178" s="28" t="s">
        <v>27</v>
      </c>
      <c r="C178" s="28">
        <v>11</v>
      </c>
      <c r="D178" s="28">
        <v>10</v>
      </c>
      <c r="E178" s="28">
        <f t="shared" si="4"/>
        <v>-1</v>
      </c>
      <c r="F178" s="26">
        <v>50</v>
      </c>
      <c r="G178" s="165" t="str">
        <f t="shared" si="6"/>
        <v>Pass</v>
      </c>
      <c r="H178" s="27">
        <v>1340</v>
      </c>
      <c r="I178" s="28"/>
      <c r="J178" s="28"/>
    </row>
    <row r="179" spans="1:10" x14ac:dyDescent="0.25">
      <c r="A179" s="164">
        <v>43370</v>
      </c>
      <c r="B179" s="28" t="s">
        <v>27</v>
      </c>
      <c r="C179" s="28">
        <v>6</v>
      </c>
      <c r="D179" s="28">
        <v>11</v>
      </c>
      <c r="E179" s="28">
        <f t="shared" si="4"/>
        <v>5</v>
      </c>
      <c r="F179" s="26">
        <v>50</v>
      </c>
      <c r="G179" s="165" t="str">
        <f t="shared" si="6"/>
        <v>Pass</v>
      </c>
      <c r="H179" s="27">
        <v>1340</v>
      </c>
      <c r="I179" s="28"/>
      <c r="J179" s="28"/>
    </row>
    <row r="180" spans="1:10" x14ac:dyDescent="0.25">
      <c r="A180" s="164">
        <v>43373</v>
      </c>
      <c r="B180" s="28" t="s">
        <v>27</v>
      </c>
      <c r="C180" s="28">
        <v>13</v>
      </c>
      <c r="D180" s="28">
        <v>15</v>
      </c>
      <c r="E180" s="28">
        <f t="shared" si="4"/>
        <v>2</v>
      </c>
      <c r="F180" s="26">
        <v>50</v>
      </c>
      <c r="G180" s="165" t="str">
        <f t="shared" si="6"/>
        <v>Pass</v>
      </c>
      <c r="H180" s="27">
        <v>74</v>
      </c>
      <c r="I180" s="28"/>
      <c r="J180" s="28"/>
    </row>
    <row r="181" spans="1:10" x14ac:dyDescent="0.25">
      <c r="A181" s="164">
        <v>43380</v>
      </c>
      <c r="B181" s="28" t="s">
        <v>27</v>
      </c>
      <c r="C181" s="28">
        <v>12</v>
      </c>
      <c r="D181" s="28">
        <v>13</v>
      </c>
      <c r="E181" s="28">
        <f t="shared" si="4"/>
        <v>1</v>
      </c>
      <c r="F181" s="26">
        <v>50</v>
      </c>
      <c r="G181" s="165" t="str">
        <f t="shared" si="6"/>
        <v>Pass</v>
      </c>
      <c r="H181" s="27">
        <v>1428</v>
      </c>
      <c r="I181" s="28"/>
      <c r="J181" s="28"/>
    </row>
    <row r="182" spans="1:10" x14ac:dyDescent="0.25">
      <c r="A182" s="164">
        <v>43381</v>
      </c>
      <c r="B182" s="28" t="s">
        <v>27</v>
      </c>
      <c r="C182" s="28">
        <v>22</v>
      </c>
      <c r="D182" s="28">
        <v>22</v>
      </c>
      <c r="E182" s="28">
        <f t="shared" si="4"/>
        <v>0</v>
      </c>
      <c r="F182" s="26">
        <v>50</v>
      </c>
      <c r="G182" s="165" t="str">
        <f t="shared" si="6"/>
        <v>Pass</v>
      </c>
      <c r="H182" s="27">
        <v>74</v>
      </c>
      <c r="I182" s="28"/>
      <c r="J182" s="28"/>
    </row>
    <row r="183" spans="1:10" x14ac:dyDescent="0.25">
      <c r="A183" s="164">
        <v>43383</v>
      </c>
      <c r="B183" s="28" t="s">
        <v>27</v>
      </c>
      <c r="C183" s="28">
        <v>22</v>
      </c>
      <c r="D183" s="28">
        <v>31</v>
      </c>
      <c r="E183" s="28">
        <f t="shared" si="4"/>
        <v>9</v>
      </c>
      <c r="F183" s="26">
        <v>50</v>
      </c>
      <c r="G183" s="165" t="str">
        <f t="shared" si="6"/>
        <v>Pass</v>
      </c>
      <c r="H183" s="27">
        <v>1340</v>
      </c>
      <c r="I183" s="28"/>
      <c r="J183" s="28"/>
    </row>
    <row r="184" spans="1:10" x14ac:dyDescent="0.25">
      <c r="A184" s="164">
        <v>43387</v>
      </c>
      <c r="B184" s="28" t="s">
        <v>27</v>
      </c>
      <c r="C184" s="28">
        <v>49</v>
      </c>
      <c r="D184" s="28">
        <v>48</v>
      </c>
      <c r="E184" s="28">
        <f t="shared" si="4"/>
        <v>-1</v>
      </c>
      <c r="F184" s="26">
        <v>50</v>
      </c>
      <c r="G184" s="165" t="str">
        <f t="shared" si="6"/>
        <v>Pass</v>
      </c>
      <c r="H184" s="27">
        <v>1340</v>
      </c>
      <c r="I184" s="28"/>
      <c r="J184" s="28"/>
    </row>
    <row r="185" spans="1:10" x14ac:dyDescent="0.25">
      <c r="A185" s="164">
        <v>43390</v>
      </c>
      <c r="B185" s="28" t="s">
        <v>27</v>
      </c>
      <c r="C185" s="28">
        <v>78</v>
      </c>
      <c r="D185" s="28">
        <v>76</v>
      </c>
      <c r="E185" s="28">
        <f>IF(D185="","",(D185-C185))</f>
        <v>-2</v>
      </c>
      <c r="F185" s="26">
        <v>50</v>
      </c>
      <c r="G185" s="165" t="str">
        <f>IF(E185="","",IF(E185&lt;50,"Pass","Fail"))</f>
        <v>Pass</v>
      </c>
      <c r="H185" s="27">
        <v>102</v>
      </c>
      <c r="I185" s="28" t="s">
        <v>149</v>
      </c>
      <c r="J185" s="28"/>
    </row>
    <row r="186" spans="1:10" x14ac:dyDescent="0.25">
      <c r="A186" s="164">
        <v>43394</v>
      </c>
      <c r="B186" s="28" t="s">
        <v>27</v>
      </c>
      <c r="C186" s="28">
        <v>54</v>
      </c>
      <c r="D186" s="28">
        <v>58</v>
      </c>
      <c r="E186" s="28">
        <f>IF(D186="","",(D186-C186))</f>
        <v>4</v>
      </c>
      <c r="F186" s="26">
        <v>50</v>
      </c>
      <c r="G186" s="165" t="str">
        <f>IF(E186="","",IF(E186&lt;50,"Pass","Fail"))</f>
        <v>Pass</v>
      </c>
      <c r="H186" s="27">
        <v>121</v>
      </c>
      <c r="I186" s="28"/>
      <c r="J186" s="28"/>
    </row>
    <row r="187" spans="1:10" x14ac:dyDescent="0.25">
      <c r="A187" s="164">
        <v>43397</v>
      </c>
      <c r="B187" s="28" t="s">
        <v>27</v>
      </c>
      <c r="C187" s="28">
        <v>47</v>
      </c>
      <c r="D187" s="28">
        <v>60</v>
      </c>
      <c r="E187" s="28">
        <f>IF(D187="","",(D187-C187))</f>
        <v>13</v>
      </c>
      <c r="F187" s="26">
        <v>50</v>
      </c>
      <c r="G187" s="165" t="str">
        <f t="shared" ref="G187:G200" si="7">IF(E187="","",IF(E187&lt;50,"Pass","Fail"))</f>
        <v>Pass</v>
      </c>
      <c r="H187" s="27">
        <v>1159</v>
      </c>
      <c r="I187" s="28" t="s">
        <v>150</v>
      </c>
      <c r="J187" s="28"/>
    </row>
    <row r="188" spans="1:10" x14ac:dyDescent="0.25">
      <c r="A188" s="164">
        <v>43401</v>
      </c>
      <c r="B188" s="28" t="s">
        <v>27</v>
      </c>
      <c r="C188" s="170">
        <v>35</v>
      </c>
      <c r="D188" s="170">
        <v>35</v>
      </c>
      <c r="E188" s="170">
        <f>IF(D188="","",(D188-C188))</f>
        <v>0</v>
      </c>
      <c r="F188" s="26">
        <v>50</v>
      </c>
      <c r="G188" s="165" t="str">
        <f t="shared" si="7"/>
        <v>Pass</v>
      </c>
      <c r="H188" s="27">
        <v>1335</v>
      </c>
      <c r="I188" s="28" t="s">
        <v>151</v>
      </c>
      <c r="J188" s="28"/>
    </row>
    <row r="189" spans="1:10" x14ac:dyDescent="0.25">
      <c r="A189" s="164">
        <v>43404</v>
      </c>
      <c r="B189" s="28" t="s">
        <v>27</v>
      </c>
      <c r="C189" s="170">
        <v>35</v>
      </c>
      <c r="D189" s="170">
        <v>53</v>
      </c>
      <c r="E189" s="170">
        <f t="shared" ref="E189:E232" si="8">IF(D189="","",(D189-C189))</f>
        <v>18</v>
      </c>
      <c r="F189" s="26">
        <v>50</v>
      </c>
      <c r="G189" s="165" t="str">
        <f t="shared" si="7"/>
        <v>Pass</v>
      </c>
      <c r="H189" s="27">
        <v>64</v>
      </c>
      <c r="I189" s="28"/>
      <c r="J189" s="28"/>
    </row>
    <row r="190" spans="1:10" x14ac:dyDescent="0.25">
      <c r="A190" s="164">
        <v>43408</v>
      </c>
      <c r="B190" s="28" t="s">
        <v>27</v>
      </c>
      <c r="C190" s="170">
        <v>47</v>
      </c>
      <c r="D190" s="170">
        <v>63</v>
      </c>
      <c r="E190" s="170">
        <f t="shared" si="8"/>
        <v>16</v>
      </c>
      <c r="F190" s="26">
        <v>50</v>
      </c>
      <c r="G190" s="165" t="str">
        <f t="shared" si="7"/>
        <v>Pass</v>
      </c>
      <c r="H190" s="27">
        <v>121</v>
      </c>
      <c r="I190" s="28" t="s">
        <v>152</v>
      </c>
      <c r="J190" s="28"/>
    </row>
    <row r="191" spans="1:10" x14ac:dyDescent="0.25">
      <c r="A191" s="164">
        <v>43412</v>
      </c>
      <c r="B191" s="28" t="s">
        <v>27</v>
      </c>
      <c r="C191" s="28">
        <v>50</v>
      </c>
      <c r="D191" s="28">
        <v>67</v>
      </c>
      <c r="E191" s="28">
        <f t="shared" si="8"/>
        <v>17</v>
      </c>
      <c r="F191" s="26">
        <v>50</v>
      </c>
      <c r="G191" s="165" t="str">
        <f t="shared" si="7"/>
        <v>Pass</v>
      </c>
      <c r="H191" s="27">
        <v>1335</v>
      </c>
      <c r="I191" s="28" t="s">
        <v>153</v>
      </c>
      <c r="J191" s="28"/>
    </row>
    <row r="192" spans="1:10" x14ac:dyDescent="0.25">
      <c r="A192" s="164">
        <v>43445</v>
      </c>
      <c r="B192" s="28" t="s">
        <v>27</v>
      </c>
      <c r="C192" s="28">
        <v>65</v>
      </c>
      <c r="D192" s="28">
        <v>61</v>
      </c>
      <c r="E192" s="28">
        <f t="shared" si="8"/>
        <v>-4</v>
      </c>
      <c r="F192" s="26">
        <v>50</v>
      </c>
      <c r="G192" s="165" t="str">
        <f t="shared" si="7"/>
        <v>Pass</v>
      </c>
      <c r="H192" s="27">
        <v>121</v>
      </c>
      <c r="I192" s="28" t="s">
        <v>154</v>
      </c>
      <c r="J192" s="28"/>
    </row>
    <row r="193" spans="1:10" x14ac:dyDescent="0.25">
      <c r="A193" s="164">
        <v>43424</v>
      </c>
      <c r="B193" s="28" t="s">
        <v>27</v>
      </c>
      <c r="C193" s="28">
        <v>64</v>
      </c>
      <c r="D193" s="28">
        <v>78</v>
      </c>
      <c r="E193" s="28">
        <f t="shared" si="8"/>
        <v>14</v>
      </c>
      <c r="F193" s="26">
        <v>50</v>
      </c>
      <c r="G193" s="165" t="str">
        <f t="shared" si="7"/>
        <v>Pass</v>
      </c>
      <c r="H193" s="27">
        <v>121</v>
      </c>
      <c r="I193" s="28" t="s">
        <v>155</v>
      </c>
      <c r="J193" s="28"/>
    </row>
    <row r="194" spans="1:10" x14ac:dyDescent="0.25">
      <c r="A194" s="164">
        <v>43430</v>
      </c>
      <c r="B194" s="28" t="s">
        <v>27</v>
      </c>
      <c r="C194" s="28">
        <v>33</v>
      </c>
      <c r="D194" s="28">
        <v>58</v>
      </c>
      <c r="E194" s="28">
        <f t="shared" si="8"/>
        <v>25</v>
      </c>
      <c r="F194" s="26">
        <v>50</v>
      </c>
      <c r="G194" s="165" t="str">
        <f t="shared" si="7"/>
        <v>Pass</v>
      </c>
      <c r="H194" s="27">
        <v>1340</v>
      </c>
      <c r="I194" s="28"/>
      <c r="J194" s="28"/>
    </row>
    <row r="195" spans="1:10" x14ac:dyDescent="0.25">
      <c r="A195" s="164">
        <v>43202</v>
      </c>
      <c r="B195" s="28" t="s">
        <v>27</v>
      </c>
      <c r="C195" s="28">
        <v>58</v>
      </c>
      <c r="D195" s="28">
        <v>69</v>
      </c>
      <c r="E195" s="28">
        <f t="shared" si="8"/>
        <v>11</v>
      </c>
      <c r="F195" s="26">
        <v>50</v>
      </c>
      <c r="G195" s="165" t="str">
        <f t="shared" si="7"/>
        <v>Pass</v>
      </c>
      <c r="H195" s="27">
        <v>74</v>
      </c>
      <c r="I195" s="28"/>
      <c r="J195" s="28"/>
    </row>
    <row r="196" spans="1:10" x14ac:dyDescent="0.25">
      <c r="A196" s="164">
        <v>43451</v>
      </c>
      <c r="B196" s="28" t="s">
        <v>27</v>
      </c>
      <c r="C196" s="28">
        <v>20</v>
      </c>
      <c r="D196" s="28">
        <v>112</v>
      </c>
      <c r="E196" s="28">
        <f t="shared" si="8"/>
        <v>92</v>
      </c>
      <c r="F196" s="26">
        <v>50</v>
      </c>
      <c r="G196" s="165" t="str">
        <f t="shared" si="7"/>
        <v>Fail</v>
      </c>
      <c r="H196" s="27">
        <v>1340</v>
      </c>
      <c r="I196" s="28" t="s">
        <v>50</v>
      </c>
      <c r="J196" s="28" t="s">
        <v>276</v>
      </c>
    </row>
    <row r="197" spans="1:10" x14ac:dyDescent="0.25">
      <c r="A197" s="164">
        <v>43451</v>
      </c>
      <c r="B197" s="28" t="s">
        <v>27</v>
      </c>
      <c r="C197" s="28">
        <v>12</v>
      </c>
      <c r="D197" s="28">
        <v>49</v>
      </c>
      <c r="E197" s="28">
        <f t="shared" si="8"/>
        <v>37</v>
      </c>
      <c r="F197" s="26">
        <v>50</v>
      </c>
      <c r="G197" s="165" t="str">
        <f t="shared" si="7"/>
        <v>Pass</v>
      </c>
      <c r="H197" s="27">
        <v>1340</v>
      </c>
      <c r="I197" s="28" t="s">
        <v>50</v>
      </c>
      <c r="J197" s="28" t="s">
        <v>277</v>
      </c>
    </row>
    <row r="198" spans="1:10" x14ac:dyDescent="0.25">
      <c r="A198" s="164">
        <v>43460</v>
      </c>
      <c r="B198" s="28" t="s">
        <v>27</v>
      </c>
      <c r="C198" s="28">
        <v>28</v>
      </c>
      <c r="D198" s="28">
        <v>105</v>
      </c>
      <c r="E198" s="28">
        <f t="shared" si="8"/>
        <v>77</v>
      </c>
      <c r="F198" s="26">
        <v>50</v>
      </c>
      <c r="G198" s="165" t="str">
        <f t="shared" si="7"/>
        <v>Fail</v>
      </c>
      <c r="H198" s="27">
        <v>74</v>
      </c>
      <c r="I198" s="28" t="s">
        <v>29</v>
      </c>
      <c r="J198" s="28"/>
    </row>
    <row r="199" spans="1:10" x14ac:dyDescent="0.25">
      <c r="A199" s="164">
        <v>43460</v>
      </c>
      <c r="B199" s="28" t="s">
        <v>27</v>
      </c>
      <c r="C199" s="28">
        <v>8</v>
      </c>
      <c r="D199" s="28">
        <v>62</v>
      </c>
      <c r="E199" s="28">
        <f t="shared" si="8"/>
        <v>54</v>
      </c>
      <c r="F199" s="26">
        <v>50</v>
      </c>
      <c r="G199" s="165" t="str">
        <f t="shared" si="7"/>
        <v>Fail</v>
      </c>
      <c r="H199" s="27">
        <v>102</v>
      </c>
      <c r="I199" s="28" t="s">
        <v>156</v>
      </c>
      <c r="J199" s="28"/>
    </row>
    <row r="200" spans="1:10" x14ac:dyDescent="0.25">
      <c r="A200" s="164">
        <v>43461</v>
      </c>
      <c r="B200" s="28" t="s">
        <v>27</v>
      </c>
      <c r="C200" s="28">
        <v>10</v>
      </c>
      <c r="D200" s="28">
        <v>31</v>
      </c>
      <c r="E200" s="28">
        <f t="shared" si="8"/>
        <v>21</v>
      </c>
      <c r="F200" s="26">
        <v>50</v>
      </c>
      <c r="G200" s="165" t="str">
        <f t="shared" si="7"/>
        <v>Pass</v>
      </c>
      <c r="H200" s="27">
        <v>1340</v>
      </c>
      <c r="I200" s="28"/>
      <c r="J200" s="28" t="s">
        <v>37</v>
      </c>
    </row>
    <row r="201" spans="1:10" x14ac:dyDescent="0.25">
      <c r="A201" s="164">
        <v>43465</v>
      </c>
      <c r="B201" s="28" t="s">
        <v>27</v>
      </c>
      <c r="C201" s="28">
        <v>34</v>
      </c>
      <c r="D201" s="28">
        <v>83</v>
      </c>
      <c r="E201" s="28">
        <f t="shared" si="8"/>
        <v>49</v>
      </c>
      <c r="F201" s="26">
        <v>50</v>
      </c>
      <c r="G201" s="165" t="str">
        <f t="shared" ref="G201:G232" si="9">IF(E201="","",IF(E201&lt;=50,"Pass","Fail"))</f>
        <v>Pass</v>
      </c>
      <c r="H201" s="27">
        <v>121</v>
      </c>
      <c r="I201" s="28" t="s">
        <v>157</v>
      </c>
      <c r="J201" s="28"/>
    </row>
    <row r="202" spans="1:10" x14ac:dyDescent="0.25">
      <c r="A202" s="164">
        <v>43476</v>
      </c>
      <c r="B202" s="28" t="s">
        <v>27</v>
      </c>
      <c r="C202" s="28">
        <v>29</v>
      </c>
      <c r="D202" s="28">
        <v>27</v>
      </c>
      <c r="E202" s="28">
        <f t="shared" si="8"/>
        <v>-2</v>
      </c>
      <c r="F202" s="26">
        <v>50</v>
      </c>
      <c r="G202" s="165" t="str">
        <f t="shared" si="9"/>
        <v>Pass</v>
      </c>
      <c r="H202" s="27">
        <v>74</v>
      </c>
      <c r="I202" s="28"/>
      <c r="J202" s="33"/>
    </row>
    <row r="203" spans="1:10" x14ac:dyDescent="0.25">
      <c r="A203" s="164">
        <v>43476</v>
      </c>
      <c r="B203" s="28" t="s">
        <v>27</v>
      </c>
      <c r="C203" s="28">
        <v>17</v>
      </c>
      <c r="D203" s="28">
        <v>26</v>
      </c>
      <c r="E203" s="28">
        <f t="shared" si="8"/>
        <v>9</v>
      </c>
      <c r="F203" s="26">
        <v>50</v>
      </c>
      <c r="G203" s="165" t="str">
        <f t="shared" si="9"/>
        <v>Pass</v>
      </c>
      <c r="H203" s="27">
        <v>1340</v>
      </c>
      <c r="I203" s="28"/>
      <c r="J203" s="33"/>
    </row>
    <row r="204" spans="1:10" x14ac:dyDescent="0.25">
      <c r="A204" s="164">
        <v>43480</v>
      </c>
      <c r="B204" s="28" t="s">
        <v>27</v>
      </c>
      <c r="C204" s="28">
        <v>36</v>
      </c>
      <c r="D204" s="28">
        <v>20</v>
      </c>
      <c r="E204" s="28">
        <f t="shared" si="8"/>
        <v>-16</v>
      </c>
      <c r="F204" s="26">
        <v>50</v>
      </c>
      <c r="G204" s="165" t="str">
        <f t="shared" si="9"/>
        <v>Pass</v>
      </c>
      <c r="H204" s="27">
        <v>1340</v>
      </c>
      <c r="I204" s="28"/>
      <c r="J204" s="33"/>
    </row>
    <row r="205" spans="1:10" x14ac:dyDescent="0.25">
      <c r="A205" s="164">
        <v>43486</v>
      </c>
      <c r="B205" s="28" t="s">
        <v>27</v>
      </c>
      <c r="C205" s="28">
        <v>17</v>
      </c>
      <c r="D205" s="28">
        <v>31</v>
      </c>
      <c r="E205" s="28">
        <f t="shared" si="8"/>
        <v>14</v>
      </c>
      <c r="F205" s="26">
        <v>50</v>
      </c>
      <c r="G205" s="165" t="str">
        <f t="shared" si="9"/>
        <v>Pass</v>
      </c>
      <c r="H205" s="27">
        <v>1428</v>
      </c>
      <c r="I205" s="28"/>
      <c r="J205" s="33"/>
    </row>
    <row r="206" spans="1:10" x14ac:dyDescent="0.25">
      <c r="A206" s="164">
        <v>43489</v>
      </c>
      <c r="B206" s="28" t="s">
        <v>27</v>
      </c>
      <c r="C206" s="28">
        <v>36</v>
      </c>
      <c r="D206" s="28">
        <v>45</v>
      </c>
      <c r="E206" s="28">
        <f t="shared" si="8"/>
        <v>9</v>
      </c>
      <c r="F206" s="26">
        <v>50</v>
      </c>
      <c r="G206" s="165" t="str">
        <f t="shared" si="9"/>
        <v>Pass</v>
      </c>
      <c r="H206" s="27">
        <v>1340</v>
      </c>
      <c r="I206" s="28"/>
      <c r="J206" s="33"/>
    </row>
    <row r="207" spans="1:10" x14ac:dyDescent="0.25">
      <c r="A207" s="164">
        <v>43497</v>
      </c>
      <c r="B207" s="28" t="s">
        <v>27</v>
      </c>
      <c r="C207" s="28">
        <v>11</v>
      </c>
      <c r="D207" s="28">
        <v>25</v>
      </c>
      <c r="E207" s="28">
        <f t="shared" si="8"/>
        <v>14</v>
      </c>
      <c r="F207" s="26">
        <v>50</v>
      </c>
      <c r="G207" s="165" t="str">
        <f t="shared" si="9"/>
        <v>Pass</v>
      </c>
      <c r="H207" s="27">
        <v>1159</v>
      </c>
      <c r="I207" s="28" t="s">
        <v>158</v>
      </c>
      <c r="J207" s="33"/>
    </row>
    <row r="208" spans="1:10" x14ac:dyDescent="0.25">
      <c r="A208" s="164">
        <v>43503</v>
      </c>
      <c r="B208" s="28" t="s">
        <v>27</v>
      </c>
      <c r="C208" s="170">
        <v>28</v>
      </c>
      <c r="D208" s="170">
        <v>22</v>
      </c>
      <c r="E208" s="170">
        <f t="shared" si="8"/>
        <v>-6</v>
      </c>
      <c r="F208" s="28">
        <v>50</v>
      </c>
      <c r="G208" s="165" t="str">
        <f t="shared" si="9"/>
        <v>Pass</v>
      </c>
      <c r="H208" s="32">
        <v>1340</v>
      </c>
      <c r="I208" s="33"/>
      <c r="J208" s="33"/>
    </row>
    <row r="209" spans="1:10" x14ac:dyDescent="0.25">
      <c r="A209" s="164">
        <v>43507</v>
      </c>
      <c r="B209" s="28" t="s">
        <v>27</v>
      </c>
      <c r="C209" s="28">
        <v>12</v>
      </c>
      <c r="D209" s="28">
        <v>28</v>
      </c>
      <c r="E209" s="28">
        <f t="shared" si="8"/>
        <v>16</v>
      </c>
      <c r="F209" s="26">
        <v>50</v>
      </c>
      <c r="G209" s="165" t="str">
        <f t="shared" si="9"/>
        <v>Pass</v>
      </c>
      <c r="H209" s="27">
        <v>1159</v>
      </c>
      <c r="I209" s="171" t="s">
        <v>159</v>
      </c>
      <c r="J209" s="33"/>
    </row>
    <row r="210" spans="1:10" x14ac:dyDescent="0.25">
      <c r="A210" s="164">
        <v>43510</v>
      </c>
      <c r="B210" s="28" t="s">
        <v>27</v>
      </c>
      <c r="C210" s="170">
        <v>16</v>
      </c>
      <c r="D210" s="170">
        <v>23</v>
      </c>
      <c r="E210" s="170">
        <f t="shared" si="8"/>
        <v>7</v>
      </c>
      <c r="F210" s="26">
        <v>50</v>
      </c>
      <c r="G210" s="165" t="str">
        <f t="shared" si="9"/>
        <v>Pass</v>
      </c>
      <c r="H210" s="27">
        <v>121</v>
      </c>
      <c r="I210" s="33"/>
      <c r="J210" s="33"/>
    </row>
    <row r="211" spans="1:10" x14ac:dyDescent="0.25">
      <c r="A211" s="164">
        <v>43514</v>
      </c>
      <c r="B211" s="170" t="s">
        <v>27</v>
      </c>
      <c r="C211" s="170">
        <v>7</v>
      </c>
      <c r="D211" s="170">
        <v>7</v>
      </c>
      <c r="E211" s="170">
        <f t="shared" si="8"/>
        <v>0</v>
      </c>
      <c r="F211" s="26">
        <v>50</v>
      </c>
      <c r="G211" s="165" t="str">
        <f t="shared" si="9"/>
        <v>Pass</v>
      </c>
      <c r="H211" s="27">
        <v>74</v>
      </c>
      <c r="I211" s="33"/>
      <c r="J211" s="33"/>
    </row>
    <row r="212" spans="1:10" x14ac:dyDescent="0.25">
      <c r="A212" s="164">
        <v>43517</v>
      </c>
      <c r="B212" s="170" t="s">
        <v>27</v>
      </c>
      <c r="C212" s="170">
        <v>20</v>
      </c>
      <c r="D212" s="170">
        <v>54</v>
      </c>
      <c r="E212" s="170">
        <f t="shared" si="8"/>
        <v>34</v>
      </c>
      <c r="F212" s="26">
        <v>50</v>
      </c>
      <c r="G212" s="165" t="str">
        <f t="shared" si="9"/>
        <v>Pass</v>
      </c>
      <c r="H212" s="27">
        <v>1428</v>
      </c>
      <c r="I212" s="33"/>
      <c r="J212" s="33"/>
    </row>
    <row r="213" spans="1:10" x14ac:dyDescent="0.25">
      <c r="A213" s="164">
        <v>43521</v>
      </c>
      <c r="B213" s="170" t="s">
        <v>27</v>
      </c>
      <c r="C213" s="28">
        <v>16</v>
      </c>
      <c r="D213" s="28">
        <v>17</v>
      </c>
      <c r="E213" s="170">
        <f t="shared" si="8"/>
        <v>1</v>
      </c>
      <c r="F213" s="26">
        <v>50</v>
      </c>
      <c r="G213" s="165" t="str">
        <f t="shared" si="9"/>
        <v>Pass</v>
      </c>
      <c r="H213" s="27">
        <v>121</v>
      </c>
      <c r="I213" s="33"/>
      <c r="J213" s="33"/>
    </row>
    <row r="214" spans="1:10" x14ac:dyDescent="0.25">
      <c r="A214" s="164">
        <v>43528</v>
      </c>
      <c r="B214" s="170" t="s">
        <v>27</v>
      </c>
      <c r="C214" s="28">
        <v>30</v>
      </c>
      <c r="D214" s="28">
        <v>29</v>
      </c>
      <c r="E214" s="170">
        <f t="shared" si="8"/>
        <v>-1</v>
      </c>
      <c r="F214" s="26">
        <v>50</v>
      </c>
      <c r="G214" s="165" t="str">
        <f t="shared" si="9"/>
        <v>Pass</v>
      </c>
      <c r="H214" s="27">
        <v>74</v>
      </c>
      <c r="I214" s="33"/>
      <c r="J214" s="33"/>
    </row>
    <row r="215" spans="1:10" x14ac:dyDescent="0.25">
      <c r="A215" s="164">
        <v>43531</v>
      </c>
      <c r="B215" s="170" t="s">
        <v>27</v>
      </c>
      <c r="C215" s="28">
        <v>18</v>
      </c>
      <c r="D215" s="28">
        <v>17</v>
      </c>
      <c r="E215" s="170">
        <f t="shared" si="8"/>
        <v>-1</v>
      </c>
      <c r="F215" s="26">
        <v>50</v>
      </c>
      <c r="G215" s="165" t="str">
        <f t="shared" si="9"/>
        <v>Pass</v>
      </c>
      <c r="H215" s="27">
        <v>1340</v>
      </c>
      <c r="I215" s="33"/>
      <c r="J215" s="33"/>
    </row>
    <row r="216" spans="1:10" x14ac:dyDescent="0.25">
      <c r="A216" s="164">
        <v>43535</v>
      </c>
      <c r="B216" s="170" t="s">
        <v>27</v>
      </c>
      <c r="C216" s="28">
        <v>6</v>
      </c>
      <c r="D216" s="28">
        <v>12</v>
      </c>
      <c r="E216" s="170">
        <f t="shared" si="8"/>
        <v>6</v>
      </c>
      <c r="F216" s="26">
        <v>50</v>
      </c>
      <c r="G216" s="165" t="str">
        <f t="shared" si="9"/>
        <v>Pass</v>
      </c>
      <c r="H216" s="27">
        <v>74</v>
      </c>
      <c r="I216" s="33"/>
      <c r="J216" s="33"/>
    </row>
    <row r="217" spans="1:10" x14ac:dyDescent="0.25">
      <c r="A217" s="164">
        <v>43538</v>
      </c>
      <c r="B217" s="170" t="s">
        <v>27</v>
      </c>
      <c r="C217" s="28">
        <v>10</v>
      </c>
      <c r="D217" s="28">
        <v>13</v>
      </c>
      <c r="E217" s="170">
        <f t="shared" si="8"/>
        <v>3</v>
      </c>
      <c r="F217" s="26">
        <v>50</v>
      </c>
      <c r="G217" s="165" t="str">
        <f t="shared" si="9"/>
        <v>Pass</v>
      </c>
      <c r="H217" s="27">
        <v>121</v>
      </c>
      <c r="I217" s="33"/>
      <c r="J217" s="33"/>
    </row>
    <row r="218" spans="1:10" x14ac:dyDescent="0.25">
      <c r="A218" s="164">
        <v>43542</v>
      </c>
      <c r="B218" s="172" t="s">
        <v>27</v>
      </c>
      <c r="C218" s="172">
        <v>26</v>
      </c>
      <c r="D218" s="172">
        <v>33</v>
      </c>
      <c r="E218" s="172">
        <f t="shared" si="8"/>
        <v>7</v>
      </c>
      <c r="F218" s="33">
        <v>50</v>
      </c>
      <c r="G218" s="169" t="str">
        <f t="shared" si="9"/>
        <v>Pass</v>
      </c>
      <c r="H218" s="32">
        <v>1428</v>
      </c>
      <c r="I218" s="33"/>
      <c r="J218" s="33"/>
    </row>
    <row r="219" spans="1:10" x14ac:dyDescent="0.25">
      <c r="A219" s="164">
        <v>43546</v>
      </c>
      <c r="B219" s="172" t="s">
        <v>27</v>
      </c>
      <c r="C219" s="172">
        <v>14</v>
      </c>
      <c r="D219" s="172">
        <v>21</v>
      </c>
      <c r="E219" s="172">
        <f t="shared" si="8"/>
        <v>7</v>
      </c>
      <c r="F219" s="33">
        <v>50</v>
      </c>
      <c r="G219" s="169" t="str">
        <f t="shared" si="9"/>
        <v>Pass</v>
      </c>
      <c r="H219" s="32">
        <v>1340</v>
      </c>
      <c r="I219" s="33"/>
      <c r="J219" s="33"/>
    </row>
    <row r="220" spans="1:10" x14ac:dyDescent="0.25">
      <c r="A220" s="164">
        <v>43549</v>
      </c>
      <c r="B220" s="170" t="s">
        <v>27</v>
      </c>
      <c r="C220" s="28">
        <v>35</v>
      </c>
      <c r="D220" s="28">
        <v>42</v>
      </c>
      <c r="E220" s="170">
        <f t="shared" si="8"/>
        <v>7</v>
      </c>
      <c r="F220" s="26">
        <v>50</v>
      </c>
      <c r="G220" s="165" t="str">
        <f t="shared" si="9"/>
        <v>Pass</v>
      </c>
      <c r="H220" s="27">
        <v>74</v>
      </c>
      <c r="I220" s="28" t="s">
        <v>160</v>
      </c>
      <c r="J220" s="33" t="s">
        <v>161</v>
      </c>
    </row>
    <row r="221" spans="1:10" x14ac:dyDescent="0.25">
      <c r="A221" s="164" t="s">
        <v>162</v>
      </c>
      <c r="B221" s="172" t="s">
        <v>27</v>
      </c>
      <c r="C221" s="172">
        <v>42</v>
      </c>
      <c r="D221" s="172">
        <v>53</v>
      </c>
      <c r="E221" s="172">
        <f t="shared" si="8"/>
        <v>11</v>
      </c>
      <c r="F221" s="26">
        <v>50</v>
      </c>
      <c r="G221" s="165" t="str">
        <f t="shared" si="9"/>
        <v>Pass</v>
      </c>
      <c r="H221" s="27">
        <v>121</v>
      </c>
      <c r="I221" s="33"/>
      <c r="J221" s="33"/>
    </row>
    <row r="222" spans="1:10" x14ac:dyDescent="0.25">
      <c r="A222" s="164">
        <v>43556</v>
      </c>
      <c r="B222" s="172" t="s">
        <v>27</v>
      </c>
      <c r="C222" s="172">
        <v>22</v>
      </c>
      <c r="D222" s="172">
        <v>57</v>
      </c>
      <c r="E222" s="172">
        <f t="shared" si="8"/>
        <v>35</v>
      </c>
      <c r="F222" s="33">
        <v>50</v>
      </c>
      <c r="G222" s="165" t="str">
        <f t="shared" si="9"/>
        <v>Pass</v>
      </c>
      <c r="H222" s="32">
        <v>1340</v>
      </c>
      <c r="I222" s="33" t="s">
        <v>50</v>
      </c>
      <c r="J222" s="33"/>
    </row>
    <row r="223" spans="1:10" x14ac:dyDescent="0.25">
      <c r="A223" s="164">
        <v>43559</v>
      </c>
      <c r="B223" s="172" t="s">
        <v>27</v>
      </c>
      <c r="C223" s="172">
        <v>3</v>
      </c>
      <c r="D223" s="172">
        <v>8</v>
      </c>
      <c r="E223" s="172">
        <f t="shared" si="8"/>
        <v>5</v>
      </c>
      <c r="F223" s="33">
        <v>50</v>
      </c>
      <c r="G223" s="165" t="str">
        <f t="shared" si="9"/>
        <v>Pass</v>
      </c>
      <c r="H223" s="32">
        <v>1340</v>
      </c>
      <c r="I223" s="33" t="s">
        <v>37</v>
      </c>
      <c r="J223" s="33"/>
    </row>
    <row r="224" spans="1:10" x14ac:dyDescent="0.25">
      <c r="A224" s="164">
        <v>43563</v>
      </c>
      <c r="B224" s="170" t="s">
        <v>27</v>
      </c>
      <c r="C224" s="28">
        <v>9</v>
      </c>
      <c r="D224" s="28">
        <v>13</v>
      </c>
      <c r="E224" s="170">
        <f t="shared" si="8"/>
        <v>4</v>
      </c>
      <c r="F224" s="26">
        <v>50</v>
      </c>
      <c r="G224" s="165" t="str">
        <f t="shared" si="9"/>
        <v>Pass</v>
      </c>
      <c r="H224" s="27">
        <v>1159</v>
      </c>
      <c r="I224" s="28" t="s">
        <v>163</v>
      </c>
      <c r="J224" s="33"/>
    </row>
    <row r="225" spans="1:10" x14ac:dyDescent="0.25">
      <c r="A225" s="164">
        <v>43568</v>
      </c>
      <c r="B225" s="172" t="s">
        <v>27</v>
      </c>
      <c r="C225" s="172">
        <v>11</v>
      </c>
      <c r="D225" s="172">
        <v>13</v>
      </c>
      <c r="E225" s="172">
        <f t="shared" si="8"/>
        <v>2</v>
      </c>
      <c r="F225" s="33">
        <v>50</v>
      </c>
      <c r="G225" s="165" t="str">
        <f t="shared" si="9"/>
        <v>Pass</v>
      </c>
      <c r="H225" s="32">
        <v>1428</v>
      </c>
      <c r="I225" s="33"/>
      <c r="J225" s="33"/>
    </row>
    <row r="226" spans="1:10" x14ac:dyDescent="0.25">
      <c r="A226" s="164">
        <v>43577</v>
      </c>
      <c r="B226" s="172" t="s">
        <v>27</v>
      </c>
      <c r="C226" s="172">
        <v>27</v>
      </c>
      <c r="D226" s="172">
        <v>105</v>
      </c>
      <c r="E226" s="172">
        <f t="shared" si="8"/>
        <v>78</v>
      </c>
      <c r="F226" s="33">
        <v>50</v>
      </c>
      <c r="G226" s="169" t="str">
        <f t="shared" si="9"/>
        <v>Fail</v>
      </c>
      <c r="H226" s="32">
        <v>1428</v>
      </c>
      <c r="I226" s="33"/>
      <c r="J226" s="33"/>
    </row>
    <row r="227" spans="1:10" x14ac:dyDescent="0.25">
      <c r="A227" s="164">
        <v>43577</v>
      </c>
      <c r="B227" s="172" t="s">
        <v>27</v>
      </c>
      <c r="C227" s="172">
        <v>21</v>
      </c>
      <c r="D227" s="172">
        <v>28</v>
      </c>
      <c r="E227" s="172">
        <f t="shared" si="8"/>
        <v>7</v>
      </c>
      <c r="F227" s="33">
        <v>50</v>
      </c>
      <c r="G227" s="169" t="str">
        <f t="shared" si="9"/>
        <v>Pass</v>
      </c>
      <c r="H227" s="32">
        <v>1428</v>
      </c>
      <c r="I227" s="33"/>
      <c r="J227" s="33"/>
    </row>
    <row r="228" spans="1:10" x14ac:dyDescent="0.25">
      <c r="A228" s="164">
        <v>43577</v>
      </c>
      <c r="B228" s="170" t="s">
        <v>27</v>
      </c>
      <c r="C228" s="28">
        <v>30</v>
      </c>
      <c r="D228" s="28">
        <v>31</v>
      </c>
      <c r="E228" s="170">
        <f t="shared" si="8"/>
        <v>1</v>
      </c>
      <c r="F228" s="26">
        <v>50</v>
      </c>
      <c r="G228" s="165" t="str">
        <f t="shared" si="9"/>
        <v>Pass</v>
      </c>
      <c r="H228" s="32">
        <v>121</v>
      </c>
      <c r="I228" s="28" t="s">
        <v>164</v>
      </c>
      <c r="J228" s="33"/>
    </row>
    <row r="229" spans="1:10" x14ac:dyDescent="0.25">
      <c r="A229" s="164">
        <v>43581</v>
      </c>
      <c r="B229" s="172" t="s">
        <v>27</v>
      </c>
      <c r="C229" s="172">
        <v>19</v>
      </c>
      <c r="D229" s="172">
        <v>17</v>
      </c>
      <c r="E229" s="172">
        <f t="shared" si="8"/>
        <v>-2</v>
      </c>
      <c r="F229" s="26">
        <v>50</v>
      </c>
      <c r="G229" s="165" t="str">
        <f t="shared" si="9"/>
        <v>Pass</v>
      </c>
      <c r="H229" s="32">
        <v>74</v>
      </c>
      <c r="I229" s="28" t="s">
        <v>165</v>
      </c>
      <c r="J229" s="33"/>
    </row>
    <row r="230" spans="1:10" x14ac:dyDescent="0.25">
      <c r="A230" s="164">
        <v>43585</v>
      </c>
      <c r="B230" s="172" t="s">
        <v>27</v>
      </c>
      <c r="C230" s="172">
        <v>10</v>
      </c>
      <c r="D230" s="172">
        <v>10</v>
      </c>
      <c r="E230" s="172">
        <f t="shared" si="8"/>
        <v>0</v>
      </c>
      <c r="F230" s="26">
        <v>50</v>
      </c>
      <c r="G230" s="169" t="str">
        <f t="shared" si="9"/>
        <v>Pass</v>
      </c>
      <c r="H230" s="32">
        <v>1340</v>
      </c>
      <c r="I230" s="28" t="s">
        <v>166</v>
      </c>
      <c r="J230" s="33"/>
    </row>
    <row r="231" spans="1:10" x14ac:dyDescent="0.25">
      <c r="A231" s="164">
        <v>43588</v>
      </c>
      <c r="B231" s="172" t="s">
        <v>27</v>
      </c>
      <c r="C231" s="172">
        <v>28</v>
      </c>
      <c r="D231" s="172">
        <v>34</v>
      </c>
      <c r="E231" s="172">
        <f t="shared" si="8"/>
        <v>6</v>
      </c>
      <c r="F231" s="26">
        <v>50</v>
      </c>
      <c r="G231" s="169" t="str">
        <f t="shared" si="9"/>
        <v>Pass</v>
      </c>
      <c r="H231" s="32">
        <v>1340</v>
      </c>
      <c r="I231" s="33"/>
      <c r="J231" s="33"/>
    </row>
    <row r="232" spans="1:10" x14ac:dyDescent="0.25">
      <c r="A232" s="164">
        <v>43591</v>
      </c>
      <c r="B232" s="172" t="s">
        <v>27</v>
      </c>
      <c r="C232" s="172">
        <v>18</v>
      </c>
      <c r="D232" s="172">
        <v>20</v>
      </c>
      <c r="E232" s="172">
        <f t="shared" si="8"/>
        <v>2</v>
      </c>
      <c r="F232" s="33">
        <v>50</v>
      </c>
      <c r="G232" s="169" t="str">
        <f t="shared" si="9"/>
        <v>Pass</v>
      </c>
      <c r="H232" s="32">
        <v>121</v>
      </c>
      <c r="I232" s="28" t="s">
        <v>167</v>
      </c>
      <c r="J232" s="33"/>
    </row>
    <row r="233" spans="1:10" x14ac:dyDescent="0.25">
      <c r="A233" s="25"/>
    </row>
    <row r="234" spans="1:10" x14ac:dyDescent="0.25">
      <c r="A234" s="25"/>
    </row>
    <row r="235" spans="1:10" x14ac:dyDescent="0.25">
      <c r="A235" s="25"/>
    </row>
    <row r="236" spans="1:10" x14ac:dyDescent="0.25">
      <c r="A236" s="25"/>
    </row>
    <row r="237" spans="1:10" x14ac:dyDescent="0.25">
      <c r="A237" s="25"/>
    </row>
    <row r="238" spans="1:10" x14ac:dyDescent="0.25">
      <c r="A238" s="25"/>
    </row>
    <row r="239" spans="1:10" x14ac:dyDescent="0.25">
      <c r="A239" s="25"/>
    </row>
    <row r="240" spans="1:10" x14ac:dyDescent="0.25">
      <c r="A240" s="25"/>
    </row>
  </sheetData>
  <mergeCells count="3">
    <mergeCell ref="A1:I1"/>
    <mergeCell ref="G3:I3"/>
    <mergeCell ref="C8:D8"/>
  </mergeCells>
  <conditionalFormatting sqref="H206 G10:G216 G218">
    <cfRule type="cellIs" dxfId="30397" priority="25" stopIfTrue="1" operator="equal">
      <formula>"Pass"</formula>
    </cfRule>
    <cfRule type="cellIs" dxfId="30396" priority="26" stopIfTrue="1" operator="equal">
      <formula>"Fail"</formula>
    </cfRule>
  </conditionalFormatting>
  <conditionalFormatting sqref="G217">
    <cfRule type="cellIs" dxfId="30395" priority="23" stopIfTrue="1" operator="equal">
      <formula>"Pass"</formula>
    </cfRule>
    <cfRule type="cellIs" dxfId="30394" priority="24" stopIfTrue="1" operator="equal">
      <formula>"Fail"</formula>
    </cfRule>
  </conditionalFormatting>
  <conditionalFormatting sqref="G219">
    <cfRule type="cellIs" dxfId="30393" priority="21" stopIfTrue="1" operator="equal">
      <formula>"Pass"</formula>
    </cfRule>
    <cfRule type="cellIs" dxfId="30392" priority="22" stopIfTrue="1" operator="equal">
      <formula>"Fail"</formula>
    </cfRule>
  </conditionalFormatting>
  <conditionalFormatting sqref="G220">
    <cfRule type="cellIs" dxfId="30391" priority="19" stopIfTrue="1" operator="equal">
      <formula>"Pass"</formula>
    </cfRule>
    <cfRule type="cellIs" dxfId="30390" priority="20" stopIfTrue="1" operator="equal">
      <formula>"Fail"</formula>
    </cfRule>
  </conditionalFormatting>
  <conditionalFormatting sqref="G221">
    <cfRule type="cellIs" dxfId="30389" priority="17" stopIfTrue="1" operator="equal">
      <formula>"Pass"</formula>
    </cfRule>
    <cfRule type="cellIs" dxfId="30388" priority="18" stopIfTrue="1" operator="equal">
      <formula>"Fail"</formula>
    </cfRule>
  </conditionalFormatting>
  <conditionalFormatting sqref="G222">
    <cfRule type="cellIs" dxfId="30387" priority="15" stopIfTrue="1" operator="equal">
      <formula>"Pass"</formula>
    </cfRule>
    <cfRule type="cellIs" dxfId="30386" priority="16" stopIfTrue="1" operator="equal">
      <formula>"Fail"</formula>
    </cfRule>
  </conditionalFormatting>
  <conditionalFormatting sqref="G223">
    <cfRule type="cellIs" dxfId="30385" priority="13" stopIfTrue="1" operator="equal">
      <formula>"Pass"</formula>
    </cfRule>
    <cfRule type="cellIs" dxfId="30384" priority="14" stopIfTrue="1" operator="equal">
      <formula>"Fail"</formula>
    </cfRule>
  </conditionalFormatting>
  <conditionalFormatting sqref="H224">
    <cfRule type="cellIs" dxfId="30383" priority="11" stopIfTrue="1" operator="equal">
      <formula>"Pass"</formula>
    </cfRule>
    <cfRule type="cellIs" dxfId="30382" priority="12" stopIfTrue="1" operator="equal">
      <formula>"Fail"</formula>
    </cfRule>
  </conditionalFormatting>
  <conditionalFormatting sqref="G224:G227 G230:G232">
    <cfRule type="cellIs" dxfId="30381" priority="9" stopIfTrue="1" operator="equal">
      <formula>"Pass"</formula>
    </cfRule>
    <cfRule type="cellIs" dxfId="30380" priority="10" stopIfTrue="1" operator="equal">
      <formula>"Fail"</formula>
    </cfRule>
  </conditionalFormatting>
  <conditionalFormatting sqref="G226">
    <cfRule type="cellIs" dxfId="30379" priority="7" stopIfTrue="1" operator="equal">
      <formula>"Pass"</formula>
    </cfRule>
    <cfRule type="cellIs" dxfId="30378" priority="8" stopIfTrue="1" operator="equal">
      <formula>"Fail"</formula>
    </cfRule>
  </conditionalFormatting>
  <conditionalFormatting sqref="G227 G230:G232">
    <cfRule type="cellIs" dxfId="30377" priority="5" stopIfTrue="1" operator="equal">
      <formula>"Pass"</formula>
    </cfRule>
    <cfRule type="cellIs" dxfId="30376" priority="6" stopIfTrue="1" operator="equal">
      <formula>"Fail"</formula>
    </cfRule>
  </conditionalFormatting>
  <conditionalFormatting sqref="G228">
    <cfRule type="cellIs" dxfId="30375" priority="3" stopIfTrue="1" operator="equal">
      <formula>"Pass"</formula>
    </cfRule>
    <cfRule type="cellIs" dxfId="30374" priority="4" stopIfTrue="1" operator="equal">
      <formula>"Fail"</formula>
    </cfRule>
  </conditionalFormatting>
  <conditionalFormatting sqref="G229">
    <cfRule type="cellIs" dxfId="30373" priority="1" stopIfTrue="1" operator="equal">
      <formula>"Pass"</formula>
    </cfRule>
    <cfRule type="cellIs" dxfId="30372" priority="2" stopIfTrue="1" operator="equal">
      <formula>"Fail"</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1065"/>
  <sheetViews>
    <sheetView tabSelected="1" zoomScale="85" zoomScaleNormal="85" workbookViewId="0">
      <pane xSplit="1" ySplit="9" topLeftCell="B10" activePane="bottomRight" state="frozen"/>
      <selection pane="topRight" activeCell="B1" sqref="B1"/>
      <selection pane="bottomLeft" activeCell="A10" sqref="A10"/>
      <selection pane="bottomRight" activeCell="H17" sqref="H17"/>
    </sheetView>
  </sheetViews>
  <sheetFormatPr defaultColWidth="8.26953125" defaultRowHeight="12.75" x14ac:dyDescent="0.25"/>
  <cols>
    <col min="1" max="1" width="13.36328125" style="96" customWidth="1"/>
    <col min="2" max="2" width="8.26953125" style="97"/>
    <col min="3" max="3" width="9.7265625" style="97" customWidth="1"/>
    <col min="4" max="4" width="10.36328125" style="97" bestFit="1" customWidth="1"/>
    <col min="5" max="5" width="12.453125" style="10" customWidth="1"/>
    <col min="6" max="14" width="8.26953125" style="10" customWidth="1"/>
    <col min="15" max="16" width="8.26953125" style="97" customWidth="1"/>
    <col min="17" max="17" width="9.453125" style="97" customWidth="1"/>
    <col min="18" max="18" width="11.7265625" style="97" customWidth="1"/>
    <col min="19" max="19" width="8.26953125" style="37"/>
    <col min="20" max="20" width="8.26953125" style="10"/>
    <col min="21" max="21" width="11.1796875" style="94" customWidth="1"/>
    <col min="22" max="22" width="15.26953125" style="94" customWidth="1"/>
    <col min="23" max="23" width="25.26953125" style="10" customWidth="1"/>
    <col min="24" max="24" width="12.36328125" style="40" customWidth="1"/>
    <col min="25" max="27" width="8.26953125" style="40"/>
    <col min="28" max="28" width="9.36328125" style="33" bestFit="1" customWidth="1"/>
    <col min="29" max="29" width="9.36328125" style="33" customWidth="1"/>
    <col min="30" max="30" width="28.81640625" style="10" bestFit="1" customWidth="1"/>
    <col min="31" max="16384" width="8.26953125" style="10"/>
  </cols>
  <sheetData>
    <row r="1" spans="1:31" x14ac:dyDescent="0.25">
      <c r="A1" s="34"/>
      <c r="B1" s="35"/>
      <c r="C1" s="35"/>
      <c r="D1" s="35"/>
      <c r="E1" s="36"/>
      <c r="F1" s="36"/>
      <c r="G1" s="36"/>
      <c r="H1" s="36"/>
      <c r="I1" s="36"/>
      <c r="J1" s="36"/>
      <c r="K1" s="36"/>
      <c r="L1" s="36"/>
      <c r="M1" s="36"/>
      <c r="N1" s="36"/>
      <c r="O1" s="35"/>
      <c r="P1" s="35"/>
      <c r="Q1" s="35"/>
      <c r="R1" s="35"/>
      <c r="T1" s="36"/>
      <c r="U1" s="38"/>
      <c r="V1" s="245"/>
      <c r="W1" s="39"/>
    </row>
    <row r="2" spans="1:31" x14ac:dyDescent="0.25">
      <c r="A2" s="41"/>
      <c r="B2" s="42"/>
      <c r="C2" s="42"/>
      <c r="D2" s="43" t="s">
        <v>168</v>
      </c>
      <c r="E2" s="44" t="s">
        <v>169</v>
      </c>
      <c r="F2" s="45" t="s">
        <v>170</v>
      </c>
      <c r="G2" s="46"/>
      <c r="H2" s="36"/>
      <c r="I2" s="36"/>
      <c r="J2" s="36"/>
      <c r="K2" s="36"/>
      <c r="L2" s="36"/>
      <c r="M2" s="36"/>
      <c r="N2" s="36"/>
      <c r="O2" s="35"/>
      <c r="P2" s="35" t="s">
        <v>171</v>
      </c>
      <c r="Q2" s="35"/>
      <c r="R2" s="35"/>
      <c r="T2" s="36"/>
      <c r="U2" s="38"/>
      <c r="V2" s="245"/>
      <c r="W2" s="39"/>
    </row>
    <row r="3" spans="1:31" x14ac:dyDescent="0.25">
      <c r="A3" s="41"/>
      <c r="B3" s="42"/>
      <c r="C3" s="42"/>
      <c r="D3" s="47" t="s">
        <v>172</v>
      </c>
      <c r="E3" s="28" t="s">
        <v>173</v>
      </c>
      <c r="F3" s="48" t="s">
        <v>174</v>
      </c>
      <c r="G3" s="49"/>
      <c r="H3" s="36"/>
      <c r="I3" s="36"/>
      <c r="J3" s="36"/>
      <c r="K3" s="36"/>
      <c r="L3" s="36"/>
      <c r="M3" s="36"/>
      <c r="N3" s="36"/>
      <c r="O3" s="35"/>
      <c r="P3" s="35"/>
      <c r="Q3" s="35"/>
      <c r="R3" s="35"/>
      <c r="T3" s="36"/>
      <c r="U3" s="38"/>
      <c r="V3" s="245"/>
      <c r="W3" s="39"/>
    </row>
    <row r="4" spans="1:31" x14ac:dyDescent="0.25">
      <c r="A4" s="41"/>
      <c r="B4" s="42"/>
      <c r="C4" s="42"/>
      <c r="D4" s="47" t="s">
        <v>175</v>
      </c>
      <c r="E4" s="28" t="s">
        <v>175</v>
      </c>
      <c r="F4" s="48" t="s">
        <v>176</v>
      </c>
      <c r="G4" s="49"/>
      <c r="H4" s="36"/>
      <c r="I4" s="36"/>
      <c r="J4" s="36"/>
      <c r="K4" s="36"/>
      <c r="L4" s="36"/>
      <c r="M4" s="36"/>
      <c r="N4" s="36"/>
      <c r="O4" s="35"/>
      <c r="P4" s="35"/>
      <c r="Q4" s="35"/>
      <c r="R4" s="35"/>
      <c r="T4" s="36"/>
      <c r="U4" s="38"/>
      <c r="V4" s="245"/>
      <c r="W4" s="39"/>
    </row>
    <row r="5" spans="1:31" x14ac:dyDescent="0.25">
      <c r="A5" s="41"/>
      <c r="B5" s="42"/>
      <c r="C5" s="42"/>
      <c r="D5" s="47" t="s">
        <v>177</v>
      </c>
      <c r="E5" s="28" t="s">
        <v>178</v>
      </c>
      <c r="F5" s="48" t="s">
        <v>179</v>
      </c>
      <c r="G5" s="49"/>
      <c r="H5" s="36"/>
      <c r="I5" s="36"/>
      <c r="J5" s="36"/>
      <c r="K5" s="36"/>
      <c r="L5" s="36"/>
      <c r="M5" s="36"/>
      <c r="N5" s="36"/>
      <c r="O5" s="35"/>
      <c r="P5" s="35"/>
      <c r="Q5" s="35"/>
      <c r="R5" s="35"/>
      <c r="T5" s="36"/>
      <c r="U5" s="38"/>
      <c r="V5" s="245"/>
      <c r="W5" s="39"/>
    </row>
    <row r="6" spans="1:31" x14ac:dyDescent="0.25">
      <c r="A6" s="41"/>
      <c r="B6" s="42"/>
      <c r="C6" s="42"/>
      <c r="D6" s="35"/>
      <c r="E6" s="36"/>
      <c r="F6" s="36"/>
      <c r="G6" s="36"/>
      <c r="H6" s="36"/>
      <c r="I6" s="36"/>
      <c r="J6" s="36"/>
      <c r="K6" s="36"/>
      <c r="L6" s="36"/>
      <c r="M6" s="36"/>
      <c r="N6" s="36"/>
      <c r="O6" s="35"/>
      <c r="P6" s="35"/>
      <c r="Q6" s="35"/>
      <c r="R6" s="35"/>
      <c r="T6" s="36"/>
      <c r="U6" s="38"/>
      <c r="V6" s="245"/>
      <c r="W6" s="39"/>
    </row>
    <row r="7" spans="1:31" x14ac:dyDescent="0.25">
      <c r="A7" s="41"/>
      <c r="B7" s="42"/>
      <c r="C7" s="42"/>
      <c r="D7" s="35"/>
      <c r="E7" s="36"/>
      <c r="F7" s="36"/>
      <c r="G7" s="36"/>
      <c r="H7" s="36"/>
      <c r="I7" s="36"/>
      <c r="J7" s="36"/>
      <c r="K7" s="36"/>
      <c r="L7" s="36"/>
      <c r="M7" s="36"/>
      <c r="N7" s="36"/>
      <c r="O7" s="35"/>
      <c r="P7" s="35"/>
      <c r="Q7" s="35"/>
      <c r="R7" s="35"/>
      <c r="T7" s="36"/>
      <c r="U7" s="50"/>
      <c r="V7" s="245"/>
      <c r="W7" s="39"/>
    </row>
    <row r="8" spans="1:31" s="231" customFormat="1" ht="14.95" thickBot="1" x14ac:dyDescent="0.35">
      <c r="A8" s="228"/>
      <c r="B8" s="229"/>
      <c r="C8" s="229"/>
      <c r="E8" s="273" t="s">
        <v>275</v>
      </c>
      <c r="F8" s="274"/>
      <c r="G8" s="274"/>
      <c r="H8" s="274"/>
      <c r="I8" s="274"/>
      <c r="J8" s="274"/>
      <c r="K8" s="274"/>
      <c r="L8" s="274"/>
      <c r="M8" s="274"/>
      <c r="N8" s="274"/>
      <c r="O8" s="230"/>
      <c r="P8" s="230"/>
      <c r="U8" s="232"/>
      <c r="V8" s="232"/>
      <c r="X8" s="233"/>
      <c r="Y8" s="234"/>
      <c r="Z8" s="235"/>
      <c r="AA8" s="235"/>
      <c r="AB8" s="235"/>
      <c r="AC8" s="235"/>
      <c r="AD8" s="236"/>
      <c r="AE8" s="236"/>
    </row>
    <row r="9" spans="1:31" s="244" customFormat="1" ht="57.75" customHeight="1" thickBot="1" x14ac:dyDescent="0.4">
      <c r="A9" s="237" t="s">
        <v>264</v>
      </c>
      <c r="B9" s="248" t="s">
        <v>168</v>
      </c>
      <c r="C9" s="248" t="s">
        <v>181</v>
      </c>
      <c r="D9" s="238" t="s">
        <v>169</v>
      </c>
      <c r="E9" s="238" t="s">
        <v>269</v>
      </c>
      <c r="F9" s="238">
        <v>1</v>
      </c>
      <c r="G9" s="238">
        <v>2</v>
      </c>
      <c r="H9" s="238">
        <v>3</v>
      </c>
      <c r="I9" s="238">
        <v>4</v>
      </c>
      <c r="J9" s="238">
        <v>5</v>
      </c>
      <c r="K9" s="238">
        <v>6</v>
      </c>
      <c r="L9" s="238">
        <v>7</v>
      </c>
      <c r="M9" s="238">
        <v>8</v>
      </c>
      <c r="N9" s="238">
        <v>9</v>
      </c>
      <c r="O9" s="239" t="s">
        <v>182</v>
      </c>
      <c r="P9" s="239" t="s">
        <v>183</v>
      </c>
      <c r="Q9" s="238" t="s">
        <v>270</v>
      </c>
      <c r="R9" s="240" t="s">
        <v>271</v>
      </c>
      <c r="S9" s="249" t="s">
        <v>186</v>
      </c>
      <c r="T9" s="250" t="s">
        <v>23</v>
      </c>
      <c r="U9" s="240" t="s">
        <v>273</v>
      </c>
      <c r="V9" s="240" t="s">
        <v>274</v>
      </c>
      <c r="W9" s="241" t="s">
        <v>24</v>
      </c>
      <c r="X9" s="242" t="s">
        <v>187</v>
      </c>
      <c r="Y9" s="242" t="s">
        <v>22</v>
      </c>
      <c r="Z9" s="242" t="s">
        <v>188</v>
      </c>
      <c r="AA9" s="242" t="s">
        <v>189</v>
      </c>
      <c r="AB9" s="242" t="s">
        <v>190</v>
      </c>
      <c r="AC9" s="243" t="s">
        <v>272</v>
      </c>
    </row>
    <row r="10" spans="1:31" x14ac:dyDescent="0.25">
      <c r="A10" s="281">
        <v>43101</v>
      </c>
      <c r="B10" s="58" t="s">
        <v>191</v>
      </c>
      <c r="C10" s="59" t="s">
        <v>176</v>
      </c>
      <c r="D10" s="60" t="s">
        <v>175</v>
      </c>
      <c r="E10" s="67" t="s">
        <v>192</v>
      </c>
      <c r="F10" s="33">
        <v>27006.2</v>
      </c>
      <c r="G10" s="33">
        <v>26900.26</v>
      </c>
      <c r="H10" s="33">
        <v>26989.47</v>
      </c>
      <c r="I10" s="33">
        <v>26872.66</v>
      </c>
      <c r="J10" s="33">
        <v>27012.05</v>
      </c>
      <c r="K10" s="33">
        <v>26909.23</v>
      </c>
      <c r="L10" s="33">
        <v>26875.09</v>
      </c>
      <c r="M10" s="33">
        <v>26868.959999999999</v>
      </c>
      <c r="N10" s="33">
        <v>27098.42</v>
      </c>
      <c r="O10" s="61">
        <f>IF((N11=""),"",MAX(F12:N12))</f>
        <v>5246.0699999999961</v>
      </c>
      <c r="P10" s="61">
        <f>IF(N11="","",MIN(F12:N12))</f>
        <v>4466.1000000000022</v>
      </c>
      <c r="Q10" s="62">
        <f>IF((N12=""),"",AVERAGE(F12:N12))</f>
        <v>4816.8533333333326</v>
      </c>
      <c r="R10" s="62">
        <f>IF((N11=""),"",(O10-P10)/(O10+P10)*100)</f>
        <v>8.0308520135046439</v>
      </c>
      <c r="S10" s="181">
        <f>STDEV(F12:N12)</f>
        <v>324.79851004122497</v>
      </c>
      <c r="T10" s="182" t="str">
        <f>IF(N11="","",IF(R10&lt;16,IF(Q10&gt;3200,IF(R10,IF(Q10&lt;5240,"Pass","Fail"),"Fail"),"Fail")))</f>
        <v>Pass</v>
      </c>
      <c r="U10" s="185">
        <v>1428</v>
      </c>
      <c r="V10" s="246"/>
      <c r="W10" s="33"/>
      <c r="X10" s="184">
        <v>4200</v>
      </c>
      <c r="Y10" s="184">
        <v>5500</v>
      </c>
      <c r="Z10" s="184">
        <v>3200</v>
      </c>
      <c r="AA10" s="184">
        <v>5240</v>
      </c>
      <c r="AB10" s="57">
        <v>16</v>
      </c>
    </row>
    <row r="11" spans="1:31" x14ac:dyDescent="0.25">
      <c r="A11" s="281"/>
      <c r="B11" s="58"/>
      <c r="C11" s="59"/>
      <c r="D11" s="60"/>
      <c r="E11" s="88" t="s">
        <v>193</v>
      </c>
      <c r="F11" s="33">
        <v>25280.63</v>
      </c>
      <c r="G11" s="33">
        <v>25365.97</v>
      </c>
      <c r="H11" s="33">
        <v>25500.77</v>
      </c>
      <c r="I11" s="33">
        <v>25366.39</v>
      </c>
      <c r="J11" s="33">
        <v>25313.21</v>
      </c>
      <c r="K11" s="33">
        <v>25210.959999999999</v>
      </c>
      <c r="L11" s="33">
        <v>25351.21</v>
      </c>
      <c r="M11" s="33">
        <v>25342.91</v>
      </c>
      <c r="N11" s="33">
        <v>25349.73</v>
      </c>
      <c r="O11" s="61"/>
      <c r="P11" s="61"/>
      <c r="Q11" s="62"/>
      <c r="R11" s="62"/>
      <c r="S11" s="181"/>
      <c r="T11" s="182"/>
      <c r="U11" s="185"/>
      <c r="V11" s="246"/>
      <c r="W11" s="33"/>
      <c r="X11" s="186"/>
      <c r="Y11" s="186"/>
      <c r="Z11" s="186"/>
      <c r="AA11" s="186"/>
    </row>
    <row r="12" spans="1:31" ht="22.75" thickBot="1" x14ac:dyDescent="0.3">
      <c r="A12" s="283"/>
      <c r="B12" s="63"/>
      <c r="C12" s="64"/>
      <c r="D12" s="65"/>
      <c r="E12" s="88" t="s">
        <v>194</v>
      </c>
      <c r="F12" s="66">
        <f t="shared" ref="F12:N12" si="0">IF(((F10="")*AND(F11="")),"",(F10-F11)*3)</f>
        <v>5176.7099999999991</v>
      </c>
      <c r="G12" s="66">
        <f t="shared" si="0"/>
        <v>4602.8699999999917</v>
      </c>
      <c r="H12" s="66">
        <f t="shared" si="0"/>
        <v>4466.1000000000022</v>
      </c>
      <c r="I12" s="66">
        <f t="shared" si="0"/>
        <v>4518.8100000000013</v>
      </c>
      <c r="J12" s="66">
        <f t="shared" si="0"/>
        <v>5096.5200000000004</v>
      </c>
      <c r="K12" s="66">
        <f t="shared" si="0"/>
        <v>5094.8100000000013</v>
      </c>
      <c r="L12" s="66">
        <f t="shared" si="0"/>
        <v>4571.6400000000031</v>
      </c>
      <c r="M12" s="66">
        <f t="shared" si="0"/>
        <v>4578.1499999999978</v>
      </c>
      <c r="N12" s="66">
        <f t="shared" si="0"/>
        <v>5246.0699999999961</v>
      </c>
      <c r="O12" s="67"/>
      <c r="P12" s="67"/>
      <c r="Q12" s="68"/>
      <c r="R12" s="68"/>
      <c r="S12" s="181"/>
      <c r="T12" s="187"/>
      <c r="U12" s="188"/>
      <c r="V12" s="246"/>
      <c r="W12" s="33"/>
      <c r="X12" s="186"/>
      <c r="Y12" s="186"/>
      <c r="Z12" s="186"/>
      <c r="AA12" s="186"/>
    </row>
    <row r="13" spans="1:31" x14ac:dyDescent="0.25">
      <c r="A13" s="282">
        <v>43101</v>
      </c>
      <c r="B13" s="69" t="s">
        <v>177</v>
      </c>
      <c r="C13" s="59" t="s">
        <v>179</v>
      </c>
      <c r="D13" s="70" t="s">
        <v>178</v>
      </c>
      <c r="E13" s="67" t="s">
        <v>192</v>
      </c>
      <c r="F13" s="33">
        <v>5006.4399999999996</v>
      </c>
      <c r="G13" s="33">
        <v>4938.82</v>
      </c>
      <c r="H13" s="33">
        <v>4944.38</v>
      </c>
      <c r="I13" s="33">
        <v>4917.6899999999996</v>
      </c>
      <c r="J13" s="33">
        <v>4969.63</v>
      </c>
      <c r="K13" s="33">
        <v>5039.08</v>
      </c>
      <c r="L13" s="33">
        <v>4966.6899999999996</v>
      </c>
      <c r="M13" s="33">
        <v>4917.93</v>
      </c>
      <c r="N13" s="33">
        <v>4926.84</v>
      </c>
      <c r="O13" s="61">
        <f>IF((N14=""),"",MAX(F15:N15))</f>
        <v>4079.5000000000009</v>
      </c>
      <c r="P13" s="61">
        <f>IF(N14="","",MIN(F15:N15))</f>
        <v>3811.5</v>
      </c>
      <c r="Q13" s="62">
        <f>IF((N15=""),"",AVERAGE(F15:N15))</f>
        <v>3988.1622222222222</v>
      </c>
      <c r="R13" s="62">
        <f>IF((N14=""),"",(O13-P13)/(O13+P13)*100)</f>
        <v>3.3962742364719412</v>
      </c>
      <c r="S13" s="181">
        <f>STDEV(F15:N15)</f>
        <v>88.395009160271371</v>
      </c>
      <c r="T13" s="189" t="str">
        <f>IF(N14="","",IF(Q13&gt;3650,IF(R13&lt;6.5,IF(Q13&lt;4450,"Pass","Fail"),"Fail"),"Fail"))</f>
        <v>Pass</v>
      </c>
      <c r="U13" s="185">
        <v>1428</v>
      </c>
      <c r="V13" s="246"/>
      <c r="W13" s="33"/>
      <c r="X13" s="184">
        <v>3650</v>
      </c>
      <c r="Y13" s="184">
        <v>4450</v>
      </c>
      <c r="Z13" s="184">
        <v>3700</v>
      </c>
      <c r="AA13" s="184">
        <v>4100</v>
      </c>
      <c r="AB13" s="57">
        <v>6.5</v>
      </c>
      <c r="AC13" s="57">
        <v>7</v>
      </c>
    </row>
    <row r="14" spans="1:31" x14ac:dyDescent="0.25">
      <c r="A14" s="281"/>
      <c r="B14" s="69"/>
      <c r="C14" s="59"/>
      <c r="D14" s="60"/>
      <c r="E14" s="88" t="s">
        <v>193</v>
      </c>
      <c r="F14" s="33">
        <v>3048.14</v>
      </c>
      <c r="G14" s="33">
        <v>2918.64</v>
      </c>
      <c r="H14" s="33">
        <v>2916.12</v>
      </c>
      <c r="I14" s="33">
        <v>2897.4</v>
      </c>
      <c r="J14" s="33">
        <v>3013.42</v>
      </c>
      <c r="K14" s="33">
        <v>3133.33</v>
      </c>
      <c r="L14" s="33">
        <v>2953.02</v>
      </c>
      <c r="M14" s="33">
        <v>2878.18</v>
      </c>
      <c r="N14" s="33">
        <v>2922.52</v>
      </c>
      <c r="O14" s="61"/>
      <c r="P14" s="61"/>
      <c r="Q14" s="62"/>
      <c r="R14" s="62"/>
      <c r="S14" s="181"/>
      <c r="T14" s="182"/>
      <c r="U14" s="190"/>
      <c r="V14" s="247"/>
      <c r="W14" s="33"/>
      <c r="X14" s="186"/>
      <c r="Y14" s="186"/>
      <c r="Z14" s="186"/>
      <c r="AA14" s="186"/>
    </row>
    <row r="15" spans="1:31" ht="22.75" thickBot="1" x14ac:dyDescent="0.3">
      <c r="A15" s="283"/>
      <c r="B15" s="69"/>
      <c r="C15" s="59"/>
      <c r="D15" s="60"/>
      <c r="E15" s="74" t="s">
        <v>194</v>
      </c>
      <c r="F15" s="71">
        <f t="shared" ref="F15:N15" si="1">IF(((F13="")*AND(F14="")),"",(F13-F14)*2)</f>
        <v>3916.5999999999995</v>
      </c>
      <c r="G15" s="71">
        <f t="shared" si="1"/>
        <v>4040.3599999999997</v>
      </c>
      <c r="H15" s="71">
        <f t="shared" si="1"/>
        <v>4056.5200000000004</v>
      </c>
      <c r="I15" s="71">
        <f t="shared" si="1"/>
        <v>4040.579999999999</v>
      </c>
      <c r="J15" s="71">
        <f t="shared" si="1"/>
        <v>3912.42</v>
      </c>
      <c r="K15" s="71">
        <f t="shared" si="1"/>
        <v>3811.5</v>
      </c>
      <c r="L15" s="71">
        <f t="shared" si="1"/>
        <v>4027.3399999999992</v>
      </c>
      <c r="M15" s="71">
        <f t="shared" si="1"/>
        <v>4079.5000000000009</v>
      </c>
      <c r="N15" s="71">
        <f t="shared" si="1"/>
        <v>4008.6400000000003</v>
      </c>
      <c r="O15" s="61"/>
      <c r="P15" s="61"/>
      <c r="Q15" s="62"/>
      <c r="R15" s="62"/>
      <c r="S15" s="181"/>
      <c r="T15" s="182"/>
      <c r="U15" s="190"/>
      <c r="V15" s="247"/>
      <c r="W15" s="33"/>
      <c r="X15" s="186"/>
      <c r="Y15" s="186"/>
      <c r="Z15" s="186"/>
      <c r="AA15" s="186"/>
    </row>
    <row r="16" spans="1:31" x14ac:dyDescent="0.25">
      <c r="A16" s="282">
        <v>43101</v>
      </c>
      <c r="B16" s="72" t="s">
        <v>172</v>
      </c>
      <c r="C16" s="73" t="s">
        <v>174</v>
      </c>
      <c r="D16" s="72" t="s">
        <v>195</v>
      </c>
      <c r="E16" s="88" t="s">
        <v>192</v>
      </c>
      <c r="F16" s="33">
        <v>1936.91</v>
      </c>
      <c r="G16" s="33">
        <v>1898.37</v>
      </c>
      <c r="H16" s="33">
        <v>1772.89</v>
      </c>
      <c r="I16" s="33">
        <v>1929.56</v>
      </c>
      <c r="J16" s="33">
        <v>1941.67</v>
      </c>
      <c r="K16" s="33">
        <v>1934.52</v>
      </c>
      <c r="L16" s="33">
        <v>1928.93</v>
      </c>
      <c r="M16" s="33">
        <v>1843.15</v>
      </c>
      <c r="N16" s="33">
        <v>1940.26</v>
      </c>
      <c r="O16" s="74">
        <f>IF((N17=""),"",MAX(F18:N18))</f>
        <v>2080.56</v>
      </c>
      <c r="P16" s="74">
        <f>IF(N17="","",MIN(F18:N18))</f>
        <v>1651.2000000000003</v>
      </c>
      <c r="Q16" s="75">
        <f>IF((N18=""),"",AVERAGE(F18:N18))</f>
        <v>1961.1566666666663</v>
      </c>
      <c r="R16" s="75">
        <f>IF((N17=""),"",(O16-P16)/(O16+P16)*100)</f>
        <v>11.505563058717593</v>
      </c>
      <c r="S16" s="181">
        <f>STDEV(F18:N18)</f>
        <v>138.47375617784039</v>
      </c>
      <c r="T16" s="191" t="str">
        <f>IF(N17="","",IF(Q16&gt;1940,IF(R16&lt;8.3,IF(Q16&lt;2180,"Pass","Fail"),"Fail"),"Fail"))</f>
        <v>Fail</v>
      </c>
      <c r="U16" s="185">
        <v>1428</v>
      </c>
      <c r="V16" s="246"/>
      <c r="W16" s="33"/>
      <c r="X16" s="184">
        <v>2000</v>
      </c>
      <c r="Y16" s="184">
        <v>3000</v>
      </c>
      <c r="Z16" s="184">
        <v>1940</v>
      </c>
      <c r="AA16" s="184">
        <v>2180</v>
      </c>
      <c r="AB16" s="57">
        <v>5.2</v>
      </c>
    </row>
    <row r="17" spans="1:29" x14ac:dyDescent="0.25">
      <c r="A17" s="281"/>
      <c r="B17" s="58"/>
      <c r="C17" s="59"/>
      <c r="D17" s="60"/>
      <c r="E17" s="88" t="s">
        <v>193</v>
      </c>
      <c r="F17" s="33">
        <v>1263.0999999999999</v>
      </c>
      <c r="G17" s="33">
        <v>1239.42</v>
      </c>
      <c r="H17" s="33">
        <v>1222.49</v>
      </c>
      <c r="I17" s="33">
        <v>1236.04</v>
      </c>
      <c r="J17" s="33">
        <v>1277.93</v>
      </c>
      <c r="K17" s="33">
        <v>1273.8900000000001</v>
      </c>
      <c r="L17" s="33">
        <v>1238.18</v>
      </c>
      <c r="M17" s="33">
        <v>1234.1300000000001</v>
      </c>
      <c r="N17" s="33">
        <v>1257.6099999999999</v>
      </c>
      <c r="O17" s="61"/>
      <c r="P17" s="61"/>
      <c r="Q17" s="62"/>
      <c r="R17" s="62"/>
      <c r="S17" s="181"/>
      <c r="T17" s="182"/>
      <c r="U17" s="185"/>
      <c r="V17" s="246"/>
      <c r="W17" s="33"/>
      <c r="X17" s="186"/>
      <c r="Y17" s="186"/>
      <c r="Z17" s="186"/>
      <c r="AA17" s="186"/>
    </row>
    <row r="18" spans="1:29" ht="13.3" thickBot="1" x14ac:dyDescent="0.3">
      <c r="A18" s="283"/>
      <c r="B18" s="58"/>
      <c r="C18" s="59"/>
      <c r="D18" s="60"/>
      <c r="E18" s="74" t="s">
        <v>196</v>
      </c>
      <c r="F18" s="71">
        <f t="shared" ref="F18:N18" si="2">IF(((F16="")*AND(F17="")),"",(F16-F17)*3)</f>
        <v>2021.4300000000005</v>
      </c>
      <c r="G18" s="71">
        <f t="shared" si="2"/>
        <v>1976.8499999999995</v>
      </c>
      <c r="H18" s="71">
        <f t="shared" si="2"/>
        <v>1651.2000000000003</v>
      </c>
      <c r="I18" s="71">
        <f t="shared" si="2"/>
        <v>2080.56</v>
      </c>
      <c r="J18" s="71">
        <f t="shared" si="2"/>
        <v>1991.22</v>
      </c>
      <c r="K18" s="71">
        <f t="shared" si="2"/>
        <v>1981.8899999999996</v>
      </c>
      <c r="L18" s="71">
        <f t="shared" si="2"/>
        <v>2072.25</v>
      </c>
      <c r="M18" s="71">
        <f t="shared" si="2"/>
        <v>1827.06</v>
      </c>
      <c r="N18" s="71">
        <f t="shared" si="2"/>
        <v>2047.9500000000003</v>
      </c>
      <c r="O18" s="61"/>
      <c r="P18" s="61"/>
      <c r="Q18" s="62"/>
      <c r="R18" s="62"/>
      <c r="S18" s="181"/>
      <c r="T18" s="182"/>
      <c r="U18" s="185"/>
      <c r="V18" s="246"/>
      <c r="W18" s="33"/>
      <c r="X18" s="186"/>
      <c r="Y18" s="186"/>
      <c r="Z18" s="186"/>
      <c r="AA18" s="186"/>
    </row>
    <row r="19" spans="1:29" x14ac:dyDescent="0.25">
      <c r="A19" s="282">
        <v>43101</v>
      </c>
      <c r="B19" s="72" t="s">
        <v>172</v>
      </c>
      <c r="C19" s="73" t="s">
        <v>174</v>
      </c>
      <c r="D19" s="72" t="s">
        <v>195</v>
      </c>
      <c r="E19" s="88" t="s">
        <v>192</v>
      </c>
      <c r="F19" s="33">
        <v>1972.17</v>
      </c>
      <c r="G19" s="33">
        <v>1968.16</v>
      </c>
      <c r="H19" s="33">
        <v>1963.28</v>
      </c>
      <c r="I19" s="33">
        <v>1968.19</v>
      </c>
      <c r="J19" s="33">
        <v>1977.2</v>
      </c>
      <c r="K19" s="33">
        <v>1973.32</v>
      </c>
      <c r="L19" s="33">
        <v>1966.42</v>
      </c>
      <c r="M19" s="33">
        <v>1971.28</v>
      </c>
      <c r="N19" s="33">
        <v>1975.94</v>
      </c>
      <c r="O19" s="74">
        <f>IF((N20=""),"",MAX(F21:N21))</f>
        <v>2204.88</v>
      </c>
      <c r="P19" s="74">
        <f>IF(N20="","",MIN(F21:N21))</f>
        <v>2097.66</v>
      </c>
      <c r="Q19" s="75">
        <f>IF((N21=""),"",AVERAGE(F21:N21))</f>
        <v>2140.1733333333341</v>
      </c>
      <c r="R19" s="75">
        <f>IF((N20=""),"",(O19-P19)/(O19+P19)*100)</f>
        <v>2.4920163438341132</v>
      </c>
      <c r="S19" s="181">
        <f>STDEV(F21:N21)</f>
        <v>39.538968436215015</v>
      </c>
      <c r="T19" s="191" t="str">
        <f>IF(N20="","",IF(Q19&gt;1940,IF(R19&lt;8.3,IF(Q19&lt;2180,"Pass","Fail"),"Fail"),"Fail"))</f>
        <v>Pass</v>
      </c>
      <c r="U19" s="185">
        <v>1428</v>
      </c>
      <c r="V19" s="246"/>
      <c r="W19" s="33"/>
      <c r="X19" s="184">
        <v>2000</v>
      </c>
      <c r="Y19" s="184">
        <v>3000</v>
      </c>
      <c r="Z19" s="184">
        <v>1940</v>
      </c>
      <c r="AA19" s="184">
        <v>2180</v>
      </c>
      <c r="AB19" s="57">
        <v>5.2</v>
      </c>
    </row>
    <row r="20" spans="1:29" x14ac:dyDescent="0.25">
      <c r="A20" s="281"/>
      <c r="B20" s="58"/>
      <c r="C20" s="59"/>
      <c r="D20" s="60"/>
      <c r="E20" s="88" t="s">
        <v>193</v>
      </c>
      <c r="F20" s="33">
        <v>1237.21</v>
      </c>
      <c r="G20" s="33">
        <v>1259.05</v>
      </c>
      <c r="H20" s="33">
        <v>1263.21</v>
      </c>
      <c r="I20" s="33">
        <v>1264.44</v>
      </c>
      <c r="J20" s="33">
        <v>1263.49</v>
      </c>
      <c r="K20" s="33">
        <v>1261.25</v>
      </c>
      <c r="L20" s="33">
        <v>1267.2</v>
      </c>
      <c r="M20" s="33">
        <v>1257.8499999999999</v>
      </c>
      <c r="N20" s="33">
        <v>1241.74</v>
      </c>
      <c r="O20" s="61"/>
      <c r="P20" s="61"/>
      <c r="Q20" s="62"/>
      <c r="R20" s="62"/>
      <c r="S20" s="181"/>
      <c r="T20" s="182"/>
      <c r="U20" s="185"/>
      <c r="V20" s="246"/>
      <c r="W20" s="33"/>
      <c r="X20" s="186"/>
      <c r="Y20" s="186"/>
      <c r="Z20" s="186"/>
      <c r="AA20" s="186"/>
    </row>
    <row r="21" spans="1:29" ht="13.3" thickBot="1" x14ac:dyDescent="0.3">
      <c r="A21" s="283"/>
      <c r="B21" s="76"/>
      <c r="C21" s="77"/>
      <c r="D21" s="78"/>
      <c r="E21" s="92" t="s">
        <v>196</v>
      </c>
      <c r="F21" s="79">
        <f t="shared" ref="F21:N21" si="3">IF(((F19="")*AND(F20="")),"",(F19-F20)*3)</f>
        <v>2204.88</v>
      </c>
      <c r="G21" s="79">
        <f t="shared" si="3"/>
        <v>2127.3300000000004</v>
      </c>
      <c r="H21" s="79">
        <f t="shared" si="3"/>
        <v>2100.21</v>
      </c>
      <c r="I21" s="79">
        <f t="shared" si="3"/>
        <v>2111.25</v>
      </c>
      <c r="J21" s="79">
        <f t="shared" si="3"/>
        <v>2141.13</v>
      </c>
      <c r="K21" s="79">
        <f t="shared" si="3"/>
        <v>2136.21</v>
      </c>
      <c r="L21" s="79">
        <f t="shared" si="3"/>
        <v>2097.66</v>
      </c>
      <c r="M21" s="79">
        <f t="shared" si="3"/>
        <v>2140.29</v>
      </c>
      <c r="N21" s="79">
        <f t="shared" si="3"/>
        <v>2202.6000000000004</v>
      </c>
      <c r="O21" s="80"/>
      <c r="P21" s="80"/>
      <c r="Q21" s="81"/>
      <c r="R21" s="81"/>
      <c r="S21" s="181"/>
      <c r="T21" s="192"/>
      <c r="U21" s="193"/>
      <c r="V21" s="246"/>
      <c r="W21" s="33"/>
      <c r="X21" s="186"/>
      <c r="Y21" s="186"/>
      <c r="Z21" s="186"/>
      <c r="AA21" s="186"/>
    </row>
    <row r="22" spans="1:29" x14ac:dyDescent="0.25">
      <c r="A22" s="280">
        <v>43105</v>
      </c>
      <c r="B22" s="52" t="s">
        <v>191</v>
      </c>
      <c r="C22" s="53" t="s">
        <v>176</v>
      </c>
      <c r="D22" s="54" t="s">
        <v>175</v>
      </c>
      <c r="E22" s="86" t="s">
        <v>192</v>
      </c>
      <c r="F22" s="33">
        <v>25260.86</v>
      </c>
      <c r="G22" s="33">
        <v>25351.360000000001</v>
      </c>
      <c r="H22" s="33">
        <v>25483.759999999998</v>
      </c>
      <c r="I22" s="33">
        <v>25362.28</v>
      </c>
      <c r="J22" s="33">
        <v>25302.81</v>
      </c>
      <c r="K22" s="33">
        <v>25201.439999999999</v>
      </c>
      <c r="L22" s="33">
        <v>25346.43</v>
      </c>
      <c r="M22" s="33">
        <v>25338.68</v>
      </c>
      <c r="N22" s="33">
        <v>25332.61</v>
      </c>
      <c r="O22" s="55">
        <f>IF((N23=""),"",MAX(F24:N24))</f>
        <v>5096.6699999999983</v>
      </c>
      <c r="P22" s="55">
        <f>IF(N23="","",MIN(F24:N24))</f>
        <v>4356.8399999999965</v>
      </c>
      <c r="Q22" s="56">
        <f>IF((N24=""),"",AVERAGE(F24:N24))</f>
        <v>4705.3766666666652</v>
      </c>
      <c r="R22" s="56">
        <f>IF((N23=""),"",(O22-P22)/(O22+P22)*100)</f>
        <v>7.8259820955391399</v>
      </c>
      <c r="S22" s="181">
        <f>STDEV(F24:N24)</f>
        <v>318.91898242343859</v>
      </c>
      <c r="T22" s="182" t="str">
        <f>IF(N23="","",IF(R22&lt;16,IF(Q22&gt;3200,IF(R22,IF(Q22&lt;5240,"Pass","Fail"),"Fail"),"Fail")))</f>
        <v>Pass</v>
      </c>
      <c r="U22" s="183" t="s">
        <v>197</v>
      </c>
      <c r="V22" s="246"/>
      <c r="W22" s="33"/>
      <c r="X22" s="184">
        <v>4200</v>
      </c>
      <c r="Y22" s="184">
        <v>5500</v>
      </c>
      <c r="Z22" s="184">
        <v>3200</v>
      </c>
      <c r="AA22" s="184">
        <v>5240</v>
      </c>
      <c r="AB22" s="57">
        <v>16</v>
      </c>
    </row>
    <row r="23" spans="1:29" x14ac:dyDescent="0.25">
      <c r="A23" s="281"/>
      <c r="B23" s="58"/>
      <c r="C23" s="59"/>
      <c r="D23" s="60"/>
      <c r="E23" s="88" t="s">
        <v>193</v>
      </c>
      <c r="F23" s="33">
        <v>23564.799999999999</v>
      </c>
      <c r="G23" s="33">
        <v>23853.91</v>
      </c>
      <c r="H23" s="33">
        <v>24031.48</v>
      </c>
      <c r="I23" s="33">
        <v>23890.7</v>
      </c>
      <c r="J23" s="33">
        <v>23646.93</v>
      </c>
      <c r="K23" s="33">
        <v>23537.17</v>
      </c>
      <c r="L23" s="33">
        <v>23858.9</v>
      </c>
      <c r="M23" s="33">
        <v>23846.49</v>
      </c>
      <c r="N23" s="33">
        <v>23633.72</v>
      </c>
      <c r="O23" s="61"/>
      <c r="P23" s="61"/>
      <c r="Q23" s="62"/>
      <c r="R23" s="62"/>
      <c r="S23" s="181"/>
      <c r="T23" s="182"/>
      <c r="U23" s="185"/>
      <c r="V23" s="246"/>
      <c r="W23" s="33"/>
      <c r="X23" s="186"/>
      <c r="Y23" s="186"/>
      <c r="Z23" s="186"/>
      <c r="AA23" s="186"/>
    </row>
    <row r="24" spans="1:29" ht="22.75" thickBot="1" x14ac:dyDescent="0.3">
      <c r="A24" s="271"/>
      <c r="B24" s="63"/>
      <c r="C24" s="64"/>
      <c r="D24" s="65"/>
      <c r="E24" s="88" t="s">
        <v>194</v>
      </c>
      <c r="F24" s="66">
        <f t="shared" ref="F24:N24" si="4">IF(((F22="")*AND(F23="")),"",(F22-F23)*3)</f>
        <v>5088.1800000000039</v>
      </c>
      <c r="G24" s="66">
        <f t="shared" si="4"/>
        <v>4492.3500000000022</v>
      </c>
      <c r="H24" s="66">
        <f t="shared" si="4"/>
        <v>4356.8399999999965</v>
      </c>
      <c r="I24" s="66">
        <f t="shared" si="4"/>
        <v>4414.7399999999943</v>
      </c>
      <c r="J24" s="66">
        <f t="shared" si="4"/>
        <v>4967.6400000000031</v>
      </c>
      <c r="K24" s="66">
        <f t="shared" si="4"/>
        <v>4992.8100000000013</v>
      </c>
      <c r="L24" s="66">
        <f t="shared" si="4"/>
        <v>4462.5899999999965</v>
      </c>
      <c r="M24" s="66">
        <f t="shared" si="4"/>
        <v>4476.5699999999961</v>
      </c>
      <c r="N24" s="66">
        <f t="shared" si="4"/>
        <v>5096.6699999999983</v>
      </c>
      <c r="O24" s="67"/>
      <c r="P24" s="67"/>
      <c r="Q24" s="68"/>
      <c r="R24" s="68"/>
      <c r="S24" s="181"/>
      <c r="T24" s="187"/>
      <c r="U24" s="188"/>
      <c r="V24" s="246"/>
      <c r="W24" s="33"/>
      <c r="X24" s="186"/>
      <c r="Y24" s="186"/>
      <c r="Z24" s="186"/>
      <c r="AA24" s="186"/>
    </row>
    <row r="25" spans="1:29" x14ac:dyDescent="0.25">
      <c r="A25" s="282">
        <v>43105</v>
      </c>
      <c r="B25" s="69" t="s">
        <v>177</v>
      </c>
      <c r="C25" s="59" t="s">
        <v>179</v>
      </c>
      <c r="D25" s="70" t="s">
        <v>178</v>
      </c>
      <c r="E25" s="67" t="s">
        <v>192</v>
      </c>
      <c r="F25" s="33">
        <v>6871.91</v>
      </c>
      <c r="G25" s="33">
        <v>6867.18</v>
      </c>
      <c r="H25" s="33">
        <v>6881.18</v>
      </c>
      <c r="I25" s="33">
        <v>6844.27</v>
      </c>
      <c r="J25" s="33">
        <v>6838.7</v>
      </c>
      <c r="K25" s="33">
        <v>6864.9</v>
      </c>
      <c r="L25" s="33">
        <v>6891.75</v>
      </c>
      <c r="M25" s="33">
        <v>6866.4</v>
      </c>
      <c r="N25" s="33">
        <v>6838.22</v>
      </c>
      <c r="O25" s="61">
        <f>IF((N26=""),"",MAX(F27:N27))</f>
        <v>4037.3599999999988</v>
      </c>
      <c r="P25" s="61">
        <f>IF(N26="","",MIN(F27:N27))</f>
        <v>3787.16</v>
      </c>
      <c r="Q25" s="62">
        <f>IF((N27=""),"",AVERAGE(F27:N27))</f>
        <v>3951.6644444444441</v>
      </c>
      <c r="R25" s="62">
        <f>IF((N26=""),"",(O25-P25)/(O25+P25)*100)</f>
        <v>3.1976402386344334</v>
      </c>
      <c r="S25" s="181">
        <f>STDEV(F27:N27)</f>
        <v>83.9048644464539</v>
      </c>
      <c r="T25" s="189" t="str">
        <f>IF(N26="","",IF(Q25&gt;3650,IF(R25&lt;6.5,IF(Q25&lt;4450,"Pass","Fail"),"Fail"),"Fail"))</f>
        <v>Pass</v>
      </c>
      <c r="U25" s="183" t="s">
        <v>197</v>
      </c>
      <c r="V25" s="246"/>
      <c r="W25" s="33"/>
      <c r="X25" s="184">
        <v>3650</v>
      </c>
      <c r="Y25" s="184">
        <v>4450</v>
      </c>
      <c r="Z25" s="184">
        <v>3700</v>
      </c>
      <c r="AA25" s="184">
        <v>4100</v>
      </c>
      <c r="AB25" s="57">
        <v>6.5</v>
      </c>
      <c r="AC25" s="57">
        <v>7</v>
      </c>
    </row>
    <row r="26" spans="1:29" x14ac:dyDescent="0.25">
      <c r="A26" s="281"/>
      <c r="B26" s="69"/>
      <c r="C26" s="59"/>
      <c r="D26" s="60"/>
      <c r="E26" s="88" t="s">
        <v>193</v>
      </c>
      <c r="F26" s="33">
        <v>4927.8999999999996</v>
      </c>
      <c r="G26" s="33">
        <v>4862.95</v>
      </c>
      <c r="H26" s="33">
        <v>4871.5600000000004</v>
      </c>
      <c r="I26" s="33">
        <v>4846.37</v>
      </c>
      <c r="J26" s="33">
        <v>4901.8900000000003</v>
      </c>
      <c r="K26" s="33">
        <v>4971.32</v>
      </c>
      <c r="L26" s="33">
        <v>4893.6899999999996</v>
      </c>
      <c r="M26" s="33">
        <v>4847.72</v>
      </c>
      <c r="N26" s="33">
        <v>4858.62</v>
      </c>
      <c r="O26" s="61"/>
      <c r="P26" s="61"/>
      <c r="Q26" s="62"/>
      <c r="R26" s="62"/>
      <c r="S26" s="181"/>
      <c r="T26" s="182"/>
      <c r="U26" s="190"/>
      <c r="V26" s="247"/>
      <c r="W26" s="33"/>
      <c r="X26" s="186"/>
      <c r="Y26" s="186"/>
      <c r="Z26" s="186"/>
      <c r="AA26" s="186"/>
    </row>
    <row r="27" spans="1:29" ht="22.75" thickBot="1" x14ac:dyDescent="0.3">
      <c r="A27" s="271"/>
      <c r="B27" s="69"/>
      <c r="C27" s="59"/>
      <c r="D27" s="60"/>
      <c r="E27" s="74" t="s">
        <v>194</v>
      </c>
      <c r="F27" s="71">
        <f t="shared" ref="F27:N27" si="5">IF(((F25="")*AND(F26="")),"",(F25-F26)*2)</f>
        <v>3888.0200000000004</v>
      </c>
      <c r="G27" s="71">
        <f t="shared" si="5"/>
        <v>4008.4600000000009</v>
      </c>
      <c r="H27" s="71">
        <f t="shared" si="5"/>
        <v>4019.24</v>
      </c>
      <c r="I27" s="71">
        <f t="shared" si="5"/>
        <v>3995.8000000000011</v>
      </c>
      <c r="J27" s="71">
        <f t="shared" si="5"/>
        <v>3873.619999999999</v>
      </c>
      <c r="K27" s="71">
        <f t="shared" si="5"/>
        <v>3787.16</v>
      </c>
      <c r="L27" s="71">
        <f t="shared" si="5"/>
        <v>3996.1200000000008</v>
      </c>
      <c r="M27" s="71">
        <f t="shared" si="5"/>
        <v>4037.3599999999988</v>
      </c>
      <c r="N27" s="71">
        <f t="shared" si="5"/>
        <v>3959.2000000000007</v>
      </c>
      <c r="O27" s="61"/>
      <c r="P27" s="61"/>
      <c r="Q27" s="62"/>
      <c r="R27" s="62"/>
      <c r="S27" s="181"/>
      <c r="T27" s="182"/>
      <c r="U27" s="190"/>
      <c r="V27" s="247"/>
      <c r="W27" s="33"/>
      <c r="X27" s="186"/>
      <c r="Y27" s="186"/>
      <c r="Z27" s="186"/>
      <c r="AA27" s="186"/>
    </row>
    <row r="28" spans="1:29" x14ac:dyDescent="0.25">
      <c r="A28" s="282">
        <v>43105</v>
      </c>
      <c r="B28" s="72" t="s">
        <v>172</v>
      </c>
      <c r="C28" s="73" t="s">
        <v>174</v>
      </c>
      <c r="D28" s="72" t="s">
        <v>195</v>
      </c>
      <c r="E28" s="88" t="s">
        <v>192</v>
      </c>
      <c r="F28" s="33">
        <v>1241.3499999999999</v>
      </c>
      <c r="G28" s="33">
        <v>1261.3</v>
      </c>
      <c r="H28" s="33">
        <v>1260.69</v>
      </c>
      <c r="I28" s="33">
        <v>1267.1199999999999</v>
      </c>
      <c r="J28" s="33">
        <v>1264.3399999999999</v>
      </c>
      <c r="K28" s="33">
        <v>1257.9100000000001</v>
      </c>
      <c r="L28" s="33">
        <v>1268.75</v>
      </c>
      <c r="M28" s="33">
        <v>1258.72</v>
      </c>
      <c r="N28" s="33">
        <v>1246.2</v>
      </c>
      <c r="O28" s="74">
        <f>IF((N29=""),"",MAX(F30:N30))</f>
        <v>2102.52</v>
      </c>
      <c r="P28" s="74">
        <f>IF(N29="","",MIN(F30:N30))</f>
        <v>1969.29</v>
      </c>
      <c r="Q28" s="75">
        <f>IF((N30=""),"",AVERAGE(F30:N30))</f>
        <v>2059.5233333333326</v>
      </c>
      <c r="R28" s="75">
        <f>IF((N29=""),"",(O28-P28)/(O28+P28)*100)</f>
        <v>3.2720092538699008</v>
      </c>
      <c r="S28" s="181">
        <f>STDEV(F30:N30)</f>
        <v>44.640410224369525</v>
      </c>
      <c r="T28" s="191" t="str">
        <f>IF(N29="","",IF(Q28&gt;1940,IF(R28&lt;8.3,IF(Q28&lt;2180,"Pass","Fail"),"Fail"),"Fail"))</f>
        <v>Pass</v>
      </c>
      <c r="U28" s="183" t="s">
        <v>197</v>
      </c>
      <c r="V28" s="246"/>
      <c r="W28" s="33"/>
      <c r="X28" s="184">
        <v>2000</v>
      </c>
      <c r="Y28" s="184">
        <v>3000</v>
      </c>
      <c r="Z28" s="184">
        <v>1940</v>
      </c>
      <c r="AA28" s="184">
        <v>2180</v>
      </c>
      <c r="AB28" s="57">
        <v>5.2</v>
      </c>
    </row>
    <row r="29" spans="1:29" x14ac:dyDescent="0.25">
      <c r="A29" s="281"/>
      <c r="B29" s="58"/>
      <c r="C29" s="59"/>
      <c r="D29" s="60"/>
      <c r="E29" s="88" t="s">
        <v>193</v>
      </c>
      <c r="F29" s="33">
        <v>554.39</v>
      </c>
      <c r="G29" s="33">
        <v>561.47</v>
      </c>
      <c r="H29" s="33">
        <v>567.94000000000005</v>
      </c>
      <c r="I29" s="33">
        <v>572.88</v>
      </c>
      <c r="J29" s="33">
        <v>607.91</v>
      </c>
      <c r="K29" s="33">
        <v>586.49</v>
      </c>
      <c r="L29" s="33">
        <v>571.97</v>
      </c>
      <c r="M29" s="33">
        <v>557.88</v>
      </c>
      <c r="N29" s="33">
        <v>566.88</v>
      </c>
      <c r="O29" s="61"/>
      <c r="P29" s="61"/>
      <c r="Q29" s="62"/>
      <c r="R29" s="62"/>
      <c r="S29" s="181"/>
      <c r="T29" s="182"/>
      <c r="U29" s="185"/>
      <c r="V29" s="246"/>
      <c r="W29" s="33"/>
      <c r="X29" s="186"/>
      <c r="Y29" s="186"/>
      <c r="Z29" s="186"/>
      <c r="AA29" s="186"/>
    </row>
    <row r="30" spans="1:29" ht="13.3" thickBot="1" x14ac:dyDescent="0.3">
      <c r="A30" s="283"/>
      <c r="B30" s="76"/>
      <c r="C30" s="77"/>
      <c r="D30" s="78"/>
      <c r="E30" s="92" t="s">
        <v>196</v>
      </c>
      <c r="F30" s="79">
        <f t="shared" ref="F30:N30" si="6">IF(((F28="")*AND(F29="")),"",(F28-F29)*3)</f>
        <v>2060.8799999999997</v>
      </c>
      <c r="G30" s="79">
        <f t="shared" si="6"/>
        <v>2099.4899999999998</v>
      </c>
      <c r="H30" s="79">
        <f t="shared" si="6"/>
        <v>2078.25</v>
      </c>
      <c r="I30" s="79">
        <f t="shared" si="6"/>
        <v>2082.7199999999998</v>
      </c>
      <c r="J30" s="79">
        <f t="shared" si="6"/>
        <v>1969.29</v>
      </c>
      <c r="K30" s="79">
        <f t="shared" si="6"/>
        <v>2014.2600000000002</v>
      </c>
      <c r="L30" s="79">
        <f t="shared" si="6"/>
        <v>2090.34</v>
      </c>
      <c r="M30" s="79">
        <f t="shared" si="6"/>
        <v>2102.52</v>
      </c>
      <c r="N30" s="79">
        <f t="shared" si="6"/>
        <v>2037.96</v>
      </c>
      <c r="O30" s="80"/>
      <c r="P30" s="80"/>
      <c r="Q30" s="81"/>
      <c r="R30" s="81"/>
      <c r="S30" s="181"/>
      <c r="T30" s="192"/>
      <c r="U30" s="193"/>
      <c r="V30" s="246"/>
      <c r="W30" s="33"/>
      <c r="X30" s="186"/>
      <c r="Y30" s="186"/>
      <c r="Z30" s="186"/>
      <c r="AA30" s="186"/>
    </row>
    <row r="31" spans="1:29" x14ac:dyDescent="0.25">
      <c r="A31" s="282">
        <v>43109</v>
      </c>
      <c r="B31" s="52" t="s">
        <v>191</v>
      </c>
      <c r="C31" s="53" t="s">
        <v>176</v>
      </c>
      <c r="D31" s="54" t="s">
        <v>175</v>
      </c>
      <c r="E31" s="86" t="s">
        <v>192</v>
      </c>
      <c r="F31" s="33">
        <v>23520.94</v>
      </c>
      <c r="G31" s="33">
        <v>23817.93</v>
      </c>
      <c r="H31" s="33">
        <v>24001.83</v>
      </c>
      <c r="I31" s="33">
        <v>23862.7</v>
      </c>
      <c r="J31" s="33">
        <v>23608.01</v>
      </c>
      <c r="K31" s="33">
        <v>23501.75</v>
      </c>
      <c r="L31" s="33">
        <v>23830</v>
      </c>
      <c r="M31" s="33">
        <v>23811</v>
      </c>
      <c r="N31" s="33">
        <v>23587.06</v>
      </c>
      <c r="O31" s="55">
        <f>IF((N32=""),"",MAX(F33:N33))</f>
        <v>5027.6699999999983</v>
      </c>
      <c r="P31" s="55">
        <f>IF(N32="","",MIN(F33:N33))</f>
        <v>4368.96000000001</v>
      </c>
      <c r="Q31" s="56">
        <f>IF((N33=""),"",AVERAGE(F33:N33))</f>
        <v>4673.4600000000028</v>
      </c>
      <c r="R31" s="56">
        <f>IF((N32=""),"",(O31-P31)/(O31+P31)*100)</f>
        <v>7.0100663748597913</v>
      </c>
      <c r="S31" s="181">
        <f>STDEV(F33:N33)</f>
        <v>302.75820525627074</v>
      </c>
      <c r="T31" s="182" t="str">
        <f>IF(N32="","",IF(R31&lt;16,IF(Q31&gt;3200,IF(R31,IF(Q31&lt;5240,"Pass","Fail"),"Fail"),"Fail")))</f>
        <v>Pass</v>
      </c>
      <c r="U31" s="183">
        <v>1335</v>
      </c>
      <c r="V31" s="246"/>
      <c r="W31" s="33"/>
      <c r="X31" s="184">
        <v>4200</v>
      </c>
      <c r="Y31" s="184">
        <v>5500</v>
      </c>
      <c r="Z31" s="184">
        <v>3200</v>
      </c>
      <c r="AA31" s="184">
        <v>5240</v>
      </c>
      <c r="AB31" s="57">
        <v>16</v>
      </c>
    </row>
    <row r="32" spans="1:29" x14ac:dyDescent="0.25">
      <c r="A32" s="281"/>
      <c r="B32" s="58"/>
      <c r="C32" s="59"/>
      <c r="D32" s="60"/>
      <c r="E32" s="88" t="s">
        <v>193</v>
      </c>
      <c r="F32" s="33">
        <v>21873.14</v>
      </c>
      <c r="G32" s="33">
        <v>22341.01</v>
      </c>
      <c r="H32" s="33">
        <v>22545.51</v>
      </c>
      <c r="I32" s="33">
        <v>22384.92</v>
      </c>
      <c r="J32" s="33">
        <v>21932.12</v>
      </c>
      <c r="K32" s="33">
        <v>21840.16</v>
      </c>
      <c r="L32" s="33">
        <v>22342.75</v>
      </c>
      <c r="M32" s="33">
        <v>22343.119999999999</v>
      </c>
      <c r="N32" s="33">
        <v>21918.11</v>
      </c>
      <c r="O32" s="61"/>
      <c r="P32" s="61"/>
      <c r="Q32" s="62"/>
      <c r="R32" s="62"/>
      <c r="S32" s="181"/>
      <c r="T32" s="182"/>
      <c r="U32" s="185"/>
      <c r="V32" s="246"/>
      <c r="W32" s="33"/>
      <c r="X32" s="186"/>
      <c r="Y32" s="186"/>
      <c r="Z32" s="186"/>
      <c r="AA32" s="186"/>
    </row>
    <row r="33" spans="1:29" ht="22.75" thickBot="1" x14ac:dyDescent="0.3">
      <c r="A33" s="283"/>
      <c r="B33" s="63"/>
      <c r="C33" s="64"/>
      <c r="D33" s="65"/>
      <c r="E33" s="88" t="s">
        <v>194</v>
      </c>
      <c r="F33" s="66">
        <f t="shared" ref="F33:N33" si="7">IF(((F31="")*AND(F32="")),"",(F31-F32)*3)</f>
        <v>4943.3999999999978</v>
      </c>
      <c r="G33" s="66">
        <f t="shared" si="7"/>
        <v>4430.7600000000057</v>
      </c>
      <c r="H33" s="66">
        <f t="shared" si="7"/>
        <v>4368.96000000001</v>
      </c>
      <c r="I33" s="66">
        <f t="shared" si="7"/>
        <v>4433.3400000000074</v>
      </c>
      <c r="J33" s="66">
        <f t="shared" si="7"/>
        <v>5027.6699999999983</v>
      </c>
      <c r="K33" s="66">
        <f t="shared" si="7"/>
        <v>4984.7700000000004</v>
      </c>
      <c r="L33" s="66">
        <f t="shared" si="7"/>
        <v>4461.75</v>
      </c>
      <c r="M33" s="66">
        <f t="shared" si="7"/>
        <v>4403.6400000000031</v>
      </c>
      <c r="N33" s="66">
        <f t="shared" si="7"/>
        <v>5006.8500000000022</v>
      </c>
      <c r="O33" s="67"/>
      <c r="P33" s="67"/>
      <c r="Q33" s="68"/>
      <c r="R33" s="68"/>
      <c r="S33" s="181"/>
      <c r="T33" s="187"/>
      <c r="U33" s="188"/>
      <c r="V33" s="246"/>
      <c r="W33" s="33"/>
      <c r="X33" s="186"/>
      <c r="Y33" s="186"/>
      <c r="Z33" s="186"/>
      <c r="AA33" s="186"/>
    </row>
    <row r="34" spans="1:29" x14ac:dyDescent="0.25">
      <c r="A34" s="282">
        <v>43109</v>
      </c>
      <c r="B34" s="69" t="s">
        <v>177</v>
      </c>
      <c r="C34" s="59" t="s">
        <v>179</v>
      </c>
      <c r="D34" s="70" t="s">
        <v>178</v>
      </c>
      <c r="E34" s="67" t="s">
        <v>192</v>
      </c>
      <c r="F34" s="33">
        <v>4934.08</v>
      </c>
      <c r="G34" s="33">
        <v>4870.7</v>
      </c>
      <c r="H34" s="33">
        <v>4878.93</v>
      </c>
      <c r="I34" s="33">
        <v>4854.3500000000004</v>
      </c>
      <c r="J34" s="33">
        <v>4908.2</v>
      </c>
      <c r="K34" s="33">
        <v>4976.6400000000003</v>
      </c>
      <c r="L34" s="33">
        <v>4900.54</v>
      </c>
      <c r="M34" s="33">
        <v>4855.75</v>
      </c>
      <c r="N34" s="33">
        <v>4866.63</v>
      </c>
      <c r="O34" s="61">
        <f>IF((N35=""),"",MAX(F36:N36))</f>
        <v>4034.0600000000004</v>
      </c>
      <c r="P34" s="61">
        <f>IF(N35="","",MIN(F36:N36))</f>
        <v>3787.6000000000004</v>
      </c>
      <c r="Q34" s="62">
        <f>IF((N36=""),"",AVERAGE(F36:N36))</f>
        <v>3954.4000000000005</v>
      </c>
      <c r="R34" s="62">
        <f>IF((N35=""),"",(O34-P34)/(O34+P34)*100)</f>
        <v>3.1509935231140194</v>
      </c>
      <c r="S34" s="181">
        <f>STDEV(F36:N36)</f>
        <v>87.898112607723334</v>
      </c>
      <c r="T34" s="189" t="str">
        <f>IF(N35="","",IF(Q34&gt;3650,IF(R34&lt;6.5,IF(Q34&lt;4450,"Pass","Fail"),"Fail"),"Fail"))</f>
        <v>Pass</v>
      </c>
      <c r="U34" s="185">
        <v>1335</v>
      </c>
      <c r="V34" s="246"/>
      <c r="W34" s="33"/>
      <c r="X34" s="184">
        <v>3650</v>
      </c>
      <c r="Y34" s="184">
        <v>4450</v>
      </c>
      <c r="Z34" s="184">
        <v>3700</v>
      </c>
      <c r="AA34" s="184">
        <v>4100</v>
      </c>
      <c r="AB34" s="57">
        <v>6.5</v>
      </c>
      <c r="AC34" s="57">
        <v>7</v>
      </c>
    </row>
    <row r="35" spans="1:29" x14ac:dyDescent="0.25">
      <c r="A35" s="281"/>
      <c r="B35" s="69"/>
      <c r="C35" s="59"/>
      <c r="D35" s="60"/>
      <c r="E35" s="88" t="s">
        <v>193</v>
      </c>
      <c r="F35" s="33">
        <v>2994.16</v>
      </c>
      <c r="G35" s="33">
        <v>2863.28</v>
      </c>
      <c r="H35" s="33">
        <v>2864.1</v>
      </c>
      <c r="I35" s="33">
        <v>2848.08</v>
      </c>
      <c r="J35" s="33">
        <v>2970.88</v>
      </c>
      <c r="K35" s="33">
        <v>3082.84</v>
      </c>
      <c r="L35" s="33">
        <v>2896.07</v>
      </c>
      <c r="M35" s="33">
        <v>2838.72</v>
      </c>
      <c r="N35" s="33">
        <v>2892.89</v>
      </c>
      <c r="O35" s="61"/>
      <c r="P35" s="61"/>
      <c r="Q35" s="62"/>
      <c r="R35" s="62"/>
      <c r="S35" s="181"/>
      <c r="T35" s="182"/>
      <c r="U35" s="190"/>
      <c r="V35" s="247"/>
      <c r="W35" s="33"/>
      <c r="X35" s="186"/>
      <c r="Y35" s="186"/>
      <c r="Z35" s="186"/>
      <c r="AA35" s="186"/>
    </row>
    <row r="36" spans="1:29" ht="22.75" thickBot="1" x14ac:dyDescent="0.3">
      <c r="A36" s="283"/>
      <c r="B36" s="69"/>
      <c r="C36" s="59"/>
      <c r="D36" s="60"/>
      <c r="E36" s="74" t="s">
        <v>194</v>
      </c>
      <c r="F36" s="71">
        <f t="shared" ref="F36:N36" si="8">IF(((F34="")*AND(F35="")),"",(F34-F35)*2)</f>
        <v>3879.84</v>
      </c>
      <c r="G36" s="71">
        <f t="shared" si="8"/>
        <v>4014.8399999999992</v>
      </c>
      <c r="H36" s="71">
        <f t="shared" si="8"/>
        <v>4029.6600000000008</v>
      </c>
      <c r="I36" s="71">
        <f t="shared" si="8"/>
        <v>4012.5400000000009</v>
      </c>
      <c r="J36" s="71">
        <f t="shared" si="8"/>
        <v>3874.6399999999994</v>
      </c>
      <c r="K36" s="71">
        <f t="shared" si="8"/>
        <v>3787.6000000000004</v>
      </c>
      <c r="L36" s="71">
        <f t="shared" si="8"/>
        <v>4008.9399999999996</v>
      </c>
      <c r="M36" s="71">
        <f t="shared" si="8"/>
        <v>4034.0600000000004</v>
      </c>
      <c r="N36" s="71">
        <f t="shared" si="8"/>
        <v>3947.4800000000005</v>
      </c>
      <c r="O36" s="61"/>
      <c r="P36" s="61"/>
      <c r="Q36" s="62"/>
      <c r="R36" s="62"/>
      <c r="S36" s="181"/>
      <c r="T36" s="182"/>
      <c r="U36" s="190"/>
      <c r="V36" s="247"/>
      <c r="W36" s="33"/>
      <c r="X36" s="186"/>
      <c r="Y36" s="186"/>
      <c r="Z36" s="186"/>
      <c r="AA36" s="186"/>
    </row>
    <row r="37" spans="1:29" x14ac:dyDescent="0.25">
      <c r="A37" s="282">
        <v>43109</v>
      </c>
      <c r="B37" s="72" t="s">
        <v>172</v>
      </c>
      <c r="C37" s="73" t="s">
        <v>174</v>
      </c>
      <c r="D37" s="72" t="s">
        <v>195</v>
      </c>
      <c r="E37" s="88" t="s">
        <v>192</v>
      </c>
      <c r="F37" s="33">
        <v>1997.29</v>
      </c>
      <c r="G37" s="33">
        <v>1984.86</v>
      </c>
      <c r="H37" s="33">
        <v>1983.45</v>
      </c>
      <c r="I37" s="33">
        <v>1985.15</v>
      </c>
      <c r="J37" s="33">
        <v>2004.59</v>
      </c>
      <c r="K37" s="33">
        <v>2001.53</v>
      </c>
      <c r="L37" s="33">
        <v>1988.45</v>
      </c>
      <c r="M37" s="33">
        <v>1986.23</v>
      </c>
      <c r="N37" s="33">
        <v>2003.12</v>
      </c>
      <c r="O37" s="74">
        <f>IF((N38=""),"",MAX(F39:N39))</f>
        <v>2192.6699999999996</v>
      </c>
      <c r="P37" s="74">
        <f>IF(N38="","",MIN(F39:N39))</f>
        <v>2127.21</v>
      </c>
      <c r="Q37" s="75">
        <f>IF((N39=""),"",AVERAGE(F39:N39))</f>
        <v>2164.8033333333328</v>
      </c>
      <c r="R37" s="75">
        <f>IF((N38=""),"",(O37-P37)/(O37+P37)*100)</f>
        <v>1.5153198699963792</v>
      </c>
      <c r="S37" s="181">
        <f>STDEV(F39:N39)</f>
        <v>23.04076387622597</v>
      </c>
      <c r="T37" s="191" t="str">
        <f>IF(N38="","",IF(Q37&gt;1940,IF(R37&lt;8.3,IF(Q37&lt;2180,"Pass","Fail"),"Fail"),"Fail"))</f>
        <v>Pass</v>
      </c>
      <c r="U37" s="185">
        <v>1335</v>
      </c>
      <c r="V37" s="246"/>
      <c r="W37" s="33"/>
      <c r="X37" s="184">
        <v>2000</v>
      </c>
      <c r="Y37" s="184">
        <v>3000</v>
      </c>
      <c r="Z37" s="184">
        <v>1940</v>
      </c>
      <c r="AA37" s="184">
        <v>2180</v>
      </c>
      <c r="AB37" s="57">
        <v>5.2</v>
      </c>
    </row>
    <row r="38" spans="1:29" x14ac:dyDescent="0.25">
      <c r="A38" s="281"/>
      <c r="B38" s="58"/>
      <c r="C38" s="59"/>
      <c r="D38" s="60"/>
      <c r="E38" s="88" t="s">
        <v>193</v>
      </c>
      <c r="F38" s="33">
        <v>1271.5899999999999</v>
      </c>
      <c r="G38" s="33">
        <v>1260.22</v>
      </c>
      <c r="H38" s="33">
        <v>1261.3699999999999</v>
      </c>
      <c r="I38" s="33">
        <v>1263.42</v>
      </c>
      <c r="J38" s="33">
        <v>1295.4000000000001</v>
      </c>
      <c r="K38" s="33">
        <v>1292.46</v>
      </c>
      <c r="L38" s="33">
        <v>1265.81</v>
      </c>
      <c r="M38" s="33">
        <v>1257.76</v>
      </c>
      <c r="N38" s="33">
        <v>1272.23</v>
      </c>
      <c r="O38" s="61"/>
      <c r="P38" s="61"/>
      <c r="Q38" s="62"/>
      <c r="R38" s="62"/>
      <c r="S38" s="181"/>
      <c r="T38" s="182"/>
      <c r="U38" s="185"/>
      <c r="V38" s="246"/>
      <c r="W38" s="33"/>
      <c r="X38" s="186"/>
      <c r="Y38" s="186"/>
      <c r="Z38" s="186"/>
      <c r="AA38" s="186"/>
    </row>
    <row r="39" spans="1:29" ht="13.3" thickBot="1" x14ac:dyDescent="0.3">
      <c r="A39" s="283"/>
      <c r="B39" s="76"/>
      <c r="C39" s="77"/>
      <c r="D39" s="78"/>
      <c r="E39" s="92" t="s">
        <v>196</v>
      </c>
      <c r="F39" s="79">
        <f t="shared" ref="F39:N39" si="9">IF(((F37="")*AND(F38="")),"",(F37-F38)*3)</f>
        <v>2177.1000000000004</v>
      </c>
      <c r="G39" s="79">
        <f t="shared" si="9"/>
        <v>2173.9199999999996</v>
      </c>
      <c r="H39" s="79">
        <f t="shared" si="9"/>
        <v>2166.2400000000007</v>
      </c>
      <c r="I39" s="79">
        <f t="shared" si="9"/>
        <v>2165.19</v>
      </c>
      <c r="J39" s="79">
        <f t="shared" si="9"/>
        <v>2127.5699999999997</v>
      </c>
      <c r="K39" s="79">
        <f t="shared" si="9"/>
        <v>2127.21</v>
      </c>
      <c r="L39" s="79">
        <f t="shared" si="9"/>
        <v>2167.92</v>
      </c>
      <c r="M39" s="79">
        <f t="shared" si="9"/>
        <v>2185.41</v>
      </c>
      <c r="N39" s="79">
        <f t="shared" si="9"/>
        <v>2192.6699999999996</v>
      </c>
      <c r="O39" s="80"/>
      <c r="P39" s="80"/>
      <c r="Q39" s="81"/>
      <c r="R39" s="81"/>
      <c r="S39" s="181"/>
      <c r="T39" s="192"/>
      <c r="U39" s="193"/>
      <c r="V39" s="246"/>
      <c r="W39" s="33"/>
      <c r="X39" s="186"/>
      <c r="Y39" s="186"/>
      <c r="Z39" s="186"/>
      <c r="AA39" s="186"/>
    </row>
    <row r="40" spans="1:29" x14ac:dyDescent="0.25">
      <c r="A40" s="282">
        <v>43112</v>
      </c>
      <c r="B40" s="52" t="s">
        <v>191</v>
      </c>
      <c r="C40" s="53" t="s">
        <v>176</v>
      </c>
      <c r="D40" s="54" t="s">
        <v>175</v>
      </c>
      <c r="E40" s="86" t="s">
        <v>192</v>
      </c>
      <c r="F40" s="33">
        <v>21825.39</v>
      </c>
      <c r="G40" s="33">
        <v>22306.080000000002</v>
      </c>
      <c r="H40" s="33">
        <v>22519.56</v>
      </c>
      <c r="I40" s="33">
        <v>22359.25</v>
      </c>
      <c r="J40" s="33">
        <v>21896.59</v>
      </c>
      <c r="K40" s="33">
        <v>21794.63</v>
      </c>
      <c r="L40" s="33">
        <v>22316.19</v>
      </c>
      <c r="M40" s="33">
        <v>22309.51</v>
      </c>
      <c r="N40" s="33">
        <v>21884.23</v>
      </c>
      <c r="O40" s="55">
        <f>IF((N41=""),"",MAX(F42:N42))</f>
        <v>5004.0899999999965</v>
      </c>
      <c r="P40" s="55">
        <f>IF(N41="","",MIN(F42:N42))</f>
        <v>4278.8400000000074</v>
      </c>
      <c r="Q40" s="56">
        <f>IF((N42=""),"",AVERAGE(F42:N42))</f>
        <v>4611.786666666665</v>
      </c>
      <c r="R40" s="56">
        <f>IF((N41=""),"",(O40-P40)/(O40+P40)*100)</f>
        <v>7.8127272315959377</v>
      </c>
      <c r="S40" s="181">
        <f>STDEV(F42:N42)</f>
        <v>316.7750784862958</v>
      </c>
      <c r="T40" s="182" t="str">
        <f>IF(N41="","",IF(R40&lt;16,IF(Q40&gt;3200,IF(R40,IF(Q40&lt;5240,"Pass","Fail"),"Fail"),"Fail")))</f>
        <v>Pass</v>
      </c>
      <c r="U40" s="183" t="s">
        <v>99</v>
      </c>
      <c r="V40" s="246"/>
      <c r="W40" s="33"/>
      <c r="X40" s="184">
        <v>4200</v>
      </c>
      <c r="Y40" s="184">
        <v>5500</v>
      </c>
      <c r="Z40" s="184">
        <v>3200</v>
      </c>
      <c r="AA40" s="184">
        <v>5240</v>
      </c>
      <c r="AB40" s="57">
        <v>16</v>
      </c>
    </row>
    <row r="41" spans="1:29" x14ac:dyDescent="0.25">
      <c r="A41" s="281"/>
      <c r="B41" s="58"/>
      <c r="C41" s="59"/>
      <c r="D41" s="60"/>
      <c r="E41" s="88" t="s">
        <v>193</v>
      </c>
      <c r="F41" s="33">
        <v>20181.59</v>
      </c>
      <c r="G41" s="33">
        <v>20838.59</v>
      </c>
      <c r="H41" s="33">
        <v>21093.279999999999</v>
      </c>
      <c r="I41" s="33">
        <v>20915.11</v>
      </c>
      <c r="J41" s="33">
        <v>20245.740000000002</v>
      </c>
      <c r="K41" s="33">
        <v>20167.560000000001</v>
      </c>
      <c r="L41" s="33">
        <v>20864.150000000001</v>
      </c>
      <c r="M41" s="33">
        <v>20853.849999999999</v>
      </c>
      <c r="N41" s="33">
        <v>20216.2</v>
      </c>
      <c r="O41" s="61"/>
      <c r="P41" s="61"/>
      <c r="Q41" s="62"/>
      <c r="R41" s="62"/>
      <c r="S41" s="181"/>
      <c r="T41" s="182"/>
      <c r="U41" s="185"/>
      <c r="V41" s="246"/>
      <c r="W41" s="33"/>
      <c r="X41" s="186"/>
      <c r="Y41" s="186"/>
      <c r="Z41" s="186"/>
      <c r="AA41" s="186"/>
    </row>
    <row r="42" spans="1:29" ht="22.75" thickBot="1" x14ac:dyDescent="0.3">
      <c r="A42" s="281"/>
      <c r="B42" s="63"/>
      <c r="C42" s="64"/>
      <c r="D42" s="65"/>
      <c r="E42" s="88" t="s">
        <v>194</v>
      </c>
      <c r="F42" s="66">
        <f t="shared" ref="F42:N42" si="10">IF(((F40="")*AND(F41="")),"",(F40-F41)*3)</f>
        <v>4931.3999999999978</v>
      </c>
      <c r="G42" s="66">
        <f t="shared" si="10"/>
        <v>4402.4700000000048</v>
      </c>
      <c r="H42" s="66">
        <f t="shared" si="10"/>
        <v>4278.8400000000074</v>
      </c>
      <c r="I42" s="66">
        <f t="shared" si="10"/>
        <v>4332.4199999999983</v>
      </c>
      <c r="J42" s="66">
        <f t="shared" si="10"/>
        <v>4952.5499999999956</v>
      </c>
      <c r="K42" s="66">
        <f t="shared" si="10"/>
        <v>4881.2099999999991</v>
      </c>
      <c r="L42" s="66">
        <f t="shared" si="10"/>
        <v>4356.1199999999917</v>
      </c>
      <c r="M42" s="66">
        <f t="shared" si="10"/>
        <v>4366.9799999999996</v>
      </c>
      <c r="N42" s="66">
        <f t="shared" si="10"/>
        <v>5004.0899999999965</v>
      </c>
      <c r="O42" s="67"/>
      <c r="P42" s="67"/>
      <c r="Q42" s="68"/>
      <c r="R42" s="68"/>
      <c r="S42" s="181"/>
      <c r="T42" s="187"/>
      <c r="U42" s="188"/>
      <c r="V42" s="246"/>
      <c r="W42" s="33"/>
      <c r="X42" s="186"/>
      <c r="Y42" s="186"/>
      <c r="Z42" s="186"/>
      <c r="AA42" s="186"/>
    </row>
    <row r="43" spans="1:29" x14ac:dyDescent="0.25">
      <c r="A43" s="282">
        <v>43112</v>
      </c>
      <c r="B43" s="69" t="s">
        <v>177</v>
      </c>
      <c r="C43" s="59" t="s">
        <v>179</v>
      </c>
      <c r="D43" s="70" t="s">
        <v>178</v>
      </c>
      <c r="E43" s="67" t="s">
        <v>192</v>
      </c>
      <c r="F43" s="33">
        <v>3000.74</v>
      </c>
      <c r="G43" s="33">
        <v>2869.49</v>
      </c>
      <c r="H43" s="33">
        <v>2870.67</v>
      </c>
      <c r="I43" s="33">
        <v>2853.94</v>
      </c>
      <c r="J43" s="33">
        <v>2976.28</v>
      </c>
      <c r="K43" s="33">
        <v>3089.63</v>
      </c>
      <c r="L43" s="33">
        <v>2902.31</v>
      </c>
      <c r="M43" s="33">
        <v>2844.48</v>
      </c>
      <c r="N43" s="33">
        <v>2898.61</v>
      </c>
      <c r="O43" s="61">
        <f>IF((N44=""),"",MAX(F45:N45))</f>
        <v>3993.1000000000004</v>
      </c>
      <c r="P43" s="61">
        <f>IF(N44="","",MIN(F45:N45))</f>
        <v>3760.2200000000003</v>
      </c>
      <c r="Q43" s="62">
        <f>IF((N45=""),"",AVERAGE(F45:N45))</f>
        <v>3917.0911111111118</v>
      </c>
      <c r="R43" s="62">
        <f>IF((N44=""),"",(O43-P43)/(O43+P43)*100)</f>
        <v>3.0036165152476628</v>
      </c>
      <c r="S43" s="181">
        <f>STDEV(F45:N45)</f>
        <v>82.911870749073671</v>
      </c>
      <c r="T43" s="189" t="str">
        <f>IF(N44="","",IF(Q43&gt;3650,IF(R43&lt;6.5,IF(Q43&lt;4450,"Pass","Fail"),"Fail"),"Fail"))</f>
        <v>Pass</v>
      </c>
      <c r="U43" s="183" t="s">
        <v>99</v>
      </c>
      <c r="V43" s="246"/>
      <c r="W43" s="33"/>
      <c r="X43" s="184">
        <v>3650</v>
      </c>
      <c r="Y43" s="184">
        <v>4450</v>
      </c>
      <c r="Z43" s="184">
        <v>3700</v>
      </c>
      <c r="AA43" s="184">
        <v>4100</v>
      </c>
      <c r="AB43" s="57">
        <v>6.5</v>
      </c>
      <c r="AC43" s="57">
        <v>7</v>
      </c>
    </row>
    <row r="44" spans="1:29" x14ac:dyDescent="0.25">
      <c r="A44" s="281"/>
      <c r="B44" s="69"/>
      <c r="C44" s="59"/>
      <c r="D44" s="60"/>
      <c r="E44" s="88" t="s">
        <v>193</v>
      </c>
      <c r="F44" s="33">
        <v>1076.27</v>
      </c>
      <c r="G44" s="33">
        <v>884.29</v>
      </c>
      <c r="H44" s="33">
        <v>874.12</v>
      </c>
      <c r="I44" s="33">
        <v>869.47</v>
      </c>
      <c r="J44" s="33">
        <v>1055.02</v>
      </c>
      <c r="K44" s="33">
        <v>1209.52</v>
      </c>
      <c r="L44" s="33">
        <v>914.63</v>
      </c>
      <c r="M44" s="33">
        <v>849.48</v>
      </c>
      <c r="N44" s="33">
        <v>946.44</v>
      </c>
      <c r="O44" s="61"/>
      <c r="P44" s="61"/>
      <c r="Q44" s="62"/>
      <c r="R44" s="62"/>
      <c r="S44" s="181"/>
      <c r="T44" s="182"/>
      <c r="U44" s="190"/>
      <c r="V44" s="247"/>
      <c r="W44" s="33"/>
      <c r="X44" s="186"/>
      <c r="Y44" s="186"/>
      <c r="Z44" s="186"/>
      <c r="AA44" s="186"/>
    </row>
    <row r="45" spans="1:29" ht="22.75" thickBot="1" x14ac:dyDescent="0.3">
      <c r="A45" s="281"/>
      <c r="B45" s="69"/>
      <c r="C45" s="59"/>
      <c r="D45" s="60"/>
      <c r="E45" s="74" t="s">
        <v>194</v>
      </c>
      <c r="F45" s="71">
        <f t="shared" ref="F45:N45" si="11">IF(((F43="")*AND(F44="")),"",(F43-F44)*2)</f>
        <v>3848.9399999999996</v>
      </c>
      <c r="G45" s="71">
        <f t="shared" si="11"/>
        <v>3970.3999999999996</v>
      </c>
      <c r="H45" s="71">
        <f t="shared" si="11"/>
        <v>3993.1000000000004</v>
      </c>
      <c r="I45" s="71">
        <f t="shared" si="11"/>
        <v>3968.94</v>
      </c>
      <c r="J45" s="71">
        <f t="shared" si="11"/>
        <v>3842.5200000000004</v>
      </c>
      <c r="K45" s="71">
        <f t="shared" si="11"/>
        <v>3760.2200000000003</v>
      </c>
      <c r="L45" s="71">
        <f t="shared" si="11"/>
        <v>3975.3599999999997</v>
      </c>
      <c r="M45" s="71">
        <f t="shared" si="11"/>
        <v>3990</v>
      </c>
      <c r="N45" s="71">
        <f t="shared" si="11"/>
        <v>3904.34</v>
      </c>
      <c r="O45" s="61"/>
      <c r="P45" s="61"/>
      <c r="Q45" s="62"/>
      <c r="R45" s="62"/>
      <c r="S45" s="181"/>
      <c r="T45" s="182"/>
      <c r="U45" s="190"/>
      <c r="V45" s="247"/>
      <c r="W45" s="33"/>
      <c r="X45" s="186"/>
      <c r="Y45" s="186"/>
      <c r="Z45" s="186"/>
      <c r="AA45" s="186"/>
    </row>
    <row r="46" spans="1:29" x14ac:dyDescent="0.25">
      <c r="A46" s="282">
        <v>43112</v>
      </c>
      <c r="B46" s="72" t="s">
        <v>172</v>
      </c>
      <c r="C46" s="73" t="s">
        <v>174</v>
      </c>
      <c r="D46" s="72" t="s">
        <v>195</v>
      </c>
      <c r="E46" s="88" t="s">
        <v>192</v>
      </c>
      <c r="F46" s="33">
        <v>1272.6600000000001</v>
      </c>
      <c r="G46" s="33">
        <v>1263.22</v>
      </c>
      <c r="H46" s="33">
        <v>1258.07</v>
      </c>
      <c r="I46" s="33">
        <v>1264.29</v>
      </c>
      <c r="J46" s="33">
        <v>1298.04</v>
      </c>
      <c r="K46" s="33">
        <v>1295.42</v>
      </c>
      <c r="L46" s="33">
        <v>1270.83</v>
      </c>
      <c r="M46" s="33">
        <v>1260.01</v>
      </c>
      <c r="N46" s="33">
        <v>1275.19</v>
      </c>
      <c r="O46" s="74">
        <f>IF((N47=""),"",MAX(F48:N48))</f>
        <v>2093.67</v>
      </c>
      <c r="P46" s="74">
        <f>IF(N47="","",MIN(F48:N48))</f>
        <v>1981.98</v>
      </c>
      <c r="Q46" s="75">
        <f>IF((N48=""),"",AVERAGE(F48:N48))</f>
        <v>2046.7799999999997</v>
      </c>
      <c r="R46" s="75">
        <f>IF((N47=""),"",(O46-P46)/(O46+P46)*100)</f>
        <v>2.7404217732140896</v>
      </c>
      <c r="S46" s="181">
        <f>STDEV(F48:N48)</f>
        <v>43.927865586663643</v>
      </c>
      <c r="T46" s="191" t="str">
        <f>IF(N47="","",IF(Q46&gt;1940,IF(R46&lt;8.3,IF(Q46&lt;2180,"Pass","Fail"),"Fail"),"Fail"))</f>
        <v>Pass</v>
      </c>
      <c r="U46" s="183" t="s">
        <v>99</v>
      </c>
      <c r="V46" s="246"/>
      <c r="W46" s="33"/>
      <c r="X46" s="184">
        <v>2000</v>
      </c>
      <c r="Y46" s="184">
        <v>3000</v>
      </c>
      <c r="Z46" s="184">
        <v>1940</v>
      </c>
      <c r="AA46" s="184">
        <v>2180</v>
      </c>
      <c r="AB46" s="57">
        <v>5.2</v>
      </c>
    </row>
    <row r="47" spans="1:29" x14ac:dyDescent="0.25">
      <c r="A47" s="281"/>
      <c r="B47" s="58"/>
      <c r="C47" s="59"/>
      <c r="D47" s="60"/>
      <c r="E47" s="88" t="s">
        <v>193</v>
      </c>
      <c r="F47" s="33">
        <v>602.71</v>
      </c>
      <c r="G47" s="33">
        <v>569.46</v>
      </c>
      <c r="H47" s="33">
        <v>569.15</v>
      </c>
      <c r="I47" s="33">
        <v>568.32000000000005</v>
      </c>
      <c r="J47" s="33">
        <v>637.38</v>
      </c>
      <c r="K47" s="33">
        <v>631.23</v>
      </c>
      <c r="L47" s="33">
        <v>577.62</v>
      </c>
      <c r="M47" s="33">
        <v>562.12</v>
      </c>
      <c r="N47" s="33">
        <v>599.4</v>
      </c>
      <c r="O47" s="61"/>
      <c r="P47" s="61"/>
      <c r="Q47" s="62"/>
      <c r="R47" s="62"/>
      <c r="S47" s="181"/>
      <c r="T47" s="182"/>
      <c r="U47" s="185"/>
      <c r="V47" s="246"/>
      <c r="W47" s="33"/>
      <c r="X47" s="186"/>
      <c r="Y47" s="186"/>
      <c r="Z47" s="186"/>
      <c r="AA47" s="186"/>
    </row>
    <row r="48" spans="1:29" ht="13.3" thickBot="1" x14ac:dyDescent="0.3">
      <c r="A48" s="283"/>
      <c r="B48" s="76"/>
      <c r="C48" s="77"/>
      <c r="D48" s="78"/>
      <c r="E48" s="92" t="s">
        <v>196</v>
      </c>
      <c r="F48" s="79">
        <f t="shared" ref="F48:N48" si="12">IF(((F46="")*AND(F47="")),"",(F46-F47)*3)</f>
        <v>2009.8500000000001</v>
      </c>
      <c r="G48" s="79">
        <f t="shared" si="12"/>
        <v>2081.2799999999997</v>
      </c>
      <c r="H48" s="79">
        <f t="shared" si="12"/>
        <v>2066.7599999999998</v>
      </c>
      <c r="I48" s="79">
        <f t="shared" si="12"/>
        <v>2087.91</v>
      </c>
      <c r="J48" s="79">
        <f t="shared" si="12"/>
        <v>1981.98</v>
      </c>
      <c r="K48" s="79">
        <f t="shared" si="12"/>
        <v>1992.5700000000002</v>
      </c>
      <c r="L48" s="79">
        <f t="shared" si="12"/>
        <v>2079.6299999999997</v>
      </c>
      <c r="M48" s="79">
        <f t="shared" si="12"/>
        <v>2093.67</v>
      </c>
      <c r="N48" s="79">
        <f t="shared" si="12"/>
        <v>2027.3700000000003</v>
      </c>
      <c r="O48" s="80"/>
      <c r="P48" s="80"/>
      <c r="Q48" s="81"/>
      <c r="R48" s="81"/>
      <c r="S48" s="181"/>
      <c r="T48" s="192"/>
      <c r="U48" s="193"/>
      <c r="V48" s="246"/>
      <c r="W48" s="33"/>
      <c r="X48" s="186"/>
      <c r="Y48" s="186"/>
      <c r="Z48" s="186"/>
      <c r="AA48" s="186"/>
    </row>
    <row r="49" spans="1:29" x14ac:dyDescent="0.25">
      <c r="A49" s="282">
        <v>43117</v>
      </c>
      <c r="B49" s="52" t="s">
        <v>191</v>
      </c>
      <c r="C49" s="53" t="s">
        <v>176</v>
      </c>
      <c r="D49" s="54" t="s">
        <v>175</v>
      </c>
      <c r="E49" s="86" t="s">
        <v>192</v>
      </c>
      <c r="F49" s="33">
        <v>29273.24</v>
      </c>
      <c r="G49" s="33">
        <v>29088.080000000002</v>
      </c>
      <c r="H49" s="33">
        <v>29090.71</v>
      </c>
      <c r="I49" s="33">
        <v>29105.9</v>
      </c>
      <c r="J49" s="33">
        <v>29320.54</v>
      </c>
      <c r="K49" s="33">
        <v>29262.65</v>
      </c>
      <c r="L49" s="33">
        <v>29079.57</v>
      </c>
      <c r="M49" s="33">
        <v>29085.07</v>
      </c>
      <c r="N49" s="33">
        <v>29309.11</v>
      </c>
      <c r="O49" s="55">
        <f>IF((N50=""),"",MAX(F51:N51))</f>
        <v>4665.9599999999991</v>
      </c>
      <c r="P49" s="55">
        <f>IF(N50="","",MIN(F51:N51))</f>
        <v>3969.75</v>
      </c>
      <c r="Q49" s="56">
        <f>IF((N51=""),"",AVERAGE(F51:N51))</f>
        <v>4287.3100000000013</v>
      </c>
      <c r="R49" s="56">
        <f>IF((N50=""),"",(O49-P49)/(O49+P49)*100)</f>
        <v>8.061989112649675</v>
      </c>
      <c r="S49" s="181">
        <f>STDEV(F51:N51)</f>
        <v>293.31326286923996</v>
      </c>
      <c r="T49" s="182" t="str">
        <f>IF(N50="","",IF(R49&lt;16,IF(Q49&gt;3200,IF(R49,IF(Q49&lt;5240,"Pass","Fail"),"Fail"),"Fail")))</f>
        <v>Pass</v>
      </c>
      <c r="U49" s="183">
        <v>1428</v>
      </c>
      <c r="V49" s="246"/>
      <c r="W49" s="33"/>
      <c r="X49" s="184">
        <v>4200</v>
      </c>
      <c r="Y49" s="184">
        <v>5500</v>
      </c>
      <c r="Z49" s="184">
        <v>3200</v>
      </c>
      <c r="AA49" s="184">
        <v>5240</v>
      </c>
      <c r="AB49" s="57">
        <v>16</v>
      </c>
    </row>
    <row r="50" spans="1:29" x14ac:dyDescent="0.25">
      <c r="A50" s="281"/>
      <c r="B50" s="58"/>
      <c r="C50" s="59"/>
      <c r="D50" s="60"/>
      <c r="E50" s="88" t="s">
        <v>193</v>
      </c>
      <c r="F50" s="33">
        <v>27768.29</v>
      </c>
      <c r="G50" s="33">
        <v>27739.24</v>
      </c>
      <c r="H50" s="33">
        <v>27767.46</v>
      </c>
      <c r="I50" s="33">
        <v>27741.91</v>
      </c>
      <c r="J50" s="33">
        <v>27767.84</v>
      </c>
      <c r="K50" s="33">
        <v>27755.81</v>
      </c>
      <c r="L50" s="33">
        <v>27728.39</v>
      </c>
      <c r="M50" s="33">
        <v>27730.21</v>
      </c>
      <c r="N50" s="33">
        <v>27753.79</v>
      </c>
      <c r="O50" s="61"/>
      <c r="P50" s="61"/>
      <c r="Q50" s="62"/>
      <c r="R50" s="62"/>
      <c r="S50" s="181"/>
      <c r="T50" s="182"/>
      <c r="U50" s="185"/>
      <c r="V50" s="246"/>
      <c r="W50" s="33"/>
      <c r="X50" s="186"/>
      <c r="Y50" s="186"/>
      <c r="Z50" s="186"/>
      <c r="AA50" s="186"/>
    </row>
    <row r="51" spans="1:29" ht="22.75" thickBot="1" x14ac:dyDescent="0.3">
      <c r="A51" s="281"/>
      <c r="B51" s="63"/>
      <c r="C51" s="64"/>
      <c r="D51" s="65"/>
      <c r="E51" s="88" t="s">
        <v>194</v>
      </c>
      <c r="F51" s="66">
        <f t="shared" ref="F51:N51" si="13">IF(((F49="")*AND(F50="")),"",(F49-F50)*3)</f>
        <v>4514.8500000000022</v>
      </c>
      <c r="G51" s="66">
        <f t="shared" si="13"/>
        <v>4046.5200000000004</v>
      </c>
      <c r="H51" s="66">
        <f t="shared" si="13"/>
        <v>3969.75</v>
      </c>
      <c r="I51" s="66">
        <f t="shared" si="13"/>
        <v>4091.9700000000048</v>
      </c>
      <c r="J51" s="66">
        <f t="shared" si="13"/>
        <v>4658.1000000000022</v>
      </c>
      <c r="K51" s="66">
        <f t="shared" si="13"/>
        <v>4520.5200000000004</v>
      </c>
      <c r="L51" s="66">
        <f t="shared" si="13"/>
        <v>4053.5400000000009</v>
      </c>
      <c r="M51" s="66">
        <f t="shared" si="13"/>
        <v>4064.5800000000017</v>
      </c>
      <c r="N51" s="66">
        <f t="shared" si="13"/>
        <v>4665.9599999999991</v>
      </c>
      <c r="O51" s="67"/>
      <c r="P51" s="67"/>
      <c r="Q51" s="68"/>
      <c r="R51" s="68"/>
      <c r="S51" s="181"/>
      <c r="T51" s="187"/>
      <c r="U51" s="188"/>
      <c r="V51" s="246"/>
      <c r="W51" s="33"/>
      <c r="X51" s="186"/>
      <c r="Y51" s="186"/>
      <c r="Z51" s="186"/>
      <c r="AA51" s="186"/>
    </row>
    <row r="52" spans="1:29" x14ac:dyDescent="0.25">
      <c r="A52" s="282">
        <v>43117</v>
      </c>
      <c r="B52" s="69" t="s">
        <v>177</v>
      </c>
      <c r="C52" s="59" t="s">
        <v>179</v>
      </c>
      <c r="D52" s="70" t="s">
        <v>178</v>
      </c>
      <c r="E52" s="67" t="s">
        <v>192</v>
      </c>
      <c r="F52" s="33">
        <v>7011.87</v>
      </c>
      <c r="G52" s="33">
        <v>6985.21</v>
      </c>
      <c r="H52" s="33">
        <v>7001.31</v>
      </c>
      <c r="I52" s="33">
        <v>6976.16</v>
      </c>
      <c r="J52" s="33">
        <v>7008.16</v>
      </c>
      <c r="K52" s="33">
        <v>7025.95</v>
      </c>
      <c r="L52" s="33">
        <v>7020.98</v>
      </c>
      <c r="M52" s="33">
        <v>6989.85</v>
      </c>
      <c r="N52" s="33">
        <v>6990.55</v>
      </c>
      <c r="O52" s="61">
        <f>IF((N53=""),"",MAX(F54:N54))</f>
        <v>4046.1000000000004</v>
      </c>
      <c r="P52" s="61">
        <f>IF(N53="","",MIN(F54:N54))</f>
        <v>3776.8799999999992</v>
      </c>
      <c r="Q52" s="62">
        <f>IF((N54=""),"",AVERAGE(F54:N54))</f>
        <v>3953.8844444444444</v>
      </c>
      <c r="R52" s="62">
        <f>IF((N53=""),"",(O52-P52)/(O52+P52)*100)</f>
        <v>3.4413995689622263</v>
      </c>
      <c r="S52" s="181">
        <f>STDEV(F54:N54)</f>
        <v>90.811766185763773</v>
      </c>
      <c r="T52" s="189" t="str">
        <f>IF(N53="","",IF(Q52&gt;3650,IF(R52&lt;6.5,IF(Q52&lt;4450,"Pass","Fail"),"Fail"),"Fail"))</f>
        <v>Pass</v>
      </c>
      <c r="U52" s="185">
        <v>1428</v>
      </c>
      <c r="V52" s="246"/>
      <c r="W52" s="33"/>
      <c r="X52" s="184">
        <v>3650</v>
      </c>
      <c r="Y52" s="184">
        <v>4450</v>
      </c>
      <c r="Z52" s="184">
        <v>3700</v>
      </c>
      <c r="AA52" s="184">
        <v>4100</v>
      </c>
      <c r="AB52" s="57">
        <v>6.5</v>
      </c>
      <c r="AC52" s="57">
        <v>7</v>
      </c>
    </row>
    <row r="53" spans="1:29" x14ac:dyDescent="0.25">
      <c r="A53" s="281"/>
      <c r="B53" s="69"/>
      <c r="C53" s="59"/>
      <c r="D53" s="60"/>
      <c r="E53" s="88" t="s">
        <v>193</v>
      </c>
      <c r="F53" s="33">
        <v>5077.16</v>
      </c>
      <c r="G53" s="33">
        <v>4983.58</v>
      </c>
      <c r="H53" s="33">
        <v>4985.83</v>
      </c>
      <c r="I53" s="33">
        <v>4969.2700000000004</v>
      </c>
      <c r="J53" s="33">
        <v>5065.67</v>
      </c>
      <c r="K53" s="33">
        <v>5137.51</v>
      </c>
      <c r="L53" s="33">
        <v>5020.1899999999996</v>
      </c>
      <c r="M53" s="33">
        <v>4966.8</v>
      </c>
      <c r="N53" s="33">
        <v>5011.55</v>
      </c>
      <c r="O53" s="61"/>
      <c r="P53" s="61"/>
      <c r="Q53" s="62"/>
      <c r="R53" s="62"/>
      <c r="S53" s="181"/>
      <c r="T53" s="182"/>
      <c r="U53" s="190"/>
      <c r="V53" s="247"/>
      <c r="W53" s="33"/>
      <c r="X53" s="186"/>
      <c r="Y53" s="186"/>
      <c r="Z53" s="186"/>
      <c r="AA53" s="186"/>
    </row>
    <row r="54" spans="1:29" ht="22.75" thickBot="1" x14ac:dyDescent="0.3">
      <c r="A54" s="281"/>
      <c r="B54" s="69"/>
      <c r="C54" s="59"/>
      <c r="D54" s="60"/>
      <c r="E54" s="74" t="s">
        <v>194</v>
      </c>
      <c r="F54" s="71">
        <f t="shared" ref="F54:N54" si="14">IF(((F52="")*AND(F53="")),"",(F52-F53)*2)</f>
        <v>3869.42</v>
      </c>
      <c r="G54" s="71">
        <f t="shared" si="14"/>
        <v>4003.26</v>
      </c>
      <c r="H54" s="71">
        <f t="shared" si="14"/>
        <v>4030.9600000000009</v>
      </c>
      <c r="I54" s="71">
        <f t="shared" si="14"/>
        <v>4013.7799999999988</v>
      </c>
      <c r="J54" s="71">
        <f t="shared" si="14"/>
        <v>3884.9799999999996</v>
      </c>
      <c r="K54" s="71">
        <f t="shared" si="14"/>
        <v>3776.8799999999992</v>
      </c>
      <c r="L54" s="71">
        <f t="shared" si="14"/>
        <v>4001.58</v>
      </c>
      <c r="M54" s="71">
        <f t="shared" si="14"/>
        <v>4046.1000000000004</v>
      </c>
      <c r="N54" s="71">
        <f t="shared" si="14"/>
        <v>3958</v>
      </c>
      <c r="O54" s="61"/>
      <c r="P54" s="61"/>
      <c r="Q54" s="62"/>
      <c r="R54" s="62"/>
      <c r="S54" s="181"/>
      <c r="T54" s="182"/>
      <c r="U54" s="190"/>
      <c r="V54" s="247"/>
      <c r="W54" s="33"/>
      <c r="X54" s="186"/>
      <c r="Y54" s="186"/>
      <c r="Z54" s="186"/>
      <c r="AA54" s="186"/>
    </row>
    <row r="55" spans="1:29" x14ac:dyDescent="0.25">
      <c r="A55" s="282">
        <v>43117</v>
      </c>
      <c r="B55" s="72" t="s">
        <v>172</v>
      </c>
      <c r="C55" s="73" t="s">
        <v>174</v>
      </c>
      <c r="D55" s="72" t="s">
        <v>195</v>
      </c>
      <c r="E55" s="88" t="s">
        <v>192</v>
      </c>
      <c r="F55" s="33">
        <v>1947.66</v>
      </c>
      <c r="G55" s="33">
        <v>1939.62</v>
      </c>
      <c r="H55" s="33">
        <v>1926.84</v>
      </c>
      <c r="I55" s="33">
        <v>1937.07</v>
      </c>
      <c r="J55" s="33">
        <v>1942.13</v>
      </c>
      <c r="K55" s="33">
        <v>1949.39</v>
      </c>
      <c r="L55" s="33">
        <v>1939.63</v>
      </c>
      <c r="M55" s="33">
        <v>1935.65</v>
      </c>
      <c r="N55" s="33">
        <v>1947.1</v>
      </c>
      <c r="O55" s="74">
        <f>IF((N56=""),"",MAX(F57:N57))</f>
        <v>2092.3199999999997</v>
      </c>
      <c r="P55" s="74">
        <f>IF(N56="","",MIN(F57:N57))</f>
        <v>1965.8700000000006</v>
      </c>
      <c r="Q55" s="75">
        <f>IF((N57=""),"",AVERAGE(F57:N57))</f>
        <v>2048.6566666666672</v>
      </c>
      <c r="R55" s="75">
        <f>IF((N56=""),"",(O55-P55)/(O55+P55)*100)</f>
        <v>3.11592113725575</v>
      </c>
      <c r="S55" s="181">
        <f>STDEV(F57:N57)</f>
        <v>45.486933288582811</v>
      </c>
      <c r="T55" s="191" t="str">
        <f>IF(N56="","",IF(Q55&gt;1940,IF(R55&lt;8.3,IF(Q55&lt;2180,"Pass","Fail"),"Fail"),"Fail"))</f>
        <v>Pass</v>
      </c>
      <c r="U55" s="185">
        <v>1428</v>
      </c>
      <c r="V55" s="246"/>
      <c r="W55" s="33"/>
      <c r="X55" s="184">
        <v>2000</v>
      </c>
      <c r="Y55" s="184">
        <v>3000</v>
      </c>
      <c r="Z55" s="184">
        <v>1940</v>
      </c>
      <c r="AA55" s="184">
        <v>2180</v>
      </c>
      <c r="AB55" s="57">
        <v>5.2</v>
      </c>
    </row>
    <row r="56" spans="1:29" x14ac:dyDescent="0.25">
      <c r="A56" s="281"/>
      <c r="B56" s="58"/>
      <c r="C56" s="59"/>
      <c r="D56" s="60"/>
      <c r="E56" s="88" t="s">
        <v>193</v>
      </c>
      <c r="F56" s="33">
        <v>1267</v>
      </c>
      <c r="G56" s="33">
        <v>1242.18</v>
      </c>
      <c r="H56" s="33">
        <v>1235.92</v>
      </c>
      <c r="I56" s="33">
        <v>1242.42</v>
      </c>
      <c r="J56" s="33">
        <v>1286.8399999999999</v>
      </c>
      <c r="K56" s="33">
        <v>1281.5999999999999</v>
      </c>
      <c r="L56" s="33">
        <v>1243.58</v>
      </c>
      <c r="M56" s="33">
        <v>1242.81</v>
      </c>
      <c r="N56" s="33">
        <v>1276.77</v>
      </c>
      <c r="O56" s="61"/>
      <c r="P56" s="61"/>
      <c r="Q56" s="62"/>
      <c r="R56" s="62"/>
      <c r="S56" s="181"/>
      <c r="T56" s="182"/>
      <c r="U56" s="185"/>
      <c r="V56" s="246"/>
      <c r="W56" s="33"/>
      <c r="X56" s="186"/>
      <c r="Y56" s="186"/>
      <c r="Z56" s="186"/>
      <c r="AA56" s="186"/>
    </row>
    <row r="57" spans="1:29" ht="13.3" thickBot="1" x14ac:dyDescent="0.3">
      <c r="A57" s="283"/>
      <c r="B57" s="76"/>
      <c r="C57" s="77"/>
      <c r="D57" s="78"/>
      <c r="E57" s="92" t="s">
        <v>196</v>
      </c>
      <c r="F57" s="79">
        <f t="shared" ref="F57:N57" si="15">IF(((F55="")*AND(F56="")),"",(F55-F56)*3)</f>
        <v>2041.9800000000002</v>
      </c>
      <c r="G57" s="79">
        <f t="shared" si="15"/>
        <v>2092.3199999999997</v>
      </c>
      <c r="H57" s="79">
        <f t="shared" si="15"/>
        <v>2072.7599999999993</v>
      </c>
      <c r="I57" s="79">
        <f t="shared" si="15"/>
        <v>2083.9499999999998</v>
      </c>
      <c r="J57" s="79">
        <f t="shared" si="15"/>
        <v>1965.8700000000006</v>
      </c>
      <c r="K57" s="79">
        <f t="shared" si="15"/>
        <v>2003.3700000000006</v>
      </c>
      <c r="L57" s="79">
        <f t="shared" si="15"/>
        <v>2088.1500000000005</v>
      </c>
      <c r="M57" s="79">
        <f t="shared" si="15"/>
        <v>2078.5200000000004</v>
      </c>
      <c r="N57" s="79">
        <f t="shared" si="15"/>
        <v>2010.9899999999998</v>
      </c>
      <c r="O57" s="80"/>
      <c r="P57" s="80"/>
      <c r="Q57" s="81"/>
      <c r="R57" s="81"/>
      <c r="S57" s="181"/>
      <c r="T57" s="192"/>
      <c r="U57" s="193"/>
      <c r="V57" s="246"/>
      <c r="W57" s="33"/>
      <c r="X57" s="186"/>
      <c r="Y57" s="186"/>
      <c r="Z57" s="186"/>
      <c r="AA57" s="186"/>
    </row>
    <row r="58" spans="1:29" x14ac:dyDescent="0.25">
      <c r="A58" s="282">
        <v>43122</v>
      </c>
      <c r="B58" s="52" t="s">
        <v>191</v>
      </c>
      <c r="C58" s="53" t="s">
        <v>176</v>
      </c>
      <c r="D58" s="54" t="s">
        <v>175</v>
      </c>
      <c r="E58" s="86" t="s">
        <v>192</v>
      </c>
      <c r="F58" s="33">
        <v>27705.279999999999</v>
      </c>
      <c r="G58" s="33">
        <v>27686.35</v>
      </c>
      <c r="H58" s="33">
        <v>27708.09</v>
      </c>
      <c r="I58" s="33">
        <v>27675.91</v>
      </c>
      <c r="J58" s="33">
        <v>27697.54</v>
      </c>
      <c r="K58" s="33">
        <v>27694.9</v>
      </c>
      <c r="L58" s="33">
        <v>27670.02</v>
      </c>
      <c r="M58" s="33">
        <v>27670.22</v>
      </c>
      <c r="N58" s="33">
        <v>27693.45</v>
      </c>
      <c r="O58" s="55">
        <f>IF((N59=""),"",MAX(F60:N60))</f>
        <v>4892.1899999999987</v>
      </c>
      <c r="P58" s="55">
        <f>IF(N59="","",MIN(F60:N60))</f>
        <v>4114.2000000000044</v>
      </c>
      <c r="Q58" s="56">
        <f>IF((N60=""),"",AVERAGE(F60:N60))</f>
        <v>4439.9733333333361</v>
      </c>
      <c r="R58" s="56">
        <f>IF((N59=""),"",(O58-P58)/(O58+P58)*100)</f>
        <v>8.638200211183328</v>
      </c>
      <c r="S58" s="181">
        <f>STDEV(F60:N60)</f>
        <v>318.49842499610492</v>
      </c>
      <c r="T58" s="182" t="str">
        <f>IF(N59="","",IF(R58&lt;16,IF(Q58&gt;3200,IF(R58,IF(Q58&lt;5240,"Pass","Fail"),"Fail"),"Fail")))</f>
        <v>Pass</v>
      </c>
      <c r="U58" s="183"/>
      <c r="V58" s="246"/>
      <c r="W58" s="33"/>
      <c r="X58" s="184">
        <v>4200</v>
      </c>
      <c r="Y58" s="184">
        <v>5500</v>
      </c>
      <c r="Z58" s="184">
        <v>3200</v>
      </c>
      <c r="AA58" s="184">
        <v>5240</v>
      </c>
      <c r="AB58" s="57">
        <v>16</v>
      </c>
    </row>
    <row r="59" spans="1:29" x14ac:dyDescent="0.25">
      <c r="A59" s="281"/>
      <c r="B59" s="58"/>
      <c r="C59" s="59"/>
      <c r="D59" s="60"/>
      <c r="E59" s="88" t="s">
        <v>193</v>
      </c>
      <c r="F59" s="33">
        <v>26161.55</v>
      </c>
      <c r="G59" s="33">
        <v>26296.38</v>
      </c>
      <c r="H59" s="33">
        <v>26336.69</v>
      </c>
      <c r="I59" s="33">
        <v>26275.01</v>
      </c>
      <c r="J59" s="33">
        <v>26082.29</v>
      </c>
      <c r="K59" s="33">
        <v>26132.21</v>
      </c>
      <c r="L59" s="33">
        <v>26275.42</v>
      </c>
      <c r="M59" s="33">
        <v>26259.57</v>
      </c>
      <c r="N59" s="33">
        <v>26062.720000000001</v>
      </c>
      <c r="O59" s="61"/>
      <c r="P59" s="61"/>
      <c r="Q59" s="62"/>
      <c r="R59" s="62"/>
      <c r="S59" s="181"/>
      <c r="T59" s="182"/>
      <c r="U59" s="185"/>
      <c r="V59" s="246"/>
      <c r="W59" s="33"/>
      <c r="X59" s="186"/>
      <c r="Y59" s="186"/>
      <c r="Z59" s="186"/>
      <c r="AA59" s="186"/>
    </row>
    <row r="60" spans="1:29" ht="22.75" thickBot="1" x14ac:dyDescent="0.3">
      <c r="A60" s="281"/>
      <c r="B60" s="63"/>
      <c r="C60" s="64"/>
      <c r="D60" s="65"/>
      <c r="E60" s="88" t="s">
        <v>194</v>
      </c>
      <c r="F60" s="66">
        <f t="shared" ref="F60:N60" si="16">IF(((F58="")*AND(F59="")),"",(F58-F59)*3)</f>
        <v>4631.1899999999987</v>
      </c>
      <c r="G60" s="66">
        <f t="shared" si="16"/>
        <v>4169.9099999999926</v>
      </c>
      <c r="H60" s="66">
        <f t="shared" si="16"/>
        <v>4114.2000000000044</v>
      </c>
      <c r="I60" s="66">
        <f t="shared" si="16"/>
        <v>4202.7000000000044</v>
      </c>
      <c r="J60" s="66">
        <f t="shared" si="16"/>
        <v>4845.75</v>
      </c>
      <c r="K60" s="66">
        <f t="shared" si="16"/>
        <v>4688.070000000007</v>
      </c>
      <c r="L60" s="66">
        <f t="shared" si="16"/>
        <v>4183.8000000000065</v>
      </c>
      <c r="M60" s="66">
        <f t="shared" si="16"/>
        <v>4231.9500000000044</v>
      </c>
      <c r="N60" s="66">
        <f t="shared" si="16"/>
        <v>4892.1899999999987</v>
      </c>
      <c r="O60" s="67"/>
      <c r="P60" s="67"/>
      <c r="Q60" s="68"/>
      <c r="R60" s="68"/>
      <c r="S60" s="181"/>
      <c r="T60" s="187"/>
      <c r="U60" s="188"/>
      <c r="V60" s="246"/>
      <c r="W60" s="33"/>
      <c r="X60" s="186"/>
      <c r="Y60" s="186"/>
      <c r="Z60" s="186"/>
      <c r="AA60" s="186"/>
    </row>
    <row r="61" spans="1:29" x14ac:dyDescent="0.25">
      <c r="A61" s="282">
        <v>43122</v>
      </c>
      <c r="B61" s="69" t="s">
        <v>177</v>
      </c>
      <c r="C61" s="59" t="s">
        <v>179</v>
      </c>
      <c r="D61" s="70" t="s">
        <v>178</v>
      </c>
      <c r="E61" s="67" t="s">
        <v>192</v>
      </c>
      <c r="F61" s="33">
        <v>5077.16</v>
      </c>
      <c r="G61" s="33">
        <v>4983.58</v>
      </c>
      <c r="H61" s="33">
        <v>4985.83</v>
      </c>
      <c r="I61" s="33">
        <v>4969.2700000000004</v>
      </c>
      <c r="J61" s="33">
        <v>5065.67</v>
      </c>
      <c r="K61" s="33">
        <v>5137.51</v>
      </c>
      <c r="L61" s="33">
        <v>5020.1899999999996</v>
      </c>
      <c r="M61" s="33">
        <v>4966.8</v>
      </c>
      <c r="N61" s="33">
        <v>5011.55</v>
      </c>
      <c r="O61" s="61">
        <f>IF((N62=""),"",MAX(F63:N63))</f>
        <v>4059.9000000000005</v>
      </c>
      <c r="P61" s="61">
        <f>IF(N62="","",MIN(F63:N63))</f>
        <v>3748.5800000000008</v>
      </c>
      <c r="Q61" s="62">
        <f>IF((N63=""),"",AVERAGE(F63:N63))</f>
        <v>3968.9244444444444</v>
      </c>
      <c r="R61" s="62">
        <f>IF((N62=""),"",(O61-P61)/(O61+P61)*100)</f>
        <v>3.9869475237178</v>
      </c>
      <c r="S61" s="181">
        <f>STDEV(F63:N63)</f>
        <v>101.97547537411985</v>
      </c>
      <c r="T61" s="189" t="str">
        <f>IF(N62="","",IF(Q61&gt;3650,IF(R61&lt;6.5,IF(Q61&lt;4450,"Pass","Fail"),"Fail"),"Fail"))</f>
        <v>Pass</v>
      </c>
      <c r="U61" s="185"/>
      <c r="V61" s="246"/>
      <c r="W61" s="33"/>
      <c r="X61" s="184">
        <v>3650</v>
      </c>
      <c r="Y61" s="184">
        <v>4450</v>
      </c>
      <c r="Z61" s="184">
        <v>3700</v>
      </c>
      <c r="AA61" s="184">
        <v>4100</v>
      </c>
      <c r="AB61" s="57">
        <v>6.5</v>
      </c>
      <c r="AC61" s="57">
        <v>7</v>
      </c>
    </row>
    <row r="62" spans="1:29" x14ac:dyDescent="0.25">
      <c r="A62" s="281"/>
      <c r="B62" s="69"/>
      <c r="C62" s="59"/>
      <c r="D62" s="60"/>
      <c r="E62" s="88" t="s">
        <v>193</v>
      </c>
      <c r="F62" s="33">
        <v>3137.12</v>
      </c>
      <c r="G62" s="33">
        <v>2972.23</v>
      </c>
      <c r="H62" s="33">
        <v>2961.51</v>
      </c>
      <c r="I62" s="33">
        <v>2952.67</v>
      </c>
      <c r="J62" s="33">
        <v>3105.95</v>
      </c>
      <c r="K62" s="33">
        <v>3263.22</v>
      </c>
      <c r="L62" s="33">
        <v>3013.26</v>
      </c>
      <c r="M62" s="33">
        <v>2936.85</v>
      </c>
      <c r="N62" s="33">
        <v>3014.59</v>
      </c>
      <c r="O62" s="61"/>
      <c r="P62" s="61"/>
      <c r="Q62" s="62"/>
      <c r="R62" s="62"/>
      <c r="S62" s="181"/>
      <c r="T62" s="182"/>
      <c r="U62" s="190"/>
      <c r="V62" s="247"/>
      <c r="W62" s="33"/>
      <c r="X62" s="186"/>
      <c r="Y62" s="186"/>
      <c r="Z62" s="186"/>
      <c r="AA62" s="186"/>
    </row>
    <row r="63" spans="1:29" ht="22.75" thickBot="1" x14ac:dyDescent="0.3">
      <c r="A63" s="281"/>
      <c r="B63" s="69"/>
      <c r="C63" s="59"/>
      <c r="D63" s="60"/>
      <c r="E63" s="74" t="s">
        <v>194</v>
      </c>
      <c r="F63" s="71">
        <f t="shared" ref="F63:N63" si="17">IF(((F61="")*AND(F62="")),"",(F61-F62)*2)</f>
        <v>3880.08</v>
      </c>
      <c r="G63" s="71">
        <f t="shared" si="17"/>
        <v>4022.7</v>
      </c>
      <c r="H63" s="71">
        <f t="shared" si="17"/>
        <v>4048.6399999999994</v>
      </c>
      <c r="I63" s="71">
        <f t="shared" si="17"/>
        <v>4033.2000000000007</v>
      </c>
      <c r="J63" s="71">
        <f t="shared" si="17"/>
        <v>3919.4400000000005</v>
      </c>
      <c r="K63" s="71">
        <f t="shared" si="17"/>
        <v>3748.5800000000008</v>
      </c>
      <c r="L63" s="71">
        <f t="shared" si="17"/>
        <v>4013.8599999999988</v>
      </c>
      <c r="M63" s="71">
        <f t="shared" si="17"/>
        <v>4059.9000000000005</v>
      </c>
      <c r="N63" s="71">
        <f t="shared" si="17"/>
        <v>3993.92</v>
      </c>
      <c r="O63" s="61"/>
      <c r="P63" s="61"/>
      <c r="Q63" s="62"/>
      <c r="R63" s="62"/>
      <c r="S63" s="181"/>
      <c r="T63" s="182"/>
      <c r="U63" s="190"/>
      <c r="V63" s="247"/>
      <c r="W63" s="33"/>
      <c r="X63" s="186"/>
      <c r="Y63" s="186"/>
      <c r="Z63" s="186"/>
      <c r="AA63" s="186"/>
    </row>
    <row r="64" spans="1:29" x14ac:dyDescent="0.25">
      <c r="A64" s="282">
        <v>43122</v>
      </c>
      <c r="B64" s="72" t="s">
        <v>172</v>
      </c>
      <c r="C64" s="73" t="s">
        <v>174</v>
      </c>
      <c r="D64" s="72" t="s">
        <v>195</v>
      </c>
      <c r="E64" s="88" t="s">
        <v>192</v>
      </c>
      <c r="F64" s="33">
        <v>1270.03</v>
      </c>
      <c r="G64" s="33">
        <v>1243.93</v>
      </c>
      <c r="H64" s="33">
        <v>1239.57</v>
      </c>
      <c r="I64" s="33">
        <v>1246.3399999999999</v>
      </c>
      <c r="J64" s="33">
        <v>1289.8499999999999</v>
      </c>
      <c r="K64" s="33">
        <v>1286.8499999999999</v>
      </c>
      <c r="L64" s="33">
        <v>1245.51</v>
      </c>
      <c r="M64" s="33">
        <v>1242.6199999999999</v>
      </c>
      <c r="N64" s="33">
        <v>1276.4000000000001</v>
      </c>
      <c r="O64" s="74">
        <f>IF((N65=""),"",MAX(F66:N66))</f>
        <v>2107.77</v>
      </c>
      <c r="P64" s="74">
        <f>IF(N65="","",MIN(F66:N66))</f>
        <v>1977.8399999999997</v>
      </c>
      <c r="Q64" s="75">
        <f>IF((N66=""),"",AVERAGE(F66:N66))</f>
        <v>2063.41</v>
      </c>
      <c r="R64" s="75">
        <f>IF((N65=""),"",(O64-P64)/(O64+P64)*100)</f>
        <v>3.1801860676863503</v>
      </c>
      <c r="S64" s="181">
        <f>STDEV(F66:N66)</f>
        <v>44.62619494198448</v>
      </c>
      <c r="T64" s="191" t="str">
        <f>IF(N65="","",IF(Q64&gt;1940,IF(R64&lt;8.3,IF(Q64&lt;2180,"Pass","Fail"),"Fail"),"Fail"))</f>
        <v>Pass</v>
      </c>
      <c r="U64" s="185"/>
      <c r="V64" s="246"/>
      <c r="W64" s="33"/>
      <c r="X64" s="184">
        <v>2000</v>
      </c>
      <c r="Y64" s="184">
        <v>3000</v>
      </c>
      <c r="Z64" s="184">
        <v>1940</v>
      </c>
      <c r="AA64" s="184">
        <v>2180</v>
      </c>
      <c r="AB64" s="57">
        <v>5.2</v>
      </c>
    </row>
    <row r="65" spans="1:29" x14ac:dyDescent="0.25">
      <c r="A65" s="281"/>
      <c r="B65" s="58"/>
      <c r="C65" s="59"/>
      <c r="D65" s="60"/>
      <c r="E65" s="88" t="s">
        <v>193</v>
      </c>
      <c r="F65" s="33">
        <v>585.41</v>
      </c>
      <c r="G65" s="33">
        <v>541.34</v>
      </c>
      <c r="H65" s="33">
        <v>539.26</v>
      </c>
      <c r="I65" s="33">
        <v>550.66</v>
      </c>
      <c r="J65" s="33">
        <v>630.57000000000005</v>
      </c>
      <c r="K65" s="33">
        <v>610.30999999999995</v>
      </c>
      <c r="L65" s="33">
        <v>550.20000000000005</v>
      </c>
      <c r="M65" s="33">
        <v>541.9</v>
      </c>
      <c r="N65" s="33">
        <v>601.22</v>
      </c>
      <c r="O65" s="61"/>
      <c r="P65" s="61"/>
      <c r="Q65" s="62"/>
      <c r="R65" s="62"/>
      <c r="S65" s="181"/>
      <c r="T65" s="182"/>
      <c r="U65" s="185"/>
      <c r="V65" s="246"/>
      <c r="W65" s="33"/>
      <c r="X65" s="186"/>
      <c r="Y65" s="186"/>
      <c r="Z65" s="186"/>
      <c r="AA65" s="186"/>
    </row>
    <row r="66" spans="1:29" ht="13.3" thickBot="1" x14ac:dyDescent="0.3">
      <c r="A66" s="281"/>
      <c r="B66" s="76"/>
      <c r="C66" s="77"/>
      <c r="D66" s="78"/>
      <c r="E66" s="92" t="s">
        <v>196</v>
      </c>
      <c r="F66" s="79">
        <f t="shared" ref="F66:N66" si="18">IF(((F64="")*AND(F65="")),"",(F64-F65)*3)</f>
        <v>2053.86</v>
      </c>
      <c r="G66" s="79">
        <f t="shared" si="18"/>
        <v>2107.77</v>
      </c>
      <c r="H66" s="79">
        <f t="shared" si="18"/>
        <v>2100.9299999999998</v>
      </c>
      <c r="I66" s="79">
        <f t="shared" si="18"/>
        <v>2087.04</v>
      </c>
      <c r="J66" s="79">
        <f t="shared" si="18"/>
        <v>1977.8399999999997</v>
      </c>
      <c r="K66" s="79">
        <f t="shared" si="18"/>
        <v>2029.62</v>
      </c>
      <c r="L66" s="79">
        <f t="shared" si="18"/>
        <v>2085.9299999999998</v>
      </c>
      <c r="M66" s="79">
        <f t="shared" si="18"/>
        <v>2102.16</v>
      </c>
      <c r="N66" s="79">
        <f t="shared" si="18"/>
        <v>2025.5400000000002</v>
      </c>
      <c r="O66" s="80"/>
      <c r="P66" s="80"/>
      <c r="Q66" s="81"/>
      <c r="R66" s="81"/>
      <c r="S66" s="181"/>
      <c r="T66" s="192"/>
      <c r="U66" s="193"/>
      <c r="V66" s="246"/>
      <c r="W66" s="33"/>
      <c r="X66" s="186"/>
      <c r="Y66" s="186"/>
      <c r="Z66" s="186"/>
      <c r="AA66" s="186"/>
    </row>
    <row r="67" spans="1:29" x14ac:dyDescent="0.25">
      <c r="A67" s="282">
        <v>43125</v>
      </c>
      <c r="B67" s="52" t="s">
        <v>191</v>
      </c>
      <c r="C67" s="53" t="s">
        <v>176</v>
      </c>
      <c r="D67" s="54" t="s">
        <v>175</v>
      </c>
      <c r="E67" s="86" t="s">
        <v>192</v>
      </c>
      <c r="F67" s="33">
        <v>29187.08</v>
      </c>
      <c r="G67" s="33">
        <v>29020.92</v>
      </c>
      <c r="H67" s="33">
        <v>29039.75</v>
      </c>
      <c r="I67" s="33">
        <v>29061.119999999999</v>
      </c>
      <c r="J67" s="33">
        <v>29208.66</v>
      </c>
      <c r="K67" s="33">
        <v>29194.57</v>
      </c>
      <c r="L67" s="33">
        <v>29008.81</v>
      </c>
      <c r="M67" s="33">
        <v>29014.94</v>
      </c>
      <c r="N67" s="33">
        <v>29240.11</v>
      </c>
      <c r="O67" s="55">
        <f>IF((N68=""),"",MAX(F69:N69))</f>
        <v>4543.4399999999987</v>
      </c>
      <c r="P67" s="55">
        <f>IF(N68="","",MIN(F69:N69))</f>
        <v>3897.75</v>
      </c>
      <c r="Q67" s="56">
        <f>IF((N69=""),"",AVERAGE(F69:N69))</f>
        <v>4198.4333333333325</v>
      </c>
      <c r="R67" s="56">
        <f>IF((N68=""),"",(O67-P67)/(O67+P67)*100)</f>
        <v>7.6492769384411297</v>
      </c>
      <c r="S67" s="181">
        <f>STDEV(F69:N69)</f>
        <v>260.02913730964917</v>
      </c>
      <c r="T67" s="182" t="str">
        <f>IF(N68="","",IF(R67&lt;16,IF(Q67&gt;3200,IF(R67,IF(Q67&lt;5240,"Pass","Fail"),"Fail"),"Fail")))</f>
        <v>Pass</v>
      </c>
      <c r="U67" s="183">
        <v>1428</v>
      </c>
      <c r="V67" s="246"/>
      <c r="W67" s="33"/>
      <c r="X67" s="184">
        <v>4200</v>
      </c>
      <c r="Y67" s="184">
        <v>5500</v>
      </c>
      <c r="Z67" s="184">
        <v>3200</v>
      </c>
      <c r="AA67" s="184">
        <v>5240</v>
      </c>
      <c r="AB67" s="57">
        <v>16</v>
      </c>
    </row>
    <row r="68" spans="1:29" x14ac:dyDescent="0.25">
      <c r="A68" s="281"/>
      <c r="B68" s="58"/>
      <c r="C68" s="59"/>
      <c r="D68" s="60"/>
      <c r="E68" s="88" t="s">
        <v>193</v>
      </c>
      <c r="F68" s="33">
        <v>27713.51</v>
      </c>
      <c r="G68" s="33">
        <v>27681.78</v>
      </c>
      <c r="H68" s="33">
        <v>27720.28</v>
      </c>
      <c r="I68" s="33">
        <v>27696.92</v>
      </c>
      <c r="J68" s="33">
        <v>27695.43</v>
      </c>
      <c r="K68" s="33">
        <v>27750.49</v>
      </c>
      <c r="L68" s="33">
        <v>27709.56</v>
      </c>
      <c r="M68" s="33">
        <v>27687.06</v>
      </c>
      <c r="N68" s="33">
        <v>27725.63</v>
      </c>
      <c r="O68" s="61"/>
      <c r="P68" s="61"/>
      <c r="Q68" s="62"/>
      <c r="R68" s="62"/>
      <c r="S68" s="181"/>
      <c r="T68" s="182"/>
      <c r="U68" s="185"/>
      <c r="V68" s="246"/>
      <c r="W68" s="33"/>
      <c r="X68" s="186"/>
      <c r="Y68" s="186"/>
      <c r="Z68" s="186"/>
      <c r="AA68" s="186"/>
    </row>
    <row r="69" spans="1:29" ht="22.75" thickBot="1" x14ac:dyDescent="0.3">
      <c r="A69" s="281"/>
      <c r="B69" s="63"/>
      <c r="C69" s="64"/>
      <c r="D69" s="65"/>
      <c r="E69" s="88" t="s">
        <v>194</v>
      </c>
      <c r="F69" s="66">
        <f t="shared" ref="F69:N69" si="19">IF(((F67="")*AND(F68="")),"",(F67-F68)*3)</f>
        <v>4420.71000000001</v>
      </c>
      <c r="G69" s="66">
        <f t="shared" si="19"/>
        <v>4017.4199999999983</v>
      </c>
      <c r="H69" s="66">
        <f t="shared" si="19"/>
        <v>3958.4100000000035</v>
      </c>
      <c r="I69" s="66">
        <f t="shared" si="19"/>
        <v>4092.6000000000022</v>
      </c>
      <c r="J69" s="66">
        <f t="shared" si="19"/>
        <v>4539.6899999999987</v>
      </c>
      <c r="K69" s="66">
        <f t="shared" si="19"/>
        <v>4332.2399999999943</v>
      </c>
      <c r="L69" s="66">
        <f t="shared" si="19"/>
        <v>3897.75</v>
      </c>
      <c r="M69" s="66">
        <f t="shared" si="19"/>
        <v>3983.6399999999921</v>
      </c>
      <c r="N69" s="66">
        <f t="shared" si="19"/>
        <v>4543.4399999999987</v>
      </c>
      <c r="O69" s="67"/>
      <c r="P69" s="67"/>
      <c r="Q69" s="68"/>
      <c r="R69" s="68"/>
      <c r="S69" s="181"/>
      <c r="T69" s="187"/>
      <c r="U69" s="188"/>
      <c r="V69" s="246"/>
      <c r="W69" s="33"/>
      <c r="X69" s="186"/>
      <c r="Y69" s="186"/>
      <c r="Z69" s="186"/>
      <c r="AA69" s="186"/>
    </row>
    <row r="70" spans="1:29" x14ac:dyDescent="0.25">
      <c r="A70" s="282">
        <v>43125</v>
      </c>
      <c r="B70" s="69" t="s">
        <v>177</v>
      </c>
      <c r="C70" s="59" t="s">
        <v>179</v>
      </c>
      <c r="D70" s="70" t="s">
        <v>178</v>
      </c>
      <c r="E70" s="67" t="s">
        <v>192</v>
      </c>
      <c r="F70" s="33">
        <v>6882.67</v>
      </c>
      <c r="G70" s="33">
        <v>6881.03</v>
      </c>
      <c r="H70" s="33">
        <v>6899.28</v>
      </c>
      <c r="I70" s="33">
        <v>6863.66</v>
      </c>
      <c r="J70" s="33">
        <v>6863.4</v>
      </c>
      <c r="K70" s="33">
        <v>6887.16</v>
      </c>
      <c r="L70" s="33">
        <v>6910.22</v>
      </c>
      <c r="M70" s="33">
        <v>6881.89</v>
      </c>
      <c r="N70" s="33">
        <v>6859.54</v>
      </c>
      <c r="O70" s="61">
        <f>IF((N71=""),"",MAX(F72:N72))</f>
        <v>3961.1200000000008</v>
      </c>
      <c r="P70" s="61">
        <f>IF(N71="","",MIN(F72:N72))</f>
        <v>3670.8600000000006</v>
      </c>
      <c r="Q70" s="62">
        <f>IF((N72=""),"",AVERAGE(F72:N72))</f>
        <v>3869.6244444444446</v>
      </c>
      <c r="R70" s="62">
        <f>IF((N71=""),"",(O70-P70)/(O70+P70)*100)</f>
        <v>3.8032070314649697</v>
      </c>
      <c r="S70" s="181">
        <f>STDEV(F72:N72)</f>
        <v>97.870439243817515</v>
      </c>
      <c r="T70" s="189" t="str">
        <f>IF(N71="","",IF(Q70&gt;3650,IF(R70&lt;6.5,IF(Q70&lt;4450,"Pass","Fail"),"Fail"),"Fail"))</f>
        <v>Pass</v>
      </c>
      <c r="U70" s="185">
        <v>1428</v>
      </c>
      <c r="V70" s="246"/>
      <c r="W70" s="33"/>
      <c r="X70" s="184">
        <v>3650</v>
      </c>
      <c r="Y70" s="184">
        <v>4450</v>
      </c>
      <c r="Z70" s="184">
        <v>3700</v>
      </c>
      <c r="AA70" s="184">
        <v>4100</v>
      </c>
      <c r="AB70" s="57">
        <v>6.5</v>
      </c>
      <c r="AC70" s="57">
        <v>7</v>
      </c>
    </row>
    <row r="71" spans="1:29" x14ac:dyDescent="0.25">
      <c r="A71" s="281"/>
      <c r="B71" s="69"/>
      <c r="C71" s="59"/>
      <c r="D71" s="60"/>
      <c r="E71" s="88" t="s">
        <v>193</v>
      </c>
      <c r="F71" s="33">
        <v>4988.84</v>
      </c>
      <c r="G71" s="33">
        <v>4917.51</v>
      </c>
      <c r="H71" s="33">
        <v>4923.53</v>
      </c>
      <c r="I71" s="33">
        <v>4900.67</v>
      </c>
      <c r="J71" s="33">
        <v>4967.01</v>
      </c>
      <c r="K71" s="33">
        <v>5051.7299999999996</v>
      </c>
      <c r="L71" s="33">
        <v>4950.13</v>
      </c>
      <c r="M71" s="33">
        <v>4901.33</v>
      </c>
      <c r="N71" s="33">
        <v>4914.79</v>
      </c>
      <c r="O71" s="61"/>
      <c r="P71" s="61"/>
      <c r="Q71" s="62"/>
      <c r="R71" s="62"/>
      <c r="S71" s="181"/>
      <c r="T71" s="182"/>
      <c r="U71" s="190"/>
      <c r="V71" s="247"/>
      <c r="W71" s="33"/>
      <c r="X71" s="186"/>
      <c r="Y71" s="186"/>
      <c r="Z71" s="186"/>
      <c r="AA71" s="186"/>
    </row>
    <row r="72" spans="1:29" ht="22.75" thickBot="1" x14ac:dyDescent="0.3">
      <c r="A72" s="281"/>
      <c r="B72" s="69"/>
      <c r="C72" s="59"/>
      <c r="D72" s="60"/>
      <c r="E72" s="74" t="s">
        <v>194</v>
      </c>
      <c r="F72" s="71">
        <f t="shared" ref="F72:N72" si="20">IF(((F70="")*AND(F71="")),"",(F70-F71)*2)</f>
        <v>3787.66</v>
      </c>
      <c r="G72" s="71">
        <f t="shared" si="20"/>
        <v>3927.0399999999991</v>
      </c>
      <c r="H72" s="71">
        <f t="shared" si="20"/>
        <v>3951.5</v>
      </c>
      <c r="I72" s="71">
        <f t="shared" si="20"/>
        <v>3925.9799999999996</v>
      </c>
      <c r="J72" s="71">
        <f t="shared" si="20"/>
        <v>3792.7799999999988</v>
      </c>
      <c r="K72" s="71">
        <f t="shared" si="20"/>
        <v>3670.8600000000006</v>
      </c>
      <c r="L72" s="71">
        <f t="shared" si="20"/>
        <v>3920.1800000000003</v>
      </c>
      <c r="M72" s="71">
        <f t="shared" si="20"/>
        <v>3961.1200000000008</v>
      </c>
      <c r="N72" s="71">
        <f t="shared" si="20"/>
        <v>3889.5</v>
      </c>
      <c r="O72" s="61"/>
      <c r="P72" s="61"/>
      <c r="Q72" s="62"/>
      <c r="R72" s="62"/>
      <c r="S72" s="181"/>
      <c r="T72" s="182"/>
      <c r="U72" s="190"/>
      <c r="V72" s="247"/>
      <c r="W72" s="33"/>
      <c r="X72" s="186"/>
      <c r="Y72" s="186"/>
      <c r="Z72" s="186"/>
      <c r="AA72" s="186"/>
    </row>
    <row r="73" spans="1:29" x14ac:dyDescent="0.25">
      <c r="A73" s="194">
        <v>43125</v>
      </c>
      <c r="B73" s="72" t="s">
        <v>172</v>
      </c>
      <c r="C73" s="73" t="s">
        <v>174</v>
      </c>
      <c r="D73" s="72" t="s">
        <v>195</v>
      </c>
      <c r="E73" s="88" t="s">
        <v>192</v>
      </c>
      <c r="F73" s="33">
        <v>1938.78</v>
      </c>
      <c r="G73" s="33">
        <v>1927.01</v>
      </c>
      <c r="H73" s="33">
        <v>1921.77</v>
      </c>
      <c r="I73" s="33">
        <v>1928.63</v>
      </c>
      <c r="J73" s="33">
        <v>1941.29</v>
      </c>
      <c r="K73" s="33">
        <v>1944.77</v>
      </c>
      <c r="L73" s="33">
        <v>1925.85</v>
      </c>
      <c r="M73" s="33">
        <v>1928.22</v>
      </c>
      <c r="N73" s="33">
        <v>1944.22</v>
      </c>
      <c r="O73" s="74">
        <f>IF((N74=""),"",MAX(F75:N75))</f>
        <v>2073</v>
      </c>
      <c r="P73" s="74">
        <f>IF(N74="","",MIN(F75:N75))</f>
        <v>1966.7999999999997</v>
      </c>
      <c r="Q73" s="75">
        <f>IF((N75=""),"",AVERAGE(F75:N75))</f>
        <v>2037.2699999999995</v>
      </c>
      <c r="R73" s="75">
        <f>IF((N74=""),"",(O73-P73)/(O73+P73)*100)</f>
        <v>2.6288430120303055</v>
      </c>
      <c r="S73" s="181">
        <f>STDEV(F75:N75)</f>
        <v>40.111755758131679</v>
      </c>
      <c r="T73" s="191" t="str">
        <f>IF(N74="","",IF(Q73&gt;1940,IF(R73&lt;8.3,IF(Q73&lt;2180,"Pass","Fail"),"Fail"),"Fail"))</f>
        <v>Pass</v>
      </c>
      <c r="U73" s="185">
        <v>1428</v>
      </c>
      <c r="V73" s="246"/>
      <c r="W73" s="33"/>
      <c r="X73" s="184">
        <v>2000</v>
      </c>
      <c r="Y73" s="184">
        <v>3000</v>
      </c>
      <c r="Z73" s="184">
        <v>1940</v>
      </c>
      <c r="AA73" s="184">
        <v>2180</v>
      </c>
      <c r="AB73" s="57">
        <v>5.2</v>
      </c>
    </row>
    <row r="74" spans="1:29" x14ac:dyDescent="0.25">
      <c r="A74" s="195"/>
      <c r="B74" s="58"/>
      <c r="C74" s="59"/>
      <c r="D74" s="60"/>
      <c r="E74" s="88" t="s">
        <v>193</v>
      </c>
      <c r="F74" s="33">
        <v>1262</v>
      </c>
      <c r="G74" s="33">
        <v>1237.27</v>
      </c>
      <c r="H74" s="33">
        <v>1232.0999999999999</v>
      </c>
      <c r="I74" s="33">
        <v>1238.17</v>
      </c>
      <c r="J74" s="33">
        <v>1285.69</v>
      </c>
      <c r="K74" s="33">
        <v>1282.73</v>
      </c>
      <c r="L74" s="33">
        <v>1241.0899999999999</v>
      </c>
      <c r="M74" s="33">
        <v>1237.22</v>
      </c>
      <c r="N74" s="33">
        <v>1272.46</v>
      </c>
      <c r="O74" s="61"/>
      <c r="P74" s="61"/>
      <c r="Q74" s="62"/>
      <c r="R74" s="62"/>
      <c r="S74" s="181"/>
      <c r="T74" s="182"/>
      <c r="U74" s="185"/>
      <c r="V74" s="246"/>
      <c r="W74" s="33"/>
      <c r="X74" s="186"/>
      <c r="Y74" s="186"/>
      <c r="Z74" s="186"/>
      <c r="AA74" s="186"/>
    </row>
    <row r="75" spans="1:29" ht="13.3" thickBot="1" x14ac:dyDescent="0.3">
      <c r="A75" s="196"/>
      <c r="B75" s="76"/>
      <c r="C75" s="77"/>
      <c r="D75" s="78"/>
      <c r="E75" s="92" t="s">
        <v>196</v>
      </c>
      <c r="F75" s="79">
        <f t="shared" ref="F75:N75" si="21">IF(((F73="")*AND(F74="")),"",(F73-F74)*3)</f>
        <v>2030.34</v>
      </c>
      <c r="G75" s="79">
        <f t="shared" si="21"/>
        <v>2069.2200000000003</v>
      </c>
      <c r="H75" s="79">
        <f t="shared" si="21"/>
        <v>2069.0100000000002</v>
      </c>
      <c r="I75" s="79">
        <f t="shared" si="21"/>
        <v>2071.38</v>
      </c>
      <c r="J75" s="79">
        <f t="shared" si="21"/>
        <v>1966.7999999999997</v>
      </c>
      <c r="K75" s="79">
        <f t="shared" si="21"/>
        <v>1986.12</v>
      </c>
      <c r="L75" s="79">
        <f t="shared" si="21"/>
        <v>2054.2799999999997</v>
      </c>
      <c r="M75" s="79">
        <f t="shared" si="21"/>
        <v>2073</v>
      </c>
      <c r="N75" s="79">
        <f t="shared" si="21"/>
        <v>2015.28</v>
      </c>
      <c r="O75" s="80"/>
      <c r="P75" s="80"/>
      <c r="Q75" s="81"/>
      <c r="R75" s="81"/>
      <c r="S75" s="181"/>
      <c r="T75" s="192"/>
      <c r="U75" s="193"/>
      <c r="V75" s="246"/>
      <c r="W75" s="33"/>
      <c r="X75" s="186"/>
      <c r="Y75" s="186"/>
      <c r="Z75" s="186"/>
      <c r="AA75" s="186"/>
    </row>
    <row r="76" spans="1:29" x14ac:dyDescent="0.25">
      <c r="A76" s="194">
        <v>43128</v>
      </c>
      <c r="B76" s="52" t="s">
        <v>191</v>
      </c>
      <c r="C76" s="53" t="s">
        <v>176</v>
      </c>
      <c r="D76" s="54" t="s">
        <v>175</v>
      </c>
      <c r="E76" s="86" t="s">
        <v>192</v>
      </c>
      <c r="F76" s="33">
        <v>27660.14</v>
      </c>
      <c r="G76" s="33">
        <v>27686.12</v>
      </c>
      <c r="H76" s="33">
        <v>27705.87</v>
      </c>
      <c r="I76" s="33">
        <v>27651.54</v>
      </c>
      <c r="J76" s="33">
        <v>27683.34</v>
      </c>
      <c r="K76" s="33">
        <v>27702.41</v>
      </c>
      <c r="L76" s="33">
        <v>27639.07</v>
      </c>
      <c r="M76" s="33">
        <v>27626.49</v>
      </c>
      <c r="N76" s="33">
        <v>27696.89</v>
      </c>
      <c r="O76" s="55">
        <f>IF((N77=""),"",MAX(F78:N78))</f>
        <v>4848.6000000000022</v>
      </c>
      <c r="P76" s="55">
        <f>IF(N77="","",MIN(F78:N78))</f>
        <v>4073.4599999999991</v>
      </c>
      <c r="Q76" s="56">
        <f>IF((N78=""),"",AVERAGE(F78:N78))</f>
        <v>4376.8133333333326</v>
      </c>
      <c r="R76" s="56">
        <f>IF((N77=""),"",(O76-P76)/(O76+P76)*100)</f>
        <v>8.6879039145668475</v>
      </c>
      <c r="S76" s="181">
        <f>STDEV(F78:N78)</f>
        <v>301.10140883097773</v>
      </c>
      <c r="T76" s="182" t="str">
        <f>IF(N77="","",IF(R76&lt;16,IF(Q76&gt;3200,IF(R76,IF(Q76&lt;5240,"Pass","Fail"),"Fail"),"Fail")))</f>
        <v>Pass</v>
      </c>
      <c r="U76" s="183"/>
      <c r="V76" s="246"/>
      <c r="W76" s="33"/>
      <c r="X76" s="184">
        <v>4200</v>
      </c>
      <c r="Y76" s="184">
        <v>5500</v>
      </c>
      <c r="Z76" s="184">
        <v>3200</v>
      </c>
      <c r="AA76" s="184">
        <v>5240</v>
      </c>
      <c r="AB76" s="57">
        <v>16</v>
      </c>
    </row>
    <row r="77" spans="1:29" x14ac:dyDescent="0.25">
      <c r="A77" s="195"/>
      <c r="B77" s="58"/>
      <c r="C77" s="59"/>
      <c r="D77" s="60"/>
      <c r="E77" s="88" t="s">
        <v>193</v>
      </c>
      <c r="F77" s="33">
        <v>26182.52</v>
      </c>
      <c r="G77" s="33">
        <v>26289.57</v>
      </c>
      <c r="H77" s="33">
        <v>26348.05</v>
      </c>
      <c r="I77" s="33">
        <v>26233.61</v>
      </c>
      <c r="J77" s="33">
        <v>26067.14</v>
      </c>
      <c r="K77" s="33">
        <v>26144.63</v>
      </c>
      <c r="L77" s="33">
        <v>26275.52</v>
      </c>
      <c r="M77" s="33">
        <v>26256.3</v>
      </c>
      <c r="N77" s="33">
        <v>26124.09</v>
      </c>
      <c r="O77" s="61"/>
      <c r="P77" s="61"/>
      <c r="Q77" s="62"/>
      <c r="R77" s="62"/>
      <c r="S77" s="181"/>
      <c r="T77" s="182"/>
      <c r="U77" s="185"/>
      <c r="V77" s="246"/>
      <c r="W77" s="33"/>
      <c r="X77" s="186"/>
      <c r="Y77" s="186"/>
      <c r="Z77" s="186"/>
      <c r="AA77" s="186"/>
    </row>
    <row r="78" spans="1:29" ht="22.75" thickBot="1" x14ac:dyDescent="0.3">
      <c r="A78" s="196"/>
      <c r="B78" s="63"/>
      <c r="C78" s="64"/>
      <c r="D78" s="65"/>
      <c r="E78" s="88" t="s">
        <v>194</v>
      </c>
      <c r="F78" s="66">
        <f t="shared" ref="F78:N78" si="22">IF(((F76="")*AND(F77="")),"",(F76-F77)*3)</f>
        <v>4432.8599999999969</v>
      </c>
      <c r="G78" s="66">
        <f t="shared" si="22"/>
        <v>4189.6499999999978</v>
      </c>
      <c r="H78" s="66">
        <f t="shared" si="22"/>
        <v>4073.4599999999991</v>
      </c>
      <c r="I78" s="66">
        <f t="shared" si="22"/>
        <v>4253.7900000000009</v>
      </c>
      <c r="J78" s="66">
        <f t="shared" si="22"/>
        <v>4848.6000000000022</v>
      </c>
      <c r="K78" s="66">
        <f t="shared" si="22"/>
        <v>4673.3399999999965</v>
      </c>
      <c r="L78" s="66">
        <f t="shared" si="22"/>
        <v>4090.6499999999978</v>
      </c>
      <c r="M78" s="66">
        <f t="shared" si="22"/>
        <v>4110.570000000007</v>
      </c>
      <c r="N78" s="66">
        <f t="shared" si="22"/>
        <v>4718.3999999999978</v>
      </c>
      <c r="O78" s="67"/>
      <c r="P78" s="67"/>
      <c r="Q78" s="68"/>
      <c r="R78" s="68"/>
      <c r="S78" s="181"/>
      <c r="T78" s="187"/>
      <c r="U78" s="188"/>
      <c r="V78" s="246"/>
      <c r="W78" s="33"/>
      <c r="X78" s="186"/>
      <c r="Y78" s="186"/>
      <c r="Z78" s="186"/>
      <c r="AA78" s="186"/>
    </row>
    <row r="79" spans="1:29" x14ac:dyDescent="0.25">
      <c r="A79" s="194">
        <v>43128</v>
      </c>
      <c r="B79" s="69" t="s">
        <v>177</v>
      </c>
      <c r="C79" s="59" t="s">
        <v>179</v>
      </c>
      <c r="D79" s="70" t="s">
        <v>178</v>
      </c>
      <c r="E79" s="67" t="s">
        <v>192</v>
      </c>
      <c r="F79" s="33">
        <v>3074.32</v>
      </c>
      <c r="G79" s="33">
        <v>2939.89</v>
      </c>
      <c r="H79" s="33">
        <v>2937.74</v>
      </c>
      <c r="I79" s="33">
        <v>2919.62</v>
      </c>
      <c r="J79" s="33">
        <v>3034.45</v>
      </c>
      <c r="K79" s="33">
        <v>3180.34</v>
      </c>
      <c r="L79" s="33">
        <v>2976.15</v>
      </c>
      <c r="M79" s="33">
        <v>2900.09</v>
      </c>
      <c r="N79" s="33">
        <v>2938.64</v>
      </c>
      <c r="O79" s="61">
        <f>IF((N80=""),"",MAX(F81:N81))</f>
        <v>3992.6400000000003</v>
      </c>
      <c r="P79" s="61">
        <f>IF(N80="","",MIN(F81:N81))</f>
        <v>3796.9600000000005</v>
      </c>
      <c r="Q79" s="62">
        <f>IF((N81=""),"",AVERAGE(F81:N81))</f>
        <v>3920.815555555555</v>
      </c>
      <c r="R79" s="62">
        <f>IF((N80=""),"",(O79-P79)/(O79+P79)*100)</f>
        <v>2.5120673718804536</v>
      </c>
      <c r="S79" s="181">
        <f>STDEV(F81:N81)</f>
        <v>75.042685038434982</v>
      </c>
      <c r="T79" s="189" t="str">
        <f>IF(N80="","",IF(Q79&gt;3650,IF(R79&lt;6.5,IF(Q79&lt;4450,"Pass","Fail"),"Fail"),"Fail"))</f>
        <v>Pass</v>
      </c>
      <c r="U79" s="185"/>
      <c r="V79" s="246"/>
      <c r="W79" s="33"/>
      <c r="X79" s="184">
        <v>3650</v>
      </c>
      <c r="Y79" s="184">
        <v>4450</v>
      </c>
      <c r="Z79" s="184">
        <v>3700</v>
      </c>
      <c r="AA79" s="184">
        <v>4100</v>
      </c>
      <c r="AB79" s="57">
        <v>6.5</v>
      </c>
      <c r="AC79" s="57">
        <v>7</v>
      </c>
    </row>
    <row r="80" spans="1:29" x14ac:dyDescent="0.25">
      <c r="A80" s="195"/>
      <c r="B80" s="69"/>
      <c r="C80" s="59"/>
      <c r="D80" s="60"/>
      <c r="E80" s="88" t="s">
        <v>193</v>
      </c>
      <c r="F80" s="33">
        <v>1144.08</v>
      </c>
      <c r="G80" s="33">
        <v>951.15</v>
      </c>
      <c r="H80" s="33">
        <v>943.58</v>
      </c>
      <c r="I80" s="33">
        <v>937.56</v>
      </c>
      <c r="J80" s="33">
        <v>1121.57</v>
      </c>
      <c r="K80" s="33">
        <v>1281.8599999999999</v>
      </c>
      <c r="L80" s="33">
        <v>992.36</v>
      </c>
      <c r="M80" s="33">
        <v>903.77</v>
      </c>
      <c r="N80" s="33">
        <v>981.64</v>
      </c>
      <c r="O80" s="61"/>
      <c r="P80" s="61"/>
      <c r="Q80" s="62"/>
      <c r="R80" s="62"/>
      <c r="S80" s="181"/>
      <c r="T80" s="182"/>
      <c r="U80" s="190"/>
      <c r="V80" s="247"/>
      <c r="W80" s="33"/>
      <c r="X80" s="186"/>
      <c r="Y80" s="186"/>
      <c r="Z80" s="186"/>
      <c r="AA80" s="186"/>
    </row>
    <row r="81" spans="1:29" ht="22.75" thickBot="1" x14ac:dyDescent="0.3">
      <c r="A81" s="196"/>
      <c r="B81" s="69"/>
      <c r="C81" s="59"/>
      <c r="D81" s="60"/>
      <c r="E81" s="74" t="s">
        <v>194</v>
      </c>
      <c r="F81" s="71">
        <f t="shared" ref="F81:N81" si="23">IF(((F79="")*AND(F80="")),"",(F79-F80)*2)</f>
        <v>3860.4800000000005</v>
      </c>
      <c r="G81" s="71">
        <f t="shared" si="23"/>
        <v>3977.4799999999996</v>
      </c>
      <c r="H81" s="71">
        <f t="shared" si="23"/>
        <v>3988.3199999999997</v>
      </c>
      <c r="I81" s="71">
        <f t="shared" si="23"/>
        <v>3964.12</v>
      </c>
      <c r="J81" s="71">
        <f t="shared" si="23"/>
        <v>3825.7599999999998</v>
      </c>
      <c r="K81" s="71">
        <f t="shared" si="23"/>
        <v>3796.9600000000005</v>
      </c>
      <c r="L81" s="71">
        <f t="shared" si="23"/>
        <v>3967.58</v>
      </c>
      <c r="M81" s="71">
        <f t="shared" si="23"/>
        <v>3992.6400000000003</v>
      </c>
      <c r="N81" s="71">
        <f t="shared" si="23"/>
        <v>3914</v>
      </c>
      <c r="O81" s="61"/>
      <c r="P81" s="61"/>
      <c r="Q81" s="62"/>
      <c r="R81" s="62"/>
      <c r="S81" s="181"/>
      <c r="T81" s="182"/>
      <c r="U81" s="190"/>
      <c r="V81" s="247"/>
      <c r="W81" s="33"/>
      <c r="X81" s="186"/>
      <c r="Y81" s="186"/>
      <c r="Z81" s="186"/>
      <c r="AA81" s="186"/>
    </row>
    <row r="82" spans="1:29" x14ac:dyDescent="0.25">
      <c r="A82" s="194">
        <v>43128</v>
      </c>
      <c r="B82" s="72" t="s">
        <v>172</v>
      </c>
      <c r="C82" s="73" t="s">
        <v>174</v>
      </c>
      <c r="D82" s="72" t="s">
        <v>195</v>
      </c>
      <c r="E82" s="88" t="s">
        <v>192</v>
      </c>
      <c r="F82" s="33">
        <v>1266.6099999999999</v>
      </c>
      <c r="G82" s="33">
        <v>1241.1300000000001</v>
      </c>
      <c r="H82" s="33">
        <v>1233.74</v>
      </c>
      <c r="I82" s="33">
        <v>1242.04</v>
      </c>
      <c r="J82" s="33">
        <v>1286.7</v>
      </c>
      <c r="K82" s="33">
        <v>1286.8699999999999</v>
      </c>
      <c r="L82" s="33">
        <v>1241.55</v>
      </c>
      <c r="M82" s="33">
        <v>1240.3699999999999</v>
      </c>
      <c r="N82" s="33">
        <v>1274.46</v>
      </c>
      <c r="O82" s="74">
        <f>IF((N83=""),"",MAX(F84:N84))</f>
        <v>2087.85</v>
      </c>
      <c r="P82" s="74">
        <f>IF(N83="","",MIN(F84:N84))</f>
        <v>1993.83</v>
      </c>
      <c r="Q82" s="75">
        <f>IF((N84=""),"",AVERAGE(F84:N84))</f>
        <v>2053.8666666666668</v>
      </c>
      <c r="R82" s="75">
        <f>IF((N83=""),"",(O82-P82)/(O82+P82)*100)</f>
        <v>2.3034632798259538</v>
      </c>
      <c r="S82" s="181">
        <f>STDEV(F84:N84)</f>
        <v>35.908354529273609</v>
      </c>
      <c r="T82" s="191" t="str">
        <f>IF(N83="","",IF(Q82&gt;1940,IF(R82&lt;8.3,IF(Q82&lt;2180,"Pass","Fail"),"Fail"),"Fail"))</f>
        <v>Pass</v>
      </c>
      <c r="U82" s="185"/>
      <c r="V82" s="246"/>
      <c r="W82" s="33"/>
      <c r="X82" s="184">
        <v>2000</v>
      </c>
      <c r="Y82" s="184">
        <v>3000</v>
      </c>
      <c r="Z82" s="184">
        <v>1940</v>
      </c>
      <c r="AA82" s="184">
        <v>2180</v>
      </c>
      <c r="AB82" s="57">
        <v>5.2</v>
      </c>
    </row>
    <row r="83" spans="1:29" x14ac:dyDescent="0.25">
      <c r="A83" s="195"/>
      <c r="B83" s="58"/>
      <c r="C83" s="59"/>
      <c r="D83" s="60"/>
      <c r="E83" s="88" t="s">
        <v>193</v>
      </c>
      <c r="F83" s="33">
        <v>584.76</v>
      </c>
      <c r="G83" s="33">
        <v>547.04999999999995</v>
      </c>
      <c r="H83" s="33">
        <v>539.99</v>
      </c>
      <c r="I83" s="33">
        <v>548.38</v>
      </c>
      <c r="J83" s="33">
        <v>622.09</v>
      </c>
      <c r="K83" s="33">
        <v>607.91999999999996</v>
      </c>
      <c r="L83" s="33">
        <v>550.6</v>
      </c>
      <c r="M83" s="33">
        <v>544.41999999999996</v>
      </c>
      <c r="N83" s="33">
        <v>606.66</v>
      </c>
      <c r="O83" s="61"/>
      <c r="P83" s="61"/>
      <c r="Q83" s="62"/>
      <c r="R83" s="62"/>
      <c r="S83" s="181"/>
      <c r="T83" s="182"/>
      <c r="U83" s="185"/>
      <c r="V83" s="246"/>
      <c r="W83" s="33"/>
      <c r="X83" s="186"/>
      <c r="Y83" s="186"/>
      <c r="Z83" s="186"/>
      <c r="AA83" s="186"/>
    </row>
    <row r="84" spans="1:29" ht="13.3" thickBot="1" x14ac:dyDescent="0.3">
      <c r="A84" s="196"/>
      <c r="B84" s="76"/>
      <c r="C84" s="77"/>
      <c r="D84" s="78"/>
      <c r="E84" s="92" t="s">
        <v>196</v>
      </c>
      <c r="F84" s="79">
        <f t="shared" ref="F84:N84" si="24">IF(((F82="")*AND(F83="")),"",(F82-F83)*3)</f>
        <v>2045.5499999999997</v>
      </c>
      <c r="G84" s="79">
        <f t="shared" si="24"/>
        <v>2082.2400000000007</v>
      </c>
      <c r="H84" s="79">
        <f t="shared" si="24"/>
        <v>2081.25</v>
      </c>
      <c r="I84" s="79">
        <f t="shared" si="24"/>
        <v>2080.98</v>
      </c>
      <c r="J84" s="79">
        <f t="shared" si="24"/>
        <v>1993.83</v>
      </c>
      <c r="K84" s="79">
        <f t="shared" si="24"/>
        <v>2036.85</v>
      </c>
      <c r="L84" s="79">
        <f t="shared" si="24"/>
        <v>2072.85</v>
      </c>
      <c r="M84" s="79">
        <f t="shared" si="24"/>
        <v>2087.85</v>
      </c>
      <c r="N84" s="79">
        <f t="shared" si="24"/>
        <v>2003.4</v>
      </c>
      <c r="O84" s="80"/>
      <c r="P84" s="80"/>
      <c r="Q84" s="81"/>
      <c r="R84" s="81"/>
      <c r="S84" s="181"/>
      <c r="T84" s="192"/>
      <c r="U84" s="193"/>
      <c r="V84" s="246"/>
      <c r="W84" s="33"/>
      <c r="X84" s="186"/>
      <c r="Y84" s="186"/>
      <c r="Z84" s="186"/>
      <c r="AA84" s="186"/>
    </row>
    <row r="85" spans="1:29" x14ac:dyDescent="0.25">
      <c r="A85" s="282">
        <v>43131</v>
      </c>
      <c r="B85" s="52" t="s">
        <v>191</v>
      </c>
      <c r="C85" s="53" t="s">
        <v>176</v>
      </c>
      <c r="D85" s="54" t="s">
        <v>175</v>
      </c>
      <c r="E85" s="86" t="s">
        <v>192</v>
      </c>
      <c r="F85" s="33">
        <v>26143.84</v>
      </c>
      <c r="G85" s="33">
        <v>26227.17</v>
      </c>
      <c r="H85" s="33">
        <v>26282.78</v>
      </c>
      <c r="I85" s="33">
        <v>26218.12</v>
      </c>
      <c r="J85" s="33">
        <v>26011.71</v>
      </c>
      <c r="K85" s="33">
        <v>26106.21</v>
      </c>
      <c r="L85" s="33">
        <v>26221.81</v>
      </c>
      <c r="M85" s="33">
        <v>26207.24</v>
      </c>
      <c r="N85" s="33">
        <v>26036.55</v>
      </c>
      <c r="O85" s="55">
        <f>IF((N86=""),"",MAX(F87:N87))</f>
        <v>4803.6000000000022</v>
      </c>
      <c r="P85" s="55">
        <f>IF(N86="","",MIN(F87:N87))</f>
        <v>3947.7299999999996</v>
      </c>
      <c r="Q85" s="56">
        <f>IF((N87=""),"",AVERAGE(F87:N87))</f>
        <v>4366.319999999997</v>
      </c>
      <c r="R85" s="56">
        <f>IF((N86=""),"",(O85-P85)/(O85+P85)*100)</f>
        <v>9.779884886068773</v>
      </c>
      <c r="S85" s="181">
        <f>STDEV(F87:N87)</f>
        <v>357.41635857218358</v>
      </c>
      <c r="T85" s="182" t="str">
        <f>IF(N86="","",IF(R85&lt;16,IF(Q85&gt;3200,IF(R85,IF(Q85&lt;5240,"Pass","Fail"),"Fail"),"Fail")))</f>
        <v>Pass</v>
      </c>
      <c r="U85" s="183">
        <v>1335</v>
      </c>
      <c r="V85" s="246"/>
      <c r="W85" s="33"/>
      <c r="X85" s="184">
        <v>4200</v>
      </c>
      <c r="Y85" s="184">
        <v>5500</v>
      </c>
      <c r="Z85" s="184">
        <v>3200</v>
      </c>
      <c r="AA85" s="184">
        <v>5240</v>
      </c>
      <c r="AB85" s="57">
        <v>16</v>
      </c>
    </row>
    <row r="86" spans="1:29" x14ac:dyDescent="0.25">
      <c r="A86" s="281"/>
      <c r="B86" s="58"/>
      <c r="C86" s="59"/>
      <c r="D86" s="60"/>
      <c r="E86" s="88" t="s">
        <v>193</v>
      </c>
      <c r="F86" s="33">
        <v>24615.63</v>
      </c>
      <c r="G86" s="33">
        <v>24892.5</v>
      </c>
      <c r="H86" s="33">
        <v>24966.87</v>
      </c>
      <c r="I86" s="33">
        <v>24794.31</v>
      </c>
      <c r="J86" s="33">
        <v>24420.52</v>
      </c>
      <c r="K86" s="33">
        <v>24527.49</v>
      </c>
      <c r="L86" s="33">
        <v>24835.72</v>
      </c>
      <c r="M86" s="33">
        <v>24868.080000000002</v>
      </c>
      <c r="N86" s="33">
        <v>24435.35</v>
      </c>
      <c r="O86" s="61"/>
      <c r="P86" s="61"/>
      <c r="Q86" s="62"/>
      <c r="R86" s="62"/>
      <c r="S86" s="181"/>
      <c r="T86" s="182"/>
      <c r="U86" s="185"/>
      <c r="V86" s="246"/>
      <c r="W86" s="33"/>
      <c r="X86" s="186"/>
      <c r="Y86" s="186"/>
      <c r="Z86" s="186"/>
      <c r="AA86" s="186"/>
    </row>
    <row r="87" spans="1:29" ht="22.75" thickBot="1" x14ac:dyDescent="0.3">
      <c r="A87" s="281"/>
      <c r="B87" s="63"/>
      <c r="C87" s="64"/>
      <c r="D87" s="65"/>
      <c r="E87" s="88" t="s">
        <v>194</v>
      </c>
      <c r="F87" s="66">
        <f t="shared" ref="F87:N87" si="25">IF(((F85="")*AND(F86="")),"",(F85-F86)*3)</f>
        <v>4584.6299999999974</v>
      </c>
      <c r="G87" s="66">
        <f t="shared" si="25"/>
        <v>4004.0099999999948</v>
      </c>
      <c r="H87" s="66">
        <f t="shared" si="25"/>
        <v>3947.7299999999996</v>
      </c>
      <c r="I87" s="66">
        <f t="shared" si="25"/>
        <v>4271.429999999993</v>
      </c>
      <c r="J87" s="66">
        <f t="shared" si="25"/>
        <v>4773.5699999999961</v>
      </c>
      <c r="K87" s="66">
        <f t="shared" si="25"/>
        <v>4736.1599999999926</v>
      </c>
      <c r="L87" s="66">
        <f t="shared" si="25"/>
        <v>4158.2700000000004</v>
      </c>
      <c r="M87" s="66">
        <f t="shared" si="25"/>
        <v>4017.4799999999996</v>
      </c>
      <c r="N87" s="66">
        <f t="shared" si="25"/>
        <v>4803.6000000000022</v>
      </c>
      <c r="O87" s="67"/>
      <c r="P87" s="67"/>
      <c r="Q87" s="68"/>
      <c r="R87" s="68"/>
      <c r="S87" s="181"/>
      <c r="T87" s="187"/>
      <c r="U87" s="188"/>
      <c r="V87" s="246"/>
      <c r="W87" s="33"/>
      <c r="X87" s="186"/>
      <c r="Y87" s="186"/>
      <c r="Z87" s="186"/>
      <c r="AA87" s="186"/>
    </row>
    <row r="88" spans="1:29" x14ac:dyDescent="0.25">
      <c r="A88" s="282">
        <v>43131</v>
      </c>
      <c r="B88" s="69" t="s">
        <v>177</v>
      </c>
      <c r="C88" s="59" t="s">
        <v>179</v>
      </c>
      <c r="D88" s="70" t="s">
        <v>178</v>
      </c>
      <c r="E88" s="67" t="s">
        <v>192</v>
      </c>
      <c r="F88" s="33">
        <v>6774.82</v>
      </c>
      <c r="G88" s="33">
        <v>6669.36</v>
      </c>
      <c r="H88" s="33">
        <v>6780.36</v>
      </c>
      <c r="I88" s="33">
        <v>6778.2</v>
      </c>
      <c r="J88" s="33">
        <v>6985.17</v>
      </c>
      <c r="K88" s="33">
        <v>6859.91</v>
      </c>
      <c r="L88" s="33">
        <v>6748.62</v>
      </c>
      <c r="M88" s="33">
        <v>6761.48</v>
      </c>
      <c r="N88" s="33">
        <v>6886.79</v>
      </c>
      <c r="O88" s="61">
        <f>IF((N89=""),"",MAX(F90:N90))</f>
        <v>4026.66</v>
      </c>
      <c r="P88" s="61">
        <f>IF(N89="","",MIN(F90:N90))</f>
        <v>3780.8600000000006</v>
      </c>
      <c r="Q88" s="62">
        <f>IF((N90=""),"",AVERAGE(F90:N90))</f>
        <v>3944.3088888888888</v>
      </c>
      <c r="R88" s="62">
        <f>IF((N89=""),"",(O88-P88)/(O88+P88)*100)</f>
        <v>3.1482468184519448</v>
      </c>
      <c r="S88" s="181">
        <f>STDEV(F90:N90)</f>
        <v>85.209581686046661</v>
      </c>
      <c r="T88" s="189" t="str">
        <f>IF(N89="","",IF(Q88&gt;3650,IF(R88&lt;6.5,IF(Q88&lt;4450,"Pass","Fail"),"Fail"),"Fail"))</f>
        <v>Pass</v>
      </c>
      <c r="U88" s="185">
        <v>1335</v>
      </c>
      <c r="V88" s="246"/>
      <c r="W88" s="33"/>
      <c r="X88" s="184">
        <v>3650</v>
      </c>
      <c r="Y88" s="184">
        <v>4450</v>
      </c>
      <c r="Z88" s="184">
        <v>3700</v>
      </c>
      <c r="AA88" s="184">
        <v>4100</v>
      </c>
      <c r="AB88" s="57">
        <v>6.5</v>
      </c>
      <c r="AC88" s="57">
        <v>7</v>
      </c>
    </row>
    <row r="89" spans="1:29" x14ac:dyDescent="0.25">
      <c r="A89" s="281"/>
      <c r="B89" s="69"/>
      <c r="C89" s="59"/>
      <c r="D89" s="60"/>
      <c r="E89" s="88" t="s">
        <v>193</v>
      </c>
      <c r="F89" s="33">
        <v>4849.42</v>
      </c>
      <c r="G89" s="33">
        <v>4683.1099999999997</v>
      </c>
      <c r="H89" s="33">
        <v>4767.03</v>
      </c>
      <c r="I89" s="33">
        <v>4777.05</v>
      </c>
      <c r="J89" s="33">
        <v>5040.78</v>
      </c>
      <c r="K89" s="33">
        <v>4969.4799999999996</v>
      </c>
      <c r="L89" s="33">
        <v>4748.2</v>
      </c>
      <c r="M89" s="33">
        <v>4753.3900000000003</v>
      </c>
      <c r="N89" s="33">
        <v>4906.8599999999997</v>
      </c>
      <c r="O89" s="61"/>
      <c r="P89" s="61"/>
      <c r="Q89" s="62"/>
      <c r="R89" s="62"/>
      <c r="S89" s="181"/>
      <c r="T89" s="182"/>
      <c r="U89" s="190"/>
      <c r="V89" s="247"/>
      <c r="W89" s="33"/>
      <c r="X89" s="186"/>
      <c r="Y89" s="186"/>
      <c r="Z89" s="186"/>
      <c r="AA89" s="186"/>
    </row>
    <row r="90" spans="1:29" ht="22.75" thickBot="1" x14ac:dyDescent="0.3">
      <c r="A90" s="281"/>
      <c r="B90" s="69"/>
      <c r="C90" s="59"/>
      <c r="D90" s="60"/>
      <c r="E90" s="74" t="s">
        <v>194</v>
      </c>
      <c r="F90" s="71">
        <f t="shared" ref="F90:N90" si="26">IF(((F88="")*AND(F89="")),"",(F88-F89)*2)</f>
        <v>3850.7999999999993</v>
      </c>
      <c r="G90" s="71">
        <f t="shared" si="26"/>
        <v>3972.5</v>
      </c>
      <c r="H90" s="71">
        <f t="shared" si="26"/>
        <v>4026.66</v>
      </c>
      <c r="I90" s="71">
        <f t="shared" si="26"/>
        <v>4002.2999999999993</v>
      </c>
      <c r="J90" s="71">
        <f t="shared" si="26"/>
        <v>3888.7800000000007</v>
      </c>
      <c r="K90" s="71">
        <f t="shared" si="26"/>
        <v>3780.8600000000006</v>
      </c>
      <c r="L90" s="71">
        <f t="shared" si="26"/>
        <v>4000.84</v>
      </c>
      <c r="M90" s="71">
        <f t="shared" si="26"/>
        <v>4016.1799999999985</v>
      </c>
      <c r="N90" s="71">
        <f t="shared" si="26"/>
        <v>3959.8600000000006</v>
      </c>
      <c r="O90" s="61"/>
      <c r="P90" s="61"/>
      <c r="Q90" s="62"/>
      <c r="R90" s="62"/>
      <c r="S90" s="181"/>
      <c r="T90" s="182"/>
      <c r="U90" s="190"/>
      <c r="V90" s="247"/>
      <c r="W90" s="33"/>
      <c r="X90" s="186"/>
      <c r="Y90" s="186"/>
      <c r="Z90" s="186"/>
      <c r="AA90" s="186"/>
    </row>
    <row r="91" spans="1:29" x14ac:dyDescent="0.25">
      <c r="A91" s="282">
        <v>43131</v>
      </c>
      <c r="B91" s="72" t="s">
        <v>172</v>
      </c>
      <c r="C91" s="73" t="s">
        <v>174</v>
      </c>
      <c r="D91" s="72" t="s">
        <v>195</v>
      </c>
      <c r="E91" s="88" t="s">
        <v>192</v>
      </c>
      <c r="F91" s="33">
        <v>1938.04</v>
      </c>
      <c r="G91" s="33">
        <v>1926.12</v>
      </c>
      <c r="H91" s="33">
        <v>1915.2</v>
      </c>
      <c r="I91" s="33">
        <v>1927.06</v>
      </c>
      <c r="J91" s="33">
        <v>1939.87</v>
      </c>
      <c r="K91" s="33">
        <v>1937.44</v>
      </c>
      <c r="L91" s="33">
        <v>1927.09</v>
      </c>
      <c r="M91" s="33">
        <v>1925.33</v>
      </c>
      <c r="N91" s="33">
        <v>1934.06</v>
      </c>
      <c r="O91" s="74">
        <f>IF((N92=""),"",MAX(F93:N93))</f>
        <v>2072.31</v>
      </c>
      <c r="P91" s="74">
        <f>IF(N92="","",MIN(F93:N93))</f>
        <v>1969.1399999999996</v>
      </c>
      <c r="Q91" s="75">
        <f>IF((N93=""),"",AVERAGE(F93:N93))</f>
        <v>2041.9366666666663</v>
      </c>
      <c r="R91" s="75">
        <f>IF((N92=""),"",(O91-P91)/(O91+P91)*100)</f>
        <v>2.552796644768593</v>
      </c>
      <c r="S91" s="181">
        <f>STDEV(F93:N93)</f>
        <v>37.764742816547816</v>
      </c>
      <c r="T91" s="191" t="str">
        <f>IF(N92="","",IF(Q91&gt;1940,IF(R91&lt;8.3,IF(Q91&lt;2180,"Pass","Fail"),"Fail"),"Fail"))</f>
        <v>Pass</v>
      </c>
      <c r="U91" s="185">
        <v>1335</v>
      </c>
      <c r="V91" s="246"/>
      <c r="W91" s="33"/>
      <c r="X91" s="184">
        <v>2000</v>
      </c>
      <c r="Y91" s="184">
        <v>3000</v>
      </c>
      <c r="Z91" s="184">
        <v>1940</v>
      </c>
      <c r="AA91" s="184">
        <v>2180</v>
      </c>
      <c r="AB91" s="57">
        <v>5.2</v>
      </c>
    </row>
    <row r="92" spans="1:29" x14ac:dyDescent="0.25">
      <c r="A92" s="281"/>
      <c r="B92" s="58"/>
      <c r="C92" s="59"/>
      <c r="D92" s="60"/>
      <c r="E92" s="88" t="s">
        <v>193</v>
      </c>
      <c r="F92" s="33">
        <v>1256.92</v>
      </c>
      <c r="G92" s="33">
        <v>1235.8900000000001</v>
      </c>
      <c r="H92" s="33">
        <v>1226.31</v>
      </c>
      <c r="I92" s="33">
        <v>1236.29</v>
      </c>
      <c r="J92" s="33">
        <v>1283.49</v>
      </c>
      <c r="K92" s="33">
        <v>1269.8599999999999</v>
      </c>
      <c r="L92" s="33">
        <v>1238.3599999999999</v>
      </c>
      <c r="M92" s="33">
        <v>1234.79</v>
      </c>
      <c r="N92" s="33">
        <v>1262.49</v>
      </c>
      <c r="O92" s="61"/>
      <c r="P92" s="61"/>
      <c r="Q92" s="62"/>
      <c r="R92" s="62"/>
      <c r="S92" s="181"/>
      <c r="T92" s="182"/>
      <c r="U92" s="185"/>
      <c r="V92" s="246"/>
      <c r="W92" s="33"/>
      <c r="X92" s="186"/>
      <c r="Y92" s="186"/>
      <c r="Z92" s="186"/>
      <c r="AA92" s="186"/>
    </row>
    <row r="93" spans="1:29" ht="13.3" thickBot="1" x14ac:dyDescent="0.3">
      <c r="A93" s="281"/>
      <c r="B93" s="58"/>
      <c r="C93" s="59"/>
      <c r="D93" s="60"/>
      <c r="E93" s="74" t="s">
        <v>196</v>
      </c>
      <c r="F93" s="71">
        <f t="shared" ref="F93:N93" si="27">IF(((F91="")*AND(F92="")),"",(F91-F92)*3)</f>
        <v>2043.3599999999997</v>
      </c>
      <c r="G93" s="71">
        <f t="shared" si="27"/>
        <v>2070.6899999999996</v>
      </c>
      <c r="H93" s="71">
        <f t="shared" si="27"/>
        <v>2066.67</v>
      </c>
      <c r="I93" s="71">
        <f t="shared" si="27"/>
        <v>2072.31</v>
      </c>
      <c r="J93" s="71">
        <f t="shared" si="27"/>
        <v>1969.1399999999996</v>
      </c>
      <c r="K93" s="71">
        <f t="shared" si="27"/>
        <v>2002.7400000000005</v>
      </c>
      <c r="L93" s="71">
        <f t="shared" si="27"/>
        <v>2066.19</v>
      </c>
      <c r="M93" s="71">
        <f t="shared" si="27"/>
        <v>2071.62</v>
      </c>
      <c r="N93" s="71">
        <f t="shared" si="27"/>
        <v>2014.7099999999998</v>
      </c>
      <c r="O93" s="61"/>
      <c r="P93" s="61"/>
      <c r="Q93" s="62"/>
      <c r="R93" s="62"/>
      <c r="S93" s="181"/>
      <c r="T93" s="182"/>
      <c r="U93" s="185"/>
      <c r="V93" s="246"/>
      <c r="W93" s="33"/>
      <c r="X93" s="186"/>
      <c r="Y93" s="186"/>
      <c r="Z93" s="186"/>
      <c r="AA93" s="186"/>
    </row>
    <row r="94" spans="1:29" x14ac:dyDescent="0.25">
      <c r="A94" s="280">
        <v>43134</v>
      </c>
      <c r="B94" s="52" t="s">
        <v>191</v>
      </c>
      <c r="C94" s="53" t="s">
        <v>176</v>
      </c>
      <c r="D94" s="54" t="s">
        <v>175</v>
      </c>
      <c r="E94" s="86" t="s">
        <v>192</v>
      </c>
      <c r="F94" s="197">
        <v>24521.43</v>
      </c>
      <c r="G94" s="197">
        <v>24797.03</v>
      </c>
      <c r="H94" s="197">
        <v>24887.55</v>
      </c>
      <c r="I94" s="197">
        <v>24812.57</v>
      </c>
      <c r="J94" s="197">
        <v>24417.43</v>
      </c>
      <c r="K94" s="197">
        <v>24466.959999999999</v>
      </c>
      <c r="L94" s="197">
        <v>24811.26</v>
      </c>
      <c r="M94" s="197">
        <v>24798.66</v>
      </c>
      <c r="N94" s="197">
        <v>24408.43</v>
      </c>
      <c r="O94" s="55">
        <f>IF((N95=""),"",MAX(F96:N96))</f>
        <v>4984.2600000000057</v>
      </c>
      <c r="P94" s="55">
        <f>IF(N95="","",MIN(F96:N96))</f>
        <v>4108.2599999999948</v>
      </c>
      <c r="Q94" s="56">
        <f>IF((N96=""),"",AVERAGE(F96:N96))</f>
        <v>4525.1866666666647</v>
      </c>
      <c r="R94" s="56">
        <f>IF((N95=""),"",(O94-P94)/(O94+P94)*100)</f>
        <v>9.6342928033153719</v>
      </c>
      <c r="S94" s="181">
        <f>STDEV(F96:N96)</f>
        <v>349.61423598017547</v>
      </c>
      <c r="T94" s="182" t="str">
        <f>IF(N95="","",IF(R94&lt;16,IF(Q94&gt;3200,IF(R94,IF(Q94&lt;5240,"Pass","Fail"),"Fail"),"Fail")))</f>
        <v>Pass</v>
      </c>
      <c r="U94" s="183">
        <v>1335</v>
      </c>
      <c r="V94" s="246"/>
      <c r="W94" s="33"/>
      <c r="X94" s="184">
        <v>4200</v>
      </c>
      <c r="Y94" s="184">
        <v>5500</v>
      </c>
      <c r="Z94" s="184">
        <v>3200</v>
      </c>
      <c r="AA94" s="184">
        <v>5240</v>
      </c>
      <c r="AB94" s="57">
        <v>16</v>
      </c>
    </row>
    <row r="95" spans="1:29" x14ac:dyDescent="0.25">
      <c r="A95" s="281"/>
      <c r="B95" s="58"/>
      <c r="C95" s="59"/>
      <c r="D95" s="60"/>
      <c r="E95" s="88" t="s">
        <v>193</v>
      </c>
      <c r="F95" s="198">
        <v>22900.54</v>
      </c>
      <c r="G95" s="198">
        <v>23414.9</v>
      </c>
      <c r="H95" s="198">
        <v>23518.13</v>
      </c>
      <c r="I95" s="198">
        <v>23357.01</v>
      </c>
      <c r="J95" s="198">
        <v>22756.01</v>
      </c>
      <c r="K95" s="198">
        <v>22882.47</v>
      </c>
      <c r="L95" s="198">
        <v>23370.400000000001</v>
      </c>
      <c r="M95" s="198">
        <v>23375.99</v>
      </c>
      <c r="N95" s="198">
        <v>22770.31</v>
      </c>
      <c r="O95" s="61"/>
      <c r="P95" s="61"/>
      <c r="Q95" s="62"/>
      <c r="R95" s="62"/>
      <c r="S95" s="181"/>
      <c r="T95" s="182"/>
      <c r="U95" s="185"/>
      <c r="V95" s="246"/>
      <c r="W95" s="33"/>
      <c r="X95" s="186"/>
      <c r="Y95" s="186"/>
      <c r="Z95" s="186"/>
      <c r="AA95" s="186"/>
    </row>
    <row r="96" spans="1:29" ht="22.75" thickBot="1" x14ac:dyDescent="0.3">
      <c r="A96" s="281"/>
      <c r="B96" s="63"/>
      <c r="C96" s="64"/>
      <c r="D96" s="65"/>
      <c r="E96" s="88" t="s">
        <v>194</v>
      </c>
      <c r="F96" s="66">
        <f t="shared" ref="F96:N96" si="28">IF(((F94="")*AND(F95="")),"",(F94-F95)*3)</f>
        <v>4862.6699999999983</v>
      </c>
      <c r="G96" s="66">
        <f t="shared" si="28"/>
        <v>4146.3899999999921</v>
      </c>
      <c r="H96" s="66">
        <f t="shared" si="28"/>
        <v>4108.2599999999948</v>
      </c>
      <c r="I96" s="66">
        <f t="shared" si="28"/>
        <v>4366.6800000000039</v>
      </c>
      <c r="J96" s="66">
        <f t="shared" si="28"/>
        <v>4984.2600000000057</v>
      </c>
      <c r="K96" s="66">
        <f t="shared" si="28"/>
        <v>4753.4699999999939</v>
      </c>
      <c r="L96" s="66">
        <f t="shared" si="28"/>
        <v>4322.5799999999908</v>
      </c>
      <c r="M96" s="66">
        <f t="shared" si="28"/>
        <v>4268.0099999999948</v>
      </c>
      <c r="N96" s="66">
        <f t="shared" si="28"/>
        <v>4914.3599999999969</v>
      </c>
      <c r="O96" s="67"/>
      <c r="P96" s="67"/>
      <c r="Q96" s="68"/>
      <c r="R96" s="68"/>
      <c r="S96" s="181"/>
      <c r="T96" s="187"/>
      <c r="U96" s="188"/>
      <c r="V96" s="246"/>
      <c r="W96" s="33"/>
      <c r="X96" s="186"/>
      <c r="Y96" s="186"/>
      <c r="Z96" s="186"/>
      <c r="AA96" s="186"/>
    </row>
    <row r="97" spans="1:29" x14ac:dyDescent="0.25">
      <c r="A97" s="282">
        <v>43134</v>
      </c>
      <c r="B97" s="69" t="s">
        <v>177</v>
      </c>
      <c r="C97" s="59" t="s">
        <v>179</v>
      </c>
      <c r="D97" s="70" t="s">
        <v>178</v>
      </c>
      <c r="E97" s="67" t="s">
        <v>192</v>
      </c>
      <c r="F97" s="198">
        <v>4862.43</v>
      </c>
      <c r="G97" s="198">
        <v>4702.49</v>
      </c>
      <c r="H97" s="198">
        <v>4785.13</v>
      </c>
      <c r="I97" s="198">
        <v>4795.45</v>
      </c>
      <c r="J97" s="198">
        <v>5046.18</v>
      </c>
      <c r="K97" s="198">
        <v>4975.95</v>
      </c>
      <c r="L97" s="198">
        <v>4766.88</v>
      </c>
      <c r="M97" s="198">
        <v>4772.4799999999996</v>
      </c>
      <c r="N97" s="198">
        <v>4918.28</v>
      </c>
      <c r="O97" s="61">
        <f>IF((N98=""),"",MAX(F99:N99))</f>
        <v>4059.5199999999995</v>
      </c>
      <c r="P97" s="61">
        <f>IF(N98="","",MIN(F99:N99))</f>
        <v>3760.2199999999993</v>
      </c>
      <c r="Q97" s="62">
        <f>IF((N99=""),"",AVERAGE(F99:N99))</f>
        <v>3960.3511111111115</v>
      </c>
      <c r="R97" s="62">
        <f>IF((N98=""),"",(O97-P97)/(O97+P97)*100)</f>
        <v>3.8274929857002946</v>
      </c>
      <c r="S97" s="181">
        <f>STDEV(F99:N99)</f>
        <v>99.947547299126327</v>
      </c>
      <c r="T97" s="189" t="str">
        <f>IF(N98="","",IF(Q97&gt;3650,IF(R97&lt;6.5,IF(Q97&lt;4450,"Pass","Fail"),"Fail"),"Fail"))</f>
        <v>Pass</v>
      </c>
      <c r="U97" s="185">
        <v>1335</v>
      </c>
      <c r="V97" s="246"/>
      <c r="W97" s="33"/>
      <c r="X97" s="184">
        <v>3650</v>
      </c>
      <c r="Y97" s="184">
        <v>4450</v>
      </c>
      <c r="Z97" s="184">
        <v>3700</v>
      </c>
      <c r="AA97" s="184">
        <v>4100</v>
      </c>
      <c r="AB97" s="57">
        <v>6.5</v>
      </c>
      <c r="AC97" s="57">
        <v>7</v>
      </c>
    </row>
    <row r="98" spans="1:29" x14ac:dyDescent="0.25">
      <c r="A98" s="281"/>
      <c r="B98" s="69"/>
      <c r="C98" s="59"/>
      <c r="D98" s="60"/>
      <c r="E98" s="88" t="s">
        <v>193</v>
      </c>
      <c r="F98" s="198">
        <v>2928.16</v>
      </c>
      <c r="G98" s="198">
        <v>2697.02</v>
      </c>
      <c r="H98" s="198">
        <v>2765.78</v>
      </c>
      <c r="I98" s="198">
        <v>2781.36</v>
      </c>
      <c r="J98" s="198">
        <v>3101.84</v>
      </c>
      <c r="K98" s="198">
        <v>3095.84</v>
      </c>
      <c r="L98" s="198">
        <v>2759.33</v>
      </c>
      <c r="M98" s="198">
        <v>2742.72</v>
      </c>
      <c r="N98" s="198">
        <v>2931.64</v>
      </c>
      <c r="O98" s="61"/>
      <c r="P98" s="61"/>
      <c r="Q98" s="62"/>
      <c r="R98" s="62"/>
      <c r="S98" s="181"/>
      <c r="T98" s="182"/>
      <c r="U98" s="190"/>
      <c r="V98" s="247"/>
      <c r="W98" s="33"/>
      <c r="X98" s="186"/>
      <c r="Y98" s="186"/>
      <c r="Z98" s="186"/>
      <c r="AA98" s="186"/>
    </row>
    <row r="99" spans="1:29" ht="22.75" thickBot="1" x14ac:dyDescent="0.3">
      <c r="A99" s="271"/>
      <c r="B99" s="69"/>
      <c r="C99" s="59"/>
      <c r="D99" s="60"/>
      <c r="E99" s="74" t="s">
        <v>194</v>
      </c>
      <c r="F99" s="71">
        <f t="shared" ref="F99:N99" si="29">IF(((F97="")*AND(F98="")),"",(F97-F98)*2)</f>
        <v>3868.5400000000009</v>
      </c>
      <c r="G99" s="71">
        <f t="shared" si="29"/>
        <v>4010.9399999999996</v>
      </c>
      <c r="H99" s="71">
        <f t="shared" si="29"/>
        <v>4038.7</v>
      </c>
      <c r="I99" s="71">
        <f t="shared" si="29"/>
        <v>4028.1799999999994</v>
      </c>
      <c r="J99" s="71">
        <f t="shared" si="29"/>
        <v>3888.6800000000003</v>
      </c>
      <c r="K99" s="71">
        <f t="shared" si="29"/>
        <v>3760.2199999999993</v>
      </c>
      <c r="L99" s="71">
        <f t="shared" si="29"/>
        <v>4015.1000000000004</v>
      </c>
      <c r="M99" s="71">
        <f t="shared" si="29"/>
        <v>4059.5199999999995</v>
      </c>
      <c r="N99" s="71">
        <f t="shared" si="29"/>
        <v>3973.2799999999997</v>
      </c>
      <c r="O99" s="61"/>
      <c r="P99" s="61"/>
      <c r="Q99" s="62"/>
      <c r="R99" s="62"/>
      <c r="S99" s="181"/>
      <c r="T99" s="182"/>
      <c r="U99" s="190"/>
      <c r="V99" s="247"/>
      <c r="W99" s="33"/>
      <c r="X99" s="186"/>
      <c r="Y99" s="186"/>
      <c r="Z99" s="186"/>
      <c r="AA99" s="186"/>
    </row>
    <row r="100" spans="1:29" x14ac:dyDescent="0.25">
      <c r="A100" s="282">
        <v>43134</v>
      </c>
      <c r="B100" s="72" t="s">
        <v>172</v>
      </c>
      <c r="C100" s="73" t="s">
        <v>174</v>
      </c>
      <c r="D100" s="72" t="s">
        <v>195</v>
      </c>
      <c r="E100" s="88" t="s">
        <v>192</v>
      </c>
      <c r="F100" s="198">
        <v>1259.6199999999999</v>
      </c>
      <c r="G100" s="198">
        <v>1237.4100000000001</v>
      </c>
      <c r="H100" s="198">
        <v>1228.43</v>
      </c>
      <c r="I100" s="198">
        <v>1238.28</v>
      </c>
      <c r="J100" s="198">
        <v>1280.6500000000001</v>
      </c>
      <c r="K100" s="198">
        <v>1266.95</v>
      </c>
      <c r="L100" s="198">
        <v>1239.3399999999999</v>
      </c>
      <c r="M100" s="198">
        <v>1236.94</v>
      </c>
      <c r="N100" s="198">
        <v>1269.83</v>
      </c>
      <c r="O100" s="74">
        <f>IF((N101=""),"",MAX(F102:N102))</f>
        <v>2100.2400000000002</v>
      </c>
      <c r="P100" s="74">
        <f>IF(N101="","",MIN(F102:N102))</f>
        <v>1945.0500000000004</v>
      </c>
      <c r="Q100" s="75">
        <f>IF((N102=""),"",AVERAGE(F102:N102))</f>
        <v>2053.0633333333335</v>
      </c>
      <c r="R100" s="75">
        <f>IF((N101=""),"",(O100-P100)/(O100+P100)*100)</f>
        <v>3.8363133421831264</v>
      </c>
      <c r="S100" s="181">
        <f>STDEV(F102:N102)</f>
        <v>58.121829806020287</v>
      </c>
      <c r="T100" s="191" t="str">
        <f>IF(N101="","",IF(Q100&gt;1940,IF(R100&lt;8.3,IF(Q100&lt;2180,"Pass","Fail"),"Fail"),"Fail"))</f>
        <v>Pass</v>
      </c>
      <c r="U100" s="185"/>
      <c r="V100" s="246"/>
      <c r="W100" s="33"/>
      <c r="X100" s="184">
        <v>2000</v>
      </c>
      <c r="Y100" s="184">
        <v>3000</v>
      </c>
      <c r="Z100" s="184">
        <v>1940</v>
      </c>
      <c r="AA100" s="184">
        <v>2180</v>
      </c>
      <c r="AB100" s="57">
        <v>5.2</v>
      </c>
    </row>
    <row r="101" spans="1:29" x14ac:dyDescent="0.25">
      <c r="A101" s="281"/>
      <c r="B101" s="58"/>
      <c r="C101" s="59"/>
      <c r="D101" s="60"/>
      <c r="E101" s="88" t="s">
        <v>193</v>
      </c>
      <c r="F101" s="198">
        <v>572.25</v>
      </c>
      <c r="G101" s="198">
        <v>541.33000000000004</v>
      </c>
      <c r="H101" s="198">
        <v>531.35</v>
      </c>
      <c r="I101" s="198">
        <v>544.49</v>
      </c>
      <c r="J101" s="198">
        <v>632.29999999999995</v>
      </c>
      <c r="K101" s="198">
        <v>613.52</v>
      </c>
      <c r="L101" s="198">
        <v>546.6</v>
      </c>
      <c r="M101" s="198">
        <v>536.86</v>
      </c>
      <c r="N101" s="198">
        <v>579.55999999999995</v>
      </c>
      <c r="O101" s="61"/>
      <c r="P101" s="61"/>
      <c r="Q101" s="62"/>
      <c r="R101" s="62"/>
      <c r="S101" s="181"/>
      <c r="T101" s="182"/>
      <c r="U101" s="185">
        <v>1335</v>
      </c>
      <c r="V101" s="246"/>
      <c r="W101" s="33"/>
      <c r="X101" s="186"/>
      <c r="Y101" s="186"/>
      <c r="Z101" s="186"/>
      <c r="AA101" s="186"/>
    </row>
    <row r="102" spans="1:29" ht="13.3" thickBot="1" x14ac:dyDescent="0.3">
      <c r="A102" s="283"/>
      <c r="B102" s="76"/>
      <c r="C102" s="77"/>
      <c r="D102" s="78"/>
      <c r="E102" s="92" t="s">
        <v>196</v>
      </c>
      <c r="F102" s="79">
        <f t="shared" ref="F102:N102" si="30">IF(((F100="")*AND(F101="")),"",(F100-F101)*3)</f>
        <v>2062.1099999999997</v>
      </c>
      <c r="G102" s="79">
        <f t="shared" si="30"/>
        <v>2088.2400000000002</v>
      </c>
      <c r="H102" s="79">
        <f t="shared" si="30"/>
        <v>2091.2400000000002</v>
      </c>
      <c r="I102" s="79">
        <f t="shared" si="30"/>
        <v>2081.37</v>
      </c>
      <c r="J102" s="79">
        <f t="shared" si="30"/>
        <v>1945.0500000000004</v>
      </c>
      <c r="K102" s="79">
        <f t="shared" si="30"/>
        <v>1960.2900000000002</v>
      </c>
      <c r="L102" s="79">
        <f t="shared" si="30"/>
        <v>2078.2199999999998</v>
      </c>
      <c r="M102" s="79">
        <f t="shared" si="30"/>
        <v>2100.2400000000002</v>
      </c>
      <c r="N102" s="79">
        <f t="shared" si="30"/>
        <v>2070.81</v>
      </c>
      <c r="O102" s="80"/>
      <c r="P102" s="80"/>
      <c r="Q102" s="81"/>
      <c r="R102" s="81"/>
      <c r="S102" s="181"/>
      <c r="T102" s="192"/>
      <c r="U102" s="193"/>
      <c r="V102" s="246"/>
      <c r="W102" s="33"/>
      <c r="X102" s="186"/>
      <c r="Y102" s="186"/>
      <c r="Z102" s="186"/>
      <c r="AA102" s="186"/>
    </row>
    <row r="103" spans="1:29" x14ac:dyDescent="0.25">
      <c r="A103" s="280">
        <v>43137</v>
      </c>
      <c r="B103" s="52" t="s">
        <v>191</v>
      </c>
      <c r="C103" s="53" t="s">
        <v>176</v>
      </c>
      <c r="D103" s="54" t="s">
        <v>175</v>
      </c>
      <c r="E103" s="86" t="s">
        <v>192</v>
      </c>
      <c r="F103" s="33">
        <v>23328.78</v>
      </c>
      <c r="G103" s="33">
        <v>23328.78</v>
      </c>
      <c r="H103" s="33">
        <v>23457.48</v>
      </c>
      <c r="I103" s="33">
        <v>23289.3</v>
      </c>
      <c r="J103" s="33">
        <v>22713.78</v>
      </c>
      <c r="K103" s="33">
        <v>22821.3</v>
      </c>
      <c r="L103" s="33">
        <v>23285.67</v>
      </c>
      <c r="M103" s="33">
        <v>23296.65</v>
      </c>
      <c r="N103" s="33">
        <v>22729.33</v>
      </c>
      <c r="O103" s="55">
        <f>IF((N104=""),"",MAX(F105:N105))</f>
        <v>5127.4799999999996</v>
      </c>
      <c r="P103" s="55">
        <f>IF(N104="","",MIN(F105:N105))</f>
        <v>4315.1999999999935</v>
      </c>
      <c r="Q103" s="56">
        <f>IF((N105=""),"",AVERAGE(F105:N105))</f>
        <v>4691.0433333333303</v>
      </c>
      <c r="R103" s="56">
        <f>IF((N104=""),"",(O103-P103)/(O103+P103)*100)</f>
        <v>8.6022188615944497</v>
      </c>
      <c r="S103" s="181">
        <f>STDEV(F105:N105)</f>
        <v>380.43292003979053</v>
      </c>
      <c r="T103" s="182" t="str">
        <f>IF(N104="","",IF(R103&lt;16,IF(Q103&gt;3200,IF(R103,IF(Q103&lt;5240,"Pass","Fail"),"Fail"),"Fail")))</f>
        <v>Pass</v>
      </c>
      <c r="U103" s="183">
        <v>102</v>
      </c>
      <c r="V103" s="246"/>
      <c r="W103" s="33"/>
      <c r="X103" s="184">
        <v>4200</v>
      </c>
      <c r="Y103" s="184">
        <v>5500</v>
      </c>
      <c r="Z103" s="184">
        <v>3200</v>
      </c>
      <c r="AA103" s="184">
        <v>5240</v>
      </c>
      <c r="AB103" s="57">
        <v>16</v>
      </c>
    </row>
    <row r="104" spans="1:29" x14ac:dyDescent="0.25">
      <c r="A104" s="281"/>
      <c r="B104" s="58"/>
      <c r="C104" s="59"/>
      <c r="D104" s="60"/>
      <c r="E104" s="88" t="s">
        <v>193</v>
      </c>
      <c r="F104" s="33">
        <v>21619.62</v>
      </c>
      <c r="G104" s="33">
        <v>21890.38</v>
      </c>
      <c r="H104" s="33">
        <v>22003.24</v>
      </c>
      <c r="I104" s="33">
        <v>21817.02</v>
      </c>
      <c r="J104" s="33">
        <v>21008.91</v>
      </c>
      <c r="K104" s="33">
        <v>21158.43</v>
      </c>
      <c r="L104" s="33">
        <v>21818.400000000001</v>
      </c>
      <c r="M104" s="33">
        <v>21840.560000000001</v>
      </c>
      <c r="N104" s="33">
        <v>21021.38</v>
      </c>
      <c r="O104" s="61"/>
      <c r="P104" s="61"/>
      <c r="Q104" s="62"/>
      <c r="R104" s="62"/>
      <c r="S104" s="181"/>
      <c r="T104" s="182"/>
      <c r="U104" s="185"/>
      <c r="V104" s="246"/>
      <c r="W104" s="33"/>
      <c r="X104" s="186"/>
      <c r="Y104" s="186"/>
      <c r="Z104" s="186"/>
      <c r="AA104" s="186"/>
    </row>
    <row r="105" spans="1:29" ht="22.75" thickBot="1" x14ac:dyDescent="0.3">
      <c r="A105" s="281"/>
      <c r="B105" s="63"/>
      <c r="C105" s="64"/>
      <c r="D105" s="65"/>
      <c r="E105" s="88" t="s">
        <v>194</v>
      </c>
      <c r="F105" s="66">
        <f t="shared" ref="F105:N105" si="31">IF(((F103="")*AND(F104="")),"",(F103-F104)*3)</f>
        <v>5127.4799999999996</v>
      </c>
      <c r="G105" s="66">
        <f t="shared" si="31"/>
        <v>4315.1999999999935</v>
      </c>
      <c r="H105" s="66">
        <f t="shared" si="31"/>
        <v>4362.7199999999939</v>
      </c>
      <c r="I105" s="66">
        <f t="shared" si="31"/>
        <v>4416.8399999999965</v>
      </c>
      <c r="J105" s="66">
        <f t="shared" si="31"/>
        <v>5114.6099999999969</v>
      </c>
      <c r="K105" s="66">
        <f t="shared" si="31"/>
        <v>4988.6099999999969</v>
      </c>
      <c r="L105" s="66">
        <f t="shared" si="31"/>
        <v>4401.8099999999904</v>
      </c>
      <c r="M105" s="66">
        <f t="shared" si="31"/>
        <v>4368.2700000000004</v>
      </c>
      <c r="N105" s="66">
        <f t="shared" si="31"/>
        <v>5123.8500000000022</v>
      </c>
      <c r="O105" s="67"/>
      <c r="P105" s="67"/>
      <c r="Q105" s="68"/>
      <c r="R105" s="68"/>
      <c r="S105" s="181"/>
      <c r="T105" s="187"/>
      <c r="U105" s="188"/>
      <c r="V105" s="246"/>
      <c r="W105" s="33"/>
      <c r="X105" s="186"/>
      <c r="Y105" s="186"/>
      <c r="Z105" s="186"/>
      <c r="AA105" s="186"/>
    </row>
    <row r="106" spans="1:29" x14ac:dyDescent="0.25">
      <c r="A106" s="289">
        <v>43137</v>
      </c>
      <c r="B106" s="69" t="s">
        <v>177</v>
      </c>
      <c r="C106" s="59" t="s">
        <v>179</v>
      </c>
      <c r="D106" s="70" t="s">
        <v>178</v>
      </c>
      <c r="E106" s="67" t="s">
        <v>192</v>
      </c>
      <c r="F106" s="33">
        <v>6720.03</v>
      </c>
      <c r="G106" s="33">
        <v>6637.98</v>
      </c>
      <c r="H106" s="33">
        <v>6738.71</v>
      </c>
      <c r="I106" s="33">
        <v>6747.14</v>
      </c>
      <c r="J106" s="33">
        <v>6897.17</v>
      </c>
      <c r="K106" s="33">
        <v>6766.19</v>
      </c>
      <c r="L106" s="33">
        <v>6712.1</v>
      </c>
      <c r="M106" s="33">
        <v>6728.93</v>
      </c>
      <c r="N106" s="33">
        <v>6824.22</v>
      </c>
      <c r="O106" s="61">
        <f>IF((N107=""),"",MAX(F108:N108))</f>
        <v>3983.08</v>
      </c>
      <c r="P106" s="61">
        <f>IF(N107="","",MIN(F108:N108))</f>
        <v>3708.24</v>
      </c>
      <c r="Q106" s="62">
        <f>IF((N108=""),"",AVERAGE(F108:N108))</f>
        <v>3895.7488888888888</v>
      </c>
      <c r="R106" s="62">
        <f>IF((N107=""),"",(O106-P106)/(O106+P106)*100)</f>
        <v>3.5733788218407265</v>
      </c>
      <c r="S106" s="181">
        <f>STDEV(F108:N108)</f>
        <v>90.483122244488925</v>
      </c>
      <c r="T106" s="189" t="str">
        <f>IF(N107="","",IF(Q106&gt;3650,IF(R106&lt;6.5,IF(Q106&lt;4450,"Pass","Fail"),"Fail"),"Fail"))</f>
        <v>Pass</v>
      </c>
      <c r="U106" s="185">
        <v>102</v>
      </c>
      <c r="V106" s="246"/>
      <c r="W106" s="33"/>
      <c r="X106" s="184">
        <v>3650</v>
      </c>
      <c r="Y106" s="184">
        <v>4450</v>
      </c>
      <c r="Z106" s="184">
        <v>3700</v>
      </c>
      <c r="AA106" s="184">
        <v>4100</v>
      </c>
      <c r="AB106" s="57">
        <v>6.5</v>
      </c>
      <c r="AC106" s="57">
        <v>7</v>
      </c>
    </row>
    <row r="107" spans="1:29" x14ac:dyDescent="0.25">
      <c r="A107" s="290"/>
      <c r="B107" s="69"/>
      <c r="C107" s="59"/>
      <c r="D107" s="60"/>
      <c r="E107" s="88" t="s">
        <v>193</v>
      </c>
      <c r="F107" s="33">
        <v>4811.45</v>
      </c>
      <c r="G107" s="33">
        <v>4669.2</v>
      </c>
      <c r="H107" s="33">
        <v>4752.8100000000004</v>
      </c>
      <c r="I107" s="33">
        <v>4770.95</v>
      </c>
      <c r="J107" s="33">
        <v>4978.59</v>
      </c>
      <c r="K107" s="33">
        <v>4912.07</v>
      </c>
      <c r="L107" s="33">
        <v>4741.55</v>
      </c>
      <c r="M107" s="33">
        <v>4737.3900000000003</v>
      </c>
      <c r="N107" s="33">
        <v>4867.59</v>
      </c>
      <c r="O107" s="61"/>
      <c r="P107" s="61"/>
      <c r="Q107" s="62"/>
      <c r="R107" s="62"/>
      <c r="S107" s="181"/>
      <c r="T107" s="182"/>
      <c r="U107" s="190"/>
      <c r="V107" s="247"/>
      <c r="W107" s="33"/>
      <c r="X107" s="186"/>
      <c r="Y107" s="186"/>
      <c r="Z107" s="186"/>
      <c r="AA107" s="186"/>
    </row>
    <row r="108" spans="1:29" ht="22.75" thickBot="1" x14ac:dyDescent="0.3">
      <c r="A108" s="291"/>
      <c r="B108" s="69"/>
      <c r="C108" s="59"/>
      <c r="D108" s="60"/>
      <c r="E108" s="74" t="s">
        <v>194</v>
      </c>
      <c r="F108" s="71">
        <f t="shared" ref="F108:N108" si="32">IF(((F106="")*AND(F107="")),"",(F106-F107)*2)</f>
        <v>3817.16</v>
      </c>
      <c r="G108" s="71">
        <f t="shared" si="32"/>
        <v>3937.5599999999995</v>
      </c>
      <c r="H108" s="71">
        <f t="shared" si="32"/>
        <v>3971.7999999999993</v>
      </c>
      <c r="I108" s="71">
        <f t="shared" si="32"/>
        <v>3952.380000000001</v>
      </c>
      <c r="J108" s="71">
        <f t="shared" si="32"/>
        <v>3837.16</v>
      </c>
      <c r="K108" s="71">
        <f t="shared" si="32"/>
        <v>3708.24</v>
      </c>
      <c r="L108" s="71">
        <f t="shared" si="32"/>
        <v>3941.1000000000004</v>
      </c>
      <c r="M108" s="71">
        <f t="shared" si="32"/>
        <v>3983.08</v>
      </c>
      <c r="N108" s="71">
        <f t="shared" si="32"/>
        <v>3913.26</v>
      </c>
      <c r="O108" s="61"/>
      <c r="P108" s="61"/>
      <c r="Q108" s="62"/>
      <c r="R108" s="62"/>
      <c r="S108" s="181"/>
      <c r="T108" s="182"/>
      <c r="U108" s="190"/>
      <c r="V108" s="247"/>
      <c r="W108" s="33"/>
      <c r="X108" s="186"/>
      <c r="Y108" s="186"/>
      <c r="Z108" s="186"/>
      <c r="AA108" s="186"/>
    </row>
    <row r="109" spans="1:29" x14ac:dyDescent="0.25">
      <c r="A109" s="281">
        <v>43137</v>
      </c>
      <c r="B109" s="72" t="s">
        <v>172</v>
      </c>
      <c r="C109" s="73" t="s">
        <v>174</v>
      </c>
      <c r="D109" s="72" t="s">
        <v>195</v>
      </c>
      <c r="E109" s="88" t="s">
        <v>192</v>
      </c>
      <c r="F109" s="33">
        <v>1918.72</v>
      </c>
      <c r="G109" s="33">
        <v>1914.06</v>
      </c>
      <c r="H109" s="33">
        <v>1907.01</v>
      </c>
      <c r="I109" s="33">
        <v>1913.87</v>
      </c>
      <c r="J109" s="33">
        <v>1925.23</v>
      </c>
      <c r="K109" s="33">
        <v>1917.95</v>
      </c>
      <c r="L109" s="33">
        <v>1912.51</v>
      </c>
      <c r="M109" s="33">
        <v>1917.88</v>
      </c>
      <c r="N109" s="33">
        <v>1924.66</v>
      </c>
      <c r="O109" s="74">
        <f>IF((N110=""),"",MAX(F111:N111))</f>
        <v>2103.7200000000003</v>
      </c>
      <c r="P109" s="74">
        <f>IF(N110="","",MIN(F111:N111))</f>
        <v>1963.62</v>
      </c>
      <c r="Q109" s="75">
        <f>IF((N111=""),"",AVERAGE(F111:N111))</f>
        <v>2042.5833333333333</v>
      </c>
      <c r="R109" s="75">
        <f>IF((N110=""),"",(O109-P109)/(O109+P109)*100)</f>
        <v>3.4445116464323209</v>
      </c>
      <c r="S109" s="181">
        <f>STDEV(F111:N111)</f>
        <v>50.785304961179456</v>
      </c>
      <c r="T109" s="191" t="str">
        <f>IF(N110="","",IF(Q109&gt;1940,IF(R109&lt;8.3,IF(Q109&lt;2180,"Pass","Fail"),"Fail"),"Fail"))</f>
        <v>Pass</v>
      </c>
      <c r="U109" s="185">
        <v>102</v>
      </c>
      <c r="V109" s="246"/>
      <c r="W109" s="33"/>
      <c r="X109" s="184">
        <v>2000</v>
      </c>
      <c r="Y109" s="184">
        <v>3000</v>
      </c>
      <c r="Z109" s="184">
        <v>1940</v>
      </c>
      <c r="AA109" s="184">
        <v>2180</v>
      </c>
      <c r="AB109" s="57">
        <v>5.2</v>
      </c>
    </row>
    <row r="110" spans="1:29" x14ac:dyDescent="0.25">
      <c r="A110" s="281"/>
      <c r="B110" s="58"/>
      <c r="C110" s="59"/>
      <c r="D110" s="60"/>
      <c r="E110" s="88" t="s">
        <v>193</v>
      </c>
      <c r="F110" s="33">
        <v>1249.28</v>
      </c>
      <c r="G110" s="33">
        <v>1217.54</v>
      </c>
      <c r="H110" s="33">
        <v>1212.1099999999999</v>
      </c>
      <c r="I110" s="33">
        <v>1222.6500000000001</v>
      </c>
      <c r="J110" s="33">
        <v>1270.69</v>
      </c>
      <c r="K110" s="33">
        <v>1256.45</v>
      </c>
      <c r="L110" s="33">
        <v>1225.44</v>
      </c>
      <c r="M110" s="33">
        <v>1216.6400000000001</v>
      </c>
      <c r="N110" s="33">
        <v>1253.3399999999999</v>
      </c>
      <c r="O110" s="61"/>
      <c r="P110" s="61"/>
      <c r="Q110" s="62"/>
      <c r="R110" s="62"/>
      <c r="S110" s="181"/>
      <c r="T110" s="182"/>
      <c r="U110" s="185"/>
      <c r="V110" s="246"/>
      <c r="W110" s="33"/>
      <c r="X110" s="186"/>
      <c r="Y110" s="186"/>
      <c r="Z110" s="186"/>
      <c r="AA110" s="186"/>
    </row>
    <row r="111" spans="1:29" ht="13.3" thickBot="1" x14ac:dyDescent="0.3">
      <c r="A111" s="283"/>
      <c r="B111" s="76"/>
      <c r="C111" s="77"/>
      <c r="D111" s="78"/>
      <c r="E111" s="92" t="s">
        <v>196</v>
      </c>
      <c r="F111" s="79">
        <f t="shared" ref="F111:N111" si="33">IF(((F109="")*AND(F110="")),"",(F109-F110)*3)</f>
        <v>2008.3200000000002</v>
      </c>
      <c r="G111" s="79">
        <f t="shared" si="33"/>
        <v>2089.56</v>
      </c>
      <c r="H111" s="79">
        <f t="shared" si="33"/>
        <v>2084.7000000000003</v>
      </c>
      <c r="I111" s="79">
        <f t="shared" si="33"/>
        <v>2073.6599999999994</v>
      </c>
      <c r="J111" s="79">
        <f t="shared" si="33"/>
        <v>1963.62</v>
      </c>
      <c r="K111" s="79">
        <f t="shared" si="33"/>
        <v>1984.5</v>
      </c>
      <c r="L111" s="79">
        <f t="shared" si="33"/>
        <v>2061.21</v>
      </c>
      <c r="M111" s="79">
        <f t="shared" si="33"/>
        <v>2103.7200000000003</v>
      </c>
      <c r="N111" s="79">
        <f t="shared" si="33"/>
        <v>2013.9600000000005</v>
      </c>
      <c r="O111" s="80"/>
      <c r="P111" s="80"/>
      <c r="Q111" s="81"/>
      <c r="R111" s="81"/>
      <c r="S111" s="181"/>
      <c r="T111" s="192"/>
      <c r="U111" s="193"/>
      <c r="V111" s="246"/>
      <c r="W111" s="33"/>
      <c r="X111" s="186"/>
      <c r="Y111" s="186"/>
      <c r="Z111" s="186"/>
      <c r="AA111" s="186"/>
    </row>
    <row r="112" spans="1:29" x14ac:dyDescent="0.25">
      <c r="A112" s="280">
        <v>43140</v>
      </c>
      <c r="B112" s="58" t="s">
        <v>191</v>
      </c>
      <c r="C112" s="59" t="s">
        <v>176</v>
      </c>
      <c r="D112" s="60" t="s">
        <v>175</v>
      </c>
      <c r="E112" s="67" t="s">
        <v>192</v>
      </c>
      <c r="F112" s="33">
        <v>26905.74</v>
      </c>
      <c r="G112" s="33">
        <v>26810.880000000001</v>
      </c>
      <c r="H112" s="33">
        <v>26951.52</v>
      </c>
      <c r="I112" s="33">
        <v>26800.22</v>
      </c>
      <c r="J112" s="33">
        <v>26884.82</v>
      </c>
      <c r="K112" s="33">
        <v>26787.59</v>
      </c>
      <c r="L112" s="33">
        <v>26788.959999999999</v>
      </c>
      <c r="M112" s="33">
        <v>26775.83</v>
      </c>
      <c r="N112" s="33">
        <v>26963</v>
      </c>
      <c r="O112" s="61">
        <f>IF((N113=""),"",MAX(F114:N114))</f>
        <v>5222.7299999999996</v>
      </c>
      <c r="P112" s="61">
        <f>IF(N113="","",MIN(F114:N114))</f>
        <v>4415.0100000000057</v>
      </c>
      <c r="Q112" s="62">
        <f>IF((N114=""),"",AVERAGE(F114:N114))</f>
        <v>4743.3100000000022</v>
      </c>
      <c r="R112" s="62">
        <f>IF((N113=""),"",(O112-P112)/(O112+P112)*100)</f>
        <v>8.3808029683306824</v>
      </c>
      <c r="S112" s="181">
        <f>STDEV(F114:N114)</f>
        <v>333.73809787766123</v>
      </c>
      <c r="T112" s="182" t="str">
        <f>IF(N113="","",IF(R112&lt;16,IF(Q112&gt;3200,IF(R112,IF(Q112&lt;5240,"Pass","Fail"),"Fail"),"Fail")))</f>
        <v>Pass</v>
      </c>
      <c r="U112" s="185"/>
      <c r="V112" s="246"/>
      <c r="W112" s="33"/>
      <c r="X112" s="184">
        <v>4200</v>
      </c>
      <c r="Y112" s="184">
        <v>5500</v>
      </c>
      <c r="Z112" s="184">
        <v>3200</v>
      </c>
      <c r="AA112" s="184">
        <v>5240</v>
      </c>
      <c r="AB112" s="57">
        <v>16</v>
      </c>
    </row>
    <row r="113" spans="1:29" x14ac:dyDescent="0.25">
      <c r="A113" s="281"/>
      <c r="B113" s="58"/>
      <c r="C113" s="59"/>
      <c r="D113" s="60"/>
      <c r="E113" s="88" t="s">
        <v>193</v>
      </c>
      <c r="F113" s="33">
        <v>25246.89</v>
      </c>
      <c r="G113" s="33">
        <v>25318.62</v>
      </c>
      <c r="H113" s="33">
        <v>25479.85</v>
      </c>
      <c r="I113" s="33">
        <v>25303.759999999998</v>
      </c>
      <c r="J113" s="33">
        <v>25163.43</v>
      </c>
      <c r="K113" s="33">
        <v>25130.28</v>
      </c>
      <c r="L113" s="33">
        <v>25304.81</v>
      </c>
      <c r="M113" s="33">
        <v>25268.9</v>
      </c>
      <c r="N113" s="33">
        <v>25222.09</v>
      </c>
      <c r="O113" s="61"/>
      <c r="P113" s="61"/>
      <c r="Q113" s="62"/>
      <c r="R113" s="62"/>
      <c r="S113" s="181"/>
      <c r="T113" s="182"/>
      <c r="U113" s="185"/>
      <c r="V113" s="246"/>
      <c r="W113" s="33"/>
      <c r="X113" s="186"/>
      <c r="Y113" s="186"/>
      <c r="Z113" s="186"/>
      <c r="AA113" s="186"/>
    </row>
    <row r="114" spans="1:29" ht="22.75" thickBot="1" x14ac:dyDescent="0.3">
      <c r="A114" s="281"/>
      <c r="B114" s="63"/>
      <c r="C114" s="64"/>
      <c r="D114" s="65"/>
      <c r="E114" s="88" t="s">
        <v>194</v>
      </c>
      <c r="F114" s="66">
        <f t="shared" ref="F114:N114" si="34">IF(((F112="")*AND(F113="")),"",(F112-F113)*3)</f>
        <v>4976.5500000000065</v>
      </c>
      <c r="G114" s="66">
        <f t="shared" si="34"/>
        <v>4476.7800000000061</v>
      </c>
      <c r="H114" s="66">
        <f t="shared" si="34"/>
        <v>4415.0100000000057</v>
      </c>
      <c r="I114" s="66">
        <f t="shared" si="34"/>
        <v>4489.3800000000083</v>
      </c>
      <c r="J114" s="66">
        <f t="shared" si="34"/>
        <v>5164.1699999999983</v>
      </c>
      <c r="K114" s="66">
        <f t="shared" si="34"/>
        <v>4971.9300000000039</v>
      </c>
      <c r="L114" s="66">
        <f t="shared" si="34"/>
        <v>4452.4499999999935</v>
      </c>
      <c r="M114" s="66">
        <f t="shared" si="34"/>
        <v>4520.7900000000009</v>
      </c>
      <c r="N114" s="66">
        <f t="shared" si="34"/>
        <v>5222.7299999999996</v>
      </c>
      <c r="O114" s="67"/>
      <c r="P114" s="67"/>
      <c r="Q114" s="68"/>
      <c r="R114" s="68"/>
      <c r="S114" s="181"/>
      <c r="T114" s="187"/>
      <c r="U114" s="188"/>
      <c r="V114" s="246"/>
      <c r="W114" s="33"/>
      <c r="X114" s="186"/>
      <c r="Y114" s="186"/>
      <c r="Z114" s="186"/>
      <c r="AA114" s="186"/>
    </row>
    <row r="115" spans="1:29" x14ac:dyDescent="0.25">
      <c r="A115" s="282">
        <v>43140</v>
      </c>
      <c r="B115" s="69" t="s">
        <v>177</v>
      </c>
      <c r="C115" s="59" t="s">
        <v>179</v>
      </c>
      <c r="D115" s="70" t="s">
        <v>178</v>
      </c>
      <c r="E115" s="67" t="s">
        <v>192</v>
      </c>
      <c r="F115" s="33">
        <v>4823.32</v>
      </c>
      <c r="G115" s="33">
        <v>4683.57</v>
      </c>
      <c r="H115" s="33">
        <v>4766.54</v>
      </c>
      <c r="I115" s="33">
        <v>4783.84</v>
      </c>
      <c r="J115" s="33">
        <v>4983.95</v>
      </c>
      <c r="K115" s="33">
        <v>4919.51</v>
      </c>
      <c r="L115" s="33">
        <v>4755.2299999999996</v>
      </c>
      <c r="M115" s="33">
        <v>4751.1899999999996</v>
      </c>
      <c r="N115" s="33">
        <v>4877.05</v>
      </c>
      <c r="O115" s="61">
        <f>IF((N116=""),"",MAX(F117:N117))</f>
        <v>4044.5199999999995</v>
      </c>
      <c r="P115" s="61">
        <f>IF(N116="","",MIN(F117:N117))</f>
        <v>3763.1200000000008</v>
      </c>
      <c r="Q115" s="62">
        <f>IF((N117=""),"",AVERAGE(F117:N117))</f>
        <v>3954.7866666666669</v>
      </c>
      <c r="R115" s="62">
        <f>IF((N116=""),"",(O115-P115)/(O115+P115)*100)</f>
        <v>3.6041620771449336</v>
      </c>
      <c r="S115" s="181">
        <f>STDEV(F117:N117)</f>
        <v>96.488510196810253</v>
      </c>
      <c r="T115" s="189" t="str">
        <f>IF(N116="","",IF(Q115&gt;3650,IF(R115&lt;6.5,IF(Q115&lt;4450,"Pass","Fail"),"Fail"),"Fail"))</f>
        <v>Pass</v>
      </c>
      <c r="U115" s="185"/>
      <c r="V115" s="246"/>
      <c r="W115" s="33"/>
      <c r="X115" s="184">
        <v>3650</v>
      </c>
      <c r="Y115" s="184">
        <v>4450</v>
      </c>
      <c r="Z115" s="184">
        <v>3700</v>
      </c>
      <c r="AA115" s="184">
        <v>4100</v>
      </c>
      <c r="AB115" s="57">
        <v>6.5</v>
      </c>
      <c r="AC115" s="57">
        <v>7</v>
      </c>
    </row>
    <row r="116" spans="1:29" x14ac:dyDescent="0.25">
      <c r="A116" s="281"/>
      <c r="B116" s="69"/>
      <c r="C116" s="59"/>
      <c r="D116" s="60"/>
      <c r="E116" s="88" t="s">
        <v>193</v>
      </c>
      <c r="F116" s="33">
        <v>2886.01</v>
      </c>
      <c r="G116" s="33">
        <v>2678.26</v>
      </c>
      <c r="H116" s="33">
        <v>2748.94</v>
      </c>
      <c r="I116" s="33">
        <v>2773.39</v>
      </c>
      <c r="J116" s="33">
        <v>3043.51</v>
      </c>
      <c r="K116" s="33">
        <v>3037.95</v>
      </c>
      <c r="L116" s="33">
        <v>2747.07</v>
      </c>
      <c r="M116" s="33">
        <v>2728.93</v>
      </c>
      <c r="N116" s="33">
        <v>2903.6</v>
      </c>
      <c r="O116" s="61"/>
      <c r="P116" s="61"/>
      <c r="Q116" s="62"/>
      <c r="R116" s="62"/>
      <c r="S116" s="181"/>
      <c r="T116" s="182"/>
      <c r="U116" s="190"/>
      <c r="V116" s="247"/>
      <c r="W116" s="33"/>
      <c r="X116" s="186"/>
      <c r="Y116" s="186"/>
      <c r="Z116" s="186"/>
      <c r="AA116" s="186"/>
    </row>
    <row r="117" spans="1:29" ht="22.75" thickBot="1" x14ac:dyDescent="0.3">
      <c r="A117" s="281"/>
      <c r="B117" s="69"/>
      <c r="C117" s="59"/>
      <c r="D117" s="60"/>
      <c r="E117" s="74" t="s">
        <v>194</v>
      </c>
      <c r="F117" s="71">
        <f t="shared" ref="F117:N117" si="35">IF(((F115="")*AND(F116="")),"",(F115-F116)*2)</f>
        <v>3874.619999999999</v>
      </c>
      <c r="G117" s="71">
        <f t="shared" si="35"/>
        <v>4010.619999999999</v>
      </c>
      <c r="H117" s="71">
        <f t="shared" si="35"/>
        <v>4035.2</v>
      </c>
      <c r="I117" s="71">
        <f t="shared" si="35"/>
        <v>4020.9000000000005</v>
      </c>
      <c r="J117" s="71">
        <f t="shared" si="35"/>
        <v>3880.8799999999992</v>
      </c>
      <c r="K117" s="71">
        <f t="shared" si="35"/>
        <v>3763.1200000000008</v>
      </c>
      <c r="L117" s="71">
        <f t="shared" si="35"/>
        <v>4016.3199999999988</v>
      </c>
      <c r="M117" s="71">
        <f t="shared" si="35"/>
        <v>4044.5199999999995</v>
      </c>
      <c r="N117" s="71">
        <f t="shared" si="35"/>
        <v>3946.9000000000005</v>
      </c>
      <c r="O117" s="61"/>
      <c r="P117" s="61"/>
      <c r="Q117" s="62"/>
      <c r="R117" s="62"/>
      <c r="S117" s="181"/>
      <c r="T117" s="182"/>
      <c r="U117" s="190"/>
      <c r="V117" s="247"/>
      <c r="W117" s="33"/>
      <c r="X117" s="186"/>
      <c r="Y117" s="186"/>
      <c r="Z117" s="186"/>
      <c r="AA117" s="186"/>
    </row>
    <row r="118" spans="1:29" x14ac:dyDescent="0.25">
      <c r="A118" s="282">
        <v>43140</v>
      </c>
      <c r="B118" s="72" t="s">
        <v>172</v>
      </c>
      <c r="C118" s="73" t="s">
        <v>174</v>
      </c>
      <c r="D118" s="72" t="s">
        <v>195</v>
      </c>
      <c r="E118" s="88" t="s">
        <v>192</v>
      </c>
      <c r="F118" s="33">
        <v>1248.46</v>
      </c>
      <c r="G118" s="33">
        <v>1219.57</v>
      </c>
      <c r="H118" s="33">
        <v>1219.21</v>
      </c>
      <c r="I118" s="33">
        <v>1225.98</v>
      </c>
      <c r="J118" s="33">
        <v>1276.04</v>
      </c>
      <c r="K118" s="33">
        <v>1262.8699999999999</v>
      </c>
      <c r="L118" s="33">
        <v>1226.0999999999999</v>
      </c>
      <c r="M118" s="33">
        <v>1220.23</v>
      </c>
      <c r="N118" s="33">
        <v>1250.2</v>
      </c>
      <c r="O118" s="74">
        <f>IF((N119=""),"",MAX(F120:N120))</f>
        <v>2114.1</v>
      </c>
      <c r="P118" s="74">
        <f>IF(N119="","",MIN(F120:N120))</f>
        <v>1985.04</v>
      </c>
      <c r="Q118" s="75">
        <f>IF((N120=""),"",AVERAGE(F120:N120))</f>
        <v>2068.9433333333341</v>
      </c>
      <c r="R118" s="75">
        <f>IF((N119=""),"",(O118-P118)/(O118+P118)*100)</f>
        <v>3.1484652878408634</v>
      </c>
      <c r="S118" s="181">
        <f>STDEV(F120:N120)</f>
        <v>48.110031958002331</v>
      </c>
      <c r="T118" s="191" t="str">
        <f>IF(N119="","",IF(Q118&gt;1940,IF(R118&lt;8.3,IF(Q118&lt;2180,"Pass","Fail"),"Fail"),"Fail"))</f>
        <v>Pass</v>
      </c>
      <c r="U118" s="185"/>
      <c r="V118" s="246"/>
      <c r="W118" s="33"/>
      <c r="X118" s="184">
        <v>2000</v>
      </c>
      <c r="Y118" s="184">
        <v>3000</v>
      </c>
      <c r="Z118" s="184">
        <v>1940</v>
      </c>
      <c r="AA118" s="184">
        <v>2180</v>
      </c>
      <c r="AB118" s="57">
        <v>5.2</v>
      </c>
    </row>
    <row r="119" spans="1:29" x14ac:dyDescent="0.25">
      <c r="A119" s="281"/>
      <c r="B119" s="58"/>
      <c r="C119" s="59"/>
      <c r="D119" s="60"/>
      <c r="E119" s="88" t="s">
        <v>193</v>
      </c>
      <c r="F119" s="33">
        <v>562.24</v>
      </c>
      <c r="G119" s="33">
        <v>514.87</v>
      </c>
      <c r="H119" s="33">
        <v>516.17999999999995</v>
      </c>
      <c r="I119" s="33">
        <v>525.87</v>
      </c>
      <c r="J119" s="33">
        <v>614.36</v>
      </c>
      <c r="K119" s="33">
        <v>583.08000000000004</v>
      </c>
      <c r="L119" s="33">
        <v>528.41999999999996</v>
      </c>
      <c r="M119" s="33">
        <v>516.53</v>
      </c>
      <c r="N119" s="33">
        <v>580.28</v>
      </c>
      <c r="O119" s="61"/>
      <c r="P119" s="61"/>
      <c r="Q119" s="62"/>
      <c r="R119" s="62"/>
      <c r="S119" s="181"/>
      <c r="T119" s="182"/>
      <c r="U119" s="185"/>
      <c r="V119" s="246"/>
      <c r="W119" s="33"/>
      <c r="X119" s="186"/>
      <c r="Y119" s="186"/>
      <c r="Z119" s="186"/>
      <c r="AA119" s="186"/>
    </row>
    <row r="120" spans="1:29" ht="13.3" thickBot="1" x14ac:dyDescent="0.3">
      <c r="A120" s="283"/>
      <c r="B120" s="76"/>
      <c r="C120" s="77"/>
      <c r="D120" s="78"/>
      <c r="E120" s="92" t="s">
        <v>196</v>
      </c>
      <c r="F120" s="79">
        <f t="shared" ref="F120:N120" si="36">IF(((F118="")*AND(F119="")),"",(F118-F119)*3)</f>
        <v>2058.66</v>
      </c>
      <c r="G120" s="79">
        <f t="shared" si="36"/>
        <v>2114.1</v>
      </c>
      <c r="H120" s="79">
        <f t="shared" si="36"/>
        <v>2109.09</v>
      </c>
      <c r="I120" s="79">
        <f t="shared" si="36"/>
        <v>2100.33</v>
      </c>
      <c r="J120" s="79">
        <f t="shared" si="36"/>
        <v>1985.04</v>
      </c>
      <c r="K120" s="79">
        <f t="shared" si="36"/>
        <v>2039.3699999999994</v>
      </c>
      <c r="L120" s="79">
        <f t="shared" si="36"/>
        <v>2093.04</v>
      </c>
      <c r="M120" s="79">
        <f t="shared" si="36"/>
        <v>2111.1000000000004</v>
      </c>
      <c r="N120" s="79">
        <f t="shared" si="36"/>
        <v>2009.7600000000002</v>
      </c>
      <c r="O120" s="80"/>
      <c r="P120" s="80"/>
      <c r="Q120" s="81"/>
      <c r="R120" s="81"/>
      <c r="S120" s="181"/>
      <c r="T120" s="192"/>
      <c r="U120" s="193"/>
      <c r="V120" s="246"/>
      <c r="W120" s="33"/>
      <c r="X120" s="186"/>
      <c r="Y120" s="186"/>
      <c r="Z120" s="186"/>
      <c r="AA120" s="186"/>
    </row>
    <row r="121" spans="1:29" x14ac:dyDescent="0.25">
      <c r="A121" s="282">
        <v>43143</v>
      </c>
      <c r="B121" s="52" t="s">
        <v>191</v>
      </c>
      <c r="C121" s="53" t="s">
        <v>176</v>
      </c>
      <c r="D121" s="54" t="s">
        <v>175</v>
      </c>
      <c r="E121" s="86" t="s">
        <v>192</v>
      </c>
      <c r="F121" s="33">
        <v>25235.25</v>
      </c>
      <c r="G121" s="33">
        <v>25311.72</v>
      </c>
      <c r="H121" s="33">
        <v>25477.94</v>
      </c>
      <c r="I121" s="33">
        <v>25293.69</v>
      </c>
      <c r="J121" s="33">
        <v>25156.6</v>
      </c>
      <c r="K121" s="33">
        <v>25123.42</v>
      </c>
      <c r="L121" s="33">
        <v>25294.87</v>
      </c>
      <c r="M121" s="33">
        <v>25264.95</v>
      </c>
      <c r="N121" s="33">
        <v>25211.17</v>
      </c>
      <c r="O121" s="55">
        <f>IF((N122=""),"",MAX(F123:N123))</f>
        <v>5090.8199999999961</v>
      </c>
      <c r="P121" s="55">
        <f>IF(N122="","",MIN(F123:N123))</f>
        <v>4358.6399999999921</v>
      </c>
      <c r="Q121" s="56">
        <f>IF((N123=""),"",AVERAGE(F123:N123))</f>
        <v>4678.9899999999971</v>
      </c>
      <c r="R121" s="56">
        <f>IF((N122=""),"",(O121-P121)/(O121+P121)*100)</f>
        <v>7.7483792724664147</v>
      </c>
      <c r="S121" s="181">
        <f>STDEV(F123:N123)</f>
        <v>308.41336729298826</v>
      </c>
      <c r="T121" s="182" t="str">
        <f>IF(N122="","",IF(R121&lt;16,IF(Q121&gt;3200,IF(R121,IF(Q121&lt;5240,"Pass","Fail"),"Fail"),"Fail")))</f>
        <v>Pass</v>
      </c>
      <c r="U121" s="183"/>
      <c r="V121" s="246"/>
      <c r="W121" s="33"/>
      <c r="X121" s="184">
        <v>4200</v>
      </c>
      <c r="Y121" s="184">
        <v>5500</v>
      </c>
      <c r="Z121" s="184">
        <v>3200</v>
      </c>
      <c r="AA121" s="184">
        <v>5240</v>
      </c>
      <c r="AB121" s="57">
        <v>16</v>
      </c>
    </row>
    <row r="122" spans="1:29" x14ac:dyDescent="0.25">
      <c r="A122" s="281"/>
      <c r="B122" s="58"/>
      <c r="C122" s="59"/>
      <c r="D122" s="60"/>
      <c r="E122" s="88" t="s">
        <v>193</v>
      </c>
      <c r="F122" s="33">
        <v>23601.63</v>
      </c>
      <c r="G122" s="33">
        <v>23839.279999999999</v>
      </c>
      <c r="H122" s="33">
        <v>24025.06</v>
      </c>
      <c r="I122" s="33">
        <v>23803.11</v>
      </c>
      <c r="J122" s="33">
        <v>23469.23</v>
      </c>
      <c r="K122" s="33">
        <v>23478.92</v>
      </c>
      <c r="L122" s="33">
        <v>23819.8</v>
      </c>
      <c r="M122" s="33">
        <v>23781.38</v>
      </c>
      <c r="N122" s="33">
        <v>23514.23</v>
      </c>
      <c r="O122" s="61"/>
      <c r="P122" s="61"/>
      <c r="Q122" s="62"/>
      <c r="R122" s="62"/>
      <c r="S122" s="181"/>
      <c r="T122" s="182"/>
      <c r="U122" s="185"/>
      <c r="V122" s="246"/>
      <c r="W122" s="33"/>
      <c r="X122" s="186"/>
      <c r="Y122" s="186"/>
      <c r="Z122" s="186"/>
      <c r="AA122" s="186"/>
    </row>
    <row r="123" spans="1:29" ht="22.75" thickBot="1" x14ac:dyDescent="0.3">
      <c r="A123" s="281"/>
      <c r="B123" s="63"/>
      <c r="C123" s="64"/>
      <c r="D123" s="65"/>
      <c r="E123" s="88" t="s">
        <v>194</v>
      </c>
      <c r="F123" s="66">
        <f t="shared" ref="F123:N123" si="37">IF(((F121="")*AND(F122="")),"",(F121-F122)*3)</f>
        <v>4900.8599999999969</v>
      </c>
      <c r="G123" s="66">
        <f t="shared" si="37"/>
        <v>4417.320000000007</v>
      </c>
      <c r="H123" s="66">
        <f t="shared" si="37"/>
        <v>4358.6399999999921</v>
      </c>
      <c r="I123" s="66">
        <f t="shared" si="37"/>
        <v>4471.7399999999943</v>
      </c>
      <c r="J123" s="66">
        <f t="shared" si="37"/>
        <v>5062.1099999999969</v>
      </c>
      <c r="K123" s="66">
        <f t="shared" si="37"/>
        <v>4933.5</v>
      </c>
      <c r="L123" s="66">
        <f t="shared" si="37"/>
        <v>4425.2099999999991</v>
      </c>
      <c r="M123" s="66">
        <f t="shared" si="37"/>
        <v>4450.7099999999991</v>
      </c>
      <c r="N123" s="66">
        <f t="shared" si="37"/>
        <v>5090.8199999999961</v>
      </c>
      <c r="O123" s="67"/>
      <c r="P123" s="67"/>
      <c r="Q123" s="68"/>
      <c r="R123" s="68"/>
      <c r="S123" s="181"/>
      <c r="T123" s="187"/>
      <c r="U123" s="188"/>
      <c r="V123" s="246"/>
      <c r="W123" s="33"/>
      <c r="X123" s="186"/>
      <c r="Y123" s="186"/>
      <c r="Z123" s="186"/>
      <c r="AA123" s="186"/>
    </row>
    <row r="124" spans="1:29" x14ac:dyDescent="0.25">
      <c r="A124" s="282">
        <v>43143</v>
      </c>
      <c r="B124" s="69" t="s">
        <v>177</v>
      </c>
      <c r="C124" s="59" t="s">
        <v>179</v>
      </c>
      <c r="D124" s="70" t="s">
        <v>178</v>
      </c>
      <c r="E124" s="67" t="s">
        <v>192</v>
      </c>
      <c r="F124" s="33">
        <v>2889</v>
      </c>
      <c r="G124" s="33">
        <v>2679</v>
      </c>
      <c r="H124" s="199">
        <v>2752</v>
      </c>
      <c r="I124" s="199">
        <v>2777</v>
      </c>
      <c r="J124" s="199">
        <v>3050</v>
      </c>
      <c r="K124" s="199">
        <v>3044</v>
      </c>
      <c r="L124" s="199">
        <v>2750</v>
      </c>
      <c r="M124" s="199">
        <v>2732</v>
      </c>
      <c r="N124" s="199">
        <v>2908</v>
      </c>
      <c r="O124" s="61">
        <f>IF((N125=""),"",MAX(F126:N126))</f>
        <v>4017.38</v>
      </c>
      <c r="P124" s="61">
        <f>IF(N125="","",MIN(F126:N126))</f>
        <v>3840.34</v>
      </c>
      <c r="Q124" s="62">
        <f>IF((N126=""),"",AVERAGE(F126:N126))</f>
        <v>3944.8333333333339</v>
      </c>
      <c r="R124" s="62">
        <f>IF((N125=""),"",(O124-P124)/(O124+P124)*100)</f>
        <v>2.2530708653400726</v>
      </c>
      <c r="S124" s="181">
        <f>STDEV(F126:N126)</f>
        <v>64.388099832189496</v>
      </c>
      <c r="T124" s="189" t="str">
        <f>IF(N125="","",IF(Q124&gt;3650,IF(R124&lt;6.5,IF(Q124&lt;4450,"Pass","Fail"),"Fail"),"Fail"))</f>
        <v>Pass</v>
      </c>
      <c r="U124" s="185"/>
      <c r="V124" s="246"/>
      <c r="W124" s="33"/>
      <c r="X124" s="184">
        <v>3650</v>
      </c>
      <c r="Y124" s="184">
        <v>4450</v>
      </c>
      <c r="Z124" s="184">
        <v>3700</v>
      </c>
      <c r="AA124" s="184">
        <v>4100</v>
      </c>
      <c r="AB124" s="57">
        <v>6.5</v>
      </c>
      <c r="AC124" s="57">
        <v>7</v>
      </c>
    </row>
    <row r="125" spans="1:29" x14ac:dyDescent="0.25">
      <c r="A125" s="281"/>
      <c r="B125" s="69"/>
      <c r="C125" s="59"/>
      <c r="D125" s="60"/>
      <c r="E125" s="88" t="s">
        <v>193</v>
      </c>
      <c r="F125" s="33">
        <v>951.05</v>
      </c>
      <c r="G125" s="33">
        <v>692.74</v>
      </c>
      <c r="H125" s="33">
        <v>752.74</v>
      </c>
      <c r="I125" s="33">
        <v>777.1</v>
      </c>
      <c r="J125" s="33">
        <v>1111.98</v>
      </c>
      <c r="K125" s="33">
        <v>1123.83</v>
      </c>
      <c r="L125" s="33">
        <v>763.39</v>
      </c>
      <c r="M125" s="33">
        <v>723.31</v>
      </c>
      <c r="N125" s="33">
        <v>933.11</v>
      </c>
      <c r="O125" s="61"/>
      <c r="P125" s="61"/>
      <c r="Q125" s="62"/>
      <c r="R125" s="62"/>
      <c r="S125" s="181"/>
      <c r="T125" s="182"/>
      <c r="U125" s="190"/>
      <c r="V125" s="247"/>
      <c r="W125" s="33"/>
      <c r="X125" s="186"/>
      <c r="Y125" s="186"/>
      <c r="Z125" s="186"/>
      <c r="AA125" s="186"/>
    </row>
    <row r="126" spans="1:29" ht="22.75" thickBot="1" x14ac:dyDescent="0.3">
      <c r="A126" s="281"/>
      <c r="B126" s="69"/>
      <c r="C126" s="59"/>
      <c r="D126" s="60"/>
      <c r="E126" s="74" t="s">
        <v>194</v>
      </c>
      <c r="F126" s="71">
        <f t="shared" ref="F126:N126" si="38">IF(((F124="")*AND(F125="")),"",(F124-F125)*2)</f>
        <v>3875.9</v>
      </c>
      <c r="G126" s="71">
        <f t="shared" si="38"/>
        <v>3972.52</v>
      </c>
      <c r="H126" s="71">
        <f t="shared" si="38"/>
        <v>3998.52</v>
      </c>
      <c r="I126" s="71">
        <f t="shared" si="38"/>
        <v>3999.8</v>
      </c>
      <c r="J126" s="71">
        <f t="shared" si="38"/>
        <v>3876.04</v>
      </c>
      <c r="K126" s="71">
        <f t="shared" si="38"/>
        <v>3840.34</v>
      </c>
      <c r="L126" s="71">
        <f t="shared" si="38"/>
        <v>3973.2200000000003</v>
      </c>
      <c r="M126" s="71">
        <f t="shared" si="38"/>
        <v>4017.38</v>
      </c>
      <c r="N126" s="71">
        <f t="shared" si="38"/>
        <v>3949.7799999999997</v>
      </c>
      <c r="O126" s="61"/>
      <c r="P126" s="61"/>
      <c r="Q126" s="62"/>
      <c r="R126" s="62"/>
      <c r="S126" s="181"/>
      <c r="T126" s="182"/>
      <c r="U126" s="190"/>
      <c r="V126" s="247"/>
      <c r="W126" s="33"/>
      <c r="X126" s="186"/>
      <c r="Y126" s="186"/>
      <c r="Z126" s="186"/>
      <c r="AA126" s="186"/>
    </row>
    <row r="127" spans="1:29" x14ac:dyDescent="0.25">
      <c r="A127" s="282">
        <v>43143</v>
      </c>
      <c r="B127" s="72" t="s">
        <v>172</v>
      </c>
      <c r="C127" s="73" t="s">
        <v>174</v>
      </c>
      <c r="D127" s="72" t="s">
        <v>195</v>
      </c>
      <c r="E127" s="88" t="s">
        <v>192</v>
      </c>
      <c r="F127" s="33">
        <v>1949.67</v>
      </c>
      <c r="G127" s="33">
        <v>1945.36</v>
      </c>
      <c r="H127" s="33">
        <v>1931.4</v>
      </c>
      <c r="I127" s="33">
        <v>1943.13</v>
      </c>
      <c r="J127" s="33">
        <v>1949.69</v>
      </c>
      <c r="K127" s="33">
        <v>1951.23</v>
      </c>
      <c r="L127" s="33">
        <v>1943.53</v>
      </c>
      <c r="M127" s="33">
        <v>1942.29</v>
      </c>
      <c r="N127" s="33">
        <v>1949.09</v>
      </c>
      <c r="O127" s="74">
        <f>IF((N128=""),"",MAX(F129:N129))</f>
        <v>2112.69</v>
      </c>
      <c r="P127" s="74">
        <f>IF(N128="","",MIN(F129:N129))</f>
        <v>2044.7100000000005</v>
      </c>
      <c r="Q127" s="75">
        <f>IF((N129=""),"",AVERAGE(F129:N129))</f>
        <v>2085.2366666666667</v>
      </c>
      <c r="R127" s="75">
        <f>IF((N128=""),"",(O127-P127)/(O127+P127)*100)</f>
        <v>1.6351565882522623</v>
      </c>
      <c r="S127" s="181">
        <f>STDEV(F129:N129)</f>
        <v>20.305603906311013</v>
      </c>
      <c r="T127" s="191" t="str">
        <f>IF(N128="","",IF(Q127&gt;1940,IF(R127&lt;8.3,IF(Q127&lt;2180,"Pass","Fail"),"Fail"),"Fail"))</f>
        <v>Pass</v>
      </c>
      <c r="U127" s="185"/>
      <c r="V127" s="246"/>
      <c r="W127" s="33"/>
      <c r="X127" s="184">
        <v>2000</v>
      </c>
      <c r="Y127" s="184">
        <v>3000</v>
      </c>
      <c r="Z127" s="184">
        <v>1940</v>
      </c>
      <c r="AA127" s="184">
        <v>2180</v>
      </c>
      <c r="AB127" s="57">
        <v>5.2</v>
      </c>
    </row>
    <row r="128" spans="1:29" x14ac:dyDescent="0.25">
      <c r="A128" s="281"/>
      <c r="B128" s="58"/>
      <c r="C128" s="59"/>
      <c r="D128" s="60"/>
      <c r="E128" s="88" t="s">
        <v>193</v>
      </c>
      <c r="F128" s="33">
        <v>1245.44</v>
      </c>
      <c r="G128" s="33">
        <v>1243.05</v>
      </c>
      <c r="H128" s="33">
        <v>1237.25</v>
      </c>
      <c r="I128" s="33">
        <v>1246.57</v>
      </c>
      <c r="J128" s="33">
        <v>1268.1199999999999</v>
      </c>
      <c r="K128" s="33">
        <v>1260.8499999999999</v>
      </c>
      <c r="L128" s="33">
        <v>1245.97</v>
      </c>
      <c r="M128" s="33">
        <v>1244.99</v>
      </c>
      <c r="N128" s="33">
        <v>1257.44</v>
      </c>
      <c r="O128" s="61"/>
      <c r="P128" s="61"/>
      <c r="Q128" s="62"/>
      <c r="R128" s="62"/>
      <c r="S128" s="181"/>
      <c r="T128" s="182"/>
      <c r="U128" s="185"/>
      <c r="V128" s="246"/>
      <c r="W128" s="33"/>
      <c r="X128" s="186"/>
      <c r="Y128" s="186"/>
      <c r="Z128" s="186"/>
      <c r="AA128" s="186"/>
    </row>
    <row r="129" spans="1:29" ht="13.3" thickBot="1" x14ac:dyDescent="0.3">
      <c r="A129" s="283"/>
      <c r="B129" s="76"/>
      <c r="C129" s="77"/>
      <c r="D129" s="78"/>
      <c r="E129" s="92" t="s">
        <v>196</v>
      </c>
      <c r="F129" s="79">
        <f t="shared" ref="F129:N129" si="39">IF(((F127="")*AND(F128="")),"",(F127-F128)*3)</f>
        <v>2112.69</v>
      </c>
      <c r="G129" s="79">
        <f t="shared" si="39"/>
        <v>2106.9299999999998</v>
      </c>
      <c r="H129" s="79">
        <f t="shared" si="39"/>
        <v>2082.4500000000003</v>
      </c>
      <c r="I129" s="79">
        <f t="shared" si="39"/>
        <v>2089.6800000000003</v>
      </c>
      <c r="J129" s="79">
        <f t="shared" si="39"/>
        <v>2044.7100000000005</v>
      </c>
      <c r="K129" s="79">
        <f t="shared" si="39"/>
        <v>2071.1400000000003</v>
      </c>
      <c r="L129" s="79">
        <f t="shared" si="39"/>
        <v>2092.6799999999998</v>
      </c>
      <c r="M129" s="79">
        <f t="shared" si="39"/>
        <v>2091.8999999999996</v>
      </c>
      <c r="N129" s="79">
        <f t="shared" si="39"/>
        <v>2074.9499999999998</v>
      </c>
      <c r="O129" s="80"/>
      <c r="P129" s="80"/>
      <c r="Q129" s="81"/>
      <c r="R129" s="81"/>
      <c r="S129" s="181"/>
      <c r="T129" s="192"/>
      <c r="U129" s="193"/>
      <c r="V129" s="246"/>
      <c r="W129" s="33"/>
      <c r="X129" s="186"/>
      <c r="Y129" s="186"/>
      <c r="Z129" s="186"/>
      <c r="AA129" s="186"/>
    </row>
    <row r="130" spans="1:29" x14ac:dyDescent="0.25">
      <c r="A130" s="282">
        <v>43146</v>
      </c>
      <c r="B130" s="52" t="s">
        <v>191</v>
      </c>
      <c r="C130" s="53" t="s">
        <v>176</v>
      </c>
      <c r="D130" s="54" t="s">
        <v>175</v>
      </c>
      <c r="E130" s="86" t="s">
        <v>192</v>
      </c>
      <c r="F130" s="33">
        <v>23577.86</v>
      </c>
      <c r="G130" s="33">
        <v>23818.720000000001</v>
      </c>
      <c r="H130" s="33">
        <v>24011.09</v>
      </c>
      <c r="I130" s="33">
        <v>23789.65</v>
      </c>
      <c r="J130" s="33">
        <v>23445.84</v>
      </c>
      <c r="K130" s="33">
        <v>23458.89</v>
      </c>
      <c r="L130" s="33">
        <v>23802.58</v>
      </c>
      <c r="M130" s="33">
        <v>23762.63</v>
      </c>
      <c r="N130" s="33">
        <v>23489.48</v>
      </c>
      <c r="O130" s="55">
        <f>IF((N131=""),"",MAX(F132:N132))</f>
        <v>4974.75</v>
      </c>
      <c r="P130" s="55">
        <f>IF(N131="","",MIN(F132:N132))</f>
        <v>4274.5200000000004</v>
      </c>
      <c r="Q130" s="56">
        <f>IF((N132=""),"",AVERAGE(F132:N132))</f>
        <v>4569.96</v>
      </c>
      <c r="R130" s="56">
        <f>IF((N131=""),"",(O130-P130)/(O130+P130)*100)</f>
        <v>7.570651521687652</v>
      </c>
      <c r="S130" s="181">
        <f>STDEV(F132:N132)</f>
        <v>296.48876150707429</v>
      </c>
      <c r="T130" s="182" t="str">
        <f>IF(N131="","",IF(R130&lt;16,IF(Q130&gt;3200,IF(R130,IF(Q130&lt;5240,"Pass","Fail"),"Fail"),"Fail")))</f>
        <v>Pass</v>
      </c>
      <c r="U130" s="183" t="s">
        <v>104</v>
      </c>
      <c r="V130" s="246"/>
      <c r="W130" s="33"/>
      <c r="X130" s="184">
        <v>4200</v>
      </c>
      <c r="Y130" s="184">
        <v>5500</v>
      </c>
      <c r="Z130" s="184">
        <v>3200</v>
      </c>
      <c r="AA130" s="184">
        <v>5240</v>
      </c>
      <c r="AB130" s="57">
        <v>16</v>
      </c>
    </row>
    <row r="131" spans="1:29" x14ac:dyDescent="0.25">
      <c r="A131" s="281"/>
      <c r="B131" s="58"/>
      <c r="C131" s="59"/>
      <c r="D131" s="60"/>
      <c r="E131" s="88" t="s">
        <v>193</v>
      </c>
      <c r="F131" s="33">
        <v>21990.880000000001</v>
      </c>
      <c r="G131" s="33">
        <v>22380.74</v>
      </c>
      <c r="H131" s="33">
        <v>22586.25</v>
      </c>
      <c r="I131" s="33">
        <v>22336.11</v>
      </c>
      <c r="J131" s="33">
        <v>21787.59</v>
      </c>
      <c r="K131" s="33">
        <v>21862.73</v>
      </c>
      <c r="L131" s="33">
        <v>22360.13</v>
      </c>
      <c r="M131" s="33">
        <v>22308.28</v>
      </c>
      <c r="N131" s="33">
        <v>21834.15</v>
      </c>
      <c r="O131" s="61"/>
      <c r="P131" s="61"/>
      <c r="Q131" s="62"/>
      <c r="R131" s="62"/>
      <c r="S131" s="181"/>
      <c r="T131" s="182"/>
      <c r="U131" s="185"/>
      <c r="V131" s="246"/>
      <c r="W131" s="33"/>
      <c r="X131" s="186"/>
      <c r="Y131" s="186"/>
      <c r="Z131" s="186"/>
      <c r="AA131" s="186"/>
    </row>
    <row r="132" spans="1:29" ht="22.75" thickBot="1" x14ac:dyDescent="0.3">
      <c r="A132" s="281"/>
      <c r="B132" s="63"/>
      <c r="C132" s="64"/>
      <c r="D132" s="65"/>
      <c r="E132" s="88" t="s">
        <v>194</v>
      </c>
      <c r="F132" s="66">
        <f t="shared" ref="F132:N132" si="40">IF(((F130="")*AND(F131="")),"",(F130-F131)*3)</f>
        <v>4760.9399999999987</v>
      </c>
      <c r="G132" s="66">
        <f t="shared" si="40"/>
        <v>4313.9399999999987</v>
      </c>
      <c r="H132" s="66">
        <f t="shared" si="40"/>
        <v>4274.5200000000004</v>
      </c>
      <c r="I132" s="66">
        <f t="shared" si="40"/>
        <v>4360.6200000000026</v>
      </c>
      <c r="J132" s="66">
        <f t="shared" si="40"/>
        <v>4974.75</v>
      </c>
      <c r="K132" s="66">
        <f t="shared" si="40"/>
        <v>4788.4799999999996</v>
      </c>
      <c r="L132" s="66">
        <f t="shared" si="40"/>
        <v>4327.3500000000022</v>
      </c>
      <c r="M132" s="66">
        <f t="shared" si="40"/>
        <v>4363.0500000000065</v>
      </c>
      <c r="N132" s="66">
        <f t="shared" si="40"/>
        <v>4965.9899999999943</v>
      </c>
      <c r="O132" s="67"/>
      <c r="P132" s="67"/>
      <c r="Q132" s="68"/>
      <c r="R132" s="68"/>
      <c r="S132" s="181"/>
      <c r="T132" s="187"/>
      <c r="U132" s="188"/>
      <c r="V132" s="246"/>
      <c r="W132" s="33"/>
      <c r="X132" s="186"/>
      <c r="Y132" s="186"/>
      <c r="Z132" s="186"/>
      <c r="AA132" s="186"/>
    </row>
    <row r="133" spans="1:29" x14ac:dyDescent="0.25">
      <c r="A133" s="282">
        <v>43146</v>
      </c>
      <c r="B133" s="69" t="s">
        <v>177</v>
      </c>
      <c r="C133" s="59" t="s">
        <v>179</v>
      </c>
      <c r="D133" s="70" t="s">
        <v>178</v>
      </c>
      <c r="E133" s="67" t="s">
        <v>192</v>
      </c>
      <c r="F133" s="33">
        <v>6754.54</v>
      </c>
      <c r="G133" s="33">
        <v>6663.66</v>
      </c>
      <c r="H133" s="33">
        <v>6768.7</v>
      </c>
      <c r="I133" s="33">
        <v>6776.49</v>
      </c>
      <c r="J133" s="33">
        <v>6961.24</v>
      </c>
      <c r="K133" s="33">
        <v>6830.94</v>
      </c>
      <c r="L133" s="33">
        <v>6740.29</v>
      </c>
      <c r="M133" s="33">
        <v>6759.85</v>
      </c>
      <c r="N133" s="33">
        <v>6854.33</v>
      </c>
      <c r="O133" s="61">
        <f>IF((N134=""),"",MAX(F135:N135))</f>
        <v>3976.9000000000015</v>
      </c>
      <c r="P133" s="61">
        <f>IF(N134="","",MIN(F135:N135))</f>
        <v>3711.9799999999996</v>
      </c>
      <c r="Q133" s="62">
        <f>IF((N135=""),"",AVERAGE(F135:N135))</f>
        <v>3903.2488888888888</v>
      </c>
      <c r="R133" s="62">
        <f>IF((N134=""),"",(O133-P133)/(O133+P133)*100)</f>
        <v>3.4454953127113686</v>
      </c>
      <c r="S133" s="181">
        <f>STDEV(F135:N135)</f>
        <v>86.466291762230483</v>
      </c>
      <c r="T133" s="189" t="str">
        <f>IF(N134="","",IF(Q133&gt;3650,IF(R133&lt;6.5,IF(Q133&lt;4450,"Pass","Fail"),"Fail"),"Fail"))</f>
        <v>Pass</v>
      </c>
      <c r="U133" s="185" t="s">
        <v>104</v>
      </c>
      <c r="V133" s="246"/>
      <c r="W133" s="33"/>
      <c r="X133" s="184">
        <v>3650</v>
      </c>
      <c r="Y133" s="184">
        <v>4450</v>
      </c>
      <c r="Z133" s="184">
        <v>3700</v>
      </c>
      <c r="AA133" s="184">
        <v>4100</v>
      </c>
      <c r="AB133" s="57">
        <v>6.5</v>
      </c>
      <c r="AC133" s="57">
        <v>7</v>
      </c>
    </row>
    <row r="134" spans="1:29" x14ac:dyDescent="0.25">
      <c r="A134" s="281"/>
      <c r="B134" s="69"/>
      <c r="C134" s="59"/>
      <c r="D134" s="60"/>
      <c r="E134" s="88" t="s">
        <v>193</v>
      </c>
      <c r="F134" s="33">
        <v>4838.3500000000004</v>
      </c>
      <c r="G134" s="33">
        <v>4693.93</v>
      </c>
      <c r="H134" s="33">
        <v>4783.54</v>
      </c>
      <c r="I134" s="33">
        <v>4797.28</v>
      </c>
      <c r="J134" s="33">
        <v>5028.22</v>
      </c>
      <c r="K134" s="33">
        <v>4974.95</v>
      </c>
      <c r="L134" s="33">
        <v>4765.92</v>
      </c>
      <c r="M134" s="33">
        <v>4771.3999999999996</v>
      </c>
      <c r="N134" s="33">
        <v>4891.83</v>
      </c>
      <c r="O134" s="61"/>
      <c r="P134" s="61"/>
      <c r="Q134" s="62"/>
      <c r="R134" s="62"/>
      <c r="S134" s="181"/>
      <c r="T134" s="182"/>
      <c r="U134" s="190"/>
      <c r="V134" s="247"/>
      <c r="W134" s="33"/>
      <c r="X134" s="186"/>
      <c r="Y134" s="186"/>
      <c r="Z134" s="186"/>
      <c r="AA134" s="186"/>
    </row>
    <row r="135" spans="1:29" ht="22.75" thickBot="1" x14ac:dyDescent="0.3">
      <c r="A135" s="281"/>
      <c r="B135" s="69"/>
      <c r="C135" s="59"/>
      <c r="D135" s="60"/>
      <c r="E135" s="74" t="s">
        <v>194</v>
      </c>
      <c r="F135" s="71">
        <f t="shared" ref="F135:N135" si="41">IF(((F133="")*AND(F134="")),"",(F133-F134)*2)</f>
        <v>3832.3799999999992</v>
      </c>
      <c r="G135" s="71">
        <f t="shared" si="41"/>
        <v>3939.4599999999991</v>
      </c>
      <c r="H135" s="71">
        <f t="shared" si="41"/>
        <v>3970.3199999999997</v>
      </c>
      <c r="I135" s="71">
        <f t="shared" si="41"/>
        <v>3958.42</v>
      </c>
      <c r="J135" s="71">
        <f t="shared" si="41"/>
        <v>3866.0399999999991</v>
      </c>
      <c r="K135" s="71">
        <f t="shared" si="41"/>
        <v>3711.9799999999996</v>
      </c>
      <c r="L135" s="71">
        <f t="shared" si="41"/>
        <v>3948.74</v>
      </c>
      <c r="M135" s="71">
        <f t="shared" si="41"/>
        <v>3976.9000000000015</v>
      </c>
      <c r="N135" s="71">
        <f t="shared" si="41"/>
        <v>3925</v>
      </c>
      <c r="O135" s="61"/>
      <c r="P135" s="61"/>
      <c r="Q135" s="62"/>
      <c r="R135" s="62"/>
      <c r="S135" s="181"/>
      <c r="T135" s="182"/>
      <c r="U135" s="190"/>
      <c r="V135" s="247"/>
      <c r="W135" s="33"/>
      <c r="X135" s="186"/>
      <c r="Y135" s="186"/>
      <c r="Z135" s="186"/>
      <c r="AA135" s="186"/>
    </row>
    <row r="136" spans="1:29" x14ac:dyDescent="0.25">
      <c r="A136" s="282">
        <v>43146</v>
      </c>
      <c r="B136" s="72" t="s">
        <v>172</v>
      </c>
      <c r="C136" s="73" t="s">
        <v>174</v>
      </c>
      <c r="D136" s="72" t="s">
        <v>195</v>
      </c>
      <c r="E136" s="88" t="s">
        <v>192</v>
      </c>
      <c r="F136" s="33">
        <v>1246.55</v>
      </c>
      <c r="G136" s="33">
        <v>1244.57</v>
      </c>
      <c r="H136" s="33">
        <v>1236.49</v>
      </c>
      <c r="I136" s="33">
        <v>1247.48</v>
      </c>
      <c r="J136" s="33">
        <v>1274.3399999999999</v>
      </c>
      <c r="K136" s="33">
        <v>1267.01</v>
      </c>
      <c r="L136" s="33">
        <v>1247.3699999999999</v>
      </c>
      <c r="M136" s="33">
        <v>1246.02</v>
      </c>
      <c r="N136" s="33">
        <v>1252.23</v>
      </c>
      <c r="O136" s="74">
        <f>IF((N137=""),"",MAX(F138:N138))</f>
        <v>2117.04</v>
      </c>
      <c r="P136" s="74">
        <f>IF(N137="","",MIN(F138:N138))</f>
        <v>2062.0499999999997</v>
      </c>
      <c r="Q136" s="75">
        <f>IF((N138=""),"",AVERAGE(F138:N138))</f>
        <v>2095.6566666666663</v>
      </c>
      <c r="R136" s="75">
        <f>IF((N137=""),"",(O136-P136)/(O136+P136)*100)</f>
        <v>1.3158367012914352</v>
      </c>
      <c r="S136" s="181">
        <f>STDEV(F138:N138)</f>
        <v>16.415351808596789</v>
      </c>
      <c r="T136" s="191" t="str">
        <f>IF(N137="","",IF(Q136&gt;1940,IF(R136&lt;8.3,IF(Q136&lt;2180,"Pass","Fail"),"Fail"),"Fail"))</f>
        <v>Pass</v>
      </c>
      <c r="U136" s="185" t="s">
        <v>104</v>
      </c>
      <c r="V136" s="246"/>
      <c r="W136" s="33"/>
      <c r="X136" s="184">
        <v>2000</v>
      </c>
      <c r="Y136" s="184">
        <v>3000</v>
      </c>
      <c r="Z136" s="184">
        <v>1940</v>
      </c>
      <c r="AA136" s="184">
        <v>2180</v>
      </c>
      <c r="AB136" s="57">
        <v>5.2</v>
      </c>
    </row>
    <row r="137" spans="1:29" x14ac:dyDescent="0.25">
      <c r="A137" s="281"/>
      <c r="B137" s="58"/>
      <c r="C137" s="59"/>
      <c r="D137" s="60"/>
      <c r="E137" s="88" t="s">
        <v>193</v>
      </c>
      <c r="F137" s="33">
        <v>549.09</v>
      </c>
      <c r="G137" s="33">
        <v>543.52</v>
      </c>
      <c r="H137" s="33">
        <v>533.91</v>
      </c>
      <c r="I137" s="33">
        <v>545.96</v>
      </c>
      <c r="J137" s="33">
        <v>586.99</v>
      </c>
      <c r="K137" s="33">
        <v>571.22</v>
      </c>
      <c r="L137" s="33">
        <v>546.29</v>
      </c>
      <c r="M137" s="33">
        <v>540.34</v>
      </c>
      <c r="N137" s="33">
        <v>557.77</v>
      </c>
      <c r="O137" s="61"/>
      <c r="P137" s="61"/>
      <c r="Q137" s="62"/>
      <c r="R137" s="62"/>
      <c r="S137" s="181"/>
      <c r="T137" s="182"/>
      <c r="U137" s="185"/>
      <c r="V137" s="246"/>
      <c r="W137" s="33"/>
      <c r="X137" s="186"/>
      <c r="Y137" s="186"/>
      <c r="Z137" s="186"/>
      <c r="AA137" s="186"/>
    </row>
    <row r="138" spans="1:29" ht="13.3" thickBot="1" x14ac:dyDescent="0.3">
      <c r="A138" s="283"/>
      <c r="B138" s="76"/>
      <c r="C138" s="77"/>
      <c r="D138" s="78"/>
      <c r="E138" s="92" t="s">
        <v>196</v>
      </c>
      <c r="F138" s="79">
        <f t="shared" ref="F138:N138" si="42">IF(((F136="")*AND(F137="")),"",(F136-F137)*3)</f>
        <v>2092.3799999999997</v>
      </c>
      <c r="G138" s="79">
        <f t="shared" si="42"/>
        <v>2103.1499999999996</v>
      </c>
      <c r="H138" s="79">
        <f t="shared" si="42"/>
        <v>2107.7400000000002</v>
      </c>
      <c r="I138" s="79">
        <f t="shared" si="42"/>
        <v>2104.56</v>
      </c>
      <c r="J138" s="79">
        <f t="shared" si="42"/>
        <v>2062.0499999999997</v>
      </c>
      <c r="K138" s="79">
        <f t="shared" si="42"/>
        <v>2087.37</v>
      </c>
      <c r="L138" s="79">
        <f t="shared" si="42"/>
        <v>2103.2399999999998</v>
      </c>
      <c r="M138" s="79">
        <f t="shared" si="42"/>
        <v>2117.04</v>
      </c>
      <c r="N138" s="79">
        <f t="shared" si="42"/>
        <v>2083.38</v>
      </c>
      <c r="O138" s="80"/>
      <c r="P138" s="80"/>
      <c r="Q138" s="81"/>
      <c r="R138" s="81"/>
      <c r="S138" s="181"/>
      <c r="T138" s="192"/>
      <c r="U138" s="193"/>
      <c r="V138" s="246"/>
      <c r="W138" s="33"/>
      <c r="X138" s="186"/>
      <c r="Y138" s="186"/>
      <c r="Z138" s="186"/>
      <c r="AA138" s="186"/>
    </row>
    <row r="139" spans="1:29" x14ac:dyDescent="0.25">
      <c r="A139" s="282">
        <v>43159</v>
      </c>
      <c r="B139" s="52" t="s">
        <v>191</v>
      </c>
      <c r="C139" s="53" t="s">
        <v>176</v>
      </c>
      <c r="D139" s="54" t="s">
        <v>175</v>
      </c>
      <c r="E139" s="86" t="s">
        <v>192</v>
      </c>
      <c r="F139" s="33">
        <v>29326.97</v>
      </c>
      <c r="G139" s="33">
        <v>29113.95</v>
      </c>
      <c r="H139" s="33">
        <v>29186.53</v>
      </c>
      <c r="I139" s="33">
        <v>29134.27</v>
      </c>
      <c r="J139" s="33">
        <v>29349.23</v>
      </c>
      <c r="K139" s="33">
        <v>29292.25</v>
      </c>
      <c r="L139" s="33">
        <v>29117.23</v>
      </c>
      <c r="M139" s="33">
        <v>29118</v>
      </c>
      <c r="N139" s="33">
        <v>29375.759999999998</v>
      </c>
      <c r="O139" s="55">
        <f>IF((N140=""),"",MAX(F141:N141))</f>
        <v>4901.7299999999996</v>
      </c>
      <c r="P139" s="55">
        <f>IF(N140="","",MIN(F141:N141))</f>
        <v>4217.5200000000004</v>
      </c>
      <c r="Q139" s="56">
        <f>IF((N141=""),"",AVERAGE(F141:N141))</f>
        <v>4525.8900000000012</v>
      </c>
      <c r="R139" s="56">
        <f>IF((N140=""),"",(O139-P139)/(O139+P139)*100)</f>
        <v>7.5029196479973583</v>
      </c>
      <c r="S139" s="181">
        <f>STDEV(F141:N141)</f>
        <v>298.32927001888328</v>
      </c>
      <c r="T139" s="182" t="str">
        <f>IF(N140="","",IF(R139&lt;16,IF(Q139&gt;3200,IF(R139,IF(Q139&lt;5240,"Pass","Fail"),"Fail"),"Fail")))</f>
        <v>Pass</v>
      </c>
      <c r="U139" s="183">
        <v>1428</v>
      </c>
      <c r="V139" s="246"/>
      <c r="W139" s="33"/>
      <c r="X139" s="184">
        <v>4200</v>
      </c>
      <c r="Y139" s="184">
        <v>5500</v>
      </c>
      <c r="Z139" s="184">
        <v>3200</v>
      </c>
      <c r="AA139" s="184">
        <v>5240</v>
      </c>
      <c r="AB139" s="57">
        <v>16</v>
      </c>
    </row>
    <row r="140" spans="1:29" x14ac:dyDescent="0.25">
      <c r="A140" s="281"/>
      <c r="B140" s="58"/>
      <c r="C140" s="59"/>
      <c r="D140" s="60"/>
      <c r="E140" s="88" t="s">
        <v>193</v>
      </c>
      <c r="F140" s="33">
        <v>27698.61</v>
      </c>
      <c r="G140" s="33">
        <v>27668.35</v>
      </c>
      <c r="H140" s="33">
        <v>27780.69</v>
      </c>
      <c r="I140" s="33">
        <v>27717.11</v>
      </c>
      <c r="J140" s="33">
        <v>27758.66</v>
      </c>
      <c r="K140" s="33">
        <v>27697.84</v>
      </c>
      <c r="L140" s="33">
        <v>27682.959999999999</v>
      </c>
      <c r="M140" s="33">
        <v>27690.45</v>
      </c>
      <c r="N140" s="33">
        <v>27741.85</v>
      </c>
      <c r="O140" s="61"/>
      <c r="P140" s="61"/>
      <c r="Q140" s="62"/>
      <c r="R140" s="62"/>
      <c r="S140" s="181"/>
      <c r="T140" s="182"/>
      <c r="U140" s="185"/>
      <c r="V140" s="246"/>
      <c r="W140" s="33"/>
      <c r="X140" s="186"/>
      <c r="Y140" s="186"/>
      <c r="Z140" s="186"/>
      <c r="AA140" s="186"/>
    </row>
    <row r="141" spans="1:29" ht="22.75" thickBot="1" x14ac:dyDescent="0.3">
      <c r="A141" s="281"/>
      <c r="B141" s="63"/>
      <c r="C141" s="64"/>
      <c r="D141" s="65"/>
      <c r="E141" s="88" t="s">
        <v>194</v>
      </c>
      <c r="F141" s="66">
        <f t="shared" ref="F141:N141" si="43">IF(((F139="")*AND(F140="")),"",(F139-F140)*3)</f>
        <v>4885.0800000000017</v>
      </c>
      <c r="G141" s="66">
        <f t="shared" si="43"/>
        <v>4336.8000000000065</v>
      </c>
      <c r="H141" s="66">
        <f t="shared" si="43"/>
        <v>4217.5200000000004</v>
      </c>
      <c r="I141" s="66">
        <f t="shared" si="43"/>
        <v>4251.4799999999996</v>
      </c>
      <c r="J141" s="66">
        <f t="shared" si="43"/>
        <v>4771.7099999999991</v>
      </c>
      <c r="K141" s="66">
        <f t="shared" si="43"/>
        <v>4783.2299999999996</v>
      </c>
      <c r="L141" s="66">
        <f t="shared" si="43"/>
        <v>4302.8100000000013</v>
      </c>
      <c r="M141" s="66">
        <f t="shared" si="43"/>
        <v>4282.6499999999978</v>
      </c>
      <c r="N141" s="66">
        <f t="shared" si="43"/>
        <v>4901.7299999999996</v>
      </c>
      <c r="O141" s="67"/>
      <c r="P141" s="67"/>
      <c r="Q141" s="68"/>
      <c r="R141" s="68"/>
      <c r="S141" s="181"/>
      <c r="T141" s="187"/>
      <c r="U141" s="188"/>
      <c r="V141" s="246"/>
      <c r="W141" s="33"/>
      <c r="X141" s="186"/>
      <c r="Y141" s="186"/>
      <c r="Z141" s="186"/>
      <c r="AA141" s="186"/>
    </row>
    <row r="142" spans="1:29" x14ac:dyDescent="0.25">
      <c r="A142" s="282">
        <v>43159</v>
      </c>
      <c r="B142" s="69" t="s">
        <v>177</v>
      </c>
      <c r="C142" s="59" t="s">
        <v>179</v>
      </c>
      <c r="D142" s="70" t="s">
        <v>178</v>
      </c>
      <c r="E142" s="67" t="s">
        <v>192</v>
      </c>
      <c r="F142" s="33">
        <v>6769.72</v>
      </c>
      <c r="G142" s="33">
        <v>6666.42</v>
      </c>
      <c r="H142" s="33">
        <v>6769.02</v>
      </c>
      <c r="I142" s="33">
        <v>6775.98</v>
      </c>
      <c r="J142" s="33">
        <v>6979</v>
      </c>
      <c r="K142" s="33">
        <v>6853.84</v>
      </c>
      <c r="L142" s="33">
        <v>6742.09</v>
      </c>
      <c r="M142" s="33">
        <v>6761.4</v>
      </c>
      <c r="N142" s="33">
        <v>6870.12</v>
      </c>
      <c r="O142" s="61">
        <f>IF((N143=""),"",MAX(F144:N144))</f>
        <v>4041.5999999999985</v>
      </c>
      <c r="P142" s="61">
        <f>IF(N143="","",MIN(F144:N144))</f>
        <v>3755.4799999999996</v>
      </c>
      <c r="Q142" s="62">
        <f>IF((N144=""),"",AVERAGE(F144:N144))</f>
        <v>3955.7644444444441</v>
      </c>
      <c r="R142" s="62">
        <f>IF((N143=""),"",(O142-P142)/(O142+P142)*100)</f>
        <v>3.6695788679864649</v>
      </c>
      <c r="S142" s="181">
        <f>STDEV(F144:N144)</f>
        <v>91.969765563351004</v>
      </c>
      <c r="T142" s="189" t="str">
        <f>IF(N143="","",IF(Q142&gt;3650,IF(R142&lt;6.5,IF(Q142&lt;4450,"Pass","Fail"),"Fail"),"Fail"))</f>
        <v>Pass</v>
      </c>
      <c r="U142" s="185">
        <v>1428</v>
      </c>
      <c r="V142" s="246"/>
      <c r="W142" s="33"/>
      <c r="X142" s="184">
        <v>3650</v>
      </c>
      <c r="Y142" s="184">
        <v>4450</v>
      </c>
      <c r="Z142" s="184">
        <v>3700</v>
      </c>
      <c r="AA142" s="184">
        <v>4100</v>
      </c>
      <c r="AB142" s="57">
        <v>6.5</v>
      </c>
      <c r="AC142" s="57">
        <v>7</v>
      </c>
    </row>
    <row r="143" spans="1:29" x14ac:dyDescent="0.25">
      <c r="A143" s="281"/>
      <c r="B143" s="69"/>
      <c r="C143" s="59"/>
      <c r="D143" s="60"/>
      <c r="E143" s="88" t="s">
        <v>193</v>
      </c>
      <c r="F143" s="33">
        <v>4834.59</v>
      </c>
      <c r="G143" s="33">
        <v>4675.22</v>
      </c>
      <c r="H143" s="33">
        <v>4757.25</v>
      </c>
      <c r="I143" s="33">
        <v>4768.5200000000004</v>
      </c>
      <c r="J143" s="33">
        <v>5017.03</v>
      </c>
      <c r="K143" s="33">
        <v>4976.1000000000004</v>
      </c>
      <c r="L143" s="33">
        <v>4744.26</v>
      </c>
      <c r="M143" s="33">
        <v>4740.6000000000004</v>
      </c>
      <c r="N143" s="33">
        <v>4873.08</v>
      </c>
      <c r="O143" s="61"/>
      <c r="P143" s="61"/>
      <c r="Q143" s="62"/>
      <c r="R143" s="62"/>
      <c r="S143" s="181"/>
      <c r="T143" s="182"/>
      <c r="U143" s="190"/>
      <c r="V143" s="247"/>
      <c r="W143" s="33"/>
      <c r="X143" s="186"/>
      <c r="Y143" s="186"/>
      <c r="Z143" s="186"/>
      <c r="AA143" s="186"/>
    </row>
    <row r="144" spans="1:29" ht="22.75" thickBot="1" x14ac:dyDescent="0.3">
      <c r="A144" s="281"/>
      <c r="B144" s="69"/>
      <c r="C144" s="59"/>
      <c r="D144" s="60"/>
      <c r="E144" s="74" t="s">
        <v>194</v>
      </c>
      <c r="F144" s="71">
        <f t="shared" ref="F144:N144" si="44">IF(((F142="")*AND(F143="")),"",(F142-F143)*2)</f>
        <v>3870.26</v>
      </c>
      <c r="G144" s="71">
        <f t="shared" si="44"/>
        <v>3982.3999999999996</v>
      </c>
      <c r="H144" s="71">
        <f t="shared" si="44"/>
        <v>4023.5400000000009</v>
      </c>
      <c r="I144" s="71">
        <f t="shared" si="44"/>
        <v>4014.9199999999983</v>
      </c>
      <c r="J144" s="71">
        <f t="shared" si="44"/>
        <v>3923.9400000000005</v>
      </c>
      <c r="K144" s="71">
        <f t="shared" si="44"/>
        <v>3755.4799999999996</v>
      </c>
      <c r="L144" s="71">
        <f t="shared" si="44"/>
        <v>3995.66</v>
      </c>
      <c r="M144" s="71">
        <f t="shared" si="44"/>
        <v>4041.5999999999985</v>
      </c>
      <c r="N144" s="71">
        <f t="shared" si="44"/>
        <v>3994.08</v>
      </c>
      <c r="O144" s="61"/>
      <c r="P144" s="61"/>
      <c r="Q144" s="62"/>
      <c r="R144" s="62"/>
      <c r="S144" s="181"/>
      <c r="T144" s="182"/>
      <c r="U144" s="190"/>
      <c r="V144" s="247"/>
      <c r="W144" s="33"/>
      <c r="X144" s="186"/>
      <c r="Y144" s="186"/>
      <c r="Z144" s="186"/>
      <c r="AA144" s="186"/>
    </row>
    <row r="145" spans="1:29" x14ac:dyDescent="0.25">
      <c r="A145" s="282">
        <v>43159</v>
      </c>
      <c r="B145" s="72" t="s">
        <v>172</v>
      </c>
      <c r="C145" s="73" t="s">
        <v>174</v>
      </c>
      <c r="D145" s="72" t="s">
        <v>195</v>
      </c>
      <c r="E145" s="88" t="s">
        <v>192</v>
      </c>
      <c r="F145" s="33">
        <v>1949.44</v>
      </c>
      <c r="G145" s="33">
        <v>1940.18</v>
      </c>
      <c r="H145" s="33">
        <v>1939.08</v>
      </c>
      <c r="I145" s="33">
        <v>1937.95</v>
      </c>
      <c r="J145" s="33">
        <v>1947</v>
      </c>
      <c r="K145" s="33">
        <v>1944.99</v>
      </c>
      <c r="L145" s="33">
        <v>1938.72</v>
      </c>
      <c r="M145" s="33">
        <v>1941.03</v>
      </c>
      <c r="N145" s="33">
        <v>1948.23</v>
      </c>
      <c r="O145" s="74">
        <f>IF((N146=""),"",MAX(F147:N147))</f>
        <v>2097.84</v>
      </c>
      <c r="P145" s="74">
        <f>IF(N146="","",MIN(F147:N147))</f>
        <v>1954.7399999999998</v>
      </c>
      <c r="Q145" s="75">
        <f>IF((N147=""),"",AVERAGE(F147:N147))</f>
        <v>2044.5233333333335</v>
      </c>
      <c r="R145" s="75">
        <f>IF((N146=""),"",(O145-P145)/(O145+P145)*100)</f>
        <v>3.5310839021068152</v>
      </c>
      <c r="S145" s="181">
        <f>STDEV(F147:N147)</f>
        <v>50.332364836156948</v>
      </c>
      <c r="T145" s="191" t="str">
        <f>IF(N146="","",IF(Q145&gt;1940,IF(R145&lt;8.3,IF(Q145&lt;2180,"Pass","Fail"),"Fail"),"Fail"))</f>
        <v>Pass</v>
      </c>
      <c r="U145" s="185">
        <v>1428</v>
      </c>
      <c r="V145" s="246"/>
      <c r="W145" s="33"/>
      <c r="X145" s="184">
        <v>2000</v>
      </c>
      <c r="Y145" s="184">
        <v>3000</v>
      </c>
      <c r="Z145" s="184">
        <v>1940</v>
      </c>
      <c r="AA145" s="184">
        <v>2180</v>
      </c>
      <c r="AB145" s="57">
        <v>5.2</v>
      </c>
    </row>
    <row r="146" spans="1:29" x14ac:dyDescent="0.25">
      <c r="A146" s="281"/>
      <c r="B146" s="58"/>
      <c r="C146" s="59"/>
      <c r="D146" s="60"/>
      <c r="E146" s="88" t="s">
        <v>193</v>
      </c>
      <c r="F146" s="33">
        <v>1270.28</v>
      </c>
      <c r="G146" s="33">
        <v>1243.48</v>
      </c>
      <c r="H146" s="33">
        <v>1244.55</v>
      </c>
      <c r="I146" s="33">
        <v>1248.24</v>
      </c>
      <c r="J146" s="33">
        <v>1295.42</v>
      </c>
      <c r="K146" s="33">
        <v>1283.28</v>
      </c>
      <c r="L146" s="33">
        <v>1248.97</v>
      </c>
      <c r="M146" s="33">
        <v>1241.75</v>
      </c>
      <c r="N146" s="33">
        <v>1277.08</v>
      </c>
      <c r="O146" s="61"/>
      <c r="P146" s="61"/>
      <c r="Q146" s="62"/>
      <c r="R146" s="62"/>
      <c r="S146" s="181"/>
      <c r="T146" s="182"/>
      <c r="U146" s="185"/>
      <c r="V146" s="246"/>
      <c r="W146" s="33"/>
      <c r="X146" s="186"/>
      <c r="Y146" s="186"/>
      <c r="Z146" s="186"/>
      <c r="AA146" s="186"/>
    </row>
    <row r="147" spans="1:29" ht="13.3" thickBot="1" x14ac:dyDescent="0.3">
      <c r="A147" s="281"/>
      <c r="B147" s="76"/>
      <c r="C147" s="77"/>
      <c r="D147" s="78"/>
      <c r="E147" s="92" t="s">
        <v>196</v>
      </c>
      <c r="F147" s="79">
        <f t="shared" ref="F147:N147" si="45">IF(((F145="")*AND(F146="")),"",(F145-F146)*3)</f>
        <v>2037.4800000000002</v>
      </c>
      <c r="G147" s="79">
        <f t="shared" si="45"/>
        <v>2090.1000000000004</v>
      </c>
      <c r="H147" s="79">
        <f t="shared" si="45"/>
        <v>2083.59</v>
      </c>
      <c r="I147" s="79">
        <f t="shared" si="45"/>
        <v>2069.13</v>
      </c>
      <c r="J147" s="79">
        <f t="shared" si="45"/>
        <v>1954.7399999999998</v>
      </c>
      <c r="K147" s="79">
        <f t="shared" si="45"/>
        <v>1985.13</v>
      </c>
      <c r="L147" s="79">
        <f t="shared" si="45"/>
        <v>2069.25</v>
      </c>
      <c r="M147" s="79">
        <f t="shared" si="45"/>
        <v>2097.84</v>
      </c>
      <c r="N147" s="79">
        <f t="shared" si="45"/>
        <v>2013.4500000000003</v>
      </c>
      <c r="O147" s="80"/>
      <c r="P147" s="80"/>
      <c r="Q147" s="81"/>
      <c r="R147" s="81"/>
      <c r="S147" s="181"/>
      <c r="T147" s="192"/>
      <c r="U147" s="193"/>
      <c r="V147" s="246"/>
      <c r="W147" s="33"/>
      <c r="X147" s="186"/>
      <c r="Y147" s="186"/>
      <c r="Z147" s="186"/>
      <c r="AA147" s="186"/>
    </row>
    <row r="148" spans="1:29" x14ac:dyDescent="0.25">
      <c r="A148" s="282">
        <v>43167</v>
      </c>
      <c r="B148" s="52" t="s">
        <v>191</v>
      </c>
      <c r="C148" s="53" t="s">
        <v>176</v>
      </c>
      <c r="D148" s="54" t="s">
        <v>175</v>
      </c>
      <c r="E148" s="86" t="s">
        <v>192</v>
      </c>
      <c r="F148" s="33">
        <v>27525.37</v>
      </c>
      <c r="G148" s="33">
        <v>27513.41</v>
      </c>
      <c r="H148" s="33">
        <v>27610.41</v>
      </c>
      <c r="I148" s="33">
        <v>27537.54</v>
      </c>
      <c r="J148" s="33">
        <v>27568.26</v>
      </c>
      <c r="K148" s="33">
        <v>27518.13</v>
      </c>
      <c r="L148" s="33">
        <v>27519.35</v>
      </c>
      <c r="M148" s="33">
        <v>27523.89</v>
      </c>
      <c r="N148" s="33">
        <v>27553.48</v>
      </c>
      <c r="O148" s="55">
        <f>IF((N149=""),"",MAX(F150:N150))</f>
        <v>4887.0600000000013</v>
      </c>
      <c r="P148" s="55">
        <f>IF(N149="","",MIN(F150:N150))</f>
        <v>4166.7900000000009</v>
      </c>
      <c r="Q148" s="56">
        <f>IF((N150=""),"",AVERAGE(F150:N150))</f>
        <v>4512.2533333333304</v>
      </c>
      <c r="R148" s="56">
        <f>IF((N149=""),"",(O148-P148)/(O148+P148)*100)</f>
        <v>7.9554001888699304</v>
      </c>
      <c r="S148" s="181">
        <f>STDEV(F150:N150)</f>
        <v>312.42770375720397</v>
      </c>
      <c r="T148" s="182" t="str">
        <f>IF(N149="","",IF(R148&lt;16,IF(Q148&gt;3200,IF(R148,IF(Q148&lt;5240,"Pass","Fail"),"Fail"),"Fail")))</f>
        <v>Pass</v>
      </c>
      <c r="U148" s="183">
        <v>121</v>
      </c>
      <c r="V148" s="246"/>
      <c r="W148" s="33"/>
      <c r="X148" s="184">
        <v>4200</v>
      </c>
      <c r="Y148" s="184">
        <v>5500</v>
      </c>
      <c r="Z148" s="184">
        <v>3200</v>
      </c>
      <c r="AA148" s="184">
        <v>5240</v>
      </c>
      <c r="AB148" s="57">
        <v>16</v>
      </c>
    </row>
    <row r="149" spans="1:29" x14ac:dyDescent="0.25">
      <c r="A149" s="281"/>
      <c r="B149" s="58"/>
      <c r="C149" s="59"/>
      <c r="D149" s="60"/>
      <c r="E149" s="88" t="s">
        <v>193</v>
      </c>
      <c r="F149" s="33">
        <v>25911.24</v>
      </c>
      <c r="G149" s="33">
        <v>26075.52</v>
      </c>
      <c r="H149" s="33">
        <v>26221.48</v>
      </c>
      <c r="I149" s="33">
        <v>26130.07</v>
      </c>
      <c r="J149" s="33">
        <v>25963.65</v>
      </c>
      <c r="K149" s="33">
        <v>25915.31</v>
      </c>
      <c r="L149" s="33">
        <v>26091.95</v>
      </c>
      <c r="M149" s="33">
        <v>26099.4</v>
      </c>
      <c r="N149" s="33">
        <v>25924.46</v>
      </c>
      <c r="O149" s="61"/>
      <c r="P149" s="61"/>
      <c r="Q149" s="62"/>
      <c r="R149" s="62"/>
      <c r="S149" s="181"/>
      <c r="T149" s="182"/>
      <c r="U149" s="185"/>
      <c r="V149" s="246"/>
      <c r="W149" s="33"/>
      <c r="X149" s="186"/>
      <c r="Y149" s="186"/>
      <c r="Z149" s="186"/>
      <c r="AA149" s="186"/>
    </row>
    <row r="150" spans="1:29" ht="22.75" thickBot="1" x14ac:dyDescent="0.3">
      <c r="A150" s="281"/>
      <c r="B150" s="63"/>
      <c r="C150" s="64"/>
      <c r="D150" s="65"/>
      <c r="E150" s="88" t="s">
        <v>194</v>
      </c>
      <c r="F150" s="66">
        <f t="shared" ref="F150:N150" si="46">IF(((F148="")*AND(F149="")),"",(F148-F149)*3)</f>
        <v>4842.3899999999921</v>
      </c>
      <c r="G150" s="66">
        <f t="shared" si="46"/>
        <v>4313.6699999999983</v>
      </c>
      <c r="H150" s="66">
        <f t="shared" si="46"/>
        <v>4166.7900000000009</v>
      </c>
      <c r="I150" s="66">
        <f t="shared" si="46"/>
        <v>4222.4100000000035</v>
      </c>
      <c r="J150" s="66">
        <f t="shared" si="46"/>
        <v>4813.8299999999908</v>
      </c>
      <c r="K150" s="66">
        <f t="shared" si="46"/>
        <v>4808.4599999999991</v>
      </c>
      <c r="L150" s="66">
        <f t="shared" si="46"/>
        <v>4282.1999999999935</v>
      </c>
      <c r="M150" s="66">
        <f t="shared" si="46"/>
        <v>4273.4699999999939</v>
      </c>
      <c r="N150" s="66">
        <f t="shared" si="46"/>
        <v>4887.0600000000013</v>
      </c>
      <c r="O150" s="67"/>
      <c r="P150" s="67"/>
      <c r="Q150" s="68"/>
      <c r="R150" s="68"/>
      <c r="S150" s="181"/>
      <c r="T150" s="187"/>
      <c r="U150" s="188"/>
      <c r="V150" s="246"/>
      <c r="W150" s="33"/>
      <c r="X150" s="186"/>
      <c r="Y150" s="186"/>
      <c r="Z150" s="186"/>
      <c r="AA150" s="186"/>
    </row>
    <row r="151" spans="1:29" x14ac:dyDescent="0.25">
      <c r="A151" s="282">
        <v>43167</v>
      </c>
      <c r="B151" s="69" t="s">
        <v>177</v>
      </c>
      <c r="C151" s="59" t="s">
        <v>179</v>
      </c>
      <c r="D151" s="70" t="s">
        <v>178</v>
      </c>
      <c r="E151" s="67" t="s">
        <v>192</v>
      </c>
      <c r="F151" s="33">
        <v>4855.3</v>
      </c>
      <c r="G151" s="33">
        <v>4699.79</v>
      </c>
      <c r="H151" s="33">
        <v>4781.28</v>
      </c>
      <c r="I151" s="33">
        <v>4792.9399999999996</v>
      </c>
      <c r="J151" s="33">
        <v>5030.82</v>
      </c>
      <c r="K151" s="33">
        <v>4989.47</v>
      </c>
      <c r="L151" s="33">
        <v>4768.6099999999997</v>
      </c>
      <c r="M151" s="33">
        <v>4765.3</v>
      </c>
      <c r="N151" s="33">
        <v>4893.57</v>
      </c>
      <c r="O151" s="61">
        <f>IF((N152=""),"",MAX(F153:N153))</f>
        <v>3801.5600000000004</v>
      </c>
      <c r="P151" s="61">
        <f>IF(N152="","",MIN(F153:N153))</f>
        <v>3505.9599999999991</v>
      </c>
      <c r="Q151" s="62">
        <f>IF((N153=""),"",AVERAGE(F153:N153))</f>
        <v>3651.8666666666663</v>
      </c>
      <c r="R151" s="62">
        <f>IF((N152=""),"",(O151-P151)/(O151+P151)*100)</f>
        <v>4.045148011911035</v>
      </c>
      <c r="S151" s="181">
        <f>STDEV(F153:N153)</f>
        <v>90.549827167146105</v>
      </c>
      <c r="T151" s="189" t="str">
        <f>IF(N152="","",IF(Q151&gt;3650,IF(R151&lt;6.5,IF(Q151&lt;4450,"Pass","Fail"),"Fail"),"Fail"))</f>
        <v>Pass</v>
      </c>
      <c r="U151" s="185">
        <v>121</v>
      </c>
      <c r="V151" s="246"/>
      <c r="W151" s="33"/>
      <c r="X151" s="184">
        <v>3650</v>
      </c>
      <c r="Y151" s="184">
        <v>4450</v>
      </c>
      <c r="Z151" s="184">
        <v>3700</v>
      </c>
      <c r="AA151" s="184">
        <v>4100</v>
      </c>
      <c r="AB151" s="57">
        <v>6.5</v>
      </c>
      <c r="AC151" s="57">
        <v>7</v>
      </c>
    </row>
    <row r="152" spans="1:29" x14ac:dyDescent="0.25">
      <c r="A152" s="281"/>
      <c r="B152" s="69"/>
      <c r="C152" s="59"/>
      <c r="D152" s="60"/>
      <c r="E152" s="88" t="s">
        <v>193</v>
      </c>
      <c r="F152" s="33">
        <v>3088.69</v>
      </c>
      <c r="G152" s="33">
        <v>2865.98</v>
      </c>
      <c r="H152" s="33">
        <v>2934.46</v>
      </c>
      <c r="I152" s="33">
        <v>2956.28</v>
      </c>
      <c r="J152" s="33">
        <v>3277.84</v>
      </c>
      <c r="K152" s="33">
        <v>3088.69</v>
      </c>
      <c r="L152" s="33">
        <v>2934.14</v>
      </c>
      <c r="M152" s="33">
        <v>2909.92</v>
      </c>
      <c r="N152" s="33">
        <v>3087.68</v>
      </c>
      <c r="O152" s="61"/>
      <c r="P152" s="61"/>
      <c r="Q152" s="62"/>
      <c r="R152" s="62"/>
      <c r="S152" s="181"/>
      <c r="T152" s="182"/>
      <c r="U152" s="190"/>
      <c r="V152" s="247"/>
      <c r="W152" s="33"/>
      <c r="X152" s="186"/>
      <c r="Y152" s="186"/>
      <c r="Z152" s="186"/>
      <c r="AA152" s="186"/>
    </row>
    <row r="153" spans="1:29" ht="22.75" thickBot="1" x14ac:dyDescent="0.3">
      <c r="A153" s="281"/>
      <c r="B153" s="69"/>
      <c r="C153" s="59"/>
      <c r="D153" s="60"/>
      <c r="E153" s="74" t="s">
        <v>194</v>
      </c>
      <c r="F153" s="71">
        <f t="shared" ref="F153:N153" si="47">IF(((F151="")*AND(F152="")),"",(F151-F152)*2)</f>
        <v>3533.2200000000003</v>
      </c>
      <c r="G153" s="71">
        <f t="shared" si="47"/>
        <v>3667.62</v>
      </c>
      <c r="H153" s="71">
        <f t="shared" si="47"/>
        <v>3693.6399999999994</v>
      </c>
      <c r="I153" s="71">
        <f t="shared" si="47"/>
        <v>3673.3199999999988</v>
      </c>
      <c r="J153" s="71">
        <f t="shared" si="47"/>
        <v>3505.9599999999991</v>
      </c>
      <c r="K153" s="71">
        <f t="shared" si="47"/>
        <v>3801.5600000000004</v>
      </c>
      <c r="L153" s="71">
        <f t="shared" si="47"/>
        <v>3668.9399999999996</v>
      </c>
      <c r="M153" s="71">
        <f t="shared" si="47"/>
        <v>3710.76</v>
      </c>
      <c r="N153" s="71">
        <f t="shared" si="47"/>
        <v>3611.7799999999997</v>
      </c>
      <c r="O153" s="61"/>
      <c r="P153" s="61"/>
      <c r="Q153" s="62"/>
      <c r="R153" s="62"/>
      <c r="S153" s="181"/>
      <c r="T153" s="182"/>
      <c r="U153" s="190"/>
      <c r="V153" s="247"/>
      <c r="W153" s="33"/>
      <c r="X153" s="186"/>
      <c r="Y153" s="186"/>
      <c r="Z153" s="186"/>
      <c r="AA153" s="186"/>
    </row>
    <row r="154" spans="1:29" x14ac:dyDescent="0.25">
      <c r="A154" s="282">
        <v>43167</v>
      </c>
      <c r="B154" s="72" t="s">
        <v>172</v>
      </c>
      <c r="C154" s="73" t="s">
        <v>174</v>
      </c>
      <c r="D154" s="72" t="s">
        <v>195</v>
      </c>
      <c r="E154" s="88" t="s">
        <v>192</v>
      </c>
      <c r="F154" s="33">
        <v>1273.96</v>
      </c>
      <c r="G154" s="33">
        <v>1247.06</v>
      </c>
      <c r="H154" s="33">
        <v>1242.6400000000001</v>
      </c>
      <c r="I154" s="33">
        <v>1252.6199999999999</v>
      </c>
      <c r="J154" s="33">
        <v>1297.99</v>
      </c>
      <c r="K154" s="33">
        <v>1285.97</v>
      </c>
      <c r="L154" s="33">
        <v>1251.3499999999999</v>
      </c>
      <c r="M154" s="33">
        <v>1244.8800000000001</v>
      </c>
      <c r="N154" s="33">
        <v>1281.26</v>
      </c>
      <c r="O154" s="74">
        <f>IF((N155=""),"",MAX(F156:N156))</f>
        <v>2136.0000000000005</v>
      </c>
      <c r="P154" s="74">
        <f>IF(N155="","",MIN(F156:N156))</f>
        <v>1992.48</v>
      </c>
      <c r="Q154" s="75">
        <f>IF((N156=""),"",AVERAGE(F156:N156))</f>
        <v>2079.3233333333328</v>
      </c>
      <c r="R154" s="75">
        <f>IF((N155=""),"",(O154-P154)/(O154+P154)*100)</f>
        <v>3.4763399604697232</v>
      </c>
      <c r="S154" s="181">
        <f>STDEV(F156:N156)</f>
        <v>49.159356942498732</v>
      </c>
      <c r="T154" s="191" t="str">
        <f>IF(N155="","",IF(Q154&gt;1940,IF(R154&lt;8.3,IF(Q154&lt;2180,"Pass","Fail"),"Fail"),"Fail"))</f>
        <v>Pass</v>
      </c>
      <c r="U154" s="185"/>
      <c r="V154" s="246"/>
      <c r="W154" s="33"/>
      <c r="X154" s="184">
        <v>2000</v>
      </c>
      <c r="Y154" s="184">
        <v>3000</v>
      </c>
      <c r="Z154" s="184">
        <v>1940</v>
      </c>
      <c r="AA154" s="184">
        <v>2180</v>
      </c>
      <c r="AB154" s="57">
        <v>5.2</v>
      </c>
    </row>
    <row r="155" spans="1:29" x14ac:dyDescent="0.25">
      <c r="A155" s="281"/>
      <c r="B155" s="58"/>
      <c r="C155" s="59"/>
      <c r="D155" s="60"/>
      <c r="E155" s="88" t="s">
        <v>193</v>
      </c>
      <c r="F155" s="33">
        <v>587.74</v>
      </c>
      <c r="G155" s="33">
        <v>541.69000000000005</v>
      </c>
      <c r="H155" s="33">
        <v>542.69000000000005</v>
      </c>
      <c r="I155" s="33">
        <v>546.42999999999995</v>
      </c>
      <c r="J155" s="33">
        <v>633.83000000000004</v>
      </c>
      <c r="K155" s="33">
        <v>614.80999999999995</v>
      </c>
      <c r="L155" s="33">
        <v>550.80999999999995</v>
      </c>
      <c r="M155" s="33">
        <v>532.88</v>
      </c>
      <c r="N155" s="33">
        <v>588.88</v>
      </c>
      <c r="O155" s="61"/>
      <c r="P155" s="61"/>
      <c r="Q155" s="62"/>
      <c r="R155" s="62"/>
      <c r="S155" s="181"/>
      <c r="T155" s="182"/>
      <c r="U155" s="185">
        <v>121</v>
      </c>
      <c r="V155" s="246"/>
      <c r="W155" s="33"/>
      <c r="X155" s="186"/>
      <c r="Y155" s="186"/>
      <c r="Z155" s="186"/>
      <c r="AA155" s="186"/>
    </row>
    <row r="156" spans="1:29" ht="13.3" thickBot="1" x14ac:dyDescent="0.3">
      <c r="A156" s="281"/>
      <c r="B156" s="58"/>
      <c r="C156" s="59"/>
      <c r="D156" s="60"/>
      <c r="E156" s="74" t="s">
        <v>196</v>
      </c>
      <c r="F156" s="79">
        <f t="shared" ref="F156:N156" si="48">IF(((F154="")*AND(F155="")),"",(F154-F155)*3)</f>
        <v>2058.66</v>
      </c>
      <c r="G156" s="79">
        <f t="shared" si="48"/>
        <v>2116.1099999999997</v>
      </c>
      <c r="H156" s="79">
        <f t="shared" si="48"/>
        <v>2099.8500000000004</v>
      </c>
      <c r="I156" s="79">
        <f t="shared" si="48"/>
        <v>2118.5699999999997</v>
      </c>
      <c r="J156" s="79">
        <f t="shared" si="48"/>
        <v>1992.48</v>
      </c>
      <c r="K156" s="79">
        <f t="shared" si="48"/>
        <v>2013.4800000000002</v>
      </c>
      <c r="L156" s="79">
        <f t="shared" si="48"/>
        <v>2101.62</v>
      </c>
      <c r="M156" s="79">
        <f t="shared" si="48"/>
        <v>2136.0000000000005</v>
      </c>
      <c r="N156" s="79">
        <f t="shared" si="48"/>
        <v>2077.14</v>
      </c>
      <c r="O156" s="61"/>
      <c r="P156" s="61"/>
      <c r="Q156" s="62"/>
      <c r="R156" s="62"/>
      <c r="S156" s="181"/>
      <c r="T156" s="182"/>
      <c r="U156" s="185"/>
      <c r="V156" s="246"/>
      <c r="W156" s="33"/>
      <c r="X156" s="186"/>
      <c r="Y156" s="186"/>
      <c r="Z156" s="186"/>
      <c r="AA156" s="186"/>
    </row>
    <row r="157" spans="1:29" x14ac:dyDescent="0.25">
      <c r="A157" s="280">
        <v>43173</v>
      </c>
      <c r="B157" s="52" t="s">
        <v>191</v>
      </c>
      <c r="C157" s="53" t="s">
        <v>176</v>
      </c>
      <c r="D157" s="54" t="s">
        <v>175</v>
      </c>
      <c r="E157" s="86" t="s">
        <v>192</v>
      </c>
      <c r="F157" s="33">
        <v>25845.02</v>
      </c>
      <c r="G157" s="33">
        <v>26024.39</v>
      </c>
      <c r="H157" s="33">
        <v>26172.28</v>
      </c>
      <c r="I157" s="33">
        <v>26062.31</v>
      </c>
      <c r="J157" s="33">
        <v>25899.5</v>
      </c>
      <c r="K157" s="33">
        <v>25844.19</v>
      </c>
      <c r="L157" s="33">
        <v>26036</v>
      </c>
      <c r="M157" s="33">
        <v>26043.38</v>
      </c>
      <c r="N157" s="33">
        <v>25869.33</v>
      </c>
      <c r="O157" s="55">
        <f>IF((N158=""),"",MAX(F159:N159))</f>
        <v>4874.4000000000087</v>
      </c>
      <c r="P157" s="55">
        <f>IF(N158="","",MIN(F159:N159))</f>
        <v>4188.9599999999991</v>
      </c>
      <c r="Q157" s="56">
        <f>IF((N159=""),"",AVERAGE(F159:N159))</f>
        <v>4498.92</v>
      </c>
      <c r="R157" s="56">
        <f>IF((N158=""),"",(O157-P157)/(O157+P157)*100)</f>
        <v>7.5627581823960313</v>
      </c>
      <c r="S157" s="181">
        <f>STDEV(F159:N159)</f>
        <v>298.41105898575614</v>
      </c>
      <c r="T157" s="182" t="str">
        <f>IF(N158="","",IF(R157&lt;16,IF(Q157&gt;3200,IF(R157,IF(Q157&lt;5240,"Pass","Fail"),"Fail"),"Fail")))</f>
        <v>Pass</v>
      </c>
      <c r="U157" s="183">
        <v>121</v>
      </c>
      <c r="V157" s="246"/>
      <c r="W157" s="33"/>
      <c r="X157" s="184">
        <v>4200</v>
      </c>
      <c r="Y157" s="184">
        <v>5500</v>
      </c>
      <c r="Z157" s="184">
        <v>3200</v>
      </c>
      <c r="AA157" s="184">
        <v>5240</v>
      </c>
      <c r="AB157" s="57">
        <v>16</v>
      </c>
    </row>
    <row r="158" spans="1:29" x14ac:dyDescent="0.25">
      <c r="A158" s="281"/>
      <c r="B158" s="58"/>
      <c r="C158" s="59"/>
      <c r="D158" s="60"/>
      <c r="E158" s="88" t="s">
        <v>193</v>
      </c>
      <c r="F158" s="33">
        <v>24268.13</v>
      </c>
      <c r="G158" s="33">
        <v>24606.21</v>
      </c>
      <c r="H158" s="33">
        <v>24775.96</v>
      </c>
      <c r="I158" s="33">
        <v>24642.080000000002</v>
      </c>
      <c r="J158" s="33">
        <v>24281.59</v>
      </c>
      <c r="K158" s="33">
        <v>24251.38</v>
      </c>
      <c r="L158" s="33">
        <v>24606.83</v>
      </c>
      <c r="M158" s="33">
        <v>24622.93</v>
      </c>
      <c r="N158" s="33">
        <v>24244.53</v>
      </c>
      <c r="O158" s="61"/>
      <c r="P158" s="61"/>
      <c r="Q158" s="62"/>
      <c r="R158" s="62"/>
      <c r="S158" s="181"/>
      <c r="T158" s="182"/>
      <c r="U158" s="185"/>
      <c r="V158" s="246"/>
      <c r="W158" s="33"/>
      <c r="X158" s="186"/>
      <c r="Y158" s="186"/>
      <c r="Z158" s="186"/>
      <c r="AA158" s="186"/>
    </row>
    <row r="159" spans="1:29" ht="22.75" thickBot="1" x14ac:dyDescent="0.3">
      <c r="A159" s="281"/>
      <c r="B159" s="63"/>
      <c r="C159" s="64"/>
      <c r="D159" s="65"/>
      <c r="E159" s="88" t="s">
        <v>194</v>
      </c>
      <c r="F159" s="66">
        <f t="shared" ref="F159:N159" si="49">IF(((F157="")*AND(F158="")),"",(F157-F158)*3)</f>
        <v>4730.6699999999983</v>
      </c>
      <c r="G159" s="66">
        <f t="shared" si="49"/>
        <v>4254.5400000000009</v>
      </c>
      <c r="H159" s="66">
        <f t="shared" si="49"/>
        <v>4188.9599999999991</v>
      </c>
      <c r="I159" s="66">
        <f t="shared" si="49"/>
        <v>4260.6899999999987</v>
      </c>
      <c r="J159" s="66">
        <f t="shared" si="49"/>
        <v>4853.7299999999996</v>
      </c>
      <c r="K159" s="66">
        <f t="shared" si="49"/>
        <v>4778.429999999993</v>
      </c>
      <c r="L159" s="66">
        <f t="shared" si="49"/>
        <v>4287.5099999999948</v>
      </c>
      <c r="M159" s="66">
        <f t="shared" si="49"/>
        <v>4261.3500000000022</v>
      </c>
      <c r="N159" s="66">
        <f t="shared" si="49"/>
        <v>4874.4000000000087</v>
      </c>
      <c r="O159" s="67"/>
      <c r="P159" s="67"/>
      <c r="Q159" s="68"/>
      <c r="R159" s="68"/>
      <c r="S159" s="181"/>
      <c r="T159" s="187"/>
      <c r="U159" s="188"/>
      <c r="V159" s="246"/>
      <c r="W159" s="33"/>
      <c r="X159" s="186"/>
      <c r="Y159" s="186"/>
      <c r="Z159" s="186"/>
      <c r="AA159" s="186"/>
    </row>
    <row r="160" spans="1:29" x14ac:dyDescent="0.25">
      <c r="A160" s="282">
        <v>43173</v>
      </c>
      <c r="B160" s="69" t="s">
        <v>177</v>
      </c>
      <c r="C160" s="59" t="s">
        <v>179</v>
      </c>
      <c r="D160" s="70" t="s">
        <v>178</v>
      </c>
      <c r="E160" s="67" t="s">
        <v>192</v>
      </c>
      <c r="F160" s="33">
        <v>3104.76</v>
      </c>
      <c r="G160" s="33">
        <v>2880.54</v>
      </c>
      <c r="H160" s="33">
        <v>2949.87</v>
      </c>
      <c r="I160" s="33">
        <v>2971.38</v>
      </c>
      <c r="J160" s="33">
        <v>3293.55</v>
      </c>
      <c r="K160" s="33">
        <v>3324.66</v>
      </c>
      <c r="L160" s="33">
        <v>2949.43</v>
      </c>
      <c r="M160" s="33">
        <v>2924.63</v>
      </c>
      <c r="N160" s="33">
        <v>3104.16</v>
      </c>
      <c r="O160" s="61">
        <f>IF((N161=""),"",MAX(F162:N162))</f>
        <v>3944.1800000000003</v>
      </c>
      <c r="P160" s="61">
        <f>IF(N161="","",MIN(F162:N162))</f>
        <v>3634.2599999999998</v>
      </c>
      <c r="Q160" s="62">
        <f>IF((N162=""),"",AVERAGE(F162:N162))</f>
        <v>3852.5533333333328</v>
      </c>
      <c r="R160" s="62">
        <f>IF((N161=""),"",(O160-P160)/(O160+P160)*100)</f>
        <v>4.0894959912594215</v>
      </c>
      <c r="S160" s="181">
        <f>STDEV(F162:N162)</f>
        <v>100.22380854866765</v>
      </c>
      <c r="T160" s="189" t="str">
        <f>IF(N161="","",IF(Q160&gt;3650,IF(R160&lt;6.5,IF(Q160&lt;4450,"Pass","Fail"),"Fail"),"Fail"))</f>
        <v>Pass</v>
      </c>
      <c r="U160" s="183">
        <v>121</v>
      </c>
      <c r="V160" s="246"/>
      <c r="W160" s="33"/>
      <c r="X160" s="184">
        <v>3650</v>
      </c>
      <c r="Y160" s="184">
        <v>4450</v>
      </c>
      <c r="Z160" s="184">
        <v>3700</v>
      </c>
      <c r="AA160" s="184">
        <v>4100</v>
      </c>
      <c r="AB160" s="57">
        <v>6.5</v>
      </c>
      <c r="AC160" s="57">
        <v>7</v>
      </c>
    </row>
    <row r="161" spans="1:29" x14ac:dyDescent="0.25">
      <c r="A161" s="281"/>
      <c r="B161" s="69"/>
      <c r="C161" s="59"/>
      <c r="D161" s="60"/>
      <c r="E161" s="88" t="s">
        <v>193</v>
      </c>
      <c r="F161" s="33">
        <v>1219.3900000000001</v>
      </c>
      <c r="G161" s="33">
        <v>937.24</v>
      </c>
      <c r="H161" s="33">
        <v>985.38</v>
      </c>
      <c r="I161" s="33">
        <v>1011.32</v>
      </c>
      <c r="J161" s="33">
        <v>1392.59</v>
      </c>
      <c r="K161" s="33">
        <v>1507.53</v>
      </c>
      <c r="L161" s="33">
        <v>997.86</v>
      </c>
      <c r="M161" s="33">
        <v>952.54</v>
      </c>
      <c r="N161" s="33">
        <v>1162.6400000000001</v>
      </c>
      <c r="O161" s="61"/>
      <c r="P161" s="61"/>
      <c r="Q161" s="62"/>
      <c r="R161" s="62"/>
      <c r="S161" s="181"/>
      <c r="T161" s="182"/>
      <c r="U161" s="190"/>
      <c r="V161" s="247"/>
      <c r="W161" s="33"/>
      <c r="X161" s="186"/>
      <c r="Y161" s="186"/>
      <c r="Z161" s="186"/>
      <c r="AA161" s="186"/>
    </row>
    <row r="162" spans="1:29" ht="22.75" thickBot="1" x14ac:dyDescent="0.3">
      <c r="A162" s="281"/>
      <c r="B162" s="69"/>
      <c r="C162" s="59"/>
      <c r="D162" s="60"/>
      <c r="E162" s="74" t="s">
        <v>194</v>
      </c>
      <c r="F162" s="71">
        <f t="shared" ref="F162:N162" si="50">IF(((F160="")*AND(F161="")),"",(F160-F161)*2)</f>
        <v>3770.7400000000002</v>
      </c>
      <c r="G162" s="71">
        <f t="shared" si="50"/>
        <v>3886.6</v>
      </c>
      <c r="H162" s="71">
        <f t="shared" si="50"/>
        <v>3928.9799999999996</v>
      </c>
      <c r="I162" s="71">
        <f t="shared" si="50"/>
        <v>3920.12</v>
      </c>
      <c r="J162" s="71">
        <f t="shared" si="50"/>
        <v>3801.9200000000005</v>
      </c>
      <c r="K162" s="71">
        <f t="shared" si="50"/>
        <v>3634.2599999999998</v>
      </c>
      <c r="L162" s="71">
        <f t="shared" si="50"/>
        <v>3903.1399999999994</v>
      </c>
      <c r="M162" s="71">
        <f t="shared" si="50"/>
        <v>3944.1800000000003</v>
      </c>
      <c r="N162" s="71">
        <f t="shared" si="50"/>
        <v>3883.0399999999995</v>
      </c>
      <c r="O162" s="61"/>
      <c r="P162" s="61"/>
      <c r="Q162" s="62"/>
      <c r="R162" s="62"/>
      <c r="S162" s="181"/>
      <c r="T162" s="182"/>
      <c r="U162" s="190"/>
      <c r="V162" s="247"/>
      <c r="W162" s="33"/>
      <c r="X162" s="186"/>
      <c r="Y162" s="186"/>
      <c r="Z162" s="186"/>
      <c r="AA162" s="186"/>
    </row>
    <row r="163" spans="1:29" x14ac:dyDescent="0.25">
      <c r="A163" s="282">
        <v>43173</v>
      </c>
      <c r="B163" s="72" t="s">
        <v>172</v>
      </c>
      <c r="C163" s="73" t="s">
        <v>174</v>
      </c>
      <c r="D163" s="72" t="s">
        <v>195</v>
      </c>
      <c r="E163" s="88" t="s">
        <v>192</v>
      </c>
      <c r="F163" s="33">
        <v>1970.14</v>
      </c>
      <c r="G163" s="33">
        <v>1974.8</v>
      </c>
      <c r="H163" s="33">
        <v>1975.38</v>
      </c>
      <c r="I163" s="33">
        <v>1974.52</v>
      </c>
      <c r="J163" s="33">
        <v>1969.11</v>
      </c>
      <c r="K163" s="33">
        <v>1967.62</v>
      </c>
      <c r="L163" s="33">
        <v>1976.33</v>
      </c>
      <c r="M163" s="33">
        <v>1980.92</v>
      </c>
      <c r="N163" s="33">
        <v>1972.79</v>
      </c>
      <c r="O163" s="74">
        <f>IF((N164=""),"",MAX(F165:N165))</f>
        <v>2115.9600000000005</v>
      </c>
      <c r="P163" s="74">
        <f>IF(N164="","",MIN(F165:N165))</f>
        <v>1970.6999999999996</v>
      </c>
      <c r="Q163" s="75">
        <f>IF((N165=""),"",AVERAGE(F165:N165))</f>
        <v>2055.8966666666665</v>
      </c>
      <c r="R163" s="75">
        <f>IF((N164=""),"",(O163-P163)/(O163+P163)*100)</f>
        <v>3.5544919322870245</v>
      </c>
      <c r="S163" s="181">
        <f>STDEV(F165:N165)</f>
        <v>45.758798607481133</v>
      </c>
      <c r="T163" s="191" t="str">
        <f>IF(N164="","",IF(Q163&gt;1940,IF(R163&lt;8.3,IF(Q163&lt;2180,"Pass","Fail"),"Fail"),"Fail"))</f>
        <v>Pass</v>
      </c>
      <c r="U163" s="183">
        <v>121</v>
      </c>
      <c r="V163" s="246"/>
      <c r="W163" s="33"/>
      <c r="X163" s="184">
        <v>2000</v>
      </c>
      <c r="Y163" s="184">
        <v>3000</v>
      </c>
      <c r="Z163" s="184">
        <v>1940</v>
      </c>
      <c r="AA163" s="184">
        <v>2180</v>
      </c>
      <c r="AB163" s="57">
        <v>5.2</v>
      </c>
    </row>
    <row r="164" spans="1:29" x14ac:dyDescent="0.25">
      <c r="A164" s="281"/>
      <c r="B164" s="58"/>
      <c r="C164" s="59"/>
      <c r="D164" s="60"/>
      <c r="E164" s="88" t="s">
        <v>193</v>
      </c>
      <c r="F164" s="33">
        <v>1287.27</v>
      </c>
      <c r="G164" s="33">
        <v>1280.17</v>
      </c>
      <c r="H164" s="33">
        <v>1280.21</v>
      </c>
      <c r="I164" s="33">
        <v>1282.74</v>
      </c>
      <c r="J164" s="33">
        <v>1312.21</v>
      </c>
      <c r="K164" s="33">
        <v>1300.25</v>
      </c>
      <c r="L164" s="33">
        <v>1282.5999999999999</v>
      </c>
      <c r="M164" s="33">
        <v>1275.5999999999999</v>
      </c>
      <c r="N164" s="33">
        <v>1292.8699999999999</v>
      </c>
      <c r="O164" s="61"/>
      <c r="P164" s="61"/>
      <c r="Q164" s="62"/>
      <c r="R164" s="62"/>
      <c r="S164" s="181"/>
      <c r="T164" s="182"/>
      <c r="U164" s="185"/>
      <c r="V164" s="246"/>
      <c r="W164" s="33"/>
      <c r="X164" s="186"/>
      <c r="Y164" s="186"/>
      <c r="Z164" s="186"/>
      <c r="AA164" s="186"/>
    </row>
    <row r="165" spans="1:29" ht="13.3" thickBot="1" x14ac:dyDescent="0.3">
      <c r="A165" s="283"/>
      <c r="B165" s="76"/>
      <c r="C165" s="77"/>
      <c r="D165" s="78"/>
      <c r="E165" s="92" t="s">
        <v>196</v>
      </c>
      <c r="F165" s="79">
        <f t="shared" ref="F165:N165" si="51">IF(((F163="")*AND(F164="")),"",(F163-F164)*3)</f>
        <v>2048.6100000000006</v>
      </c>
      <c r="G165" s="79">
        <f t="shared" si="51"/>
        <v>2083.8899999999994</v>
      </c>
      <c r="H165" s="79">
        <f t="shared" si="51"/>
        <v>2085.5100000000002</v>
      </c>
      <c r="I165" s="79">
        <f t="shared" si="51"/>
        <v>2075.34</v>
      </c>
      <c r="J165" s="79">
        <f t="shared" si="51"/>
        <v>1970.6999999999996</v>
      </c>
      <c r="K165" s="79">
        <f t="shared" si="51"/>
        <v>2002.1099999999997</v>
      </c>
      <c r="L165" s="79">
        <f t="shared" si="51"/>
        <v>2081.19</v>
      </c>
      <c r="M165" s="79">
        <f t="shared" si="51"/>
        <v>2115.9600000000005</v>
      </c>
      <c r="N165" s="79">
        <f t="shared" si="51"/>
        <v>2039.7600000000002</v>
      </c>
      <c r="O165" s="80"/>
      <c r="P165" s="80"/>
      <c r="Q165" s="81"/>
      <c r="R165" s="81"/>
      <c r="S165" s="181"/>
      <c r="T165" s="192"/>
      <c r="U165" s="193"/>
      <c r="V165" s="246"/>
      <c r="W165" s="33"/>
      <c r="X165" s="186"/>
      <c r="Y165" s="186"/>
      <c r="Z165" s="186"/>
      <c r="AA165" s="186"/>
    </row>
    <row r="166" spans="1:29" x14ac:dyDescent="0.25">
      <c r="A166" s="280">
        <v>43187</v>
      </c>
      <c r="B166" s="52" t="s">
        <v>191</v>
      </c>
      <c r="C166" s="53" t="s">
        <v>176</v>
      </c>
      <c r="D166" s="54" t="s">
        <v>175</v>
      </c>
      <c r="E166" s="86" t="s">
        <v>192</v>
      </c>
      <c r="F166" s="33">
        <v>24165.21</v>
      </c>
      <c r="G166" s="33">
        <v>24516.17</v>
      </c>
      <c r="H166" s="33">
        <v>24690.11</v>
      </c>
      <c r="I166" s="33">
        <v>24542.51</v>
      </c>
      <c r="J166" s="33">
        <v>24176.959999999999</v>
      </c>
      <c r="K166" s="33">
        <v>24152.51</v>
      </c>
      <c r="L166" s="33">
        <v>24516.43</v>
      </c>
      <c r="M166" s="33">
        <v>24527.54</v>
      </c>
      <c r="N166" s="33">
        <v>24147.360000000001</v>
      </c>
      <c r="O166" s="55">
        <f>IF((N167=""),"",MAX(F168:N168))</f>
        <v>4470.8700000000026</v>
      </c>
      <c r="P166" s="55">
        <f>IF(N167="","",MIN(F168:N168))</f>
        <v>3910.1699999999983</v>
      </c>
      <c r="Q166" s="56">
        <f>IF((N168=""),"",AVERAGE(F168:N168))</f>
        <v>4166.6066666666638</v>
      </c>
      <c r="R166" s="56">
        <f>IF((N167=""),"",(O166-P166)/(O166+P166)*100)</f>
        <v>6.6901005125856017</v>
      </c>
      <c r="S166" s="181">
        <f>STDEV(F168:N168)</f>
        <v>246.57043364929169</v>
      </c>
      <c r="T166" s="182" t="str">
        <f>IF(N167="","",IF(R166&lt;16,IF(Q166&gt;3200,IF(R166,IF(Q166&lt;5240,"Pass","Fail"),"Fail"),"Fail")))</f>
        <v>Pass</v>
      </c>
      <c r="U166" s="183">
        <v>1335</v>
      </c>
      <c r="V166" s="246"/>
      <c r="W166" s="33"/>
      <c r="X166" s="184">
        <v>4200</v>
      </c>
      <c r="Y166" s="184">
        <v>5500</v>
      </c>
      <c r="Z166" s="184">
        <v>3200</v>
      </c>
      <c r="AA166" s="184">
        <v>5240</v>
      </c>
      <c r="AB166" s="57">
        <v>16</v>
      </c>
    </row>
    <row r="167" spans="1:29" x14ac:dyDescent="0.25">
      <c r="A167" s="281"/>
      <c r="B167" s="58"/>
      <c r="C167" s="59"/>
      <c r="D167" s="60"/>
      <c r="E167" s="88" t="s">
        <v>193</v>
      </c>
      <c r="F167" s="33">
        <v>22674.92</v>
      </c>
      <c r="G167" s="33">
        <v>23172.15</v>
      </c>
      <c r="H167" s="33">
        <v>23386.720000000001</v>
      </c>
      <c r="I167" s="33">
        <v>23234.639999999999</v>
      </c>
      <c r="J167" s="33">
        <v>22717.24</v>
      </c>
      <c r="K167" s="33">
        <v>22685.13</v>
      </c>
      <c r="L167" s="33">
        <v>23189.66</v>
      </c>
      <c r="M167" s="33">
        <v>23206.66</v>
      </c>
      <c r="N167" s="33">
        <v>22667.86</v>
      </c>
      <c r="O167" s="61"/>
      <c r="P167" s="61"/>
      <c r="Q167" s="62"/>
      <c r="R167" s="62"/>
      <c r="S167" s="181"/>
      <c r="T167" s="182"/>
      <c r="U167" s="185"/>
      <c r="V167" s="246"/>
      <c r="W167" s="33"/>
      <c r="X167" s="186"/>
      <c r="Y167" s="186"/>
      <c r="Z167" s="186"/>
      <c r="AA167" s="186"/>
    </row>
    <row r="168" spans="1:29" ht="22.75" thickBot="1" x14ac:dyDescent="0.3">
      <c r="A168" s="281"/>
      <c r="B168" s="63"/>
      <c r="C168" s="64"/>
      <c r="D168" s="65"/>
      <c r="E168" s="88" t="s">
        <v>194</v>
      </c>
      <c r="F168" s="66">
        <f t="shared" ref="F168:N168" si="52">IF(((F166="")*AND(F167="")),"",(F166-F167)*3)</f>
        <v>4470.8700000000026</v>
      </c>
      <c r="G168" s="66">
        <f t="shared" si="52"/>
        <v>4032.0599999999904</v>
      </c>
      <c r="H168" s="66">
        <f t="shared" si="52"/>
        <v>3910.1699999999983</v>
      </c>
      <c r="I168" s="66">
        <f t="shared" si="52"/>
        <v>3923.6099999999969</v>
      </c>
      <c r="J168" s="66">
        <f t="shared" si="52"/>
        <v>4379.1599999999926</v>
      </c>
      <c r="K168" s="66">
        <f t="shared" si="52"/>
        <v>4402.1399999999921</v>
      </c>
      <c r="L168" s="66">
        <f t="shared" si="52"/>
        <v>3980.3100000000013</v>
      </c>
      <c r="M168" s="66">
        <f t="shared" si="52"/>
        <v>3962.6400000000031</v>
      </c>
      <c r="N168" s="66">
        <f t="shared" si="52"/>
        <v>4438.5</v>
      </c>
      <c r="O168" s="67"/>
      <c r="P168" s="67"/>
      <c r="Q168" s="68"/>
      <c r="R168" s="68"/>
      <c r="S168" s="181"/>
      <c r="T168" s="187"/>
      <c r="U168" s="188"/>
      <c r="V168" s="246"/>
      <c r="W168" s="33"/>
      <c r="X168" s="186"/>
      <c r="Y168" s="186"/>
      <c r="Z168" s="186"/>
      <c r="AA168" s="186"/>
    </row>
    <row r="169" spans="1:29" x14ac:dyDescent="0.25">
      <c r="A169" s="282">
        <v>43187</v>
      </c>
      <c r="B169" s="69" t="s">
        <v>177</v>
      </c>
      <c r="C169" s="59" t="s">
        <v>179</v>
      </c>
      <c r="D169" s="70" t="s">
        <v>178</v>
      </c>
      <c r="E169" s="67" t="s">
        <v>192</v>
      </c>
      <c r="F169" s="33">
        <v>6926.6</v>
      </c>
      <c r="G169" s="33">
        <v>6815.11</v>
      </c>
      <c r="H169" s="33">
        <v>6921.39</v>
      </c>
      <c r="I169" s="33">
        <v>6923.23</v>
      </c>
      <c r="J169" s="33">
        <v>6923.23</v>
      </c>
      <c r="K169" s="33">
        <v>6923.23</v>
      </c>
      <c r="L169" s="33">
        <v>6888.62</v>
      </c>
      <c r="M169" s="33">
        <v>6909.03</v>
      </c>
      <c r="N169" s="33">
        <v>6923.23</v>
      </c>
      <c r="O169" s="61">
        <f>IF((N170=""),"",MAX(F171:N171))</f>
        <v>3960.1999999999989</v>
      </c>
      <c r="P169" s="61">
        <f>IF(N170="","",MIN(F171:N171))</f>
        <v>3463.619999999999</v>
      </c>
      <c r="Q169" s="62">
        <f>IF((N171=""),"",AVERAGE(F171:N171))</f>
        <v>3793.3422222222216</v>
      </c>
      <c r="R169" s="62">
        <f>IF((N170=""),"",(O169-P169)/(O169+P169)*100)</f>
        <v>6.6890091623988734</v>
      </c>
      <c r="S169" s="181">
        <f>STDEV(F171:N171)</f>
        <v>183.93572693863601</v>
      </c>
      <c r="T169" s="189" t="str">
        <f>IF(N170="","",IF(Q169&gt;3650,IF(R169&lt;6.5,IF(Q169&lt;4450,"Pass","Fail"),"Fail"),"Fail"))</f>
        <v>Fail</v>
      </c>
      <c r="U169" s="183">
        <v>1335</v>
      </c>
      <c r="V169" s="246"/>
      <c r="W169" s="33"/>
      <c r="X169" s="184">
        <v>3650</v>
      </c>
      <c r="Y169" s="184">
        <v>4450</v>
      </c>
      <c r="Z169" s="184">
        <v>3700</v>
      </c>
      <c r="AA169" s="184">
        <v>4100</v>
      </c>
      <c r="AB169" s="57">
        <v>6.5</v>
      </c>
      <c r="AC169" s="57">
        <v>7</v>
      </c>
    </row>
    <row r="170" spans="1:29" x14ac:dyDescent="0.25">
      <c r="A170" s="281"/>
      <c r="B170" s="69"/>
      <c r="C170" s="59"/>
      <c r="D170" s="60"/>
      <c r="E170" s="88" t="s">
        <v>193</v>
      </c>
      <c r="F170" s="33">
        <v>5034.4399999999996</v>
      </c>
      <c r="G170" s="33">
        <v>4863.7700000000004</v>
      </c>
      <c r="H170" s="33">
        <v>4949.54</v>
      </c>
      <c r="I170" s="33">
        <v>4960.96</v>
      </c>
      <c r="J170" s="33">
        <v>5148.53</v>
      </c>
      <c r="K170" s="33">
        <v>5191.42</v>
      </c>
      <c r="L170" s="33">
        <v>4932.7700000000004</v>
      </c>
      <c r="M170" s="33">
        <v>4928.93</v>
      </c>
      <c r="N170" s="33">
        <v>5073.2700000000004</v>
      </c>
      <c r="O170" s="61"/>
      <c r="P170" s="61"/>
      <c r="Q170" s="62"/>
      <c r="R170" s="62"/>
      <c r="S170" s="181"/>
      <c r="T170" s="182"/>
      <c r="U170" s="190"/>
      <c r="V170" s="247"/>
      <c r="W170" s="33"/>
      <c r="X170" s="186"/>
      <c r="Y170" s="186"/>
      <c r="Z170" s="186"/>
      <c r="AA170" s="186"/>
    </row>
    <row r="171" spans="1:29" ht="22.75" thickBot="1" x14ac:dyDescent="0.3">
      <c r="A171" s="281"/>
      <c r="B171" s="69"/>
      <c r="C171" s="59"/>
      <c r="D171" s="60"/>
      <c r="E171" s="74" t="s">
        <v>194</v>
      </c>
      <c r="F171" s="71">
        <f t="shared" ref="F171:N171" si="53">IF(((F169="")*AND(F170="")),"",(F169-F170)*2)</f>
        <v>3784.3200000000015</v>
      </c>
      <c r="G171" s="71">
        <f t="shared" si="53"/>
        <v>3902.6799999999985</v>
      </c>
      <c r="H171" s="71">
        <f t="shared" si="53"/>
        <v>3943.7000000000007</v>
      </c>
      <c r="I171" s="71">
        <f t="shared" si="53"/>
        <v>3924.5399999999991</v>
      </c>
      <c r="J171" s="71">
        <f t="shared" si="53"/>
        <v>3549.3999999999996</v>
      </c>
      <c r="K171" s="71">
        <f t="shared" si="53"/>
        <v>3463.619999999999</v>
      </c>
      <c r="L171" s="71">
        <f t="shared" si="53"/>
        <v>3911.6999999999989</v>
      </c>
      <c r="M171" s="71">
        <f t="shared" si="53"/>
        <v>3960.1999999999989</v>
      </c>
      <c r="N171" s="71">
        <f t="shared" si="53"/>
        <v>3699.9199999999983</v>
      </c>
      <c r="O171" s="61"/>
      <c r="P171" s="61"/>
      <c r="Q171" s="62"/>
      <c r="R171" s="62"/>
      <c r="S171" s="181"/>
      <c r="T171" s="182"/>
      <c r="U171" s="190"/>
      <c r="V171" s="247"/>
      <c r="W171" s="33"/>
      <c r="X171" s="186"/>
      <c r="Y171" s="186"/>
      <c r="Z171" s="186"/>
      <c r="AA171" s="186"/>
    </row>
    <row r="172" spans="1:29" x14ac:dyDescent="0.25">
      <c r="A172" s="282">
        <v>43187</v>
      </c>
      <c r="B172" s="72" t="s">
        <v>172</v>
      </c>
      <c r="C172" s="73" t="s">
        <v>174</v>
      </c>
      <c r="D172" s="72" t="s">
        <v>195</v>
      </c>
      <c r="E172" s="88" t="s">
        <v>192</v>
      </c>
      <c r="F172" s="33">
        <v>1288.24</v>
      </c>
      <c r="G172" s="33">
        <v>1283.99</v>
      </c>
      <c r="H172" s="33">
        <v>1283.72</v>
      </c>
      <c r="I172" s="33">
        <v>1284.43</v>
      </c>
      <c r="J172" s="33">
        <v>1319.14</v>
      </c>
      <c r="K172" s="33">
        <v>1309.94</v>
      </c>
      <c r="L172" s="33">
        <v>1285.75</v>
      </c>
      <c r="M172" s="33">
        <v>1276.6600000000001</v>
      </c>
      <c r="N172" s="33">
        <v>1293.27</v>
      </c>
      <c r="O172" s="74">
        <f>IF((N173=""),"",MAX(F174:N174))</f>
        <v>2116.56</v>
      </c>
      <c r="P172" s="74">
        <f>IF(N173="","",MIN(F174:N174))</f>
        <v>1932.15</v>
      </c>
      <c r="Q172" s="75">
        <f>IF((N174=""),"",AVERAGE(F174:N174))</f>
        <v>2061.23</v>
      </c>
      <c r="R172" s="75">
        <f>IF((N173=""),"",(O172-P172)/(O172+P172)*100)</f>
        <v>4.5547841164222644</v>
      </c>
      <c r="S172" s="181">
        <f>STDEV(F174:N174)</f>
        <v>64.160053576972643</v>
      </c>
      <c r="T172" s="191" t="str">
        <f>IF(N173="","",IF(Q172&gt;1940,IF(R172&lt;8.3,IF(Q172&lt;2180,"Pass","Fail"),"Fail"),"Fail"))</f>
        <v>Pass</v>
      </c>
      <c r="U172" s="183">
        <v>1335</v>
      </c>
      <c r="V172" s="246"/>
      <c r="W172" s="33"/>
      <c r="X172" s="184">
        <v>2000</v>
      </c>
      <c r="Y172" s="184">
        <v>3000</v>
      </c>
      <c r="Z172" s="184">
        <v>1940</v>
      </c>
      <c r="AA172" s="184">
        <v>2180</v>
      </c>
      <c r="AB172" s="57">
        <v>5.2</v>
      </c>
    </row>
    <row r="173" spans="1:29" x14ac:dyDescent="0.25">
      <c r="A173" s="281"/>
      <c r="B173" s="58"/>
      <c r="C173" s="59"/>
      <c r="D173" s="60"/>
      <c r="E173" s="88" t="s">
        <v>193</v>
      </c>
      <c r="F173" s="33">
        <v>600.28</v>
      </c>
      <c r="G173" s="33">
        <v>578.47</v>
      </c>
      <c r="H173" s="33">
        <v>582.45000000000005</v>
      </c>
      <c r="I173" s="33">
        <v>587.47</v>
      </c>
      <c r="J173" s="33">
        <v>675.09</v>
      </c>
      <c r="K173" s="33">
        <v>649.95000000000005</v>
      </c>
      <c r="L173" s="33">
        <v>588.45000000000005</v>
      </c>
      <c r="M173" s="33">
        <v>571.5</v>
      </c>
      <c r="N173" s="33">
        <v>607.79</v>
      </c>
      <c r="O173" s="61"/>
      <c r="P173" s="61"/>
      <c r="Q173" s="62"/>
      <c r="R173" s="62"/>
      <c r="S173" s="181"/>
      <c r="T173" s="182"/>
      <c r="U173" s="185"/>
      <c r="V173" s="246"/>
      <c r="W173" s="33"/>
      <c r="X173" s="186"/>
      <c r="Y173" s="186"/>
      <c r="Z173" s="186"/>
      <c r="AA173" s="186"/>
    </row>
    <row r="174" spans="1:29" ht="13.3" thickBot="1" x14ac:dyDescent="0.3">
      <c r="A174" s="283"/>
      <c r="B174" s="76"/>
      <c r="C174" s="77"/>
      <c r="D174" s="78"/>
      <c r="E174" s="92" t="s">
        <v>196</v>
      </c>
      <c r="F174" s="79">
        <f t="shared" ref="F174:N174" si="54">IF(((F172="")*AND(F173="")),"",(F172-F173)*3)</f>
        <v>2063.88</v>
      </c>
      <c r="G174" s="79">
        <f t="shared" si="54"/>
        <v>2116.56</v>
      </c>
      <c r="H174" s="79">
        <f t="shared" si="54"/>
        <v>2103.81</v>
      </c>
      <c r="I174" s="79">
        <f t="shared" si="54"/>
        <v>2090.88</v>
      </c>
      <c r="J174" s="79">
        <f t="shared" si="54"/>
        <v>1932.15</v>
      </c>
      <c r="K174" s="79">
        <f t="shared" si="54"/>
        <v>1979.97</v>
      </c>
      <c r="L174" s="79">
        <f t="shared" si="54"/>
        <v>2091.8999999999996</v>
      </c>
      <c r="M174" s="79">
        <f t="shared" si="54"/>
        <v>2115.4800000000005</v>
      </c>
      <c r="N174" s="79">
        <f t="shared" si="54"/>
        <v>2056.44</v>
      </c>
      <c r="O174" s="80"/>
      <c r="P174" s="80"/>
      <c r="Q174" s="81"/>
      <c r="R174" s="81"/>
      <c r="S174" s="181"/>
      <c r="T174" s="192"/>
      <c r="U174" s="193"/>
      <c r="V174" s="246"/>
      <c r="W174" s="33"/>
      <c r="X174" s="186"/>
      <c r="Y174" s="186"/>
      <c r="Z174" s="186"/>
      <c r="AA174" s="186"/>
    </row>
    <row r="175" spans="1:29" x14ac:dyDescent="0.25">
      <c r="A175" s="282">
        <v>43192</v>
      </c>
      <c r="B175" s="52" t="s">
        <v>191</v>
      </c>
      <c r="C175" s="53" t="s">
        <v>176</v>
      </c>
      <c r="D175" s="54" t="s">
        <v>175</v>
      </c>
      <c r="E175" s="86" t="s">
        <v>192</v>
      </c>
      <c r="F175" s="33">
        <v>22642.58</v>
      </c>
      <c r="G175" s="33">
        <v>23137.08</v>
      </c>
      <c r="H175" s="33">
        <v>23350.14</v>
      </c>
      <c r="I175" s="33">
        <v>23199.040000000001</v>
      </c>
      <c r="J175" s="33">
        <v>22692.46</v>
      </c>
      <c r="K175" s="33">
        <v>22651.69</v>
      </c>
      <c r="L175" s="33">
        <v>23157.79</v>
      </c>
      <c r="M175" s="33">
        <v>23171.46</v>
      </c>
      <c r="N175" s="33">
        <v>22629.99</v>
      </c>
      <c r="O175" s="55">
        <f>IF((N176=""),"",MAX(F177:N177))</f>
        <v>4564.5900000000074</v>
      </c>
      <c r="P175" s="55">
        <f>IF(N176="","",MIN(F177:N177))</f>
        <v>3902.6400000000031</v>
      </c>
      <c r="Q175" s="56">
        <f>IF((N177=""),"",AVERAGE(F177:N177))</f>
        <v>4181.0266666666703</v>
      </c>
      <c r="R175" s="56">
        <f>IF((N176=""),"",(O175-P175)/(O175+P175)*100)</f>
        <v>7.8177869267753861</v>
      </c>
      <c r="S175" s="181">
        <f>STDEV(F177:N177)</f>
        <v>250.53190714956924</v>
      </c>
      <c r="T175" s="182" t="str">
        <f>IF(N176="","",IF(R175&lt;16,IF(Q175&gt;3200,IF(R175,IF(Q175&lt;5240,"Pass","Fail"),"Fail"),"Fail")))</f>
        <v>Pass</v>
      </c>
      <c r="U175" s="183">
        <v>1335</v>
      </c>
      <c r="V175" s="246"/>
      <c r="W175" s="33"/>
      <c r="X175" s="184">
        <v>4200</v>
      </c>
      <c r="Y175" s="184">
        <v>5500</v>
      </c>
      <c r="Z175" s="184">
        <v>3200</v>
      </c>
      <c r="AA175" s="184">
        <v>5240</v>
      </c>
      <c r="AB175" s="57">
        <v>16</v>
      </c>
    </row>
    <row r="176" spans="1:29" x14ac:dyDescent="0.25">
      <c r="A176" s="281"/>
      <c r="B176" s="58"/>
      <c r="C176" s="59"/>
      <c r="D176" s="60"/>
      <c r="E176" s="88" t="s">
        <v>193</v>
      </c>
      <c r="F176" s="33">
        <v>21151.69</v>
      </c>
      <c r="G176" s="33">
        <v>21790.22</v>
      </c>
      <c r="H176" s="33">
        <v>22049.26</v>
      </c>
      <c r="I176" s="33">
        <v>21878.91</v>
      </c>
      <c r="J176" s="33">
        <v>21234.23</v>
      </c>
      <c r="K176" s="33">
        <v>21212.91</v>
      </c>
      <c r="L176" s="33">
        <v>21834.69</v>
      </c>
      <c r="M176" s="33">
        <v>21828.78</v>
      </c>
      <c r="N176" s="33">
        <v>21108.46</v>
      </c>
      <c r="O176" s="61"/>
      <c r="P176" s="61"/>
      <c r="Q176" s="62"/>
      <c r="R176" s="62"/>
      <c r="S176" s="181"/>
      <c r="T176" s="182"/>
      <c r="U176" s="185"/>
      <c r="V176" s="246"/>
      <c r="W176" s="33"/>
      <c r="X176" s="186"/>
      <c r="Y176" s="186"/>
      <c r="Z176" s="186"/>
      <c r="AA176" s="186"/>
    </row>
    <row r="177" spans="1:29" ht="22.75" thickBot="1" x14ac:dyDescent="0.3">
      <c r="A177" s="283"/>
      <c r="B177" s="63"/>
      <c r="C177" s="64"/>
      <c r="D177" s="65"/>
      <c r="E177" s="88" t="s">
        <v>194</v>
      </c>
      <c r="F177" s="66">
        <f t="shared" ref="F177:N177" si="55">IF(((F175="")*AND(F176="")),"",(F175-F176)*3)</f>
        <v>4472.6700000000092</v>
      </c>
      <c r="G177" s="66">
        <f t="shared" si="55"/>
        <v>4040.5800000000017</v>
      </c>
      <c r="H177" s="66">
        <f t="shared" si="55"/>
        <v>3902.6400000000031</v>
      </c>
      <c r="I177" s="66">
        <f t="shared" si="55"/>
        <v>3960.3900000000031</v>
      </c>
      <c r="J177" s="66">
        <f t="shared" si="55"/>
        <v>4374.6899999999987</v>
      </c>
      <c r="K177" s="66">
        <f t="shared" si="55"/>
        <v>4316.3399999999965</v>
      </c>
      <c r="L177" s="66">
        <f t="shared" si="55"/>
        <v>3969.3000000000065</v>
      </c>
      <c r="M177" s="66">
        <f t="shared" si="55"/>
        <v>4028.0400000000009</v>
      </c>
      <c r="N177" s="66">
        <f t="shared" si="55"/>
        <v>4564.5900000000074</v>
      </c>
      <c r="O177" s="67"/>
      <c r="P177" s="67"/>
      <c r="Q177" s="68"/>
      <c r="R177" s="68"/>
      <c r="S177" s="181"/>
      <c r="T177" s="187"/>
      <c r="U177" s="188"/>
      <c r="V177" s="246"/>
      <c r="W177" s="33"/>
      <c r="X177" s="186"/>
      <c r="Y177" s="186"/>
      <c r="Z177" s="186"/>
      <c r="AA177" s="186"/>
    </row>
    <row r="178" spans="1:29" x14ac:dyDescent="0.25">
      <c r="A178" s="282">
        <v>43192</v>
      </c>
      <c r="B178" s="69" t="s">
        <v>177</v>
      </c>
      <c r="C178" s="59" t="s">
        <v>179</v>
      </c>
      <c r="D178" s="70" t="s">
        <v>178</v>
      </c>
      <c r="E178" s="67" t="s">
        <v>192</v>
      </c>
      <c r="F178" s="33">
        <v>5043.41</v>
      </c>
      <c r="G178" s="33">
        <v>4875.82</v>
      </c>
      <c r="H178" s="33">
        <v>4959.53</v>
      </c>
      <c r="I178" s="33">
        <v>4970.3999999999996</v>
      </c>
      <c r="J178" s="33">
        <v>5257.94</v>
      </c>
      <c r="K178" s="33">
        <v>5199.42</v>
      </c>
      <c r="L178" s="33">
        <v>4943.2700000000004</v>
      </c>
      <c r="M178" s="33">
        <v>4939.13</v>
      </c>
      <c r="N178" s="33">
        <v>5082.3100000000004</v>
      </c>
      <c r="O178" s="61">
        <f>IF((N179=""),"",MAX(F180:N180))</f>
        <v>4046.8200000000006</v>
      </c>
      <c r="P178" s="61">
        <f>IF(N179="","",MIN(F180:N180))</f>
        <v>3738.3199999999997</v>
      </c>
      <c r="Q178" s="62">
        <f>IF((N180=""),"",AVERAGE(F180:N180))</f>
        <v>3960.9755555555553</v>
      </c>
      <c r="R178" s="62">
        <f>IF((N179=""),"",(O178-P178)/(O178+P178)*100)</f>
        <v>3.9626776140185136</v>
      </c>
      <c r="S178" s="181">
        <f>STDEV(F180:N180)</f>
        <v>104.95246913616569</v>
      </c>
      <c r="T178" s="189" t="str">
        <f>IF(N179="","",IF(Q178&gt;3650,IF(R178&lt;6.5,IF(Q178&lt;4450,"Pass","Fail"),"Fail"),"Fail"))</f>
        <v>Pass</v>
      </c>
      <c r="U178" s="183">
        <v>1335</v>
      </c>
      <c r="V178" s="246"/>
      <c r="W178" s="33"/>
      <c r="X178" s="184">
        <v>3650</v>
      </c>
      <c r="Y178" s="184">
        <v>4450</v>
      </c>
      <c r="Z178" s="184">
        <v>3700</v>
      </c>
      <c r="AA178" s="184">
        <v>4100</v>
      </c>
      <c r="AB178" s="57">
        <v>6.5</v>
      </c>
      <c r="AC178" s="57">
        <v>7</v>
      </c>
    </row>
    <row r="179" spans="1:29" x14ac:dyDescent="0.25">
      <c r="A179" s="281"/>
      <c r="B179" s="69"/>
      <c r="C179" s="59"/>
      <c r="D179" s="60"/>
      <c r="E179" s="88" t="s">
        <v>193</v>
      </c>
      <c r="F179" s="33">
        <v>3090.66</v>
      </c>
      <c r="G179" s="33">
        <v>2860.18</v>
      </c>
      <c r="H179" s="33">
        <v>2937.45</v>
      </c>
      <c r="I179" s="33">
        <v>2957.81</v>
      </c>
      <c r="J179" s="33">
        <v>3320.95</v>
      </c>
      <c r="K179" s="33">
        <v>3330.26</v>
      </c>
      <c r="L179" s="33">
        <v>2929.19</v>
      </c>
      <c r="M179" s="33">
        <v>2915.72</v>
      </c>
      <c r="N179" s="33">
        <v>3104.62</v>
      </c>
      <c r="O179" s="61"/>
      <c r="P179" s="61"/>
      <c r="Q179" s="62"/>
      <c r="R179" s="62"/>
      <c r="S179" s="181"/>
      <c r="T179" s="182"/>
      <c r="U179" s="190"/>
      <c r="V179" s="247"/>
      <c r="W179" s="33"/>
      <c r="X179" s="186"/>
      <c r="Y179" s="186"/>
      <c r="Z179" s="186"/>
      <c r="AA179" s="186"/>
    </row>
    <row r="180" spans="1:29" ht="22.75" thickBot="1" x14ac:dyDescent="0.3">
      <c r="A180" s="283"/>
      <c r="B180" s="69"/>
      <c r="C180" s="59"/>
      <c r="D180" s="60"/>
      <c r="E180" s="74" t="s">
        <v>194</v>
      </c>
      <c r="F180" s="71">
        <f t="shared" ref="F180:N180" si="56">IF(((F178="")*AND(F179="")),"",(F178-F179)*2)</f>
        <v>3905.5</v>
      </c>
      <c r="G180" s="71">
        <f t="shared" si="56"/>
        <v>4031.2799999999997</v>
      </c>
      <c r="H180" s="71">
        <f t="shared" si="56"/>
        <v>4044.16</v>
      </c>
      <c r="I180" s="71">
        <f t="shared" si="56"/>
        <v>4025.1799999999994</v>
      </c>
      <c r="J180" s="71">
        <f t="shared" si="56"/>
        <v>3873.9799999999996</v>
      </c>
      <c r="K180" s="71">
        <f t="shared" si="56"/>
        <v>3738.3199999999997</v>
      </c>
      <c r="L180" s="71">
        <f t="shared" si="56"/>
        <v>4028.1600000000008</v>
      </c>
      <c r="M180" s="71">
        <f t="shared" si="56"/>
        <v>4046.8200000000006</v>
      </c>
      <c r="N180" s="71">
        <f t="shared" si="56"/>
        <v>3955.380000000001</v>
      </c>
      <c r="O180" s="61"/>
      <c r="P180" s="61"/>
      <c r="Q180" s="62"/>
      <c r="R180" s="62"/>
      <c r="S180" s="181"/>
      <c r="T180" s="182"/>
      <c r="U180" s="190"/>
      <c r="V180" s="247"/>
      <c r="W180" s="33"/>
      <c r="X180" s="186"/>
      <c r="Y180" s="186"/>
      <c r="Z180" s="186"/>
      <c r="AA180" s="186"/>
    </row>
    <row r="181" spans="1:29" x14ac:dyDescent="0.25">
      <c r="A181" s="282">
        <v>43192</v>
      </c>
      <c r="B181" s="72" t="s">
        <v>172</v>
      </c>
      <c r="C181" s="73" t="s">
        <v>174</v>
      </c>
      <c r="D181" s="72" t="s">
        <v>195</v>
      </c>
      <c r="E181" s="88" t="s">
        <v>192</v>
      </c>
      <c r="F181" s="33">
        <v>1972.45</v>
      </c>
      <c r="G181" s="33">
        <v>1954.27</v>
      </c>
      <c r="H181" s="33">
        <v>1950.72</v>
      </c>
      <c r="I181" s="33">
        <v>1958.19</v>
      </c>
      <c r="J181" s="33">
        <v>1982.22</v>
      </c>
      <c r="K181" s="33">
        <v>1978.04</v>
      </c>
      <c r="L181" s="33">
        <v>1956.83</v>
      </c>
      <c r="M181" s="33">
        <v>1956.39</v>
      </c>
      <c r="N181" s="33">
        <v>1968.15</v>
      </c>
      <c r="O181" s="74">
        <f>IF((N182=""),"",MAX(F183:N183))</f>
        <v>2188.9500000000003</v>
      </c>
      <c r="P181" s="74">
        <f>IF(N182="","",MIN(F183:N183))</f>
        <v>2103.7200000000003</v>
      </c>
      <c r="Q181" s="75">
        <f>IF((N183=""),"",AVERAGE(F183:N183))</f>
        <v>2154.66</v>
      </c>
      <c r="R181" s="75">
        <f>IF((N182=""),"",(O181-P181)/(O181+P181)*100)</f>
        <v>1.9854775699040463</v>
      </c>
      <c r="S181" s="181">
        <f>STDEV(F183:N183)</f>
        <v>33.245895235351789</v>
      </c>
      <c r="T181" s="191" t="str">
        <f>IF(N182="","",IF(Q181&gt;1940,IF(R181&lt;8.3,IF(Q181&lt;2180,"Pass","Fail"),"Fail"),"Fail"))</f>
        <v>Pass</v>
      </c>
      <c r="U181" s="183">
        <v>1335</v>
      </c>
      <c r="V181" s="246"/>
      <c r="W181" s="33"/>
      <c r="X181" s="184">
        <v>2000</v>
      </c>
      <c r="Y181" s="184">
        <v>3000</v>
      </c>
      <c r="Z181" s="184">
        <v>1940</v>
      </c>
      <c r="AA181" s="184">
        <v>2180</v>
      </c>
      <c r="AB181" s="57">
        <v>5.2</v>
      </c>
    </row>
    <row r="182" spans="1:29" x14ac:dyDescent="0.25">
      <c r="A182" s="281"/>
      <c r="B182" s="58"/>
      <c r="C182" s="59"/>
      <c r="D182" s="60"/>
      <c r="E182" s="88" t="s">
        <v>193</v>
      </c>
      <c r="F182" s="33">
        <v>1256.31</v>
      </c>
      <c r="G182" s="33">
        <v>1229.8399999999999</v>
      </c>
      <c r="H182" s="33">
        <v>1226.46</v>
      </c>
      <c r="I182" s="33">
        <v>1228.54</v>
      </c>
      <c r="J182" s="33">
        <v>1280.98</v>
      </c>
      <c r="K182" s="33">
        <v>1270.8499999999999</v>
      </c>
      <c r="L182" s="33">
        <v>1229.3800000000001</v>
      </c>
      <c r="M182" s="33">
        <v>1227.8900000000001</v>
      </c>
      <c r="N182" s="33">
        <v>1263.03</v>
      </c>
      <c r="O182" s="61"/>
      <c r="P182" s="61"/>
      <c r="Q182" s="62"/>
      <c r="R182" s="62"/>
      <c r="S182" s="181"/>
      <c r="T182" s="182"/>
      <c r="U182" s="185"/>
      <c r="V182" s="246"/>
      <c r="W182" s="33"/>
      <c r="X182" s="186"/>
      <c r="Y182" s="186"/>
      <c r="Z182" s="186"/>
      <c r="AA182" s="186"/>
    </row>
    <row r="183" spans="1:29" ht="13.3" thickBot="1" x14ac:dyDescent="0.3">
      <c r="A183" s="283"/>
      <c r="B183" s="76"/>
      <c r="C183" s="77"/>
      <c r="D183" s="78"/>
      <c r="E183" s="92" t="s">
        <v>196</v>
      </c>
      <c r="F183" s="79">
        <f t="shared" ref="F183:N183" si="57">IF(((F181="")*AND(F182="")),"",(F181-F182)*3)</f>
        <v>2148.42</v>
      </c>
      <c r="G183" s="79">
        <f t="shared" si="57"/>
        <v>2173.29</v>
      </c>
      <c r="H183" s="79">
        <f t="shared" si="57"/>
        <v>2172.7799999999997</v>
      </c>
      <c r="I183" s="79">
        <f t="shared" si="57"/>
        <v>2188.9500000000003</v>
      </c>
      <c r="J183" s="79">
        <f t="shared" si="57"/>
        <v>2103.7200000000003</v>
      </c>
      <c r="K183" s="79">
        <f t="shared" si="57"/>
        <v>2121.5700000000002</v>
      </c>
      <c r="L183" s="79">
        <f t="shared" si="57"/>
        <v>2182.3499999999995</v>
      </c>
      <c r="M183" s="79">
        <f t="shared" si="57"/>
        <v>2185.5</v>
      </c>
      <c r="N183" s="79">
        <f t="shared" si="57"/>
        <v>2115.3600000000006</v>
      </c>
      <c r="O183" s="80"/>
      <c r="P183" s="80"/>
      <c r="Q183" s="81"/>
      <c r="R183" s="81"/>
      <c r="S183" s="181"/>
      <c r="T183" s="192"/>
      <c r="U183" s="193"/>
      <c r="V183" s="246"/>
      <c r="W183" s="33"/>
      <c r="X183" s="186"/>
      <c r="Y183" s="186"/>
      <c r="Z183" s="186"/>
      <c r="AA183" s="186"/>
    </row>
    <row r="184" spans="1:29" x14ac:dyDescent="0.25">
      <c r="A184" s="280">
        <v>43199</v>
      </c>
      <c r="B184" s="52" t="s">
        <v>191</v>
      </c>
      <c r="C184" s="53" t="s">
        <v>176</v>
      </c>
      <c r="D184" s="54" t="s">
        <v>175</v>
      </c>
      <c r="E184" s="86" t="s">
        <v>192</v>
      </c>
      <c r="F184" s="33">
        <v>29368.28</v>
      </c>
      <c r="G184" s="33">
        <v>29182.09</v>
      </c>
      <c r="H184" s="33">
        <v>29226.47</v>
      </c>
      <c r="I184" s="33">
        <v>29165.39</v>
      </c>
      <c r="J184" s="33">
        <v>29358.97</v>
      </c>
      <c r="K184" s="33">
        <v>29348.42</v>
      </c>
      <c r="L184" s="33">
        <v>29161.21</v>
      </c>
      <c r="M184" s="33">
        <v>29153.48</v>
      </c>
      <c r="N184" s="33">
        <v>29363.919999999998</v>
      </c>
      <c r="O184" s="55">
        <f>IF((N185=""),"",MAX(F186:N186))</f>
        <v>4607.9099999999926</v>
      </c>
      <c r="P184" s="55">
        <f>IF(N185="","",MIN(F186:N186))</f>
        <v>3945.9900000000052</v>
      </c>
      <c r="Q184" s="56">
        <f>IF((N186=""),"",AVERAGE(F186:N186))</f>
        <v>4240.2533333333331</v>
      </c>
      <c r="R184" s="56">
        <f>IF((N185=""),"",(O184-P184)/(O184+P184)*100)</f>
        <v>7.7382246694488774</v>
      </c>
      <c r="S184" s="181">
        <f>STDEV(F186:N186)</f>
        <v>282.51905559625317</v>
      </c>
      <c r="T184" s="182" t="str">
        <f>IF(N185="","",IF(R184&lt;16,IF(Q184&gt;3200,IF(R184,IF(Q184&lt;5240,"Pass","Fail"),"Fail"),"Fail")))</f>
        <v>Pass</v>
      </c>
      <c r="U184" s="183"/>
      <c r="V184" s="246"/>
      <c r="W184" s="33"/>
      <c r="X184" s="184">
        <v>4200</v>
      </c>
      <c r="Y184" s="184">
        <v>5500</v>
      </c>
      <c r="Z184" s="184">
        <v>3200</v>
      </c>
      <c r="AA184" s="184">
        <v>5240</v>
      </c>
      <c r="AB184" s="57">
        <v>16</v>
      </c>
    </row>
    <row r="185" spans="1:29" x14ac:dyDescent="0.25">
      <c r="A185" s="281"/>
      <c r="B185" s="58"/>
      <c r="C185" s="59"/>
      <c r="D185" s="60"/>
      <c r="E185" s="88" t="s">
        <v>193</v>
      </c>
      <c r="F185" s="33">
        <v>27849.59</v>
      </c>
      <c r="G185" s="33">
        <v>27828.16</v>
      </c>
      <c r="H185" s="33">
        <v>27911.14</v>
      </c>
      <c r="I185" s="33">
        <v>27832.91</v>
      </c>
      <c r="J185" s="33">
        <v>27848.69</v>
      </c>
      <c r="K185" s="33">
        <v>27869.94</v>
      </c>
      <c r="L185" s="33">
        <v>27829.919999999998</v>
      </c>
      <c r="M185" s="33">
        <v>27809.17</v>
      </c>
      <c r="N185" s="33">
        <v>27827.95</v>
      </c>
      <c r="O185" s="61"/>
      <c r="P185" s="61"/>
      <c r="Q185" s="62"/>
      <c r="R185" s="62"/>
      <c r="S185" s="181"/>
      <c r="T185" s="182"/>
      <c r="U185" s="185"/>
      <c r="V185" s="246"/>
      <c r="W185" s="33"/>
      <c r="X185" s="186"/>
      <c r="Y185" s="186"/>
      <c r="Z185" s="186"/>
      <c r="AA185" s="186"/>
    </row>
    <row r="186" spans="1:29" ht="22.75" thickBot="1" x14ac:dyDescent="0.3">
      <c r="A186" s="281"/>
      <c r="B186" s="63"/>
      <c r="C186" s="64"/>
      <c r="D186" s="65"/>
      <c r="E186" s="88" t="s">
        <v>194</v>
      </c>
      <c r="F186" s="66">
        <f t="shared" ref="F186:N186" si="58">IF(((F184="")*AND(F185="")),"",(F184-F185)*3)</f>
        <v>4556.0699999999961</v>
      </c>
      <c r="G186" s="66">
        <f t="shared" si="58"/>
        <v>4061.7900000000009</v>
      </c>
      <c r="H186" s="66">
        <f t="shared" si="58"/>
        <v>3945.9900000000052</v>
      </c>
      <c r="I186" s="66">
        <f t="shared" si="58"/>
        <v>3997.4399999999987</v>
      </c>
      <c r="J186" s="66">
        <f t="shared" si="58"/>
        <v>4530.8400000000074</v>
      </c>
      <c r="K186" s="66">
        <f t="shared" si="58"/>
        <v>4435.4399999999987</v>
      </c>
      <c r="L186" s="66">
        <f t="shared" si="58"/>
        <v>3993.8700000000026</v>
      </c>
      <c r="M186" s="66">
        <f t="shared" si="58"/>
        <v>4032.9300000000039</v>
      </c>
      <c r="N186" s="66">
        <f t="shared" si="58"/>
        <v>4607.9099999999926</v>
      </c>
      <c r="O186" s="67"/>
      <c r="P186" s="67"/>
      <c r="Q186" s="68"/>
      <c r="R186" s="68"/>
      <c r="S186" s="181"/>
      <c r="T186" s="187"/>
      <c r="U186" s="188"/>
      <c r="V186" s="246"/>
      <c r="W186" s="33"/>
      <c r="X186" s="186"/>
      <c r="Y186" s="186"/>
      <c r="Z186" s="186"/>
      <c r="AA186" s="186"/>
    </row>
    <row r="187" spans="1:29" ht="14.4" x14ac:dyDescent="0.3">
      <c r="A187" s="280">
        <v>43199</v>
      </c>
      <c r="B187" s="69" t="s">
        <v>177</v>
      </c>
      <c r="C187" s="59" t="s">
        <v>179</v>
      </c>
      <c r="D187" s="70" t="s">
        <v>178</v>
      </c>
      <c r="E187" s="67" t="s">
        <v>192</v>
      </c>
      <c r="F187" s="200">
        <v>3105.97</v>
      </c>
      <c r="G187" s="200">
        <v>2870.93</v>
      </c>
      <c r="H187" s="200">
        <v>2948.58</v>
      </c>
      <c r="I187" s="200">
        <v>2969.01</v>
      </c>
      <c r="J187" s="200">
        <v>3339.9</v>
      </c>
      <c r="K187" s="200">
        <v>3348.87</v>
      </c>
      <c r="L187" s="200">
        <v>2940.72</v>
      </c>
      <c r="M187" s="200">
        <v>2926.4</v>
      </c>
      <c r="N187" s="200">
        <v>3118.88</v>
      </c>
      <c r="O187" s="61">
        <f>IF((N188=""),"",MAX(F189:N189))</f>
        <v>4029.32</v>
      </c>
      <c r="P187" s="61">
        <f>IF(N188="","",MIN(F189:N189))</f>
        <v>3776.66</v>
      </c>
      <c r="Q187" s="62">
        <f>IF((N189=""),"",AVERAGE(F189:N189))</f>
        <v>3960.3133333333335</v>
      </c>
      <c r="R187" s="62">
        <f>IF((N188=""),"",(O187-P187)/(O187+P187)*100)</f>
        <v>3.2367492614636513</v>
      </c>
      <c r="S187" s="181">
        <f>STDEV(F189:N189)</f>
        <v>83.248212593424569</v>
      </c>
      <c r="T187" s="182" t="str">
        <f>IF(N188="","",IF(Q187&gt;3650,IF(R187&lt;7,IF(Q187&lt;4450,"Pass","Fail"),"Fail"),"Fail"))</f>
        <v>Pass</v>
      </c>
      <c r="U187" s="183"/>
      <c r="V187" s="246"/>
      <c r="W187" s="33"/>
      <c r="X187" s="184">
        <v>3650</v>
      </c>
      <c r="Y187" s="184">
        <v>4450</v>
      </c>
      <c r="Z187" s="184">
        <v>3700</v>
      </c>
      <c r="AA187" s="184">
        <v>4100</v>
      </c>
      <c r="AB187" s="57">
        <v>6.5</v>
      </c>
      <c r="AC187" s="57">
        <v>7</v>
      </c>
    </row>
    <row r="188" spans="1:29" ht="14.4" x14ac:dyDescent="0.3">
      <c r="A188" s="281"/>
      <c r="B188" s="69"/>
      <c r="C188" s="59"/>
      <c r="D188" s="60"/>
      <c r="E188" s="88" t="s">
        <v>193</v>
      </c>
      <c r="F188" s="201">
        <v>1155.95</v>
      </c>
      <c r="G188" s="201">
        <v>867.99</v>
      </c>
      <c r="H188" s="201">
        <v>935.01</v>
      </c>
      <c r="I188" s="201">
        <v>962.87</v>
      </c>
      <c r="J188" s="201">
        <v>1378.4</v>
      </c>
      <c r="K188" s="201">
        <v>1460.54</v>
      </c>
      <c r="L188" s="201">
        <v>934.73</v>
      </c>
      <c r="M188" s="201">
        <v>911.74</v>
      </c>
      <c r="N188" s="201">
        <v>1140.6199999999999</v>
      </c>
      <c r="O188" s="61"/>
      <c r="P188" s="61"/>
      <c r="Q188" s="62"/>
      <c r="R188" s="62"/>
      <c r="S188" s="181"/>
      <c r="T188" s="182"/>
      <c r="U188" s="190"/>
      <c r="V188" s="247"/>
      <c r="W188" s="33"/>
      <c r="X188" s="186"/>
      <c r="Y188" s="186"/>
      <c r="Z188" s="186"/>
      <c r="AA188" s="186"/>
    </row>
    <row r="189" spans="1:29" ht="22.75" thickBot="1" x14ac:dyDescent="0.3">
      <c r="A189" s="281"/>
      <c r="B189" s="69"/>
      <c r="C189" s="59"/>
      <c r="D189" s="60"/>
      <c r="E189" s="74" t="s">
        <v>194</v>
      </c>
      <c r="F189" s="71">
        <f t="shared" ref="F189:N189" si="59">IF(((F187="")*AND(F188="")),"",(F187-F188)*2)</f>
        <v>3900.0399999999995</v>
      </c>
      <c r="G189" s="71">
        <f t="shared" si="59"/>
        <v>4005.8799999999997</v>
      </c>
      <c r="H189" s="71">
        <f t="shared" si="59"/>
        <v>4027.14</v>
      </c>
      <c r="I189" s="71">
        <f t="shared" si="59"/>
        <v>4012.2800000000007</v>
      </c>
      <c r="J189" s="71">
        <f t="shared" si="59"/>
        <v>3923</v>
      </c>
      <c r="K189" s="71">
        <f t="shared" si="59"/>
        <v>3776.66</v>
      </c>
      <c r="L189" s="71">
        <f t="shared" si="59"/>
        <v>4011.9799999999996</v>
      </c>
      <c r="M189" s="71">
        <f t="shared" si="59"/>
        <v>4029.32</v>
      </c>
      <c r="N189" s="71">
        <f t="shared" si="59"/>
        <v>3956.5200000000004</v>
      </c>
      <c r="O189" s="61"/>
      <c r="P189" s="61"/>
      <c r="Q189" s="62"/>
      <c r="R189" s="62"/>
      <c r="S189" s="181"/>
      <c r="T189" s="182"/>
      <c r="U189" s="190"/>
      <c r="V189" s="247"/>
      <c r="W189" s="33"/>
      <c r="X189" s="186"/>
      <c r="Y189" s="186"/>
      <c r="Z189" s="186"/>
      <c r="AA189" s="186"/>
    </row>
    <row r="190" spans="1:29" x14ac:dyDescent="0.25">
      <c r="A190" s="280">
        <v>43199</v>
      </c>
      <c r="B190" s="72" t="s">
        <v>172</v>
      </c>
      <c r="C190" s="73" t="s">
        <v>174</v>
      </c>
      <c r="D190" s="72" t="s">
        <v>195</v>
      </c>
      <c r="E190" s="88" t="s">
        <v>192</v>
      </c>
      <c r="F190" s="33">
        <v>1258.24</v>
      </c>
      <c r="G190" s="33">
        <v>1231.49</v>
      </c>
      <c r="H190" s="33">
        <v>1231.49</v>
      </c>
      <c r="I190" s="33">
        <v>1232.3699999999999</v>
      </c>
      <c r="J190" s="33">
        <v>1285.1500000000001</v>
      </c>
      <c r="K190" s="33">
        <v>1274.46</v>
      </c>
      <c r="L190" s="33">
        <v>1232.44</v>
      </c>
      <c r="M190" s="33">
        <v>1229.8599999999999</v>
      </c>
      <c r="N190" s="33">
        <v>1263.57</v>
      </c>
      <c r="O190" s="74">
        <f>IF((N191=""),"",MAX(F192:N192))</f>
        <v>2099.91</v>
      </c>
      <c r="P190" s="74">
        <f>IF(N191="","",MIN(F192:N192))</f>
        <v>1974.42</v>
      </c>
      <c r="Q190" s="75">
        <f>IF((N192=""),"",AVERAGE(F192:N192))</f>
        <v>2048.4866666666667</v>
      </c>
      <c r="R190" s="75">
        <f>IF((N191=""),"",(O190-P190)/(O190+P190)*100)</f>
        <v>3.0800156099284983</v>
      </c>
      <c r="S190" s="181">
        <f>STDEV(F192:N192)</f>
        <v>49.547580415192776</v>
      </c>
      <c r="T190" s="191" t="str">
        <f>IF(N191="","",IF(Q190&gt;1940,IF(R190&lt;8.3,IF(Q190&lt;2180,"Pass","Fail"),"Fail"),"Fail"))</f>
        <v>Pass</v>
      </c>
      <c r="U190" s="183"/>
      <c r="V190" s="246"/>
      <c r="W190" s="33"/>
      <c r="X190" s="184">
        <v>2000</v>
      </c>
      <c r="Y190" s="184">
        <v>3000</v>
      </c>
      <c r="Z190" s="184">
        <v>1940</v>
      </c>
      <c r="AA190" s="184">
        <v>2180</v>
      </c>
      <c r="AB190" s="57">
        <v>5.2</v>
      </c>
    </row>
    <row r="191" spans="1:29" x14ac:dyDescent="0.25">
      <c r="A191" s="281"/>
      <c r="B191" s="58"/>
      <c r="C191" s="59"/>
      <c r="D191" s="60"/>
      <c r="E191" s="88" t="s">
        <v>193</v>
      </c>
      <c r="F191" s="33">
        <v>586.99</v>
      </c>
      <c r="G191" s="33">
        <v>535.49</v>
      </c>
      <c r="H191" s="33">
        <v>531.52</v>
      </c>
      <c r="I191" s="33">
        <v>537.54</v>
      </c>
      <c r="J191" s="33">
        <v>624.5</v>
      </c>
      <c r="K191" s="33">
        <v>616.32000000000005</v>
      </c>
      <c r="L191" s="33">
        <v>538.77</v>
      </c>
      <c r="M191" s="33">
        <v>534.29</v>
      </c>
      <c r="N191" s="33">
        <v>588.19000000000005</v>
      </c>
      <c r="O191" s="61"/>
      <c r="P191" s="61"/>
      <c r="Q191" s="62"/>
      <c r="R191" s="62"/>
      <c r="S191" s="181"/>
      <c r="T191" s="182"/>
      <c r="U191" s="185"/>
      <c r="V191" s="246"/>
      <c r="W191" s="33"/>
      <c r="X191" s="186"/>
      <c r="Y191" s="186"/>
      <c r="Z191" s="186"/>
      <c r="AA191" s="186"/>
    </row>
    <row r="192" spans="1:29" ht="13.3" thickBot="1" x14ac:dyDescent="0.3">
      <c r="A192" s="281"/>
      <c r="B192" s="76"/>
      <c r="C192" s="77"/>
      <c r="D192" s="78"/>
      <c r="E192" s="92" t="s">
        <v>196</v>
      </c>
      <c r="F192" s="79">
        <f t="shared" ref="F192:N192" si="60">IF(((F190="")*AND(F191="")),"",(F190-F191)*3)</f>
        <v>2013.75</v>
      </c>
      <c r="G192" s="79">
        <f t="shared" si="60"/>
        <v>2088</v>
      </c>
      <c r="H192" s="79">
        <f t="shared" si="60"/>
        <v>2099.91</v>
      </c>
      <c r="I192" s="79">
        <f t="shared" si="60"/>
        <v>2084.4899999999998</v>
      </c>
      <c r="J192" s="79">
        <f t="shared" si="60"/>
        <v>1981.9500000000003</v>
      </c>
      <c r="K192" s="79">
        <f t="shared" si="60"/>
        <v>1974.42</v>
      </c>
      <c r="L192" s="79">
        <f t="shared" si="60"/>
        <v>2081.0100000000002</v>
      </c>
      <c r="M192" s="79">
        <f t="shared" si="60"/>
        <v>2086.71</v>
      </c>
      <c r="N192" s="79">
        <f t="shared" si="60"/>
        <v>2026.1399999999996</v>
      </c>
      <c r="O192" s="80"/>
      <c r="P192" s="80"/>
      <c r="Q192" s="81"/>
      <c r="R192" s="81"/>
      <c r="S192" s="181"/>
      <c r="T192" s="192"/>
      <c r="U192" s="193"/>
      <c r="V192" s="246"/>
      <c r="W192" s="33"/>
      <c r="X192" s="186"/>
      <c r="Y192" s="186"/>
      <c r="Z192" s="186"/>
      <c r="AA192" s="186"/>
    </row>
    <row r="193" spans="1:29" x14ac:dyDescent="0.25">
      <c r="A193" s="280">
        <v>43203</v>
      </c>
      <c r="B193" s="52" t="s">
        <v>191</v>
      </c>
      <c r="C193" s="53" t="s">
        <v>176</v>
      </c>
      <c r="D193" s="54" t="s">
        <v>175</v>
      </c>
      <c r="E193" s="86" t="s">
        <v>192</v>
      </c>
      <c r="F193" s="33">
        <v>27776.080000000002</v>
      </c>
      <c r="G193" s="33">
        <v>27751.71</v>
      </c>
      <c r="H193" s="33">
        <v>27842.959999999999</v>
      </c>
      <c r="I193" s="33">
        <v>27762.91</v>
      </c>
      <c r="J193" s="33">
        <v>27773.5</v>
      </c>
      <c r="K193" s="33">
        <v>27793.56</v>
      </c>
      <c r="L193" s="33">
        <v>27761.71</v>
      </c>
      <c r="M193" s="33">
        <v>27742.33</v>
      </c>
      <c r="N193" s="33">
        <v>27749.14</v>
      </c>
      <c r="O193" s="55">
        <f>IF((N194=""),"",MAX(F195:N195))</f>
        <v>4760.25</v>
      </c>
      <c r="P193" s="55">
        <f>IF(N194="","",MIN(F195:N195))</f>
        <v>4045.0200000000004</v>
      </c>
      <c r="Q193" s="56">
        <f>IF((N195=""),"",AVERAGE(F195:N195))</f>
        <v>4329.3933333333343</v>
      </c>
      <c r="R193" s="56">
        <f>IF((N194=""),"",(O193-P193)/(O193+P193)*100)</f>
        <v>8.1227492172301314</v>
      </c>
      <c r="S193" s="181">
        <f>STDEV(F195:N195)</f>
        <v>291.69601754223658</v>
      </c>
      <c r="T193" s="182" t="str">
        <f>IF(N194="","",IF(R193&lt;16,IF(Q193&gt;3200,IF(R193,IF(Q193&lt;5240,"Pass","Fail"),"Fail"),"Fail")))</f>
        <v>Pass</v>
      </c>
      <c r="U193" s="183">
        <v>1428</v>
      </c>
      <c r="V193" s="246"/>
      <c r="W193" s="33"/>
      <c r="X193" s="184">
        <v>4200</v>
      </c>
      <c r="Y193" s="184">
        <v>5500</v>
      </c>
      <c r="Z193" s="184">
        <v>3200</v>
      </c>
      <c r="AA193" s="184">
        <v>5240</v>
      </c>
      <c r="AB193" s="57">
        <v>16</v>
      </c>
    </row>
    <row r="194" spans="1:29" x14ac:dyDescent="0.25">
      <c r="A194" s="281"/>
      <c r="B194" s="58"/>
      <c r="C194" s="59"/>
      <c r="D194" s="60"/>
      <c r="E194" s="88" t="s">
        <v>193</v>
      </c>
      <c r="F194" s="33">
        <v>26222.36</v>
      </c>
      <c r="G194" s="33">
        <v>26382.2</v>
      </c>
      <c r="H194" s="33">
        <v>26494.62</v>
      </c>
      <c r="I194" s="33">
        <v>26402.94</v>
      </c>
      <c r="J194" s="33">
        <v>26252.76</v>
      </c>
      <c r="K194" s="33">
        <v>26284.68</v>
      </c>
      <c r="L194" s="33">
        <v>26406.61</v>
      </c>
      <c r="M194" s="33">
        <v>26357.16</v>
      </c>
      <c r="N194" s="33">
        <v>26162.39</v>
      </c>
      <c r="O194" s="61"/>
      <c r="P194" s="61"/>
      <c r="Q194" s="62"/>
      <c r="R194" s="62"/>
      <c r="S194" s="181"/>
      <c r="T194" s="182"/>
      <c r="U194" s="185"/>
      <c r="V194" s="246"/>
      <c r="W194" s="33"/>
      <c r="X194" s="186"/>
      <c r="Y194" s="186"/>
      <c r="Z194" s="186"/>
      <c r="AA194" s="186"/>
    </row>
    <row r="195" spans="1:29" ht="22.75" thickBot="1" x14ac:dyDescent="0.3">
      <c r="A195" s="281"/>
      <c r="B195" s="63"/>
      <c r="C195" s="64"/>
      <c r="D195" s="65"/>
      <c r="E195" s="88" t="s">
        <v>194</v>
      </c>
      <c r="F195" s="66">
        <f t="shared" ref="F195:N195" si="61">IF(((F193="")*AND(F194="")),"",(F193-F194)*3)</f>
        <v>4661.1600000000035</v>
      </c>
      <c r="G195" s="66">
        <f t="shared" si="61"/>
        <v>4108.5299999999952</v>
      </c>
      <c r="H195" s="66">
        <f t="shared" si="61"/>
        <v>4045.0200000000004</v>
      </c>
      <c r="I195" s="66">
        <f t="shared" si="61"/>
        <v>4079.9100000000035</v>
      </c>
      <c r="J195" s="66">
        <f t="shared" si="61"/>
        <v>4562.2200000000048</v>
      </c>
      <c r="K195" s="66">
        <f t="shared" si="61"/>
        <v>4526.6400000000031</v>
      </c>
      <c r="L195" s="66">
        <f t="shared" si="61"/>
        <v>4065.2999999999956</v>
      </c>
      <c r="M195" s="66">
        <f t="shared" si="61"/>
        <v>4155.5100000000057</v>
      </c>
      <c r="N195" s="66">
        <f t="shared" si="61"/>
        <v>4760.25</v>
      </c>
      <c r="O195" s="67"/>
      <c r="P195" s="67"/>
      <c r="Q195" s="68"/>
      <c r="R195" s="68"/>
      <c r="S195" s="181"/>
      <c r="T195" s="187"/>
      <c r="U195" s="188"/>
      <c r="V195" s="246"/>
      <c r="W195" s="33"/>
      <c r="X195" s="186"/>
      <c r="Y195" s="186"/>
      <c r="Z195" s="186"/>
      <c r="AA195" s="186"/>
    </row>
    <row r="196" spans="1:29" x14ac:dyDescent="0.25">
      <c r="A196" s="280">
        <v>43203</v>
      </c>
      <c r="B196" s="69" t="s">
        <v>177</v>
      </c>
      <c r="C196" s="59" t="s">
        <v>179</v>
      </c>
      <c r="D196" s="70" t="s">
        <v>178</v>
      </c>
      <c r="E196" s="67" t="s">
        <v>192</v>
      </c>
      <c r="F196" s="33">
        <v>4966.41</v>
      </c>
      <c r="G196" s="33">
        <v>4917.5</v>
      </c>
      <c r="H196" s="33">
        <v>5021.6400000000003</v>
      </c>
      <c r="I196" s="33">
        <v>5033.07</v>
      </c>
      <c r="J196" s="33">
        <v>5171.09</v>
      </c>
      <c r="K196" s="33">
        <v>5006.6099999999997</v>
      </c>
      <c r="L196" s="33">
        <v>4992.93</v>
      </c>
      <c r="M196" s="33">
        <v>5015.71</v>
      </c>
      <c r="N196" s="33">
        <v>5092.57</v>
      </c>
      <c r="O196" s="61">
        <f>IF((N197=""),"",MAX(F198:N198))</f>
        <v>4028.76</v>
      </c>
      <c r="P196" s="61">
        <f>IF(N197="","",MIN(F198:N198))</f>
        <v>3698.9599999999991</v>
      </c>
      <c r="Q196" s="62">
        <f>IF((N198=""),"",AVERAGE(F198:N198))</f>
        <v>3930.6755555555555</v>
      </c>
      <c r="R196" s="62">
        <f>IF((N197=""),"",(O196-P196)/(O196+P196)*100)</f>
        <v>4.2677529724161989</v>
      </c>
      <c r="S196" s="181">
        <f>STDEV(F198:N198)</f>
        <v>105.84754167092321</v>
      </c>
      <c r="T196" s="182" t="str">
        <f>IF(N197="","",IF(Q196&gt;3650,IF(R196&lt;7,IF(Q196&lt;4450,"Pass","Fail"),"Fail"),"Fail"))</f>
        <v>Pass</v>
      </c>
      <c r="U196" s="183">
        <v>1428</v>
      </c>
      <c r="V196" s="246"/>
      <c r="W196" s="33"/>
      <c r="X196" s="184">
        <v>3650</v>
      </c>
      <c r="Y196" s="184">
        <v>4450</v>
      </c>
      <c r="Z196" s="184">
        <v>3700</v>
      </c>
      <c r="AA196" s="184">
        <v>4100</v>
      </c>
      <c r="AB196" s="57">
        <v>6.5</v>
      </c>
      <c r="AC196" s="57">
        <v>7</v>
      </c>
    </row>
    <row r="197" spans="1:29" x14ac:dyDescent="0.25">
      <c r="A197" s="281"/>
      <c r="B197" s="69"/>
      <c r="C197" s="59"/>
      <c r="D197" s="60"/>
      <c r="E197" s="88" t="s">
        <v>193</v>
      </c>
      <c r="F197" s="33">
        <v>3034.86</v>
      </c>
      <c r="G197" s="33">
        <v>2919.61</v>
      </c>
      <c r="H197" s="33">
        <v>3018.03</v>
      </c>
      <c r="I197" s="33">
        <v>3038.4</v>
      </c>
      <c r="J197" s="33">
        <v>3241.74</v>
      </c>
      <c r="K197" s="33">
        <v>3157.13</v>
      </c>
      <c r="L197" s="33">
        <v>3002.52</v>
      </c>
      <c r="M197" s="33">
        <v>3001.33</v>
      </c>
      <c r="N197" s="33">
        <v>3115.87</v>
      </c>
      <c r="O197" s="61"/>
      <c r="P197" s="61"/>
      <c r="Q197" s="62"/>
      <c r="R197" s="62"/>
      <c r="S197" s="181"/>
      <c r="T197" s="182"/>
      <c r="U197" s="190"/>
      <c r="V197" s="247"/>
      <c r="W197" s="33"/>
      <c r="X197" s="186"/>
      <c r="Y197" s="186"/>
      <c r="Z197" s="186"/>
      <c r="AA197" s="186"/>
    </row>
    <row r="198" spans="1:29" ht="22.75" thickBot="1" x14ac:dyDescent="0.3">
      <c r="A198" s="281"/>
      <c r="B198" s="69"/>
      <c r="C198" s="59"/>
      <c r="D198" s="60"/>
      <c r="E198" s="74" t="s">
        <v>194</v>
      </c>
      <c r="F198" s="71">
        <f t="shared" ref="F198:N198" si="62">IF(((F196="")*AND(F197="")),"",(F196-F197)*2)</f>
        <v>3863.0999999999995</v>
      </c>
      <c r="G198" s="71">
        <f t="shared" si="62"/>
        <v>3995.7799999999997</v>
      </c>
      <c r="H198" s="71">
        <f t="shared" si="62"/>
        <v>4007.2200000000003</v>
      </c>
      <c r="I198" s="71">
        <f t="shared" si="62"/>
        <v>3989.3399999999992</v>
      </c>
      <c r="J198" s="71">
        <f t="shared" si="62"/>
        <v>3858.7000000000007</v>
      </c>
      <c r="K198" s="71">
        <f t="shared" si="62"/>
        <v>3698.9599999999991</v>
      </c>
      <c r="L198" s="71">
        <f t="shared" si="62"/>
        <v>3980.8200000000006</v>
      </c>
      <c r="M198" s="71">
        <f t="shared" si="62"/>
        <v>4028.76</v>
      </c>
      <c r="N198" s="71">
        <f t="shared" si="62"/>
        <v>3953.3999999999996</v>
      </c>
      <c r="O198" s="61"/>
      <c r="P198" s="61"/>
      <c r="Q198" s="62"/>
      <c r="R198" s="62"/>
      <c r="S198" s="181"/>
      <c r="T198" s="182"/>
      <c r="U198" s="190"/>
      <c r="V198" s="247"/>
      <c r="W198" s="33"/>
      <c r="X198" s="186"/>
      <c r="Y198" s="186"/>
      <c r="Z198" s="186"/>
      <c r="AA198" s="186"/>
    </row>
    <row r="199" spans="1:29" x14ac:dyDescent="0.25">
      <c r="A199" s="280">
        <v>43203</v>
      </c>
      <c r="B199" s="72" t="s">
        <v>172</v>
      </c>
      <c r="C199" s="73" t="s">
        <v>174</v>
      </c>
      <c r="D199" s="72" t="s">
        <v>195</v>
      </c>
      <c r="E199" s="88" t="s">
        <v>192</v>
      </c>
      <c r="F199" s="33">
        <v>1946.05</v>
      </c>
      <c r="G199" s="33">
        <v>1943.2</v>
      </c>
      <c r="H199" s="33">
        <v>1938.97</v>
      </c>
      <c r="I199" s="33">
        <v>1945.66</v>
      </c>
      <c r="J199" s="33">
        <v>1955.16</v>
      </c>
      <c r="K199" s="33">
        <v>1950.97</v>
      </c>
      <c r="L199" s="33">
        <v>1941.95</v>
      </c>
      <c r="M199" s="33">
        <v>1944</v>
      </c>
      <c r="N199" s="33">
        <v>1946.29</v>
      </c>
      <c r="O199" s="74">
        <f>IF((N200=""),"",MAX(F201:N201))</f>
        <v>2090.4300000000003</v>
      </c>
      <c r="P199" s="74">
        <f>IF(N200="","",MIN(F201:N201))</f>
        <v>1966.2900000000002</v>
      </c>
      <c r="Q199" s="75">
        <f>IF((N201=""),"",AVERAGE(F201:N201))</f>
        <v>2041.3333333333333</v>
      </c>
      <c r="R199" s="75">
        <f>IF((N200=""),"",(O199-P199)/(O199+P199)*100)</f>
        <v>3.0601076731941101</v>
      </c>
      <c r="S199" s="181">
        <f>STDEV(F201:N201)</f>
        <v>52.608355562590958</v>
      </c>
      <c r="T199" s="191" t="str">
        <f>IF(N200="","",IF(Q199&gt;1940,IF(R199&lt;8.3,IF(Q199&lt;2180,"Pass","Fail"),"Fail"),"Fail"))</f>
        <v>Pass</v>
      </c>
      <c r="U199" s="183">
        <v>1428</v>
      </c>
      <c r="V199" s="246"/>
      <c r="W199" s="33"/>
      <c r="X199" s="184">
        <v>2000</v>
      </c>
      <c r="Y199" s="184">
        <v>3000</v>
      </c>
      <c r="Z199" s="184">
        <v>1940</v>
      </c>
      <c r="AA199" s="184">
        <v>2180</v>
      </c>
      <c r="AB199" s="57">
        <v>5.2</v>
      </c>
    </row>
    <row r="200" spans="1:29" x14ac:dyDescent="0.25">
      <c r="A200" s="281"/>
      <c r="B200" s="58"/>
      <c r="C200" s="59"/>
      <c r="D200" s="60"/>
      <c r="E200" s="88" t="s">
        <v>193</v>
      </c>
      <c r="F200" s="33">
        <v>1277.68</v>
      </c>
      <c r="G200" s="33">
        <v>1247.5899999999999</v>
      </c>
      <c r="H200" s="33">
        <v>1246.6300000000001</v>
      </c>
      <c r="I200" s="33">
        <v>1248.8499999999999</v>
      </c>
      <c r="J200" s="33">
        <v>1297.0999999999999</v>
      </c>
      <c r="K200" s="33">
        <v>1282.73</v>
      </c>
      <c r="L200" s="33">
        <v>1247.7</v>
      </c>
      <c r="M200" s="33">
        <v>1249.1099999999999</v>
      </c>
      <c r="N200" s="33">
        <v>1290.8599999999999</v>
      </c>
      <c r="O200" s="61"/>
      <c r="P200" s="61"/>
      <c r="Q200" s="62"/>
      <c r="R200" s="62"/>
      <c r="S200" s="181"/>
      <c r="T200" s="182"/>
      <c r="U200" s="185"/>
      <c r="V200" s="246"/>
      <c r="W200" s="33"/>
      <c r="X200" s="186"/>
      <c r="Y200" s="186"/>
      <c r="Z200" s="186"/>
      <c r="AA200" s="186"/>
    </row>
    <row r="201" spans="1:29" ht="13.3" thickBot="1" x14ac:dyDescent="0.3">
      <c r="A201" s="281"/>
      <c r="B201" s="58"/>
      <c r="C201" s="59"/>
      <c r="D201" s="60"/>
      <c r="E201" s="74" t="s">
        <v>196</v>
      </c>
      <c r="F201" s="71">
        <f t="shared" ref="F201:N201" si="63">IF(((F199="")*AND(F200="")),"",(F199-F200)*3)</f>
        <v>2005.1099999999997</v>
      </c>
      <c r="G201" s="71">
        <f t="shared" si="63"/>
        <v>2086.8300000000004</v>
      </c>
      <c r="H201" s="71">
        <f t="shared" si="63"/>
        <v>2077.0199999999995</v>
      </c>
      <c r="I201" s="71">
        <f t="shared" si="63"/>
        <v>2090.4300000000003</v>
      </c>
      <c r="J201" s="71">
        <f t="shared" si="63"/>
        <v>1974.1800000000005</v>
      </c>
      <c r="K201" s="71">
        <f t="shared" si="63"/>
        <v>2004.72</v>
      </c>
      <c r="L201" s="71">
        <f t="shared" si="63"/>
        <v>2082.75</v>
      </c>
      <c r="M201" s="71">
        <f t="shared" si="63"/>
        <v>2084.67</v>
      </c>
      <c r="N201" s="71">
        <f t="shared" si="63"/>
        <v>1966.2900000000002</v>
      </c>
      <c r="O201" s="61"/>
      <c r="P201" s="61"/>
      <c r="Q201" s="62"/>
      <c r="R201" s="62"/>
      <c r="S201" s="181"/>
      <c r="T201" s="182"/>
      <c r="U201" s="185"/>
      <c r="V201" s="246"/>
      <c r="W201" s="33"/>
      <c r="X201" s="186"/>
      <c r="Y201" s="186"/>
      <c r="Z201" s="186"/>
      <c r="AA201" s="186"/>
    </row>
    <row r="202" spans="1:29" x14ac:dyDescent="0.25">
      <c r="A202" s="280">
        <v>43208</v>
      </c>
      <c r="B202" s="52" t="s">
        <v>191</v>
      </c>
      <c r="C202" s="53" t="s">
        <v>176</v>
      </c>
      <c r="D202" s="54" t="s">
        <v>175</v>
      </c>
      <c r="E202" s="86" t="s">
        <v>192</v>
      </c>
      <c r="F202" s="197">
        <v>26148.94</v>
      </c>
      <c r="G202" s="197">
        <v>26317.08</v>
      </c>
      <c r="H202" s="197">
        <v>26438.720000000001</v>
      </c>
      <c r="I202" s="197">
        <v>26334.09</v>
      </c>
      <c r="J202" s="197">
        <v>26179.7</v>
      </c>
      <c r="K202" s="197">
        <v>26215.77</v>
      </c>
      <c r="L202" s="197">
        <v>26337.34</v>
      </c>
      <c r="M202" s="197">
        <v>26288.87</v>
      </c>
      <c r="N202" s="197">
        <v>26078.62</v>
      </c>
      <c r="O202" s="55">
        <f>IF((N203=""),"",MAX(F204:N204))</f>
        <v>4905.5400000000009</v>
      </c>
      <c r="P202" s="55">
        <f>IF(N203="","",MIN(F204:N204))</f>
        <v>4190.7000000000044</v>
      </c>
      <c r="Q202" s="56">
        <f>IF((N204=""),"",AVERAGE(F204:N204))</f>
        <v>4539.7333333333336</v>
      </c>
      <c r="R202" s="56">
        <f>IF((N203=""),"",(O202-P202)/(O202+P202)*100)</f>
        <v>7.8586316983720312</v>
      </c>
      <c r="S202" s="202">
        <f>STDEV(F204:N204)</f>
        <v>317.32517517524468</v>
      </c>
      <c r="T202" s="191" t="str">
        <f>IF(N203="","",IF(R202&lt;16,IF(Q202&gt;3200,IF(R202,IF(Q202&lt;5240,"Pass","Fail"),"Fail"),"Fail")))</f>
        <v>Pass</v>
      </c>
      <c r="U202" s="183">
        <v>74</v>
      </c>
      <c r="V202" s="246"/>
      <c r="W202" s="33"/>
      <c r="X202" s="184">
        <v>4200</v>
      </c>
      <c r="Y202" s="184">
        <v>5500</v>
      </c>
      <c r="Z202" s="184">
        <v>3200</v>
      </c>
      <c r="AA202" s="184">
        <v>5240</v>
      </c>
      <c r="AB202" s="57">
        <v>16</v>
      </c>
    </row>
    <row r="203" spans="1:29" x14ac:dyDescent="0.25">
      <c r="A203" s="281"/>
      <c r="B203" s="58"/>
      <c r="C203" s="59"/>
      <c r="D203" s="60"/>
      <c r="E203" s="88" t="s">
        <v>193</v>
      </c>
      <c r="F203" s="198">
        <v>24513.759999999998</v>
      </c>
      <c r="G203" s="198">
        <v>24873.71</v>
      </c>
      <c r="H203" s="198">
        <v>25041.82</v>
      </c>
      <c r="I203" s="198">
        <v>24918.3</v>
      </c>
      <c r="J203" s="198">
        <v>24573.17</v>
      </c>
      <c r="K203" s="198">
        <v>24596.48</v>
      </c>
      <c r="L203" s="198">
        <v>24906.16</v>
      </c>
      <c r="M203" s="198">
        <v>24850.99</v>
      </c>
      <c r="N203" s="198">
        <v>24445.54</v>
      </c>
      <c r="O203" s="61"/>
      <c r="P203" s="61"/>
      <c r="Q203" s="62"/>
      <c r="R203" s="62"/>
      <c r="S203" s="181"/>
      <c r="T203" s="182"/>
      <c r="U203" s="185"/>
      <c r="V203" s="246"/>
      <c r="W203" s="33"/>
      <c r="X203" s="186"/>
      <c r="Y203" s="186"/>
      <c r="Z203" s="186"/>
      <c r="AA203" s="186"/>
    </row>
    <row r="204" spans="1:29" ht="22.75" thickBot="1" x14ac:dyDescent="0.3">
      <c r="A204" s="271"/>
      <c r="B204" s="63"/>
      <c r="C204" s="64"/>
      <c r="D204" s="65"/>
      <c r="E204" s="88" t="s">
        <v>194</v>
      </c>
      <c r="F204" s="66">
        <f t="shared" ref="F204:N204" si="64">IF(((F202="")*AND(F203="")),"",(F202-F203)*3)</f>
        <v>4905.5400000000009</v>
      </c>
      <c r="G204" s="66">
        <f t="shared" si="64"/>
        <v>4330.1100000000079</v>
      </c>
      <c r="H204" s="66">
        <f t="shared" si="64"/>
        <v>4190.7000000000044</v>
      </c>
      <c r="I204" s="66">
        <f t="shared" si="64"/>
        <v>4247.3700000000026</v>
      </c>
      <c r="J204" s="66">
        <f t="shared" si="64"/>
        <v>4819.5900000000074</v>
      </c>
      <c r="K204" s="66">
        <f t="shared" si="64"/>
        <v>4857.8700000000026</v>
      </c>
      <c r="L204" s="66">
        <f t="shared" si="64"/>
        <v>4293.5400000000009</v>
      </c>
      <c r="M204" s="66">
        <f t="shared" si="64"/>
        <v>4313.6399999999921</v>
      </c>
      <c r="N204" s="66">
        <f t="shared" si="64"/>
        <v>4899.2399999999943</v>
      </c>
      <c r="O204" s="67"/>
      <c r="P204" s="67"/>
      <c r="Q204" s="68"/>
      <c r="R204" s="68"/>
      <c r="S204" s="181"/>
      <c r="T204" s="187"/>
      <c r="U204" s="188"/>
      <c r="V204" s="246"/>
      <c r="W204" s="33"/>
      <c r="X204" s="186"/>
      <c r="Y204" s="186"/>
      <c r="Z204" s="186"/>
      <c r="AA204" s="186"/>
    </row>
    <row r="205" spans="1:29" x14ac:dyDescent="0.25">
      <c r="A205" s="282">
        <v>43208</v>
      </c>
      <c r="B205" s="69" t="s">
        <v>177</v>
      </c>
      <c r="C205" s="59" t="s">
        <v>179</v>
      </c>
      <c r="D205" s="70" t="s">
        <v>178</v>
      </c>
      <c r="E205" s="67" t="s">
        <v>192</v>
      </c>
      <c r="F205" s="198">
        <v>3043.9</v>
      </c>
      <c r="G205" s="198">
        <v>2927.89</v>
      </c>
      <c r="H205" s="198">
        <v>3027.23</v>
      </c>
      <c r="I205" s="198">
        <v>3047.56</v>
      </c>
      <c r="J205" s="198">
        <v>3251.96</v>
      </c>
      <c r="K205" s="198">
        <v>3166.29</v>
      </c>
      <c r="L205" s="198">
        <v>3011.57</v>
      </c>
      <c r="M205" s="198">
        <v>3010.15</v>
      </c>
      <c r="N205" s="198">
        <v>3125.35</v>
      </c>
      <c r="O205" s="61">
        <f>IF((N206=""),"",MAX(F207:N207))</f>
        <v>3992.84</v>
      </c>
      <c r="P205" s="61">
        <f>IF(N206="","",MIN(F207:N207))</f>
        <v>3691.46</v>
      </c>
      <c r="Q205" s="62">
        <f>IF((N207=""),"",AVERAGE(F207:N207))</f>
        <v>3906.1199999999994</v>
      </c>
      <c r="R205" s="62">
        <f>IF((N206=""),"",(O205-P205)/(O205+P205)*100)</f>
        <v>3.9220228257616196</v>
      </c>
      <c r="S205" s="181">
        <f>STDEV(F207:N207)</f>
        <v>95.496132905997797</v>
      </c>
      <c r="T205" s="182" t="str">
        <f>IF(N206="","",IF(Q205&gt;3650,IF(R205&lt;7,IF(Q205&lt;4450,"Pass","Fail"),"Fail"),"Fail"))</f>
        <v>Pass</v>
      </c>
      <c r="U205" s="185">
        <v>74</v>
      </c>
      <c r="V205" s="246"/>
      <c r="W205" s="33"/>
      <c r="X205" s="184">
        <v>3650</v>
      </c>
      <c r="Y205" s="184">
        <v>4450</v>
      </c>
      <c r="Z205" s="184">
        <v>3700</v>
      </c>
      <c r="AA205" s="184">
        <v>4100</v>
      </c>
      <c r="AB205" s="57">
        <v>6.5</v>
      </c>
      <c r="AC205" s="57">
        <v>7</v>
      </c>
    </row>
    <row r="206" spans="1:29" x14ac:dyDescent="0.25">
      <c r="A206" s="281"/>
      <c r="B206" s="69"/>
      <c r="C206" s="59"/>
      <c r="D206" s="60"/>
      <c r="E206" s="88" t="s">
        <v>193</v>
      </c>
      <c r="F206" s="198">
        <v>1123.8599999999999</v>
      </c>
      <c r="G206" s="198">
        <v>951.13</v>
      </c>
      <c r="H206" s="198">
        <v>1040.49</v>
      </c>
      <c r="I206" s="198">
        <v>1067.99</v>
      </c>
      <c r="J206" s="198">
        <v>1323.69</v>
      </c>
      <c r="K206" s="198">
        <v>1320.56</v>
      </c>
      <c r="L206" s="198">
        <v>1036.5899999999999</v>
      </c>
      <c r="M206" s="198">
        <v>1013.73</v>
      </c>
      <c r="N206" s="198">
        <v>1156.32</v>
      </c>
      <c r="O206" s="61"/>
      <c r="P206" s="61"/>
      <c r="Q206" s="62"/>
      <c r="R206" s="62"/>
      <c r="S206" s="181"/>
      <c r="T206" s="182"/>
      <c r="U206" s="190"/>
      <c r="V206" s="247"/>
      <c r="W206" s="33"/>
      <c r="X206" s="186"/>
      <c r="Y206" s="186"/>
      <c r="Z206" s="186"/>
      <c r="AA206" s="186"/>
    </row>
    <row r="207" spans="1:29" ht="22.15" x14ac:dyDescent="0.25">
      <c r="A207" s="271"/>
      <c r="B207" s="69"/>
      <c r="C207" s="59"/>
      <c r="D207" s="60"/>
      <c r="E207" s="74" t="s">
        <v>194</v>
      </c>
      <c r="F207" s="71">
        <f t="shared" ref="F207:N207" si="65">IF(((F205="")*AND(F206="")),"",(F205-F206)*2)</f>
        <v>3840.0800000000004</v>
      </c>
      <c r="G207" s="71">
        <f t="shared" si="65"/>
        <v>3953.5199999999995</v>
      </c>
      <c r="H207" s="71">
        <f t="shared" si="65"/>
        <v>3973.48</v>
      </c>
      <c r="I207" s="71">
        <f t="shared" si="65"/>
        <v>3959.14</v>
      </c>
      <c r="J207" s="71">
        <f t="shared" si="65"/>
        <v>3856.54</v>
      </c>
      <c r="K207" s="71">
        <f t="shared" si="65"/>
        <v>3691.46</v>
      </c>
      <c r="L207" s="71">
        <f t="shared" si="65"/>
        <v>3949.9600000000005</v>
      </c>
      <c r="M207" s="71">
        <f t="shared" si="65"/>
        <v>3992.84</v>
      </c>
      <c r="N207" s="71">
        <f t="shared" si="65"/>
        <v>3938.06</v>
      </c>
      <c r="O207" s="61"/>
      <c r="P207" s="61"/>
      <c r="Q207" s="62"/>
      <c r="R207" s="62"/>
      <c r="S207" s="181"/>
      <c r="T207" s="187"/>
      <c r="U207" s="203"/>
      <c r="V207" s="247"/>
      <c r="W207" s="33"/>
      <c r="X207" s="186"/>
      <c r="Y207" s="186"/>
      <c r="Z207" s="186"/>
      <c r="AA207" s="186"/>
    </row>
    <row r="208" spans="1:29" x14ac:dyDescent="0.25">
      <c r="A208" s="281">
        <v>43208</v>
      </c>
      <c r="B208" s="72" t="s">
        <v>172</v>
      </c>
      <c r="C208" s="73" t="s">
        <v>174</v>
      </c>
      <c r="D208" s="72" t="s">
        <v>195</v>
      </c>
      <c r="E208" s="88" t="s">
        <v>192</v>
      </c>
      <c r="F208" s="198">
        <v>1279.25</v>
      </c>
      <c r="G208" s="198">
        <v>1251.8800000000001</v>
      </c>
      <c r="H208" s="198">
        <v>1247.6500000000001</v>
      </c>
      <c r="I208" s="198">
        <v>1251.77</v>
      </c>
      <c r="J208" s="198">
        <v>1304.1400000000001</v>
      </c>
      <c r="K208" s="198">
        <v>1289.47</v>
      </c>
      <c r="L208" s="198">
        <v>1251.22</v>
      </c>
      <c r="M208" s="198">
        <v>1253.1300000000001</v>
      </c>
      <c r="N208" s="198">
        <v>1289.9000000000001</v>
      </c>
      <c r="O208" s="74">
        <f>IF((N209=""),"",MAX(F210:N210))</f>
        <v>2120.1900000000005</v>
      </c>
      <c r="P208" s="74">
        <f>IF(N209="","",MIN(F210:N210))</f>
        <v>1961.7300000000002</v>
      </c>
      <c r="Q208" s="75">
        <f>IF((N210=""),"",AVERAGE(F210:N210))</f>
        <v>2062.0033333333336</v>
      </c>
      <c r="R208" s="75">
        <f>IF((N209=""),"",(O208-P208)/(O208+P208)*100)</f>
        <v>3.881996707431802</v>
      </c>
      <c r="S208" s="181">
        <f>STDEV(F210:N210)</f>
        <v>57.155186991208453</v>
      </c>
      <c r="T208" s="182" t="str">
        <f>IF(N209="","",IF(Q208&gt;1940,IF(R208&lt;8.3,IF(Q208&lt;2180,"Pass","Fail"),"Fail"),"Fail"))</f>
        <v>Pass</v>
      </c>
      <c r="U208" s="185">
        <v>74</v>
      </c>
      <c r="V208" s="246"/>
      <c r="W208" s="33"/>
      <c r="X208" s="184">
        <v>2000</v>
      </c>
      <c r="Y208" s="184">
        <v>3000</v>
      </c>
      <c r="Z208" s="184">
        <v>1940</v>
      </c>
      <c r="AA208" s="184">
        <v>2180</v>
      </c>
      <c r="AB208" s="57">
        <v>5.2</v>
      </c>
    </row>
    <row r="209" spans="1:29" x14ac:dyDescent="0.25">
      <c r="A209" s="281"/>
      <c r="B209" s="58"/>
      <c r="C209" s="59"/>
      <c r="D209" s="60"/>
      <c r="E209" s="88" t="s">
        <v>193</v>
      </c>
      <c r="F209" s="198">
        <v>597.71</v>
      </c>
      <c r="G209" s="198">
        <v>545.15</v>
      </c>
      <c r="H209" s="198">
        <v>548.24</v>
      </c>
      <c r="I209" s="198">
        <v>553.41999999999996</v>
      </c>
      <c r="J209" s="198">
        <v>650.23</v>
      </c>
      <c r="K209" s="198">
        <v>613.79999999999995</v>
      </c>
      <c r="L209" s="198">
        <v>552.54</v>
      </c>
      <c r="M209" s="198">
        <v>546.77</v>
      </c>
      <c r="N209" s="198">
        <v>624.54</v>
      </c>
      <c r="O209" s="61"/>
      <c r="P209" s="61"/>
      <c r="Q209" s="62"/>
      <c r="R209" s="62"/>
      <c r="S209" s="181"/>
      <c r="T209" s="182"/>
      <c r="U209" s="185"/>
      <c r="V209" s="246"/>
      <c r="W209" s="33"/>
      <c r="X209" s="186"/>
      <c r="Y209" s="186"/>
      <c r="Z209" s="186"/>
      <c r="AA209" s="186"/>
    </row>
    <row r="210" spans="1:29" ht="13.3" thickBot="1" x14ac:dyDescent="0.3">
      <c r="A210" s="283"/>
      <c r="B210" s="76"/>
      <c r="C210" s="77"/>
      <c r="D210" s="78"/>
      <c r="E210" s="92" t="s">
        <v>196</v>
      </c>
      <c r="F210" s="79">
        <f t="shared" ref="F210:N210" si="66">IF(((F208="")*AND(F209="")),"",(F208-F209)*3)</f>
        <v>2044.62</v>
      </c>
      <c r="G210" s="79">
        <f t="shared" si="66"/>
        <v>2120.1900000000005</v>
      </c>
      <c r="H210" s="79">
        <f t="shared" si="66"/>
        <v>2098.2300000000005</v>
      </c>
      <c r="I210" s="79">
        <f t="shared" si="66"/>
        <v>2095.0500000000002</v>
      </c>
      <c r="J210" s="79">
        <f t="shared" si="66"/>
        <v>1961.7300000000002</v>
      </c>
      <c r="K210" s="79">
        <f t="shared" si="66"/>
        <v>2027.0100000000002</v>
      </c>
      <c r="L210" s="79">
        <f t="shared" si="66"/>
        <v>2096.04</v>
      </c>
      <c r="M210" s="79">
        <f t="shared" si="66"/>
        <v>2119.0800000000004</v>
      </c>
      <c r="N210" s="79">
        <f t="shared" si="66"/>
        <v>1996.0800000000004</v>
      </c>
      <c r="O210" s="80"/>
      <c r="P210" s="80"/>
      <c r="Q210" s="81"/>
      <c r="R210" s="81"/>
      <c r="S210" s="204"/>
      <c r="T210" s="192"/>
      <c r="U210" s="193"/>
      <c r="V210" s="246"/>
      <c r="W210" s="33"/>
      <c r="X210" s="186"/>
      <c r="Y210" s="186"/>
      <c r="Z210" s="186"/>
      <c r="AA210" s="186"/>
    </row>
    <row r="211" spans="1:29" ht="12.75" customHeight="1" x14ac:dyDescent="0.25">
      <c r="A211" s="281">
        <v>43215</v>
      </c>
      <c r="B211" s="58" t="s">
        <v>191</v>
      </c>
      <c r="C211" s="59" t="s">
        <v>176</v>
      </c>
      <c r="D211" s="60" t="s">
        <v>175</v>
      </c>
      <c r="E211" s="67" t="s">
        <v>192</v>
      </c>
      <c r="F211" s="33">
        <v>24445.45</v>
      </c>
      <c r="G211" s="33">
        <v>24800.19</v>
      </c>
      <c r="H211" s="33">
        <v>24973.75</v>
      </c>
      <c r="I211" s="33">
        <v>24849.72</v>
      </c>
      <c r="J211" s="33">
        <v>24494.51</v>
      </c>
      <c r="K211" s="33">
        <v>24521.09</v>
      </c>
      <c r="L211" s="33">
        <v>24837.73</v>
      </c>
      <c r="M211" s="33">
        <v>24788.61</v>
      </c>
      <c r="N211" s="33">
        <v>24368.02</v>
      </c>
      <c r="O211" s="61">
        <f>IF((N212=""),"",MAX(F213:N213))</f>
        <v>5072.3399999999965</v>
      </c>
      <c r="P211" s="61">
        <f>IF(N212="","",MIN(F213:N213))</f>
        <v>4341.5699999999961</v>
      </c>
      <c r="Q211" s="62">
        <f>IF((N213=""),"",AVERAGE(F213:N213))</f>
        <v>4672.8466666666664</v>
      </c>
      <c r="R211" s="62">
        <f>IF((N212=""),"",(O211-P211)/(O211+P211)*100)</f>
        <v>7.7626618482649716</v>
      </c>
      <c r="S211" s="181">
        <f>STDEV(F213:N213)</f>
        <v>310.5894404193412</v>
      </c>
      <c r="T211" s="182" t="str">
        <f>IF(N212="","",IF(R211&lt;16,IF(Q211&gt;3200,IF(R211,IF(Q211&lt;5240,"Pass","Fail"),"Fail"),"Fail")))</f>
        <v>Pass</v>
      </c>
      <c r="U211" s="185">
        <v>121</v>
      </c>
      <c r="V211" s="246"/>
      <c r="W211" s="33" t="s">
        <v>198</v>
      </c>
      <c r="X211" s="184">
        <v>4200</v>
      </c>
      <c r="Y211" s="184">
        <v>5500</v>
      </c>
      <c r="Z211" s="184">
        <v>3200</v>
      </c>
      <c r="AA211" s="184">
        <v>5240</v>
      </c>
      <c r="AB211" s="57">
        <v>16</v>
      </c>
    </row>
    <row r="212" spans="1:29" ht="12.75" customHeight="1" x14ac:dyDescent="0.25">
      <c r="A212" s="281"/>
      <c r="B212" s="58"/>
      <c r="C212" s="59"/>
      <c r="D212" s="60"/>
      <c r="E212" s="88" t="s">
        <v>193</v>
      </c>
      <c r="F212" s="33">
        <v>22801.19</v>
      </c>
      <c r="G212" s="33">
        <v>23336.3</v>
      </c>
      <c r="H212" s="33">
        <v>23526.560000000001</v>
      </c>
      <c r="I212" s="33">
        <v>23364.21</v>
      </c>
      <c r="J212" s="33">
        <v>22816.68</v>
      </c>
      <c r="K212" s="33">
        <v>22873.65</v>
      </c>
      <c r="L212" s="33">
        <v>23359.63</v>
      </c>
      <c r="M212" s="33">
        <v>23305.07</v>
      </c>
      <c r="N212" s="33">
        <v>22677.24</v>
      </c>
      <c r="O212" s="61"/>
      <c r="P212" s="61"/>
      <c r="Q212" s="62"/>
      <c r="R212" s="62"/>
      <c r="S212" s="181"/>
      <c r="T212" s="182"/>
      <c r="U212" s="185"/>
      <c r="V212" s="246"/>
      <c r="W212" s="33"/>
      <c r="X212" s="186"/>
      <c r="Y212" s="186"/>
      <c r="Z212" s="186"/>
      <c r="AA212" s="186"/>
    </row>
    <row r="213" spans="1:29" ht="22.75" thickBot="1" x14ac:dyDescent="0.3">
      <c r="A213" s="281"/>
      <c r="B213" s="63"/>
      <c r="C213" s="64"/>
      <c r="D213" s="65"/>
      <c r="E213" s="88" t="s">
        <v>194</v>
      </c>
      <c r="F213" s="66">
        <f t="shared" ref="F213:N213" si="67">IF(((F211="")*AND(F212="")),"",(F211-F212)*3)</f>
        <v>4932.7800000000061</v>
      </c>
      <c r="G213" s="66">
        <f t="shared" si="67"/>
        <v>4391.6699999999983</v>
      </c>
      <c r="H213" s="66">
        <f t="shared" si="67"/>
        <v>4341.5699999999961</v>
      </c>
      <c r="I213" s="66">
        <f t="shared" si="67"/>
        <v>4456.5300000000061</v>
      </c>
      <c r="J213" s="66">
        <f t="shared" si="67"/>
        <v>5033.4899999999943</v>
      </c>
      <c r="K213" s="66">
        <f t="shared" si="67"/>
        <v>4942.3199999999961</v>
      </c>
      <c r="L213" s="66">
        <f t="shared" si="67"/>
        <v>4434.2999999999956</v>
      </c>
      <c r="M213" s="66">
        <f t="shared" si="67"/>
        <v>4450.6200000000026</v>
      </c>
      <c r="N213" s="66">
        <f t="shared" si="67"/>
        <v>5072.3399999999965</v>
      </c>
      <c r="O213" s="67"/>
      <c r="P213" s="67"/>
      <c r="Q213" s="68"/>
      <c r="R213" s="68"/>
      <c r="S213" s="181"/>
      <c r="T213" s="187"/>
      <c r="U213" s="188"/>
      <c r="V213" s="246"/>
      <c r="W213" s="33"/>
      <c r="X213" s="186"/>
      <c r="Y213" s="186"/>
      <c r="Z213" s="186"/>
      <c r="AA213" s="186"/>
    </row>
    <row r="214" spans="1:29" ht="12.75" customHeight="1" x14ac:dyDescent="0.25">
      <c r="A214" s="282">
        <v>43215</v>
      </c>
      <c r="B214" s="69" t="s">
        <v>177</v>
      </c>
      <c r="C214" s="59" t="s">
        <v>179</v>
      </c>
      <c r="D214" s="70" t="s">
        <v>178</v>
      </c>
      <c r="E214" s="67" t="s">
        <v>192</v>
      </c>
      <c r="F214" s="33">
        <v>6818.35</v>
      </c>
      <c r="G214" s="33">
        <v>6711.59</v>
      </c>
      <c r="H214" s="33">
        <v>6816.14</v>
      </c>
      <c r="I214" s="33">
        <v>6820.52</v>
      </c>
      <c r="J214" s="33">
        <v>7000</v>
      </c>
      <c r="K214" s="33">
        <v>6902.34</v>
      </c>
      <c r="L214" s="33">
        <v>6787.37</v>
      </c>
      <c r="M214" s="33">
        <v>6806.13</v>
      </c>
      <c r="N214" s="33">
        <v>6923.55</v>
      </c>
      <c r="O214" s="61">
        <f>IF((N215=""),"",MAX(F216:N216))</f>
        <v>4007.0599999999995</v>
      </c>
      <c r="P214" s="61">
        <f>IF(N215="","",MIN(F216:N216))</f>
        <v>3733.8000000000011</v>
      </c>
      <c r="Q214" s="62">
        <f>IF((N216=""),"",AVERAGE(F216:N216))</f>
        <v>3923.4066666666672</v>
      </c>
      <c r="R214" s="62">
        <f>IF((N215=""),"",(O214-P214)/(O214+P214)*100)</f>
        <v>3.5300987228808993</v>
      </c>
      <c r="S214" s="181">
        <f>STDEV(F216:N216)</f>
        <v>91.060989452124574</v>
      </c>
      <c r="T214" s="182" t="str">
        <f>IF(N215="","",IF(Q214&gt;3650,IF(R214&lt;7,IF(Q214&lt;4450,"Pass","Fail"),"Fail"),"Fail"))</f>
        <v>Pass</v>
      </c>
      <c r="U214" s="183">
        <v>121</v>
      </c>
      <c r="V214" s="246"/>
      <c r="W214" s="33" t="s">
        <v>198</v>
      </c>
      <c r="X214" s="184">
        <v>3650</v>
      </c>
      <c r="Y214" s="184">
        <v>4450</v>
      </c>
      <c r="Z214" s="184">
        <v>3700</v>
      </c>
      <c r="AA214" s="184">
        <v>4100</v>
      </c>
      <c r="AB214" s="57">
        <v>6.5</v>
      </c>
      <c r="AC214" s="57">
        <v>7</v>
      </c>
    </row>
    <row r="215" spans="1:29" ht="12.75" customHeight="1" x14ac:dyDescent="0.25">
      <c r="A215" s="281"/>
      <c r="B215" s="69"/>
      <c r="C215" s="59"/>
      <c r="D215" s="60"/>
      <c r="E215" s="88" t="s">
        <v>193</v>
      </c>
      <c r="F215" s="33">
        <v>4882.7700000000004</v>
      </c>
      <c r="G215" s="33">
        <v>4731.0200000000004</v>
      </c>
      <c r="H215" s="33">
        <v>4820.93</v>
      </c>
      <c r="I215" s="33">
        <v>4830.8900000000003</v>
      </c>
      <c r="J215" s="33">
        <v>5082.7</v>
      </c>
      <c r="K215" s="33">
        <v>5035.4399999999996</v>
      </c>
      <c r="L215" s="33">
        <v>4804.83</v>
      </c>
      <c r="M215" s="33">
        <v>4802.6000000000004</v>
      </c>
      <c r="N215" s="33">
        <v>4939.4799999999996</v>
      </c>
      <c r="O215" s="61"/>
      <c r="P215" s="61"/>
      <c r="Q215" s="62"/>
      <c r="R215" s="62"/>
      <c r="S215" s="181"/>
      <c r="T215" s="182"/>
      <c r="U215" s="190"/>
      <c r="V215" s="247"/>
      <c r="W215" s="33"/>
      <c r="X215" s="186"/>
      <c r="Y215" s="186"/>
      <c r="Z215" s="186"/>
      <c r="AA215" s="186"/>
    </row>
    <row r="216" spans="1:29" ht="22.75" thickBot="1" x14ac:dyDescent="0.3">
      <c r="A216" s="281"/>
      <c r="B216" s="69"/>
      <c r="C216" s="59"/>
      <c r="D216" s="60"/>
      <c r="E216" s="74" t="s">
        <v>194</v>
      </c>
      <c r="F216" s="71">
        <f t="shared" ref="F216:N216" si="68">IF(((F214="")*AND(F215="")),"",(F214-F215)*2)</f>
        <v>3871.16</v>
      </c>
      <c r="G216" s="71">
        <f t="shared" si="68"/>
        <v>3961.1399999999994</v>
      </c>
      <c r="H216" s="71">
        <f t="shared" si="68"/>
        <v>3990.42</v>
      </c>
      <c r="I216" s="71">
        <f t="shared" si="68"/>
        <v>3979.26</v>
      </c>
      <c r="J216" s="71">
        <f t="shared" si="68"/>
        <v>3834.6000000000004</v>
      </c>
      <c r="K216" s="71">
        <f t="shared" si="68"/>
        <v>3733.8000000000011</v>
      </c>
      <c r="L216" s="71">
        <f t="shared" si="68"/>
        <v>3965.08</v>
      </c>
      <c r="M216" s="71">
        <f t="shared" si="68"/>
        <v>4007.0599999999995</v>
      </c>
      <c r="N216" s="71">
        <f t="shared" si="68"/>
        <v>3968.1400000000012</v>
      </c>
      <c r="O216" s="61"/>
      <c r="P216" s="61"/>
      <c r="Q216" s="62"/>
      <c r="R216" s="62"/>
      <c r="S216" s="181"/>
      <c r="T216" s="182"/>
      <c r="U216" s="190"/>
      <c r="V216" s="247"/>
      <c r="W216" s="33"/>
      <c r="X216" s="186"/>
      <c r="Y216" s="186"/>
      <c r="Z216" s="186"/>
      <c r="AA216" s="186"/>
    </row>
    <row r="217" spans="1:29" ht="12.75" customHeight="1" x14ac:dyDescent="0.25">
      <c r="A217" s="282">
        <v>43215</v>
      </c>
      <c r="B217" s="72" t="s">
        <v>172</v>
      </c>
      <c r="C217" s="73" t="s">
        <v>174</v>
      </c>
      <c r="D217" s="72" t="s">
        <v>195</v>
      </c>
      <c r="E217" s="88" t="s">
        <v>192</v>
      </c>
      <c r="F217" s="33">
        <v>1953.17</v>
      </c>
      <c r="G217" s="33">
        <v>1961.87</v>
      </c>
      <c r="H217" s="33">
        <v>1968.17</v>
      </c>
      <c r="I217" s="33">
        <v>1965.54</v>
      </c>
      <c r="J217" s="33">
        <v>1960.68</v>
      </c>
      <c r="K217" s="33">
        <v>1959.03</v>
      </c>
      <c r="L217" s="33">
        <v>1960.99</v>
      </c>
      <c r="M217" s="33">
        <v>1964.59</v>
      </c>
      <c r="N217" s="33">
        <v>1956.12</v>
      </c>
      <c r="O217" s="74">
        <f>IF((N218=""),"",MAX(F219:N219))</f>
        <v>2170.7699999999995</v>
      </c>
      <c r="P217" s="74">
        <f>IF(N218="","",MIN(F219:N219))</f>
        <v>2024.5200000000004</v>
      </c>
      <c r="Q217" s="75">
        <f>IF((N219=""),"",AVERAGE(F219:N219))</f>
        <v>2114.6733333333332</v>
      </c>
      <c r="R217" s="75">
        <f>IF((N218=""),"",(O217-P217)/(O217+P217)*100)</f>
        <v>3.4860522156990119</v>
      </c>
      <c r="S217" s="181">
        <f>STDEV(F219:N219)</f>
        <v>53.788043281011582</v>
      </c>
      <c r="T217" s="191" t="str">
        <f>IF(N218="","",IF(Q217&gt;1940,IF(R217&lt;8.3,IF(Q217&lt;2180,"Pass","Fail"),"Fail"),"Fail"))</f>
        <v>Pass</v>
      </c>
      <c r="U217" s="183">
        <v>121</v>
      </c>
      <c r="V217" s="246"/>
      <c r="W217" s="33" t="s">
        <v>198</v>
      </c>
      <c r="X217" s="184">
        <v>2000</v>
      </c>
      <c r="Y217" s="184">
        <v>3000</v>
      </c>
      <c r="Z217" s="184">
        <v>1940</v>
      </c>
      <c r="AA217" s="184">
        <v>2180</v>
      </c>
      <c r="AB217" s="57">
        <v>5.2</v>
      </c>
    </row>
    <row r="218" spans="1:29" ht="12.75" customHeight="1" x14ac:dyDescent="0.25">
      <c r="A218" s="281"/>
      <c r="B218" s="58"/>
      <c r="C218" s="59"/>
      <c r="D218" s="60"/>
      <c r="E218" s="88" t="s">
        <v>193</v>
      </c>
      <c r="F218" s="33">
        <v>1259.8900000000001</v>
      </c>
      <c r="G218" s="33">
        <v>1243.1300000000001</v>
      </c>
      <c r="H218" s="33">
        <v>1247.4000000000001</v>
      </c>
      <c r="I218" s="33">
        <v>1247.23</v>
      </c>
      <c r="J218" s="33">
        <v>1285.8399999999999</v>
      </c>
      <c r="K218" s="33">
        <v>1267.04</v>
      </c>
      <c r="L218" s="33">
        <v>1246.19</v>
      </c>
      <c r="M218" s="33">
        <v>1241</v>
      </c>
      <c r="N218" s="33">
        <v>1268.42</v>
      </c>
      <c r="O218" s="61"/>
      <c r="P218" s="61"/>
      <c r="Q218" s="62"/>
      <c r="R218" s="62"/>
      <c r="S218" s="181"/>
      <c r="T218" s="182"/>
      <c r="U218" s="185"/>
      <c r="V218" s="246"/>
      <c r="W218" s="33"/>
      <c r="X218" s="186"/>
      <c r="Y218" s="186"/>
      <c r="Z218" s="186"/>
      <c r="AA218" s="186"/>
    </row>
    <row r="219" spans="1:29" ht="13.3" thickBot="1" x14ac:dyDescent="0.3">
      <c r="A219" s="283"/>
      <c r="B219" s="76"/>
      <c r="C219" s="77"/>
      <c r="D219" s="78"/>
      <c r="E219" s="92" t="s">
        <v>196</v>
      </c>
      <c r="F219" s="79">
        <f t="shared" ref="F219:N219" si="69">IF(((F217="")*AND(F218="")),"",(F217-F218)*3)</f>
        <v>2079.84</v>
      </c>
      <c r="G219" s="79">
        <f t="shared" si="69"/>
        <v>2156.2199999999993</v>
      </c>
      <c r="H219" s="79">
        <f t="shared" si="69"/>
        <v>2162.31</v>
      </c>
      <c r="I219" s="79">
        <f t="shared" si="69"/>
        <v>2154.9299999999998</v>
      </c>
      <c r="J219" s="79">
        <f t="shared" si="69"/>
        <v>2024.5200000000004</v>
      </c>
      <c r="K219" s="79">
        <f t="shared" si="69"/>
        <v>2075.9700000000003</v>
      </c>
      <c r="L219" s="79">
        <f t="shared" si="69"/>
        <v>2144.3999999999996</v>
      </c>
      <c r="M219" s="79">
        <f t="shared" si="69"/>
        <v>2170.7699999999995</v>
      </c>
      <c r="N219" s="79">
        <f t="shared" si="69"/>
        <v>2063.0999999999995</v>
      </c>
      <c r="O219" s="80"/>
      <c r="P219" s="80"/>
      <c r="Q219" s="81"/>
      <c r="R219" s="81"/>
      <c r="S219" s="181"/>
      <c r="T219" s="192"/>
      <c r="U219" s="193"/>
      <c r="V219" s="246"/>
      <c r="W219" s="33"/>
      <c r="X219" s="186"/>
      <c r="Y219" s="186"/>
      <c r="Z219" s="186"/>
      <c r="AA219" s="186"/>
    </row>
    <row r="220" spans="1:29" x14ac:dyDescent="0.25">
      <c r="A220" s="194">
        <v>43220</v>
      </c>
      <c r="B220" s="52" t="s">
        <v>191</v>
      </c>
      <c r="C220" s="53" t="s">
        <v>176</v>
      </c>
      <c r="D220" s="54" t="s">
        <v>175</v>
      </c>
      <c r="E220" s="86" t="s">
        <v>192</v>
      </c>
      <c r="F220" s="33">
        <v>22737.97</v>
      </c>
      <c r="G220" s="33">
        <v>23274.84</v>
      </c>
      <c r="H220" s="33">
        <v>23468.9</v>
      </c>
      <c r="I220" s="33">
        <v>23308.87</v>
      </c>
      <c r="J220" s="33">
        <v>22755.88</v>
      </c>
      <c r="K220" s="33">
        <v>22820.27</v>
      </c>
      <c r="L220" s="33">
        <v>23307.96</v>
      </c>
      <c r="M220" s="33">
        <v>23251.09</v>
      </c>
      <c r="N220" s="33">
        <v>22613.599999999999</v>
      </c>
      <c r="O220" s="55">
        <f>IF((N221=""),"",MAX(F222:N222))</f>
        <v>4553.9100000000035</v>
      </c>
      <c r="P220" s="55">
        <f>IF(N221="","",MIN(F222:N222))</f>
        <v>3812.7600000000057</v>
      </c>
      <c r="Q220" s="56">
        <f>IF((N222=""),"",AVERAGE(F222:N222))</f>
        <v>4174.2400000000016</v>
      </c>
      <c r="R220" s="56">
        <f>IF((N221=""),"",(O220-P220)/(O220+P220)*100)</f>
        <v>8.8583630046362174</v>
      </c>
      <c r="S220" s="181">
        <f>STDEV(F222:N222)</f>
        <v>296.78276411375452</v>
      </c>
      <c r="T220" s="182" t="str">
        <f>IF(N221="","",IF(R220&lt;16,IF(Q220&gt;3200,IF(R220,IF(Q220&lt;5240,"Pass","Fail"),"Fail"),"Fail")))</f>
        <v>Pass</v>
      </c>
      <c r="U220" s="183"/>
      <c r="V220" s="246"/>
      <c r="W220" s="33"/>
      <c r="X220" s="184">
        <v>4200</v>
      </c>
      <c r="Y220" s="184">
        <v>5500</v>
      </c>
      <c r="Z220" s="184">
        <v>3200</v>
      </c>
      <c r="AA220" s="184">
        <v>5240</v>
      </c>
      <c r="AB220" s="57">
        <v>16</v>
      </c>
    </row>
    <row r="221" spans="1:29" x14ac:dyDescent="0.25">
      <c r="A221" s="195"/>
      <c r="B221" s="58"/>
      <c r="C221" s="59"/>
      <c r="D221" s="60"/>
      <c r="E221" s="88" t="s">
        <v>193</v>
      </c>
      <c r="F221" s="33">
        <v>21277.71</v>
      </c>
      <c r="G221" s="33">
        <v>21963.78</v>
      </c>
      <c r="H221" s="33">
        <v>22197.98</v>
      </c>
      <c r="I221" s="33">
        <v>21980.240000000002</v>
      </c>
      <c r="J221" s="33">
        <v>21237.91</v>
      </c>
      <c r="K221" s="33">
        <v>21345.94</v>
      </c>
      <c r="L221" s="33">
        <v>21994.27</v>
      </c>
      <c r="M221" s="33">
        <v>21922.28</v>
      </c>
      <c r="N221" s="33">
        <v>21096.55</v>
      </c>
      <c r="O221" s="61"/>
      <c r="P221" s="61"/>
      <c r="Q221" s="62"/>
      <c r="R221" s="62"/>
      <c r="S221" s="181"/>
      <c r="T221" s="182"/>
      <c r="U221" s="185"/>
      <c r="V221" s="246"/>
      <c r="W221" s="33"/>
      <c r="X221" s="186"/>
      <c r="Y221" s="186"/>
      <c r="Z221" s="186"/>
      <c r="AA221" s="186"/>
    </row>
    <row r="222" spans="1:29" ht="22.75" thickBot="1" x14ac:dyDescent="0.3">
      <c r="A222" s="196"/>
      <c r="B222" s="63"/>
      <c r="C222" s="64"/>
      <c r="D222" s="65"/>
      <c r="E222" s="88" t="s">
        <v>194</v>
      </c>
      <c r="F222" s="66">
        <f t="shared" ref="F222:N222" si="70">IF(((F220="")*AND(F221="")),"",(F220-F221)*3)</f>
        <v>4380.7800000000061</v>
      </c>
      <c r="G222" s="66">
        <f t="shared" si="70"/>
        <v>3933.1800000000039</v>
      </c>
      <c r="H222" s="66">
        <f t="shared" si="70"/>
        <v>3812.7600000000057</v>
      </c>
      <c r="I222" s="66">
        <f t="shared" si="70"/>
        <v>3985.8899999999921</v>
      </c>
      <c r="J222" s="66">
        <f t="shared" si="70"/>
        <v>4553.9100000000035</v>
      </c>
      <c r="K222" s="66">
        <f t="shared" si="70"/>
        <v>4422.9900000000052</v>
      </c>
      <c r="L222" s="66">
        <f t="shared" si="70"/>
        <v>3941.0699999999961</v>
      </c>
      <c r="M222" s="66">
        <f t="shared" si="70"/>
        <v>3986.4300000000039</v>
      </c>
      <c r="N222" s="66">
        <f t="shared" si="70"/>
        <v>4551.1499999999978</v>
      </c>
      <c r="O222" s="67"/>
      <c r="P222" s="67"/>
      <c r="Q222" s="68"/>
      <c r="R222" s="68"/>
      <c r="S222" s="181"/>
      <c r="T222" s="187"/>
      <c r="U222" s="188"/>
      <c r="V222" s="246"/>
      <c r="W222" s="33"/>
      <c r="X222" s="186"/>
      <c r="Y222" s="186"/>
      <c r="Z222" s="186"/>
      <c r="AA222" s="186"/>
    </row>
    <row r="223" spans="1:29" x14ac:dyDescent="0.25">
      <c r="A223" s="194">
        <v>43220</v>
      </c>
      <c r="B223" s="69" t="s">
        <v>177</v>
      </c>
      <c r="C223" s="59" t="s">
        <v>179</v>
      </c>
      <c r="D223" s="70" t="s">
        <v>178</v>
      </c>
      <c r="E223" s="67" t="s">
        <v>192</v>
      </c>
      <c r="F223" s="33">
        <v>6674.81</v>
      </c>
      <c r="G223" s="33">
        <v>6695.13</v>
      </c>
      <c r="H223" s="33">
        <v>6763.6</v>
      </c>
      <c r="I223" s="33">
        <v>6743.99</v>
      </c>
      <c r="J223" s="33">
        <v>6820.87</v>
      </c>
      <c r="K223" s="33">
        <v>6722.84</v>
      </c>
      <c r="L223" s="33">
        <v>6742.74</v>
      </c>
      <c r="M223" s="33">
        <v>6738.08</v>
      </c>
      <c r="N223" s="33">
        <v>6788.84</v>
      </c>
      <c r="O223" s="61">
        <f>IF((N224=""),"",MAX(F225:N225))</f>
        <v>3988.2800000000007</v>
      </c>
      <c r="P223" s="61">
        <f>IF(N224="","",MIN(F225:N225))</f>
        <v>3749.24</v>
      </c>
      <c r="Q223" s="62">
        <f>IF((N225=""),"",AVERAGE(F225:N225))</f>
        <v>3923.5422222222228</v>
      </c>
      <c r="R223" s="62">
        <f>IF((N224=""),"",(O223-P223)/(O223+P223)*100)</f>
        <v>3.0893619661080147</v>
      </c>
      <c r="S223" s="181">
        <f>STDEV(F225:N225)</f>
        <v>79.444793060618181</v>
      </c>
      <c r="T223" s="182" t="str">
        <f>IF(N224="","",IF(Q223&gt;3650,IF(R223&lt;7,IF(Q223&lt;4450,"Pass","Fail"),"Fail"),"Fail"))</f>
        <v>Pass</v>
      </c>
      <c r="U223" s="183"/>
      <c r="V223" s="246"/>
      <c r="W223" s="33"/>
      <c r="X223" s="184">
        <v>3650</v>
      </c>
      <c r="Y223" s="184">
        <v>4450</v>
      </c>
      <c r="Z223" s="184">
        <v>3700</v>
      </c>
      <c r="AA223" s="184">
        <v>4100</v>
      </c>
      <c r="AB223" s="57">
        <v>6.5</v>
      </c>
      <c r="AC223" s="57">
        <v>7</v>
      </c>
    </row>
    <row r="224" spans="1:29" x14ac:dyDescent="0.25">
      <c r="A224" s="195"/>
      <c r="B224" s="69"/>
      <c r="C224" s="59"/>
      <c r="D224" s="60"/>
      <c r="E224" s="88" t="s">
        <v>193</v>
      </c>
      <c r="F224" s="33">
        <v>4749.42</v>
      </c>
      <c r="G224" s="33">
        <v>4718.3100000000004</v>
      </c>
      <c r="H224" s="33">
        <v>4771.46</v>
      </c>
      <c r="I224" s="33">
        <v>4756.41</v>
      </c>
      <c r="J224" s="33">
        <v>4873.6499999999996</v>
      </c>
      <c r="K224" s="33">
        <v>4848.22</v>
      </c>
      <c r="L224" s="33">
        <v>4759.54</v>
      </c>
      <c r="M224" s="33">
        <v>4743.9399999999996</v>
      </c>
      <c r="N224" s="33">
        <v>4814.01</v>
      </c>
      <c r="O224" s="61"/>
      <c r="P224" s="61"/>
      <c r="Q224" s="62"/>
      <c r="R224" s="62"/>
      <c r="S224" s="181"/>
      <c r="T224" s="182"/>
      <c r="U224" s="190"/>
      <c r="V224" s="247"/>
      <c r="W224" s="33"/>
      <c r="X224" s="186"/>
      <c r="Y224" s="186"/>
      <c r="Z224" s="186"/>
      <c r="AA224" s="186"/>
    </row>
    <row r="225" spans="1:29" ht="22.75" thickBot="1" x14ac:dyDescent="0.3">
      <c r="A225" s="196"/>
      <c r="B225" s="69"/>
      <c r="C225" s="59"/>
      <c r="D225" s="60"/>
      <c r="E225" s="74" t="s">
        <v>194</v>
      </c>
      <c r="F225" s="71">
        <f t="shared" ref="F225:N225" si="71">IF(((F223="")*AND(F224="")),"",(F223-F224)*2)</f>
        <v>3850.7800000000007</v>
      </c>
      <c r="G225" s="71">
        <f t="shared" si="71"/>
        <v>3953.6399999999994</v>
      </c>
      <c r="H225" s="71">
        <f t="shared" si="71"/>
        <v>3984.2800000000007</v>
      </c>
      <c r="I225" s="71">
        <f t="shared" si="71"/>
        <v>3975.16</v>
      </c>
      <c r="J225" s="71">
        <f t="shared" si="71"/>
        <v>3894.4400000000005</v>
      </c>
      <c r="K225" s="71">
        <f t="shared" si="71"/>
        <v>3749.24</v>
      </c>
      <c r="L225" s="71">
        <f t="shared" si="71"/>
        <v>3966.3999999999996</v>
      </c>
      <c r="M225" s="71">
        <f t="shared" si="71"/>
        <v>3988.2800000000007</v>
      </c>
      <c r="N225" s="71">
        <f t="shared" si="71"/>
        <v>3949.66</v>
      </c>
      <c r="O225" s="61"/>
      <c r="P225" s="61"/>
      <c r="Q225" s="62"/>
      <c r="R225" s="62"/>
      <c r="S225" s="181"/>
      <c r="T225" s="182"/>
      <c r="U225" s="190"/>
      <c r="V225" s="247"/>
      <c r="W225" s="33"/>
      <c r="X225" s="186"/>
      <c r="Y225" s="186"/>
      <c r="Z225" s="186"/>
      <c r="AA225" s="186"/>
    </row>
    <row r="226" spans="1:29" x14ac:dyDescent="0.25">
      <c r="A226" s="194">
        <v>43220</v>
      </c>
      <c r="B226" s="72" t="s">
        <v>172</v>
      </c>
      <c r="C226" s="73" t="s">
        <v>174</v>
      </c>
      <c r="D226" s="72" t="s">
        <v>195</v>
      </c>
      <c r="E226" s="88" t="s">
        <v>192</v>
      </c>
      <c r="F226" s="33">
        <v>1897.29</v>
      </c>
      <c r="G226" s="33">
        <v>1920.05</v>
      </c>
      <c r="H226" s="33">
        <v>1919.57</v>
      </c>
      <c r="I226" s="33">
        <v>1919.92</v>
      </c>
      <c r="J226" s="33">
        <v>1916</v>
      </c>
      <c r="K226" s="33">
        <v>1912.88</v>
      </c>
      <c r="L226" s="33">
        <v>1916.93</v>
      </c>
      <c r="M226" s="33">
        <v>1918.73</v>
      </c>
      <c r="N226" s="33">
        <v>1911.24</v>
      </c>
      <c r="O226" s="74">
        <f>IF((N227=""),"",MAX(F228:N228))</f>
        <v>2085.1499999999996</v>
      </c>
      <c r="P226" s="74">
        <f>IF(N227="","",MIN(F228:N228))</f>
        <v>1957.9500000000003</v>
      </c>
      <c r="Q226" s="75">
        <f>IF((N228=""),"",AVERAGE(F228:N228))</f>
        <v>2029.7066666666667</v>
      </c>
      <c r="R226" s="75">
        <f>IF((N227=""),"",(O226-P226)/(O226+P226)*100)</f>
        <v>3.1461007642650287</v>
      </c>
      <c r="S226" s="181">
        <f>STDEV(F228:N228)</f>
        <v>50.587874041117665</v>
      </c>
      <c r="T226" s="191" t="str">
        <f>IF(N227="","",IF(Q226&gt;1940,IF(R226&lt;8.3,IF(Q226&lt;2180,"Pass","Fail"),"Fail"),"Fail"))</f>
        <v>Pass</v>
      </c>
      <c r="U226" s="183"/>
      <c r="V226" s="246"/>
      <c r="W226" s="33"/>
      <c r="X226" s="184">
        <v>2000</v>
      </c>
      <c r="Y226" s="184">
        <v>3000</v>
      </c>
      <c r="Z226" s="184">
        <v>1940</v>
      </c>
      <c r="AA226" s="184">
        <v>2180</v>
      </c>
      <c r="AB226" s="57">
        <v>5.2</v>
      </c>
    </row>
    <row r="227" spans="1:29" x14ac:dyDescent="0.25">
      <c r="A227" s="195"/>
      <c r="B227" s="58"/>
      <c r="C227" s="59"/>
      <c r="D227" s="60"/>
      <c r="E227" s="88" t="s">
        <v>193</v>
      </c>
      <c r="F227" s="33">
        <v>1241.96</v>
      </c>
      <c r="G227" s="33">
        <v>1228.18</v>
      </c>
      <c r="H227" s="33">
        <v>1231.18</v>
      </c>
      <c r="I227" s="33">
        <v>1228.48</v>
      </c>
      <c r="J227" s="33">
        <v>1263.3499999999999</v>
      </c>
      <c r="K227" s="33">
        <v>1252.19</v>
      </c>
      <c r="L227" s="33">
        <v>1234.48</v>
      </c>
      <c r="M227" s="33">
        <v>1223.68</v>
      </c>
      <c r="N227" s="33">
        <v>1239.99</v>
      </c>
      <c r="O227" s="61"/>
      <c r="P227" s="61"/>
      <c r="Q227" s="62"/>
      <c r="R227" s="62"/>
      <c r="S227" s="181"/>
      <c r="T227" s="182"/>
      <c r="U227" s="185"/>
      <c r="V227" s="246"/>
      <c r="W227" s="33"/>
      <c r="X227" s="186"/>
      <c r="Y227" s="186"/>
      <c r="Z227" s="186"/>
      <c r="AA227" s="186"/>
    </row>
    <row r="228" spans="1:29" ht="13.3" thickBot="1" x14ac:dyDescent="0.3">
      <c r="A228" s="196"/>
      <c r="B228" s="76"/>
      <c r="C228" s="77"/>
      <c r="D228" s="78"/>
      <c r="E228" s="92" t="s">
        <v>196</v>
      </c>
      <c r="F228" s="79">
        <f t="shared" ref="F228:N228" si="72">IF(((F226="")*AND(F227="")),"",(F226-F227)*3)</f>
        <v>1965.9899999999998</v>
      </c>
      <c r="G228" s="79">
        <f t="shared" si="72"/>
        <v>2075.6099999999997</v>
      </c>
      <c r="H228" s="79">
        <f t="shared" si="72"/>
        <v>2065.1699999999996</v>
      </c>
      <c r="I228" s="79">
        <f t="shared" si="72"/>
        <v>2074.3200000000002</v>
      </c>
      <c r="J228" s="79">
        <f t="shared" si="72"/>
        <v>1957.9500000000003</v>
      </c>
      <c r="K228" s="79">
        <f t="shared" si="72"/>
        <v>1982.0700000000002</v>
      </c>
      <c r="L228" s="79">
        <f t="shared" si="72"/>
        <v>2047.3500000000001</v>
      </c>
      <c r="M228" s="79">
        <f t="shared" si="72"/>
        <v>2085.1499999999996</v>
      </c>
      <c r="N228" s="79">
        <f t="shared" si="72"/>
        <v>2013.75</v>
      </c>
      <c r="O228" s="80"/>
      <c r="P228" s="80"/>
      <c r="Q228" s="81"/>
      <c r="R228" s="81"/>
      <c r="S228" s="181"/>
      <c r="T228" s="192"/>
      <c r="U228" s="193"/>
      <c r="V228" s="246"/>
      <c r="W228" s="33"/>
      <c r="X228" s="186"/>
      <c r="Y228" s="186"/>
      <c r="Z228" s="186"/>
      <c r="AA228" s="186"/>
    </row>
    <row r="229" spans="1:29" x14ac:dyDescent="0.25">
      <c r="A229" s="280">
        <v>43224</v>
      </c>
      <c r="B229" s="52" t="s">
        <v>191</v>
      </c>
      <c r="C229" s="53" t="s">
        <v>176</v>
      </c>
      <c r="D229" s="54" t="s">
        <v>175</v>
      </c>
      <c r="E229" s="86" t="s">
        <v>192</v>
      </c>
      <c r="F229" s="33">
        <v>29190.7</v>
      </c>
      <c r="G229" s="33">
        <v>29031.79</v>
      </c>
      <c r="H229" s="33">
        <v>29008.53</v>
      </c>
      <c r="I229" s="33">
        <v>29033.75</v>
      </c>
      <c r="J229" s="33">
        <v>29265</v>
      </c>
      <c r="K229" s="33">
        <v>29159.42</v>
      </c>
      <c r="L229" s="33">
        <v>29014.240000000002</v>
      </c>
      <c r="M229" s="33">
        <v>29035.48</v>
      </c>
      <c r="N229" s="33">
        <v>29277.88</v>
      </c>
      <c r="O229" s="55">
        <f>IF((N230=""),"",MAX(F231:N231))</f>
        <v>4659.3900000000031</v>
      </c>
      <c r="P229" s="55">
        <f>IF(N230="","",MIN(F231:N231))</f>
        <v>4019.3100000000013</v>
      </c>
      <c r="Q229" s="56">
        <f>IF((N231=""),"",AVERAGE(F231:N231))</f>
        <v>4294.1966666666667</v>
      </c>
      <c r="R229" s="56">
        <f>IF((N230=""),"",(O229-P229)/(O229+P229)*100)</f>
        <v>7.3752981437312206</v>
      </c>
      <c r="S229" s="181">
        <f>STDEV(F231:N231)</f>
        <v>254.34448573735693</v>
      </c>
      <c r="T229" s="182" t="str">
        <f>IF(N230="","",IF(R229&lt;16,IF(Q229&gt;3200,IF(R229,IF(Q229&lt;5240,"Pass","Fail"),"Fail"),"Fail")))</f>
        <v>Pass</v>
      </c>
      <c r="U229" s="183">
        <v>1159</v>
      </c>
      <c r="V229" s="33" t="s">
        <v>199</v>
      </c>
      <c r="X229" s="184">
        <v>4200</v>
      </c>
      <c r="Y229" s="184">
        <v>5500</v>
      </c>
      <c r="Z229" s="184">
        <v>3200</v>
      </c>
      <c r="AA229" s="184">
        <v>5240</v>
      </c>
      <c r="AB229" s="57">
        <v>16</v>
      </c>
    </row>
    <row r="230" spans="1:29" x14ac:dyDescent="0.25">
      <c r="A230" s="281"/>
      <c r="B230" s="58"/>
      <c r="C230" s="59"/>
      <c r="D230" s="60"/>
      <c r="E230" s="88" t="s">
        <v>193</v>
      </c>
      <c r="F230" s="33">
        <v>27652.35</v>
      </c>
      <c r="G230" s="33">
        <v>27640</v>
      </c>
      <c r="H230" s="33">
        <v>27668.76</v>
      </c>
      <c r="I230" s="33">
        <v>27683.24</v>
      </c>
      <c r="J230" s="33">
        <v>27778.5</v>
      </c>
      <c r="K230" s="33">
        <v>27671.29</v>
      </c>
      <c r="L230" s="33">
        <v>27658.04</v>
      </c>
      <c r="M230" s="33">
        <v>27657.27</v>
      </c>
      <c r="N230" s="33">
        <v>27724.75</v>
      </c>
      <c r="O230" s="61"/>
      <c r="P230" s="61"/>
      <c r="Q230" s="62"/>
      <c r="R230" s="62"/>
      <c r="S230" s="181"/>
      <c r="T230" s="182"/>
      <c r="U230" s="185"/>
      <c r="V230" s="33"/>
      <c r="X230" s="186"/>
      <c r="Y230" s="186"/>
      <c r="Z230" s="186"/>
      <c r="AA230" s="186"/>
    </row>
    <row r="231" spans="1:29" ht="22.75" thickBot="1" x14ac:dyDescent="0.3">
      <c r="A231" s="281"/>
      <c r="B231" s="63"/>
      <c r="C231" s="64"/>
      <c r="D231" s="65"/>
      <c r="E231" s="88" t="s">
        <v>194</v>
      </c>
      <c r="F231" s="66">
        <f t="shared" ref="F231:N231" si="73">IF(((F229="")*AND(F230="")),"",(F229-F230)*3)</f>
        <v>4615.0500000000065</v>
      </c>
      <c r="G231" s="66">
        <f t="shared" si="73"/>
        <v>4175.3700000000026</v>
      </c>
      <c r="H231" s="66">
        <f t="shared" si="73"/>
        <v>4019.3100000000013</v>
      </c>
      <c r="I231" s="66">
        <f t="shared" si="73"/>
        <v>4051.5299999999952</v>
      </c>
      <c r="J231" s="66">
        <f t="shared" si="73"/>
        <v>4459.5</v>
      </c>
      <c r="K231" s="66">
        <f t="shared" si="73"/>
        <v>4464.3899999999921</v>
      </c>
      <c r="L231" s="66">
        <f t="shared" si="73"/>
        <v>4068.6000000000022</v>
      </c>
      <c r="M231" s="66">
        <f t="shared" si="73"/>
        <v>4134.6299999999974</v>
      </c>
      <c r="N231" s="66">
        <f t="shared" si="73"/>
        <v>4659.3900000000031</v>
      </c>
      <c r="O231" s="67"/>
      <c r="P231" s="67"/>
      <c r="Q231" s="68"/>
      <c r="R231" s="68"/>
      <c r="S231" s="181"/>
      <c r="T231" s="187"/>
      <c r="U231" s="188"/>
      <c r="V231" s="33"/>
      <c r="X231" s="186"/>
      <c r="Y231" s="186"/>
      <c r="Z231" s="186"/>
      <c r="AA231" s="186"/>
    </row>
    <row r="232" spans="1:29" x14ac:dyDescent="0.25">
      <c r="A232" s="280">
        <v>43224</v>
      </c>
      <c r="B232" s="69" t="s">
        <v>177</v>
      </c>
      <c r="C232" s="59" t="s">
        <v>179</v>
      </c>
      <c r="D232" s="70" t="s">
        <v>178</v>
      </c>
      <c r="E232" s="67" t="s">
        <v>192</v>
      </c>
      <c r="F232" s="33">
        <v>4766.8500000000004</v>
      </c>
      <c r="G232" s="33">
        <v>4736.25</v>
      </c>
      <c r="H232" s="33">
        <v>4787.97</v>
      </c>
      <c r="I232" s="33">
        <v>4773.7299999999996</v>
      </c>
      <c r="J232" s="33">
        <v>4884.82</v>
      </c>
      <c r="K232" s="33">
        <v>4861.59</v>
      </c>
      <c r="L232" s="33">
        <v>4776.5200000000004</v>
      </c>
      <c r="M232" s="33">
        <v>4761.55</v>
      </c>
      <c r="N232" s="33">
        <v>4829.58</v>
      </c>
      <c r="O232" s="61">
        <f>IF((N233=""),"",MAX(F234:N234))</f>
        <v>4054.88</v>
      </c>
      <c r="P232" s="61">
        <f>IF(N233="","",MIN(F234:N234))</f>
        <v>3749.9000000000005</v>
      </c>
      <c r="Q232" s="62">
        <f>IF((N234=""),"",AVERAGE(F234:N234))</f>
        <v>3960.9333333333343</v>
      </c>
      <c r="R232" s="62">
        <f>IF((N233=""),"",(O232-P232)/(O232+P232)*100)</f>
        <v>3.9076053392920689</v>
      </c>
      <c r="S232" s="181">
        <f>STDEV(F234:N234)</f>
        <v>103.92545742021062</v>
      </c>
      <c r="T232" s="182" t="str">
        <f>IF(N233="","",IF(Q232&gt;3650,IF(R232&lt;7,IF(Q232&lt;4450,"Pass","Fail"),"Fail"),"Fail"))</f>
        <v>Pass</v>
      </c>
      <c r="U232" s="183">
        <v>1159</v>
      </c>
      <c r="V232" s="33" t="s">
        <v>199</v>
      </c>
      <c r="X232" s="184">
        <v>3650</v>
      </c>
      <c r="Y232" s="184">
        <v>4450</v>
      </c>
      <c r="Z232" s="184">
        <v>3700</v>
      </c>
      <c r="AA232" s="184">
        <v>4100</v>
      </c>
      <c r="AB232" s="57">
        <v>6.5</v>
      </c>
      <c r="AC232" s="57">
        <v>7</v>
      </c>
    </row>
    <row r="233" spans="1:29" x14ac:dyDescent="0.25">
      <c r="A233" s="281"/>
      <c r="B233" s="69"/>
      <c r="C233" s="59"/>
      <c r="D233" s="60"/>
      <c r="E233" s="88" t="s">
        <v>193</v>
      </c>
      <c r="F233" s="33">
        <v>2827.07</v>
      </c>
      <c r="G233" s="33">
        <v>2727.89</v>
      </c>
      <c r="H233" s="33">
        <v>2767.06</v>
      </c>
      <c r="I233" s="33">
        <v>2756.47</v>
      </c>
      <c r="J233" s="33">
        <v>2946.76</v>
      </c>
      <c r="K233" s="33">
        <v>2986.64</v>
      </c>
      <c r="L233" s="33">
        <v>2764.14</v>
      </c>
      <c r="M233" s="33">
        <v>2734.11</v>
      </c>
      <c r="N233" s="33">
        <v>2844.52</v>
      </c>
      <c r="O233" s="61"/>
      <c r="P233" s="61"/>
      <c r="Q233" s="62"/>
      <c r="R233" s="62"/>
      <c r="S233" s="181"/>
      <c r="T233" s="182"/>
      <c r="U233" s="190"/>
      <c r="V233" s="33"/>
      <c r="X233" s="186"/>
      <c r="Y233" s="186"/>
      <c r="Z233" s="186"/>
      <c r="AA233" s="186"/>
    </row>
    <row r="234" spans="1:29" ht="22.75" thickBot="1" x14ac:dyDescent="0.3">
      <c r="A234" s="281"/>
      <c r="B234" s="69"/>
      <c r="C234" s="59"/>
      <c r="D234" s="60"/>
      <c r="E234" s="74" t="s">
        <v>194</v>
      </c>
      <c r="F234" s="71">
        <f t="shared" ref="F234:N234" si="74">IF(((F232="")*AND(F233="")),"",(F232-F233)*2)</f>
        <v>3879.5600000000004</v>
      </c>
      <c r="G234" s="71">
        <f t="shared" si="74"/>
        <v>4016.7200000000003</v>
      </c>
      <c r="H234" s="71">
        <f t="shared" si="74"/>
        <v>4041.8200000000006</v>
      </c>
      <c r="I234" s="71">
        <f t="shared" si="74"/>
        <v>4034.5199999999995</v>
      </c>
      <c r="J234" s="71">
        <f t="shared" si="74"/>
        <v>3876.119999999999</v>
      </c>
      <c r="K234" s="71">
        <f t="shared" si="74"/>
        <v>3749.9000000000005</v>
      </c>
      <c r="L234" s="71">
        <f t="shared" si="74"/>
        <v>4024.7600000000011</v>
      </c>
      <c r="M234" s="71">
        <f t="shared" si="74"/>
        <v>4054.88</v>
      </c>
      <c r="N234" s="71">
        <f t="shared" si="74"/>
        <v>3970.12</v>
      </c>
      <c r="O234" s="61"/>
      <c r="P234" s="61"/>
      <c r="Q234" s="62"/>
      <c r="R234" s="62"/>
      <c r="S234" s="181"/>
      <c r="T234" s="182"/>
      <c r="U234" s="190"/>
      <c r="V234" s="33"/>
      <c r="X234" s="186"/>
      <c r="Y234" s="186"/>
      <c r="Z234" s="186"/>
      <c r="AA234" s="186"/>
    </row>
    <row r="235" spans="1:29" x14ac:dyDescent="0.25">
      <c r="A235" s="280">
        <v>43224</v>
      </c>
      <c r="B235" s="72" t="s">
        <v>172</v>
      </c>
      <c r="C235" s="73" t="s">
        <v>174</v>
      </c>
      <c r="D235" s="72" t="s">
        <v>195</v>
      </c>
      <c r="E235" s="88" t="s">
        <v>192</v>
      </c>
      <c r="F235" s="33">
        <v>1244.54</v>
      </c>
      <c r="G235" s="33">
        <v>1230.57</v>
      </c>
      <c r="H235" s="33">
        <v>1233.68</v>
      </c>
      <c r="I235" s="33">
        <v>1231.43</v>
      </c>
      <c r="J235" s="33">
        <v>1266.32</v>
      </c>
      <c r="K235" s="33">
        <v>1256.6099999999999</v>
      </c>
      <c r="L235" s="33">
        <v>1236.9100000000001</v>
      </c>
      <c r="M235" s="33">
        <v>1224.79</v>
      </c>
      <c r="N235" s="33">
        <v>1242.81</v>
      </c>
      <c r="O235" s="74">
        <f>IF((N236=""),"",MAX(F237:N237))</f>
        <v>2126.79</v>
      </c>
      <c r="P235" s="74">
        <f>IF(N236="","",MIN(F237:N237))</f>
        <v>1920.3899999999996</v>
      </c>
      <c r="Q235" s="75">
        <f>IF((N237=""),"",AVERAGE(F237:N237))</f>
        <v>2064.5299999999997</v>
      </c>
      <c r="R235" s="75">
        <f>IF((N236=""),"",(O235-P235)/(O235+P235)*100)</f>
        <v>5.0998473010837264</v>
      </c>
      <c r="S235" s="181">
        <f>STDEV(F237:N237)</f>
        <v>75.123369533055566</v>
      </c>
      <c r="T235" s="191" t="str">
        <f>IF(N236="","",IF(Q235&gt;1940,IF(R235&lt;8.3,IF(Q235&lt;2180,"Pass","Fail"),"Fail"),"Fail"))</f>
        <v>Pass</v>
      </c>
      <c r="U235" s="183">
        <v>1159</v>
      </c>
      <c r="V235" s="33" t="s">
        <v>199</v>
      </c>
      <c r="X235" s="184">
        <v>2000</v>
      </c>
      <c r="Y235" s="184">
        <v>3000</v>
      </c>
      <c r="Z235" s="184">
        <v>1940</v>
      </c>
      <c r="AA235" s="184">
        <v>2180</v>
      </c>
      <c r="AB235" s="57">
        <v>5.2</v>
      </c>
    </row>
    <row r="236" spans="1:29" x14ac:dyDescent="0.25">
      <c r="A236" s="281"/>
      <c r="B236" s="58"/>
      <c r="C236" s="59"/>
      <c r="D236" s="60"/>
      <c r="E236" s="88" t="s">
        <v>193</v>
      </c>
      <c r="F236" s="33">
        <v>558.58000000000004</v>
      </c>
      <c r="G236" s="33">
        <v>521.65</v>
      </c>
      <c r="H236" s="33">
        <v>527.51</v>
      </c>
      <c r="I236" s="33">
        <v>527.63</v>
      </c>
      <c r="J236" s="33">
        <v>626.19000000000005</v>
      </c>
      <c r="K236" s="33">
        <v>599.29</v>
      </c>
      <c r="L236" s="33">
        <v>533.4</v>
      </c>
      <c r="M236" s="33">
        <v>515.86</v>
      </c>
      <c r="N236" s="33">
        <v>563.96</v>
      </c>
      <c r="O236" s="61"/>
      <c r="P236" s="61"/>
      <c r="Q236" s="62"/>
      <c r="R236" s="62"/>
      <c r="S236" s="181"/>
      <c r="T236" s="182"/>
      <c r="U236" s="185"/>
      <c r="V236" s="33"/>
      <c r="X236" s="186"/>
      <c r="Y236" s="186"/>
      <c r="Z236" s="186"/>
      <c r="AA236" s="186"/>
    </row>
    <row r="237" spans="1:29" ht="13.3" thickBot="1" x14ac:dyDescent="0.3">
      <c r="A237" s="281"/>
      <c r="B237" s="76"/>
      <c r="C237" s="77"/>
      <c r="D237" s="78"/>
      <c r="E237" s="92" t="s">
        <v>196</v>
      </c>
      <c r="F237" s="79">
        <f t="shared" ref="F237:N237" si="75">IF(((F235="")*AND(F236="")),"",(F235-F236)*3)</f>
        <v>2057.8799999999997</v>
      </c>
      <c r="G237" s="79">
        <f t="shared" si="75"/>
        <v>2126.7599999999998</v>
      </c>
      <c r="H237" s="79">
        <f t="shared" si="75"/>
        <v>2118.5100000000002</v>
      </c>
      <c r="I237" s="79">
        <f t="shared" si="75"/>
        <v>2111.4</v>
      </c>
      <c r="J237" s="79">
        <f t="shared" si="75"/>
        <v>1920.3899999999996</v>
      </c>
      <c r="K237" s="79">
        <f t="shared" si="75"/>
        <v>1971.9599999999998</v>
      </c>
      <c r="L237" s="79">
        <f t="shared" si="75"/>
        <v>2110.5300000000002</v>
      </c>
      <c r="M237" s="79">
        <f t="shared" si="75"/>
        <v>2126.79</v>
      </c>
      <c r="N237" s="79">
        <f t="shared" si="75"/>
        <v>2036.5499999999997</v>
      </c>
      <c r="O237" s="80"/>
      <c r="P237" s="80"/>
      <c r="Q237" s="81"/>
      <c r="R237" s="81"/>
      <c r="S237" s="181"/>
      <c r="T237" s="192"/>
      <c r="U237" s="193"/>
      <c r="V237" s="33"/>
      <c r="X237" s="186"/>
      <c r="Y237" s="186"/>
      <c r="Z237" s="186"/>
      <c r="AA237" s="186"/>
    </row>
    <row r="238" spans="1:29" x14ac:dyDescent="0.25">
      <c r="A238" s="280">
        <v>43227</v>
      </c>
      <c r="B238" s="52" t="s">
        <v>191</v>
      </c>
      <c r="C238" s="53" t="s">
        <v>176</v>
      </c>
      <c r="D238" s="54" t="s">
        <v>175</v>
      </c>
      <c r="E238" s="86" t="s">
        <v>192</v>
      </c>
      <c r="F238" s="33">
        <v>29011.78</v>
      </c>
      <c r="G238" s="33">
        <v>28861.73</v>
      </c>
      <c r="H238" s="33">
        <v>28932.7</v>
      </c>
      <c r="I238" s="33">
        <v>28896.83</v>
      </c>
      <c r="J238" s="33">
        <v>29018.63</v>
      </c>
      <c r="K238" s="33">
        <v>28907.61</v>
      </c>
      <c r="L238" s="33">
        <v>28865.71</v>
      </c>
      <c r="M238" s="33">
        <v>28869.32</v>
      </c>
      <c r="N238" s="33">
        <v>29032.83</v>
      </c>
      <c r="O238" s="55">
        <f>IF((N239=""),"",MAX(F240:N240))</f>
        <v>4587.7200000000048</v>
      </c>
      <c r="P238" s="55">
        <f>IF(N239="","",MIN(F240:N240))</f>
        <v>4052.4900000000052</v>
      </c>
      <c r="Q238" s="56">
        <f>IF((N240=""),"",AVERAGE(F240:N240))</f>
        <v>4305.7266666666656</v>
      </c>
      <c r="R238" s="56">
        <f>IF((N239=""),"",(O238-P238)/(O238+P238)*100)</f>
        <v>6.1946411024731916</v>
      </c>
      <c r="S238" s="181">
        <f>STDEV(F240:N240)</f>
        <v>232.4621034168793</v>
      </c>
      <c r="T238" s="182" t="str">
        <f>IF(N239="","",IF(R238&lt;16,IF(Q238&gt;3200,IF(R238,IF(Q238&lt;5240,"Pass","Fail"),"Fail"),"Fail")))</f>
        <v>Pass</v>
      </c>
      <c r="U238" s="183" t="s">
        <v>200</v>
      </c>
      <c r="V238" s="246"/>
      <c r="W238" s="33"/>
      <c r="X238" s="184">
        <v>4200</v>
      </c>
      <c r="Y238" s="184">
        <v>5500</v>
      </c>
      <c r="Z238" s="184">
        <v>3200</v>
      </c>
      <c r="AA238" s="184">
        <v>5240</v>
      </c>
      <c r="AB238" s="57">
        <v>16</v>
      </c>
    </row>
    <row r="239" spans="1:29" x14ac:dyDescent="0.25">
      <c r="A239" s="281"/>
      <c r="B239" s="58"/>
      <c r="C239" s="59"/>
      <c r="D239" s="60"/>
      <c r="E239" s="88" t="s">
        <v>193</v>
      </c>
      <c r="F239" s="33">
        <v>27522.33</v>
      </c>
      <c r="G239" s="33">
        <v>27485.74</v>
      </c>
      <c r="H239" s="33">
        <v>27581.87</v>
      </c>
      <c r="I239" s="33">
        <v>27513.33</v>
      </c>
      <c r="J239" s="33">
        <v>27504.86</v>
      </c>
      <c r="K239" s="33">
        <v>27380.58</v>
      </c>
      <c r="L239" s="33">
        <v>27472.32</v>
      </c>
      <c r="M239" s="33">
        <v>27515.34</v>
      </c>
      <c r="N239" s="33">
        <v>27503.59</v>
      </c>
      <c r="O239" s="61"/>
      <c r="P239" s="61"/>
      <c r="Q239" s="62"/>
      <c r="R239" s="62"/>
      <c r="S239" s="181"/>
      <c r="T239" s="182"/>
      <c r="U239" s="185"/>
      <c r="V239" s="246"/>
      <c r="W239" s="33"/>
      <c r="X239" s="186"/>
      <c r="Y239" s="186"/>
      <c r="Z239" s="186"/>
      <c r="AA239" s="186"/>
    </row>
    <row r="240" spans="1:29" ht="22.75" thickBot="1" x14ac:dyDescent="0.3">
      <c r="A240" s="281"/>
      <c r="B240" s="63"/>
      <c r="C240" s="64"/>
      <c r="D240" s="65"/>
      <c r="E240" s="88" t="s">
        <v>194</v>
      </c>
      <c r="F240" s="66">
        <f t="shared" ref="F240:N240" si="76">IF(((F238="")*AND(F239="")),"",(F238-F239)*3)</f>
        <v>4468.3499999999913</v>
      </c>
      <c r="G240" s="66">
        <f t="shared" si="76"/>
        <v>4127.9699999999939</v>
      </c>
      <c r="H240" s="66">
        <f t="shared" si="76"/>
        <v>4052.4900000000052</v>
      </c>
      <c r="I240" s="66">
        <f t="shared" si="76"/>
        <v>4150.5</v>
      </c>
      <c r="J240" s="66">
        <f t="shared" si="76"/>
        <v>4541.3100000000013</v>
      </c>
      <c r="K240" s="66">
        <f t="shared" si="76"/>
        <v>4581.0899999999965</v>
      </c>
      <c r="L240" s="66">
        <f t="shared" si="76"/>
        <v>4180.1699999999983</v>
      </c>
      <c r="M240" s="66">
        <f t="shared" si="76"/>
        <v>4061.9399999999987</v>
      </c>
      <c r="N240" s="66">
        <f t="shared" si="76"/>
        <v>4587.7200000000048</v>
      </c>
      <c r="O240" s="67"/>
      <c r="P240" s="67"/>
      <c r="Q240" s="68"/>
      <c r="R240" s="68"/>
      <c r="S240" s="205"/>
      <c r="T240" s="187"/>
      <c r="U240" s="188"/>
      <c r="V240" s="246"/>
      <c r="W240" s="33"/>
      <c r="X240" s="186"/>
      <c r="Y240" s="186"/>
      <c r="Z240" s="186"/>
      <c r="AA240" s="186"/>
    </row>
    <row r="241" spans="1:29" x14ac:dyDescent="0.25">
      <c r="A241" s="280">
        <v>43227</v>
      </c>
      <c r="B241" s="69" t="s">
        <v>177</v>
      </c>
      <c r="C241" s="59" t="s">
        <v>179</v>
      </c>
      <c r="D241" s="70" t="s">
        <v>178</v>
      </c>
      <c r="E241" s="67" t="s">
        <v>192</v>
      </c>
      <c r="F241" s="33">
        <v>6822.34</v>
      </c>
      <c r="G241" s="33">
        <v>6816.37</v>
      </c>
      <c r="H241" s="33">
        <v>6884.97</v>
      </c>
      <c r="I241" s="33">
        <v>6861.31</v>
      </c>
      <c r="J241" s="33">
        <v>6992.8</v>
      </c>
      <c r="K241" s="33">
        <v>6904.45</v>
      </c>
      <c r="L241" s="33">
        <v>6865.48</v>
      </c>
      <c r="M241" s="33">
        <v>6856.36</v>
      </c>
      <c r="N241" s="33">
        <v>6941.24</v>
      </c>
      <c r="O241" s="61">
        <f>IF((N242=""),"",MAX(F243:N243))</f>
        <v>4057.6799999999985</v>
      </c>
      <c r="P241" s="61">
        <f>IF(N242="","",MIN(F243:N243))</f>
        <v>3767.0399999999991</v>
      </c>
      <c r="Q241" s="62">
        <f>IF((N243=""),"",AVERAGE(F243:N243))</f>
        <v>3966.8777777777786</v>
      </c>
      <c r="R241" s="62">
        <f>IF((N242=""),"",(O241-P241)/(O241+P241)*100)</f>
        <v>3.7143821120755698</v>
      </c>
      <c r="S241" s="181">
        <f>STDEV(F243:N243)</f>
        <v>96.126456527037547</v>
      </c>
      <c r="T241" s="182" t="str">
        <f>IF(N242="","",IF(Q241&gt;3650,IF(R241&lt;7,IF(Q241&lt;4450,"Pass","Fail"),"Fail"),"Fail"))</f>
        <v>Pass</v>
      </c>
      <c r="U241" s="183"/>
      <c r="V241" s="246"/>
      <c r="W241" s="33"/>
      <c r="X241" s="184">
        <v>3650</v>
      </c>
      <c r="Y241" s="184">
        <v>4450</v>
      </c>
      <c r="Z241" s="184">
        <v>3700</v>
      </c>
      <c r="AA241" s="184">
        <v>4100</v>
      </c>
      <c r="AB241" s="57">
        <v>6.5</v>
      </c>
      <c r="AC241" s="57">
        <v>7</v>
      </c>
    </row>
    <row r="242" spans="1:29" x14ac:dyDescent="0.25">
      <c r="A242" s="281"/>
      <c r="B242" s="69"/>
      <c r="C242" s="59"/>
      <c r="D242" s="60"/>
      <c r="E242" s="88" t="s">
        <v>193</v>
      </c>
      <c r="F242" s="33">
        <v>4878.49</v>
      </c>
      <c r="G242" s="33">
        <v>4812.32</v>
      </c>
      <c r="H242" s="33">
        <v>4862.92</v>
      </c>
      <c r="I242" s="33">
        <v>4848.26</v>
      </c>
      <c r="J242" s="33">
        <v>5044.38</v>
      </c>
      <c r="K242" s="33">
        <v>5020.93</v>
      </c>
      <c r="L242" s="33">
        <v>4857.55</v>
      </c>
      <c r="M242" s="33">
        <v>4827.5200000000004</v>
      </c>
      <c r="N242" s="33">
        <v>4942</v>
      </c>
      <c r="O242" s="61"/>
      <c r="P242" s="61"/>
      <c r="Q242" s="62"/>
      <c r="R242" s="62"/>
      <c r="S242" s="181"/>
      <c r="T242" s="182"/>
      <c r="U242" s="190" t="s">
        <v>200</v>
      </c>
      <c r="V242" s="247"/>
      <c r="W242" s="33"/>
      <c r="X242" s="186"/>
      <c r="Y242" s="186"/>
      <c r="Z242" s="186"/>
      <c r="AA242" s="186"/>
    </row>
    <row r="243" spans="1:29" ht="22.75" thickBot="1" x14ac:dyDescent="0.3">
      <c r="A243" s="281"/>
      <c r="B243" s="69"/>
      <c r="C243" s="59"/>
      <c r="D243" s="60"/>
      <c r="E243" s="74" t="s">
        <v>194</v>
      </c>
      <c r="F243" s="71">
        <f t="shared" ref="F243:N243" si="77">IF(((F241="")*AND(F242="")),"",(F241-F242)*2)</f>
        <v>3887.7000000000007</v>
      </c>
      <c r="G243" s="71">
        <f t="shared" si="77"/>
        <v>4008.1000000000004</v>
      </c>
      <c r="H243" s="71">
        <f t="shared" si="77"/>
        <v>4044.1000000000004</v>
      </c>
      <c r="I243" s="71">
        <f t="shared" si="77"/>
        <v>4026.1000000000004</v>
      </c>
      <c r="J243" s="71">
        <f t="shared" si="77"/>
        <v>3896.84</v>
      </c>
      <c r="K243" s="71">
        <f t="shared" si="77"/>
        <v>3767.0399999999991</v>
      </c>
      <c r="L243" s="71">
        <f t="shared" si="77"/>
        <v>4015.8599999999988</v>
      </c>
      <c r="M243" s="71">
        <f t="shared" si="77"/>
        <v>4057.6799999999985</v>
      </c>
      <c r="N243" s="71">
        <f t="shared" si="77"/>
        <v>3998.4799999999996</v>
      </c>
      <c r="O243" s="61"/>
      <c r="P243" s="61"/>
      <c r="Q243" s="62"/>
      <c r="R243" s="62"/>
      <c r="S243" s="181"/>
      <c r="T243" s="182"/>
      <c r="U243" s="190"/>
      <c r="V243" s="247"/>
      <c r="W243" s="33"/>
      <c r="X243" s="186"/>
      <c r="Y243" s="186"/>
      <c r="Z243" s="186"/>
      <c r="AA243" s="186"/>
    </row>
    <row r="244" spans="1:29" x14ac:dyDescent="0.25">
      <c r="A244" s="280">
        <v>43227</v>
      </c>
      <c r="B244" s="72" t="s">
        <v>172</v>
      </c>
      <c r="C244" s="73" t="s">
        <v>174</v>
      </c>
      <c r="D244" s="72" t="s">
        <v>195</v>
      </c>
      <c r="E244" s="88" t="s">
        <v>192</v>
      </c>
      <c r="F244" s="33">
        <v>1933.24</v>
      </c>
      <c r="G244" s="33">
        <v>1938.35</v>
      </c>
      <c r="H244" s="33">
        <v>1944.65</v>
      </c>
      <c r="I244" s="33">
        <v>1940.78</v>
      </c>
      <c r="J244" s="33">
        <v>1937.24</v>
      </c>
      <c r="K244" s="33">
        <v>1934.04</v>
      </c>
      <c r="L244" s="33">
        <v>1940.9</v>
      </c>
      <c r="M244" s="33">
        <v>1940.78</v>
      </c>
      <c r="N244" s="33">
        <v>1937.57</v>
      </c>
      <c r="O244" s="74">
        <f>IF((N245=""),"",MAX(F246:N246))</f>
        <v>2113.6799999999998</v>
      </c>
      <c r="P244" s="74">
        <f>IF(N245="","",MIN(F246:N246))</f>
        <v>1944.06</v>
      </c>
      <c r="Q244" s="75">
        <f>IF((N246=""),"",AVERAGE(F246:N246))</f>
        <v>2050.2133333333331</v>
      </c>
      <c r="R244" s="75">
        <f>IF((N245=""),"",(O244-P244)/(O244+P244)*100)</f>
        <v>4.1801593990743591</v>
      </c>
      <c r="S244" s="181">
        <f>STDEV(F246:N246)</f>
        <v>65.841542926939397</v>
      </c>
      <c r="T244" s="191" t="str">
        <f>IF(N245="","",IF(Q244&gt;1940,IF(R244&lt;8.3,IF(Q244&lt;2180,"Pass","Fail"),"Fail"),"Fail"))</f>
        <v>Pass</v>
      </c>
      <c r="U244" s="183"/>
      <c r="V244" s="246"/>
      <c r="W244" s="33"/>
      <c r="X244" s="184">
        <v>2000</v>
      </c>
      <c r="Y244" s="184">
        <v>3000</v>
      </c>
      <c r="Z244" s="184">
        <v>1940</v>
      </c>
      <c r="AA244" s="184">
        <v>2180</v>
      </c>
      <c r="AB244" s="57">
        <v>5.2</v>
      </c>
    </row>
    <row r="245" spans="1:29" x14ac:dyDescent="0.25">
      <c r="A245" s="281"/>
      <c r="B245" s="58"/>
      <c r="C245" s="59"/>
      <c r="D245" s="60"/>
      <c r="E245" s="88" t="s">
        <v>193</v>
      </c>
      <c r="F245" s="33">
        <v>1257.22</v>
      </c>
      <c r="G245" s="33">
        <v>1236.8900000000001</v>
      </c>
      <c r="H245" s="33">
        <v>1243.31</v>
      </c>
      <c r="I245" s="33">
        <v>1244.25</v>
      </c>
      <c r="J245" s="33">
        <v>1289.22</v>
      </c>
      <c r="K245" s="33">
        <v>1282.02</v>
      </c>
      <c r="L245" s="33">
        <v>1243.58</v>
      </c>
      <c r="M245" s="33">
        <v>1236.22</v>
      </c>
      <c r="N245" s="33">
        <v>1264.2</v>
      </c>
      <c r="O245" s="61"/>
      <c r="P245" s="61"/>
      <c r="Q245" s="62"/>
      <c r="R245" s="62"/>
      <c r="S245" s="181"/>
      <c r="T245" s="182"/>
      <c r="U245" s="185" t="s">
        <v>200</v>
      </c>
      <c r="V245" s="246"/>
      <c r="W245" s="33"/>
      <c r="X245" s="186"/>
      <c r="Y245" s="186"/>
      <c r="Z245" s="186"/>
      <c r="AA245" s="186"/>
    </row>
    <row r="246" spans="1:29" ht="13.3" thickBot="1" x14ac:dyDescent="0.3">
      <c r="A246" s="281"/>
      <c r="B246" s="76"/>
      <c r="C246" s="77"/>
      <c r="D246" s="78"/>
      <c r="E246" s="92" t="s">
        <v>196</v>
      </c>
      <c r="F246" s="79">
        <f t="shared" ref="F246:N246" si="78">IF(((F244="")*AND(F245="")),"",(F244-F245)*3)</f>
        <v>2028.06</v>
      </c>
      <c r="G246" s="79">
        <f t="shared" si="78"/>
        <v>2104.3799999999992</v>
      </c>
      <c r="H246" s="79">
        <f t="shared" si="78"/>
        <v>2104.0200000000004</v>
      </c>
      <c r="I246" s="79">
        <f t="shared" si="78"/>
        <v>2089.59</v>
      </c>
      <c r="J246" s="79">
        <f t="shared" si="78"/>
        <v>1944.06</v>
      </c>
      <c r="K246" s="79">
        <f t="shared" si="78"/>
        <v>1956.06</v>
      </c>
      <c r="L246" s="79">
        <f t="shared" si="78"/>
        <v>2091.9600000000005</v>
      </c>
      <c r="M246" s="79">
        <f t="shared" si="78"/>
        <v>2113.6799999999998</v>
      </c>
      <c r="N246" s="79">
        <f t="shared" si="78"/>
        <v>2020.1099999999997</v>
      </c>
      <c r="O246" s="80"/>
      <c r="P246" s="80"/>
      <c r="Q246" s="81"/>
      <c r="R246" s="81"/>
      <c r="S246" s="204"/>
      <c r="T246" s="192"/>
      <c r="U246" s="193"/>
      <c r="V246" s="246"/>
      <c r="W246" s="33"/>
      <c r="X246" s="186"/>
      <c r="Y246" s="186"/>
      <c r="Z246" s="186"/>
      <c r="AA246" s="186"/>
    </row>
    <row r="247" spans="1:29" x14ac:dyDescent="0.25">
      <c r="A247" s="280">
        <v>43230</v>
      </c>
      <c r="B247" s="52" t="s">
        <v>191</v>
      </c>
      <c r="C247" s="53" t="s">
        <v>176</v>
      </c>
      <c r="D247" s="54" t="s">
        <v>175</v>
      </c>
      <c r="E247" s="86" t="s">
        <v>192</v>
      </c>
      <c r="F247" s="33">
        <v>27488.76</v>
      </c>
      <c r="G247" s="33">
        <v>27506.080000000002</v>
      </c>
      <c r="H247" s="33">
        <v>27584.39</v>
      </c>
      <c r="I247" s="33">
        <v>27474.07</v>
      </c>
      <c r="J247" s="33">
        <v>27452.87</v>
      </c>
      <c r="K247" s="33">
        <v>27393.52</v>
      </c>
      <c r="L247" s="33">
        <v>27482.34</v>
      </c>
      <c r="M247" s="33">
        <v>27485.79</v>
      </c>
      <c r="N247" s="33">
        <v>27488.11</v>
      </c>
      <c r="O247" s="55">
        <f>IF((N248=""),"",MAX(F249:N249))</f>
        <v>4449.3900000000031</v>
      </c>
      <c r="P247" s="55">
        <f>IF(N248="","",MIN(F249:N249))</f>
        <v>3864.5699999999961</v>
      </c>
      <c r="Q247" s="56">
        <f>IF((N249=""),"",AVERAGE(F249:N249))</f>
        <v>4107.1833333333343</v>
      </c>
      <c r="R247" s="56">
        <f>IF((N248=""),"",(O247-P247)/(O247+P247)*100)</f>
        <v>7.0341930921006002</v>
      </c>
      <c r="S247" s="181">
        <f>STDEV(F249:N249)</f>
        <v>223.23718664236995</v>
      </c>
      <c r="T247" s="182" t="str">
        <f>IF(N248="","",IF(R247&lt;16,IF(Q247&gt;3200,IF(R247,IF(Q247&lt;5240,"Pass","Fail"),"Fail"),"Fail")))</f>
        <v>Pass</v>
      </c>
      <c r="U247" s="183">
        <v>1335</v>
      </c>
      <c r="V247" s="246"/>
      <c r="W247" s="33"/>
      <c r="X247" s="184">
        <v>4200</v>
      </c>
      <c r="Y247" s="184">
        <v>5500</v>
      </c>
      <c r="Z247" s="184">
        <v>3200</v>
      </c>
      <c r="AA247" s="184">
        <v>5240</v>
      </c>
      <c r="AB247" s="57">
        <v>16</v>
      </c>
    </row>
    <row r="248" spans="1:29" x14ac:dyDescent="0.25">
      <c r="A248" s="281"/>
      <c r="B248" s="58"/>
      <c r="C248" s="59"/>
      <c r="D248" s="60"/>
      <c r="E248" s="88" t="s">
        <v>193</v>
      </c>
      <c r="F248" s="33">
        <v>26061.73</v>
      </c>
      <c r="G248" s="33">
        <v>26183.1</v>
      </c>
      <c r="H248" s="33">
        <v>26296.2</v>
      </c>
      <c r="I248" s="33">
        <v>26164.15</v>
      </c>
      <c r="J248" s="33">
        <v>26006.55</v>
      </c>
      <c r="K248" s="33">
        <v>25971.67</v>
      </c>
      <c r="L248" s="33">
        <v>26159.41</v>
      </c>
      <c r="M248" s="33">
        <v>26186.59</v>
      </c>
      <c r="N248" s="33">
        <v>26004.98</v>
      </c>
      <c r="O248" s="61"/>
      <c r="P248" s="61"/>
      <c r="Q248" s="62"/>
      <c r="R248" s="62"/>
      <c r="S248" s="181"/>
      <c r="T248" s="182"/>
      <c r="U248" s="185"/>
      <c r="V248" s="246"/>
      <c r="W248" s="33"/>
      <c r="X248" s="186"/>
      <c r="Y248" s="186"/>
      <c r="Z248" s="186"/>
      <c r="AA248" s="186"/>
    </row>
    <row r="249" spans="1:29" ht="22.75" thickBot="1" x14ac:dyDescent="0.3">
      <c r="A249" s="281"/>
      <c r="B249" s="63"/>
      <c r="C249" s="64"/>
      <c r="D249" s="65"/>
      <c r="E249" s="88" t="s">
        <v>194</v>
      </c>
      <c r="F249" s="66">
        <f t="shared" ref="F249:N249" si="79">IF(((F247="")*AND(F248="")),"",(F247-F248)*3)</f>
        <v>4281.0899999999965</v>
      </c>
      <c r="G249" s="66">
        <f t="shared" si="79"/>
        <v>3968.9400000000096</v>
      </c>
      <c r="H249" s="66">
        <f t="shared" si="79"/>
        <v>3864.5699999999961</v>
      </c>
      <c r="I249" s="66">
        <f t="shared" si="79"/>
        <v>3929.7599999999948</v>
      </c>
      <c r="J249" s="66">
        <f t="shared" si="79"/>
        <v>4338.9599999999991</v>
      </c>
      <c r="K249" s="66">
        <f t="shared" si="79"/>
        <v>4265.5500000000065</v>
      </c>
      <c r="L249" s="66">
        <f t="shared" si="79"/>
        <v>3968.7900000000009</v>
      </c>
      <c r="M249" s="66">
        <f t="shared" si="79"/>
        <v>3897.6000000000022</v>
      </c>
      <c r="N249" s="66">
        <f t="shared" si="79"/>
        <v>4449.3900000000031</v>
      </c>
      <c r="O249" s="67"/>
      <c r="P249" s="67"/>
      <c r="Q249" s="68"/>
      <c r="R249" s="68"/>
      <c r="S249" s="205"/>
      <c r="T249" s="187"/>
      <c r="U249" s="188"/>
      <c r="V249" s="246"/>
      <c r="W249" s="33"/>
      <c r="X249" s="186"/>
      <c r="Y249" s="186"/>
      <c r="Z249" s="186"/>
      <c r="AA249" s="186"/>
    </row>
    <row r="250" spans="1:29" x14ac:dyDescent="0.25">
      <c r="A250" s="280">
        <v>43230</v>
      </c>
      <c r="B250" s="69" t="s">
        <v>177</v>
      </c>
      <c r="C250" s="59" t="s">
        <v>179</v>
      </c>
      <c r="D250" s="70" t="s">
        <v>178</v>
      </c>
      <c r="E250" s="67" t="s">
        <v>192</v>
      </c>
      <c r="F250" s="33">
        <v>4892.07</v>
      </c>
      <c r="G250" s="33">
        <v>4827.83</v>
      </c>
      <c r="H250" s="33">
        <v>4876.88</v>
      </c>
      <c r="I250" s="33">
        <v>4862.62</v>
      </c>
      <c r="J250" s="33">
        <v>5052.88</v>
      </c>
      <c r="K250" s="33">
        <v>5028.8999999999996</v>
      </c>
      <c r="L250" s="33">
        <v>4871.62</v>
      </c>
      <c r="M250" s="33">
        <v>4842.83</v>
      </c>
      <c r="N250" s="33">
        <v>4953.4399999999996</v>
      </c>
      <c r="O250" s="61">
        <f>IF((N251=""),"",MAX(F252:N252))</f>
        <v>4083.8599999999997</v>
      </c>
      <c r="P250" s="61">
        <f>IF(N251="","",MIN(F252:N252))</f>
        <v>3755.079999999999</v>
      </c>
      <c r="Q250" s="62">
        <f>IF((N252=""),"",AVERAGE(F252:N252))</f>
        <v>3979.1888888888884</v>
      </c>
      <c r="R250" s="62">
        <f>IF((N251=""),"",(O250-P250)/(O250+P250)*100)</f>
        <v>4.194189520521916</v>
      </c>
      <c r="S250" s="181">
        <f>STDEV(F252:N252)</f>
        <v>112.15670426288008</v>
      </c>
      <c r="T250" s="182" t="str">
        <f>IF(N251="","",IF(Q250&gt;3650,IF(R250&lt;7,IF(Q250&lt;4450,"Pass","Fail"),"Fail"),"Fail"))</f>
        <v>Pass</v>
      </c>
      <c r="U250" s="183">
        <v>1335</v>
      </c>
      <c r="V250" s="246"/>
      <c r="W250" s="33"/>
      <c r="X250" s="184">
        <v>3650</v>
      </c>
      <c r="Y250" s="184">
        <v>4450</v>
      </c>
      <c r="Z250" s="184">
        <v>3700</v>
      </c>
      <c r="AA250" s="184">
        <v>4100</v>
      </c>
      <c r="AB250" s="57">
        <v>6.5</v>
      </c>
      <c r="AC250" s="57">
        <v>7</v>
      </c>
    </row>
    <row r="251" spans="1:29" x14ac:dyDescent="0.25">
      <c r="A251" s="281"/>
      <c r="B251" s="69"/>
      <c r="C251" s="59"/>
      <c r="D251" s="60"/>
      <c r="E251" s="88" t="s">
        <v>193</v>
      </c>
      <c r="F251" s="33">
        <v>2935.9</v>
      </c>
      <c r="G251" s="33">
        <v>2804.31</v>
      </c>
      <c r="H251" s="33">
        <v>2843.61</v>
      </c>
      <c r="I251" s="33">
        <v>2834.13</v>
      </c>
      <c r="J251" s="33">
        <v>3119.6</v>
      </c>
      <c r="K251" s="33">
        <v>3151.36</v>
      </c>
      <c r="L251" s="33">
        <v>2850.38</v>
      </c>
      <c r="M251" s="33">
        <v>2800.9</v>
      </c>
      <c r="N251" s="33">
        <v>2962.53</v>
      </c>
      <c r="O251" s="61"/>
      <c r="P251" s="61"/>
      <c r="Q251" s="62"/>
      <c r="R251" s="62"/>
      <c r="S251" s="181"/>
      <c r="T251" s="182"/>
      <c r="U251" s="190"/>
      <c r="V251" s="247"/>
      <c r="W251" s="33"/>
      <c r="X251" s="186"/>
      <c r="Y251" s="186"/>
      <c r="Z251" s="186"/>
      <c r="AA251" s="186"/>
    </row>
    <row r="252" spans="1:29" ht="22.75" thickBot="1" x14ac:dyDescent="0.3">
      <c r="A252" s="281"/>
      <c r="B252" s="69"/>
      <c r="C252" s="59"/>
      <c r="D252" s="60"/>
      <c r="E252" s="74" t="s">
        <v>194</v>
      </c>
      <c r="F252" s="71">
        <f t="shared" ref="F252:N252" si="80">IF(((F250="")*AND(F251="")),"",(F250-F251)*2)</f>
        <v>3912.3399999999992</v>
      </c>
      <c r="G252" s="71">
        <f t="shared" si="80"/>
        <v>4047.04</v>
      </c>
      <c r="H252" s="71">
        <f t="shared" si="80"/>
        <v>4066.54</v>
      </c>
      <c r="I252" s="71">
        <f t="shared" si="80"/>
        <v>4056.9799999999996</v>
      </c>
      <c r="J252" s="71">
        <f t="shared" si="80"/>
        <v>3866.5600000000004</v>
      </c>
      <c r="K252" s="71">
        <f t="shared" si="80"/>
        <v>3755.079999999999</v>
      </c>
      <c r="L252" s="71">
        <f t="shared" si="80"/>
        <v>4042.4799999999996</v>
      </c>
      <c r="M252" s="71">
        <f t="shared" si="80"/>
        <v>4083.8599999999997</v>
      </c>
      <c r="N252" s="71">
        <f t="shared" si="80"/>
        <v>3981.8199999999988</v>
      </c>
      <c r="O252" s="61"/>
      <c r="P252" s="61"/>
      <c r="Q252" s="62"/>
      <c r="R252" s="62"/>
      <c r="S252" s="181"/>
      <c r="T252" s="182"/>
      <c r="U252" s="190"/>
      <c r="V252" s="247"/>
      <c r="W252" s="33"/>
      <c r="X252" s="186"/>
      <c r="Y252" s="186"/>
      <c r="Z252" s="186"/>
      <c r="AA252" s="186"/>
    </row>
    <row r="253" spans="1:29" x14ac:dyDescent="0.25">
      <c r="A253" s="280">
        <v>43230</v>
      </c>
      <c r="B253" s="72" t="s">
        <v>172</v>
      </c>
      <c r="C253" s="73" t="s">
        <v>174</v>
      </c>
      <c r="D253" s="72" t="s">
        <v>195</v>
      </c>
      <c r="E253" s="88" t="s">
        <v>192</v>
      </c>
      <c r="F253" s="33">
        <v>1263.1300000000001</v>
      </c>
      <c r="G253" s="33">
        <v>1241.54</v>
      </c>
      <c r="H253" s="33">
        <v>1246.29</v>
      </c>
      <c r="I253" s="33">
        <v>1247.3</v>
      </c>
      <c r="J253" s="33">
        <v>1293.4000000000001</v>
      </c>
      <c r="K253" s="33">
        <v>1284.27</v>
      </c>
      <c r="L253" s="33">
        <v>1249.56</v>
      </c>
      <c r="M253" s="33">
        <v>1239.75</v>
      </c>
      <c r="N253" s="33">
        <v>1265.07</v>
      </c>
      <c r="O253" s="74">
        <f>IF((N254=""),"",MAX(F255:N255))</f>
        <v>2129.2200000000003</v>
      </c>
      <c r="P253" s="74">
        <f>IF(N254="","",MIN(F255:N255))</f>
        <v>1957.7400000000002</v>
      </c>
      <c r="Q253" s="75">
        <f>IF((N255=""),"",AVERAGE(F255:N255))</f>
        <v>2068.4299999999998</v>
      </c>
      <c r="R253" s="75">
        <f>IF((N254=""),"",(O253-P253)/(O253+P253)*100)</f>
        <v>4.1957836631628398</v>
      </c>
      <c r="S253" s="181">
        <f>STDEV(F255:N255)</f>
        <v>66.008590350044528</v>
      </c>
      <c r="T253" s="191" t="str">
        <f>IF(N254="","",IF(Q253&gt;1940,IF(R253&lt;8.3,IF(Q253&lt;2180,"Pass","Fail"),"Fail"),"Fail"))</f>
        <v>Pass</v>
      </c>
      <c r="U253" s="183"/>
      <c r="V253" s="246"/>
      <c r="W253" s="33"/>
      <c r="X253" s="184">
        <v>2000</v>
      </c>
      <c r="Y253" s="184">
        <v>3000</v>
      </c>
      <c r="Z253" s="184">
        <v>1940</v>
      </c>
      <c r="AA253" s="184">
        <v>2180</v>
      </c>
      <c r="AB253" s="57">
        <v>5.2</v>
      </c>
    </row>
    <row r="254" spans="1:29" x14ac:dyDescent="0.25">
      <c r="A254" s="281"/>
      <c r="B254" s="58"/>
      <c r="C254" s="59"/>
      <c r="D254" s="60"/>
      <c r="E254" s="88" t="s">
        <v>193</v>
      </c>
      <c r="F254" s="33">
        <v>579</v>
      </c>
      <c r="G254" s="33">
        <v>531.79999999999995</v>
      </c>
      <c r="H254" s="33">
        <v>539.62</v>
      </c>
      <c r="I254" s="33">
        <v>544.83000000000004</v>
      </c>
      <c r="J254" s="33">
        <v>640.82000000000005</v>
      </c>
      <c r="K254" s="33">
        <v>617.96</v>
      </c>
      <c r="L254" s="33">
        <v>544.54999999999995</v>
      </c>
      <c r="M254" s="33">
        <v>530.19000000000005</v>
      </c>
      <c r="N254" s="33">
        <v>596.25</v>
      </c>
      <c r="O254" s="61"/>
      <c r="P254" s="61"/>
      <c r="Q254" s="62"/>
      <c r="R254" s="62"/>
      <c r="S254" s="181"/>
      <c r="T254" s="182"/>
      <c r="U254" s="185">
        <v>1335</v>
      </c>
      <c r="V254" s="246"/>
      <c r="W254" s="33"/>
      <c r="X254" s="186"/>
      <c r="Y254" s="186"/>
      <c r="Z254" s="186"/>
      <c r="AA254" s="186"/>
    </row>
    <row r="255" spans="1:29" ht="13.3" thickBot="1" x14ac:dyDescent="0.3">
      <c r="A255" s="281"/>
      <c r="B255" s="76"/>
      <c r="C255" s="77"/>
      <c r="D255" s="78"/>
      <c r="E255" s="92" t="s">
        <v>196</v>
      </c>
      <c r="F255" s="79">
        <f t="shared" ref="F255:N255" si="81">IF(((F253="")*AND(F254="")),"",(F253-F254)*3)</f>
        <v>2052.3900000000003</v>
      </c>
      <c r="G255" s="79">
        <f t="shared" si="81"/>
        <v>2129.2200000000003</v>
      </c>
      <c r="H255" s="79">
        <f t="shared" si="81"/>
        <v>2120.0099999999998</v>
      </c>
      <c r="I255" s="79">
        <f t="shared" si="81"/>
        <v>2107.41</v>
      </c>
      <c r="J255" s="79">
        <f t="shared" si="81"/>
        <v>1957.7400000000002</v>
      </c>
      <c r="K255" s="79">
        <f t="shared" si="81"/>
        <v>1998.9299999999998</v>
      </c>
      <c r="L255" s="79">
        <f t="shared" si="81"/>
        <v>2115.0299999999997</v>
      </c>
      <c r="M255" s="79">
        <f t="shared" si="81"/>
        <v>2128.6799999999998</v>
      </c>
      <c r="N255" s="79">
        <f t="shared" si="81"/>
        <v>2006.4599999999998</v>
      </c>
      <c r="O255" s="80"/>
      <c r="P255" s="80"/>
      <c r="Q255" s="81"/>
      <c r="R255" s="81"/>
      <c r="S255" s="204"/>
      <c r="T255" s="192"/>
      <c r="U255" s="193"/>
      <c r="V255" s="246"/>
      <c r="W255" s="33"/>
      <c r="X255" s="186"/>
      <c r="Y255" s="186"/>
      <c r="Z255" s="186"/>
      <c r="AA255" s="186"/>
    </row>
    <row r="256" spans="1:29" x14ac:dyDescent="0.25">
      <c r="A256" s="280">
        <v>43234</v>
      </c>
      <c r="B256" s="52" t="s">
        <v>191</v>
      </c>
      <c r="C256" s="53" t="s">
        <v>176</v>
      </c>
      <c r="D256" s="54" t="s">
        <v>175</v>
      </c>
      <c r="E256" s="86" t="s">
        <v>192</v>
      </c>
      <c r="F256" s="33">
        <v>29312.080000000002</v>
      </c>
      <c r="G256" s="33">
        <v>29194.47</v>
      </c>
      <c r="H256" s="33">
        <v>29251.5</v>
      </c>
      <c r="I256" s="33">
        <v>29160.23</v>
      </c>
      <c r="J256" s="33">
        <v>29373.65</v>
      </c>
      <c r="K256" s="33">
        <v>29317.1</v>
      </c>
      <c r="L256" s="33">
        <v>29127.09</v>
      </c>
      <c r="M256" s="33">
        <v>29215.58</v>
      </c>
      <c r="N256" s="33">
        <v>29436.59</v>
      </c>
      <c r="O256" s="55">
        <f>IF((N257=""),"",MAX(F258:N258))</f>
        <v>4378.5300000000061</v>
      </c>
      <c r="P256" s="55">
        <f>IF(N257="","",MIN(F258:N258))</f>
        <v>3795.6299999999974</v>
      </c>
      <c r="Q256" s="56">
        <f>IF((N258=""),"",AVERAGE(F258:N258))</f>
        <v>4075.6666666666683</v>
      </c>
      <c r="R256" s="56">
        <f>IF((N257=""),"",(O256-P256)/(O256+P256)*100)</f>
        <v>7.1310079567809836</v>
      </c>
      <c r="S256" s="181">
        <f>STDEV(F258:N258)</f>
        <v>213.64811682998857</v>
      </c>
      <c r="T256" s="191" t="str">
        <f>IF(N257="","",IF(Q256&gt;3200,IF(R256,IF(Q256&lt;5240,"Pass","Fail"),"Fail"),"Fail"))</f>
        <v>Pass</v>
      </c>
      <c r="U256" s="183">
        <v>1335</v>
      </c>
      <c r="V256" s="246"/>
      <c r="W256" s="33"/>
      <c r="X256" s="184">
        <v>4200</v>
      </c>
      <c r="Y256" s="184">
        <v>5500</v>
      </c>
      <c r="Z256" s="184">
        <v>3200</v>
      </c>
      <c r="AA256" s="184">
        <v>5240</v>
      </c>
      <c r="AB256" s="57">
        <v>16</v>
      </c>
    </row>
    <row r="257" spans="1:29" x14ac:dyDescent="0.25">
      <c r="A257" s="281"/>
      <c r="B257" s="58"/>
      <c r="C257" s="59"/>
      <c r="D257" s="60"/>
      <c r="E257" s="88" t="s">
        <v>193</v>
      </c>
      <c r="F257" s="33">
        <v>27919.19</v>
      </c>
      <c r="G257" s="33">
        <v>27872.82</v>
      </c>
      <c r="H257" s="33">
        <v>27936.99</v>
      </c>
      <c r="I257" s="33">
        <v>27856.59</v>
      </c>
      <c r="J257" s="33">
        <v>27914.14</v>
      </c>
      <c r="K257" s="33">
        <v>27907.119999999999</v>
      </c>
      <c r="L257" s="33">
        <v>27861.88</v>
      </c>
      <c r="M257" s="33">
        <v>27908.66</v>
      </c>
      <c r="N257" s="33">
        <v>27983.9</v>
      </c>
      <c r="O257" s="61"/>
      <c r="P257" s="61"/>
      <c r="Q257" s="62"/>
      <c r="R257" s="62"/>
      <c r="S257" s="181"/>
      <c r="T257" s="182"/>
      <c r="U257" s="185"/>
      <c r="V257" s="246"/>
      <c r="W257" s="33"/>
      <c r="X257" s="186"/>
      <c r="Y257" s="186"/>
      <c r="Z257" s="186"/>
      <c r="AA257" s="186"/>
    </row>
    <row r="258" spans="1:29" ht="22.75" thickBot="1" x14ac:dyDescent="0.3">
      <c r="A258" s="281"/>
      <c r="B258" s="63"/>
      <c r="C258" s="64"/>
      <c r="D258" s="65"/>
      <c r="E258" s="88" t="s">
        <v>194</v>
      </c>
      <c r="F258" s="66">
        <f t="shared" ref="F258:N258" si="82">IF(((F256="")*AND(F257="")),"",(F256-F257)*3)</f>
        <v>4178.6700000000092</v>
      </c>
      <c r="G258" s="66">
        <f t="shared" si="82"/>
        <v>3964.9500000000044</v>
      </c>
      <c r="H258" s="66">
        <f t="shared" si="82"/>
        <v>3943.5299999999952</v>
      </c>
      <c r="I258" s="66">
        <f t="shared" si="82"/>
        <v>3910.9199999999983</v>
      </c>
      <c r="J258" s="66">
        <f t="shared" si="82"/>
        <v>4378.5300000000061</v>
      </c>
      <c r="K258" s="66">
        <f t="shared" si="82"/>
        <v>4229.9399999999987</v>
      </c>
      <c r="L258" s="66">
        <f t="shared" si="82"/>
        <v>3795.6299999999974</v>
      </c>
      <c r="M258" s="66">
        <f t="shared" si="82"/>
        <v>3920.7600000000057</v>
      </c>
      <c r="N258" s="66">
        <f t="shared" si="82"/>
        <v>4358.0699999999961</v>
      </c>
      <c r="O258" s="67"/>
      <c r="P258" s="67"/>
      <c r="Q258" s="68"/>
      <c r="R258" s="68"/>
      <c r="S258" s="205"/>
      <c r="T258" s="187"/>
      <c r="U258" s="188"/>
      <c r="V258" s="246"/>
      <c r="W258" s="33"/>
      <c r="X258" s="186"/>
      <c r="Y258" s="186"/>
      <c r="Z258" s="186"/>
      <c r="AA258" s="186"/>
    </row>
    <row r="259" spans="1:29" x14ac:dyDescent="0.25">
      <c r="A259" s="280">
        <v>43234</v>
      </c>
      <c r="B259" s="69" t="s">
        <v>177</v>
      </c>
      <c r="C259" s="59" t="s">
        <v>179</v>
      </c>
      <c r="D259" s="70" t="s">
        <v>178</v>
      </c>
      <c r="E259" s="67" t="s">
        <v>192</v>
      </c>
      <c r="F259" s="33">
        <v>6868.33</v>
      </c>
      <c r="G259" s="33">
        <v>6885.98</v>
      </c>
      <c r="H259" s="33">
        <v>6956.29</v>
      </c>
      <c r="I259" s="33">
        <v>6921.16</v>
      </c>
      <c r="J259" s="33">
        <v>7000</v>
      </c>
      <c r="K259" s="33">
        <v>6930.7</v>
      </c>
      <c r="L259" s="33">
        <v>6923.27</v>
      </c>
      <c r="M259" s="33">
        <v>6925.92</v>
      </c>
      <c r="N259" s="33">
        <v>6981.98</v>
      </c>
      <c r="O259" s="61">
        <f>IF((N260=""),"",MAX(F261:N261))</f>
        <v>4051.2199999999993</v>
      </c>
      <c r="P259" s="61">
        <f>IF(N260="","",MIN(F261:N261))</f>
        <v>3764.8799999999992</v>
      </c>
      <c r="Q259" s="62">
        <f>IF((N261=""),"",AVERAGE(F261:N261))</f>
        <v>3960.4466666666663</v>
      </c>
      <c r="R259" s="62">
        <f>IF((N260=""),"",(O259-P259)/(O259+P259)*100)</f>
        <v>3.6634638758460127</v>
      </c>
      <c r="S259" s="181">
        <f>STDEV(F261:N261)</f>
        <v>97.536987855890047</v>
      </c>
      <c r="T259" s="182" t="str">
        <f>IF(N260="","",IF(Q259&gt;3650,IF(R259&lt;7,IF(Q259&lt;4450,"Pass","Fail"),"Fail"),"Fail"))</f>
        <v>Pass</v>
      </c>
      <c r="U259" s="183">
        <v>1335</v>
      </c>
      <c r="V259" s="246"/>
      <c r="W259" s="33"/>
      <c r="X259" s="184">
        <v>3650</v>
      </c>
      <c r="Y259" s="184">
        <v>4450</v>
      </c>
      <c r="Z259" s="184">
        <v>3700</v>
      </c>
      <c r="AA259" s="184">
        <v>4100</v>
      </c>
      <c r="AB259" s="57">
        <v>6.5</v>
      </c>
      <c r="AC259" s="57">
        <v>7</v>
      </c>
    </row>
    <row r="260" spans="1:29" x14ac:dyDescent="0.25">
      <c r="A260" s="281"/>
      <c r="B260" s="69"/>
      <c r="C260" s="59"/>
      <c r="D260" s="60"/>
      <c r="E260" s="88" t="s">
        <v>193</v>
      </c>
      <c r="F260" s="33">
        <v>4927.3100000000004</v>
      </c>
      <c r="G260" s="33">
        <v>4883.28</v>
      </c>
      <c r="H260" s="33">
        <v>4935.4399999999996</v>
      </c>
      <c r="I260" s="33">
        <v>4907.59</v>
      </c>
      <c r="J260" s="33">
        <v>5061.82</v>
      </c>
      <c r="K260" s="33">
        <v>5048.26</v>
      </c>
      <c r="L260" s="33">
        <v>4916.04</v>
      </c>
      <c r="M260" s="33">
        <v>4900.3100000000004</v>
      </c>
      <c r="N260" s="33">
        <v>4991.57</v>
      </c>
      <c r="O260" s="61"/>
      <c r="P260" s="61"/>
      <c r="Q260" s="62"/>
      <c r="R260" s="62"/>
      <c r="S260" s="181"/>
      <c r="T260" s="182"/>
      <c r="U260" s="190"/>
      <c r="V260" s="247"/>
      <c r="W260" s="33"/>
      <c r="X260" s="186"/>
      <c r="Y260" s="186"/>
      <c r="Z260" s="186"/>
      <c r="AA260" s="186"/>
    </row>
    <row r="261" spans="1:29" ht="22.75" thickBot="1" x14ac:dyDescent="0.3">
      <c r="A261" s="281"/>
      <c r="B261" s="69"/>
      <c r="C261" s="59"/>
      <c r="D261" s="60"/>
      <c r="E261" s="74" t="s">
        <v>194</v>
      </c>
      <c r="F261" s="71">
        <f t="shared" ref="F261:N261" si="83">IF(((F259="")*AND(F260="")),"",(F259-F260)*2)</f>
        <v>3882.0399999999991</v>
      </c>
      <c r="G261" s="71">
        <f t="shared" si="83"/>
        <v>4005.3999999999996</v>
      </c>
      <c r="H261" s="71">
        <f t="shared" si="83"/>
        <v>4041.7000000000007</v>
      </c>
      <c r="I261" s="71">
        <f t="shared" si="83"/>
        <v>4027.1399999999994</v>
      </c>
      <c r="J261" s="71">
        <f t="shared" si="83"/>
        <v>3876.3600000000006</v>
      </c>
      <c r="K261" s="71">
        <f t="shared" si="83"/>
        <v>3764.8799999999992</v>
      </c>
      <c r="L261" s="71">
        <f t="shared" si="83"/>
        <v>4014.4600000000009</v>
      </c>
      <c r="M261" s="71">
        <f t="shared" si="83"/>
        <v>4051.2199999999993</v>
      </c>
      <c r="N261" s="71">
        <f t="shared" si="83"/>
        <v>3980.8199999999997</v>
      </c>
      <c r="O261" s="61"/>
      <c r="P261" s="61"/>
      <c r="Q261" s="62"/>
      <c r="R261" s="62"/>
      <c r="S261" s="181"/>
      <c r="T261" s="182"/>
      <c r="U261" s="190"/>
      <c r="V261" s="247"/>
      <c r="W261" s="33"/>
      <c r="X261" s="186"/>
      <c r="Y261" s="186"/>
      <c r="Z261" s="186"/>
      <c r="AA261" s="186"/>
    </row>
    <row r="262" spans="1:29" x14ac:dyDescent="0.25">
      <c r="A262" s="280">
        <v>43234</v>
      </c>
      <c r="B262" s="72" t="s">
        <v>172</v>
      </c>
      <c r="C262" s="73" t="s">
        <v>174</v>
      </c>
      <c r="D262" s="72" t="s">
        <v>195</v>
      </c>
      <c r="E262" s="88" t="s">
        <v>192</v>
      </c>
      <c r="F262" s="33">
        <v>1955.25</v>
      </c>
      <c r="G262" s="33">
        <v>1955.12</v>
      </c>
      <c r="H262" s="33">
        <v>1954.01</v>
      </c>
      <c r="I262" s="33">
        <v>1952.64</v>
      </c>
      <c r="J262" s="33">
        <v>1953.18</v>
      </c>
      <c r="K262" s="33">
        <v>1950.18</v>
      </c>
      <c r="L262" s="33">
        <v>1950.44</v>
      </c>
      <c r="M262" s="33">
        <v>1954.85</v>
      </c>
      <c r="N262" s="33">
        <v>1960.13</v>
      </c>
      <c r="O262" s="74">
        <f>IF((N263=""),"",MAX(F264:N264))</f>
        <v>2095.83</v>
      </c>
      <c r="P262" s="74">
        <f>IF(N263="","",MIN(F264:N264))</f>
        <v>1947.78</v>
      </c>
      <c r="Q262" s="75">
        <f>IF((N264=""),"",AVERAGE(F264:N264))</f>
        <v>2044.846666666667</v>
      </c>
      <c r="R262" s="75">
        <f>IF((N263=""),"",(O262-P262)/(O262+P262)*100)</f>
        <v>3.6613323243339484</v>
      </c>
      <c r="S262" s="181">
        <f>STDEV(F264:N264)</f>
        <v>54.219649344126125</v>
      </c>
      <c r="T262" s="189" t="str">
        <f>IF(N263="","",IF(Q262&gt;2000,IF(R262&lt;5.5,IF(Q262&lt;3000,"Pass","Fail"),"Fail"),"Fail"))</f>
        <v>Pass</v>
      </c>
      <c r="U262" s="183">
        <v>1335</v>
      </c>
      <c r="V262" s="246"/>
      <c r="W262" s="33"/>
      <c r="X262" s="184">
        <v>2000</v>
      </c>
      <c r="Y262" s="184">
        <v>3000</v>
      </c>
      <c r="Z262" s="184">
        <v>1940</v>
      </c>
      <c r="AA262" s="184">
        <v>2180</v>
      </c>
      <c r="AB262" s="57">
        <v>5.2</v>
      </c>
    </row>
    <row r="263" spans="1:29" x14ac:dyDescent="0.25">
      <c r="A263" s="281"/>
      <c r="B263" s="58"/>
      <c r="C263" s="59"/>
      <c r="D263" s="60"/>
      <c r="E263" s="88" t="s">
        <v>193</v>
      </c>
      <c r="F263" s="33">
        <v>1279.17</v>
      </c>
      <c r="G263" s="33">
        <v>1260.78</v>
      </c>
      <c r="H263" s="33">
        <v>1255.4000000000001</v>
      </c>
      <c r="I263" s="33">
        <v>1259.4000000000001</v>
      </c>
      <c r="J263" s="33">
        <v>1303.92</v>
      </c>
      <c r="K263" s="33">
        <v>1293.93</v>
      </c>
      <c r="L263" s="33">
        <v>1262.8</v>
      </c>
      <c r="M263" s="33">
        <v>1256.81</v>
      </c>
      <c r="N263" s="33">
        <v>1279.05</v>
      </c>
      <c r="O263" s="61"/>
      <c r="P263" s="61"/>
      <c r="Q263" s="62"/>
      <c r="R263" s="62"/>
      <c r="S263" s="181"/>
      <c r="T263" s="182"/>
      <c r="U263" s="185"/>
      <c r="V263" s="246"/>
      <c r="W263" s="33"/>
      <c r="X263" s="186"/>
      <c r="Y263" s="186"/>
      <c r="Z263" s="186"/>
      <c r="AA263" s="186"/>
    </row>
    <row r="264" spans="1:29" ht="13.3" thickBot="1" x14ac:dyDescent="0.3">
      <c r="A264" s="281"/>
      <c r="B264" s="76"/>
      <c r="C264" s="77"/>
      <c r="D264" s="78"/>
      <c r="E264" s="92" t="s">
        <v>196</v>
      </c>
      <c r="F264" s="79">
        <f t="shared" ref="F264:N264" si="84">IF(((F262="")*AND(F263="")),"",(F262-F263)*3)</f>
        <v>2028.2399999999998</v>
      </c>
      <c r="G264" s="79">
        <f t="shared" si="84"/>
        <v>2083.0199999999995</v>
      </c>
      <c r="H264" s="79">
        <f t="shared" si="84"/>
        <v>2095.83</v>
      </c>
      <c r="I264" s="79">
        <f t="shared" si="84"/>
        <v>2079.7200000000003</v>
      </c>
      <c r="J264" s="79">
        <f t="shared" si="84"/>
        <v>1947.78</v>
      </c>
      <c r="K264" s="79">
        <f t="shared" si="84"/>
        <v>1968.75</v>
      </c>
      <c r="L264" s="79">
        <f t="shared" si="84"/>
        <v>2062.92</v>
      </c>
      <c r="M264" s="79">
        <f t="shared" si="84"/>
        <v>2094.12</v>
      </c>
      <c r="N264" s="79">
        <f t="shared" si="84"/>
        <v>2043.2400000000005</v>
      </c>
      <c r="O264" s="80"/>
      <c r="P264" s="80"/>
      <c r="Q264" s="81"/>
      <c r="R264" s="81"/>
      <c r="S264" s="204"/>
      <c r="T264" s="192"/>
      <c r="U264" s="193"/>
      <c r="V264" s="246"/>
      <c r="W264" s="33"/>
      <c r="X264" s="186"/>
      <c r="Y264" s="186"/>
      <c r="Z264" s="186"/>
      <c r="AA264" s="186"/>
    </row>
    <row r="265" spans="1:29" x14ac:dyDescent="0.25">
      <c r="A265" s="280">
        <v>43237</v>
      </c>
      <c r="B265" s="52" t="s">
        <v>191</v>
      </c>
      <c r="C265" s="53" t="s">
        <v>176</v>
      </c>
      <c r="D265" s="54" t="s">
        <v>175</v>
      </c>
      <c r="E265" s="86" t="s">
        <v>192</v>
      </c>
      <c r="F265" s="33">
        <v>27885</v>
      </c>
      <c r="G265" s="33">
        <v>27893</v>
      </c>
      <c r="H265" s="199">
        <v>27940</v>
      </c>
      <c r="I265" s="199">
        <v>27846</v>
      </c>
      <c r="J265" s="199">
        <v>27839</v>
      </c>
      <c r="K265" s="199">
        <v>27865</v>
      </c>
      <c r="L265" s="199">
        <v>27850</v>
      </c>
      <c r="M265" s="199">
        <v>27840</v>
      </c>
      <c r="N265" s="199">
        <v>27934</v>
      </c>
      <c r="O265" s="55">
        <f>IF((N266=""),"",MAX(F267:N267))</f>
        <v>4851</v>
      </c>
      <c r="P265" s="55">
        <f>IF(N266="","",MIN(F267:N267))</f>
        <v>4170</v>
      </c>
      <c r="Q265" s="56">
        <f>IF((N267=""),"",AVERAGE(F267:N267))</f>
        <v>4470</v>
      </c>
      <c r="R265" s="56">
        <f>IF((N266=""),"",(O265-P265)/(O265+P265)*100)</f>
        <v>7.5490522115064849</v>
      </c>
      <c r="S265" s="181">
        <f>STDEV(F267:N267)</f>
        <v>289.57770977753103</v>
      </c>
      <c r="T265" s="182" t="str">
        <f>IF(N266="","",IF(R265&lt;16,IF(Q265&gt;3200,IF(R265,IF(Q265&lt;5240,"Pass","Fail"),"Fail"),"Fail")))</f>
        <v>Pass</v>
      </c>
      <c r="U265" s="183">
        <v>121</v>
      </c>
      <c r="V265" s="246"/>
      <c r="W265" s="33"/>
      <c r="X265" s="184">
        <v>4200</v>
      </c>
      <c r="Y265" s="184">
        <v>5500</v>
      </c>
      <c r="Z265" s="184">
        <v>3200</v>
      </c>
      <c r="AA265" s="184">
        <v>5240</v>
      </c>
      <c r="AB265" s="57">
        <v>16</v>
      </c>
    </row>
    <row r="266" spans="1:29" x14ac:dyDescent="0.25">
      <c r="A266" s="281"/>
      <c r="B266" s="58"/>
      <c r="C266" s="59"/>
      <c r="D266" s="60"/>
      <c r="E266" s="88" t="s">
        <v>193</v>
      </c>
      <c r="F266" s="33">
        <v>26268</v>
      </c>
      <c r="G266" s="33">
        <v>26444</v>
      </c>
      <c r="H266" s="199">
        <v>26543</v>
      </c>
      <c r="I266" s="199">
        <v>26419</v>
      </c>
      <c r="J266" s="199">
        <v>26280</v>
      </c>
      <c r="K266" s="199">
        <v>26289</v>
      </c>
      <c r="L266" s="199">
        <v>26457</v>
      </c>
      <c r="M266" s="199">
        <v>26450</v>
      </c>
      <c r="N266" s="199">
        <v>26332</v>
      </c>
      <c r="O266" s="61"/>
      <c r="P266" s="61"/>
      <c r="Q266" s="62"/>
      <c r="R266" s="62"/>
      <c r="S266" s="181"/>
      <c r="T266" s="182"/>
      <c r="U266" s="185"/>
      <c r="V266" s="246"/>
      <c r="W266" s="206"/>
      <c r="X266" s="186"/>
      <c r="Y266" s="186"/>
      <c r="Z266" s="186"/>
      <c r="AA266" s="186"/>
    </row>
    <row r="267" spans="1:29" ht="22.75" thickBot="1" x14ac:dyDescent="0.3">
      <c r="A267" s="281"/>
      <c r="B267" s="63"/>
      <c r="C267" s="64"/>
      <c r="D267" s="65"/>
      <c r="E267" s="88" t="s">
        <v>194</v>
      </c>
      <c r="F267" s="66">
        <f t="shared" ref="F267:N267" si="85">IF(((F265="")*AND(F266="")),"",(F265-F266)*3)</f>
        <v>4851</v>
      </c>
      <c r="G267" s="66">
        <f t="shared" si="85"/>
        <v>4347</v>
      </c>
      <c r="H267" s="66">
        <f t="shared" si="85"/>
        <v>4191</v>
      </c>
      <c r="I267" s="66">
        <f t="shared" si="85"/>
        <v>4281</v>
      </c>
      <c r="J267" s="66">
        <f t="shared" si="85"/>
        <v>4677</v>
      </c>
      <c r="K267" s="66">
        <f t="shared" si="85"/>
        <v>4728</v>
      </c>
      <c r="L267" s="66">
        <f t="shared" si="85"/>
        <v>4179</v>
      </c>
      <c r="M267" s="66">
        <f t="shared" si="85"/>
        <v>4170</v>
      </c>
      <c r="N267" s="66">
        <f t="shared" si="85"/>
        <v>4806</v>
      </c>
      <c r="O267" s="67"/>
      <c r="P267" s="67"/>
      <c r="Q267" s="68"/>
      <c r="R267" s="68"/>
      <c r="S267" s="205"/>
      <c r="T267" s="187"/>
      <c r="U267" s="188"/>
      <c r="V267" s="246"/>
      <c r="W267" s="33"/>
      <c r="X267" s="186"/>
      <c r="Y267" s="186"/>
      <c r="Z267" s="186"/>
      <c r="AA267" s="186"/>
    </row>
    <row r="268" spans="1:29" x14ac:dyDescent="0.25">
      <c r="A268" s="280">
        <v>43237</v>
      </c>
      <c r="B268" s="69" t="s">
        <v>177</v>
      </c>
      <c r="C268" s="59" t="s">
        <v>179</v>
      </c>
      <c r="D268" s="70" t="s">
        <v>178</v>
      </c>
      <c r="E268" s="67" t="s">
        <v>192</v>
      </c>
      <c r="F268" s="33">
        <v>4942</v>
      </c>
      <c r="G268" s="33">
        <v>4898</v>
      </c>
      <c r="H268" s="199">
        <v>4950</v>
      </c>
      <c r="I268" s="199">
        <v>4923</v>
      </c>
      <c r="J268" s="199">
        <v>5073</v>
      </c>
      <c r="K268" s="199">
        <v>5059</v>
      </c>
      <c r="L268" s="199">
        <v>4931</v>
      </c>
      <c r="M268" s="199">
        <v>4916</v>
      </c>
      <c r="N268" s="199">
        <v>5005</v>
      </c>
      <c r="O268" s="61">
        <f>IF((N269=""),"",MAX(F270:N270))</f>
        <v>4072</v>
      </c>
      <c r="P268" s="61">
        <f>IF(N269="","",MIN(F270:N270))</f>
        <v>3772</v>
      </c>
      <c r="Q268" s="62">
        <f>IF((N270=""),"",AVERAGE(F270:N270))</f>
        <v>3984.6666666666665</v>
      </c>
      <c r="R268" s="62">
        <f>IF((N269=""),"",(O268-P268)/(O268+P268)*100)</f>
        <v>3.8245792962774097</v>
      </c>
      <c r="S268" s="181">
        <f>STDEV(F270:N270)</f>
        <v>98.483501156285058</v>
      </c>
      <c r="T268" s="182" t="str">
        <f>IF(N269="","",IF(Q268&gt;3650,IF(R268&lt;7,IF(Q268&lt;4450,"Pass","Fail"),"Fail"),"Fail"))</f>
        <v>Pass</v>
      </c>
      <c r="U268" s="183">
        <v>121</v>
      </c>
      <c r="V268" s="246"/>
      <c r="W268" s="33"/>
      <c r="X268" s="184">
        <v>3650</v>
      </c>
      <c r="Y268" s="184">
        <v>4450</v>
      </c>
      <c r="Z268" s="184">
        <v>3700</v>
      </c>
      <c r="AA268" s="184">
        <v>4100</v>
      </c>
      <c r="AB268" s="57">
        <v>6.5</v>
      </c>
      <c r="AC268" s="57">
        <v>7</v>
      </c>
    </row>
    <row r="269" spans="1:29" x14ac:dyDescent="0.25">
      <c r="A269" s="281"/>
      <c r="B269" s="69"/>
      <c r="C269" s="59"/>
      <c r="D269" s="60"/>
      <c r="E269" s="88" t="s">
        <v>193</v>
      </c>
      <c r="F269" s="83">
        <v>2978</v>
      </c>
      <c r="G269" s="84">
        <v>2874</v>
      </c>
      <c r="H269" s="199">
        <v>2922</v>
      </c>
      <c r="I269" s="199">
        <v>2900</v>
      </c>
      <c r="J269" s="199">
        <v>3118</v>
      </c>
      <c r="K269" s="199">
        <v>3173</v>
      </c>
      <c r="L269" s="199">
        <v>2911</v>
      </c>
      <c r="M269" s="199">
        <v>2880</v>
      </c>
      <c r="N269" s="199">
        <v>3010</v>
      </c>
      <c r="O269" s="61"/>
      <c r="P269" s="61"/>
      <c r="Q269" s="62"/>
      <c r="R269" s="62"/>
      <c r="S269" s="181"/>
      <c r="T269" s="182"/>
      <c r="U269" s="190"/>
      <c r="V269" s="247"/>
      <c r="W269" s="33"/>
      <c r="X269" s="186"/>
      <c r="Y269" s="186"/>
      <c r="Z269" s="186"/>
      <c r="AA269" s="186"/>
    </row>
    <row r="270" spans="1:29" ht="22.75" thickBot="1" x14ac:dyDescent="0.3">
      <c r="A270" s="281"/>
      <c r="B270" s="69"/>
      <c r="C270" s="59"/>
      <c r="D270" s="60"/>
      <c r="E270" s="74" t="s">
        <v>194</v>
      </c>
      <c r="F270" s="71">
        <f t="shared" ref="F270:N270" si="86">IF(((F268="")*AND(F269="")),"",(F268-F269)*2)</f>
        <v>3928</v>
      </c>
      <c r="G270" s="71">
        <f t="shared" si="86"/>
        <v>4048</v>
      </c>
      <c r="H270" s="71">
        <f t="shared" si="86"/>
        <v>4056</v>
      </c>
      <c r="I270" s="71">
        <f t="shared" si="86"/>
        <v>4046</v>
      </c>
      <c r="J270" s="71">
        <f t="shared" si="86"/>
        <v>3910</v>
      </c>
      <c r="K270" s="71">
        <f t="shared" si="86"/>
        <v>3772</v>
      </c>
      <c r="L270" s="71">
        <f t="shared" si="86"/>
        <v>4040</v>
      </c>
      <c r="M270" s="71">
        <f t="shared" si="86"/>
        <v>4072</v>
      </c>
      <c r="N270" s="71">
        <f t="shared" si="86"/>
        <v>3990</v>
      </c>
      <c r="O270" s="61"/>
      <c r="P270" s="61"/>
      <c r="Q270" s="62"/>
      <c r="R270" s="62"/>
      <c r="S270" s="181"/>
      <c r="T270" s="182"/>
      <c r="U270" s="190"/>
      <c r="V270" s="247"/>
      <c r="W270" s="33"/>
      <c r="X270" s="186"/>
      <c r="Y270" s="186"/>
      <c r="Z270" s="186"/>
      <c r="AA270" s="186"/>
    </row>
    <row r="271" spans="1:29" x14ac:dyDescent="0.25">
      <c r="A271" s="280">
        <v>43237</v>
      </c>
      <c r="B271" s="72" t="s">
        <v>172</v>
      </c>
      <c r="C271" s="73" t="s">
        <v>174</v>
      </c>
      <c r="D271" s="72" t="s">
        <v>195</v>
      </c>
      <c r="E271" s="88" t="s">
        <v>192</v>
      </c>
      <c r="F271" s="83">
        <v>1284</v>
      </c>
      <c r="G271" s="84">
        <v>1261</v>
      </c>
      <c r="H271" s="199">
        <v>1264</v>
      </c>
      <c r="I271" s="199">
        <v>1261</v>
      </c>
      <c r="J271" s="199">
        <v>1304</v>
      </c>
      <c r="K271" s="199">
        <v>1296</v>
      </c>
      <c r="L271" s="199">
        <v>1263</v>
      </c>
      <c r="M271" s="199">
        <v>1259</v>
      </c>
      <c r="N271" s="199">
        <v>1285</v>
      </c>
      <c r="O271" s="74">
        <f>IF((N272=""),"",MAX(F273:N273))</f>
        <v>2124</v>
      </c>
      <c r="P271" s="74">
        <f>IF(N272="","",MIN(F273:N273))</f>
        <v>1971</v>
      </c>
      <c r="Q271" s="75">
        <f>IF((N273=""),"",AVERAGE(F273:N273))</f>
        <v>2061.6666666666665</v>
      </c>
      <c r="R271" s="75">
        <f>IF((N272=""),"",(O271-P271)/(O271+P271)*100)</f>
        <v>3.7362637362637363</v>
      </c>
      <c r="S271" s="181">
        <f>STDEV(F273:N273)</f>
        <v>53.82843114934709</v>
      </c>
      <c r="T271" s="191" t="str">
        <f>IF(N272="","",IF(Q271&gt;1940,IF(R271&lt;8.3,IF(Q271&lt;2180,"Pass","Fail"),"Fail"),"Fail"))</f>
        <v>Pass</v>
      </c>
      <c r="U271" s="183">
        <v>121</v>
      </c>
      <c r="V271" s="246"/>
      <c r="W271" s="33"/>
      <c r="X271" s="184">
        <v>2000</v>
      </c>
      <c r="Y271" s="184">
        <v>3000</v>
      </c>
      <c r="Z271" s="184">
        <v>1940</v>
      </c>
      <c r="AA271" s="184">
        <v>2180</v>
      </c>
      <c r="AB271" s="57">
        <v>5.2</v>
      </c>
    </row>
    <row r="272" spans="1:29" x14ac:dyDescent="0.25">
      <c r="A272" s="281"/>
      <c r="B272" s="58"/>
      <c r="C272" s="59"/>
      <c r="D272" s="60"/>
      <c r="E272" s="88" t="s">
        <v>193</v>
      </c>
      <c r="F272" s="83">
        <v>609</v>
      </c>
      <c r="G272" s="84">
        <v>564</v>
      </c>
      <c r="H272" s="199">
        <v>556</v>
      </c>
      <c r="I272" s="199">
        <v>560</v>
      </c>
      <c r="J272" s="199">
        <v>647</v>
      </c>
      <c r="K272" s="199">
        <v>617</v>
      </c>
      <c r="L272" s="199">
        <v>567</v>
      </c>
      <c r="M272" s="199">
        <v>555</v>
      </c>
      <c r="N272" s="199">
        <v>617</v>
      </c>
      <c r="O272" s="61"/>
      <c r="P272" s="61"/>
      <c r="Q272" s="62"/>
      <c r="R272" s="62"/>
      <c r="S272" s="181"/>
      <c r="T272" s="182"/>
      <c r="U272" s="185"/>
      <c r="V272" s="246"/>
      <c r="W272" s="33"/>
      <c r="X272" s="186"/>
      <c r="Y272" s="186"/>
      <c r="Z272" s="186"/>
      <c r="AA272" s="186"/>
    </row>
    <row r="273" spans="1:29" ht="13.3" thickBot="1" x14ac:dyDescent="0.3">
      <c r="A273" s="281"/>
      <c r="B273" s="76"/>
      <c r="C273" s="77"/>
      <c r="D273" s="78"/>
      <c r="E273" s="92" t="s">
        <v>196</v>
      </c>
      <c r="F273" s="79">
        <f t="shared" ref="F273:N273" si="87">IF(((F271="")*AND(F272="")),"",(F271-F272)*3)</f>
        <v>2025</v>
      </c>
      <c r="G273" s="79">
        <f t="shared" si="87"/>
        <v>2091</v>
      </c>
      <c r="H273" s="79">
        <f t="shared" si="87"/>
        <v>2124</v>
      </c>
      <c r="I273" s="79">
        <f t="shared" si="87"/>
        <v>2103</v>
      </c>
      <c r="J273" s="79">
        <f t="shared" si="87"/>
        <v>1971</v>
      </c>
      <c r="K273" s="79">
        <f t="shared" si="87"/>
        <v>2037</v>
      </c>
      <c r="L273" s="79">
        <f t="shared" si="87"/>
        <v>2088</v>
      </c>
      <c r="M273" s="79">
        <f t="shared" si="87"/>
        <v>2112</v>
      </c>
      <c r="N273" s="79">
        <f t="shared" si="87"/>
        <v>2004</v>
      </c>
      <c r="O273" s="80"/>
      <c r="P273" s="80"/>
      <c r="Q273" s="81"/>
      <c r="R273" s="81"/>
      <c r="S273" s="204"/>
      <c r="T273" s="192"/>
      <c r="U273" s="193"/>
      <c r="V273" s="246"/>
      <c r="W273" s="33"/>
      <c r="X273" s="186"/>
      <c r="Y273" s="186"/>
      <c r="Z273" s="186"/>
      <c r="AA273" s="186"/>
    </row>
    <row r="274" spans="1:29" x14ac:dyDescent="0.25">
      <c r="A274" s="280">
        <v>43241</v>
      </c>
      <c r="B274" s="52" t="s">
        <v>191</v>
      </c>
      <c r="C274" s="53" t="s">
        <v>176</v>
      </c>
      <c r="D274" s="54" t="s">
        <v>175</v>
      </c>
      <c r="E274" s="86" t="s">
        <v>192</v>
      </c>
      <c r="F274" s="33">
        <v>29382.49</v>
      </c>
      <c r="G274" s="33">
        <v>29235.49</v>
      </c>
      <c r="H274" s="33">
        <v>29287.95</v>
      </c>
      <c r="I274" s="33">
        <v>29202.19</v>
      </c>
      <c r="J274" s="33">
        <v>29437.08</v>
      </c>
      <c r="K274" s="33">
        <v>29362.13</v>
      </c>
      <c r="L274" s="33">
        <v>29215.040000000001</v>
      </c>
      <c r="M274" s="33">
        <v>29209.759999999998</v>
      </c>
      <c r="N274" s="33">
        <v>29438.03</v>
      </c>
      <c r="O274" s="55">
        <f>IF((N275=""),"",MAX(F276:N276))</f>
        <v>4716.9900000000052</v>
      </c>
      <c r="P274" s="55">
        <f>IF(N275="","",MIN(F276:N276))</f>
        <v>4100.8799999999974</v>
      </c>
      <c r="Q274" s="56">
        <f>IF((N276=""),"",AVERAGE(F276:N276))</f>
        <v>4384.71</v>
      </c>
      <c r="R274" s="56">
        <f>IF((N275=""),"",(O274-P274)/(O274+P274)*100)</f>
        <v>6.9870615012469868</v>
      </c>
      <c r="S274" s="181">
        <f>STDEV(F276:N276)</f>
        <v>253.22934382689721</v>
      </c>
      <c r="T274" s="182" t="str">
        <f>IF(N275="","",IF(R274&lt;16,IF(Q274&gt;3200,IF(R274,IF(Q274&lt;5240,"Pass","Fail"),"Fail"),"Fail")))</f>
        <v>Pass</v>
      </c>
      <c r="U274" s="183">
        <v>102</v>
      </c>
      <c r="V274" s="246"/>
      <c r="W274" s="33"/>
      <c r="X274" s="184">
        <v>4200</v>
      </c>
      <c r="Y274" s="184">
        <v>5500</v>
      </c>
      <c r="Z274" s="184">
        <v>3200</v>
      </c>
      <c r="AA274" s="184">
        <v>5240</v>
      </c>
      <c r="AB274" s="57">
        <v>16</v>
      </c>
    </row>
    <row r="275" spans="1:29" x14ac:dyDescent="0.25">
      <c r="A275" s="281"/>
      <c r="B275" s="58"/>
      <c r="C275" s="59"/>
      <c r="D275" s="60"/>
      <c r="E275" s="88" t="s">
        <v>193</v>
      </c>
      <c r="F275" s="33">
        <v>27852.77</v>
      </c>
      <c r="G275" s="33">
        <v>27840.73</v>
      </c>
      <c r="H275" s="33">
        <v>27920.99</v>
      </c>
      <c r="I275" s="33">
        <v>27800.02</v>
      </c>
      <c r="J275" s="33">
        <v>27864.75</v>
      </c>
      <c r="K275" s="33">
        <v>27825.67</v>
      </c>
      <c r="L275" s="33">
        <v>27819.64</v>
      </c>
      <c r="M275" s="33">
        <v>27810.99</v>
      </c>
      <c r="N275" s="33">
        <v>27880.47</v>
      </c>
      <c r="O275" s="61"/>
      <c r="P275" s="61"/>
      <c r="Q275" s="62"/>
      <c r="R275" s="62"/>
      <c r="S275" s="181"/>
      <c r="T275" s="182"/>
      <c r="U275" s="185"/>
      <c r="V275" s="246"/>
      <c r="W275" s="33"/>
      <c r="X275" s="186"/>
      <c r="Y275" s="186"/>
      <c r="Z275" s="186"/>
      <c r="AA275" s="186"/>
    </row>
    <row r="276" spans="1:29" ht="22.75" thickBot="1" x14ac:dyDescent="0.3">
      <c r="A276" s="281"/>
      <c r="B276" s="63"/>
      <c r="C276" s="64"/>
      <c r="D276" s="65"/>
      <c r="E276" s="88" t="s">
        <v>194</v>
      </c>
      <c r="F276" s="66">
        <f t="shared" ref="F276:N276" si="88">IF(((F274="")*AND(F275="")),"",(F274-F275)*3)</f>
        <v>4589.1600000000035</v>
      </c>
      <c r="G276" s="66">
        <f t="shared" si="88"/>
        <v>4184.2800000000061</v>
      </c>
      <c r="H276" s="66">
        <f t="shared" si="88"/>
        <v>4100.8799999999974</v>
      </c>
      <c r="I276" s="66">
        <f t="shared" si="88"/>
        <v>4206.5099999999948</v>
      </c>
      <c r="J276" s="66">
        <f t="shared" si="88"/>
        <v>4716.9900000000052</v>
      </c>
      <c r="K276" s="66">
        <f t="shared" si="88"/>
        <v>4609.3800000000083</v>
      </c>
      <c r="L276" s="66">
        <f t="shared" si="88"/>
        <v>4186.2000000000044</v>
      </c>
      <c r="M276" s="66">
        <f t="shared" si="88"/>
        <v>4196.3099999999904</v>
      </c>
      <c r="N276" s="66">
        <f t="shared" si="88"/>
        <v>4672.679999999993</v>
      </c>
      <c r="O276" s="67"/>
      <c r="P276" s="67"/>
      <c r="Q276" s="68"/>
      <c r="R276" s="68"/>
      <c r="S276" s="205"/>
      <c r="T276" s="187"/>
      <c r="U276" s="188"/>
      <c r="V276" s="246"/>
      <c r="W276" s="33"/>
      <c r="X276" s="186"/>
      <c r="Y276" s="186"/>
      <c r="Z276" s="186"/>
      <c r="AA276" s="186"/>
    </row>
    <row r="277" spans="1:29" x14ac:dyDescent="0.25">
      <c r="A277" s="280">
        <v>43241</v>
      </c>
      <c r="B277" s="69" t="s">
        <v>177</v>
      </c>
      <c r="C277" s="59" t="s">
        <v>179</v>
      </c>
      <c r="D277" s="70" t="s">
        <v>178</v>
      </c>
      <c r="E277" s="67" t="s">
        <v>192</v>
      </c>
      <c r="F277" s="33">
        <v>6990.52</v>
      </c>
      <c r="G277" s="33">
        <v>6987.59</v>
      </c>
      <c r="H277" s="33">
        <v>6999.97</v>
      </c>
      <c r="I277" s="33">
        <v>6999.94</v>
      </c>
      <c r="J277" s="33">
        <v>6999.95</v>
      </c>
      <c r="K277" s="33">
        <v>7000</v>
      </c>
      <c r="L277" s="33">
        <v>6999.94</v>
      </c>
      <c r="M277" s="33">
        <v>6999.99</v>
      </c>
      <c r="N277" s="33">
        <v>6999.91</v>
      </c>
      <c r="O277" s="61">
        <f>IF((N278=""),"",MAX(F279:N279))</f>
        <v>4030.4600000000009</v>
      </c>
      <c r="P277" s="61">
        <f>IF(N278="","",MIN(F279:N279))</f>
        <v>3570.8199999999997</v>
      </c>
      <c r="Q277" s="62">
        <f>IF((N279=""),"",AVERAGE(F279:N279))</f>
        <v>3860.6000000000004</v>
      </c>
      <c r="R277" s="62">
        <f>IF((N278=""),"",(O277-P277)/(O277+P277)*100)</f>
        <v>6.0468763155679204</v>
      </c>
      <c r="S277" s="181">
        <f>STDEV(F279:N279)</f>
        <v>164.95196421989056</v>
      </c>
      <c r="T277" s="182" t="str">
        <f>IF(N278="","",IF(Q277&gt;3650,IF(R277&lt;7,IF(Q277&lt;4450,"Pass","Fail"),"Fail"),"Fail"))</f>
        <v>Pass</v>
      </c>
      <c r="U277" s="183">
        <v>102</v>
      </c>
      <c r="V277" s="246"/>
      <c r="W277" s="33"/>
      <c r="X277" s="184">
        <v>3650</v>
      </c>
      <c r="Y277" s="184">
        <v>4450</v>
      </c>
      <c r="Z277" s="184">
        <v>3700</v>
      </c>
      <c r="AA277" s="184">
        <v>4100</v>
      </c>
      <c r="AB277" s="57">
        <v>6.5</v>
      </c>
      <c r="AC277" s="57">
        <v>7</v>
      </c>
    </row>
    <row r="278" spans="1:29" x14ac:dyDescent="0.25">
      <c r="A278" s="281"/>
      <c r="B278" s="69"/>
      <c r="C278" s="59"/>
      <c r="D278" s="60"/>
      <c r="E278" s="88" t="s">
        <v>193</v>
      </c>
      <c r="F278" s="33">
        <v>5027.46</v>
      </c>
      <c r="G278" s="33">
        <v>4972.3599999999997</v>
      </c>
      <c r="H278" s="33">
        <v>5038.13</v>
      </c>
      <c r="I278" s="33">
        <v>5021.1899999999996</v>
      </c>
      <c r="J278" s="33">
        <v>5214.54</v>
      </c>
      <c r="K278" s="33">
        <v>5182.05</v>
      </c>
      <c r="L278" s="33">
        <v>5026.01</v>
      </c>
      <c r="M278" s="33">
        <v>5001.96</v>
      </c>
      <c r="N278" s="33">
        <v>5121.41</v>
      </c>
      <c r="O278" s="61"/>
      <c r="P278" s="61"/>
      <c r="Q278" s="62"/>
      <c r="R278" s="62"/>
      <c r="S278" s="181"/>
      <c r="T278" s="182"/>
      <c r="U278" s="190"/>
      <c r="V278" s="247"/>
      <c r="W278" s="33"/>
      <c r="X278" s="186"/>
      <c r="Y278" s="186"/>
      <c r="Z278" s="186"/>
      <c r="AA278" s="186"/>
    </row>
    <row r="279" spans="1:29" ht="22.75" thickBot="1" x14ac:dyDescent="0.3">
      <c r="A279" s="281"/>
      <c r="B279" s="69"/>
      <c r="C279" s="59"/>
      <c r="D279" s="60"/>
      <c r="E279" s="74" t="s">
        <v>194</v>
      </c>
      <c r="F279" s="71">
        <f t="shared" ref="F279:N279" si="89">IF(((F277="")*AND(F278="")),"",(F277-F278)*2)</f>
        <v>3926.1200000000008</v>
      </c>
      <c r="G279" s="71">
        <f t="shared" si="89"/>
        <v>4030.4600000000009</v>
      </c>
      <c r="H279" s="71">
        <f t="shared" si="89"/>
        <v>3923.6800000000003</v>
      </c>
      <c r="I279" s="71">
        <f t="shared" si="89"/>
        <v>3957.5</v>
      </c>
      <c r="J279" s="71">
        <f t="shared" si="89"/>
        <v>3570.8199999999997</v>
      </c>
      <c r="K279" s="71">
        <f t="shared" si="89"/>
        <v>3635.8999999999996</v>
      </c>
      <c r="L279" s="71">
        <f t="shared" si="89"/>
        <v>3947.8599999999988</v>
      </c>
      <c r="M279" s="71">
        <f t="shared" si="89"/>
        <v>3996.0599999999995</v>
      </c>
      <c r="N279" s="71">
        <f t="shared" si="89"/>
        <v>3757</v>
      </c>
      <c r="O279" s="61"/>
      <c r="P279" s="61"/>
      <c r="Q279" s="62"/>
      <c r="R279" s="62"/>
      <c r="S279" s="181"/>
      <c r="T279" s="182"/>
      <c r="U279" s="190"/>
      <c r="V279" s="247"/>
      <c r="W279" s="33"/>
      <c r="X279" s="186"/>
      <c r="Y279" s="186"/>
      <c r="Z279" s="186"/>
      <c r="AA279" s="186"/>
    </row>
    <row r="280" spans="1:29" x14ac:dyDescent="0.25">
      <c r="A280" s="280">
        <v>43241</v>
      </c>
      <c r="B280" s="72" t="s">
        <v>172</v>
      </c>
      <c r="C280" s="73" t="s">
        <v>174</v>
      </c>
      <c r="D280" s="72" t="s">
        <v>195</v>
      </c>
      <c r="E280" s="88" t="s">
        <v>192</v>
      </c>
      <c r="F280" s="33">
        <v>1941.42</v>
      </c>
      <c r="G280" s="33">
        <v>1947.21</v>
      </c>
      <c r="H280" s="33">
        <v>1952.48</v>
      </c>
      <c r="I280" s="33">
        <v>1948.02</v>
      </c>
      <c r="J280" s="33">
        <v>1944.39</v>
      </c>
      <c r="K280" s="33">
        <v>1938.73</v>
      </c>
      <c r="L280" s="33">
        <v>1944.64</v>
      </c>
      <c r="M280" s="33">
        <v>1950.86</v>
      </c>
      <c r="N280" s="33">
        <v>1943.61</v>
      </c>
      <c r="O280" s="74">
        <f>IF((N281=""),"",MAX(F282:N282))</f>
        <v>2145.9899999999998</v>
      </c>
      <c r="P280" s="74">
        <f>IF(N281="","",MIN(F282:N282))</f>
        <v>1981.3500000000001</v>
      </c>
      <c r="Q280" s="75">
        <f>IF((N282=""),"",AVERAGE(F282:N282))</f>
        <v>2091.25</v>
      </c>
      <c r="R280" s="75">
        <f>IF((N281=""),"",(O280-P280)/(O280+P280)*100)</f>
        <v>3.9890098707642125</v>
      </c>
      <c r="S280" s="181">
        <f>STDEV(F282:N282)</f>
        <v>52.981409947263543</v>
      </c>
      <c r="T280" s="191" t="str">
        <f>IF(N281="","",IF(Q280&gt;1940,IF(R280&lt;8.3,IF(Q280&lt;2180,"Pass","Fail"),"Fail"),"Fail"))</f>
        <v>Pass</v>
      </c>
      <c r="U280" s="183">
        <v>102</v>
      </c>
      <c r="V280" s="246"/>
      <c r="W280" s="33"/>
      <c r="X280" s="184">
        <v>2000</v>
      </c>
      <c r="Y280" s="184">
        <v>3000</v>
      </c>
      <c r="Z280" s="184">
        <v>1940</v>
      </c>
      <c r="AA280" s="184">
        <v>2180</v>
      </c>
      <c r="AB280" s="57">
        <v>5.2</v>
      </c>
    </row>
    <row r="281" spans="1:29" x14ac:dyDescent="0.25">
      <c r="A281" s="281"/>
      <c r="B281" s="58"/>
      <c r="C281" s="59"/>
      <c r="D281" s="60"/>
      <c r="E281" s="88" t="s">
        <v>193</v>
      </c>
      <c r="F281" s="33">
        <v>1248.95</v>
      </c>
      <c r="G281" s="33">
        <v>1238.93</v>
      </c>
      <c r="H281" s="33">
        <v>1242.9100000000001</v>
      </c>
      <c r="I281" s="33">
        <v>1239.43</v>
      </c>
      <c r="J281" s="33">
        <v>1283.94</v>
      </c>
      <c r="K281" s="33">
        <v>1257.01</v>
      </c>
      <c r="L281" s="33">
        <v>1237.48</v>
      </c>
      <c r="M281" s="33">
        <v>1235.53</v>
      </c>
      <c r="N281" s="33">
        <v>1253.43</v>
      </c>
      <c r="O281" s="61"/>
      <c r="P281" s="61"/>
      <c r="Q281" s="62"/>
      <c r="R281" s="62"/>
      <c r="S281" s="181"/>
      <c r="T281" s="182"/>
      <c r="U281" s="185"/>
      <c r="V281" s="246"/>
      <c r="W281" s="33"/>
      <c r="X281" s="186"/>
      <c r="Y281" s="186"/>
      <c r="Z281" s="186"/>
      <c r="AA281" s="186"/>
    </row>
    <row r="282" spans="1:29" ht="13.3" thickBot="1" x14ac:dyDescent="0.3">
      <c r="A282" s="281"/>
      <c r="B282" s="76"/>
      <c r="C282" s="77"/>
      <c r="D282" s="78"/>
      <c r="E282" s="92" t="s">
        <v>196</v>
      </c>
      <c r="F282" s="79">
        <f t="shared" ref="F282:N282" si="90">IF(((F280="")*AND(F281="")),"",(F280-F281)*3)</f>
        <v>2077.41</v>
      </c>
      <c r="G282" s="79">
        <f t="shared" si="90"/>
        <v>2124.84</v>
      </c>
      <c r="H282" s="79">
        <f t="shared" si="90"/>
        <v>2128.71</v>
      </c>
      <c r="I282" s="79">
        <f t="shared" si="90"/>
        <v>2125.7699999999995</v>
      </c>
      <c r="J282" s="79">
        <f t="shared" si="90"/>
        <v>1981.3500000000001</v>
      </c>
      <c r="K282" s="79">
        <f t="shared" si="90"/>
        <v>2045.16</v>
      </c>
      <c r="L282" s="79">
        <f t="shared" si="90"/>
        <v>2121.4800000000005</v>
      </c>
      <c r="M282" s="79">
        <f t="shared" si="90"/>
        <v>2145.9899999999998</v>
      </c>
      <c r="N282" s="79">
        <f t="shared" si="90"/>
        <v>2070.5399999999995</v>
      </c>
      <c r="O282" s="80"/>
      <c r="P282" s="80"/>
      <c r="Q282" s="81"/>
      <c r="R282" s="81"/>
      <c r="S282" s="204"/>
      <c r="T282" s="192"/>
      <c r="U282" s="193"/>
      <c r="V282" s="246"/>
      <c r="W282" s="33"/>
      <c r="X282" s="186"/>
      <c r="Y282" s="186"/>
      <c r="Z282" s="186"/>
      <c r="AA282" s="186"/>
    </row>
    <row r="283" spans="1:29" x14ac:dyDescent="0.25">
      <c r="A283" s="280">
        <v>43244</v>
      </c>
      <c r="B283" s="52" t="s">
        <v>191</v>
      </c>
      <c r="C283" s="53" t="s">
        <v>176</v>
      </c>
      <c r="D283" s="54" t="s">
        <v>175</v>
      </c>
      <c r="E283" s="86" t="s">
        <v>192</v>
      </c>
      <c r="F283" s="33">
        <v>27782.15</v>
      </c>
      <c r="G283" s="33">
        <v>27766.92</v>
      </c>
      <c r="H283" s="33">
        <v>27854.12</v>
      </c>
      <c r="I283" s="33">
        <v>27729.18</v>
      </c>
      <c r="J283" s="33">
        <v>27793.83</v>
      </c>
      <c r="K283" s="33">
        <v>27755.96</v>
      </c>
      <c r="L283" s="33">
        <v>27750.92</v>
      </c>
      <c r="M283" s="33">
        <v>27742.2</v>
      </c>
      <c r="N283" s="33">
        <v>27808.63</v>
      </c>
      <c r="O283" s="55">
        <f>IF((N284=""),"",MAX(F285:N285))</f>
        <v>4606.1400000000031</v>
      </c>
      <c r="P283" s="55">
        <f>IF(N284="","",MIN(F285:N285))</f>
        <v>4012.5600000000013</v>
      </c>
      <c r="Q283" s="56">
        <f>IF((N285=""),"",AVERAGE(F285:N285))</f>
        <v>4283.4300000000021</v>
      </c>
      <c r="R283" s="56">
        <f>IF((N284=""),"",(O283-P283)/(O283+P283)*100)</f>
        <v>6.8871175467298027</v>
      </c>
      <c r="S283" s="181">
        <f>STDEV(F285:N285)</f>
        <v>263.7261411957511</v>
      </c>
      <c r="T283" s="182" t="str">
        <f>IF(N284="","",IF(R283&lt;16,IF(Q283&gt;3200,IF(R283,IF(Q283&lt;5240,"Pass","Fail"),"Fail"),"Fail")))</f>
        <v>Pass</v>
      </c>
      <c r="U283" s="183">
        <v>1159</v>
      </c>
      <c r="V283" s="33" t="s">
        <v>201</v>
      </c>
      <c r="X283" s="184">
        <v>4200</v>
      </c>
      <c r="Y283" s="184">
        <v>5500</v>
      </c>
      <c r="Z283" s="184">
        <v>3200</v>
      </c>
      <c r="AA283" s="184">
        <v>5240</v>
      </c>
      <c r="AB283" s="57">
        <v>16</v>
      </c>
    </row>
    <row r="284" spans="1:29" x14ac:dyDescent="0.25">
      <c r="A284" s="281"/>
      <c r="B284" s="58"/>
      <c r="C284" s="59"/>
      <c r="D284" s="60"/>
      <c r="E284" s="88" t="s">
        <v>193</v>
      </c>
      <c r="F284" s="33">
        <v>26288.12</v>
      </c>
      <c r="G284" s="33">
        <v>26409.07</v>
      </c>
      <c r="H284" s="33">
        <v>26516.6</v>
      </c>
      <c r="I284" s="33">
        <v>26371.040000000001</v>
      </c>
      <c r="J284" s="33">
        <v>26258.45</v>
      </c>
      <c r="K284" s="33">
        <v>26241.759999999998</v>
      </c>
      <c r="L284" s="33">
        <v>26386.71</v>
      </c>
      <c r="M284" s="33">
        <v>26386.89</v>
      </c>
      <c r="N284" s="33">
        <v>26274.98</v>
      </c>
      <c r="O284" s="61"/>
      <c r="P284" s="61"/>
      <c r="Q284" s="62"/>
      <c r="R284" s="62"/>
      <c r="S284" s="181"/>
      <c r="T284" s="182"/>
      <c r="U284" s="185"/>
      <c r="V284" s="33"/>
      <c r="X284" s="186"/>
      <c r="Y284" s="186"/>
      <c r="Z284" s="186"/>
      <c r="AA284" s="186"/>
    </row>
    <row r="285" spans="1:29" ht="22.75" thickBot="1" x14ac:dyDescent="0.3">
      <c r="A285" s="281"/>
      <c r="B285" s="63"/>
      <c r="C285" s="64"/>
      <c r="D285" s="65"/>
      <c r="E285" s="88" t="s">
        <v>194</v>
      </c>
      <c r="F285" s="66">
        <f t="shared" ref="F285:N285" si="91">IF(((F283="")*AND(F284="")),"",(F283-F284)*3)</f>
        <v>4482.0900000000074</v>
      </c>
      <c r="G285" s="66">
        <f t="shared" si="91"/>
        <v>4073.5499999999956</v>
      </c>
      <c r="H285" s="66">
        <f t="shared" si="91"/>
        <v>4012.5600000000013</v>
      </c>
      <c r="I285" s="66">
        <f t="shared" si="91"/>
        <v>4074.4199999999983</v>
      </c>
      <c r="J285" s="66">
        <f t="shared" si="91"/>
        <v>4606.1400000000031</v>
      </c>
      <c r="K285" s="66">
        <f t="shared" si="91"/>
        <v>4542.6000000000022</v>
      </c>
      <c r="L285" s="66">
        <f t="shared" si="91"/>
        <v>4092.6299999999974</v>
      </c>
      <c r="M285" s="66">
        <f t="shared" si="91"/>
        <v>4065.9300000000039</v>
      </c>
      <c r="N285" s="66">
        <f t="shared" si="91"/>
        <v>4600.9500000000044</v>
      </c>
      <c r="O285" s="67"/>
      <c r="P285" s="67"/>
      <c r="Q285" s="68"/>
      <c r="R285" s="68"/>
      <c r="S285" s="205"/>
      <c r="T285" s="187"/>
      <c r="U285" s="188"/>
      <c r="V285" s="33"/>
      <c r="X285" s="186"/>
      <c r="Y285" s="186"/>
      <c r="Z285" s="186"/>
      <c r="AA285" s="186"/>
    </row>
    <row r="286" spans="1:29" x14ac:dyDescent="0.25">
      <c r="A286" s="280">
        <v>43244</v>
      </c>
      <c r="B286" s="69" t="s">
        <v>177</v>
      </c>
      <c r="C286" s="59" t="s">
        <v>179</v>
      </c>
      <c r="D286" s="70" t="s">
        <v>178</v>
      </c>
      <c r="E286" s="67" t="s">
        <v>192</v>
      </c>
      <c r="F286" s="33">
        <v>6855.3</v>
      </c>
      <c r="G286" s="33">
        <v>6847.12</v>
      </c>
      <c r="H286" s="33">
        <v>6915.85</v>
      </c>
      <c r="I286" s="33">
        <v>6889.95</v>
      </c>
      <c r="J286" s="33">
        <v>7000</v>
      </c>
      <c r="K286" s="33">
        <v>6934.37</v>
      </c>
      <c r="L286" s="33">
        <v>6894.35</v>
      </c>
      <c r="M286" s="33">
        <v>6886.61</v>
      </c>
      <c r="N286" s="33">
        <v>6975.03</v>
      </c>
      <c r="O286" s="61">
        <f>IF((N287=""),"",MAX(F288:N288))</f>
        <v>4069.26</v>
      </c>
      <c r="P286" s="61">
        <f>IF(N287="","",MIN(F288:N288))</f>
        <v>3806.76</v>
      </c>
      <c r="Q286" s="62">
        <f>IF((N288=""),"",AVERAGE(F288:N288))</f>
        <v>3988.284444444444</v>
      </c>
      <c r="R286" s="62">
        <f>IF((N287=""),"",(O286-P286)/(O286+P286)*100)</f>
        <v>3.3329016432157355</v>
      </c>
      <c r="S286" s="181">
        <f>STDEV(F288:N288)</f>
        <v>91.663049140740299</v>
      </c>
      <c r="T286" s="182" t="str">
        <f>IF(N287="","",IF(Q286&gt;3650,IF(R286&lt;7,IF(Q286&lt;4450,"Pass","Fail"),"Fail"),"Fail"))</f>
        <v>Pass</v>
      </c>
      <c r="U286" s="183">
        <v>1159</v>
      </c>
      <c r="V286" s="33" t="s">
        <v>201</v>
      </c>
      <c r="X286" s="184">
        <v>3650</v>
      </c>
      <c r="Y286" s="184">
        <v>4450</v>
      </c>
      <c r="Z286" s="184">
        <v>3700</v>
      </c>
      <c r="AA286" s="184">
        <v>4100</v>
      </c>
      <c r="AB286" s="57">
        <v>6.5</v>
      </c>
      <c r="AC286" s="57">
        <v>7</v>
      </c>
    </row>
    <row r="287" spans="1:29" x14ac:dyDescent="0.25">
      <c r="A287" s="281"/>
      <c r="B287" s="69"/>
      <c r="C287" s="59"/>
      <c r="D287" s="60"/>
      <c r="E287" s="88" t="s">
        <v>193</v>
      </c>
      <c r="F287" s="33">
        <v>4891.8</v>
      </c>
      <c r="G287" s="33">
        <v>4828.8999999999996</v>
      </c>
      <c r="H287" s="33">
        <v>4881.22</v>
      </c>
      <c r="I287" s="33">
        <v>4863.8900000000003</v>
      </c>
      <c r="J287" s="33">
        <v>5050.01</v>
      </c>
      <c r="K287" s="33">
        <v>5030.99</v>
      </c>
      <c r="L287" s="33">
        <v>4869.18</v>
      </c>
      <c r="M287" s="33">
        <v>4854.03</v>
      </c>
      <c r="N287" s="33">
        <v>4981.28</v>
      </c>
      <c r="O287" s="61"/>
      <c r="P287" s="61"/>
      <c r="Q287" s="62"/>
      <c r="R287" s="62"/>
      <c r="S287" s="181"/>
      <c r="T287" s="182"/>
      <c r="U287" s="190"/>
      <c r="V287" s="33"/>
      <c r="X287" s="186"/>
      <c r="Y287" s="186"/>
      <c r="Z287" s="186"/>
      <c r="AA287" s="186"/>
    </row>
    <row r="288" spans="1:29" ht="22.75" thickBot="1" x14ac:dyDescent="0.3">
      <c r="A288" s="281"/>
      <c r="B288" s="69"/>
      <c r="C288" s="59"/>
      <c r="D288" s="60"/>
      <c r="E288" s="74" t="s">
        <v>194</v>
      </c>
      <c r="F288" s="71">
        <f t="shared" ref="F288:N288" si="92">IF(((F286="")*AND(F287="")),"",(F286-F287)*2)</f>
        <v>3927</v>
      </c>
      <c r="G288" s="71">
        <f t="shared" si="92"/>
        <v>4036.4400000000005</v>
      </c>
      <c r="H288" s="71">
        <f t="shared" si="92"/>
        <v>4069.26</v>
      </c>
      <c r="I288" s="71">
        <f t="shared" si="92"/>
        <v>4052.119999999999</v>
      </c>
      <c r="J288" s="71">
        <f t="shared" si="92"/>
        <v>3899.9799999999996</v>
      </c>
      <c r="K288" s="71">
        <f t="shared" si="92"/>
        <v>3806.76</v>
      </c>
      <c r="L288" s="71">
        <f t="shared" si="92"/>
        <v>4050.34</v>
      </c>
      <c r="M288" s="71">
        <f t="shared" si="92"/>
        <v>4065.16</v>
      </c>
      <c r="N288" s="71">
        <f t="shared" si="92"/>
        <v>3987.5</v>
      </c>
      <c r="O288" s="61"/>
      <c r="P288" s="61"/>
      <c r="Q288" s="62"/>
      <c r="R288" s="62"/>
      <c r="S288" s="181"/>
      <c r="T288" s="182"/>
      <c r="U288" s="190"/>
      <c r="V288" s="33"/>
      <c r="X288" s="186"/>
      <c r="Y288" s="186"/>
      <c r="Z288" s="186"/>
      <c r="AA288" s="186"/>
    </row>
    <row r="289" spans="1:29" x14ac:dyDescent="0.25">
      <c r="A289" s="280">
        <v>43244</v>
      </c>
      <c r="B289" s="72" t="s">
        <v>172</v>
      </c>
      <c r="C289" s="73" t="s">
        <v>174</v>
      </c>
      <c r="D289" s="72" t="s">
        <v>195</v>
      </c>
      <c r="E289" s="88" t="s">
        <v>192</v>
      </c>
      <c r="F289" s="33">
        <v>1254.3499999999999</v>
      </c>
      <c r="G289" s="33">
        <v>1243.99</v>
      </c>
      <c r="H289" s="33">
        <v>1246.74</v>
      </c>
      <c r="I289" s="33">
        <v>1245.3499999999999</v>
      </c>
      <c r="J289" s="33">
        <v>1287.3800000000001</v>
      </c>
      <c r="K289" s="33">
        <v>1258.81</v>
      </c>
      <c r="L289" s="33">
        <v>1241.5899999999999</v>
      </c>
      <c r="M289" s="33">
        <v>1240.3499999999999</v>
      </c>
      <c r="N289" s="33">
        <v>1272.76</v>
      </c>
      <c r="O289" s="74">
        <f>IF((N290=""),"",MAX(F291:N291))</f>
        <v>2135.46</v>
      </c>
      <c r="P289" s="74">
        <f>IF(N290="","",MIN(F291:N291))</f>
        <v>1954.8900000000003</v>
      </c>
      <c r="Q289" s="75">
        <f>IF((N291=""),"",AVERAGE(F291:N291))</f>
        <v>2074.2833333333328</v>
      </c>
      <c r="R289" s="75">
        <f>IF((N290=""),"",(O289-P289)/(O289+P289)*100)</f>
        <v>4.4145366533426165</v>
      </c>
      <c r="S289" s="181">
        <f>STDEV(F291:N291)</f>
        <v>64.695978623095115</v>
      </c>
      <c r="T289" s="191" t="str">
        <f>IF(N290="","",IF(Q289&gt;1940,IF(R289&lt;8.3,IF(Q289&lt;2180,"Pass","Fail"),"Fail"),"Fail"))</f>
        <v>Pass</v>
      </c>
      <c r="U289" s="183">
        <v>1159</v>
      </c>
      <c r="V289" s="33" t="s">
        <v>201</v>
      </c>
      <c r="X289" s="184">
        <v>2000</v>
      </c>
      <c r="Y289" s="184">
        <v>3000</v>
      </c>
      <c r="Z289" s="184">
        <v>1940</v>
      </c>
      <c r="AA289" s="184">
        <v>2180</v>
      </c>
      <c r="AB289" s="57">
        <v>5.2</v>
      </c>
    </row>
    <row r="290" spans="1:29" x14ac:dyDescent="0.25">
      <c r="A290" s="281"/>
      <c r="B290" s="58"/>
      <c r="C290" s="59"/>
      <c r="D290" s="60"/>
      <c r="E290" s="88" t="s">
        <v>193</v>
      </c>
      <c r="F290" s="33">
        <v>567.49</v>
      </c>
      <c r="G290" s="33">
        <v>532.16999999999996</v>
      </c>
      <c r="H290" s="33">
        <v>536.88</v>
      </c>
      <c r="I290" s="33">
        <v>542.66</v>
      </c>
      <c r="J290" s="33">
        <v>635.75</v>
      </c>
      <c r="K290" s="33">
        <v>580.99</v>
      </c>
      <c r="L290" s="33">
        <v>534</v>
      </c>
      <c r="M290" s="33">
        <v>533.66</v>
      </c>
      <c r="N290" s="33">
        <v>604.87</v>
      </c>
      <c r="O290" s="61"/>
      <c r="P290" s="61"/>
      <c r="Q290" s="62"/>
      <c r="R290" s="62"/>
      <c r="S290" s="181"/>
      <c r="T290" s="182"/>
      <c r="U290" s="185"/>
      <c r="V290" s="33"/>
      <c r="X290" s="186"/>
      <c r="Y290" s="186"/>
      <c r="Z290" s="186"/>
      <c r="AA290" s="186"/>
    </row>
    <row r="291" spans="1:29" ht="13.3" thickBot="1" x14ac:dyDescent="0.3">
      <c r="A291" s="281"/>
      <c r="B291" s="76"/>
      <c r="C291" s="77"/>
      <c r="D291" s="78"/>
      <c r="E291" s="92" t="s">
        <v>196</v>
      </c>
      <c r="F291" s="79">
        <f t="shared" ref="F291:N291" si="93">IF(((F289="")*AND(F290="")),"",(F289-F290)*3)</f>
        <v>2060.58</v>
      </c>
      <c r="G291" s="79">
        <f t="shared" si="93"/>
        <v>2135.46</v>
      </c>
      <c r="H291" s="79">
        <f t="shared" si="93"/>
        <v>2129.58</v>
      </c>
      <c r="I291" s="79">
        <f t="shared" si="93"/>
        <v>2108.0699999999997</v>
      </c>
      <c r="J291" s="79">
        <f t="shared" si="93"/>
        <v>1954.8900000000003</v>
      </c>
      <c r="K291" s="79">
        <f t="shared" si="93"/>
        <v>2033.4599999999998</v>
      </c>
      <c r="L291" s="79">
        <f t="shared" si="93"/>
        <v>2122.7699999999995</v>
      </c>
      <c r="M291" s="79">
        <f t="shared" si="93"/>
        <v>2120.0699999999997</v>
      </c>
      <c r="N291" s="79">
        <f t="shared" si="93"/>
        <v>2003.67</v>
      </c>
      <c r="O291" s="80"/>
      <c r="P291" s="80"/>
      <c r="Q291" s="81"/>
      <c r="R291" s="81"/>
      <c r="S291" s="204"/>
      <c r="T291" s="192"/>
      <c r="U291" s="193"/>
      <c r="V291" s="33"/>
      <c r="X291" s="186"/>
      <c r="Y291" s="186"/>
      <c r="Z291" s="186"/>
      <c r="AA291" s="186"/>
    </row>
    <row r="292" spans="1:29" x14ac:dyDescent="0.25">
      <c r="A292" s="280">
        <v>43248</v>
      </c>
      <c r="B292" s="52" t="s">
        <v>191</v>
      </c>
      <c r="C292" s="53" t="s">
        <v>176</v>
      </c>
      <c r="D292" s="54" t="s">
        <v>175</v>
      </c>
      <c r="E292" s="86" t="s">
        <v>192</v>
      </c>
      <c r="F292" s="33">
        <v>26215.79</v>
      </c>
      <c r="G292" s="33">
        <v>26337.64</v>
      </c>
      <c r="H292" s="33">
        <v>26455.16</v>
      </c>
      <c r="I292" s="33">
        <v>26306.33</v>
      </c>
      <c r="J292" s="33">
        <v>26182.84</v>
      </c>
      <c r="K292" s="33">
        <v>26163.97</v>
      </c>
      <c r="L292" s="33">
        <v>26316.35</v>
      </c>
      <c r="M292" s="33">
        <v>26314.46</v>
      </c>
      <c r="N292" s="33">
        <v>26201.75</v>
      </c>
      <c r="O292" s="55">
        <f>IF((N293=""),"",MAX(F294:N294))</f>
        <v>4581.2700000000004</v>
      </c>
      <c r="P292" s="55">
        <f>IF(N293="","",MIN(F294:N294))</f>
        <v>3976.9199999999983</v>
      </c>
      <c r="Q292" s="56">
        <f>IF((N294=""),"",AVERAGE(F294:N294))</f>
        <v>4247.8266666666668</v>
      </c>
      <c r="R292" s="56">
        <f>IF((N293=""),"",(O292-P292)/(O292+P292)*100)</f>
        <v>7.0616567288176846</v>
      </c>
      <c r="S292" s="181">
        <f>STDEV(F294:N294)</f>
        <v>253.70306915762816</v>
      </c>
      <c r="T292" s="182" t="str">
        <f>IF(N293="","",IF(R292&lt;16,IF(Q292&gt;3200,IF(R292,IF(Q292&lt;5240,"Pass","Fail"),"Fail"),"Fail")))</f>
        <v>Pass</v>
      </c>
      <c r="U292" s="183">
        <v>1428</v>
      </c>
      <c r="V292" s="246"/>
      <c r="W292" s="33"/>
      <c r="X292" s="184">
        <v>4200</v>
      </c>
      <c r="Y292" s="184">
        <v>5500</v>
      </c>
      <c r="Z292" s="184">
        <v>3200</v>
      </c>
      <c r="AA292" s="184">
        <v>5240</v>
      </c>
      <c r="AB292" s="57">
        <v>16</v>
      </c>
    </row>
    <row r="293" spans="1:29" x14ac:dyDescent="0.25">
      <c r="A293" s="281"/>
      <c r="B293" s="58"/>
      <c r="C293" s="59"/>
      <c r="D293" s="60"/>
      <c r="E293" s="88" t="s">
        <v>193</v>
      </c>
      <c r="F293" s="33">
        <v>24738.75</v>
      </c>
      <c r="G293" s="33">
        <v>24988.21</v>
      </c>
      <c r="H293" s="33">
        <v>25129.52</v>
      </c>
      <c r="I293" s="33">
        <v>24949.25</v>
      </c>
      <c r="J293" s="33">
        <v>24657.34</v>
      </c>
      <c r="K293" s="33">
        <v>24682.080000000002</v>
      </c>
      <c r="L293" s="33">
        <v>24964.23</v>
      </c>
      <c r="M293" s="33">
        <v>24966.77</v>
      </c>
      <c r="N293" s="33">
        <v>24674.66</v>
      </c>
      <c r="O293" s="61"/>
      <c r="P293" s="61"/>
      <c r="Q293" s="62"/>
      <c r="R293" s="62"/>
      <c r="S293" s="181"/>
      <c r="T293" s="182"/>
      <c r="U293" s="185"/>
      <c r="V293" s="246"/>
      <c r="W293" s="33"/>
      <c r="X293" s="186"/>
      <c r="Y293" s="186"/>
      <c r="Z293" s="186"/>
      <c r="AA293" s="186"/>
    </row>
    <row r="294" spans="1:29" ht="22.75" thickBot="1" x14ac:dyDescent="0.3">
      <c r="A294" s="281"/>
      <c r="B294" s="63"/>
      <c r="C294" s="64"/>
      <c r="D294" s="65"/>
      <c r="E294" s="88" t="s">
        <v>194</v>
      </c>
      <c r="F294" s="66">
        <f t="shared" ref="F294:N294" si="94">IF(((F292="")*AND(F293="")),"",(F292-F293)*3)</f>
        <v>4431.1200000000026</v>
      </c>
      <c r="G294" s="66">
        <f t="shared" si="94"/>
        <v>4048.2900000000009</v>
      </c>
      <c r="H294" s="66">
        <f t="shared" si="94"/>
        <v>3976.9199999999983</v>
      </c>
      <c r="I294" s="66">
        <f t="shared" si="94"/>
        <v>4071.2400000000052</v>
      </c>
      <c r="J294" s="66">
        <f t="shared" si="94"/>
        <v>4576.5</v>
      </c>
      <c r="K294" s="66">
        <f t="shared" si="94"/>
        <v>4445.6699999999983</v>
      </c>
      <c r="L294" s="66">
        <f t="shared" si="94"/>
        <v>4056.3599999999969</v>
      </c>
      <c r="M294" s="66">
        <f t="shared" si="94"/>
        <v>4043.0699999999961</v>
      </c>
      <c r="N294" s="66">
        <f t="shared" si="94"/>
        <v>4581.2700000000004</v>
      </c>
      <c r="O294" s="67"/>
      <c r="P294" s="67"/>
      <c r="Q294" s="68"/>
      <c r="R294" s="68"/>
      <c r="S294" s="205"/>
      <c r="T294" s="187"/>
      <c r="U294" s="188"/>
      <c r="V294" s="246"/>
      <c r="W294" s="33"/>
      <c r="X294" s="186"/>
      <c r="Y294" s="186"/>
      <c r="Z294" s="186"/>
      <c r="AA294" s="186"/>
    </row>
    <row r="295" spans="1:29" x14ac:dyDescent="0.25">
      <c r="A295" s="280">
        <v>43248</v>
      </c>
      <c r="B295" s="69" t="s">
        <v>177</v>
      </c>
      <c r="C295" s="59" t="s">
        <v>179</v>
      </c>
      <c r="D295" s="70" t="s">
        <v>178</v>
      </c>
      <c r="E295" s="67" t="s">
        <v>192</v>
      </c>
      <c r="F295" s="33">
        <v>4904.3900000000003</v>
      </c>
      <c r="G295" s="33">
        <v>4842.66</v>
      </c>
      <c r="H295" s="33">
        <v>4894.71</v>
      </c>
      <c r="I295" s="33">
        <v>4876.95</v>
      </c>
      <c r="J295" s="33">
        <v>5060.51</v>
      </c>
      <c r="K295" s="33">
        <v>5040.1899999999996</v>
      </c>
      <c r="L295" s="33">
        <v>4882.38</v>
      </c>
      <c r="M295" s="33">
        <v>4867.34</v>
      </c>
      <c r="N295" s="33">
        <v>4992.62</v>
      </c>
      <c r="O295" s="61">
        <f>IF((N296=""),"",MAX(F297:N297))</f>
        <v>4123.6000000000004</v>
      </c>
      <c r="P295" s="61">
        <f>IF(N296="","",MIN(F297:N297))</f>
        <v>3807.5199999999995</v>
      </c>
      <c r="Q295" s="62">
        <f>IF((N297=""),"",AVERAGE(F297:N297))</f>
        <v>4029.2511111111112</v>
      </c>
      <c r="R295" s="62">
        <f>IF((N296=""),"",(O295-P295)/(O295+P295)*100)</f>
        <v>3.9853135496626058</v>
      </c>
      <c r="S295" s="181">
        <f>STDEV(F297:N297)</f>
        <v>102.70881077644286</v>
      </c>
      <c r="T295" s="182" t="str">
        <f>IF(N296="","",IF(Q295&gt;3650,IF(R295&lt;7,IF(Q295&lt;4450,"Pass","Fail"),"Fail"),"Fail"))</f>
        <v>Pass</v>
      </c>
      <c r="U295" s="183">
        <v>1428</v>
      </c>
      <c r="V295" s="246"/>
      <c r="W295" s="33"/>
      <c r="X295" s="184">
        <v>3650</v>
      </c>
      <c r="Y295" s="184">
        <v>4450</v>
      </c>
      <c r="Z295" s="184">
        <v>3700</v>
      </c>
      <c r="AA295" s="184">
        <v>4100</v>
      </c>
      <c r="AB295" s="57">
        <v>6.5</v>
      </c>
      <c r="AC295" s="57">
        <v>7</v>
      </c>
    </row>
    <row r="296" spans="1:29" x14ac:dyDescent="0.25">
      <c r="A296" s="281"/>
      <c r="B296" s="69"/>
      <c r="C296" s="59"/>
      <c r="D296" s="60"/>
      <c r="E296" s="88" t="s">
        <v>193</v>
      </c>
      <c r="F296" s="33">
        <v>2921.55</v>
      </c>
      <c r="G296" s="33">
        <v>2800.74</v>
      </c>
      <c r="H296" s="33">
        <v>2840.73</v>
      </c>
      <c r="I296" s="33">
        <v>2831.04</v>
      </c>
      <c r="J296" s="33">
        <v>3084.51</v>
      </c>
      <c r="K296" s="33">
        <v>3136.43</v>
      </c>
      <c r="L296" s="33">
        <v>2840.93</v>
      </c>
      <c r="M296" s="33">
        <v>2805.54</v>
      </c>
      <c r="N296" s="33">
        <v>2968.65</v>
      </c>
      <c r="O296" s="61"/>
      <c r="P296" s="61"/>
      <c r="Q296" s="62"/>
      <c r="R296" s="62"/>
      <c r="S296" s="181"/>
      <c r="T296" s="182"/>
      <c r="U296" s="190"/>
      <c r="V296" s="247"/>
      <c r="W296" s="33"/>
      <c r="X296" s="186"/>
      <c r="Y296" s="186"/>
      <c r="Z296" s="186"/>
      <c r="AA296" s="186"/>
    </row>
    <row r="297" spans="1:29" ht="22.75" thickBot="1" x14ac:dyDescent="0.3">
      <c r="A297" s="281"/>
      <c r="B297" s="69"/>
      <c r="C297" s="59"/>
      <c r="D297" s="60"/>
      <c r="E297" s="74" t="s">
        <v>194</v>
      </c>
      <c r="F297" s="71">
        <f t="shared" ref="F297:N297" si="95">IF(((F295="")*AND(F296="")),"",(F295-F296)*2)</f>
        <v>3965.6800000000003</v>
      </c>
      <c r="G297" s="71">
        <f t="shared" si="95"/>
        <v>4083.84</v>
      </c>
      <c r="H297" s="71">
        <f t="shared" si="95"/>
        <v>4107.96</v>
      </c>
      <c r="I297" s="71">
        <f t="shared" si="95"/>
        <v>4091.8199999999997</v>
      </c>
      <c r="J297" s="71">
        <f t="shared" si="95"/>
        <v>3952</v>
      </c>
      <c r="K297" s="71">
        <f t="shared" si="95"/>
        <v>3807.5199999999995</v>
      </c>
      <c r="L297" s="71">
        <f t="shared" si="95"/>
        <v>4082.9000000000005</v>
      </c>
      <c r="M297" s="71">
        <f t="shared" si="95"/>
        <v>4123.6000000000004</v>
      </c>
      <c r="N297" s="71">
        <f t="shared" si="95"/>
        <v>4047.9399999999996</v>
      </c>
      <c r="O297" s="61"/>
      <c r="P297" s="61"/>
      <c r="Q297" s="62"/>
      <c r="R297" s="62"/>
      <c r="S297" s="181"/>
      <c r="T297" s="182"/>
      <c r="U297" s="190"/>
      <c r="V297" s="247"/>
      <c r="W297" s="33"/>
      <c r="X297" s="186"/>
      <c r="Y297" s="186"/>
      <c r="Z297" s="186"/>
      <c r="AA297" s="186"/>
    </row>
    <row r="298" spans="1:29" x14ac:dyDescent="0.25">
      <c r="A298" s="280">
        <v>43248</v>
      </c>
      <c r="B298" s="72" t="s">
        <v>172</v>
      </c>
      <c r="C298" s="73" t="s">
        <v>174</v>
      </c>
      <c r="D298" s="72" t="s">
        <v>195</v>
      </c>
      <c r="E298" s="88" t="s">
        <v>192</v>
      </c>
      <c r="F298" s="33">
        <v>1956.4</v>
      </c>
      <c r="G298" s="33">
        <v>1964.54</v>
      </c>
      <c r="H298" s="33">
        <v>1969.77</v>
      </c>
      <c r="I298" s="33">
        <v>1967.39</v>
      </c>
      <c r="J298" s="33">
        <v>1963.15</v>
      </c>
      <c r="K298" s="33">
        <v>1952.13</v>
      </c>
      <c r="L298" s="33">
        <v>1968.03</v>
      </c>
      <c r="M298" s="33">
        <v>1965.9</v>
      </c>
      <c r="N298" s="33">
        <v>1962.57</v>
      </c>
      <c r="O298" s="74">
        <f>IF((N299=""),"",MAX(F300:N300))</f>
        <v>2153.0700000000002</v>
      </c>
      <c r="P298" s="74">
        <f>IF(N299="","",MIN(F300:N300))</f>
        <v>1981.6500000000005</v>
      </c>
      <c r="Q298" s="75">
        <f>IF((N300=""),"",AVERAGE(F300:N300))</f>
        <v>2090.5166666666669</v>
      </c>
      <c r="R298" s="75">
        <f>IF((N299=""),"",(O298-P298)/(O298+P298)*100)</f>
        <v>4.1458671929417124</v>
      </c>
      <c r="S298" s="181">
        <f>STDEV(F300:N300)</f>
        <v>71.145038653443706</v>
      </c>
      <c r="T298" s="191" t="str">
        <f>IF(N299="","",IF(Q298&gt;1940,IF(R298&lt;8.3,IF(Q298&lt;2180,"Pass","Fail"),"Fail"),"Fail"))</f>
        <v>Pass</v>
      </c>
      <c r="U298" s="183">
        <v>1428</v>
      </c>
      <c r="V298" s="246"/>
      <c r="W298" s="33"/>
      <c r="X298" s="184">
        <v>2000</v>
      </c>
      <c r="Y298" s="184">
        <v>3000</v>
      </c>
      <c r="Z298" s="184">
        <v>1940</v>
      </c>
      <c r="AA298" s="184">
        <v>2180</v>
      </c>
      <c r="AB298" s="57">
        <v>5.2</v>
      </c>
    </row>
    <row r="299" spans="1:29" x14ac:dyDescent="0.25">
      <c r="A299" s="281"/>
      <c r="B299" s="58"/>
      <c r="C299" s="59"/>
      <c r="D299" s="60"/>
      <c r="E299" s="88" t="s">
        <v>193</v>
      </c>
      <c r="F299" s="33">
        <v>1263.8699999999999</v>
      </c>
      <c r="G299" s="33">
        <v>1246.8499999999999</v>
      </c>
      <c r="H299" s="33">
        <v>1253.26</v>
      </c>
      <c r="I299" s="33">
        <v>1255.3599999999999</v>
      </c>
      <c r="J299" s="33">
        <v>1302.5999999999999</v>
      </c>
      <c r="K299" s="33">
        <v>1287.3800000000001</v>
      </c>
      <c r="L299" s="33">
        <v>1251.56</v>
      </c>
      <c r="M299" s="33">
        <v>1251.78</v>
      </c>
      <c r="N299" s="33">
        <v>1285.67</v>
      </c>
      <c r="O299" s="61"/>
      <c r="P299" s="61"/>
      <c r="Q299" s="62"/>
      <c r="R299" s="62"/>
      <c r="S299" s="181"/>
      <c r="T299" s="182"/>
      <c r="U299" s="185"/>
      <c r="V299" s="246"/>
      <c r="W299" s="33"/>
      <c r="X299" s="186"/>
      <c r="Y299" s="186"/>
      <c r="Z299" s="186"/>
      <c r="AA299" s="186"/>
    </row>
    <row r="300" spans="1:29" ht="13.3" thickBot="1" x14ac:dyDescent="0.3">
      <c r="A300" s="281"/>
      <c r="B300" s="76"/>
      <c r="C300" s="77"/>
      <c r="D300" s="78"/>
      <c r="E300" s="92" t="s">
        <v>196</v>
      </c>
      <c r="F300" s="79">
        <f t="shared" ref="F300:N300" si="96">IF(((F298="")*AND(F299="")),"",(F298-F299)*3)</f>
        <v>2077.5900000000006</v>
      </c>
      <c r="G300" s="79">
        <f t="shared" si="96"/>
        <v>2153.0700000000002</v>
      </c>
      <c r="H300" s="79">
        <f t="shared" si="96"/>
        <v>2149.5299999999997</v>
      </c>
      <c r="I300" s="79">
        <f t="shared" si="96"/>
        <v>2136.0900000000006</v>
      </c>
      <c r="J300" s="79">
        <f t="shared" si="96"/>
        <v>1981.6500000000005</v>
      </c>
      <c r="K300" s="79">
        <f t="shared" si="96"/>
        <v>1994.25</v>
      </c>
      <c r="L300" s="79">
        <f t="shared" si="96"/>
        <v>2149.41</v>
      </c>
      <c r="M300" s="79">
        <f t="shared" si="96"/>
        <v>2142.3600000000006</v>
      </c>
      <c r="N300" s="79">
        <f t="shared" si="96"/>
        <v>2030.6999999999996</v>
      </c>
      <c r="O300" s="80"/>
      <c r="P300" s="80"/>
      <c r="Q300" s="81"/>
      <c r="R300" s="81"/>
      <c r="S300" s="204"/>
      <c r="T300" s="192"/>
      <c r="U300" s="193"/>
      <c r="V300" s="246"/>
      <c r="W300" s="33"/>
      <c r="X300" s="186"/>
      <c r="Y300" s="186"/>
      <c r="Z300" s="186"/>
      <c r="AA300" s="186"/>
    </row>
    <row r="301" spans="1:29" x14ac:dyDescent="0.25">
      <c r="A301" s="280">
        <v>43252</v>
      </c>
      <c r="B301" s="52" t="s">
        <v>191</v>
      </c>
      <c r="C301" s="53" t="s">
        <v>176</v>
      </c>
      <c r="D301" s="54" t="s">
        <v>175</v>
      </c>
      <c r="E301" s="86" t="s">
        <v>192</v>
      </c>
      <c r="F301" s="33">
        <v>24738.75</v>
      </c>
      <c r="G301" s="33">
        <v>24988.21</v>
      </c>
      <c r="H301" s="33">
        <v>25129.52</v>
      </c>
      <c r="I301" s="33">
        <v>24949.25</v>
      </c>
      <c r="J301" s="33">
        <v>24657.34</v>
      </c>
      <c r="K301" s="33">
        <v>24682.080000000002</v>
      </c>
      <c r="L301" s="33">
        <v>24964.23</v>
      </c>
      <c r="M301" s="33">
        <v>24966.77</v>
      </c>
      <c r="N301" s="33">
        <v>24674.66</v>
      </c>
      <c r="O301" s="55">
        <f>IF((N302=""),"",MAX(F303:N303))</f>
        <v>5165.1000000000022</v>
      </c>
      <c r="P301" s="55">
        <f>IF(N302="","",MIN(F303:N303))</f>
        <v>4240.4700000000048</v>
      </c>
      <c r="Q301" s="56">
        <f>IF((N303=""),"",AVERAGE(F303:N303))</f>
        <v>4599.8133333333353</v>
      </c>
      <c r="R301" s="56">
        <f>IF((N302=""),"",(O301-P301)/(O301+P301)*100)</f>
        <v>9.8306641702735362</v>
      </c>
      <c r="S301" s="181">
        <f>STDEV(F303:N303)</f>
        <v>371.18153169978763</v>
      </c>
      <c r="T301" s="182" t="str">
        <f>IF(N302="","",IF(R301&lt;16,IF(Q301&gt;3200,IF(R301,IF(Q301&lt;5240,"Pass","Fail"),"Fail"),"Fail")))</f>
        <v>Pass</v>
      </c>
      <c r="U301" s="183" t="s">
        <v>51</v>
      </c>
      <c r="V301" s="246"/>
      <c r="W301" s="33"/>
      <c r="X301" s="184">
        <v>4200</v>
      </c>
      <c r="Y301" s="184">
        <v>5500</v>
      </c>
      <c r="Z301" s="184">
        <v>3200</v>
      </c>
      <c r="AA301" s="184">
        <v>5240</v>
      </c>
      <c r="AB301" s="57">
        <v>16</v>
      </c>
    </row>
    <row r="302" spans="1:29" x14ac:dyDescent="0.25">
      <c r="A302" s="281"/>
      <c r="B302" s="58"/>
      <c r="C302" s="59"/>
      <c r="D302" s="60"/>
      <c r="E302" s="88" t="s">
        <v>193</v>
      </c>
      <c r="F302" s="33">
        <v>23114.37</v>
      </c>
      <c r="G302" s="33">
        <v>23556.55</v>
      </c>
      <c r="H302" s="33">
        <v>23716.03</v>
      </c>
      <c r="I302" s="33">
        <v>23511.09</v>
      </c>
      <c r="J302" s="33">
        <v>22972.12</v>
      </c>
      <c r="K302" s="33">
        <v>23082.38</v>
      </c>
      <c r="L302" s="33">
        <v>23543.87</v>
      </c>
      <c r="M302" s="33">
        <v>23502</v>
      </c>
      <c r="N302" s="33">
        <v>22952.959999999999</v>
      </c>
      <c r="O302" s="61"/>
      <c r="P302" s="61"/>
      <c r="Q302" s="62"/>
      <c r="R302" s="62"/>
      <c r="S302" s="181"/>
      <c r="T302" s="182"/>
      <c r="U302" s="185"/>
      <c r="V302" s="246"/>
      <c r="W302" s="33"/>
      <c r="X302" s="186"/>
      <c r="Y302" s="186"/>
      <c r="Z302" s="186"/>
      <c r="AA302" s="186"/>
    </row>
    <row r="303" spans="1:29" ht="22.75" thickBot="1" x14ac:dyDescent="0.3">
      <c r="A303" s="281"/>
      <c r="B303" s="63"/>
      <c r="C303" s="64"/>
      <c r="D303" s="65"/>
      <c r="E303" s="88" t="s">
        <v>194</v>
      </c>
      <c r="F303" s="66">
        <f t="shared" ref="F303:N303" si="97">IF(((F301="")*AND(F302="")),"",(F301-F302)*3)</f>
        <v>4873.1400000000031</v>
      </c>
      <c r="G303" s="66">
        <f t="shared" si="97"/>
        <v>4294.9799999999996</v>
      </c>
      <c r="H303" s="66">
        <f t="shared" si="97"/>
        <v>4240.4700000000048</v>
      </c>
      <c r="I303" s="66">
        <f t="shared" si="97"/>
        <v>4314.4799999999996</v>
      </c>
      <c r="J303" s="66">
        <f t="shared" si="97"/>
        <v>5055.6600000000035</v>
      </c>
      <c r="K303" s="66">
        <f t="shared" si="97"/>
        <v>4799.1000000000022</v>
      </c>
      <c r="L303" s="66">
        <f t="shared" si="97"/>
        <v>4261.0800000000017</v>
      </c>
      <c r="M303" s="66">
        <f t="shared" si="97"/>
        <v>4394.3100000000013</v>
      </c>
      <c r="N303" s="66">
        <f t="shared" si="97"/>
        <v>5165.1000000000022</v>
      </c>
      <c r="O303" s="67"/>
      <c r="P303" s="67"/>
      <c r="Q303" s="68"/>
      <c r="R303" s="68"/>
      <c r="S303" s="205"/>
      <c r="T303" s="187"/>
      <c r="U303" s="188"/>
      <c r="V303" s="246"/>
      <c r="W303" s="33"/>
      <c r="X303" s="186"/>
      <c r="Y303" s="186"/>
      <c r="Z303" s="186"/>
      <c r="AA303" s="186"/>
    </row>
    <row r="304" spans="1:29" x14ac:dyDescent="0.25">
      <c r="A304" s="280">
        <v>43252</v>
      </c>
      <c r="B304" s="69" t="s">
        <v>177</v>
      </c>
      <c r="C304" s="59" t="s">
        <v>179</v>
      </c>
      <c r="D304" s="70" t="s">
        <v>178</v>
      </c>
      <c r="E304" s="67" t="s">
        <v>192</v>
      </c>
      <c r="F304" s="33">
        <v>2921.55</v>
      </c>
      <c r="G304" s="33">
        <v>2800.74</v>
      </c>
      <c r="H304" s="33">
        <v>2840.73</v>
      </c>
      <c r="I304" s="33">
        <v>2831.04</v>
      </c>
      <c r="J304" s="33">
        <v>3084.51</v>
      </c>
      <c r="K304" s="33">
        <v>3136.43</v>
      </c>
      <c r="L304" s="33">
        <v>2840.93</v>
      </c>
      <c r="M304" s="33">
        <v>2805.54</v>
      </c>
      <c r="N304" s="33">
        <v>2968.65</v>
      </c>
      <c r="O304" s="61">
        <f>IF((N305=""),"",MAX(F306:N306))</f>
        <v>3826.84</v>
      </c>
      <c r="P304" s="61">
        <f>IF(N305="","",MIN(F306:N306))</f>
        <v>3493.7599999999998</v>
      </c>
      <c r="Q304" s="62">
        <f>IF((N306=""),"",AVERAGE(F306:N306))</f>
        <v>3698.6555555555551</v>
      </c>
      <c r="R304" s="62">
        <f>IF((N305=""),"",(O304-P304)/(O304+P304)*100)</f>
        <v>4.5499002813977052</v>
      </c>
      <c r="S304" s="181">
        <f>STDEV(F306:N306)</f>
        <v>119.24296238259832</v>
      </c>
      <c r="T304" s="182" t="str">
        <f>IF(N305="","",IF(Q304&gt;3650,IF(R304&lt;7,IF(Q304&lt;4450,"Pass","Fail"),"Fail"),"Fail"))</f>
        <v>Pass</v>
      </c>
      <c r="U304" s="183" t="s">
        <v>51</v>
      </c>
      <c r="V304" s="246"/>
      <c r="W304" s="33"/>
      <c r="X304" s="184">
        <v>3650</v>
      </c>
      <c r="Y304" s="184">
        <v>4450</v>
      </c>
      <c r="Z304" s="184">
        <v>3700</v>
      </c>
      <c r="AA304" s="184">
        <v>4100</v>
      </c>
      <c r="AB304" s="57">
        <v>6.5</v>
      </c>
      <c r="AC304" s="57">
        <v>7</v>
      </c>
    </row>
    <row r="305" spans="1:29" x14ac:dyDescent="0.25">
      <c r="A305" s="281"/>
      <c r="B305" s="69"/>
      <c r="C305" s="59"/>
      <c r="D305" s="60"/>
      <c r="E305" s="88" t="s">
        <v>193</v>
      </c>
      <c r="F305" s="33">
        <v>1126.78</v>
      </c>
      <c r="G305" s="33">
        <v>914.76</v>
      </c>
      <c r="H305" s="33">
        <v>930.66</v>
      </c>
      <c r="I305" s="33">
        <v>947.96</v>
      </c>
      <c r="J305" s="33">
        <v>1296.77</v>
      </c>
      <c r="K305" s="33">
        <v>1389.55</v>
      </c>
      <c r="L305" s="33">
        <v>962.32</v>
      </c>
      <c r="M305" s="33">
        <v>892.12</v>
      </c>
      <c r="N305" s="33">
        <v>1125.25</v>
      </c>
      <c r="O305" s="61"/>
      <c r="P305" s="61"/>
      <c r="Q305" s="62"/>
      <c r="R305" s="62"/>
      <c r="S305" s="181"/>
      <c r="T305" s="182"/>
      <c r="U305" s="190"/>
      <c r="V305" s="247"/>
      <c r="W305" s="33"/>
      <c r="X305" s="186"/>
      <c r="Y305" s="186"/>
      <c r="Z305" s="186"/>
      <c r="AA305" s="186"/>
    </row>
    <row r="306" spans="1:29" ht="22.75" thickBot="1" x14ac:dyDescent="0.3">
      <c r="A306" s="281"/>
      <c r="B306" s="69"/>
      <c r="C306" s="59"/>
      <c r="D306" s="60"/>
      <c r="E306" s="74" t="s">
        <v>194</v>
      </c>
      <c r="F306" s="71">
        <f t="shared" ref="F306:N306" si="98">IF(((F304="")*AND(F305="")),"",(F304-F305)*2)</f>
        <v>3589.5400000000004</v>
      </c>
      <c r="G306" s="71">
        <f t="shared" si="98"/>
        <v>3771.9599999999996</v>
      </c>
      <c r="H306" s="71">
        <f t="shared" si="98"/>
        <v>3820.1400000000003</v>
      </c>
      <c r="I306" s="71">
        <f t="shared" si="98"/>
        <v>3766.16</v>
      </c>
      <c r="J306" s="71">
        <f t="shared" si="98"/>
        <v>3575.4800000000005</v>
      </c>
      <c r="K306" s="71">
        <f t="shared" si="98"/>
        <v>3493.7599999999998</v>
      </c>
      <c r="L306" s="71">
        <f t="shared" si="98"/>
        <v>3757.2199999999993</v>
      </c>
      <c r="M306" s="71">
        <f t="shared" si="98"/>
        <v>3826.84</v>
      </c>
      <c r="N306" s="71">
        <f t="shared" si="98"/>
        <v>3686.8</v>
      </c>
      <c r="O306" s="61"/>
      <c r="P306" s="61"/>
      <c r="Q306" s="62"/>
      <c r="R306" s="62"/>
      <c r="S306" s="181"/>
      <c r="T306" s="182"/>
      <c r="U306" s="190"/>
      <c r="V306" s="247"/>
      <c r="W306" s="33"/>
      <c r="X306" s="186"/>
      <c r="Y306" s="186"/>
      <c r="Z306" s="186"/>
      <c r="AA306" s="186"/>
    </row>
    <row r="307" spans="1:29" x14ac:dyDescent="0.25">
      <c r="A307" s="280">
        <v>43252</v>
      </c>
      <c r="B307" s="72" t="s">
        <v>172</v>
      </c>
      <c r="C307" s="73" t="s">
        <v>174</v>
      </c>
      <c r="D307" s="72" t="s">
        <v>195</v>
      </c>
      <c r="E307" s="88" t="s">
        <v>192</v>
      </c>
      <c r="F307" s="33">
        <v>1263.8699999999999</v>
      </c>
      <c r="G307" s="33">
        <v>1246.8499999999999</v>
      </c>
      <c r="H307" s="33">
        <v>1253.26</v>
      </c>
      <c r="I307" s="33">
        <v>1255.3599999999999</v>
      </c>
      <c r="J307" s="33">
        <v>1302.5999999999999</v>
      </c>
      <c r="K307" s="33">
        <v>1287.3800000000001</v>
      </c>
      <c r="L307" s="33">
        <v>1251.56</v>
      </c>
      <c r="M307" s="33">
        <v>1251.78</v>
      </c>
      <c r="N307" s="33">
        <v>1285.67</v>
      </c>
      <c r="O307" s="74">
        <f>IF((N308=""),"",MAX(F309:N309))</f>
        <v>2070.4199999999996</v>
      </c>
      <c r="P307" s="74">
        <f>IF(N308="","",MIN(F309:N309))</f>
        <v>2000.73</v>
      </c>
      <c r="Q307" s="75">
        <f>IF((N309=""),"",AVERAGE(F309:N309))</f>
        <v>2033.1000000000001</v>
      </c>
      <c r="R307" s="75">
        <f>IF((N308=""),"",(O307-P307)/(O307+P307)*100)</f>
        <v>1.7118013337754594</v>
      </c>
      <c r="S307" s="181">
        <f>STDEV(F309:N309)</f>
        <v>24.606863371831903</v>
      </c>
      <c r="T307" s="191" t="str">
        <f>IF(N308="","",IF(Q307&gt;1940,IF(R307&lt;8.3,IF(Q307&lt;2180,"Pass","Fail"),"Fail"),"Fail"))</f>
        <v>Pass</v>
      </c>
      <c r="U307" s="183" t="s">
        <v>51</v>
      </c>
      <c r="V307" s="246"/>
      <c r="W307" s="33"/>
      <c r="X307" s="184">
        <v>2000</v>
      </c>
      <c r="Y307" s="184">
        <v>3000</v>
      </c>
      <c r="Z307" s="184">
        <v>1940</v>
      </c>
      <c r="AA307" s="184">
        <v>2180</v>
      </c>
      <c r="AB307" s="57">
        <v>5.2</v>
      </c>
    </row>
    <row r="308" spans="1:29" x14ac:dyDescent="0.25">
      <c r="A308" s="281"/>
      <c r="B308" s="58"/>
      <c r="C308" s="59"/>
      <c r="D308" s="60"/>
      <c r="E308" s="88" t="s">
        <v>193</v>
      </c>
      <c r="F308" s="33">
        <v>573.73</v>
      </c>
      <c r="G308" s="33">
        <v>571.07000000000005</v>
      </c>
      <c r="H308" s="33">
        <v>586.35</v>
      </c>
      <c r="I308" s="33">
        <v>585.64</v>
      </c>
      <c r="J308" s="33">
        <v>624.42999999999995</v>
      </c>
      <c r="K308" s="33">
        <v>598.72</v>
      </c>
      <c r="L308" s="33">
        <v>581.29999999999995</v>
      </c>
      <c r="M308" s="33">
        <v>574.67999999999995</v>
      </c>
      <c r="N308" s="33">
        <v>603.11</v>
      </c>
      <c r="O308" s="61"/>
      <c r="P308" s="61"/>
      <c r="Q308" s="62"/>
      <c r="R308" s="62"/>
      <c r="S308" s="181"/>
      <c r="T308" s="182"/>
      <c r="U308" s="185"/>
      <c r="V308" s="246"/>
      <c r="W308" s="33"/>
      <c r="X308" s="186"/>
      <c r="Y308" s="186"/>
      <c r="Z308" s="186"/>
      <c r="AA308" s="186"/>
    </row>
    <row r="309" spans="1:29" ht="13.3" thickBot="1" x14ac:dyDescent="0.3">
      <c r="A309" s="281"/>
      <c r="B309" s="58"/>
      <c r="C309" s="59"/>
      <c r="D309" s="60"/>
      <c r="E309" s="74" t="s">
        <v>196</v>
      </c>
      <c r="F309" s="71">
        <f t="shared" ref="F309:N309" si="99">IF(((F307="")*AND(F308="")),"",(F307-F308)*3)</f>
        <v>2070.4199999999996</v>
      </c>
      <c r="G309" s="71">
        <f t="shared" si="99"/>
        <v>2027.3399999999997</v>
      </c>
      <c r="H309" s="71">
        <f t="shared" si="99"/>
        <v>2000.73</v>
      </c>
      <c r="I309" s="71">
        <f t="shared" si="99"/>
        <v>2009.1599999999999</v>
      </c>
      <c r="J309" s="71">
        <f t="shared" si="99"/>
        <v>2034.5099999999998</v>
      </c>
      <c r="K309" s="71">
        <f t="shared" si="99"/>
        <v>2065.9800000000005</v>
      </c>
      <c r="L309" s="71">
        <f t="shared" si="99"/>
        <v>2010.78</v>
      </c>
      <c r="M309" s="71">
        <f t="shared" si="99"/>
        <v>2031.3000000000002</v>
      </c>
      <c r="N309" s="71">
        <f t="shared" si="99"/>
        <v>2047.6800000000003</v>
      </c>
      <c r="O309" s="61"/>
      <c r="P309" s="61"/>
      <c r="Q309" s="62"/>
      <c r="R309" s="62"/>
      <c r="S309" s="181"/>
      <c r="T309" s="182"/>
      <c r="U309" s="185"/>
      <c r="V309" s="246"/>
      <c r="W309" s="33"/>
      <c r="X309" s="186"/>
      <c r="Y309" s="186"/>
      <c r="Z309" s="186"/>
      <c r="AA309" s="186"/>
    </row>
    <row r="310" spans="1:29" x14ac:dyDescent="0.25">
      <c r="A310" s="277">
        <v>43256</v>
      </c>
      <c r="B310" s="85" t="s">
        <v>191</v>
      </c>
      <c r="C310" s="70" t="s">
        <v>176</v>
      </c>
      <c r="D310" s="70" t="s">
        <v>175</v>
      </c>
      <c r="E310" s="86" t="s">
        <v>192</v>
      </c>
      <c r="F310" s="207">
        <v>29280.45</v>
      </c>
      <c r="G310" s="207">
        <v>29222</v>
      </c>
      <c r="H310" s="207">
        <v>29174.83</v>
      </c>
      <c r="I310" s="207">
        <v>29222</v>
      </c>
      <c r="J310" s="207">
        <v>29316.43</v>
      </c>
      <c r="K310" s="207">
        <v>29281.82</v>
      </c>
      <c r="L310" s="207">
        <v>29111.01</v>
      </c>
      <c r="M310" s="207">
        <v>29125.79</v>
      </c>
      <c r="N310" s="207">
        <v>29266.46</v>
      </c>
      <c r="O310" s="86">
        <f>IF((N311=""),"",MAX(F312:N312))</f>
        <v>5059.5900000000074</v>
      </c>
      <c r="P310" s="86">
        <f>IF(N311="","",MIN(F312:N312))</f>
        <v>3915.0299999999952</v>
      </c>
      <c r="Q310" s="87">
        <f>IF((N312=""),"",AVERAGE(F312:N312))</f>
        <v>4554.1800000000012</v>
      </c>
      <c r="R310" s="87">
        <f>IF((N311=""),"",(O310-P310)/(O310+P310)*100)</f>
        <v>12.75329763265756</v>
      </c>
      <c r="S310" s="181">
        <f>STDEV(F312:N312)</f>
        <v>442.43309290784208</v>
      </c>
      <c r="T310" s="208" t="str">
        <f>IF(N311="","",IF(R310&lt;16,IF(Q310&gt;3200,IF(R310,IF(Q310&lt;5240,"Pass","Fail"),"Fail"),"Fail")))</f>
        <v>Pass</v>
      </c>
      <c r="U310" s="209">
        <v>1335</v>
      </c>
      <c r="V310" s="246"/>
      <c r="W310" s="33"/>
      <c r="X310" s="184">
        <v>4200</v>
      </c>
      <c r="Y310" s="184">
        <v>5500</v>
      </c>
      <c r="Z310" s="184">
        <v>3200</v>
      </c>
      <c r="AA310" s="184">
        <v>5240</v>
      </c>
      <c r="AB310" s="57">
        <v>16</v>
      </c>
    </row>
    <row r="311" spans="1:29" x14ac:dyDescent="0.25">
      <c r="A311" s="272"/>
      <c r="B311" s="47"/>
      <c r="C311" s="24"/>
      <c r="D311" s="24"/>
      <c r="E311" s="88" t="s">
        <v>193</v>
      </c>
      <c r="F311" s="28">
        <v>27593.919999999998</v>
      </c>
      <c r="G311" s="28">
        <v>27755.65</v>
      </c>
      <c r="H311" s="28">
        <v>27818.42</v>
      </c>
      <c r="I311" s="28">
        <v>27712.87</v>
      </c>
      <c r="J311" s="28">
        <v>27642.38</v>
      </c>
      <c r="K311" s="28">
        <v>27627.56</v>
      </c>
      <c r="L311" s="28">
        <v>27806</v>
      </c>
      <c r="M311" s="28">
        <v>27739</v>
      </c>
      <c r="N311" s="28">
        <v>27642.45</v>
      </c>
      <c r="O311" s="88"/>
      <c r="P311" s="88"/>
      <c r="Q311" s="89"/>
      <c r="R311" s="89"/>
      <c r="S311" s="210"/>
      <c r="T311" s="23"/>
      <c r="U311" s="211"/>
      <c r="V311" s="246"/>
      <c r="W311" s="33"/>
      <c r="X311" s="186"/>
      <c r="Y311" s="186"/>
      <c r="Z311" s="186"/>
      <c r="AA311" s="186"/>
    </row>
    <row r="312" spans="1:29" ht="22.75" thickBot="1" x14ac:dyDescent="0.3">
      <c r="A312" s="272"/>
      <c r="B312" s="47"/>
      <c r="C312" s="24"/>
      <c r="D312" s="24"/>
      <c r="E312" s="88" t="s">
        <v>194</v>
      </c>
      <c r="F312" s="66">
        <f t="shared" ref="F312:N312" si="100">IF(((F310="")*AND(F311="")),"",(F310-F311)*3)</f>
        <v>5059.5900000000074</v>
      </c>
      <c r="G312" s="66">
        <f t="shared" si="100"/>
        <v>4399.0499999999956</v>
      </c>
      <c r="H312" s="66">
        <f t="shared" si="100"/>
        <v>4069.2300000000105</v>
      </c>
      <c r="I312" s="66">
        <f t="shared" si="100"/>
        <v>4527.3900000000031</v>
      </c>
      <c r="J312" s="66">
        <f t="shared" si="100"/>
        <v>5022.1499999999978</v>
      </c>
      <c r="K312" s="66">
        <f t="shared" si="100"/>
        <v>4962.7799999999952</v>
      </c>
      <c r="L312" s="66">
        <f t="shared" si="100"/>
        <v>3915.0299999999952</v>
      </c>
      <c r="M312" s="66">
        <f t="shared" si="100"/>
        <v>4160.3700000000026</v>
      </c>
      <c r="N312" s="66">
        <f t="shared" si="100"/>
        <v>4872.0299999999952</v>
      </c>
      <c r="O312" s="88"/>
      <c r="P312" s="88"/>
      <c r="Q312" s="89"/>
      <c r="R312" s="89"/>
      <c r="S312" s="210"/>
      <c r="T312" s="23"/>
      <c r="U312" s="211"/>
      <c r="V312" s="246"/>
      <c r="W312" s="33"/>
      <c r="X312" s="186"/>
      <c r="Y312" s="186"/>
      <c r="Z312" s="186"/>
      <c r="AA312" s="186"/>
    </row>
    <row r="313" spans="1:29" x14ac:dyDescent="0.25">
      <c r="A313" s="272">
        <v>43256</v>
      </c>
      <c r="B313" s="47" t="s">
        <v>177</v>
      </c>
      <c r="C313" s="24" t="s">
        <v>179</v>
      </c>
      <c r="D313" s="70" t="s">
        <v>178</v>
      </c>
      <c r="E313" s="88" t="s">
        <v>192</v>
      </c>
      <c r="F313" s="28">
        <v>3011.83</v>
      </c>
      <c r="G313" s="28">
        <v>2902.24</v>
      </c>
      <c r="H313" s="28">
        <v>2951.89</v>
      </c>
      <c r="I313" s="28">
        <v>2930.35</v>
      </c>
      <c r="J313" s="28">
        <v>3156.22</v>
      </c>
      <c r="K313" s="28">
        <v>3216.95</v>
      </c>
      <c r="L313" s="28">
        <v>2942.93</v>
      </c>
      <c r="M313" s="28">
        <v>2908.77</v>
      </c>
      <c r="N313" s="28">
        <v>3041.83</v>
      </c>
      <c r="O313" s="88">
        <f>IF((N314=""),"",MAX(F315:N315))</f>
        <v>3992.8999999999996</v>
      </c>
      <c r="P313" s="88">
        <f>IF(N314="","",MIN(F315:N315))</f>
        <v>3669.68</v>
      </c>
      <c r="Q313" s="89">
        <f>IF((N315=""),"",AVERAGE(F315:N315))</f>
        <v>3865.8599999999997</v>
      </c>
      <c r="R313" s="89">
        <f>IF((N314=""),"",(O313-P313)/(O313+P313)*100)</f>
        <v>4.2181615069597944</v>
      </c>
      <c r="S313" s="181">
        <f>STDEV(F315:N315)</f>
        <v>120.80607600613475</v>
      </c>
      <c r="T313" s="23" t="str">
        <f>IF(N314="","",IF(Q313&gt;3650,IF(R313&lt;7,IF(Q313&lt;4450,"Pass","Fail"),"Fail"),"Fail"))</f>
        <v>Pass</v>
      </c>
      <c r="U313" s="211">
        <v>1335</v>
      </c>
      <c r="V313" s="246"/>
      <c r="W313" s="33"/>
      <c r="X313" s="184">
        <v>3650</v>
      </c>
      <c r="Y313" s="184">
        <v>4450</v>
      </c>
      <c r="Z313" s="184">
        <v>3700</v>
      </c>
      <c r="AA313" s="184">
        <v>4100</v>
      </c>
      <c r="AB313" s="57">
        <v>6.5</v>
      </c>
      <c r="AC313" s="57">
        <v>7</v>
      </c>
    </row>
    <row r="314" spans="1:29" x14ac:dyDescent="0.25">
      <c r="A314" s="272"/>
      <c r="B314" s="47"/>
      <c r="C314" s="24"/>
      <c r="D314" s="24"/>
      <c r="E314" s="88" t="s">
        <v>193</v>
      </c>
      <c r="F314" s="28">
        <v>1149.9000000000001</v>
      </c>
      <c r="G314" s="28">
        <v>933.37</v>
      </c>
      <c r="H314" s="28">
        <v>955.44</v>
      </c>
      <c r="I314" s="28">
        <v>955.63</v>
      </c>
      <c r="J314" s="28">
        <v>1269.1500000000001</v>
      </c>
      <c r="K314" s="28">
        <v>1382.11</v>
      </c>
      <c r="L314" s="28">
        <v>978.19</v>
      </c>
      <c r="M314" s="28">
        <v>913.3</v>
      </c>
      <c r="N314" s="28">
        <v>1129.55</v>
      </c>
      <c r="O314" s="88"/>
      <c r="P314" s="88"/>
      <c r="Q314" s="89"/>
      <c r="R314" s="89"/>
      <c r="S314" s="210"/>
      <c r="T314" s="23"/>
      <c r="U314" s="212"/>
      <c r="V314" s="247"/>
      <c r="W314" s="33"/>
      <c r="X314" s="186"/>
      <c r="Y314" s="186"/>
      <c r="Z314" s="186"/>
      <c r="AA314" s="186"/>
    </row>
    <row r="315" spans="1:29" ht="22.15" x14ac:dyDescent="0.25">
      <c r="A315" s="272"/>
      <c r="B315" s="47"/>
      <c r="C315" s="24"/>
      <c r="D315" s="24"/>
      <c r="E315" s="88" t="s">
        <v>194</v>
      </c>
      <c r="F315" s="66">
        <f t="shared" ref="F315:N315" si="101">IF(((F313="")*AND(F314="")),"",(F313-F314)*2)</f>
        <v>3723.8599999999997</v>
      </c>
      <c r="G315" s="66">
        <f t="shared" si="101"/>
        <v>3937.74</v>
      </c>
      <c r="H315" s="66">
        <f t="shared" si="101"/>
        <v>3992.8999999999996</v>
      </c>
      <c r="I315" s="66">
        <f t="shared" si="101"/>
        <v>3949.4399999999996</v>
      </c>
      <c r="J315" s="66">
        <f t="shared" si="101"/>
        <v>3774.1399999999994</v>
      </c>
      <c r="K315" s="66">
        <f t="shared" si="101"/>
        <v>3669.68</v>
      </c>
      <c r="L315" s="66">
        <f t="shared" si="101"/>
        <v>3929.4799999999996</v>
      </c>
      <c r="M315" s="66">
        <f t="shared" si="101"/>
        <v>3990.94</v>
      </c>
      <c r="N315" s="66">
        <f t="shared" si="101"/>
        <v>3824.56</v>
      </c>
      <c r="O315" s="88"/>
      <c r="P315" s="88"/>
      <c r="Q315" s="89"/>
      <c r="R315" s="89"/>
      <c r="S315" s="210"/>
      <c r="T315" s="23"/>
      <c r="U315" s="212"/>
      <c r="V315" s="247"/>
      <c r="W315" s="33"/>
      <c r="X315" s="186"/>
      <c r="Y315" s="186"/>
      <c r="Z315" s="186"/>
      <c r="AA315" s="186"/>
    </row>
    <row r="316" spans="1:29" x14ac:dyDescent="0.25">
      <c r="A316" s="272">
        <v>43256</v>
      </c>
      <c r="B316" s="24" t="s">
        <v>172</v>
      </c>
      <c r="C316" s="24" t="s">
        <v>174</v>
      </c>
      <c r="D316" s="24" t="s">
        <v>195</v>
      </c>
      <c r="E316" s="88" t="s">
        <v>192</v>
      </c>
      <c r="F316" s="28">
        <v>1989.09</v>
      </c>
      <c r="G316" s="28">
        <v>1988.91</v>
      </c>
      <c r="H316" s="28">
        <v>1991.89</v>
      </c>
      <c r="I316" s="28">
        <v>1986.51</v>
      </c>
      <c r="J316" s="28">
        <v>1988.51</v>
      </c>
      <c r="K316" s="28">
        <v>1989.22</v>
      </c>
      <c r="L316" s="28">
        <v>1987.84</v>
      </c>
      <c r="M316" s="28">
        <v>1989.36</v>
      </c>
      <c r="N316" s="28">
        <v>1988.57</v>
      </c>
      <c r="O316" s="88">
        <f>IF((N317=""),"",MAX(F318:N318))</f>
        <v>2142.7200000000003</v>
      </c>
      <c r="P316" s="88">
        <f>IF(N317="","",MIN(F318:N318))</f>
        <v>2078.1000000000004</v>
      </c>
      <c r="Q316" s="89">
        <f>IF((N318=""),"",AVERAGE(F318:N318))</f>
        <v>2106.5333333333328</v>
      </c>
      <c r="R316" s="89">
        <f>IF((N317=""),"",(O316-P316)/(O316+P316)*100)</f>
        <v>1.5309821314341734</v>
      </c>
      <c r="S316" s="181">
        <f>STDEV(F318:N318)</f>
        <v>20.96954815917594</v>
      </c>
      <c r="T316" s="23" t="str">
        <f>IF(N317="","",IF(Q316&gt;1940,IF(R316&lt;8.3,IF(Q316&lt;2180,"Pass","Fail"),"Fail"),"Fail"))</f>
        <v>Pass</v>
      </c>
      <c r="U316" s="211">
        <v>1335</v>
      </c>
      <c r="V316" s="246"/>
      <c r="W316" s="33"/>
      <c r="X316" s="184">
        <v>2000</v>
      </c>
      <c r="Y316" s="184">
        <v>3000</v>
      </c>
      <c r="Z316" s="184">
        <v>1940</v>
      </c>
      <c r="AA316" s="184">
        <v>2180</v>
      </c>
      <c r="AB316" s="57">
        <v>5.2</v>
      </c>
    </row>
    <row r="317" spans="1:29" x14ac:dyDescent="0.25">
      <c r="A317" s="272"/>
      <c r="B317" s="47"/>
      <c r="C317" s="24"/>
      <c r="D317" s="24"/>
      <c r="E317" s="88" t="s">
        <v>193</v>
      </c>
      <c r="F317" s="28">
        <v>1274.8499999999999</v>
      </c>
      <c r="G317" s="28">
        <v>1283.68</v>
      </c>
      <c r="H317" s="28">
        <v>1285.53</v>
      </c>
      <c r="I317" s="28">
        <v>1291.04</v>
      </c>
      <c r="J317" s="28">
        <v>1295.81</v>
      </c>
      <c r="K317" s="28">
        <v>1291.1500000000001</v>
      </c>
      <c r="L317" s="28">
        <v>1291.77</v>
      </c>
      <c r="M317" s="28">
        <v>1282.1600000000001</v>
      </c>
      <c r="N317" s="28">
        <v>1284.31</v>
      </c>
      <c r="O317" s="88"/>
      <c r="P317" s="88"/>
      <c r="Q317" s="89"/>
      <c r="R317" s="89"/>
      <c r="S317" s="210"/>
      <c r="T317" s="23"/>
      <c r="U317" s="211"/>
      <c r="V317" s="246"/>
      <c r="W317" s="33"/>
      <c r="X317" s="186"/>
      <c r="Y317" s="186"/>
      <c r="Z317" s="186"/>
      <c r="AA317" s="186"/>
    </row>
    <row r="318" spans="1:29" ht="32.299999999999997" customHeight="1" thickBot="1" x14ac:dyDescent="0.3">
      <c r="A318" s="279"/>
      <c r="B318" s="90"/>
      <c r="C318" s="91"/>
      <c r="D318" s="91"/>
      <c r="E318" s="92" t="s">
        <v>196</v>
      </c>
      <c r="F318" s="79">
        <f t="shared" ref="F318:N318" si="102">IF(((F316="")*AND(F317="")),"",(F316-F317)*3)</f>
        <v>2142.7200000000003</v>
      </c>
      <c r="G318" s="79">
        <f t="shared" si="102"/>
        <v>2115.69</v>
      </c>
      <c r="H318" s="79">
        <f t="shared" si="102"/>
        <v>2119.0800000000004</v>
      </c>
      <c r="I318" s="79">
        <f t="shared" si="102"/>
        <v>2086.41</v>
      </c>
      <c r="J318" s="79">
        <f t="shared" si="102"/>
        <v>2078.1000000000004</v>
      </c>
      <c r="K318" s="79">
        <f t="shared" si="102"/>
        <v>2094.21</v>
      </c>
      <c r="L318" s="79">
        <f t="shared" si="102"/>
        <v>2088.21</v>
      </c>
      <c r="M318" s="79">
        <f t="shared" si="102"/>
        <v>2121.5999999999995</v>
      </c>
      <c r="N318" s="79">
        <f t="shared" si="102"/>
        <v>2112.7799999999997</v>
      </c>
      <c r="O318" s="92"/>
      <c r="P318" s="92"/>
      <c r="Q318" s="93"/>
      <c r="R318" s="93"/>
      <c r="S318" s="213"/>
      <c r="T318" s="214"/>
      <c r="U318" s="215"/>
      <c r="V318" s="246"/>
      <c r="W318" s="33"/>
      <c r="X318" s="186"/>
      <c r="Y318" s="186"/>
      <c r="Z318" s="186"/>
      <c r="AA318" s="186"/>
    </row>
    <row r="319" spans="1:29" x14ac:dyDescent="0.25">
      <c r="A319" s="271">
        <v>43259</v>
      </c>
      <c r="B319" s="63" t="s">
        <v>191</v>
      </c>
      <c r="C319" s="65" t="s">
        <v>176</v>
      </c>
      <c r="D319" s="65" t="s">
        <v>175</v>
      </c>
      <c r="E319" s="67" t="s">
        <v>192</v>
      </c>
      <c r="F319" s="175">
        <v>27574.79</v>
      </c>
      <c r="G319" s="175">
        <v>27701</v>
      </c>
      <c r="H319" s="175">
        <v>27830.959999999999</v>
      </c>
      <c r="I319" s="175">
        <v>27731.54</v>
      </c>
      <c r="J319" s="175">
        <v>27594.04</v>
      </c>
      <c r="K319" s="175">
        <v>27628.17</v>
      </c>
      <c r="L319" s="175">
        <v>27635.99</v>
      </c>
      <c r="M319" s="175">
        <v>27689.85</v>
      </c>
      <c r="N319" s="175">
        <v>27578.639999999999</v>
      </c>
      <c r="O319" s="67">
        <f>IF((N320=""),"",MAX(F321:N321))</f>
        <v>4954.2900000000009</v>
      </c>
      <c r="P319" s="67">
        <f>IF(N320="","",MIN(F321:N321))</f>
        <v>4017.3000000000065</v>
      </c>
      <c r="Q319" s="68">
        <f>IF((N321=""),"",AVERAGE(F321:N321))</f>
        <v>4414.2833333333338</v>
      </c>
      <c r="R319" s="68">
        <f>IF((N320=""),"",(O319-P319)/(O319+P319)*100)</f>
        <v>10.443968126051164</v>
      </c>
      <c r="S319" s="181">
        <f>STDEV(F321:N321)</f>
        <v>381.9412574271081</v>
      </c>
      <c r="T319" s="187" t="str">
        <f>IF(N320="","",IF(R319&lt;16,IF(Q319&gt;3200,IF(R319,IF(Q319&lt;5240,"Pass","Fail"),"Fail"),"Fail")))</f>
        <v>Pass</v>
      </c>
      <c r="U319" s="188">
        <v>1335</v>
      </c>
      <c r="V319" s="246"/>
      <c r="W319" s="33"/>
      <c r="X319" s="184">
        <v>4200</v>
      </c>
      <c r="Y319" s="184">
        <v>5500</v>
      </c>
      <c r="Z319" s="184">
        <v>3200</v>
      </c>
      <c r="AA319" s="184">
        <v>5240</v>
      </c>
      <c r="AB319" s="57">
        <v>16</v>
      </c>
    </row>
    <row r="320" spans="1:29" x14ac:dyDescent="0.25">
      <c r="A320" s="272"/>
      <c r="B320" s="47"/>
      <c r="C320" s="24"/>
      <c r="D320" s="24"/>
      <c r="E320" s="88" t="s">
        <v>193</v>
      </c>
      <c r="F320" s="28">
        <v>26016.19</v>
      </c>
      <c r="G320" s="28">
        <v>26327.96</v>
      </c>
      <c r="H320" s="28">
        <v>26483.98</v>
      </c>
      <c r="I320" s="28">
        <v>26294.9</v>
      </c>
      <c r="J320" s="28">
        <v>25942.61</v>
      </c>
      <c r="K320" s="28">
        <v>26077.119999999999</v>
      </c>
      <c r="L320" s="28">
        <v>26296.89</v>
      </c>
      <c r="M320" s="28">
        <v>26335.61</v>
      </c>
      <c r="N320" s="28">
        <v>25946.87</v>
      </c>
      <c r="O320" s="88"/>
      <c r="P320" s="88"/>
      <c r="Q320" s="89"/>
      <c r="R320" s="89"/>
      <c r="S320" s="210"/>
      <c r="T320" s="23"/>
      <c r="U320" s="211"/>
      <c r="V320" s="246"/>
      <c r="W320" s="33"/>
      <c r="X320" s="186"/>
      <c r="Y320" s="186"/>
      <c r="Z320" s="186"/>
      <c r="AA320" s="186"/>
    </row>
    <row r="321" spans="1:29" ht="22.75" thickBot="1" x14ac:dyDescent="0.3">
      <c r="A321" s="272"/>
      <c r="B321" s="47"/>
      <c r="C321" s="24"/>
      <c r="D321" s="24"/>
      <c r="E321" s="88" t="s">
        <v>194</v>
      </c>
      <c r="F321" s="66">
        <f t="shared" ref="F321:N321" si="103">IF(((F319="")*AND(F320="")),"",(F319-F320)*3)</f>
        <v>4675.8000000000065</v>
      </c>
      <c r="G321" s="66">
        <f t="shared" si="103"/>
        <v>4119.1200000000026</v>
      </c>
      <c r="H321" s="66">
        <f t="shared" si="103"/>
        <v>4040.9399999999987</v>
      </c>
      <c r="I321" s="66">
        <f t="shared" si="103"/>
        <v>4309.9199999999983</v>
      </c>
      <c r="J321" s="66">
        <f t="shared" si="103"/>
        <v>4954.2900000000009</v>
      </c>
      <c r="K321" s="66">
        <f t="shared" si="103"/>
        <v>4653.1499999999978</v>
      </c>
      <c r="L321" s="66">
        <f t="shared" si="103"/>
        <v>4017.3000000000065</v>
      </c>
      <c r="M321" s="66">
        <f t="shared" si="103"/>
        <v>4062.7199999999939</v>
      </c>
      <c r="N321" s="66">
        <f t="shared" si="103"/>
        <v>4895.3100000000013</v>
      </c>
      <c r="O321" s="88"/>
      <c r="P321" s="88"/>
      <c r="Q321" s="89"/>
      <c r="R321" s="89"/>
      <c r="S321" s="210"/>
      <c r="T321" s="23"/>
      <c r="U321" s="211"/>
      <c r="V321" s="246"/>
      <c r="W321" s="33"/>
      <c r="X321" s="186"/>
      <c r="Y321" s="186"/>
      <c r="Z321" s="186"/>
      <c r="AA321" s="186"/>
    </row>
    <row r="322" spans="1:29" x14ac:dyDescent="0.25">
      <c r="A322" s="272">
        <v>43259</v>
      </c>
      <c r="B322" s="47" t="s">
        <v>177</v>
      </c>
      <c r="C322" s="24" t="s">
        <v>179</v>
      </c>
      <c r="D322" s="70" t="s">
        <v>178</v>
      </c>
      <c r="E322" s="88" t="s">
        <v>192</v>
      </c>
      <c r="F322" s="28">
        <v>5053.7299999999996</v>
      </c>
      <c r="G322" s="28">
        <v>4996.67</v>
      </c>
      <c r="H322" s="28">
        <v>5062.8500000000004</v>
      </c>
      <c r="I322" s="28">
        <v>5045.28</v>
      </c>
      <c r="J322" s="28">
        <v>5240.37</v>
      </c>
      <c r="K322" s="28">
        <v>5208.91</v>
      </c>
      <c r="L322" s="28">
        <v>5051.08</v>
      </c>
      <c r="M322" s="28">
        <v>5026.51</v>
      </c>
      <c r="N322" s="28">
        <v>5146.24</v>
      </c>
      <c r="O322" s="88">
        <f>IF((N323=""),"",MAX(F324:N324))</f>
        <v>4013.26</v>
      </c>
      <c r="P322" s="88">
        <f>IF(N323="","",MIN(F324:N324))</f>
        <v>3667.6399999999994</v>
      </c>
      <c r="Q322" s="89">
        <f>IF((N324=""),"",AVERAGE(F324:N324))</f>
        <v>3874.3866666666663</v>
      </c>
      <c r="R322" s="89">
        <f>IF((N323=""),"",(O322-P322)/(O322+P322)*100)</f>
        <v>4.4997331041935293</v>
      </c>
      <c r="S322" s="181">
        <f>STDEV(F324:N324)</f>
        <v>123.45107411440395</v>
      </c>
      <c r="T322" s="23" t="str">
        <f>IF(N323="","",IF(Q322&gt;3650,IF(R322&lt;7,IF(Q322&lt;4450,"Pass","Fail"),"Fail"),"Fail"))</f>
        <v>Pass</v>
      </c>
      <c r="U322" s="211">
        <v>1335</v>
      </c>
      <c r="V322" s="246"/>
      <c r="W322" s="33"/>
      <c r="X322" s="184">
        <v>3650</v>
      </c>
      <c r="Y322" s="184">
        <v>4450</v>
      </c>
      <c r="Z322" s="184">
        <v>3700</v>
      </c>
      <c r="AA322" s="184">
        <v>4100</v>
      </c>
      <c r="AB322" s="57">
        <v>6.5</v>
      </c>
      <c r="AC322" s="57">
        <v>7</v>
      </c>
    </row>
    <row r="323" spans="1:29" x14ac:dyDescent="0.25">
      <c r="A323" s="272"/>
      <c r="B323" s="47"/>
      <c r="C323" s="24"/>
      <c r="D323" s="24"/>
      <c r="E323" s="88" t="s">
        <v>193</v>
      </c>
      <c r="F323" s="28">
        <v>3168.6</v>
      </c>
      <c r="G323" s="28">
        <v>3017.39</v>
      </c>
      <c r="H323" s="28">
        <v>3065.07</v>
      </c>
      <c r="I323" s="28">
        <v>3076.96</v>
      </c>
      <c r="J323" s="28">
        <v>3374.43</v>
      </c>
      <c r="K323" s="28">
        <v>3375.09</v>
      </c>
      <c r="L323" s="28">
        <v>3086.36</v>
      </c>
      <c r="M323" s="28">
        <v>3019.88</v>
      </c>
      <c r="N323" s="28">
        <v>3213.12</v>
      </c>
      <c r="O323" s="88"/>
      <c r="P323" s="88"/>
      <c r="Q323" s="89"/>
      <c r="R323" s="89"/>
      <c r="S323" s="210"/>
      <c r="T323" s="23"/>
      <c r="U323" s="212"/>
      <c r="V323" s="247"/>
      <c r="W323" s="33"/>
      <c r="X323" s="186"/>
      <c r="Y323" s="186"/>
      <c r="Z323" s="186"/>
      <c r="AA323" s="186"/>
    </row>
    <row r="324" spans="1:29" ht="22.15" x14ac:dyDescent="0.25">
      <c r="A324" s="272"/>
      <c r="B324" s="47"/>
      <c r="C324" s="24"/>
      <c r="D324" s="24"/>
      <c r="E324" s="88" t="s">
        <v>194</v>
      </c>
      <c r="F324" s="66">
        <f t="shared" ref="F324:N324" si="104">IF(((F322="")*AND(F323="")),"",(F322-F323)*2)</f>
        <v>3770.2599999999993</v>
      </c>
      <c r="G324" s="66">
        <f t="shared" si="104"/>
        <v>3958.5600000000004</v>
      </c>
      <c r="H324" s="66">
        <f t="shared" si="104"/>
        <v>3995.5600000000004</v>
      </c>
      <c r="I324" s="66">
        <f t="shared" si="104"/>
        <v>3936.6399999999994</v>
      </c>
      <c r="J324" s="66">
        <f t="shared" si="104"/>
        <v>3731.88</v>
      </c>
      <c r="K324" s="66">
        <f t="shared" si="104"/>
        <v>3667.6399999999994</v>
      </c>
      <c r="L324" s="66">
        <f t="shared" si="104"/>
        <v>3929.4399999999996</v>
      </c>
      <c r="M324" s="66">
        <f t="shared" si="104"/>
        <v>4013.26</v>
      </c>
      <c r="N324" s="66">
        <f t="shared" si="104"/>
        <v>3866.24</v>
      </c>
      <c r="O324" s="88"/>
      <c r="P324" s="88"/>
      <c r="Q324" s="89"/>
      <c r="R324" s="89"/>
      <c r="S324" s="210"/>
      <c r="T324" s="23"/>
      <c r="U324" s="212"/>
      <c r="V324" s="247"/>
      <c r="W324" s="33"/>
      <c r="X324" s="186"/>
      <c r="Y324" s="186"/>
      <c r="Z324" s="186"/>
      <c r="AA324" s="186"/>
    </row>
    <row r="325" spans="1:29" x14ac:dyDescent="0.25">
      <c r="A325" s="272">
        <v>43259</v>
      </c>
      <c r="B325" s="24" t="s">
        <v>172</v>
      </c>
      <c r="C325" s="24" t="s">
        <v>174</v>
      </c>
      <c r="D325" s="24" t="s">
        <v>195</v>
      </c>
      <c r="E325" s="88" t="s">
        <v>192</v>
      </c>
      <c r="F325" s="28">
        <v>1275.44</v>
      </c>
      <c r="G325" s="28">
        <v>1286.4100000000001</v>
      </c>
      <c r="H325" s="28">
        <v>1294.23</v>
      </c>
      <c r="I325" s="28">
        <v>1292.67</v>
      </c>
      <c r="J325" s="28">
        <v>1297.47</v>
      </c>
      <c r="K325" s="28">
        <v>1292.82</v>
      </c>
      <c r="L325" s="28">
        <v>1294.83</v>
      </c>
      <c r="M325" s="28">
        <v>1284.97</v>
      </c>
      <c r="N325" s="28">
        <v>1285.8399999999999</v>
      </c>
      <c r="O325" s="88">
        <f>IF((N326=""),"",MAX(F327:N327))</f>
        <v>2044.7400000000002</v>
      </c>
      <c r="P325" s="88">
        <f>IF(N326="","",MIN(F327:N327))</f>
        <v>2021.1899999999996</v>
      </c>
      <c r="Q325" s="89">
        <f>IF((N327=""),"",AVERAGE(F327:N327))</f>
        <v>2031.6299999999999</v>
      </c>
      <c r="R325" s="89">
        <f>IF((N326=""),"",(O325-P325)/(O325+P325)*100)</f>
        <v>0.57920328190600023</v>
      </c>
      <c r="S325" s="181">
        <f>STDEV(F327:N327)</f>
        <v>7.0105545429731784</v>
      </c>
      <c r="T325" s="23" t="str">
        <f>IF(N326="","",IF(Q325&gt;1940,IF(R325&lt;8.3,IF(Q325&lt;2180,"Pass","Fail"),"Fail"),"Fail"))</f>
        <v>Pass</v>
      </c>
      <c r="U325" s="211">
        <v>1335</v>
      </c>
      <c r="V325" s="246"/>
      <c r="W325" s="33"/>
      <c r="X325" s="184">
        <v>2000</v>
      </c>
      <c r="Y325" s="184">
        <v>3000</v>
      </c>
      <c r="Z325" s="184">
        <v>1940</v>
      </c>
      <c r="AA325" s="184">
        <v>2180</v>
      </c>
      <c r="AB325" s="57">
        <v>5.2</v>
      </c>
    </row>
    <row r="326" spans="1:29" x14ac:dyDescent="0.25">
      <c r="A326" s="272"/>
      <c r="B326" s="47"/>
      <c r="C326" s="24"/>
      <c r="D326" s="24"/>
      <c r="E326" s="88" t="s">
        <v>193</v>
      </c>
      <c r="F326" s="28">
        <v>598.92999999999995</v>
      </c>
      <c r="G326" s="28">
        <v>608.32000000000005</v>
      </c>
      <c r="H326" s="28">
        <v>615.70000000000005</v>
      </c>
      <c r="I326" s="28">
        <v>614.48</v>
      </c>
      <c r="J326" s="28">
        <v>622.34</v>
      </c>
      <c r="K326" s="28">
        <v>614.96</v>
      </c>
      <c r="L326" s="28">
        <v>619.55999999999995</v>
      </c>
      <c r="M326" s="28">
        <v>603.39</v>
      </c>
      <c r="N326" s="28">
        <v>612.11</v>
      </c>
      <c r="O326" s="88"/>
      <c r="P326" s="88"/>
      <c r="Q326" s="89"/>
      <c r="R326" s="89"/>
      <c r="S326" s="210"/>
      <c r="T326" s="23"/>
      <c r="U326" s="211"/>
      <c r="V326" s="246"/>
      <c r="W326" s="33"/>
      <c r="X326" s="186"/>
      <c r="Y326" s="186"/>
      <c r="Z326" s="186"/>
      <c r="AA326" s="186"/>
    </row>
    <row r="327" spans="1:29" ht="38.25" customHeight="1" thickBot="1" x14ac:dyDescent="0.3">
      <c r="A327" s="279"/>
      <c r="B327" s="90"/>
      <c r="C327" s="91"/>
      <c r="D327" s="91"/>
      <c r="E327" s="92" t="s">
        <v>196</v>
      </c>
      <c r="F327" s="79">
        <f t="shared" ref="F327:N327" si="105">IF(((F325="")*AND(F326="")),"",(F325-F326)*3)</f>
        <v>2029.5300000000002</v>
      </c>
      <c r="G327" s="79">
        <f t="shared" si="105"/>
        <v>2034.27</v>
      </c>
      <c r="H327" s="79">
        <f t="shared" si="105"/>
        <v>2035.59</v>
      </c>
      <c r="I327" s="79">
        <f t="shared" si="105"/>
        <v>2034.5700000000002</v>
      </c>
      <c r="J327" s="79">
        <f t="shared" si="105"/>
        <v>2025.3899999999999</v>
      </c>
      <c r="K327" s="79">
        <f t="shared" si="105"/>
        <v>2033.5799999999997</v>
      </c>
      <c r="L327" s="79">
        <f t="shared" si="105"/>
        <v>2025.81</v>
      </c>
      <c r="M327" s="79">
        <f t="shared" si="105"/>
        <v>2044.7400000000002</v>
      </c>
      <c r="N327" s="79">
        <f t="shared" si="105"/>
        <v>2021.1899999999996</v>
      </c>
      <c r="O327" s="92"/>
      <c r="P327" s="92"/>
      <c r="Q327" s="93"/>
      <c r="R327" s="93"/>
      <c r="S327" s="213"/>
      <c r="T327" s="214"/>
      <c r="U327" s="215"/>
      <c r="V327" s="246"/>
      <c r="W327" s="33"/>
      <c r="X327" s="186"/>
      <c r="Y327" s="186"/>
      <c r="Z327" s="186"/>
      <c r="AA327" s="186"/>
    </row>
    <row r="328" spans="1:29" x14ac:dyDescent="0.25">
      <c r="A328" s="271">
        <v>43262</v>
      </c>
      <c r="B328" s="63" t="s">
        <v>191</v>
      </c>
      <c r="C328" s="65" t="s">
        <v>176</v>
      </c>
      <c r="D328" s="65" t="s">
        <v>175</v>
      </c>
      <c r="E328" s="67" t="s">
        <v>192</v>
      </c>
      <c r="F328" s="175">
        <v>25973.73</v>
      </c>
      <c r="G328" s="175">
        <v>26281.84</v>
      </c>
      <c r="H328" s="175">
        <v>26442.52</v>
      </c>
      <c r="I328" s="175">
        <v>26288.720000000001</v>
      </c>
      <c r="J328" s="175">
        <v>25899.95</v>
      </c>
      <c r="K328" s="175">
        <v>26004.720000000001</v>
      </c>
      <c r="L328" s="175">
        <v>26322.18</v>
      </c>
      <c r="M328" s="175">
        <v>26282.94</v>
      </c>
      <c r="N328" s="175">
        <v>25871.46</v>
      </c>
      <c r="O328" s="67">
        <f>IF((N329=""),"",MAX(F330:N330))</f>
        <v>4804.8300000000017</v>
      </c>
      <c r="P328" s="67">
        <f>IF(N329="","",MIN(F330:N330))</f>
        <v>3902.25</v>
      </c>
      <c r="Q328" s="68">
        <f>IF((N330=""),"",AVERAGE(F330:N330))</f>
        <v>4336.5533333333342</v>
      </c>
      <c r="R328" s="68">
        <f>IF((N329=""),"",(O328-P328)/(O328+P328)*100)</f>
        <v>10.366046941110012</v>
      </c>
      <c r="S328" s="181">
        <f>STDEV(F330:N330)</f>
        <v>372.15337325490077</v>
      </c>
      <c r="T328" s="187" t="str">
        <f>IF(N329="","",IF(R328&lt;16,IF(Q328&gt;3200,IF(R328,IF(Q328&lt;5240,"Pass","Fail"),"Fail"),"Fail")))</f>
        <v>Pass</v>
      </c>
      <c r="U328" s="188" t="s">
        <v>202</v>
      </c>
      <c r="V328" s="33" t="s">
        <v>203</v>
      </c>
      <c r="X328" s="184">
        <v>4200</v>
      </c>
      <c r="Y328" s="184">
        <v>5500</v>
      </c>
      <c r="Z328" s="184">
        <v>3200</v>
      </c>
      <c r="AA328" s="184">
        <v>5240</v>
      </c>
      <c r="AB328" s="57">
        <v>16</v>
      </c>
    </row>
    <row r="329" spans="1:29" x14ac:dyDescent="0.25">
      <c r="A329" s="272"/>
      <c r="B329" s="47"/>
      <c r="C329" s="24"/>
      <c r="D329" s="24"/>
      <c r="E329" s="88" t="s">
        <v>193</v>
      </c>
      <c r="F329" s="28">
        <v>24429.69</v>
      </c>
      <c r="G329" s="28">
        <v>24981.09</v>
      </c>
      <c r="H329" s="28">
        <v>25091.13</v>
      </c>
      <c r="I329" s="28">
        <v>24898.43</v>
      </c>
      <c r="J329" s="28">
        <v>24298.34</v>
      </c>
      <c r="K329" s="28">
        <v>24458.67</v>
      </c>
      <c r="L329" s="28">
        <v>24988.7</v>
      </c>
      <c r="M329" s="28">
        <v>24938.82</v>
      </c>
      <c r="N329" s="28">
        <v>24273.53</v>
      </c>
      <c r="O329" s="88"/>
      <c r="P329" s="88"/>
      <c r="Q329" s="89"/>
      <c r="R329" s="89"/>
      <c r="S329" s="210"/>
      <c r="T329" s="23"/>
      <c r="U329" s="211"/>
      <c r="V329" s="33"/>
      <c r="X329" s="186"/>
      <c r="Y329" s="186"/>
      <c r="Z329" s="186"/>
      <c r="AA329" s="186"/>
    </row>
    <row r="330" spans="1:29" ht="22.75" thickBot="1" x14ac:dyDescent="0.3">
      <c r="A330" s="272"/>
      <c r="B330" s="47"/>
      <c r="C330" s="24"/>
      <c r="D330" s="24"/>
      <c r="E330" s="88" t="s">
        <v>194</v>
      </c>
      <c r="F330" s="66">
        <f t="shared" ref="F330:N330" si="106">IF(((F328="")*AND(F329="")),"",(F328-F329)*3)</f>
        <v>4632.1200000000026</v>
      </c>
      <c r="G330" s="66">
        <f t="shared" si="106"/>
        <v>3902.25</v>
      </c>
      <c r="H330" s="66">
        <f t="shared" si="106"/>
        <v>4054.1699999999983</v>
      </c>
      <c r="I330" s="66">
        <f t="shared" si="106"/>
        <v>4170.8700000000026</v>
      </c>
      <c r="J330" s="66">
        <f t="shared" si="106"/>
        <v>4804.8300000000017</v>
      </c>
      <c r="K330" s="66">
        <f t="shared" si="106"/>
        <v>4638.1500000000087</v>
      </c>
      <c r="L330" s="66">
        <f t="shared" si="106"/>
        <v>4000.4399999999987</v>
      </c>
      <c r="M330" s="66">
        <f t="shared" si="106"/>
        <v>4032.3599999999969</v>
      </c>
      <c r="N330" s="66">
        <f t="shared" si="106"/>
        <v>4793.7900000000009</v>
      </c>
      <c r="O330" s="88"/>
      <c r="P330" s="88"/>
      <c r="Q330" s="89"/>
      <c r="R330" s="89"/>
      <c r="S330" s="210"/>
      <c r="T330" s="23"/>
      <c r="U330" s="211"/>
      <c r="V330" s="33"/>
      <c r="X330" s="186"/>
      <c r="Y330" s="186"/>
      <c r="Z330" s="186"/>
      <c r="AA330" s="186"/>
    </row>
    <row r="331" spans="1:29" x14ac:dyDescent="0.25">
      <c r="A331" s="272">
        <v>43262</v>
      </c>
      <c r="B331" s="47" t="s">
        <v>177</v>
      </c>
      <c r="C331" s="24" t="s">
        <v>179</v>
      </c>
      <c r="D331" s="70" t="s">
        <v>178</v>
      </c>
      <c r="E331" s="88" t="s">
        <v>192</v>
      </c>
      <c r="F331" s="28">
        <v>3179.64</v>
      </c>
      <c r="G331" s="28">
        <v>3026.86</v>
      </c>
      <c r="H331" s="28">
        <v>3074.82</v>
      </c>
      <c r="I331" s="28">
        <v>3086.8</v>
      </c>
      <c r="J331" s="28">
        <v>3388.78</v>
      </c>
      <c r="K331" s="28">
        <v>3389.57</v>
      </c>
      <c r="L331" s="28">
        <v>3096.49</v>
      </c>
      <c r="M331" s="28">
        <v>3029.19</v>
      </c>
      <c r="N331" s="28">
        <v>3224.33</v>
      </c>
      <c r="O331" s="88">
        <f>IF((N332=""),"",MAX(F333:N333))</f>
        <v>4014.44</v>
      </c>
      <c r="P331" s="88">
        <f>IF(N332="","",MIN(F333:N333))</f>
        <v>3690.2200000000003</v>
      </c>
      <c r="Q331" s="89">
        <f>IF((N333=""),"",AVERAGE(F333:N333))</f>
        <v>3893.1866666666665</v>
      </c>
      <c r="R331" s="89">
        <f>IF((N332=""),"",(O331-P331)/(O331+P331)*100)</f>
        <v>4.2081026287986729</v>
      </c>
      <c r="S331" s="181">
        <f>STDEV(F333:N333)</f>
        <v>114.22319204084607</v>
      </c>
      <c r="T331" s="23" t="str">
        <f>IF(N332="","",IF(Q331&gt;3650,IF(R331&lt;7,IF(Q331&lt;4450,"Pass","Fail"),"Fail"),"Fail"))</f>
        <v>Pass</v>
      </c>
      <c r="U331" s="211" t="s">
        <v>202</v>
      </c>
      <c r="V331" s="33" t="s">
        <v>203</v>
      </c>
      <c r="X331" s="184">
        <v>3650</v>
      </c>
      <c r="Y331" s="184">
        <v>4450</v>
      </c>
      <c r="Z331" s="184">
        <v>3700</v>
      </c>
      <c r="AA331" s="184">
        <v>4100</v>
      </c>
      <c r="AB331" s="57">
        <v>6.5</v>
      </c>
      <c r="AC331" s="57">
        <v>7</v>
      </c>
    </row>
    <row r="332" spans="1:29" x14ac:dyDescent="0.25">
      <c r="A332" s="272"/>
      <c r="B332" s="47"/>
      <c r="C332" s="24"/>
      <c r="D332" s="24"/>
      <c r="E332" s="88" t="s">
        <v>193</v>
      </c>
      <c r="F332" s="28">
        <v>1282.27</v>
      </c>
      <c r="G332" s="28">
        <v>1046.28</v>
      </c>
      <c r="H332" s="28">
        <v>1068.51</v>
      </c>
      <c r="I332" s="28">
        <v>1105.7</v>
      </c>
      <c r="J332" s="28">
        <v>1497.38</v>
      </c>
      <c r="K332" s="28">
        <v>1544.46</v>
      </c>
      <c r="L332" s="28">
        <v>1124.1500000000001</v>
      </c>
      <c r="M332" s="28">
        <v>1021.97</v>
      </c>
      <c r="N332" s="28">
        <v>1286.42</v>
      </c>
      <c r="O332" s="88"/>
      <c r="P332" s="88"/>
      <c r="Q332" s="89"/>
      <c r="R332" s="89"/>
      <c r="S332" s="210"/>
      <c r="T332" s="23"/>
      <c r="U332" s="211"/>
      <c r="V332" s="33"/>
      <c r="X332" s="186"/>
      <c r="Y332" s="186"/>
      <c r="Z332" s="186"/>
      <c r="AA332" s="186"/>
    </row>
    <row r="333" spans="1:29" ht="22.15" x14ac:dyDescent="0.25">
      <c r="A333" s="272"/>
      <c r="B333" s="47"/>
      <c r="C333" s="24"/>
      <c r="D333" s="24"/>
      <c r="E333" s="88" t="s">
        <v>194</v>
      </c>
      <c r="F333" s="66">
        <f t="shared" ref="F333:N333" si="107">IF(((F331="")*AND(F332="")),"",(F331-F332)*2)</f>
        <v>3794.74</v>
      </c>
      <c r="G333" s="66">
        <f t="shared" si="107"/>
        <v>3961.1600000000003</v>
      </c>
      <c r="H333" s="66">
        <f t="shared" si="107"/>
        <v>4012.6200000000003</v>
      </c>
      <c r="I333" s="66">
        <f t="shared" si="107"/>
        <v>3962.2000000000003</v>
      </c>
      <c r="J333" s="66">
        <f t="shared" si="107"/>
        <v>3782.8</v>
      </c>
      <c r="K333" s="66">
        <f t="shared" si="107"/>
        <v>3690.2200000000003</v>
      </c>
      <c r="L333" s="66">
        <f t="shared" si="107"/>
        <v>3944.6799999999994</v>
      </c>
      <c r="M333" s="66">
        <f t="shared" si="107"/>
        <v>4014.44</v>
      </c>
      <c r="N333" s="66">
        <f t="shared" si="107"/>
        <v>3875.8199999999997</v>
      </c>
      <c r="O333" s="88"/>
      <c r="P333" s="88"/>
      <c r="Q333" s="89"/>
      <c r="R333" s="89"/>
      <c r="S333" s="210"/>
      <c r="T333" s="23"/>
      <c r="U333" s="211"/>
      <c r="V333" s="33"/>
      <c r="X333" s="186"/>
      <c r="Y333" s="186"/>
      <c r="Z333" s="186"/>
      <c r="AA333" s="186"/>
    </row>
    <row r="334" spans="1:29" x14ac:dyDescent="0.25">
      <c r="A334" s="272">
        <v>43262</v>
      </c>
      <c r="B334" s="24" t="s">
        <v>172</v>
      </c>
      <c r="C334" s="24" t="s">
        <v>174</v>
      </c>
      <c r="D334" s="24" t="s">
        <v>195</v>
      </c>
      <c r="E334" s="88" t="s">
        <v>192</v>
      </c>
      <c r="F334" s="28">
        <v>1924.29</v>
      </c>
      <c r="G334" s="28">
        <v>1927.32</v>
      </c>
      <c r="H334" s="28">
        <v>1934.75</v>
      </c>
      <c r="I334" s="28">
        <v>1928.83</v>
      </c>
      <c r="J334" s="28">
        <v>1927.08</v>
      </c>
      <c r="K334" s="28">
        <v>1927.74</v>
      </c>
      <c r="L334" s="28">
        <v>1925.11</v>
      </c>
      <c r="M334" s="28">
        <v>1929.3</v>
      </c>
      <c r="N334" s="28">
        <v>1927.97</v>
      </c>
      <c r="O334" s="88">
        <f>IF((N335=""),"",MAX(F336:N336))</f>
        <v>2054.6099999999997</v>
      </c>
      <c r="P334" s="88">
        <f>IF(N335="","",MIN(F336:N336))</f>
        <v>1993.1399999999996</v>
      </c>
      <c r="Q334" s="89">
        <f>IF((N336=""),"",AVERAGE(F336:N336))</f>
        <v>2018.583333333333</v>
      </c>
      <c r="R334" s="89">
        <f>IF((N335=""),"",(O334-P334)/(O334+P334)*100)</f>
        <v>1.5186214563646481</v>
      </c>
      <c r="S334" s="181">
        <f>STDEV(F336:N336)</f>
        <v>17.388975674259765</v>
      </c>
      <c r="T334" s="23" t="str">
        <f>IF(N335="","",IF(Q334&gt;1940,IF(R334&lt;8.3,IF(Q334&lt;2180,"Pass","Fail"),"Fail"),"Fail"))</f>
        <v>Pass</v>
      </c>
      <c r="U334" s="211" t="s">
        <v>202</v>
      </c>
      <c r="V334" s="33" t="s">
        <v>203</v>
      </c>
      <c r="X334" s="184">
        <v>2000</v>
      </c>
      <c r="Y334" s="184">
        <v>3000</v>
      </c>
      <c r="Z334" s="184">
        <v>1940</v>
      </c>
      <c r="AA334" s="184">
        <v>2180</v>
      </c>
      <c r="AB334" s="57">
        <v>5.2</v>
      </c>
    </row>
    <row r="335" spans="1:29" x14ac:dyDescent="0.25">
      <c r="A335" s="272"/>
      <c r="B335" s="47"/>
      <c r="C335" s="24"/>
      <c r="D335" s="24"/>
      <c r="E335" s="88" t="s">
        <v>193</v>
      </c>
      <c r="F335" s="28">
        <v>1239.42</v>
      </c>
      <c r="G335" s="28">
        <v>1250.53</v>
      </c>
      <c r="H335" s="28">
        <v>1265.05</v>
      </c>
      <c r="I335" s="28">
        <v>1258.1099999999999</v>
      </c>
      <c r="J335" s="28">
        <v>1262.7</v>
      </c>
      <c r="K335" s="28">
        <v>1254.42</v>
      </c>
      <c r="L335" s="28">
        <v>1256.3699999999999</v>
      </c>
      <c r="M335" s="28">
        <v>1254.22</v>
      </c>
      <c r="N335" s="28">
        <v>1255.82</v>
      </c>
      <c r="O335" s="88"/>
      <c r="P335" s="88"/>
      <c r="Q335" s="89"/>
      <c r="R335" s="89"/>
      <c r="S335" s="210"/>
      <c r="T335" s="23"/>
      <c r="U335" s="211"/>
      <c r="V335" s="33"/>
      <c r="X335" s="186"/>
      <c r="Y335" s="186"/>
      <c r="Z335" s="186"/>
      <c r="AA335" s="186"/>
    </row>
    <row r="336" spans="1:29" ht="32.299999999999997" customHeight="1" thickBot="1" x14ac:dyDescent="0.3">
      <c r="A336" s="279"/>
      <c r="B336" s="90"/>
      <c r="C336" s="91"/>
      <c r="D336" s="91"/>
      <c r="E336" s="92" t="s">
        <v>196</v>
      </c>
      <c r="F336" s="79">
        <f t="shared" ref="F336:N336" si="108">IF(((F334="")*AND(F335="")),"",(F334-F335)*3)</f>
        <v>2054.6099999999997</v>
      </c>
      <c r="G336" s="79">
        <f t="shared" si="108"/>
        <v>2030.37</v>
      </c>
      <c r="H336" s="79">
        <f t="shared" si="108"/>
        <v>2009.1000000000001</v>
      </c>
      <c r="I336" s="79">
        <f t="shared" si="108"/>
        <v>2012.16</v>
      </c>
      <c r="J336" s="79">
        <f t="shared" si="108"/>
        <v>1993.1399999999996</v>
      </c>
      <c r="K336" s="79">
        <f t="shared" si="108"/>
        <v>2019.9599999999998</v>
      </c>
      <c r="L336" s="79">
        <f t="shared" si="108"/>
        <v>2006.22</v>
      </c>
      <c r="M336" s="79">
        <f t="shared" si="108"/>
        <v>2025.2399999999998</v>
      </c>
      <c r="N336" s="79">
        <f t="shared" si="108"/>
        <v>2016.4500000000003</v>
      </c>
      <c r="O336" s="92"/>
      <c r="P336" s="92"/>
      <c r="Q336" s="93"/>
      <c r="R336" s="93"/>
      <c r="S336" s="213"/>
      <c r="T336" s="214"/>
      <c r="U336" s="215"/>
      <c r="V336" s="33"/>
      <c r="X336" s="186"/>
      <c r="Y336" s="186"/>
      <c r="Z336" s="186"/>
      <c r="AA336" s="186"/>
    </row>
    <row r="337" spans="1:29" x14ac:dyDescent="0.25">
      <c r="A337" s="271">
        <v>43266</v>
      </c>
      <c r="B337" s="63" t="s">
        <v>191</v>
      </c>
      <c r="C337" s="65" t="s">
        <v>176</v>
      </c>
      <c r="D337" s="65" t="s">
        <v>175</v>
      </c>
      <c r="E337" s="67" t="s">
        <v>192</v>
      </c>
      <c r="F337" s="175">
        <v>23125.5</v>
      </c>
      <c r="G337" s="175">
        <v>23438.38</v>
      </c>
      <c r="H337" s="175">
        <v>23576.080000000002</v>
      </c>
      <c r="I337" s="175">
        <v>23403.16</v>
      </c>
      <c r="J337" s="175">
        <v>23047.93</v>
      </c>
      <c r="K337" s="175">
        <v>23117.31</v>
      </c>
      <c r="L337" s="175">
        <v>23439.279999999999</v>
      </c>
      <c r="M337" s="175">
        <v>23392.22</v>
      </c>
      <c r="N337" s="175">
        <v>23044.560000000001</v>
      </c>
      <c r="O337" s="67">
        <f>IF((N338=""),"",MAX(F339:N339))</f>
        <v>4388.6100000000079</v>
      </c>
      <c r="P337" s="67">
        <f>IF(N338="","",MIN(F339:N339))</f>
        <v>3899.1600000000035</v>
      </c>
      <c r="Q337" s="68">
        <f>IF((N339=""),"",AVERAGE(F339:N339))</f>
        <v>4140.8966666666684</v>
      </c>
      <c r="R337" s="68">
        <f>IF((N338=""),"",(O337-P337)/(O337+P337)*100)</f>
        <v>5.9056899503727021</v>
      </c>
      <c r="S337" s="181">
        <f>STDEV(F339:N339)</f>
        <v>217.3281088584732</v>
      </c>
      <c r="T337" s="187" t="str">
        <f>IF(N338="","",IF(R337&lt;16,IF(Q337&gt;3200,IF(R337,IF(Q337&lt;5240,"Pass","Fail"),"Fail"),"Fail")))</f>
        <v>Pass</v>
      </c>
      <c r="U337" s="188">
        <v>121</v>
      </c>
      <c r="V337" s="246"/>
      <c r="W337" s="33"/>
      <c r="X337" s="184">
        <v>4200</v>
      </c>
      <c r="Y337" s="184">
        <v>5500</v>
      </c>
      <c r="Z337" s="184">
        <v>3200</v>
      </c>
      <c r="AA337" s="184">
        <v>5240</v>
      </c>
      <c r="AB337" s="57">
        <v>16</v>
      </c>
    </row>
    <row r="338" spans="1:29" x14ac:dyDescent="0.25">
      <c r="A338" s="272"/>
      <c r="B338" s="47"/>
      <c r="C338" s="24"/>
      <c r="D338" s="24"/>
      <c r="E338" s="88" t="s">
        <v>193</v>
      </c>
      <c r="F338" s="28">
        <v>21677.68</v>
      </c>
      <c r="G338" s="28">
        <v>22116.76</v>
      </c>
      <c r="H338" s="28">
        <v>22276.36</v>
      </c>
      <c r="I338" s="28">
        <v>22080.05</v>
      </c>
      <c r="J338" s="28">
        <v>21591.42</v>
      </c>
      <c r="K338" s="28">
        <v>21660.240000000002</v>
      </c>
      <c r="L338" s="28">
        <v>22109.74</v>
      </c>
      <c r="M338" s="28">
        <v>22067.79</v>
      </c>
      <c r="N338" s="28">
        <v>21581.69</v>
      </c>
      <c r="O338" s="88"/>
      <c r="P338" s="88"/>
      <c r="Q338" s="89"/>
      <c r="R338" s="89"/>
      <c r="S338" s="210"/>
      <c r="T338" s="23"/>
      <c r="U338" s="211"/>
      <c r="V338" s="246"/>
      <c r="W338" s="33"/>
      <c r="X338" s="186"/>
      <c r="Y338" s="186"/>
      <c r="Z338" s="186"/>
      <c r="AA338" s="186"/>
    </row>
    <row r="339" spans="1:29" ht="22.75" thickBot="1" x14ac:dyDescent="0.3">
      <c r="A339" s="272"/>
      <c r="B339" s="47"/>
      <c r="C339" s="24"/>
      <c r="D339" s="24"/>
      <c r="E339" s="88" t="s">
        <v>194</v>
      </c>
      <c r="F339" s="66">
        <f t="shared" ref="F339:N339" si="109">IF(((F337="")*AND(F338="")),"",(F337-F338)*3)</f>
        <v>4343.4599999999991</v>
      </c>
      <c r="G339" s="66">
        <f t="shared" si="109"/>
        <v>3964.8600000000079</v>
      </c>
      <c r="H339" s="66">
        <f t="shared" si="109"/>
        <v>3899.1600000000035</v>
      </c>
      <c r="I339" s="66">
        <f t="shared" si="109"/>
        <v>3969.3300000000017</v>
      </c>
      <c r="J339" s="66">
        <f t="shared" si="109"/>
        <v>4369.5300000000061</v>
      </c>
      <c r="K339" s="66">
        <f t="shared" si="109"/>
        <v>4371.2099999999991</v>
      </c>
      <c r="L339" s="66">
        <f t="shared" si="109"/>
        <v>3988.6199999999917</v>
      </c>
      <c r="M339" s="66">
        <f t="shared" si="109"/>
        <v>3973.2900000000009</v>
      </c>
      <c r="N339" s="66">
        <f t="shared" si="109"/>
        <v>4388.6100000000079</v>
      </c>
      <c r="O339" s="88"/>
      <c r="P339" s="88"/>
      <c r="Q339" s="89"/>
      <c r="R339" s="89"/>
      <c r="S339" s="210"/>
      <c r="T339" s="23"/>
      <c r="U339" s="211"/>
      <c r="V339" s="246"/>
      <c r="W339" s="33"/>
      <c r="X339" s="186"/>
      <c r="Y339" s="186"/>
      <c r="Z339" s="186"/>
      <c r="AA339" s="186"/>
    </row>
    <row r="340" spans="1:29" x14ac:dyDescent="0.25">
      <c r="A340" s="272">
        <v>43266</v>
      </c>
      <c r="B340" s="47" t="s">
        <v>177</v>
      </c>
      <c r="C340" s="24" t="s">
        <v>179</v>
      </c>
      <c r="D340" s="70" t="s">
        <v>178</v>
      </c>
      <c r="E340" s="88" t="s">
        <v>192</v>
      </c>
      <c r="F340" s="28">
        <v>6881.84</v>
      </c>
      <c r="G340" s="28">
        <v>6875.3</v>
      </c>
      <c r="H340" s="28">
        <v>6945.57</v>
      </c>
      <c r="I340" s="28">
        <v>6919.32</v>
      </c>
      <c r="J340" s="28">
        <v>7051.01</v>
      </c>
      <c r="K340" s="28">
        <v>6960.93</v>
      </c>
      <c r="L340" s="28">
        <v>6922.73</v>
      </c>
      <c r="M340" s="28">
        <v>6914.07</v>
      </c>
      <c r="N340" s="28">
        <v>6998.66</v>
      </c>
      <c r="O340" s="88">
        <f>IF((N341=""),"",MAX(F342:N342))</f>
        <v>3989.0199999999986</v>
      </c>
      <c r="P340" s="88">
        <f>IF(N341="","",MIN(F342:N342))</f>
        <v>3641.92</v>
      </c>
      <c r="Q340" s="89">
        <f>IF((N342=""),"",AVERAGE(F342:N342))</f>
        <v>3859.9311111111101</v>
      </c>
      <c r="R340" s="89">
        <f>IF((N341=""),"",(O340-P340)/(O340+P340)*100)</f>
        <v>4.5485877231376293</v>
      </c>
      <c r="S340" s="181">
        <f>STDEV(F342:N342)</f>
        <v>121.28731636536048</v>
      </c>
      <c r="T340" s="23" t="str">
        <f>IF(N341="","",IF(Q340&gt;3650,IF(R340&lt;7,IF(Q340&lt;4450,"Pass","Fail"),"Fail"),"Fail"))</f>
        <v>Pass</v>
      </c>
      <c r="U340" s="211">
        <v>121</v>
      </c>
      <c r="V340" s="246"/>
      <c r="W340" s="33"/>
      <c r="X340" s="184">
        <v>3650</v>
      </c>
      <c r="Y340" s="184">
        <v>4450</v>
      </c>
      <c r="Z340" s="184">
        <v>3700</v>
      </c>
      <c r="AA340" s="184">
        <v>4100</v>
      </c>
      <c r="AB340" s="57">
        <v>6.5</v>
      </c>
      <c r="AC340" s="57">
        <v>7</v>
      </c>
    </row>
    <row r="341" spans="1:29" x14ac:dyDescent="0.25">
      <c r="A341" s="272"/>
      <c r="B341" s="47"/>
      <c r="C341" s="24"/>
      <c r="D341" s="24"/>
      <c r="E341" s="88" t="s">
        <v>193</v>
      </c>
      <c r="F341" s="28">
        <v>5005.8900000000003</v>
      </c>
      <c r="G341" s="28">
        <v>4910.25</v>
      </c>
      <c r="H341" s="28">
        <v>4955.07</v>
      </c>
      <c r="I341" s="28">
        <v>4951.3500000000004</v>
      </c>
      <c r="J341" s="28">
        <v>5177.59</v>
      </c>
      <c r="K341" s="28">
        <v>5139.97</v>
      </c>
      <c r="L341" s="28">
        <v>4963.5</v>
      </c>
      <c r="M341" s="28">
        <v>4919.5600000000004</v>
      </c>
      <c r="N341" s="28">
        <v>5076.5600000000004</v>
      </c>
      <c r="O341" s="88"/>
      <c r="P341" s="88"/>
      <c r="Q341" s="89"/>
      <c r="R341" s="89"/>
      <c r="S341" s="210"/>
      <c r="T341" s="23"/>
      <c r="U341" s="211"/>
      <c r="V341" s="246"/>
      <c r="W341" s="33"/>
      <c r="X341" s="186"/>
      <c r="Y341" s="186"/>
      <c r="Z341" s="186"/>
      <c r="AA341" s="186"/>
    </row>
    <row r="342" spans="1:29" ht="22.15" x14ac:dyDescent="0.25">
      <c r="A342" s="272"/>
      <c r="B342" s="47"/>
      <c r="C342" s="24"/>
      <c r="D342" s="24"/>
      <c r="E342" s="88" t="s">
        <v>194</v>
      </c>
      <c r="F342" s="66">
        <f t="shared" ref="F342:N342" si="110">IF(((F340="")*AND(F341="")),"",(F340-F341)*2)</f>
        <v>3751.8999999999996</v>
      </c>
      <c r="G342" s="66">
        <f t="shared" si="110"/>
        <v>3930.1000000000004</v>
      </c>
      <c r="H342" s="66">
        <f t="shared" si="110"/>
        <v>3981</v>
      </c>
      <c r="I342" s="66">
        <f t="shared" si="110"/>
        <v>3935.9399999999987</v>
      </c>
      <c r="J342" s="66">
        <f t="shared" si="110"/>
        <v>3746.84</v>
      </c>
      <c r="K342" s="66">
        <f t="shared" si="110"/>
        <v>3641.92</v>
      </c>
      <c r="L342" s="66">
        <f t="shared" si="110"/>
        <v>3918.4599999999991</v>
      </c>
      <c r="M342" s="66">
        <f t="shared" si="110"/>
        <v>3989.0199999999986</v>
      </c>
      <c r="N342" s="66">
        <f t="shared" si="110"/>
        <v>3844.1999999999989</v>
      </c>
      <c r="O342" s="88"/>
      <c r="P342" s="88"/>
      <c r="Q342" s="89"/>
      <c r="R342" s="89"/>
      <c r="S342" s="210"/>
      <c r="T342" s="23"/>
      <c r="U342" s="211"/>
      <c r="V342" s="246"/>
      <c r="W342" s="33"/>
      <c r="X342" s="186"/>
      <c r="Y342" s="186"/>
      <c r="Z342" s="186"/>
      <c r="AA342" s="186"/>
    </row>
    <row r="343" spans="1:29" x14ac:dyDescent="0.25">
      <c r="A343" s="272">
        <v>43266</v>
      </c>
      <c r="B343" s="24" t="s">
        <v>172</v>
      </c>
      <c r="C343" s="24" t="s">
        <v>174</v>
      </c>
      <c r="D343" s="24" t="s">
        <v>195</v>
      </c>
      <c r="E343" s="88" t="s">
        <v>192</v>
      </c>
      <c r="F343" s="28">
        <v>1243.6199999999999</v>
      </c>
      <c r="G343" s="28">
        <v>1256.28</v>
      </c>
      <c r="H343" s="28">
        <v>1264.97</v>
      </c>
      <c r="I343" s="28">
        <v>1262.56</v>
      </c>
      <c r="J343" s="28">
        <v>1263.3399999999999</v>
      </c>
      <c r="K343" s="28">
        <v>1257.68</v>
      </c>
      <c r="L343" s="28">
        <v>1261.06</v>
      </c>
      <c r="M343" s="28">
        <v>1256.46</v>
      </c>
      <c r="N343" s="28">
        <v>1260.6199999999999</v>
      </c>
      <c r="O343" s="88">
        <f>IF((N344=""),"",MAX(F345:N345))</f>
        <v>2054.2499999999995</v>
      </c>
      <c r="P343" s="88">
        <f>IF(N344="","",MIN(F345:N345))</f>
        <v>2002.9199999999996</v>
      </c>
      <c r="Q343" s="89">
        <f>IF((N345=""),"",AVERAGE(F345:N345))</f>
        <v>2031.3666666666666</v>
      </c>
      <c r="R343" s="89">
        <f>IF((N344=""),"",(O343-P343)/(O343+P343)*100)</f>
        <v>1.2651675921886423</v>
      </c>
      <c r="S343" s="181">
        <f>STDEV(F345:N345)</f>
        <v>16.361952817436009</v>
      </c>
      <c r="T343" s="23" t="str">
        <f>IF(N344="","",IF(Q343&gt;1940,IF(R343&lt;8.3,IF(Q343&lt;2180,"Pass","Fail"),"Fail"),"Fail"))</f>
        <v>Pass</v>
      </c>
      <c r="U343" s="211">
        <v>121</v>
      </c>
      <c r="V343" s="246"/>
      <c r="W343" s="33"/>
      <c r="X343" s="184">
        <v>2000</v>
      </c>
      <c r="Y343" s="184">
        <v>3000</v>
      </c>
      <c r="Z343" s="184">
        <v>1940</v>
      </c>
      <c r="AA343" s="184">
        <v>2180</v>
      </c>
      <c r="AB343" s="57">
        <v>5.2</v>
      </c>
    </row>
    <row r="344" spans="1:29" x14ac:dyDescent="0.25">
      <c r="A344" s="272"/>
      <c r="B344" s="47"/>
      <c r="C344" s="24"/>
      <c r="D344" s="24"/>
      <c r="E344" s="88" t="s">
        <v>193</v>
      </c>
      <c r="F344" s="28">
        <v>558.87</v>
      </c>
      <c r="G344" s="28">
        <v>574.76</v>
      </c>
      <c r="H344" s="28">
        <v>590.26</v>
      </c>
      <c r="I344" s="28">
        <v>590.19000000000005</v>
      </c>
      <c r="J344" s="28">
        <v>595.70000000000005</v>
      </c>
      <c r="K344" s="28">
        <v>574.9</v>
      </c>
      <c r="L344" s="28">
        <v>586.03</v>
      </c>
      <c r="M344" s="28">
        <v>577.20000000000005</v>
      </c>
      <c r="N344" s="28">
        <v>584.58000000000004</v>
      </c>
      <c r="O344" s="88"/>
      <c r="P344" s="88"/>
      <c r="Q344" s="89"/>
      <c r="R344" s="89"/>
      <c r="S344" s="210"/>
      <c r="T344" s="23"/>
      <c r="U344" s="211"/>
      <c r="V344" s="246"/>
      <c r="W344" s="33"/>
      <c r="X344" s="186"/>
      <c r="Y344" s="186"/>
      <c r="Z344" s="186"/>
      <c r="AA344" s="186"/>
    </row>
    <row r="345" spans="1:29" ht="30.75" customHeight="1" thickBot="1" x14ac:dyDescent="0.3">
      <c r="A345" s="279"/>
      <c r="B345" s="90"/>
      <c r="C345" s="91"/>
      <c r="D345" s="91"/>
      <c r="E345" s="92" t="s">
        <v>196</v>
      </c>
      <c r="F345" s="79">
        <f t="shared" ref="F345:N345" si="111">IF(((F343="")*AND(F344="")),"",(F343-F344)*3)</f>
        <v>2054.2499999999995</v>
      </c>
      <c r="G345" s="79">
        <f t="shared" si="111"/>
        <v>2044.56</v>
      </c>
      <c r="H345" s="79">
        <f t="shared" si="111"/>
        <v>2024.13</v>
      </c>
      <c r="I345" s="79">
        <f t="shared" si="111"/>
        <v>2017.1099999999997</v>
      </c>
      <c r="J345" s="79">
        <f t="shared" si="111"/>
        <v>2002.9199999999996</v>
      </c>
      <c r="K345" s="79">
        <f t="shared" si="111"/>
        <v>2048.34</v>
      </c>
      <c r="L345" s="79">
        <f t="shared" si="111"/>
        <v>2025.09</v>
      </c>
      <c r="M345" s="79">
        <f t="shared" si="111"/>
        <v>2037.78</v>
      </c>
      <c r="N345" s="79">
        <f t="shared" si="111"/>
        <v>2028.1199999999994</v>
      </c>
      <c r="O345" s="92"/>
      <c r="P345" s="92"/>
      <c r="Q345" s="93"/>
      <c r="R345" s="93"/>
      <c r="S345" s="213"/>
      <c r="T345" s="214"/>
      <c r="U345" s="215"/>
      <c r="V345" s="246"/>
      <c r="W345" s="33"/>
      <c r="X345" s="186"/>
      <c r="Y345" s="186"/>
      <c r="Z345" s="186"/>
      <c r="AA345" s="186"/>
    </row>
    <row r="346" spans="1:29" x14ac:dyDescent="0.25">
      <c r="A346" s="271">
        <v>43270</v>
      </c>
      <c r="B346" s="63" t="s">
        <v>191</v>
      </c>
      <c r="C346" s="65" t="s">
        <v>176</v>
      </c>
      <c r="D346" s="65" t="s">
        <v>175</v>
      </c>
      <c r="E346" s="67" t="s">
        <v>192</v>
      </c>
      <c r="F346" s="175">
        <v>29190.080000000002</v>
      </c>
      <c r="G346" s="175">
        <v>29089.97</v>
      </c>
      <c r="H346" s="175">
        <v>29115.58</v>
      </c>
      <c r="I346" s="175">
        <v>29113.8</v>
      </c>
      <c r="J346" s="175">
        <v>29232.73</v>
      </c>
      <c r="K346" s="175">
        <v>29171.279999999999</v>
      </c>
      <c r="L346" s="175">
        <v>29094.17</v>
      </c>
      <c r="M346" s="175">
        <v>29094.82</v>
      </c>
      <c r="N346" s="175">
        <v>29215.13</v>
      </c>
      <c r="O346" s="67">
        <f>IF((N347=""),"",MAX(F348:N348))</f>
        <v>4312.3799999999974</v>
      </c>
      <c r="P346" s="67">
        <f>IF(N347="","",MIN(F348:N348))</f>
        <v>3838.9800000000105</v>
      </c>
      <c r="Q346" s="68">
        <f>IF((N348=""),"",AVERAGE(F348:N348))</f>
        <v>4049.7399999999989</v>
      </c>
      <c r="R346" s="68">
        <f>IF((N347=""),"",(O346-P346)/(O346+P346)*100)</f>
        <v>5.8076198327639368</v>
      </c>
      <c r="S346" s="181">
        <f>STDEV(F348:N348)</f>
        <v>199.66378577498668</v>
      </c>
      <c r="T346" s="187" t="str">
        <f>IF(N347="","",IF(R346&lt;16,IF(Q346&gt;3200,IF(R346,IF(Q346&lt;5240,"Pass","Fail"),"Fail"),"Fail")))</f>
        <v>Pass</v>
      </c>
      <c r="U346" s="188">
        <v>1159</v>
      </c>
      <c r="V346" s="33" t="s">
        <v>204</v>
      </c>
      <c r="X346" s="184">
        <v>4200</v>
      </c>
      <c r="Y346" s="184">
        <v>5500</v>
      </c>
      <c r="Z346" s="184">
        <v>3200</v>
      </c>
      <c r="AA346" s="184">
        <v>5240</v>
      </c>
      <c r="AB346" s="57">
        <v>16</v>
      </c>
    </row>
    <row r="347" spans="1:29" x14ac:dyDescent="0.25">
      <c r="A347" s="272"/>
      <c r="B347" s="47"/>
      <c r="C347" s="24"/>
      <c r="D347" s="24"/>
      <c r="E347" s="88" t="s">
        <v>193</v>
      </c>
      <c r="F347" s="28">
        <v>27791.65</v>
      </c>
      <c r="G347" s="28">
        <v>27792.400000000001</v>
      </c>
      <c r="H347" s="28">
        <v>27835.919999999998</v>
      </c>
      <c r="I347" s="28">
        <v>27810.59</v>
      </c>
      <c r="J347" s="28">
        <v>27795.27</v>
      </c>
      <c r="K347" s="28">
        <v>27761.54</v>
      </c>
      <c r="L347" s="28">
        <v>27800.43</v>
      </c>
      <c r="M347" s="28">
        <v>27794.880000000001</v>
      </c>
      <c r="N347" s="28">
        <v>27785.66</v>
      </c>
      <c r="O347" s="88"/>
      <c r="P347" s="88"/>
      <c r="Q347" s="89"/>
      <c r="R347" s="89"/>
      <c r="S347" s="210"/>
      <c r="T347" s="23"/>
      <c r="U347" s="211"/>
      <c r="V347" s="33"/>
      <c r="X347" s="186"/>
      <c r="Y347" s="186"/>
      <c r="Z347" s="186"/>
      <c r="AA347" s="186"/>
    </row>
    <row r="348" spans="1:29" ht="22.75" thickBot="1" x14ac:dyDescent="0.3">
      <c r="A348" s="272"/>
      <c r="B348" s="47"/>
      <c r="C348" s="24"/>
      <c r="D348" s="24"/>
      <c r="E348" s="88" t="s">
        <v>194</v>
      </c>
      <c r="F348" s="66">
        <f t="shared" ref="F348:N348" si="112">IF(((F346="")*AND(F347="")),"",(F346-F347)*3)</f>
        <v>4195.2900000000009</v>
      </c>
      <c r="G348" s="66">
        <f t="shared" si="112"/>
        <v>3892.7099999999991</v>
      </c>
      <c r="H348" s="66">
        <f t="shared" si="112"/>
        <v>3838.9800000000105</v>
      </c>
      <c r="I348" s="66">
        <f t="shared" si="112"/>
        <v>3909.6299999999974</v>
      </c>
      <c r="J348" s="66">
        <f t="shared" si="112"/>
        <v>4312.3799999999974</v>
      </c>
      <c r="K348" s="66">
        <f t="shared" si="112"/>
        <v>4229.2199999999939</v>
      </c>
      <c r="L348" s="66">
        <f t="shared" si="112"/>
        <v>3881.2199999999939</v>
      </c>
      <c r="M348" s="66">
        <f t="shared" si="112"/>
        <v>3899.8199999999961</v>
      </c>
      <c r="N348" s="66">
        <f t="shared" si="112"/>
        <v>4288.4100000000035</v>
      </c>
      <c r="O348" s="88"/>
      <c r="P348" s="88"/>
      <c r="Q348" s="89"/>
      <c r="R348" s="89"/>
      <c r="S348" s="210"/>
      <c r="T348" s="23"/>
      <c r="U348" s="211"/>
      <c r="V348" s="33"/>
      <c r="X348" s="186"/>
      <c r="Y348" s="186"/>
      <c r="Z348" s="186"/>
      <c r="AA348" s="186"/>
    </row>
    <row r="349" spans="1:29" x14ac:dyDescent="0.25">
      <c r="A349" s="272">
        <v>43270</v>
      </c>
      <c r="B349" s="47" t="s">
        <v>177</v>
      </c>
      <c r="C349" s="24" t="s">
        <v>179</v>
      </c>
      <c r="D349" s="70" t="s">
        <v>178</v>
      </c>
      <c r="E349" s="88" t="s">
        <v>192</v>
      </c>
      <c r="F349" s="28">
        <v>5015.1000000000004</v>
      </c>
      <c r="G349" s="28">
        <v>4920.72</v>
      </c>
      <c r="H349" s="28">
        <v>4964.4799999999996</v>
      </c>
      <c r="I349" s="28">
        <v>4960.7299999999996</v>
      </c>
      <c r="J349" s="28">
        <v>5185.75</v>
      </c>
      <c r="K349" s="28">
        <v>5147.6099999999997</v>
      </c>
      <c r="L349" s="28">
        <v>4973.09</v>
      </c>
      <c r="M349" s="28">
        <v>4929.97</v>
      </c>
      <c r="N349" s="28">
        <v>5084.87</v>
      </c>
      <c r="O349" s="88">
        <f>IF((N350=""),"",MAX(F351:N351))</f>
        <v>3995.9400000000005</v>
      </c>
      <c r="P349" s="88">
        <f>IF(N350="","",MIN(F351:N351))</f>
        <v>3618.2999999999993</v>
      </c>
      <c r="Q349" s="89">
        <f>IF((N351=""),"",AVERAGE(F351:N351))</f>
        <v>3856.6333333333332</v>
      </c>
      <c r="R349" s="89">
        <f>IF((N350=""),"",(O349-P349)/(O349+P349)*100)</f>
        <v>4.959654542016029</v>
      </c>
      <c r="S349" s="181">
        <f>STDEV(F351:N351)</f>
        <v>131.33353874772425</v>
      </c>
      <c r="T349" s="23" t="str">
        <f>IF(N350="","",IF(Q349&gt;3650,IF(R349&lt;7,IF(Q349&lt;4450,"Pass","Fail"),"Fail"),"Fail"))</f>
        <v>Pass</v>
      </c>
      <c r="U349" s="211">
        <v>1159</v>
      </c>
      <c r="V349" s="33" t="s">
        <v>204</v>
      </c>
      <c r="X349" s="184">
        <v>3650</v>
      </c>
      <c r="Y349" s="184">
        <v>4450</v>
      </c>
      <c r="Z349" s="184">
        <v>3700</v>
      </c>
      <c r="AA349" s="184">
        <v>4100</v>
      </c>
      <c r="AB349" s="57">
        <v>6.5</v>
      </c>
      <c r="AC349" s="57">
        <v>7</v>
      </c>
    </row>
    <row r="350" spans="1:29" x14ac:dyDescent="0.25">
      <c r="A350" s="272"/>
      <c r="B350" s="47"/>
      <c r="C350" s="24"/>
      <c r="D350" s="24"/>
      <c r="E350" s="88" t="s">
        <v>193</v>
      </c>
      <c r="F350" s="28">
        <v>3138.97</v>
      </c>
      <c r="G350" s="28">
        <v>2949.12</v>
      </c>
      <c r="H350" s="28">
        <v>2973.46</v>
      </c>
      <c r="I350" s="28">
        <v>2992.67</v>
      </c>
      <c r="J350" s="28">
        <v>3322.72</v>
      </c>
      <c r="K350" s="28">
        <v>3338.46</v>
      </c>
      <c r="L350" s="28">
        <v>3013.55</v>
      </c>
      <c r="M350" s="28">
        <v>2932</v>
      </c>
      <c r="N350" s="28">
        <v>3166.52</v>
      </c>
      <c r="O350" s="88"/>
      <c r="P350" s="88"/>
      <c r="Q350" s="89"/>
      <c r="R350" s="89"/>
      <c r="S350" s="210"/>
      <c r="T350" s="23"/>
      <c r="U350" s="211"/>
      <c r="V350" s="33"/>
      <c r="X350" s="186"/>
      <c r="Y350" s="186"/>
      <c r="Z350" s="186"/>
      <c r="AA350" s="186"/>
    </row>
    <row r="351" spans="1:29" ht="22.15" x14ac:dyDescent="0.25">
      <c r="A351" s="272"/>
      <c r="B351" s="47"/>
      <c r="C351" s="24"/>
      <c r="D351" s="24"/>
      <c r="E351" s="88" t="s">
        <v>194</v>
      </c>
      <c r="F351" s="66">
        <f t="shared" ref="F351:N351" si="113">IF(((F349="")*AND(F350="")),"",(F349-F350)*2)</f>
        <v>3752.2600000000011</v>
      </c>
      <c r="G351" s="66">
        <f t="shared" si="113"/>
        <v>3943.2000000000007</v>
      </c>
      <c r="H351" s="66">
        <f t="shared" si="113"/>
        <v>3982.0399999999991</v>
      </c>
      <c r="I351" s="66">
        <f t="shared" si="113"/>
        <v>3936.119999999999</v>
      </c>
      <c r="J351" s="66">
        <f t="shared" si="113"/>
        <v>3726.0600000000004</v>
      </c>
      <c r="K351" s="66">
        <f t="shared" si="113"/>
        <v>3618.2999999999993</v>
      </c>
      <c r="L351" s="66">
        <f t="shared" si="113"/>
        <v>3919.08</v>
      </c>
      <c r="M351" s="66">
        <f t="shared" si="113"/>
        <v>3995.9400000000005</v>
      </c>
      <c r="N351" s="66">
        <f t="shared" si="113"/>
        <v>3836.7</v>
      </c>
      <c r="O351" s="88"/>
      <c r="P351" s="88"/>
      <c r="Q351" s="89"/>
      <c r="R351" s="89"/>
      <c r="S351" s="210"/>
      <c r="T351" s="23"/>
      <c r="U351" s="211"/>
      <c r="V351" s="33"/>
      <c r="X351" s="186"/>
      <c r="Y351" s="186"/>
      <c r="Z351" s="186"/>
      <c r="AA351" s="186"/>
    </row>
    <row r="352" spans="1:29" x14ac:dyDescent="0.25">
      <c r="A352" s="272">
        <v>43270</v>
      </c>
      <c r="B352" s="24" t="s">
        <v>172</v>
      </c>
      <c r="C352" s="24" t="s">
        <v>174</v>
      </c>
      <c r="D352" s="24" t="s">
        <v>195</v>
      </c>
      <c r="E352" s="88" t="s">
        <v>192</v>
      </c>
      <c r="F352" s="28">
        <v>1927.9</v>
      </c>
      <c r="G352" s="28">
        <v>1926.32</v>
      </c>
      <c r="H352" s="28">
        <v>1921.28</v>
      </c>
      <c r="I352" s="28">
        <v>1927.5</v>
      </c>
      <c r="J352" s="28">
        <v>1936.25</v>
      </c>
      <c r="K352" s="28">
        <v>1935.28</v>
      </c>
      <c r="L352" s="28">
        <v>1923.83</v>
      </c>
      <c r="M352" s="28">
        <v>1926.84</v>
      </c>
      <c r="N352" s="28">
        <v>1932.62</v>
      </c>
      <c r="O352" s="88">
        <f>IF((N353=""),"",MAX(F354:N354))</f>
        <v>2020.6799999999998</v>
      </c>
      <c r="P352" s="88">
        <f>IF(N353="","",MIN(F354:N354))</f>
        <v>1979.28</v>
      </c>
      <c r="Q352" s="89">
        <f>IF((N354=""),"",AVERAGE(F354:N354))</f>
        <v>1998.1233333333334</v>
      </c>
      <c r="R352" s="89">
        <f>IF((N353=""),"",(O352-P352)/(O352+P352)*100)</f>
        <v>1.0350103501034977</v>
      </c>
      <c r="S352" s="181">
        <f>STDEV(F354:N354)</f>
        <v>12.720410763807877</v>
      </c>
      <c r="T352" s="23" t="str">
        <f>IF(N353="","",IF(Q352&gt;1940,IF(R352&lt;8.3,IF(Q352&lt;2180,"Pass","Fail"),"Fail"),"Fail"))</f>
        <v>Pass</v>
      </c>
      <c r="U352" s="211">
        <v>1159</v>
      </c>
      <c r="V352" s="33" t="s">
        <v>204</v>
      </c>
      <c r="X352" s="184">
        <v>2000</v>
      </c>
      <c r="Y352" s="184">
        <v>3000</v>
      </c>
      <c r="Z352" s="184">
        <v>1940</v>
      </c>
      <c r="AA352" s="184">
        <v>2180</v>
      </c>
      <c r="AB352" s="57">
        <v>5.2</v>
      </c>
    </row>
    <row r="353" spans="1:29" x14ac:dyDescent="0.25">
      <c r="A353" s="272"/>
      <c r="B353" s="47"/>
      <c r="C353" s="24"/>
      <c r="D353" s="24"/>
      <c r="E353" s="88" t="s">
        <v>193</v>
      </c>
      <c r="F353" s="28">
        <v>1261.07</v>
      </c>
      <c r="G353" s="28">
        <v>1257.2</v>
      </c>
      <c r="H353" s="28">
        <v>1254.81</v>
      </c>
      <c r="I353" s="28">
        <v>1259.01</v>
      </c>
      <c r="J353" s="28">
        <v>1275.49</v>
      </c>
      <c r="K353" s="28">
        <v>1270.49</v>
      </c>
      <c r="L353" s="28">
        <v>1264.07</v>
      </c>
      <c r="M353" s="28">
        <v>1253.28</v>
      </c>
      <c r="N353" s="28">
        <v>1268.03</v>
      </c>
      <c r="O353" s="88"/>
      <c r="P353" s="88"/>
      <c r="Q353" s="89"/>
      <c r="R353" s="89"/>
      <c r="S353" s="210"/>
      <c r="T353" s="23"/>
      <c r="U353" s="211"/>
      <c r="V353" s="33"/>
      <c r="X353" s="186"/>
      <c r="Y353" s="186"/>
      <c r="Z353" s="186"/>
      <c r="AA353" s="186"/>
    </row>
    <row r="354" spans="1:29" ht="31.6" customHeight="1" thickBot="1" x14ac:dyDescent="0.3">
      <c r="A354" s="279"/>
      <c r="B354" s="90"/>
      <c r="C354" s="91"/>
      <c r="D354" s="91"/>
      <c r="E354" s="92" t="s">
        <v>196</v>
      </c>
      <c r="F354" s="79">
        <f t="shared" ref="F354:N354" si="114">IF(((F352="")*AND(F353="")),"",(F352-F353)*3)</f>
        <v>2000.4900000000005</v>
      </c>
      <c r="G354" s="79">
        <f t="shared" si="114"/>
        <v>2007.3599999999997</v>
      </c>
      <c r="H354" s="79">
        <f t="shared" si="114"/>
        <v>1999.41</v>
      </c>
      <c r="I354" s="79">
        <f t="shared" si="114"/>
        <v>2005.47</v>
      </c>
      <c r="J354" s="79">
        <f t="shared" si="114"/>
        <v>1982.28</v>
      </c>
      <c r="K354" s="79">
        <f t="shared" si="114"/>
        <v>1994.37</v>
      </c>
      <c r="L354" s="79">
        <f t="shared" si="114"/>
        <v>1979.28</v>
      </c>
      <c r="M354" s="79">
        <f t="shared" si="114"/>
        <v>2020.6799999999998</v>
      </c>
      <c r="N354" s="79">
        <f t="shared" si="114"/>
        <v>1993.7699999999998</v>
      </c>
      <c r="O354" s="92"/>
      <c r="P354" s="92"/>
      <c r="Q354" s="93"/>
      <c r="R354" s="93"/>
      <c r="S354" s="213"/>
      <c r="T354" s="214"/>
      <c r="U354" s="215"/>
      <c r="V354" s="33"/>
      <c r="X354" s="186"/>
      <c r="Y354" s="186"/>
      <c r="Z354" s="186"/>
      <c r="AA354" s="186"/>
    </row>
    <row r="355" spans="1:29" x14ac:dyDescent="0.25">
      <c r="A355" s="271">
        <v>43276</v>
      </c>
      <c r="B355" s="63" t="s">
        <v>191</v>
      </c>
      <c r="C355" s="65" t="s">
        <v>176</v>
      </c>
      <c r="D355" s="65" t="s">
        <v>175</v>
      </c>
      <c r="E355" s="67" t="s">
        <v>192</v>
      </c>
      <c r="F355" s="175">
        <v>27703.87</v>
      </c>
      <c r="G355" s="175">
        <v>27714.3</v>
      </c>
      <c r="H355" s="175">
        <v>27748.78</v>
      </c>
      <c r="I355" s="175">
        <v>27727.23</v>
      </c>
      <c r="J355" s="175">
        <v>27706.59</v>
      </c>
      <c r="K355" s="175">
        <v>27691.79</v>
      </c>
      <c r="L355" s="175">
        <v>27720.05</v>
      </c>
      <c r="M355" s="175">
        <v>27712.560000000001</v>
      </c>
      <c r="N355" s="175">
        <v>27688.13</v>
      </c>
      <c r="O355" s="67">
        <f>IF((N356=""),"",MAX(F357:N357))</f>
        <v>4584.1200000000026</v>
      </c>
      <c r="P355" s="67">
        <f>IF(N356="","",MIN(F357:N357))</f>
        <v>4049.6099999999969</v>
      </c>
      <c r="Q355" s="68">
        <f>IF((N357=""),"",AVERAGE(F357:N357))</f>
        <v>4301.2000000000007</v>
      </c>
      <c r="R355" s="68">
        <f>IF((N356=""),"",(O355-P355)/(O355+P355)*100)</f>
        <v>6.1909510721322736</v>
      </c>
      <c r="S355" s="181">
        <f>STDEV(F357:N357)</f>
        <v>214.15007769085747</v>
      </c>
      <c r="T355" s="187" t="str">
        <f>IF(N356="","",IF(R355&lt;16,IF(Q355&gt;3200,IF(R355,IF(Q355&lt;5240,"Pass","Fail"),"Fail"),"Fail")))</f>
        <v>Pass</v>
      </c>
      <c r="U355" s="188">
        <v>1340</v>
      </c>
      <c r="V355" s="286" t="s">
        <v>205</v>
      </c>
      <c r="X355" s="184">
        <v>4200</v>
      </c>
      <c r="Y355" s="184">
        <v>5500</v>
      </c>
      <c r="Z355" s="184">
        <v>3200</v>
      </c>
      <c r="AA355" s="184">
        <v>5240</v>
      </c>
      <c r="AB355" s="57">
        <v>16</v>
      </c>
    </row>
    <row r="356" spans="1:29" x14ac:dyDescent="0.25">
      <c r="A356" s="272"/>
      <c r="B356" s="47"/>
      <c r="C356" s="24"/>
      <c r="D356" s="24"/>
      <c r="E356" s="88" t="s">
        <v>193</v>
      </c>
      <c r="F356" s="28">
        <v>26212.01</v>
      </c>
      <c r="G356" s="28">
        <v>26339.03</v>
      </c>
      <c r="H356" s="28">
        <v>26398.91</v>
      </c>
      <c r="I356" s="28">
        <v>26340.62</v>
      </c>
      <c r="J356" s="28">
        <v>26178.55</v>
      </c>
      <c r="K356" s="28">
        <v>26188</v>
      </c>
      <c r="L356" s="28">
        <v>26341.19</v>
      </c>
      <c r="M356" s="28">
        <v>26329.81</v>
      </c>
      <c r="N356" s="28">
        <v>26181.58</v>
      </c>
      <c r="O356" s="88"/>
      <c r="P356" s="88"/>
      <c r="Q356" s="89"/>
      <c r="R356" s="89"/>
      <c r="S356" s="210"/>
      <c r="T356" s="23"/>
      <c r="U356" s="211"/>
      <c r="V356" s="287"/>
      <c r="X356" s="186"/>
      <c r="Y356" s="186"/>
      <c r="Z356" s="186"/>
      <c r="AA356" s="186"/>
    </row>
    <row r="357" spans="1:29" ht="22.75" thickBot="1" x14ac:dyDescent="0.3">
      <c r="A357" s="272"/>
      <c r="B357" s="47"/>
      <c r="C357" s="24"/>
      <c r="D357" s="24"/>
      <c r="E357" s="88" t="s">
        <v>194</v>
      </c>
      <c r="F357" s="66">
        <f t="shared" ref="F357:N357" si="115">IF(((F355="")*AND(F356="")),"",(F355-F356)*3)</f>
        <v>4475.5800000000017</v>
      </c>
      <c r="G357" s="66">
        <f t="shared" si="115"/>
        <v>4125.8100000000013</v>
      </c>
      <c r="H357" s="66">
        <f t="shared" si="115"/>
        <v>4049.6099999999969</v>
      </c>
      <c r="I357" s="66">
        <f t="shared" si="115"/>
        <v>4159.8300000000017</v>
      </c>
      <c r="J357" s="66">
        <f t="shared" si="115"/>
        <v>4584.1200000000026</v>
      </c>
      <c r="K357" s="66">
        <f t="shared" si="115"/>
        <v>4511.3700000000026</v>
      </c>
      <c r="L357" s="66">
        <f t="shared" si="115"/>
        <v>4136.5800000000017</v>
      </c>
      <c r="M357" s="66">
        <f t="shared" si="115"/>
        <v>4148.25</v>
      </c>
      <c r="N357" s="66">
        <f t="shared" si="115"/>
        <v>4519.6499999999978</v>
      </c>
      <c r="O357" s="88"/>
      <c r="P357" s="88"/>
      <c r="Q357" s="89"/>
      <c r="R357" s="89"/>
      <c r="S357" s="210"/>
      <c r="T357" s="23"/>
      <c r="U357" s="211"/>
      <c r="V357" s="288"/>
      <c r="X357" s="186"/>
      <c r="Y357" s="186"/>
      <c r="Z357" s="186"/>
      <c r="AA357" s="186"/>
    </row>
    <row r="358" spans="1:29" x14ac:dyDescent="0.25">
      <c r="A358" s="272">
        <v>43276</v>
      </c>
      <c r="B358" s="47" t="s">
        <v>177</v>
      </c>
      <c r="C358" s="24" t="s">
        <v>179</v>
      </c>
      <c r="D358" s="70" t="s">
        <v>178</v>
      </c>
      <c r="E358" s="88" t="s">
        <v>192</v>
      </c>
      <c r="F358" s="28">
        <v>3153.54</v>
      </c>
      <c r="G358" s="28">
        <v>2962.03</v>
      </c>
      <c r="H358" s="28">
        <v>2986.7</v>
      </c>
      <c r="I358" s="28">
        <v>3005.72</v>
      </c>
      <c r="J358" s="28">
        <v>3341.1</v>
      </c>
      <c r="K358" s="28">
        <v>3355.66</v>
      </c>
      <c r="L358" s="28">
        <v>3027.1</v>
      </c>
      <c r="M358" s="28">
        <v>2944.57</v>
      </c>
      <c r="N358" s="28">
        <v>3181.6</v>
      </c>
      <c r="O358" s="88">
        <f>IF((N359=""),"",MAX(F360:N360))</f>
        <v>4041.92</v>
      </c>
      <c r="P358" s="88">
        <f>IF(N359="","",MIN(F360:N360))</f>
        <v>3712.5199999999995</v>
      </c>
      <c r="Q358" s="89">
        <f>IF((N360=""),"",AVERAGE(F360:N360))</f>
        <v>3920.6511111111113</v>
      </c>
      <c r="R358" s="89">
        <f>IF((N359=""),"",(O358-P358)/(O358+P358)*100)</f>
        <v>4.2478889513620661</v>
      </c>
      <c r="S358" s="181">
        <f>STDEV(F360:N360)</f>
        <v>111.90517776721116</v>
      </c>
      <c r="T358" s="23" t="str">
        <f>IF(N359="","",IF(Q358&gt;3650,IF(R358&lt;7,IF(Q358&lt;4450,"Pass","Fail"),"Fail"),"Fail"))</f>
        <v>Pass</v>
      </c>
      <c r="U358" s="211">
        <v>1340</v>
      </c>
      <c r="V358" s="286" t="s">
        <v>205</v>
      </c>
      <c r="X358" s="184">
        <v>3650</v>
      </c>
      <c r="Y358" s="184">
        <v>4450</v>
      </c>
      <c r="Z358" s="184">
        <v>3700</v>
      </c>
      <c r="AA358" s="184">
        <v>4100</v>
      </c>
      <c r="AB358" s="57">
        <v>6.5</v>
      </c>
      <c r="AC358" s="57">
        <v>7</v>
      </c>
    </row>
    <row r="359" spans="1:29" x14ac:dyDescent="0.25">
      <c r="A359" s="272"/>
      <c r="B359" s="47"/>
      <c r="C359" s="24"/>
      <c r="D359" s="24"/>
      <c r="E359" s="88" t="s">
        <v>193</v>
      </c>
      <c r="F359" s="28">
        <v>1241.03</v>
      </c>
      <c r="G359" s="28">
        <v>969.47</v>
      </c>
      <c r="H359" s="28">
        <v>970.04</v>
      </c>
      <c r="I359" s="28">
        <v>1012.45</v>
      </c>
      <c r="J359" s="28">
        <v>1429.56</v>
      </c>
      <c r="K359" s="28">
        <v>1499.4</v>
      </c>
      <c r="L359" s="28">
        <v>1043.31</v>
      </c>
      <c r="M359" s="28">
        <v>923.61</v>
      </c>
      <c r="N359" s="28">
        <v>1226.22</v>
      </c>
      <c r="O359" s="88"/>
      <c r="P359" s="88"/>
      <c r="Q359" s="89"/>
      <c r="R359" s="89"/>
      <c r="S359" s="210"/>
      <c r="T359" s="23"/>
      <c r="U359" s="211"/>
      <c r="V359" s="287"/>
      <c r="X359" s="186"/>
      <c r="Y359" s="186"/>
      <c r="Z359" s="186"/>
      <c r="AA359" s="186"/>
    </row>
    <row r="360" spans="1:29" ht="22.15" x14ac:dyDescent="0.25">
      <c r="A360" s="272"/>
      <c r="B360" s="47"/>
      <c r="C360" s="24"/>
      <c r="D360" s="24"/>
      <c r="E360" s="88" t="s">
        <v>194</v>
      </c>
      <c r="F360" s="66">
        <f t="shared" ref="F360:N360" si="116">IF(((F358="")*AND(F359="")),"",(F358-F359)*2)</f>
        <v>3825.02</v>
      </c>
      <c r="G360" s="66">
        <f t="shared" si="116"/>
        <v>3985.1200000000003</v>
      </c>
      <c r="H360" s="66">
        <f t="shared" si="116"/>
        <v>4033.3199999999997</v>
      </c>
      <c r="I360" s="66">
        <f t="shared" si="116"/>
        <v>3986.5399999999995</v>
      </c>
      <c r="J360" s="66">
        <f t="shared" si="116"/>
        <v>3823.08</v>
      </c>
      <c r="K360" s="66">
        <f t="shared" si="116"/>
        <v>3712.5199999999995</v>
      </c>
      <c r="L360" s="66">
        <f t="shared" si="116"/>
        <v>3967.58</v>
      </c>
      <c r="M360" s="66">
        <f t="shared" si="116"/>
        <v>4041.92</v>
      </c>
      <c r="N360" s="66">
        <f t="shared" si="116"/>
        <v>3910.7599999999998</v>
      </c>
      <c r="O360" s="88"/>
      <c r="P360" s="88"/>
      <c r="Q360" s="89"/>
      <c r="R360" s="89"/>
      <c r="S360" s="210"/>
      <c r="T360" s="23"/>
      <c r="U360" s="211"/>
      <c r="V360" s="288"/>
      <c r="X360" s="186"/>
      <c r="Y360" s="186"/>
      <c r="Z360" s="186"/>
      <c r="AA360" s="186"/>
    </row>
    <row r="361" spans="1:29" x14ac:dyDescent="0.25">
      <c r="A361" s="272">
        <v>43276</v>
      </c>
      <c r="B361" s="24" t="s">
        <v>172</v>
      </c>
      <c r="C361" s="24" t="s">
        <v>174</v>
      </c>
      <c r="D361" s="24" t="s">
        <v>195</v>
      </c>
      <c r="E361" s="88" t="s">
        <v>192</v>
      </c>
      <c r="F361" s="28">
        <v>1261.47</v>
      </c>
      <c r="G361" s="28">
        <v>1258.3699999999999</v>
      </c>
      <c r="H361" s="28">
        <v>1258.43</v>
      </c>
      <c r="I361" s="28">
        <v>1260.26</v>
      </c>
      <c r="J361" s="28">
        <v>1275.6099999999999</v>
      </c>
      <c r="K361" s="28">
        <v>1270.81</v>
      </c>
      <c r="L361" s="28">
        <v>1264.19</v>
      </c>
      <c r="M361" s="28">
        <v>1255.23</v>
      </c>
      <c r="N361" s="28">
        <v>1270.19</v>
      </c>
      <c r="O361" s="88">
        <f>IF((N362=""),"",MAX(F363:N363))</f>
        <v>2047.6200000000003</v>
      </c>
      <c r="P361" s="88">
        <f>IF(N362="","",MIN(F363:N363))</f>
        <v>1986.2399999999998</v>
      </c>
      <c r="Q361" s="89">
        <f>IF((N363=""),"",AVERAGE(F363:N363))</f>
        <v>2017.0933333333332</v>
      </c>
      <c r="R361" s="89">
        <f>IF((N362=""),"",(O361-P361)/(O361+P361)*100)</f>
        <v>1.521619491008626</v>
      </c>
      <c r="S361" s="181">
        <f>STDEV(F363:N363)</f>
        <v>20.206303471936724</v>
      </c>
      <c r="T361" s="23" t="str">
        <f>IF(N362="","",IF(Q361&gt;1940,IF(R361&lt;8.3,IF(Q361&lt;2180,"Pass","Fail"),"Fail"),"Fail"))</f>
        <v>Pass</v>
      </c>
      <c r="U361" s="211">
        <v>1340</v>
      </c>
      <c r="V361" s="286" t="s">
        <v>205</v>
      </c>
      <c r="X361" s="184">
        <v>2000</v>
      </c>
      <c r="Y361" s="184">
        <v>3000</v>
      </c>
      <c r="Z361" s="184">
        <v>1940</v>
      </c>
      <c r="AA361" s="184">
        <v>2180</v>
      </c>
      <c r="AB361" s="57">
        <v>5.2</v>
      </c>
    </row>
    <row r="362" spans="1:29" x14ac:dyDescent="0.25">
      <c r="A362" s="272"/>
      <c r="B362" s="47"/>
      <c r="C362" s="24"/>
      <c r="D362" s="24"/>
      <c r="E362" s="88" t="s">
        <v>193</v>
      </c>
      <c r="F362" s="28">
        <v>583.21</v>
      </c>
      <c r="G362" s="28">
        <v>580.73</v>
      </c>
      <c r="H362" s="28">
        <v>575.89</v>
      </c>
      <c r="I362" s="28">
        <v>590.85</v>
      </c>
      <c r="J362" s="28">
        <v>613.53</v>
      </c>
      <c r="K362" s="28">
        <v>599.6</v>
      </c>
      <c r="L362" s="28">
        <v>593.28</v>
      </c>
      <c r="M362" s="28">
        <v>579.97</v>
      </c>
      <c r="N362" s="28">
        <v>606.22</v>
      </c>
      <c r="O362" s="88"/>
      <c r="P362" s="88"/>
      <c r="Q362" s="89"/>
      <c r="R362" s="89"/>
      <c r="S362" s="210"/>
      <c r="T362" s="23"/>
      <c r="U362" s="211"/>
      <c r="V362" s="287"/>
      <c r="X362" s="186"/>
      <c r="Y362" s="186"/>
      <c r="Z362" s="186"/>
      <c r="AA362" s="186"/>
    </row>
    <row r="363" spans="1:29" ht="32.299999999999997" customHeight="1" thickBot="1" x14ac:dyDescent="0.3">
      <c r="A363" s="279"/>
      <c r="B363" s="90"/>
      <c r="C363" s="91"/>
      <c r="D363" s="91"/>
      <c r="E363" s="92" t="s">
        <v>196</v>
      </c>
      <c r="F363" s="79">
        <f t="shared" ref="F363:N363" si="117">IF(((F361="")*AND(F362="")),"",(F361-F362)*3)</f>
        <v>2034.78</v>
      </c>
      <c r="G363" s="79">
        <f t="shared" si="117"/>
        <v>2032.9199999999996</v>
      </c>
      <c r="H363" s="79">
        <f t="shared" si="117"/>
        <v>2047.6200000000003</v>
      </c>
      <c r="I363" s="79">
        <f t="shared" si="117"/>
        <v>2008.23</v>
      </c>
      <c r="J363" s="79">
        <f t="shared" si="117"/>
        <v>1986.2399999999998</v>
      </c>
      <c r="K363" s="79">
        <f t="shared" si="117"/>
        <v>2013.6299999999997</v>
      </c>
      <c r="L363" s="79">
        <f t="shared" si="117"/>
        <v>2012.7300000000002</v>
      </c>
      <c r="M363" s="79">
        <f t="shared" si="117"/>
        <v>2025.78</v>
      </c>
      <c r="N363" s="79">
        <f t="shared" si="117"/>
        <v>1991.91</v>
      </c>
      <c r="O363" s="92"/>
      <c r="P363" s="92"/>
      <c r="Q363" s="93"/>
      <c r="R363" s="93"/>
      <c r="S363" s="213"/>
      <c r="T363" s="214"/>
      <c r="U363" s="215"/>
      <c r="V363" s="288"/>
      <c r="X363" s="186"/>
      <c r="Y363" s="186"/>
      <c r="Z363" s="186"/>
      <c r="AA363" s="186"/>
    </row>
    <row r="364" spans="1:29" ht="12.75" customHeight="1" x14ac:dyDescent="0.25">
      <c r="A364" s="271">
        <v>43279</v>
      </c>
      <c r="B364" s="63" t="s">
        <v>191</v>
      </c>
      <c r="C364" s="65" t="s">
        <v>176</v>
      </c>
      <c r="D364" s="65" t="s">
        <v>175</v>
      </c>
      <c r="E364" s="67" t="s">
        <v>192</v>
      </c>
      <c r="F364" s="175">
        <v>26160.22</v>
      </c>
      <c r="G364" s="175">
        <v>26289.95</v>
      </c>
      <c r="H364" s="175">
        <v>26350.639999999999</v>
      </c>
      <c r="I364" s="175">
        <v>26286.29</v>
      </c>
      <c r="J364" s="175">
        <v>26122.93</v>
      </c>
      <c r="K364" s="175">
        <v>26125.94</v>
      </c>
      <c r="L364" s="175">
        <v>26289.78</v>
      </c>
      <c r="M364" s="175">
        <v>26289.25</v>
      </c>
      <c r="N364" s="175">
        <v>26126.400000000001</v>
      </c>
      <c r="O364" s="67">
        <f>IF((N365=""),"",MAX(F366:N366))</f>
        <v>4471.6500000000087</v>
      </c>
      <c r="P364" s="67">
        <f>IF(N365="","",MIN(F366:N366))</f>
        <v>3969.1499999999978</v>
      </c>
      <c r="Q364" s="68">
        <f>IF((N366=""),"",AVERAGE(F366:N366))</f>
        <v>4221.7566666666662</v>
      </c>
      <c r="R364" s="68">
        <f>IF((N365=""),"",(O364-P364)/(O364+P364)*100)</f>
        <v>5.9532271822577298</v>
      </c>
      <c r="S364" s="181">
        <f>STDEV(F366:N366)</f>
        <v>223.11022628960762</v>
      </c>
      <c r="T364" s="187" t="str">
        <f>IF(N365="","",IF(R364&lt;16,IF(Q364&gt;3200,IF(R364,IF(Q364&lt;5240,"Pass","Fail"),"Fail"),"Fail")))</f>
        <v>Pass</v>
      </c>
      <c r="U364" s="188">
        <v>121</v>
      </c>
      <c r="V364" s="246"/>
      <c r="W364" s="186"/>
      <c r="X364" s="184">
        <v>4200</v>
      </c>
      <c r="Y364" s="184">
        <v>5500</v>
      </c>
      <c r="Z364" s="184">
        <v>3200</v>
      </c>
      <c r="AA364" s="184">
        <v>5240</v>
      </c>
      <c r="AB364" s="57">
        <v>16</v>
      </c>
    </row>
    <row r="365" spans="1:29" ht="12.75" customHeight="1" x14ac:dyDescent="0.25">
      <c r="A365" s="272"/>
      <c r="B365" s="47"/>
      <c r="C365" s="24"/>
      <c r="D365" s="24"/>
      <c r="E365" s="88" t="s">
        <v>193</v>
      </c>
      <c r="F365" s="28">
        <v>24678.97</v>
      </c>
      <c r="G365" s="28">
        <v>24941.48</v>
      </c>
      <c r="H365" s="28">
        <v>25027.59</v>
      </c>
      <c r="I365" s="28">
        <v>24938.82</v>
      </c>
      <c r="J365" s="28">
        <v>24637.86</v>
      </c>
      <c r="K365" s="28">
        <v>24642.74</v>
      </c>
      <c r="L365" s="28">
        <v>24940.3</v>
      </c>
      <c r="M365" s="28">
        <v>24932.52</v>
      </c>
      <c r="N365" s="28">
        <v>24635.85</v>
      </c>
      <c r="O365" s="88"/>
      <c r="P365" s="88"/>
      <c r="Q365" s="89"/>
      <c r="R365" s="89"/>
      <c r="S365" s="210"/>
      <c r="T365" s="23"/>
      <c r="U365" s="211"/>
      <c r="V365" s="246"/>
      <c r="W365" s="186"/>
      <c r="X365" s="186"/>
      <c r="Y365" s="186"/>
      <c r="Z365" s="186"/>
      <c r="AA365" s="186"/>
    </row>
    <row r="366" spans="1:29" ht="22.75" thickBot="1" x14ac:dyDescent="0.3">
      <c r="A366" s="272"/>
      <c r="B366" s="47"/>
      <c r="C366" s="24"/>
      <c r="D366" s="24"/>
      <c r="E366" s="88" t="s">
        <v>194</v>
      </c>
      <c r="F366" s="66">
        <f t="shared" ref="F366:N366" si="118">IF(((F364="")*AND(F365="")),"",(F364-F365)*3)</f>
        <v>4443.75</v>
      </c>
      <c r="G366" s="66">
        <f t="shared" si="118"/>
        <v>4045.4100000000035</v>
      </c>
      <c r="H366" s="66">
        <f t="shared" si="118"/>
        <v>3969.1499999999978</v>
      </c>
      <c r="I366" s="66">
        <f t="shared" si="118"/>
        <v>4042.4100000000035</v>
      </c>
      <c r="J366" s="66">
        <f t="shared" si="118"/>
        <v>4455.2099999999991</v>
      </c>
      <c r="K366" s="66">
        <f t="shared" si="118"/>
        <v>4449.5999999999913</v>
      </c>
      <c r="L366" s="66">
        <f t="shared" si="118"/>
        <v>4048.4399999999987</v>
      </c>
      <c r="M366" s="66">
        <f t="shared" si="118"/>
        <v>4070.1899999999987</v>
      </c>
      <c r="N366" s="66">
        <f t="shared" si="118"/>
        <v>4471.6500000000087</v>
      </c>
      <c r="O366" s="88"/>
      <c r="P366" s="88"/>
      <c r="Q366" s="89"/>
      <c r="R366" s="89"/>
      <c r="S366" s="210"/>
      <c r="T366" s="23"/>
      <c r="U366" s="211"/>
      <c r="V366" s="246"/>
      <c r="W366" s="186"/>
      <c r="X366" s="186"/>
      <c r="Y366" s="186"/>
      <c r="Z366" s="186"/>
      <c r="AA366" s="186"/>
    </row>
    <row r="367" spans="1:29" x14ac:dyDescent="0.25">
      <c r="A367" s="272">
        <v>43279</v>
      </c>
      <c r="B367" s="47" t="s">
        <v>177</v>
      </c>
      <c r="C367" s="24" t="s">
        <v>179</v>
      </c>
      <c r="D367" s="70" t="s">
        <v>178</v>
      </c>
      <c r="E367" s="88" t="s">
        <v>192</v>
      </c>
      <c r="F367" s="28">
        <v>3388.14</v>
      </c>
      <c r="G367" s="28">
        <v>3306.74</v>
      </c>
      <c r="H367" s="28">
        <v>3440.21</v>
      </c>
      <c r="I367" s="28">
        <v>3433.47</v>
      </c>
      <c r="J367" s="28">
        <v>3683.05</v>
      </c>
      <c r="K367" s="28">
        <v>3499.19</v>
      </c>
      <c r="L367" s="28">
        <v>3396.01</v>
      </c>
      <c r="M367" s="28">
        <v>3418.93</v>
      </c>
      <c r="N367" s="28">
        <v>3541.65</v>
      </c>
      <c r="O367" s="88">
        <f>IF((N368=""),"",MAX(F369:N369))</f>
        <v>4017.78</v>
      </c>
      <c r="P367" s="88">
        <f>IF(N368="","",MIN(F369:N369))</f>
        <v>3648.2000000000003</v>
      </c>
      <c r="Q367" s="89">
        <f>IF((N369=""),"",AVERAGE(F369:N369))</f>
        <v>3878.2400000000002</v>
      </c>
      <c r="R367" s="89">
        <f>IF((N368=""),"",(O367-P367)/(O367+P367)*100)</f>
        <v>4.8210404931919975</v>
      </c>
      <c r="S367" s="181">
        <f>STDEV(F369:N369)</f>
        <v>136.74440610130986</v>
      </c>
      <c r="T367" s="23" t="str">
        <f>IF(N368="","",IF(Q367&gt;3650,IF(R367&lt;7,IF(Q367&lt;4450,"Pass","Fail"),"Fail"),"Fail"))</f>
        <v>Pass</v>
      </c>
      <c r="U367" s="211">
        <v>121</v>
      </c>
      <c r="V367" s="246"/>
      <c r="W367" s="33"/>
      <c r="X367" s="184">
        <v>3650</v>
      </c>
      <c r="Y367" s="184">
        <v>4450</v>
      </c>
      <c r="Z367" s="184">
        <v>3700</v>
      </c>
      <c r="AA367" s="184">
        <v>4100</v>
      </c>
      <c r="AB367" s="57">
        <v>6.5</v>
      </c>
      <c r="AC367" s="57">
        <v>7</v>
      </c>
    </row>
    <row r="368" spans="1:29" x14ac:dyDescent="0.25">
      <c r="A368" s="272"/>
      <c r="B368" s="47"/>
      <c r="C368" s="24"/>
      <c r="D368" s="24"/>
      <c r="E368" s="88" t="s">
        <v>193</v>
      </c>
      <c r="F368" s="28">
        <v>1500.81</v>
      </c>
      <c r="G368" s="28">
        <v>1323.53</v>
      </c>
      <c r="H368" s="28">
        <v>1431.32</v>
      </c>
      <c r="I368" s="28">
        <v>1448.39</v>
      </c>
      <c r="J368" s="28">
        <v>1822.81</v>
      </c>
      <c r="K368" s="28">
        <v>1675.09</v>
      </c>
      <c r="L368" s="28">
        <v>1417.88</v>
      </c>
      <c r="M368" s="28">
        <v>1413.25</v>
      </c>
      <c r="N368" s="28">
        <v>1622.23</v>
      </c>
      <c r="O368" s="88"/>
      <c r="P368" s="88"/>
      <c r="Q368" s="89"/>
      <c r="R368" s="89"/>
      <c r="S368" s="210"/>
      <c r="T368" s="23"/>
      <c r="U368" s="211"/>
      <c r="V368" s="246"/>
      <c r="W368" s="33"/>
      <c r="X368" s="186"/>
      <c r="Y368" s="186"/>
      <c r="Z368" s="186"/>
      <c r="AA368" s="186"/>
    </row>
    <row r="369" spans="1:29" ht="22.15" x14ac:dyDescent="0.25">
      <c r="A369" s="272"/>
      <c r="B369" s="47"/>
      <c r="C369" s="24"/>
      <c r="D369" s="24"/>
      <c r="E369" s="88" t="s">
        <v>194</v>
      </c>
      <c r="F369" s="66">
        <f t="shared" ref="F369:N369" si="119">IF(((F367="")*AND(F368="")),"",(F367-F368)*2)</f>
        <v>3774.66</v>
      </c>
      <c r="G369" s="66">
        <f t="shared" si="119"/>
        <v>3966.4199999999996</v>
      </c>
      <c r="H369" s="66">
        <f t="shared" si="119"/>
        <v>4017.78</v>
      </c>
      <c r="I369" s="66">
        <f t="shared" si="119"/>
        <v>3970.1599999999994</v>
      </c>
      <c r="J369" s="66">
        <f t="shared" si="119"/>
        <v>3720.4800000000005</v>
      </c>
      <c r="K369" s="66">
        <f t="shared" si="119"/>
        <v>3648.2000000000003</v>
      </c>
      <c r="L369" s="66">
        <f t="shared" si="119"/>
        <v>3956.26</v>
      </c>
      <c r="M369" s="66">
        <f t="shared" si="119"/>
        <v>4011.3599999999997</v>
      </c>
      <c r="N369" s="66">
        <f t="shared" si="119"/>
        <v>3838.84</v>
      </c>
      <c r="O369" s="88"/>
      <c r="P369" s="88"/>
      <c r="Q369" s="89"/>
      <c r="R369" s="89"/>
      <c r="S369" s="210"/>
      <c r="T369" s="23"/>
      <c r="U369" s="211"/>
      <c r="V369" s="246"/>
      <c r="W369" s="33"/>
      <c r="X369" s="186"/>
      <c r="Y369" s="186"/>
      <c r="Z369" s="186"/>
      <c r="AA369" s="186"/>
    </row>
    <row r="370" spans="1:29" x14ac:dyDescent="0.25">
      <c r="A370" s="272">
        <v>43279</v>
      </c>
      <c r="B370" s="24" t="s">
        <v>172</v>
      </c>
      <c r="C370" s="24" t="s">
        <v>174</v>
      </c>
      <c r="D370" s="24" t="s">
        <v>195</v>
      </c>
      <c r="E370" s="88" t="s">
        <v>192</v>
      </c>
      <c r="F370" s="28">
        <v>1909.2</v>
      </c>
      <c r="G370" s="28">
        <v>1916.13</v>
      </c>
      <c r="H370" s="28">
        <v>1919.97</v>
      </c>
      <c r="I370" s="28">
        <v>1917.6</v>
      </c>
      <c r="J370" s="28">
        <v>1914.67</v>
      </c>
      <c r="K370" s="28">
        <v>1913.79</v>
      </c>
      <c r="L370" s="28">
        <v>1916.91</v>
      </c>
      <c r="M370" s="28">
        <v>1917.44</v>
      </c>
      <c r="N370" s="28">
        <v>1913.82</v>
      </c>
      <c r="O370" s="88">
        <f>IF((N371=""),"",MAX(F372:N372))</f>
        <v>2031.2100000000005</v>
      </c>
      <c r="P370" s="88">
        <f>IF(N371="","",MIN(F372:N372))</f>
        <v>1984.6799999999998</v>
      </c>
      <c r="Q370" s="89">
        <f>IF((N372=""),"",AVERAGE(F372:N372))</f>
        <v>2007.6433333333334</v>
      </c>
      <c r="R370" s="89">
        <f>IF((N371=""),"",(O370-P370)/(O370+P370)*100)</f>
        <v>1.1586472737052222</v>
      </c>
      <c r="S370" s="181">
        <f>STDEV(F372:N372)</f>
        <v>18.642912862533084</v>
      </c>
      <c r="T370" s="23" t="str">
        <f>IF(N371="","",IF(Q370&gt;1940,IF(R370&lt;8.3,IF(Q370&lt;2180,"Pass","Fail"),"Fail"),"Fail"))</f>
        <v>Pass</v>
      </c>
      <c r="U370" s="211">
        <v>121</v>
      </c>
      <c r="V370" s="246"/>
      <c r="W370" s="33"/>
      <c r="X370" s="184">
        <v>2000</v>
      </c>
      <c r="Y370" s="184">
        <v>3000</v>
      </c>
      <c r="Z370" s="184">
        <v>1940</v>
      </c>
      <c r="AA370" s="184">
        <v>2180</v>
      </c>
      <c r="AB370" s="57">
        <v>5.2</v>
      </c>
    </row>
    <row r="371" spans="1:29" x14ac:dyDescent="0.25">
      <c r="A371" s="272"/>
      <c r="B371" s="47"/>
      <c r="C371" s="24"/>
      <c r="D371" s="24"/>
      <c r="E371" s="88" t="s">
        <v>193</v>
      </c>
      <c r="F371" s="28">
        <v>1247.47</v>
      </c>
      <c r="G371" s="28">
        <v>1243.8800000000001</v>
      </c>
      <c r="H371" s="28">
        <v>1243.67</v>
      </c>
      <c r="I371" s="28">
        <v>1243.08</v>
      </c>
      <c r="J371" s="28">
        <v>1251.31</v>
      </c>
      <c r="K371" s="28">
        <v>1252.23</v>
      </c>
      <c r="L371" s="28">
        <v>1246.82</v>
      </c>
      <c r="M371" s="28">
        <v>1240.3699999999999</v>
      </c>
      <c r="N371" s="28">
        <v>1247.77</v>
      </c>
      <c r="O371" s="88"/>
      <c r="P371" s="88"/>
      <c r="Q371" s="89"/>
      <c r="R371" s="89"/>
      <c r="S371" s="210"/>
      <c r="T371" s="23"/>
      <c r="U371" s="211"/>
      <c r="V371" s="246"/>
      <c r="W371" s="33"/>
      <c r="X371" s="186"/>
      <c r="Y371" s="186"/>
      <c r="Z371" s="186"/>
      <c r="AA371" s="186"/>
    </row>
    <row r="372" spans="1:29" ht="34.5" customHeight="1" thickBot="1" x14ac:dyDescent="0.3">
      <c r="A372" s="279"/>
      <c r="B372" s="90"/>
      <c r="C372" s="91"/>
      <c r="D372" s="91"/>
      <c r="E372" s="92" t="s">
        <v>196</v>
      </c>
      <c r="F372" s="79">
        <f t="shared" ref="F372:N372" si="120">IF(((F370="")*AND(F371="")),"",(F370-F371)*3)</f>
        <v>1985.19</v>
      </c>
      <c r="G372" s="79">
        <f t="shared" si="120"/>
        <v>2016.75</v>
      </c>
      <c r="H372" s="79">
        <f t="shared" si="120"/>
        <v>2028.8999999999999</v>
      </c>
      <c r="I372" s="79">
        <f t="shared" si="120"/>
        <v>2023.56</v>
      </c>
      <c r="J372" s="79">
        <f t="shared" si="120"/>
        <v>1990.0800000000004</v>
      </c>
      <c r="K372" s="79">
        <f t="shared" si="120"/>
        <v>1984.6799999999998</v>
      </c>
      <c r="L372" s="79">
        <f t="shared" si="120"/>
        <v>2010.2700000000004</v>
      </c>
      <c r="M372" s="79">
        <f t="shared" si="120"/>
        <v>2031.2100000000005</v>
      </c>
      <c r="N372" s="79">
        <f t="shared" si="120"/>
        <v>1998.1499999999999</v>
      </c>
      <c r="O372" s="92"/>
      <c r="P372" s="92"/>
      <c r="Q372" s="93"/>
      <c r="R372" s="93"/>
      <c r="S372" s="213"/>
      <c r="T372" s="214"/>
      <c r="U372" s="215"/>
      <c r="V372" s="246"/>
      <c r="W372" s="33"/>
      <c r="X372" s="186"/>
      <c r="Y372" s="186"/>
      <c r="Z372" s="186"/>
      <c r="AA372" s="186"/>
    </row>
    <row r="373" spans="1:29" x14ac:dyDescent="0.25">
      <c r="A373" s="271">
        <v>43283</v>
      </c>
      <c r="B373" s="63" t="s">
        <v>191</v>
      </c>
      <c r="C373" s="65" t="s">
        <v>176</v>
      </c>
      <c r="D373" s="65" t="s">
        <v>175</v>
      </c>
      <c r="E373" s="67" t="s">
        <v>192</v>
      </c>
      <c r="F373" s="175">
        <v>24678.97</v>
      </c>
      <c r="G373" s="175">
        <v>24941.48</v>
      </c>
      <c r="H373" s="175">
        <v>25027.59</v>
      </c>
      <c r="I373" s="175">
        <v>24938.82</v>
      </c>
      <c r="J373" s="175">
        <v>24637.86</v>
      </c>
      <c r="K373" s="175">
        <v>24642.74</v>
      </c>
      <c r="L373" s="175">
        <v>24940.3</v>
      </c>
      <c r="M373" s="175">
        <v>24932.52</v>
      </c>
      <c r="N373" s="175">
        <v>24635.85</v>
      </c>
      <c r="O373" s="67">
        <f>IF((N374=""),"",MAX(F375:N375))</f>
        <v>4689.5999999999913</v>
      </c>
      <c r="P373" s="67">
        <f>IF(N374="","",MIN(F375:N375))</f>
        <v>4099.0800000000017</v>
      </c>
      <c r="Q373" s="68">
        <f>IF((N375=""),"",AVERAGE(F375:N375))</f>
        <v>4357.7000000000007</v>
      </c>
      <c r="R373" s="68">
        <f>IF((N374=""),"",(O373-P373)/(O373+P373)*100)</f>
        <v>6.7190977484672327</v>
      </c>
      <c r="S373" s="181">
        <f>STDEV(F375:N375)</f>
        <v>235.30802493752637</v>
      </c>
      <c r="T373" s="187" t="str">
        <f>IF(N374="","",IF(R373&lt;16,IF(Q373&gt;3200,IF(R373,IF(Q373&lt;5240,"Pass","Fail"),"Fail"),"Fail")))</f>
        <v>Pass</v>
      </c>
      <c r="U373" s="188">
        <v>1340</v>
      </c>
      <c r="V373" s="246"/>
      <c r="W373" s="33"/>
      <c r="X373" s="184">
        <v>4200</v>
      </c>
      <c r="Y373" s="184">
        <v>5500</v>
      </c>
      <c r="Z373" s="184">
        <v>3200</v>
      </c>
      <c r="AA373" s="184">
        <v>5240</v>
      </c>
      <c r="AB373" s="57">
        <v>16</v>
      </c>
    </row>
    <row r="374" spans="1:29" x14ac:dyDescent="0.25">
      <c r="A374" s="272"/>
      <c r="B374" s="47"/>
      <c r="C374" s="24"/>
      <c r="D374" s="24"/>
      <c r="E374" s="88" t="s">
        <v>193</v>
      </c>
      <c r="F374" s="28">
        <v>23165.43</v>
      </c>
      <c r="G374" s="28">
        <v>23547.86</v>
      </c>
      <c r="H374" s="28">
        <v>23661.23</v>
      </c>
      <c r="I374" s="28">
        <v>23542.39</v>
      </c>
      <c r="J374" s="28">
        <v>23086.07</v>
      </c>
      <c r="K374" s="28">
        <v>23142.25</v>
      </c>
      <c r="L374" s="28">
        <v>23555.46</v>
      </c>
      <c r="M374" s="28">
        <v>23529.69</v>
      </c>
      <c r="N374" s="28">
        <v>23072.65</v>
      </c>
      <c r="O374" s="88"/>
      <c r="P374" s="88"/>
      <c r="Q374" s="89"/>
      <c r="R374" s="89"/>
      <c r="S374" s="210"/>
      <c r="T374" s="23"/>
      <c r="U374" s="211"/>
      <c r="V374" s="246"/>
      <c r="W374" s="33"/>
      <c r="X374" s="186"/>
      <c r="Y374" s="186"/>
      <c r="Z374" s="186"/>
      <c r="AA374" s="186"/>
    </row>
    <row r="375" spans="1:29" ht="22.75" thickBot="1" x14ac:dyDescent="0.3">
      <c r="A375" s="272"/>
      <c r="B375" s="47"/>
      <c r="C375" s="24"/>
      <c r="D375" s="24"/>
      <c r="E375" s="88" t="s">
        <v>194</v>
      </c>
      <c r="F375" s="66">
        <f t="shared" ref="F375:N375" si="121">IF(((F373="")*AND(F374="")),"",(F373-F374)*3)</f>
        <v>4540.6200000000026</v>
      </c>
      <c r="G375" s="66">
        <f t="shared" si="121"/>
        <v>4180.8599999999969</v>
      </c>
      <c r="H375" s="66">
        <f t="shared" si="121"/>
        <v>4099.0800000000017</v>
      </c>
      <c r="I375" s="66">
        <f t="shared" si="121"/>
        <v>4189.2900000000009</v>
      </c>
      <c r="J375" s="66">
        <f t="shared" si="121"/>
        <v>4655.3700000000026</v>
      </c>
      <c r="K375" s="66">
        <f t="shared" si="121"/>
        <v>4501.4700000000048</v>
      </c>
      <c r="L375" s="66">
        <f t="shared" si="121"/>
        <v>4154.5200000000004</v>
      </c>
      <c r="M375" s="66">
        <f t="shared" si="121"/>
        <v>4208.4900000000052</v>
      </c>
      <c r="N375" s="66">
        <f t="shared" si="121"/>
        <v>4689.5999999999913</v>
      </c>
      <c r="O375" s="88"/>
      <c r="P375" s="88"/>
      <c r="Q375" s="89"/>
      <c r="R375" s="89"/>
      <c r="S375" s="210"/>
      <c r="T375" s="23"/>
      <c r="U375" s="211"/>
      <c r="V375" s="246"/>
      <c r="W375" s="33"/>
      <c r="X375" s="186"/>
      <c r="Y375" s="186"/>
      <c r="Z375" s="186"/>
      <c r="AA375" s="186"/>
    </row>
    <row r="376" spans="1:29" x14ac:dyDescent="0.25">
      <c r="A376" s="272">
        <v>43283</v>
      </c>
      <c r="B376" s="47" t="s">
        <v>177</v>
      </c>
      <c r="C376" s="24" t="s">
        <v>179</v>
      </c>
      <c r="D376" s="70" t="s">
        <v>178</v>
      </c>
      <c r="E376" s="88" t="s">
        <v>192</v>
      </c>
      <c r="F376" s="28">
        <v>2863.94</v>
      </c>
      <c r="G376" s="28">
        <v>2767.99</v>
      </c>
      <c r="H376" s="28">
        <v>2810.16</v>
      </c>
      <c r="I376" s="28">
        <v>2796.62</v>
      </c>
      <c r="J376" s="28">
        <v>2998.8</v>
      </c>
      <c r="K376" s="28">
        <v>3035.93</v>
      </c>
      <c r="L376" s="28">
        <v>2805.55</v>
      </c>
      <c r="M376" s="28">
        <v>2775.01</v>
      </c>
      <c r="N376" s="28">
        <v>2886.07</v>
      </c>
      <c r="O376" s="88">
        <f>IF((N377=""),"",MAX(F378:N378))</f>
        <v>3919.5600000000004</v>
      </c>
      <c r="P376" s="88">
        <f>IF(N377="","",MIN(F378:N378))</f>
        <v>3589.5199999999995</v>
      </c>
      <c r="Q376" s="89">
        <f>IF((N378=""),"",AVERAGE(F378:N378))</f>
        <v>3793.0177777777781</v>
      </c>
      <c r="R376" s="89">
        <f>IF((N377=""),"",(O376-P376)/(O376+P376)*100)</f>
        <v>4.395212196434195</v>
      </c>
      <c r="S376" s="181">
        <f>STDEV(F378:N378)</f>
        <v>116.60127033803896</v>
      </c>
      <c r="T376" s="23" t="str">
        <f>IF(N377="","",IF(Q376&gt;3650,IF(R376&lt;7,IF(Q376&lt;4450,"Pass","Fail"),"Fail"),"Fail"))</f>
        <v>Pass</v>
      </c>
      <c r="U376" s="211">
        <v>1340</v>
      </c>
      <c r="V376" s="246"/>
      <c r="W376" s="33"/>
      <c r="X376" s="184">
        <v>3650</v>
      </c>
      <c r="Y376" s="184">
        <v>4450</v>
      </c>
      <c r="Z376" s="184">
        <v>3700</v>
      </c>
      <c r="AA376" s="184">
        <v>4100</v>
      </c>
      <c r="AB376" s="57">
        <v>6.5</v>
      </c>
      <c r="AC376" s="57">
        <v>7</v>
      </c>
    </row>
    <row r="377" spans="1:29" x14ac:dyDescent="0.25">
      <c r="A377" s="272"/>
      <c r="B377" s="47"/>
      <c r="C377" s="24"/>
      <c r="D377" s="24"/>
      <c r="E377" s="88" t="s">
        <v>193</v>
      </c>
      <c r="F377" s="28">
        <v>1018.11</v>
      </c>
      <c r="G377" s="28">
        <v>835.07</v>
      </c>
      <c r="H377" s="28">
        <v>855.97</v>
      </c>
      <c r="I377" s="28">
        <v>866.69</v>
      </c>
      <c r="J377" s="28">
        <v>1164.02</v>
      </c>
      <c r="K377" s="28">
        <v>1241.17</v>
      </c>
      <c r="L377" s="28">
        <v>882.97</v>
      </c>
      <c r="M377" s="28">
        <v>815.23</v>
      </c>
      <c r="N377" s="28">
        <v>992.26</v>
      </c>
      <c r="O377" s="88"/>
      <c r="P377" s="88"/>
      <c r="Q377" s="89"/>
      <c r="R377" s="89"/>
      <c r="S377" s="210"/>
      <c r="T377" s="23"/>
      <c r="U377" s="211"/>
      <c r="V377" s="246"/>
      <c r="W377" s="33"/>
      <c r="X377" s="186"/>
      <c r="Y377" s="186"/>
      <c r="Z377" s="186"/>
      <c r="AA377" s="186"/>
    </row>
    <row r="378" spans="1:29" ht="22.15" x14ac:dyDescent="0.25">
      <c r="A378" s="272"/>
      <c r="B378" s="47"/>
      <c r="C378" s="24"/>
      <c r="D378" s="24"/>
      <c r="E378" s="88" t="s">
        <v>194</v>
      </c>
      <c r="F378" s="66">
        <f t="shared" ref="F378:N378" si="122">IF(((F376="")*AND(F377="")),"",(F376-F377)*2)</f>
        <v>3691.66</v>
      </c>
      <c r="G378" s="66">
        <f t="shared" si="122"/>
        <v>3865.8399999999992</v>
      </c>
      <c r="H378" s="66">
        <f t="shared" si="122"/>
        <v>3908.3799999999997</v>
      </c>
      <c r="I378" s="66">
        <f t="shared" si="122"/>
        <v>3859.8599999999997</v>
      </c>
      <c r="J378" s="66">
        <f t="shared" si="122"/>
        <v>3669.5600000000004</v>
      </c>
      <c r="K378" s="66">
        <f t="shared" si="122"/>
        <v>3589.5199999999995</v>
      </c>
      <c r="L378" s="66">
        <f t="shared" si="122"/>
        <v>3845.1600000000003</v>
      </c>
      <c r="M378" s="66">
        <f t="shared" si="122"/>
        <v>3919.5600000000004</v>
      </c>
      <c r="N378" s="66">
        <f t="shared" si="122"/>
        <v>3787.6200000000003</v>
      </c>
      <c r="O378" s="88"/>
      <c r="P378" s="88"/>
      <c r="Q378" s="89"/>
      <c r="R378" s="89"/>
      <c r="S378" s="210"/>
      <c r="T378" s="23"/>
      <c r="U378" s="211"/>
      <c r="V378" s="246"/>
      <c r="W378" s="33"/>
      <c r="X378" s="186"/>
      <c r="Y378" s="186"/>
      <c r="Z378" s="186"/>
      <c r="AA378" s="186"/>
    </row>
    <row r="379" spans="1:29" x14ac:dyDescent="0.25">
      <c r="A379" s="272">
        <v>43283</v>
      </c>
      <c r="B379" s="24" t="s">
        <v>172</v>
      </c>
      <c r="C379" s="24" t="s">
        <v>174</v>
      </c>
      <c r="D379" s="24" t="s">
        <v>195</v>
      </c>
      <c r="E379" s="88" t="s">
        <v>192</v>
      </c>
      <c r="F379" s="28">
        <v>1247.47</v>
      </c>
      <c r="G379" s="28">
        <v>1243.8800000000001</v>
      </c>
      <c r="H379" s="28">
        <v>1243.67</v>
      </c>
      <c r="I379" s="28">
        <v>1243.08</v>
      </c>
      <c r="J379" s="28">
        <v>1251.31</v>
      </c>
      <c r="K379" s="28">
        <v>1252.23</v>
      </c>
      <c r="L379" s="28">
        <v>1246.82</v>
      </c>
      <c r="M379" s="28">
        <v>1240.3699999999999</v>
      </c>
      <c r="N379" s="28">
        <v>1247.77</v>
      </c>
      <c r="O379" s="88">
        <f>IF((N380=""),"",MAX(F381:N381))</f>
        <v>2043.3000000000002</v>
      </c>
      <c r="P379" s="88">
        <f>IF(N380="","",MIN(F381:N381))</f>
        <v>1977.9899999999998</v>
      </c>
      <c r="Q379" s="89">
        <f>IF((N381=""),"",AVERAGE(F381:N381))</f>
        <v>2020.12</v>
      </c>
      <c r="R379" s="89">
        <f>IF((N380=""),"",(O379-P379)/(O379+P379)*100)</f>
        <v>1.6241056974254628</v>
      </c>
      <c r="S379" s="181">
        <f>STDEV(F381:N381)</f>
        <v>21.160928027853693</v>
      </c>
      <c r="T379" s="23" t="str">
        <f>IF(N380="","",IF(Q379&gt;1940,IF(R379&lt;8.3,IF(Q379&lt;2180,"Pass","Fail"),"Fail"),"Fail"))</f>
        <v>Pass</v>
      </c>
      <c r="U379" s="211">
        <v>1340</v>
      </c>
      <c r="V379" s="246"/>
      <c r="W379" s="33"/>
      <c r="X379" s="184">
        <v>2000</v>
      </c>
      <c r="Y379" s="184">
        <v>3000</v>
      </c>
      <c r="Z379" s="184">
        <v>1940</v>
      </c>
      <c r="AA379" s="184">
        <v>2180</v>
      </c>
      <c r="AB379" s="57">
        <v>5.2</v>
      </c>
    </row>
    <row r="380" spans="1:29" x14ac:dyDescent="0.25">
      <c r="A380" s="272"/>
      <c r="B380" s="47"/>
      <c r="C380" s="24"/>
      <c r="D380" s="24"/>
      <c r="E380" s="88" t="s">
        <v>193</v>
      </c>
      <c r="F380" s="28">
        <v>566.37</v>
      </c>
      <c r="G380" s="28">
        <v>563.94000000000005</v>
      </c>
      <c r="H380" s="28">
        <v>566.96</v>
      </c>
      <c r="I380" s="28">
        <v>569.35</v>
      </c>
      <c r="J380" s="28">
        <v>591.98</v>
      </c>
      <c r="K380" s="28">
        <v>584.26</v>
      </c>
      <c r="L380" s="28">
        <v>575.82000000000005</v>
      </c>
      <c r="M380" s="28">
        <v>560.36</v>
      </c>
      <c r="N380" s="28">
        <v>577.20000000000005</v>
      </c>
      <c r="O380" s="88"/>
      <c r="P380" s="88"/>
      <c r="Q380" s="89"/>
      <c r="R380" s="89"/>
      <c r="S380" s="210"/>
      <c r="T380" s="23"/>
      <c r="U380" s="211"/>
      <c r="V380" s="246"/>
      <c r="W380" s="33"/>
      <c r="X380" s="186"/>
      <c r="Y380" s="186"/>
      <c r="Z380" s="186"/>
      <c r="AA380" s="186"/>
    </row>
    <row r="381" spans="1:29" ht="36.700000000000003" customHeight="1" thickBot="1" x14ac:dyDescent="0.3">
      <c r="A381" s="279"/>
      <c r="B381" s="90"/>
      <c r="C381" s="91"/>
      <c r="D381" s="91"/>
      <c r="E381" s="92" t="s">
        <v>196</v>
      </c>
      <c r="F381" s="79">
        <f t="shared" ref="F381:N381" si="123">IF(((F379="")*AND(F380="")),"",(F379-F380)*3)</f>
        <v>2043.3000000000002</v>
      </c>
      <c r="G381" s="79">
        <f t="shared" si="123"/>
        <v>2039.8200000000002</v>
      </c>
      <c r="H381" s="79">
        <f t="shared" si="123"/>
        <v>2030.13</v>
      </c>
      <c r="I381" s="79">
        <f t="shared" si="123"/>
        <v>2021.1899999999996</v>
      </c>
      <c r="J381" s="79">
        <f t="shared" si="123"/>
        <v>1977.9899999999998</v>
      </c>
      <c r="K381" s="79">
        <f t="shared" si="123"/>
        <v>2003.91</v>
      </c>
      <c r="L381" s="79">
        <f t="shared" si="123"/>
        <v>2012.9999999999995</v>
      </c>
      <c r="M381" s="79">
        <f t="shared" si="123"/>
        <v>2040.0299999999997</v>
      </c>
      <c r="N381" s="79">
        <f t="shared" si="123"/>
        <v>2011.7099999999998</v>
      </c>
      <c r="O381" s="92"/>
      <c r="P381" s="92"/>
      <c r="Q381" s="93"/>
      <c r="R381" s="93"/>
      <c r="S381" s="213"/>
      <c r="T381" s="214"/>
      <c r="U381" s="215"/>
      <c r="V381" s="246"/>
      <c r="W381" s="33"/>
      <c r="X381" s="186"/>
      <c r="Y381" s="186"/>
      <c r="Z381" s="186"/>
      <c r="AA381" s="186"/>
    </row>
    <row r="382" spans="1:29" x14ac:dyDescent="0.25">
      <c r="A382" s="271">
        <v>43286</v>
      </c>
      <c r="B382" s="63" t="s">
        <v>191</v>
      </c>
      <c r="C382" s="65" t="s">
        <v>176</v>
      </c>
      <c r="D382" s="65" t="s">
        <v>175</v>
      </c>
      <c r="E382" s="67" t="s">
        <v>192</v>
      </c>
      <c r="F382" s="175">
        <v>23114.63</v>
      </c>
      <c r="G382" s="175">
        <v>23502.87</v>
      </c>
      <c r="H382" s="175">
        <v>23605.51</v>
      </c>
      <c r="I382" s="175">
        <v>23485.22</v>
      </c>
      <c r="J382" s="175">
        <v>23041.49</v>
      </c>
      <c r="K382" s="175">
        <v>23088.65</v>
      </c>
      <c r="L382" s="175">
        <v>23503.72</v>
      </c>
      <c r="M382" s="175">
        <v>23472.54</v>
      </c>
      <c r="N382" s="175">
        <v>23021.08</v>
      </c>
      <c r="O382" s="67">
        <f>IF((N383=""),"",MAX(F384:N384))</f>
        <v>4845.0900000000074</v>
      </c>
      <c r="P382" s="67">
        <f>IF(N383="","",MIN(F384:N384))</f>
        <v>4224.7799999999952</v>
      </c>
      <c r="Q382" s="68">
        <f>IF((N384=""),"",AVERAGE(F384:N384))</f>
        <v>4492.8000000000011</v>
      </c>
      <c r="R382" s="68">
        <f>IF((N383=""),"",(O382-P382)/(O382+P382)*100)</f>
        <v>6.8392380486160445</v>
      </c>
      <c r="S382" s="181">
        <f>STDEV(F384:N384)</f>
        <v>255.31909608370628</v>
      </c>
      <c r="T382" s="187" t="str">
        <f>IF(N383="","",IF(R382&lt;16,IF(Q382&gt;3200,IF(R382,IF(Q382&lt;5240,"Pass","Fail"),"Fail"),"Fail")))</f>
        <v>Pass</v>
      </c>
      <c r="U382" s="188">
        <v>121</v>
      </c>
      <c r="V382" s="246"/>
      <c r="W382" s="33"/>
      <c r="X382" s="184">
        <v>4200</v>
      </c>
      <c r="Y382" s="184">
        <v>5500</v>
      </c>
      <c r="Z382" s="184">
        <v>3200</v>
      </c>
      <c r="AA382" s="184">
        <v>5240</v>
      </c>
      <c r="AB382" s="57">
        <v>16</v>
      </c>
    </row>
    <row r="383" spans="1:29" x14ac:dyDescent="0.25">
      <c r="A383" s="272"/>
      <c r="B383" s="47"/>
      <c r="C383" s="24"/>
      <c r="D383" s="24"/>
      <c r="E383" s="88" t="s">
        <v>193</v>
      </c>
      <c r="F383" s="28">
        <v>21551.72</v>
      </c>
      <c r="G383" s="28">
        <v>22067.85</v>
      </c>
      <c r="H383" s="28">
        <v>22197.25</v>
      </c>
      <c r="I383" s="28">
        <v>22049.52</v>
      </c>
      <c r="J383" s="28">
        <v>21429.9</v>
      </c>
      <c r="K383" s="28">
        <v>21542.58</v>
      </c>
      <c r="L383" s="28">
        <v>22081.47</v>
      </c>
      <c r="M383" s="28">
        <v>22030.97</v>
      </c>
      <c r="N383" s="28">
        <v>21406.05</v>
      </c>
      <c r="O383" s="88"/>
      <c r="P383" s="88"/>
      <c r="Q383" s="89"/>
      <c r="R383" s="89"/>
      <c r="S383" s="210"/>
      <c r="T383" s="23"/>
      <c r="U383" s="211"/>
      <c r="V383" s="246"/>
      <c r="W383" s="33"/>
      <c r="X383" s="186"/>
      <c r="Y383" s="186"/>
      <c r="Z383" s="186"/>
      <c r="AA383" s="186"/>
    </row>
    <row r="384" spans="1:29" ht="22.75" thickBot="1" x14ac:dyDescent="0.3">
      <c r="A384" s="272"/>
      <c r="B384" s="47"/>
      <c r="C384" s="24"/>
      <c r="D384" s="24"/>
      <c r="E384" s="88" t="s">
        <v>194</v>
      </c>
      <c r="F384" s="66">
        <f t="shared" ref="F384:N384" si="124">IF(((F382="")*AND(F383="")),"",(F382-F383)*3)</f>
        <v>4688.7299999999996</v>
      </c>
      <c r="G384" s="66">
        <f t="shared" si="124"/>
        <v>4305.0600000000013</v>
      </c>
      <c r="H384" s="66">
        <f t="shared" si="124"/>
        <v>4224.7799999999952</v>
      </c>
      <c r="I384" s="66">
        <f t="shared" si="124"/>
        <v>4307.1000000000022</v>
      </c>
      <c r="J384" s="66">
        <f t="shared" si="124"/>
        <v>4834.7700000000004</v>
      </c>
      <c r="K384" s="66">
        <f t="shared" si="124"/>
        <v>4638.2099999999991</v>
      </c>
      <c r="L384" s="66">
        <f t="shared" si="124"/>
        <v>4266.75</v>
      </c>
      <c r="M384" s="66">
        <f t="shared" si="124"/>
        <v>4324.7099999999991</v>
      </c>
      <c r="N384" s="66">
        <f t="shared" si="124"/>
        <v>4845.0900000000074</v>
      </c>
      <c r="O384" s="88"/>
      <c r="P384" s="88"/>
      <c r="Q384" s="89"/>
      <c r="R384" s="89"/>
      <c r="S384" s="210"/>
      <c r="T384" s="23"/>
      <c r="U384" s="211"/>
      <c r="V384" s="246"/>
      <c r="W384" s="33"/>
      <c r="X384" s="186"/>
      <c r="Y384" s="186"/>
      <c r="Z384" s="186"/>
      <c r="AA384" s="186"/>
    </row>
    <row r="385" spans="1:29" x14ac:dyDescent="0.25">
      <c r="A385" s="272">
        <v>43286</v>
      </c>
      <c r="B385" s="47" t="s">
        <v>177</v>
      </c>
      <c r="C385" s="24" t="s">
        <v>179</v>
      </c>
      <c r="D385" s="70" t="s">
        <v>178</v>
      </c>
      <c r="E385" s="88" t="s">
        <v>192</v>
      </c>
      <c r="F385" s="28">
        <v>6887.3</v>
      </c>
      <c r="G385" s="28">
        <v>6872.31</v>
      </c>
      <c r="H385" s="28">
        <v>6895.59</v>
      </c>
      <c r="I385" s="28">
        <v>6847.61</v>
      </c>
      <c r="J385" s="28">
        <v>6927.79</v>
      </c>
      <c r="K385" s="28">
        <v>6871.05</v>
      </c>
      <c r="L385" s="28">
        <v>6850.64</v>
      </c>
      <c r="M385" s="28">
        <v>6880.35</v>
      </c>
      <c r="N385" s="28">
        <v>6971.68</v>
      </c>
      <c r="O385" s="88">
        <f>IF((N386=""),"",MAX(F387:N387))</f>
        <v>3994.3199999999997</v>
      </c>
      <c r="P385" s="88">
        <f>IF(N386="","",MIN(F387:N387))</f>
        <v>3654.92</v>
      </c>
      <c r="Q385" s="89">
        <f>IF((N387=""),"",AVERAGE(F387:N387))</f>
        <v>3869.1933333333341</v>
      </c>
      <c r="R385" s="89">
        <f>IF((N386=""),"",(O385-P385)/(O385+P385)*100)</f>
        <v>4.4370421113731515</v>
      </c>
      <c r="S385" s="181">
        <f>STDEV(F387:N387)</f>
        <v>121.02489248084474</v>
      </c>
      <c r="T385" s="23" t="str">
        <f>IF(N386="","",IF(Q385&gt;3650,IF(R385&lt;7,IF(Q385&lt;4450,"Pass","Fail"),"Fail"),"Fail"))</f>
        <v>Pass</v>
      </c>
      <c r="U385" s="211">
        <v>121</v>
      </c>
      <c r="V385" s="246"/>
      <c r="W385" s="33"/>
      <c r="X385" s="184">
        <v>3650</v>
      </c>
      <c r="Y385" s="184">
        <v>4450</v>
      </c>
      <c r="Z385" s="184">
        <v>3700</v>
      </c>
      <c r="AA385" s="184">
        <v>4100</v>
      </c>
      <c r="AB385" s="57">
        <v>6.5</v>
      </c>
      <c r="AC385" s="57">
        <v>7</v>
      </c>
    </row>
    <row r="386" spans="1:29" x14ac:dyDescent="0.25">
      <c r="A386" s="272"/>
      <c r="B386" s="47"/>
      <c r="C386" s="24"/>
      <c r="D386" s="24"/>
      <c r="E386" s="88" t="s">
        <v>193</v>
      </c>
      <c r="F386" s="28">
        <v>4997.7</v>
      </c>
      <c r="G386" s="28">
        <v>4895.57</v>
      </c>
      <c r="H386" s="28">
        <v>4898.43</v>
      </c>
      <c r="I386" s="28">
        <v>4875.9799999999996</v>
      </c>
      <c r="J386" s="28">
        <v>5055.34</v>
      </c>
      <c r="K386" s="28">
        <v>5043.59</v>
      </c>
      <c r="L386" s="28">
        <v>4882.33</v>
      </c>
      <c r="M386" s="28">
        <v>4887.76</v>
      </c>
      <c r="N386" s="28">
        <v>5056.25</v>
      </c>
      <c r="O386" s="88"/>
      <c r="P386" s="88"/>
      <c r="Q386" s="89"/>
      <c r="R386" s="89"/>
      <c r="S386" s="210"/>
      <c r="T386" s="23"/>
      <c r="U386" s="211"/>
      <c r="V386" s="246"/>
      <c r="W386" s="33"/>
      <c r="X386" s="186"/>
      <c r="Y386" s="186"/>
      <c r="Z386" s="186"/>
      <c r="AA386" s="186"/>
    </row>
    <row r="387" spans="1:29" ht="22.15" x14ac:dyDescent="0.25">
      <c r="A387" s="272"/>
      <c r="B387" s="47"/>
      <c r="C387" s="24"/>
      <c r="D387" s="24"/>
      <c r="E387" s="88" t="s">
        <v>194</v>
      </c>
      <c r="F387" s="66">
        <f t="shared" ref="F387:N387" si="125">IF(((F385="")*AND(F386="")),"",(F385-F386)*2)</f>
        <v>3779.2000000000007</v>
      </c>
      <c r="G387" s="66">
        <f t="shared" si="125"/>
        <v>3953.4800000000014</v>
      </c>
      <c r="H387" s="66">
        <f t="shared" si="125"/>
        <v>3994.3199999999997</v>
      </c>
      <c r="I387" s="66">
        <f t="shared" si="125"/>
        <v>3943.26</v>
      </c>
      <c r="J387" s="66">
        <f t="shared" si="125"/>
        <v>3744.8999999999996</v>
      </c>
      <c r="K387" s="66">
        <f t="shared" si="125"/>
        <v>3654.92</v>
      </c>
      <c r="L387" s="66">
        <f t="shared" si="125"/>
        <v>3936.6200000000008</v>
      </c>
      <c r="M387" s="66">
        <f t="shared" si="125"/>
        <v>3985.1800000000003</v>
      </c>
      <c r="N387" s="66">
        <f t="shared" si="125"/>
        <v>3830.8600000000006</v>
      </c>
      <c r="O387" s="88"/>
      <c r="P387" s="88"/>
      <c r="Q387" s="89"/>
      <c r="R387" s="89"/>
      <c r="S387" s="210"/>
      <c r="T387" s="23"/>
      <c r="U387" s="211"/>
      <c r="V387" s="246"/>
      <c r="W387" s="33"/>
      <c r="X387" s="186"/>
      <c r="Y387" s="186"/>
      <c r="Z387" s="186"/>
      <c r="AA387" s="186"/>
    </row>
    <row r="388" spans="1:29" x14ac:dyDescent="0.25">
      <c r="A388" s="272">
        <v>43286</v>
      </c>
      <c r="B388" s="24" t="s">
        <v>172</v>
      </c>
      <c r="C388" s="24" t="s">
        <v>174</v>
      </c>
      <c r="D388" s="24" t="s">
        <v>195</v>
      </c>
      <c r="E388" s="88" t="s">
        <v>192</v>
      </c>
      <c r="F388" s="28">
        <v>1948.64</v>
      </c>
      <c r="G388" s="28">
        <v>1942.74</v>
      </c>
      <c r="H388" s="28">
        <v>1938.13</v>
      </c>
      <c r="I388" s="28">
        <v>1942.6</v>
      </c>
      <c r="J388" s="28">
        <v>1949.47</v>
      </c>
      <c r="K388" s="28">
        <v>1950.07</v>
      </c>
      <c r="L388" s="28">
        <v>1946.91</v>
      </c>
      <c r="M388" s="28">
        <v>1940.29</v>
      </c>
      <c r="N388" s="28">
        <v>1945.65</v>
      </c>
      <c r="O388" s="88">
        <f>IF((N389=""),"",MAX(F390:N390))</f>
        <v>2048.4000000000005</v>
      </c>
      <c r="P388" s="88">
        <f>IF(N389="","",MIN(F390:N390))</f>
        <v>2021.6700000000003</v>
      </c>
      <c r="Q388" s="89">
        <f>IF((N390=""),"",AVERAGE(F390:N390))</f>
        <v>2035.0233333333333</v>
      </c>
      <c r="R388" s="89">
        <f>IF((N389=""),"",(O388-P388)/(O388+P388)*100)</f>
        <v>0.65674546138027701</v>
      </c>
      <c r="S388" s="181">
        <f>STDEV(F390:N390)</f>
        <v>9.165741923052444</v>
      </c>
      <c r="T388" s="23" t="str">
        <f>IF(N389="","",IF(Q388&gt;1940,IF(R388&lt;8.3,IF(Q388&lt;2180,"Pass","Fail"),"Fail"),"Fail"))</f>
        <v>Pass</v>
      </c>
      <c r="U388" s="211">
        <v>121</v>
      </c>
      <c r="V388" s="246"/>
      <c r="W388" s="33"/>
      <c r="X388" s="184">
        <v>2000</v>
      </c>
      <c r="Y388" s="184">
        <v>3000</v>
      </c>
      <c r="Z388" s="184">
        <v>1940</v>
      </c>
      <c r="AA388" s="184">
        <v>2180</v>
      </c>
      <c r="AB388" s="57">
        <v>5.2</v>
      </c>
    </row>
    <row r="389" spans="1:29" x14ac:dyDescent="0.25">
      <c r="A389" s="272"/>
      <c r="B389" s="47"/>
      <c r="C389" s="24"/>
      <c r="D389" s="24"/>
      <c r="E389" s="88" t="s">
        <v>193</v>
      </c>
      <c r="F389" s="28">
        <v>1265.8399999999999</v>
      </c>
      <c r="G389" s="28">
        <v>1264.8599999999999</v>
      </c>
      <c r="H389" s="28">
        <v>1260.6099999999999</v>
      </c>
      <c r="I389" s="28">
        <v>1266.18</v>
      </c>
      <c r="J389" s="28">
        <v>1271.9000000000001</v>
      </c>
      <c r="K389" s="28">
        <v>1267.53</v>
      </c>
      <c r="L389" s="28">
        <v>1266.22</v>
      </c>
      <c r="M389" s="28">
        <v>1264.53</v>
      </c>
      <c r="N389" s="28">
        <v>1271.76</v>
      </c>
      <c r="O389" s="88"/>
      <c r="P389" s="88"/>
      <c r="Q389" s="89"/>
      <c r="R389" s="89"/>
      <c r="S389" s="210"/>
      <c r="T389" s="23"/>
      <c r="U389" s="211"/>
      <c r="V389" s="246"/>
      <c r="W389" s="33"/>
      <c r="X389" s="186"/>
      <c r="Y389" s="186"/>
      <c r="Z389" s="186"/>
      <c r="AA389" s="186"/>
    </row>
    <row r="390" spans="1:29" ht="32.950000000000003" customHeight="1" thickBot="1" x14ac:dyDescent="0.3">
      <c r="A390" s="279"/>
      <c r="B390" s="90"/>
      <c r="C390" s="91"/>
      <c r="D390" s="91"/>
      <c r="E390" s="92" t="s">
        <v>196</v>
      </c>
      <c r="F390" s="79">
        <f t="shared" ref="F390:N390" si="126">IF(((F388="")*AND(F389="")),"",(F388-F389)*3)</f>
        <v>2048.4000000000005</v>
      </c>
      <c r="G390" s="79">
        <f t="shared" si="126"/>
        <v>2033.6400000000003</v>
      </c>
      <c r="H390" s="79">
        <f t="shared" si="126"/>
        <v>2032.5600000000006</v>
      </c>
      <c r="I390" s="79">
        <f t="shared" si="126"/>
        <v>2029.2599999999995</v>
      </c>
      <c r="J390" s="79">
        <f t="shared" si="126"/>
        <v>2032.7099999999998</v>
      </c>
      <c r="K390" s="79">
        <f t="shared" si="126"/>
        <v>2047.62</v>
      </c>
      <c r="L390" s="79">
        <f t="shared" si="126"/>
        <v>2042.0700000000002</v>
      </c>
      <c r="M390" s="79">
        <f t="shared" si="126"/>
        <v>2027.28</v>
      </c>
      <c r="N390" s="79">
        <f t="shared" si="126"/>
        <v>2021.6700000000003</v>
      </c>
      <c r="O390" s="92"/>
      <c r="P390" s="92"/>
      <c r="Q390" s="93"/>
      <c r="R390" s="93"/>
      <c r="S390" s="213"/>
      <c r="T390" s="214"/>
      <c r="U390" s="215"/>
      <c r="V390" s="246"/>
      <c r="W390" s="33"/>
      <c r="X390" s="186"/>
      <c r="Y390" s="186"/>
      <c r="Z390" s="186"/>
      <c r="AA390" s="186"/>
    </row>
    <row r="391" spans="1:29" x14ac:dyDescent="0.25">
      <c r="A391" s="271">
        <v>43289</v>
      </c>
      <c r="B391" s="63" t="s">
        <v>191</v>
      </c>
      <c r="C391" s="65" t="s">
        <v>176</v>
      </c>
      <c r="D391" s="65" t="s">
        <v>175</v>
      </c>
      <c r="E391" s="67" t="s">
        <v>192</v>
      </c>
      <c r="F391" s="175">
        <v>21518.080000000002</v>
      </c>
      <c r="G391" s="175">
        <v>22035.98</v>
      </c>
      <c r="H391" s="175">
        <v>22157.919999999998</v>
      </c>
      <c r="I391" s="175">
        <v>22011.16</v>
      </c>
      <c r="J391" s="175">
        <v>21397.01</v>
      </c>
      <c r="K391" s="175">
        <v>21513.8</v>
      </c>
      <c r="L391" s="175">
        <v>22044.76</v>
      </c>
      <c r="M391" s="175">
        <v>21996.31</v>
      </c>
      <c r="N391" s="175">
        <v>21374.5</v>
      </c>
      <c r="O391" s="67">
        <f>IF((N392=""),"",MAX(F393:N393))</f>
        <v>4854.6600000000035</v>
      </c>
      <c r="P391" s="67">
        <f>IF(N392="","",MIN(F393:N393))</f>
        <v>4228.0499999999956</v>
      </c>
      <c r="Q391" s="68">
        <f>IF((N393=""),"",AVERAGE(F393:N393))</f>
        <v>4498.7899999999981</v>
      </c>
      <c r="R391" s="68">
        <f>IF((N392=""),"",(O391-P391)/(O391+P391)*100)</f>
        <v>6.8989321469033786</v>
      </c>
      <c r="S391" s="181">
        <f>STDEV(F393:N393)</f>
        <v>239.31626073044046</v>
      </c>
      <c r="T391" s="187" t="str">
        <f>IF(N392="","",IF(R391&lt;16,IF(Q391&gt;3200,IF(R391,IF(Q391&lt;5240,"Pass","Fail"),"Fail"),"Fail")))</f>
        <v>Pass</v>
      </c>
      <c r="U391" s="188">
        <v>1428</v>
      </c>
      <c r="V391" s="246"/>
      <c r="W391" s="33"/>
      <c r="X391" s="184">
        <v>4200</v>
      </c>
      <c r="Y391" s="184">
        <v>5500</v>
      </c>
      <c r="Z391" s="184">
        <v>3200</v>
      </c>
      <c r="AA391" s="184">
        <v>5240</v>
      </c>
      <c r="AB391" s="57">
        <v>16</v>
      </c>
    </row>
    <row r="392" spans="1:29" x14ac:dyDescent="0.25">
      <c r="A392" s="272"/>
      <c r="B392" s="47"/>
      <c r="C392" s="24"/>
      <c r="D392" s="24"/>
      <c r="E392" s="88" t="s">
        <v>193</v>
      </c>
      <c r="F392" s="28">
        <v>19966.060000000001</v>
      </c>
      <c r="G392" s="28">
        <v>20597.689999999999</v>
      </c>
      <c r="H392" s="28">
        <v>20748.57</v>
      </c>
      <c r="I392" s="28">
        <v>20568</v>
      </c>
      <c r="J392" s="28">
        <v>19800.810000000001</v>
      </c>
      <c r="K392" s="28">
        <v>19960.75</v>
      </c>
      <c r="L392" s="28">
        <v>20616.11</v>
      </c>
      <c r="M392" s="28">
        <v>20538.88</v>
      </c>
      <c r="N392" s="28">
        <v>19756.28</v>
      </c>
      <c r="O392" s="88"/>
      <c r="P392" s="88"/>
      <c r="Q392" s="89"/>
      <c r="R392" s="89"/>
      <c r="S392" s="210"/>
      <c r="T392" s="23"/>
      <c r="U392" s="211"/>
      <c r="V392" s="246"/>
      <c r="W392" s="33"/>
      <c r="X392" s="186"/>
      <c r="Y392" s="186"/>
      <c r="Z392" s="186"/>
      <c r="AA392" s="186"/>
    </row>
    <row r="393" spans="1:29" ht="22.75" thickBot="1" x14ac:dyDescent="0.3">
      <c r="A393" s="272"/>
      <c r="B393" s="47"/>
      <c r="C393" s="24"/>
      <c r="D393" s="24"/>
      <c r="E393" s="88" t="s">
        <v>194</v>
      </c>
      <c r="F393" s="66">
        <f t="shared" ref="F393:N393" si="127">IF(((F391="")*AND(F392="")),"",(F391-F392)*3)</f>
        <v>4656.0600000000013</v>
      </c>
      <c r="G393" s="66">
        <f t="shared" si="127"/>
        <v>4314.8700000000026</v>
      </c>
      <c r="H393" s="66">
        <f t="shared" si="127"/>
        <v>4228.0499999999956</v>
      </c>
      <c r="I393" s="66">
        <f t="shared" si="127"/>
        <v>4329.4799999999996</v>
      </c>
      <c r="J393" s="66">
        <f t="shared" si="127"/>
        <v>4788.5999999999913</v>
      </c>
      <c r="K393" s="66">
        <f t="shared" si="127"/>
        <v>4659.1499999999978</v>
      </c>
      <c r="L393" s="66">
        <f t="shared" si="127"/>
        <v>4285.9499999999935</v>
      </c>
      <c r="M393" s="66">
        <f t="shared" si="127"/>
        <v>4372.2900000000009</v>
      </c>
      <c r="N393" s="66">
        <f t="shared" si="127"/>
        <v>4854.6600000000035</v>
      </c>
      <c r="O393" s="88"/>
      <c r="P393" s="88"/>
      <c r="Q393" s="89"/>
      <c r="R393" s="89"/>
      <c r="S393" s="210"/>
      <c r="T393" s="23"/>
      <c r="U393" s="211"/>
      <c r="V393" s="246"/>
      <c r="W393" s="33"/>
      <c r="X393" s="186"/>
      <c r="Y393" s="186"/>
      <c r="Z393" s="186"/>
      <c r="AA393" s="186"/>
    </row>
    <row r="394" spans="1:29" x14ac:dyDescent="0.25">
      <c r="A394" s="272">
        <v>43289</v>
      </c>
      <c r="B394" s="47" t="s">
        <v>177</v>
      </c>
      <c r="C394" s="24" t="s">
        <v>179</v>
      </c>
      <c r="D394" s="70" t="s">
        <v>178</v>
      </c>
      <c r="E394" s="88" t="s">
        <v>192</v>
      </c>
      <c r="F394" s="28">
        <v>5003.1899999999996</v>
      </c>
      <c r="G394" s="28">
        <v>4904.68</v>
      </c>
      <c r="H394" s="28">
        <v>4907.4799999999996</v>
      </c>
      <c r="I394" s="28">
        <v>4886.21</v>
      </c>
      <c r="J394" s="28">
        <v>5060.29</v>
      </c>
      <c r="K394" s="28">
        <v>5048.8</v>
      </c>
      <c r="L394" s="28">
        <v>4892.59</v>
      </c>
      <c r="M394" s="28">
        <v>4897.3900000000003</v>
      </c>
      <c r="N394" s="28">
        <v>5060.32</v>
      </c>
      <c r="O394" s="88">
        <f>IF((N395=""),"",MAX(F396:N396))</f>
        <v>4017.6800000000003</v>
      </c>
      <c r="P394" s="88">
        <f>IF(N395="","",MIN(F396:N396))</f>
        <v>3656.9800000000005</v>
      </c>
      <c r="Q394" s="89">
        <f>IF((N396=""),"",AVERAGE(F396:N396))</f>
        <v>3885.3533333333326</v>
      </c>
      <c r="R394" s="89">
        <f>IF((N395=""),"",(O394-P394)/(O394+P394)*100)</f>
        <v>4.6998824703635051</v>
      </c>
      <c r="S394" s="181">
        <f>STDEV(F396:N396)</f>
        <v>129.94927856667766</v>
      </c>
      <c r="T394" s="23" t="str">
        <f>IF(N395="","",IF(Q394&gt;3650,IF(R394&lt;7,IF(Q394&lt;4450,"Pass","Fail"),"Fail"),"Fail"))</f>
        <v>Pass</v>
      </c>
      <c r="U394" s="211">
        <v>1428</v>
      </c>
      <c r="V394" s="246"/>
      <c r="W394" s="33"/>
      <c r="X394" s="184">
        <v>3650</v>
      </c>
      <c r="Y394" s="184">
        <v>4450</v>
      </c>
      <c r="Z394" s="184">
        <v>3700</v>
      </c>
      <c r="AA394" s="184">
        <v>4100</v>
      </c>
      <c r="AB394" s="57">
        <v>6.5</v>
      </c>
      <c r="AC394" s="57">
        <v>7</v>
      </c>
    </row>
    <row r="395" spans="1:29" x14ac:dyDescent="0.25">
      <c r="A395" s="272"/>
      <c r="B395" s="47"/>
      <c r="C395" s="24"/>
      <c r="D395" s="24"/>
      <c r="E395" s="88" t="s">
        <v>193</v>
      </c>
      <c r="F395" s="28">
        <v>3106.16</v>
      </c>
      <c r="G395" s="28">
        <v>2915.3</v>
      </c>
      <c r="H395" s="28">
        <v>2900.99</v>
      </c>
      <c r="I395" s="28">
        <v>2904.22</v>
      </c>
      <c r="J395" s="28">
        <v>3188.47</v>
      </c>
      <c r="K395" s="28">
        <v>3220.31</v>
      </c>
      <c r="L395" s="28">
        <v>2916.62</v>
      </c>
      <c r="M395" s="28">
        <v>2888.55</v>
      </c>
      <c r="N395" s="28">
        <v>3136.24</v>
      </c>
      <c r="O395" s="88"/>
      <c r="P395" s="88"/>
      <c r="Q395" s="89"/>
      <c r="R395" s="89"/>
      <c r="S395" s="210"/>
      <c r="T395" s="23"/>
      <c r="U395" s="211"/>
      <c r="V395" s="246"/>
      <c r="W395" s="33"/>
      <c r="X395" s="186"/>
      <c r="Y395" s="186"/>
      <c r="Z395" s="186"/>
      <c r="AA395" s="186"/>
    </row>
    <row r="396" spans="1:29" ht="22.15" x14ac:dyDescent="0.25">
      <c r="A396" s="272"/>
      <c r="B396" s="47"/>
      <c r="C396" s="24"/>
      <c r="D396" s="24"/>
      <c r="E396" s="88" t="s">
        <v>194</v>
      </c>
      <c r="F396" s="66">
        <f t="shared" ref="F396:N396" si="128">IF(((F394="")*AND(F395="")),"",(F394-F395)*2)</f>
        <v>3794.0599999999995</v>
      </c>
      <c r="G396" s="66">
        <f t="shared" si="128"/>
        <v>3978.76</v>
      </c>
      <c r="H396" s="66">
        <f t="shared" si="128"/>
        <v>4012.9799999999996</v>
      </c>
      <c r="I396" s="66">
        <f t="shared" si="128"/>
        <v>3963.9800000000005</v>
      </c>
      <c r="J396" s="66">
        <f t="shared" si="128"/>
        <v>3743.6400000000003</v>
      </c>
      <c r="K396" s="66">
        <f t="shared" si="128"/>
        <v>3656.9800000000005</v>
      </c>
      <c r="L396" s="66">
        <f t="shared" si="128"/>
        <v>3951.9400000000005</v>
      </c>
      <c r="M396" s="66">
        <f t="shared" si="128"/>
        <v>4017.6800000000003</v>
      </c>
      <c r="N396" s="66">
        <f t="shared" si="128"/>
        <v>3848.16</v>
      </c>
      <c r="O396" s="88"/>
      <c r="P396" s="88"/>
      <c r="Q396" s="89"/>
      <c r="R396" s="89"/>
      <c r="S396" s="210"/>
      <c r="T396" s="23"/>
      <c r="U396" s="211"/>
      <c r="V396" s="246"/>
      <c r="W396" s="33"/>
      <c r="X396" s="186"/>
      <c r="Y396" s="186"/>
      <c r="Z396" s="186"/>
      <c r="AA396" s="186"/>
    </row>
    <row r="397" spans="1:29" x14ac:dyDescent="0.25">
      <c r="A397" s="272">
        <v>43289</v>
      </c>
      <c r="B397" s="24" t="s">
        <v>172</v>
      </c>
      <c r="C397" s="24" t="s">
        <v>174</v>
      </c>
      <c r="D397" s="24" t="s">
        <v>195</v>
      </c>
      <c r="E397" s="88" t="s">
        <v>192</v>
      </c>
      <c r="F397" s="28">
        <v>1269.56</v>
      </c>
      <c r="G397" s="28">
        <v>1267.98</v>
      </c>
      <c r="H397" s="28">
        <v>1264.45</v>
      </c>
      <c r="I397" s="28">
        <v>1267.22</v>
      </c>
      <c r="J397" s="28">
        <v>1280.3599999999999</v>
      </c>
      <c r="K397" s="28">
        <v>1269.97</v>
      </c>
      <c r="L397" s="28">
        <v>1268.28</v>
      </c>
      <c r="M397" s="28">
        <v>1267.8599999999999</v>
      </c>
      <c r="N397" s="28">
        <v>1272.83</v>
      </c>
      <c r="O397" s="88">
        <f>IF((N398=""),"",MAX(F399:N399))</f>
        <v>2046.96</v>
      </c>
      <c r="P397" s="88">
        <f>IF(N398="","",MIN(F399:N399))</f>
        <v>1981.0799999999997</v>
      </c>
      <c r="Q397" s="89">
        <f>IF((N399=""),"",AVERAGE(F399:N399))</f>
        <v>2024.0600000000002</v>
      </c>
      <c r="R397" s="89">
        <f>IF((N398=""),"",(O397-P397)/(O397+P397)*100)</f>
        <v>1.6355349003485651</v>
      </c>
      <c r="S397" s="181">
        <f>STDEV(F399:N399)</f>
        <v>23.529157974734375</v>
      </c>
      <c r="T397" s="23" t="str">
        <f>IF(N398="","",IF(Q397&gt;1940,IF(R397&lt;8.3,IF(Q397&lt;2180,"Pass","Fail"),"Fail"),"Fail"))</f>
        <v>Pass</v>
      </c>
      <c r="U397" s="211">
        <v>1428</v>
      </c>
      <c r="V397" s="246"/>
      <c r="W397" s="33"/>
      <c r="X397" s="184">
        <v>2000</v>
      </c>
      <c r="Y397" s="184">
        <v>3000</v>
      </c>
      <c r="Z397" s="184">
        <v>1940</v>
      </c>
      <c r="AA397" s="184">
        <v>2180</v>
      </c>
      <c r="AB397" s="57">
        <v>5.2</v>
      </c>
    </row>
    <row r="398" spans="1:29" x14ac:dyDescent="0.25">
      <c r="A398" s="272"/>
      <c r="B398" s="47"/>
      <c r="C398" s="24"/>
      <c r="D398" s="24"/>
      <c r="E398" s="88" t="s">
        <v>193</v>
      </c>
      <c r="F398" s="28">
        <v>592.16999999999996</v>
      </c>
      <c r="G398" s="28">
        <v>585.66</v>
      </c>
      <c r="H398" s="28">
        <v>583.96</v>
      </c>
      <c r="I398" s="28">
        <v>590.04999999999995</v>
      </c>
      <c r="J398" s="28">
        <v>617.23</v>
      </c>
      <c r="K398" s="28">
        <v>597.29999999999995</v>
      </c>
      <c r="L398" s="28">
        <v>589.58000000000004</v>
      </c>
      <c r="M398" s="28">
        <v>587.91</v>
      </c>
      <c r="N398" s="28">
        <v>612.47</v>
      </c>
      <c r="O398" s="88"/>
      <c r="P398" s="88"/>
      <c r="Q398" s="89"/>
      <c r="R398" s="89"/>
      <c r="S398" s="210"/>
      <c r="T398" s="23"/>
      <c r="U398" s="211"/>
      <c r="V398" s="246"/>
      <c r="W398" s="33"/>
      <c r="X398" s="186"/>
      <c r="Y398" s="186"/>
      <c r="Z398" s="186"/>
      <c r="AA398" s="186"/>
    </row>
    <row r="399" spans="1:29" ht="35.35" customHeight="1" thickBot="1" x14ac:dyDescent="0.3">
      <c r="A399" s="279"/>
      <c r="B399" s="90"/>
      <c r="C399" s="91"/>
      <c r="D399" s="91"/>
      <c r="E399" s="92" t="s">
        <v>196</v>
      </c>
      <c r="F399" s="79">
        <f t="shared" ref="F399:N399" si="129">IF(((F397="")*AND(F398="")),"",(F397-F398)*3)</f>
        <v>2032.17</v>
      </c>
      <c r="G399" s="79">
        <f t="shared" si="129"/>
        <v>2046.96</v>
      </c>
      <c r="H399" s="79">
        <f t="shared" si="129"/>
        <v>2041.47</v>
      </c>
      <c r="I399" s="79">
        <f t="shared" si="129"/>
        <v>2031.5100000000002</v>
      </c>
      <c r="J399" s="79">
        <f t="shared" si="129"/>
        <v>1989.3899999999996</v>
      </c>
      <c r="K399" s="79">
        <f t="shared" si="129"/>
        <v>2018.0100000000002</v>
      </c>
      <c r="L399" s="79">
        <f t="shared" si="129"/>
        <v>2036.1</v>
      </c>
      <c r="M399" s="79">
        <f t="shared" si="129"/>
        <v>2039.85</v>
      </c>
      <c r="N399" s="79">
        <f t="shared" si="129"/>
        <v>1981.0799999999997</v>
      </c>
      <c r="O399" s="92"/>
      <c r="P399" s="92"/>
      <c r="Q399" s="93"/>
      <c r="R399" s="93"/>
      <c r="S399" s="213"/>
      <c r="T399" s="214"/>
      <c r="U399" s="215"/>
      <c r="V399" s="246"/>
      <c r="W399" s="33"/>
      <c r="X399" s="186"/>
      <c r="Y399" s="186"/>
      <c r="Z399" s="186"/>
      <c r="AA399" s="186"/>
    </row>
    <row r="400" spans="1:29" x14ac:dyDescent="0.25">
      <c r="A400" s="271">
        <v>43292</v>
      </c>
      <c r="B400" s="63" t="s">
        <v>191</v>
      </c>
      <c r="C400" s="65" t="s">
        <v>176</v>
      </c>
      <c r="D400" s="65" t="s">
        <v>175</v>
      </c>
      <c r="E400" s="67" t="s">
        <v>192</v>
      </c>
      <c r="F400" s="175">
        <v>29275.95</v>
      </c>
      <c r="G400" s="175">
        <v>29184.38</v>
      </c>
      <c r="H400" s="175">
        <v>29179.63</v>
      </c>
      <c r="I400" s="175">
        <v>29173.13</v>
      </c>
      <c r="J400" s="175">
        <v>29291.49</v>
      </c>
      <c r="K400" s="175">
        <v>29279.65</v>
      </c>
      <c r="L400" s="175">
        <v>29176.47</v>
      </c>
      <c r="M400" s="175">
        <v>29176.959999999999</v>
      </c>
      <c r="N400" s="175">
        <v>29259.38</v>
      </c>
      <c r="O400" s="67">
        <f>IF((N401=""),"",MAX(F402:N402))</f>
        <v>4809.1500000000087</v>
      </c>
      <c r="P400" s="67">
        <f>IF(N401="","",MIN(F402:N402))</f>
        <v>4276.9199999999983</v>
      </c>
      <c r="Q400" s="68">
        <f>IF((N402=""),"",AVERAGE(F402:N402))</f>
        <v>4522.3800000000037</v>
      </c>
      <c r="R400" s="68">
        <f>IF((N401=""),"",(O400-P400)/(O400+P400)*100)</f>
        <v>5.857648026044374</v>
      </c>
      <c r="S400" s="181">
        <f>STDEV(F402:N402)</f>
        <v>216.00780194243197</v>
      </c>
      <c r="T400" s="187" t="str">
        <f>IF(N401="","",IF(R400&lt;16,IF(Q400&gt;3200,IF(R400,IF(Q400&lt;5240,"Pass","Fail"),"Fail"),"Fail")))</f>
        <v>Pass</v>
      </c>
      <c r="U400" s="188">
        <v>1335</v>
      </c>
      <c r="V400" s="246"/>
      <c r="W400" s="33"/>
      <c r="X400" s="184">
        <v>4200</v>
      </c>
      <c r="Y400" s="184">
        <v>5500</v>
      </c>
      <c r="Z400" s="184">
        <v>3200</v>
      </c>
      <c r="AA400" s="184">
        <v>5240</v>
      </c>
      <c r="AB400" s="57">
        <v>16</v>
      </c>
    </row>
    <row r="401" spans="1:29" x14ac:dyDescent="0.25">
      <c r="A401" s="272"/>
      <c r="B401" s="47"/>
      <c r="C401" s="24"/>
      <c r="D401" s="24"/>
      <c r="E401" s="88" t="s">
        <v>193</v>
      </c>
      <c r="F401" s="28">
        <v>27717.37</v>
      </c>
      <c r="G401" s="28">
        <v>27737.79</v>
      </c>
      <c r="H401" s="28">
        <v>27753.99</v>
      </c>
      <c r="I401" s="28">
        <v>27712.799999999999</v>
      </c>
      <c r="J401" s="28">
        <v>27688.44</v>
      </c>
      <c r="K401" s="28">
        <v>27705.33</v>
      </c>
      <c r="L401" s="28">
        <v>27723.62</v>
      </c>
      <c r="M401" s="28">
        <v>27721.8</v>
      </c>
      <c r="N401" s="28">
        <v>27668.76</v>
      </c>
      <c r="O401" s="88"/>
      <c r="P401" s="88"/>
      <c r="Q401" s="89"/>
      <c r="R401" s="89"/>
      <c r="S401" s="210"/>
      <c r="T401" s="23"/>
      <c r="U401" s="211"/>
      <c r="V401" s="246"/>
      <c r="W401" s="33"/>
      <c r="X401" s="186"/>
      <c r="Y401" s="186"/>
      <c r="Z401" s="186"/>
      <c r="AA401" s="186"/>
    </row>
    <row r="402" spans="1:29" ht="22.75" thickBot="1" x14ac:dyDescent="0.3">
      <c r="A402" s="272"/>
      <c r="B402" s="47"/>
      <c r="C402" s="24"/>
      <c r="D402" s="24"/>
      <c r="E402" s="88" t="s">
        <v>194</v>
      </c>
      <c r="F402" s="66">
        <f t="shared" ref="F402:N402" si="130">IF(((F400="")*AND(F401="")),"",(F400-F401)*3)</f>
        <v>4675.7400000000052</v>
      </c>
      <c r="G402" s="66">
        <f t="shared" si="130"/>
        <v>4339.7700000000004</v>
      </c>
      <c r="H402" s="66">
        <f t="shared" si="130"/>
        <v>4276.9199999999983</v>
      </c>
      <c r="I402" s="66">
        <f t="shared" si="130"/>
        <v>4380.9900000000052</v>
      </c>
      <c r="J402" s="66">
        <f t="shared" si="130"/>
        <v>4809.1500000000087</v>
      </c>
      <c r="K402" s="66">
        <f t="shared" si="130"/>
        <v>4722.9599999999991</v>
      </c>
      <c r="L402" s="66">
        <f t="shared" si="130"/>
        <v>4358.5500000000065</v>
      </c>
      <c r="M402" s="66">
        <f t="shared" si="130"/>
        <v>4365.4799999999996</v>
      </c>
      <c r="N402" s="66">
        <f t="shared" si="130"/>
        <v>4771.8600000000079</v>
      </c>
      <c r="O402" s="88"/>
      <c r="P402" s="88"/>
      <c r="Q402" s="89"/>
      <c r="R402" s="89"/>
      <c r="S402" s="210"/>
      <c r="T402" s="23"/>
      <c r="U402" s="211"/>
      <c r="V402" s="246"/>
      <c r="W402" s="33"/>
      <c r="X402" s="186"/>
      <c r="Y402" s="186"/>
      <c r="Z402" s="186"/>
      <c r="AA402" s="186"/>
    </row>
    <row r="403" spans="1:29" x14ac:dyDescent="0.25">
      <c r="A403" s="272">
        <v>43292</v>
      </c>
      <c r="B403" s="47" t="s">
        <v>177</v>
      </c>
      <c r="C403" s="24" t="s">
        <v>179</v>
      </c>
      <c r="D403" s="70" t="s">
        <v>178</v>
      </c>
      <c r="E403" s="88" t="s">
        <v>192</v>
      </c>
      <c r="F403" s="28">
        <v>3113.38</v>
      </c>
      <c r="G403" s="28">
        <v>2919.79</v>
      </c>
      <c r="H403" s="28">
        <v>2905.07</v>
      </c>
      <c r="I403" s="28">
        <v>2908.07</v>
      </c>
      <c r="J403" s="28">
        <v>3196.99</v>
      </c>
      <c r="K403" s="28">
        <v>3229.59</v>
      </c>
      <c r="L403" s="28">
        <v>2920.69</v>
      </c>
      <c r="M403" s="28">
        <v>2892.4</v>
      </c>
      <c r="N403" s="28">
        <v>3143.72</v>
      </c>
      <c r="O403" s="88">
        <f>IF((N404=""),"",MAX(F405:N405))</f>
        <v>3997.78</v>
      </c>
      <c r="P403" s="88">
        <f>IF(N404="","",MIN(F405:N405))</f>
        <v>3675.6600000000003</v>
      </c>
      <c r="Q403" s="89">
        <f>IF((N405=""),"",AVERAGE(F405:N405))</f>
        <v>3880.74</v>
      </c>
      <c r="R403" s="89">
        <f>IF((N404=""),"",(O403-P403)/(O403+P403)*100)</f>
        <v>4.1978565024291568</v>
      </c>
      <c r="S403" s="181">
        <f>STDEV(F405:N405)</f>
        <v>113.51065544696677</v>
      </c>
      <c r="T403" s="23" t="str">
        <f>IF(N404="","",IF(Q403&gt;3650,IF(R403&lt;7,IF(Q403&lt;4450,"Pass","Fail"),"Fail"),"Fail"))</f>
        <v>Pass</v>
      </c>
      <c r="U403" s="211">
        <v>1335</v>
      </c>
      <c r="V403" s="246"/>
      <c r="W403" s="33"/>
      <c r="X403" s="184">
        <v>3650</v>
      </c>
      <c r="Y403" s="184">
        <v>4450</v>
      </c>
      <c r="Z403" s="184">
        <v>3700</v>
      </c>
      <c r="AA403" s="184">
        <v>4100</v>
      </c>
      <c r="AB403" s="57">
        <v>6.5</v>
      </c>
      <c r="AC403" s="57">
        <v>7</v>
      </c>
    </row>
    <row r="404" spans="1:29" x14ac:dyDescent="0.25">
      <c r="A404" s="272"/>
      <c r="B404" s="47"/>
      <c r="C404" s="24"/>
      <c r="D404" s="24"/>
      <c r="E404" s="88" t="s">
        <v>193</v>
      </c>
      <c r="F404" s="28">
        <v>1214.49</v>
      </c>
      <c r="G404" s="28">
        <v>937.54</v>
      </c>
      <c r="H404" s="28">
        <v>907.34</v>
      </c>
      <c r="I404" s="28">
        <v>937.48</v>
      </c>
      <c r="J404" s="28">
        <v>1314.81</v>
      </c>
      <c r="K404" s="28">
        <v>1391.76</v>
      </c>
      <c r="L404" s="28">
        <v>954.97</v>
      </c>
      <c r="M404" s="28">
        <v>893.51</v>
      </c>
      <c r="N404" s="28">
        <v>1214.47</v>
      </c>
      <c r="O404" s="88"/>
      <c r="P404" s="88"/>
      <c r="Q404" s="89"/>
      <c r="R404" s="89"/>
      <c r="S404" s="210"/>
      <c r="T404" s="23"/>
      <c r="U404" s="211"/>
      <c r="V404" s="246"/>
      <c r="W404" s="33"/>
      <c r="X404" s="186"/>
      <c r="Y404" s="186"/>
      <c r="Z404" s="186"/>
      <c r="AA404" s="186"/>
    </row>
    <row r="405" spans="1:29" ht="22.15" x14ac:dyDescent="0.25">
      <c r="A405" s="272"/>
      <c r="B405" s="47"/>
      <c r="C405" s="24"/>
      <c r="D405" s="24"/>
      <c r="E405" s="88" t="s">
        <v>194</v>
      </c>
      <c r="F405" s="66">
        <f t="shared" ref="F405:N405" si="131">IF(((F403="")*AND(F404="")),"",(F403-F404)*2)</f>
        <v>3797.78</v>
      </c>
      <c r="G405" s="66">
        <f t="shared" si="131"/>
        <v>3964.5</v>
      </c>
      <c r="H405" s="66">
        <f t="shared" si="131"/>
        <v>3995.46</v>
      </c>
      <c r="I405" s="66">
        <f t="shared" si="131"/>
        <v>3941.1800000000003</v>
      </c>
      <c r="J405" s="66">
        <f t="shared" si="131"/>
        <v>3764.3599999999997</v>
      </c>
      <c r="K405" s="66">
        <f t="shared" si="131"/>
        <v>3675.6600000000003</v>
      </c>
      <c r="L405" s="66">
        <f t="shared" si="131"/>
        <v>3931.44</v>
      </c>
      <c r="M405" s="66">
        <f t="shared" si="131"/>
        <v>3997.78</v>
      </c>
      <c r="N405" s="66">
        <f t="shared" si="131"/>
        <v>3858.4999999999995</v>
      </c>
      <c r="O405" s="88"/>
      <c r="P405" s="88"/>
      <c r="Q405" s="89"/>
      <c r="R405" s="89"/>
      <c r="S405" s="210"/>
      <c r="T405" s="23"/>
      <c r="U405" s="211"/>
      <c r="V405" s="246"/>
      <c r="W405" s="33"/>
      <c r="X405" s="186"/>
      <c r="Y405" s="186"/>
      <c r="Z405" s="186"/>
      <c r="AA405" s="186"/>
    </row>
    <row r="406" spans="1:29" x14ac:dyDescent="0.25">
      <c r="A406" s="272">
        <v>43292</v>
      </c>
      <c r="B406" s="24" t="s">
        <v>172</v>
      </c>
      <c r="C406" s="24" t="s">
        <v>174</v>
      </c>
      <c r="D406" s="24" t="s">
        <v>195</v>
      </c>
      <c r="E406" s="88" t="s">
        <v>192</v>
      </c>
      <c r="F406" s="28">
        <v>1933.67</v>
      </c>
      <c r="G406" s="28">
        <v>1941.69</v>
      </c>
      <c r="H406" s="28">
        <v>1942.61</v>
      </c>
      <c r="I406" s="28">
        <v>1940.98</v>
      </c>
      <c r="J406" s="28">
        <v>1934.41</v>
      </c>
      <c r="K406" s="28">
        <v>1933.58</v>
      </c>
      <c r="L406" s="28">
        <v>1940.22</v>
      </c>
      <c r="M406" s="28">
        <v>1941.57</v>
      </c>
      <c r="N406" s="28">
        <v>1936.67</v>
      </c>
      <c r="O406" s="88">
        <f>IF((N407=""),"",MAX(F408:N408))</f>
        <v>2033.0099999999995</v>
      </c>
      <c r="P406" s="88">
        <f>IF(N407="","",MIN(F408:N408))</f>
        <v>1983.03</v>
      </c>
      <c r="Q406" s="89">
        <f>IF((N408=""),"",AVERAGE(F408:N408))</f>
        <v>2010.13</v>
      </c>
      <c r="R406" s="89">
        <f>IF((N407=""),"",(O406-P406)/(O406+P406)*100)</f>
        <v>1.2445095168374709</v>
      </c>
      <c r="S406" s="181">
        <f>STDEV(F408:N408)</f>
        <v>17.226636351882505</v>
      </c>
      <c r="T406" s="23" t="str">
        <f>IF(N407="","",IF(Q406&gt;1940,IF(R406&lt;8.3,IF(Q406&lt;2180,"Pass","Fail"),"Fail"),"Fail"))</f>
        <v>Pass</v>
      </c>
      <c r="U406" s="211">
        <v>1335</v>
      </c>
      <c r="V406" s="246"/>
      <c r="W406" s="33"/>
      <c r="X406" s="184">
        <v>2000</v>
      </c>
      <c r="Y406" s="184">
        <v>3000</v>
      </c>
      <c r="Z406" s="184">
        <v>1940</v>
      </c>
      <c r="AA406" s="184">
        <v>2180</v>
      </c>
      <c r="AB406" s="57">
        <v>5.2</v>
      </c>
    </row>
    <row r="407" spans="1:29" x14ac:dyDescent="0.25">
      <c r="A407" s="272"/>
      <c r="B407" s="47"/>
      <c r="C407" s="24"/>
      <c r="D407" s="24"/>
      <c r="E407" s="88" t="s">
        <v>193</v>
      </c>
      <c r="F407" s="28">
        <v>1265.06</v>
      </c>
      <c r="G407" s="28">
        <v>1267.54</v>
      </c>
      <c r="H407" s="28">
        <v>1269.19</v>
      </c>
      <c r="I407" s="28">
        <v>1265.28</v>
      </c>
      <c r="J407" s="28">
        <v>1273.4000000000001</v>
      </c>
      <c r="K407" s="28">
        <v>1271.1600000000001</v>
      </c>
      <c r="L407" s="28">
        <v>1271.53</v>
      </c>
      <c r="M407" s="28">
        <v>1263.9000000000001</v>
      </c>
      <c r="N407" s="28">
        <v>1267.95</v>
      </c>
      <c r="O407" s="88"/>
      <c r="P407" s="88"/>
      <c r="Q407" s="89"/>
      <c r="R407" s="89"/>
      <c r="S407" s="210"/>
      <c r="T407" s="23"/>
      <c r="U407" s="211"/>
      <c r="V407" s="246"/>
      <c r="W407" s="33"/>
      <c r="X407" s="186"/>
      <c r="Y407" s="186"/>
      <c r="Z407" s="186"/>
      <c r="AA407" s="186"/>
    </row>
    <row r="408" spans="1:29" ht="36.700000000000003" customHeight="1" thickBot="1" x14ac:dyDescent="0.3">
      <c r="A408" s="279"/>
      <c r="B408" s="90"/>
      <c r="C408" s="91"/>
      <c r="D408" s="91"/>
      <c r="E408" s="92" t="s">
        <v>196</v>
      </c>
      <c r="F408" s="79">
        <f t="shared" ref="F408:N408" si="132">IF(((F406="")*AND(F407="")),"",(F406-F407)*3)</f>
        <v>2005.8300000000004</v>
      </c>
      <c r="G408" s="79">
        <f t="shared" si="132"/>
        <v>2022.4500000000003</v>
      </c>
      <c r="H408" s="79">
        <f t="shared" si="132"/>
        <v>2020.2599999999995</v>
      </c>
      <c r="I408" s="79">
        <f t="shared" si="132"/>
        <v>2027.1000000000001</v>
      </c>
      <c r="J408" s="79">
        <f t="shared" si="132"/>
        <v>1983.03</v>
      </c>
      <c r="K408" s="79">
        <f t="shared" si="132"/>
        <v>1987.2599999999995</v>
      </c>
      <c r="L408" s="79">
        <f t="shared" si="132"/>
        <v>2006.0700000000002</v>
      </c>
      <c r="M408" s="79">
        <f t="shared" si="132"/>
        <v>2033.0099999999995</v>
      </c>
      <c r="N408" s="79">
        <f t="shared" si="132"/>
        <v>2006.16</v>
      </c>
      <c r="O408" s="92"/>
      <c r="P408" s="92"/>
      <c r="Q408" s="93"/>
      <c r="R408" s="93"/>
      <c r="S408" s="213"/>
      <c r="T408" s="214"/>
      <c r="U408" s="215"/>
      <c r="V408" s="246"/>
      <c r="W408" s="33"/>
      <c r="X408" s="186"/>
      <c r="Y408" s="186"/>
      <c r="Z408" s="186"/>
      <c r="AA408" s="186"/>
    </row>
    <row r="409" spans="1:29" x14ac:dyDescent="0.25">
      <c r="A409" s="271">
        <v>43296</v>
      </c>
      <c r="B409" s="63" t="s">
        <v>191</v>
      </c>
      <c r="C409" s="65" t="s">
        <v>176</v>
      </c>
      <c r="D409" s="65" t="s">
        <v>175</v>
      </c>
      <c r="E409" s="67" t="s">
        <v>192</v>
      </c>
      <c r="F409" s="175">
        <v>27648.77</v>
      </c>
      <c r="G409" s="175">
        <v>27676.98</v>
      </c>
      <c r="H409" s="175">
        <v>27683.759999999998</v>
      </c>
      <c r="I409" s="175">
        <v>27642.38</v>
      </c>
      <c r="J409" s="175">
        <v>27613</v>
      </c>
      <c r="K409" s="175">
        <v>27628.95</v>
      </c>
      <c r="L409" s="175">
        <v>27652.66</v>
      </c>
      <c r="M409" s="175">
        <v>27647.34</v>
      </c>
      <c r="N409" s="175">
        <v>27598.3</v>
      </c>
      <c r="O409" s="67">
        <f>IF((N410=""),"",MAX(F411:N411))</f>
        <v>4868.1299999999974</v>
      </c>
      <c r="P409" s="67">
        <f>IF(N410="","",MIN(F411:N411))</f>
        <v>4254.9599999999991</v>
      </c>
      <c r="Q409" s="68">
        <f>IF((N411=""),"",AVERAGE(F411:N411))</f>
        <v>4507.1666666666679</v>
      </c>
      <c r="R409" s="68">
        <f>IF((N410=""),"",(O409-P409)/(O409+P409)*100)</f>
        <v>6.7210780557902918</v>
      </c>
      <c r="S409" s="181">
        <f>STDEV(F411:N411)</f>
        <v>234.23265858970143</v>
      </c>
      <c r="T409" s="187" t="str">
        <f>IF(N410="","",IF(R409&lt;16,IF(Q409&gt;3200,IF(R409,IF(Q409&lt;5240,"Pass","Fail"),"Fail"),"Fail")))</f>
        <v>Pass</v>
      </c>
      <c r="U409" s="188">
        <v>1335</v>
      </c>
      <c r="V409" s="246"/>
      <c r="W409" s="33"/>
      <c r="X409" s="184">
        <v>4200</v>
      </c>
      <c r="Y409" s="184">
        <v>5500</v>
      </c>
      <c r="Z409" s="184">
        <v>3200</v>
      </c>
      <c r="AA409" s="184">
        <v>5240</v>
      </c>
      <c r="AB409" s="57">
        <v>16</v>
      </c>
    </row>
    <row r="410" spans="1:29" x14ac:dyDescent="0.25">
      <c r="A410" s="272"/>
      <c r="B410" s="47"/>
      <c r="C410" s="24"/>
      <c r="D410" s="24"/>
      <c r="E410" s="88" t="s">
        <v>193</v>
      </c>
      <c r="F410" s="28">
        <v>26097.53</v>
      </c>
      <c r="G410" s="28">
        <v>26232.46</v>
      </c>
      <c r="H410" s="28">
        <v>26265.439999999999</v>
      </c>
      <c r="I410" s="28">
        <v>26187.52</v>
      </c>
      <c r="J410" s="28">
        <v>26007.79</v>
      </c>
      <c r="K410" s="28">
        <v>26090.799999999999</v>
      </c>
      <c r="L410" s="28">
        <v>26223.25</v>
      </c>
      <c r="M410" s="28">
        <v>26190.26</v>
      </c>
      <c r="N410" s="28">
        <v>25975.59</v>
      </c>
      <c r="O410" s="88"/>
      <c r="P410" s="88"/>
      <c r="Q410" s="89"/>
      <c r="R410" s="89"/>
      <c r="S410" s="210"/>
      <c r="T410" s="23"/>
      <c r="U410" s="211"/>
      <c r="V410" s="246"/>
      <c r="W410" s="33"/>
      <c r="X410" s="186"/>
      <c r="Y410" s="186"/>
      <c r="Z410" s="186"/>
      <c r="AA410" s="186"/>
    </row>
    <row r="411" spans="1:29" ht="22.75" thickBot="1" x14ac:dyDescent="0.3">
      <c r="A411" s="272"/>
      <c r="B411" s="47"/>
      <c r="C411" s="24"/>
      <c r="D411" s="24"/>
      <c r="E411" s="88" t="s">
        <v>194</v>
      </c>
      <c r="F411" s="66">
        <f t="shared" ref="F411:N411" si="133">IF(((F409="")*AND(F410="")),"",(F409-F410)*3)</f>
        <v>4653.7200000000048</v>
      </c>
      <c r="G411" s="66">
        <f t="shared" si="133"/>
        <v>4333.5600000000013</v>
      </c>
      <c r="H411" s="66">
        <f t="shared" si="133"/>
        <v>4254.9599999999991</v>
      </c>
      <c r="I411" s="66">
        <f t="shared" si="133"/>
        <v>4364.5800000000017</v>
      </c>
      <c r="J411" s="66">
        <f t="shared" si="133"/>
        <v>4815.6299999999974</v>
      </c>
      <c r="K411" s="66">
        <f t="shared" si="133"/>
        <v>4614.4500000000044</v>
      </c>
      <c r="L411" s="66">
        <f t="shared" si="133"/>
        <v>4288.2299999999996</v>
      </c>
      <c r="M411" s="66">
        <f t="shared" si="133"/>
        <v>4371.2400000000052</v>
      </c>
      <c r="N411" s="66">
        <f t="shared" si="133"/>
        <v>4868.1299999999974</v>
      </c>
      <c r="O411" s="88"/>
      <c r="P411" s="88"/>
      <c r="Q411" s="89"/>
      <c r="R411" s="89"/>
      <c r="S411" s="210"/>
      <c r="T411" s="23"/>
      <c r="U411" s="211"/>
      <c r="V411" s="246"/>
      <c r="W411" s="33"/>
      <c r="X411" s="186"/>
      <c r="Y411" s="186"/>
      <c r="Z411" s="186"/>
      <c r="AA411" s="186"/>
    </row>
    <row r="412" spans="1:29" x14ac:dyDescent="0.25">
      <c r="A412" s="272">
        <v>43296</v>
      </c>
      <c r="B412" s="47" t="s">
        <v>177</v>
      </c>
      <c r="C412" s="24" t="s">
        <v>179</v>
      </c>
      <c r="D412" s="70" t="s">
        <v>178</v>
      </c>
      <c r="E412" s="88" t="s">
        <v>192</v>
      </c>
      <c r="F412" s="28">
        <v>7019.14</v>
      </c>
      <c r="G412" s="28">
        <v>7007.01</v>
      </c>
      <c r="H412" s="28">
        <v>7023.72</v>
      </c>
      <c r="I412" s="28">
        <v>6972.38</v>
      </c>
      <c r="J412" s="28">
        <v>7039.15</v>
      </c>
      <c r="K412" s="28">
        <v>6989.79</v>
      </c>
      <c r="L412" s="28">
        <v>6977.82</v>
      </c>
      <c r="M412" s="28">
        <v>7007.78</v>
      </c>
      <c r="N412" s="28">
        <v>7087.49</v>
      </c>
      <c r="O412" s="88">
        <f>IF((N413=""),"",MAX(F414:N414))</f>
        <v>4040.7999999999993</v>
      </c>
      <c r="P412" s="88">
        <f>IF(N413="","",MIN(F414:N414))</f>
        <v>3692.58</v>
      </c>
      <c r="Q412" s="89">
        <f>IF((N414=""),"",AVERAGE(F414:N414))</f>
        <v>3913.4355555555553</v>
      </c>
      <c r="R412" s="89">
        <f>IF((N413=""),"",(O412-P412)/(O412+P412)*100)</f>
        <v>4.5028176554106922</v>
      </c>
      <c r="S412" s="181">
        <f>STDEV(F414:N414)</f>
        <v>122.37883222917989</v>
      </c>
      <c r="T412" s="23" t="str">
        <f>IF(N413="","",IF(Q412&gt;3650,IF(R412&lt;7,IF(Q412&lt;4450,"Pass","Fail"),"Fail"),"Fail"))</f>
        <v>Pass</v>
      </c>
      <c r="U412" s="211">
        <v>1335</v>
      </c>
      <c r="V412" s="246"/>
      <c r="W412" s="33"/>
      <c r="X412" s="184">
        <v>3650</v>
      </c>
      <c r="Y412" s="184">
        <v>4450</v>
      </c>
      <c r="Z412" s="184">
        <v>3700</v>
      </c>
      <c r="AA412" s="184">
        <v>4100</v>
      </c>
      <c r="AB412" s="57">
        <v>6.5</v>
      </c>
      <c r="AC412" s="57">
        <v>7</v>
      </c>
    </row>
    <row r="413" spans="1:29" x14ac:dyDescent="0.25">
      <c r="A413" s="272"/>
      <c r="B413" s="47"/>
      <c r="C413" s="24"/>
      <c r="D413" s="24"/>
      <c r="E413" s="88" t="s">
        <v>193</v>
      </c>
      <c r="F413" s="28">
        <v>5116.29</v>
      </c>
      <c r="G413" s="28">
        <v>5012.55</v>
      </c>
      <c r="H413" s="28">
        <v>5005.78</v>
      </c>
      <c r="I413" s="28">
        <v>4978.3500000000004</v>
      </c>
      <c r="J413" s="28">
        <v>5139.6099999999997</v>
      </c>
      <c r="K413" s="28">
        <v>5143.5</v>
      </c>
      <c r="L413" s="28">
        <v>4991.16</v>
      </c>
      <c r="M413" s="28">
        <v>4987.38</v>
      </c>
      <c r="N413" s="28">
        <v>5139.2</v>
      </c>
      <c r="O413" s="88"/>
      <c r="P413" s="88"/>
      <c r="Q413" s="89"/>
      <c r="R413" s="89"/>
      <c r="S413" s="210"/>
      <c r="T413" s="23"/>
      <c r="U413" s="211"/>
      <c r="V413" s="246"/>
      <c r="W413" s="33"/>
      <c r="X413" s="186"/>
      <c r="Y413" s="186"/>
      <c r="Z413" s="186"/>
      <c r="AA413" s="186"/>
    </row>
    <row r="414" spans="1:29" ht="22.15" x14ac:dyDescent="0.25">
      <c r="A414" s="272"/>
      <c r="B414" s="47"/>
      <c r="C414" s="24"/>
      <c r="D414" s="24"/>
      <c r="E414" s="88" t="s">
        <v>194</v>
      </c>
      <c r="F414" s="66">
        <f t="shared" ref="F414:N414" si="134">IF(((F412="")*AND(F413="")),"",(F412-F413)*2)</f>
        <v>3805.7000000000007</v>
      </c>
      <c r="G414" s="66">
        <f t="shared" si="134"/>
        <v>3988.92</v>
      </c>
      <c r="H414" s="66">
        <f t="shared" si="134"/>
        <v>4035.880000000001</v>
      </c>
      <c r="I414" s="66">
        <f t="shared" si="134"/>
        <v>3988.0599999999995</v>
      </c>
      <c r="J414" s="66">
        <f t="shared" si="134"/>
        <v>3799.08</v>
      </c>
      <c r="K414" s="66">
        <f t="shared" si="134"/>
        <v>3692.58</v>
      </c>
      <c r="L414" s="66">
        <f t="shared" si="134"/>
        <v>3973.3199999999997</v>
      </c>
      <c r="M414" s="66">
        <f t="shared" si="134"/>
        <v>4040.7999999999993</v>
      </c>
      <c r="N414" s="66">
        <f t="shared" si="134"/>
        <v>3896.58</v>
      </c>
      <c r="O414" s="88"/>
      <c r="P414" s="88"/>
      <c r="Q414" s="89"/>
      <c r="R414" s="89"/>
      <c r="S414" s="210"/>
      <c r="T414" s="23"/>
      <c r="U414" s="211"/>
      <c r="V414" s="246"/>
      <c r="W414" s="33"/>
      <c r="X414" s="186"/>
      <c r="Y414" s="186"/>
      <c r="Z414" s="186"/>
      <c r="AA414" s="186"/>
    </row>
    <row r="415" spans="1:29" x14ac:dyDescent="0.25">
      <c r="A415" s="272">
        <v>43296</v>
      </c>
      <c r="B415" s="24" t="s">
        <v>172</v>
      </c>
      <c r="C415" s="24" t="s">
        <v>174</v>
      </c>
      <c r="D415" s="24" t="s">
        <v>195</v>
      </c>
      <c r="E415" s="88" t="s">
        <v>192</v>
      </c>
      <c r="F415" s="28">
        <v>1927.67</v>
      </c>
      <c r="G415" s="28">
        <v>1928.82</v>
      </c>
      <c r="H415" s="28">
        <v>1928.65</v>
      </c>
      <c r="I415" s="28">
        <v>1931.15</v>
      </c>
      <c r="J415" s="28">
        <v>1931.27</v>
      </c>
      <c r="K415" s="28">
        <v>1925.44</v>
      </c>
      <c r="L415" s="28">
        <v>1929.72</v>
      </c>
      <c r="M415" s="28">
        <v>1927.81</v>
      </c>
      <c r="N415" s="28">
        <v>1926.27</v>
      </c>
      <c r="O415" s="88">
        <f>IF((N416=""),"",MAX(F417:N417))</f>
        <v>2028.5399999999995</v>
      </c>
      <c r="P415" s="88">
        <f>IF(N416="","",MIN(F417:N417))</f>
        <v>1996.8899999999996</v>
      </c>
      <c r="Q415" s="89">
        <f>IF((N417=""),"",AVERAGE(F417:N417))</f>
        <v>2016.7833333333333</v>
      </c>
      <c r="R415" s="89">
        <f>IF((N416=""),"",(O415-P415)/(O415+P415)*100)</f>
        <v>0.78625140668201576</v>
      </c>
      <c r="S415" s="181">
        <f>STDEV(F417:N417)</f>
        <v>11.2194329179331</v>
      </c>
      <c r="T415" s="23" t="str">
        <f>IF(N416="","",IF(Q415&gt;1940,IF(R415&lt;8.3,IF(Q415&lt;2180,"Pass","Fail"),"Fail"),"Fail"))</f>
        <v>Pass</v>
      </c>
      <c r="U415" s="211">
        <v>1335</v>
      </c>
      <c r="V415" s="246"/>
      <c r="W415" s="33"/>
      <c r="X415" s="184">
        <v>2000</v>
      </c>
      <c r="Y415" s="184">
        <v>3000</v>
      </c>
      <c r="Z415" s="184">
        <v>1940</v>
      </c>
      <c r="AA415" s="184">
        <v>2180</v>
      </c>
      <c r="AB415" s="57">
        <v>5.2</v>
      </c>
    </row>
    <row r="416" spans="1:29" x14ac:dyDescent="0.25">
      <c r="A416" s="272"/>
      <c r="B416" s="47"/>
      <c r="C416" s="24"/>
      <c r="D416" s="24"/>
      <c r="E416" s="88" t="s">
        <v>193</v>
      </c>
      <c r="F416" s="28">
        <v>1251.57</v>
      </c>
      <c r="G416" s="28">
        <v>1252.6400000000001</v>
      </c>
      <c r="H416" s="28">
        <v>1255</v>
      </c>
      <c r="I416" s="28">
        <v>1257.29</v>
      </c>
      <c r="J416" s="28">
        <v>1265.6400000000001</v>
      </c>
      <c r="K416" s="28">
        <v>1257.28</v>
      </c>
      <c r="L416" s="28">
        <v>1258.96</v>
      </c>
      <c r="M416" s="28">
        <v>1252.24</v>
      </c>
      <c r="N416" s="28">
        <v>1255.83</v>
      </c>
      <c r="O416" s="88"/>
      <c r="P416" s="88"/>
      <c r="Q416" s="89"/>
      <c r="R416" s="89"/>
      <c r="S416" s="210"/>
      <c r="T416" s="23"/>
      <c r="U416" s="211"/>
      <c r="V416" s="246"/>
      <c r="W416" s="33"/>
      <c r="X416" s="186"/>
      <c r="Y416" s="186"/>
      <c r="Z416" s="186"/>
      <c r="AA416" s="186"/>
    </row>
    <row r="417" spans="1:29" ht="38.25" customHeight="1" thickBot="1" x14ac:dyDescent="0.3">
      <c r="A417" s="279"/>
      <c r="B417" s="90"/>
      <c r="C417" s="91"/>
      <c r="D417" s="91"/>
      <c r="E417" s="92" t="s">
        <v>196</v>
      </c>
      <c r="F417" s="79">
        <f t="shared" ref="F417:N417" si="135">IF(((F415="")*AND(F416="")),"",(F415-F416)*3)</f>
        <v>2028.3000000000004</v>
      </c>
      <c r="G417" s="79">
        <f t="shared" si="135"/>
        <v>2028.5399999999995</v>
      </c>
      <c r="H417" s="79">
        <f t="shared" si="135"/>
        <v>2020.9500000000003</v>
      </c>
      <c r="I417" s="79">
        <f t="shared" si="135"/>
        <v>2021.5800000000004</v>
      </c>
      <c r="J417" s="79">
        <f t="shared" si="135"/>
        <v>1996.8899999999996</v>
      </c>
      <c r="K417" s="79">
        <f t="shared" si="135"/>
        <v>2004.4800000000002</v>
      </c>
      <c r="L417" s="79">
        <f t="shared" si="135"/>
        <v>2012.28</v>
      </c>
      <c r="M417" s="79">
        <f t="shared" si="135"/>
        <v>2026.7099999999998</v>
      </c>
      <c r="N417" s="79">
        <f t="shared" si="135"/>
        <v>2011.3200000000002</v>
      </c>
      <c r="O417" s="92"/>
      <c r="P417" s="92"/>
      <c r="Q417" s="93"/>
      <c r="R417" s="93"/>
      <c r="S417" s="213"/>
      <c r="T417" s="214"/>
      <c r="U417" s="215"/>
      <c r="V417" s="246"/>
      <c r="W417" s="33"/>
      <c r="X417" s="186"/>
      <c r="Y417" s="186"/>
      <c r="Z417" s="186"/>
      <c r="AA417" s="186"/>
    </row>
    <row r="418" spans="1:29" x14ac:dyDescent="0.25">
      <c r="A418" s="271">
        <v>43300</v>
      </c>
      <c r="B418" s="63" t="s">
        <v>191</v>
      </c>
      <c r="C418" s="65" t="s">
        <v>176</v>
      </c>
      <c r="D418" s="65" t="s">
        <v>175</v>
      </c>
      <c r="E418" s="67" t="s">
        <v>192</v>
      </c>
      <c r="F418" s="175">
        <v>26097.53</v>
      </c>
      <c r="G418" s="175">
        <v>26232.46</v>
      </c>
      <c r="H418" s="175">
        <v>26265.439999999999</v>
      </c>
      <c r="I418" s="175">
        <v>26187.52</v>
      </c>
      <c r="J418" s="175">
        <v>26007.79</v>
      </c>
      <c r="K418" s="175">
        <v>26090.799999999999</v>
      </c>
      <c r="L418" s="175">
        <v>26223.25</v>
      </c>
      <c r="M418" s="175">
        <v>26190.26</v>
      </c>
      <c r="N418" s="175">
        <v>25975.59</v>
      </c>
      <c r="O418" s="67">
        <f>IF((N419=""),"",MAX(F420:N420))</f>
        <v>4907.8799999999974</v>
      </c>
      <c r="P418" s="67">
        <f>IF(N419="","",MIN(F420:N420))</f>
        <v>4352.1599999999926</v>
      </c>
      <c r="Q418" s="68">
        <f>IF((N420=""),"",AVERAGE(F420:N420))</f>
        <v>4632.2799999999988</v>
      </c>
      <c r="R418" s="68">
        <f>IF((N419=""),"",(O418-P418)/(O418+P418)*100)</f>
        <v>6.0012699729159422</v>
      </c>
      <c r="S418" s="181">
        <f>STDEV(F420:N420)</f>
        <v>239.6977316851407</v>
      </c>
      <c r="T418" s="187" t="str">
        <f>IF(N419="","",IF(R418&lt;16,IF(Q418&gt;3200,IF(R418,IF(Q418&lt;5240,"Pass","Fail"),"Fail"),"Fail")))</f>
        <v>Pass</v>
      </c>
      <c r="U418" s="188">
        <v>1340</v>
      </c>
      <c r="V418" s="33" t="s">
        <v>206</v>
      </c>
      <c r="X418" s="184">
        <v>4200</v>
      </c>
      <c r="Y418" s="184">
        <v>5500</v>
      </c>
      <c r="Z418" s="184">
        <v>3200</v>
      </c>
      <c r="AA418" s="184">
        <v>5240</v>
      </c>
      <c r="AB418" s="57">
        <v>16</v>
      </c>
    </row>
    <row r="419" spans="1:29" x14ac:dyDescent="0.25">
      <c r="A419" s="272"/>
      <c r="B419" s="47"/>
      <c r="C419" s="24"/>
      <c r="D419" s="24"/>
      <c r="E419" s="88" t="s">
        <v>193</v>
      </c>
      <c r="F419" s="28">
        <v>24461.57</v>
      </c>
      <c r="G419" s="28">
        <v>24741.42</v>
      </c>
      <c r="H419" s="28">
        <v>24814.720000000001</v>
      </c>
      <c r="I419" s="28">
        <v>24709.56</v>
      </c>
      <c r="J419" s="28">
        <v>24387.67</v>
      </c>
      <c r="K419" s="28">
        <v>24462.87</v>
      </c>
      <c r="L419" s="28">
        <v>24738.31</v>
      </c>
      <c r="M419" s="28">
        <v>24707.65</v>
      </c>
      <c r="N419" s="28">
        <v>24350.03</v>
      </c>
      <c r="O419" s="88"/>
      <c r="P419" s="88"/>
      <c r="Q419" s="89"/>
      <c r="R419" s="89"/>
      <c r="S419" s="210"/>
      <c r="T419" s="23"/>
      <c r="U419" s="211"/>
      <c r="V419" s="33"/>
      <c r="X419" s="186"/>
      <c r="Y419" s="186"/>
      <c r="Z419" s="186"/>
      <c r="AA419" s="186"/>
    </row>
    <row r="420" spans="1:29" ht="22.75" thickBot="1" x14ac:dyDescent="0.3">
      <c r="A420" s="272"/>
      <c r="B420" s="47"/>
      <c r="C420" s="24"/>
      <c r="D420" s="24"/>
      <c r="E420" s="88" t="s">
        <v>194</v>
      </c>
      <c r="F420" s="66">
        <f t="shared" ref="F420:N420" si="136">IF(((F418="")*AND(F419="")),"",(F418-F419)*3)</f>
        <v>4907.8799999999974</v>
      </c>
      <c r="G420" s="66">
        <f t="shared" si="136"/>
        <v>4473.1200000000026</v>
      </c>
      <c r="H420" s="66">
        <f t="shared" si="136"/>
        <v>4352.1599999999926</v>
      </c>
      <c r="I420" s="66">
        <f t="shared" si="136"/>
        <v>4433.8799999999974</v>
      </c>
      <c r="J420" s="66">
        <f t="shared" si="136"/>
        <v>4860.3600000000079</v>
      </c>
      <c r="K420" s="66">
        <f t="shared" si="136"/>
        <v>4883.7900000000009</v>
      </c>
      <c r="L420" s="66">
        <f t="shared" si="136"/>
        <v>4454.8199999999961</v>
      </c>
      <c r="M420" s="66">
        <f t="shared" si="136"/>
        <v>4447.8299999999908</v>
      </c>
      <c r="N420" s="66">
        <f t="shared" si="136"/>
        <v>4876.6800000000039</v>
      </c>
      <c r="O420" s="88"/>
      <c r="P420" s="88"/>
      <c r="Q420" s="89"/>
      <c r="R420" s="89"/>
      <c r="S420" s="210"/>
      <c r="T420" s="23"/>
      <c r="U420" s="211"/>
      <c r="V420" s="33"/>
      <c r="X420" s="186"/>
      <c r="Y420" s="186"/>
      <c r="Z420" s="186"/>
      <c r="AA420" s="186"/>
    </row>
    <row r="421" spans="1:29" x14ac:dyDescent="0.25">
      <c r="A421" s="272">
        <v>43300</v>
      </c>
      <c r="B421" s="47" t="s">
        <v>177</v>
      </c>
      <c r="C421" s="24" t="s">
        <v>179</v>
      </c>
      <c r="D421" s="70" t="s">
        <v>178</v>
      </c>
      <c r="E421" s="88" t="s">
        <v>192</v>
      </c>
      <c r="F421" s="28">
        <v>5116.29</v>
      </c>
      <c r="G421" s="28">
        <v>5012.55</v>
      </c>
      <c r="H421" s="28">
        <v>5005.78</v>
      </c>
      <c r="I421" s="28">
        <v>4978.3500000000004</v>
      </c>
      <c r="J421" s="28">
        <v>5139.6099999999997</v>
      </c>
      <c r="K421" s="28">
        <v>5143.5</v>
      </c>
      <c r="L421" s="28">
        <v>4991.16</v>
      </c>
      <c r="M421" s="28">
        <v>4987.38</v>
      </c>
      <c r="N421" s="28">
        <v>5139.2</v>
      </c>
      <c r="O421" s="88">
        <f>IF((N422=""),"",MAX(F423:N423))</f>
        <v>4029.9400000000005</v>
      </c>
      <c r="P421" s="88">
        <f>IF(N422="","",MIN(F423:N423))</f>
        <v>3667.5600000000004</v>
      </c>
      <c r="Q421" s="89">
        <f>IF((N423=""),"",AVERAGE(F423:N423))</f>
        <v>3893.6244444444446</v>
      </c>
      <c r="R421" s="89">
        <f>IF((N422=""),"",(O421-P421)/(O421+P421)*100)</f>
        <v>4.7077622604741807</v>
      </c>
      <c r="S421" s="181">
        <f>STDEV(F423:N423)</f>
        <v>124.95314272869574</v>
      </c>
      <c r="T421" s="23" t="str">
        <f>IF(N422="","",IF(Q421&gt;3650,IF(R421&lt;7,IF(Q421&lt;4450,"Pass","Fail"),"Fail"),"Fail"))</f>
        <v>Pass</v>
      </c>
      <c r="U421" s="211">
        <v>1340</v>
      </c>
      <c r="V421" s="33" t="s">
        <v>206</v>
      </c>
      <c r="X421" s="184">
        <v>3650</v>
      </c>
      <c r="Y421" s="184">
        <v>4450</v>
      </c>
      <c r="Z421" s="184">
        <v>3700</v>
      </c>
      <c r="AA421" s="184">
        <v>4100</v>
      </c>
      <c r="AB421" s="57">
        <v>6.5</v>
      </c>
      <c r="AC421" s="57">
        <v>7</v>
      </c>
    </row>
    <row r="422" spans="1:29" x14ac:dyDescent="0.25">
      <c r="A422" s="272"/>
      <c r="B422" s="47"/>
      <c r="C422" s="24"/>
      <c r="D422" s="24"/>
      <c r="E422" s="88" t="s">
        <v>193</v>
      </c>
      <c r="F422" s="28">
        <v>3225.39</v>
      </c>
      <c r="G422" s="28">
        <v>3027.47</v>
      </c>
      <c r="H422" s="28">
        <v>2997.41</v>
      </c>
      <c r="I422" s="28">
        <v>2993.22</v>
      </c>
      <c r="J422" s="28">
        <v>3248.75</v>
      </c>
      <c r="K422" s="28">
        <v>3309.72</v>
      </c>
      <c r="L422" s="28">
        <v>3016.98</v>
      </c>
      <c r="M422" s="28">
        <v>2972.41</v>
      </c>
      <c r="N422" s="28">
        <v>3201.16</v>
      </c>
      <c r="O422" s="88"/>
      <c r="P422" s="88"/>
      <c r="Q422" s="89"/>
      <c r="R422" s="89"/>
      <c r="S422" s="210"/>
      <c r="T422" s="23"/>
      <c r="U422" s="211"/>
      <c r="V422" s="33"/>
      <c r="X422" s="186"/>
      <c r="Y422" s="186"/>
      <c r="Z422" s="186"/>
      <c r="AA422" s="186"/>
    </row>
    <row r="423" spans="1:29" ht="22.15" x14ac:dyDescent="0.25">
      <c r="A423" s="272"/>
      <c r="B423" s="47"/>
      <c r="C423" s="24"/>
      <c r="D423" s="24"/>
      <c r="E423" s="88" t="s">
        <v>194</v>
      </c>
      <c r="F423" s="66">
        <f t="shared" ref="F423:N423" si="137">IF(((F421="")*AND(F422="")),"",(F421-F422)*2)</f>
        <v>3781.8</v>
      </c>
      <c r="G423" s="66">
        <f t="shared" si="137"/>
        <v>3970.1600000000008</v>
      </c>
      <c r="H423" s="66">
        <f t="shared" si="137"/>
        <v>4016.74</v>
      </c>
      <c r="I423" s="66">
        <f t="shared" si="137"/>
        <v>3970.2600000000011</v>
      </c>
      <c r="J423" s="66">
        <f t="shared" si="137"/>
        <v>3781.7199999999993</v>
      </c>
      <c r="K423" s="66">
        <f t="shared" si="137"/>
        <v>3667.5600000000004</v>
      </c>
      <c r="L423" s="66">
        <f t="shared" si="137"/>
        <v>3948.3599999999997</v>
      </c>
      <c r="M423" s="66">
        <f t="shared" si="137"/>
        <v>4029.9400000000005</v>
      </c>
      <c r="N423" s="66">
        <f t="shared" si="137"/>
        <v>3876.08</v>
      </c>
      <c r="O423" s="88"/>
      <c r="P423" s="88"/>
      <c r="Q423" s="89"/>
      <c r="R423" s="89"/>
      <c r="S423" s="210"/>
      <c r="T423" s="23"/>
      <c r="U423" s="211"/>
      <c r="V423" s="33"/>
      <c r="X423" s="186"/>
      <c r="Y423" s="186"/>
      <c r="Z423" s="186"/>
      <c r="AA423" s="186"/>
    </row>
    <row r="424" spans="1:29" x14ac:dyDescent="0.25">
      <c r="A424" s="272">
        <v>43300</v>
      </c>
      <c r="B424" s="24" t="s">
        <v>172</v>
      </c>
      <c r="C424" s="24" t="s">
        <v>174</v>
      </c>
      <c r="D424" s="24" t="s">
        <v>195</v>
      </c>
      <c r="E424" s="88" t="s">
        <v>192</v>
      </c>
      <c r="F424" s="28">
        <v>1251.57</v>
      </c>
      <c r="G424" s="28">
        <v>1252.6400000000001</v>
      </c>
      <c r="H424" s="28">
        <v>1255</v>
      </c>
      <c r="I424" s="28">
        <v>1257.29</v>
      </c>
      <c r="J424" s="28">
        <v>1265.6400000000001</v>
      </c>
      <c r="K424" s="28">
        <v>1257.28</v>
      </c>
      <c r="L424" s="28">
        <v>1258.96</v>
      </c>
      <c r="M424" s="28">
        <v>1252.24</v>
      </c>
      <c r="N424" s="28">
        <v>1255.83</v>
      </c>
      <c r="O424" s="88">
        <f>IF((N425=""),"",MAX(F426:N426))</f>
        <v>2063.16</v>
      </c>
      <c r="P424" s="88">
        <f>IF(N425="","",MIN(F426:N426))</f>
        <v>1993.9500000000003</v>
      </c>
      <c r="Q424" s="89">
        <f>IF((N426=""),"",AVERAGE(F426:N426))</f>
        <v>2032.5033333333331</v>
      </c>
      <c r="R424" s="89">
        <f>IF((N425=""),"",(O424-P424)/(O424+P424)*100)</f>
        <v>1.7058940970296488</v>
      </c>
      <c r="S424" s="181">
        <f>STDEV(F426:N426)</f>
        <v>24.414523853640819</v>
      </c>
      <c r="T424" s="23" t="str">
        <f>IF(N425="","",IF(Q424&gt;1940,IF(R424&lt;8.3,IF(Q424&lt;2180,"Pass","Fail"),"Fail"),"Fail"))</f>
        <v>Pass</v>
      </c>
      <c r="U424" s="211">
        <v>1340</v>
      </c>
      <c r="V424" s="33" t="s">
        <v>206</v>
      </c>
      <c r="X424" s="184">
        <v>2000</v>
      </c>
      <c r="Y424" s="184">
        <v>3000</v>
      </c>
      <c r="Z424" s="184">
        <v>1940</v>
      </c>
      <c r="AA424" s="184">
        <v>2180</v>
      </c>
      <c r="AB424" s="57">
        <v>5.2</v>
      </c>
    </row>
    <row r="425" spans="1:29" x14ac:dyDescent="0.25">
      <c r="A425" s="272"/>
      <c r="B425" s="47"/>
      <c r="C425" s="24"/>
      <c r="D425" s="24"/>
      <c r="E425" s="88" t="s">
        <v>193</v>
      </c>
      <c r="F425" s="28">
        <v>576.54</v>
      </c>
      <c r="G425" s="28">
        <v>568.9</v>
      </c>
      <c r="H425" s="28">
        <v>567.70000000000005</v>
      </c>
      <c r="I425" s="28">
        <v>577.80999999999995</v>
      </c>
      <c r="J425" s="28">
        <v>600.99</v>
      </c>
      <c r="K425" s="28">
        <v>587.62</v>
      </c>
      <c r="L425" s="28">
        <v>579.47</v>
      </c>
      <c r="M425" s="28">
        <v>564.52</v>
      </c>
      <c r="N425" s="28">
        <v>585.39</v>
      </c>
      <c r="O425" s="88"/>
      <c r="P425" s="88"/>
      <c r="Q425" s="89"/>
      <c r="R425" s="89"/>
      <c r="S425" s="210"/>
      <c r="T425" s="23"/>
      <c r="U425" s="211"/>
      <c r="V425" s="33"/>
      <c r="X425" s="186"/>
      <c r="Y425" s="186"/>
      <c r="Z425" s="186"/>
      <c r="AA425" s="186"/>
    </row>
    <row r="426" spans="1:29" ht="38.25" customHeight="1" thickBot="1" x14ac:dyDescent="0.3">
      <c r="A426" s="279"/>
      <c r="B426" s="90"/>
      <c r="C426" s="91"/>
      <c r="D426" s="91"/>
      <c r="E426" s="92" t="s">
        <v>196</v>
      </c>
      <c r="F426" s="79">
        <f t="shared" ref="F426:N426" si="138">IF(((F424="")*AND(F425="")),"",(F424-F425)*3)</f>
        <v>2025.09</v>
      </c>
      <c r="G426" s="79">
        <f t="shared" si="138"/>
        <v>2051.2200000000003</v>
      </c>
      <c r="H426" s="79">
        <f t="shared" si="138"/>
        <v>2061.8999999999996</v>
      </c>
      <c r="I426" s="79">
        <f t="shared" si="138"/>
        <v>2038.44</v>
      </c>
      <c r="J426" s="79">
        <f t="shared" si="138"/>
        <v>1993.9500000000003</v>
      </c>
      <c r="K426" s="79">
        <f t="shared" si="138"/>
        <v>2008.98</v>
      </c>
      <c r="L426" s="79">
        <f t="shared" si="138"/>
        <v>2038.47</v>
      </c>
      <c r="M426" s="79">
        <f t="shared" si="138"/>
        <v>2063.16</v>
      </c>
      <c r="N426" s="79">
        <f t="shared" si="138"/>
        <v>2011.3199999999997</v>
      </c>
      <c r="O426" s="92"/>
      <c r="P426" s="92"/>
      <c r="Q426" s="93"/>
      <c r="R426" s="93"/>
      <c r="S426" s="213"/>
      <c r="T426" s="214"/>
      <c r="U426" s="215"/>
      <c r="V426" s="33"/>
      <c r="X426" s="186"/>
      <c r="Y426" s="186"/>
      <c r="Z426" s="186"/>
      <c r="AA426" s="186"/>
    </row>
    <row r="427" spans="1:29" x14ac:dyDescent="0.25">
      <c r="A427" s="271">
        <v>43303</v>
      </c>
      <c r="B427" s="63" t="s">
        <v>191</v>
      </c>
      <c r="C427" s="65" t="s">
        <v>176</v>
      </c>
      <c r="D427" s="65" t="s">
        <v>175</v>
      </c>
      <c r="E427" s="67" t="s">
        <v>192</v>
      </c>
      <c r="F427" s="175">
        <v>24402.95</v>
      </c>
      <c r="G427" s="175">
        <v>24687.21</v>
      </c>
      <c r="H427" s="175">
        <v>24754.78</v>
      </c>
      <c r="I427" s="175">
        <v>24660</v>
      </c>
      <c r="J427" s="175">
        <v>24331.75</v>
      </c>
      <c r="K427" s="175">
        <v>24414.6</v>
      </c>
      <c r="L427" s="175">
        <v>24681.42</v>
      </c>
      <c r="M427" s="175">
        <v>24643.29</v>
      </c>
      <c r="N427" s="175">
        <v>24284.78</v>
      </c>
      <c r="O427" s="67">
        <f>IF((N428=""),"",MAX(F429:N429))</f>
        <v>4724.9699999999939</v>
      </c>
      <c r="P427" s="67">
        <f>IF(N428="","",MIN(F429:N429))</f>
        <v>4151.7599999999948</v>
      </c>
      <c r="Q427" s="68">
        <f>IF((N429=""),"",AVERAGE(F429:N429))</f>
        <v>4405.1566666666631</v>
      </c>
      <c r="R427" s="68">
        <f>IF((N428=""),"",(O427-P427)/(O427+P427)*100)</f>
        <v>6.4574454782335362</v>
      </c>
      <c r="S427" s="181">
        <f>STDEV(F429:N429)</f>
        <v>234.3638397876264</v>
      </c>
      <c r="T427" s="187" t="s">
        <v>207</v>
      </c>
      <c r="U427" s="188">
        <v>1335</v>
      </c>
      <c r="V427" s="246"/>
      <c r="W427" s="33"/>
      <c r="X427" s="184">
        <v>4200</v>
      </c>
      <c r="Y427" s="184">
        <v>5500</v>
      </c>
      <c r="Z427" s="184">
        <v>3200</v>
      </c>
      <c r="AA427" s="184">
        <v>5240</v>
      </c>
      <c r="AB427" s="57">
        <v>16</v>
      </c>
    </row>
    <row r="428" spans="1:29" x14ac:dyDescent="0.25">
      <c r="A428" s="272"/>
      <c r="B428" s="47"/>
      <c r="C428" s="24"/>
      <c r="D428" s="24"/>
      <c r="E428" s="88" t="s">
        <v>193</v>
      </c>
      <c r="F428" s="28">
        <v>22848.59</v>
      </c>
      <c r="G428" s="28">
        <v>23270.04</v>
      </c>
      <c r="H428" s="28">
        <v>23370.86</v>
      </c>
      <c r="I428" s="28">
        <v>23255.55</v>
      </c>
      <c r="J428" s="28">
        <v>22785.18</v>
      </c>
      <c r="K428" s="28">
        <v>22896.45</v>
      </c>
      <c r="L428" s="28">
        <v>23286.2</v>
      </c>
      <c r="M428" s="28">
        <v>23222.65</v>
      </c>
      <c r="N428" s="28">
        <v>22709.79</v>
      </c>
      <c r="O428" s="88"/>
      <c r="P428" s="88"/>
      <c r="Q428" s="89"/>
      <c r="R428" s="89"/>
      <c r="S428" s="210"/>
      <c r="T428" s="23"/>
      <c r="U428" s="211"/>
      <c r="V428" s="246"/>
      <c r="W428" s="33"/>
      <c r="X428" s="186"/>
      <c r="Y428" s="186"/>
      <c r="Z428" s="186"/>
      <c r="AA428" s="186"/>
    </row>
    <row r="429" spans="1:29" ht="22.75" thickBot="1" x14ac:dyDescent="0.3">
      <c r="A429" s="272"/>
      <c r="B429" s="47"/>
      <c r="C429" s="24"/>
      <c r="D429" s="24"/>
      <c r="E429" s="88" t="s">
        <v>194</v>
      </c>
      <c r="F429" s="66">
        <f t="shared" ref="F429:N429" si="139">IF(((F427="")*AND(F428="")),"",(F427-F428)*3)</f>
        <v>4663.0800000000017</v>
      </c>
      <c r="G429" s="66">
        <f t="shared" si="139"/>
        <v>4251.5099999999948</v>
      </c>
      <c r="H429" s="66">
        <f t="shared" si="139"/>
        <v>4151.7599999999948</v>
      </c>
      <c r="I429" s="66">
        <f t="shared" si="139"/>
        <v>4213.3500000000022</v>
      </c>
      <c r="J429" s="66">
        <f t="shared" si="139"/>
        <v>4639.7099999999991</v>
      </c>
      <c r="K429" s="66">
        <f t="shared" si="139"/>
        <v>4554.4499999999935</v>
      </c>
      <c r="L429" s="66">
        <f t="shared" si="139"/>
        <v>4185.6599999999926</v>
      </c>
      <c r="M429" s="66">
        <f t="shared" si="139"/>
        <v>4261.9199999999983</v>
      </c>
      <c r="N429" s="66">
        <f t="shared" si="139"/>
        <v>4724.9699999999939</v>
      </c>
      <c r="O429" s="88"/>
      <c r="P429" s="88"/>
      <c r="Q429" s="89"/>
      <c r="R429" s="89"/>
      <c r="S429" s="210"/>
      <c r="T429" s="23"/>
      <c r="U429" s="211"/>
      <c r="V429" s="246"/>
      <c r="W429" s="33"/>
      <c r="X429" s="186"/>
      <c r="Y429" s="186"/>
      <c r="Z429" s="186"/>
      <c r="AA429" s="186"/>
    </row>
    <row r="430" spans="1:29" x14ac:dyDescent="0.25">
      <c r="A430" s="272">
        <v>43303</v>
      </c>
      <c r="B430" s="47" t="s">
        <v>177</v>
      </c>
      <c r="C430" s="24" t="s">
        <v>179</v>
      </c>
      <c r="D430" s="70" t="s">
        <v>178</v>
      </c>
      <c r="E430" s="88" t="s">
        <v>192</v>
      </c>
      <c r="F430" s="28">
        <v>6881.74</v>
      </c>
      <c r="G430" s="28">
        <v>6882.58</v>
      </c>
      <c r="H430" s="28">
        <v>6908.7</v>
      </c>
      <c r="I430" s="28">
        <v>6850.94</v>
      </c>
      <c r="J430" s="28">
        <v>6901.1</v>
      </c>
      <c r="K430" s="28">
        <v>6848.49</v>
      </c>
      <c r="L430" s="28">
        <v>6855.21</v>
      </c>
      <c r="M430" s="28">
        <v>6891</v>
      </c>
      <c r="N430" s="28">
        <v>6955.99</v>
      </c>
      <c r="O430" s="88">
        <f>IF((N431=""),"",MAX(F432:N432))</f>
        <v>4007.6200000000008</v>
      </c>
      <c r="P430" s="88">
        <f>IF(N431="","",MIN(F432:N432))</f>
        <v>3649.3199999999997</v>
      </c>
      <c r="Q430" s="89">
        <f>IF((N432=""),"",AVERAGE(F432:N432))</f>
        <v>3880.3199999999997</v>
      </c>
      <c r="R430" s="89">
        <f>IF((N431=""),"",(O430-P430)/(O430+P430)*100)</f>
        <v>4.6794150143530064</v>
      </c>
      <c r="S430" s="181">
        <f>STDEV(F432:N432)</f>
        <v>123.55814946817542</v>
      </c>
      <c r="T430" s="23" t="s">
        <v>208</v>
      </c>
      <c r="U430" s="211">
        <v>1335</v>
      </c>
      <c r="V430" s="246"/>
      <c r="W430" s="33"/>
      <c r="X430" s="184">
        <v>3650</v>
      </c>
      <c r="Y430" s="184">
        <v>4450</v>
      </c>
      <c r="Z430" s="184">
        <v>3700</v>
      </c>
      <c r="AA430" s="184">
        <v>4100</v>
      </c>
      <c r="AB430" s="57">
        <v>6.5</v>
      </c>
      <c r="AC430" s="57">
        <v>7</v>
      </c>
    </row>
    <row r="431" spans="1:29" x14ac:dyDescent="0.25">
      <c r="A431" s="272"/>
      <c r="B431" s="47"/>
      <c r="C431" s="24"/>
      <c r="D431" s="24"/>
      <c r="E431" s="88" t="s">
        <v>193</v>
      </c>
      <c r="F431" s="28">
        <v>4985</v>
      </c>
      <c r="G431" s="28">
        <v>4899.9399999999996</v>
      </c>
      <c r="H431" s="28">
        <v>4907.63</v>
      </c>
      <c r="I431" s="28">
        <v>4879.01</v>
      </c>
      <c r="J431" s="28">
        <v>5024.1899999999996</v>
      </c>
      <c r="K431" s="28">
        <v>5023.83</v>
      </c>
      <c r="L431" s="28">
        <v>4888.22</v>
      </c>
      <c r="M431" s="28">
        <v>4887.1899999999996</v>
      </c>
      <c r="N431" s="28">
        <v>5019.3</v>
      </c>
      <c r="O431" s="88"/>
      <c r="P431" s="88"/>
      <c r="Q431" s="89"/>
      <c r="R431" s="89"/>
      <c r="S431" s="210"/>
      <c r="T431" s="23"/>
      <c r="U431" s="211"/>
      <c r="V431" s="246"/>
      <c r="W431" s="33"/>
      <c r="X431" s="186"/>
      <c r="Y431" s="186"/>
      <c r="Z431" s="186"/>
      <c r="AA431" s="186"/>
    </row>
    <row r="432" spans="1:29" ht="22.15" x14ac:dyDescent="0.25">
      <c r="A432" s="272"/>
      <c r="B432" s="47"/>
      <c r="C432" s="24"/>
      <c r="D432" s="24"/>
      <c r="E432" s="88" t="s">
        <v>194</v>
      </c>
      <c r="F432" s="66">
        <f t="shared" ref="F432:N432" si="140">IF(((F430="")*AND(F431="")),"",(F430-F431)*2)</f>
        <v>3793.4799999999996</v>
      </c>
      <c r="G432" s="66">
        <f t="shared" si="140"/>
        <v>3965.2800000000007</v>
      </c>
      <c r="H432" s="66">
        <f t="shared" si="140"/>
        <v>4002.1399999999994</v>
      </c>
      <c r="I432" s="66">
        <f t="shared" si="140"/>
        <v>3943.8599999999988</v>
      </c>
      <c r="J432" s="66">
        <f t="shared" si="140"/>
        <v>3753.8200000000015</v>
      </c>
      <c r="K432" s="66">
        <f t="shared" si="140"/>
        <v>3649.3199999999997</v>
      </c>
      <c r="L432" s="66">
        <f t="shared" si="140"/>
        <v>3933.9799999999996</v>
      </c>
      <c r="M432" s="66">
        <f t="shared" si="140"/>
        <v>4007.6200000000008</v>
      </c>
      <c r="N432" s="66">
        <f t="shared" si="140"/>
        <v>3873.3799999999992</v>
      </c>
      <c r="O432" s="88"/>
      <c r="P432" s="88"/>
      <c r="Q432" s="89"/>
      <c r="R432" s="89"/>
      <c r="S432" s="210"/>
      <c r="T432" s="23"/>
      <c r="U432" s="211"/>
      <c r="V432" s="246"/>
      <c r="W432" s="33"/>
      <c r="X432" s="186"/>
      <c r="Y432" s="186"/>
      <c r="Z432" s="186"/>
      <c r="AA432" s="186"/>
    </row>
    <row r="433" spans="1:29" x14ac:dyDescent="0.25">
      <c r="A433" s="272">
        <v>43303</v>
      </c>
      <c r="B433" s="24" t="s">
        <v>172</v>
      </c>
      <c r="C433" s="24" t="s">
        <v>174</v>
      </c>
      <c r="D433" s="24" t="s">
        <v>195</v>
      </c>
      <c r="E433" s="88" t="s">
        <v>192</v>
      </c>
      <c r="F433" s="28">
        <v>1145.58</v>
      </c>
      <c r="G433" s="28">
        <v>1216.2</v>
      </c>
      <c r="H433" s="28">
        <v>1255.3699999999999</v>
      </c>
      <c r="I433" s="28">
        <v>1239.97</v>
      </c>
      <c r="J433" s="28">
        <v>1185.73</v>
      </c>
      <c r="K433" s="28">
        <v>1183.02</v>
      </c>
      <c r="L433" s="28">
        <v>1230.5999999999999</v>
      </c>
      <c r="M433" s="28">
        <v>1227.44</v>
      </c>
      <c r="N433" s="28">
        <v>1157.48</v>
      </c>
      <c r="O433" s="88">
        <f>IF((N434=""),"",MAX(F435:N435))</f>
        <v>2172.4499999999998</v>
      </c>
      <c r="P433" s="88">
        <f>IF(N434="","",MIN(F435:N435))</f>
        <v>1959.69</v>
      </c>
      <c r="Q433" s="89">
        <f>IF((N435=""),"",AVERAGE(F435:N435))</f>
        <v>2060.21</v>
      </c>
      <c r="R433" s="89">
        <f>IF((N434=""),"",(O433-P433)/(O433+P433)*100)</f>
        <v>5.1489058937983661</v>
      </c>
      <c r="S433" s="181">
        <f>STDEV(F435:N435)</f>
        <v>60.2176396498567</v>
      </c>
      <c r="T433" s="23" t="s">
        <v>207</v>
      </c>
      <c r="U433" s="211">
        <v>1335</v>
      </c>
      <c r="V433" s="246"/>
      <c r="W433" s="33"/>
      <c r="X433" s="184">
        <v>2000</v>
      </c>
      <c r="Y433" s="184">
        <v>3000</v>
      </c>
      <c r="Z433" s="184">
        <v>1940</v>
      </c>
      <c r="AA433" s="184">
        <v>2180</v>
      </c>
      <c r="AB433" s="57">
        <v>5.2</v>
      </c>
    </row>
    <row r="434" spans="1:29" x14ac:dyDescent="0.25">
      <c r="A434" s="272"/>
      <c r="B434" s="47"/>
      <c r="C434" s="24"/>
      <c r="D434" s="24"/>
      <c r="E434" s="88" t="s">
        <v>193</v>
      </c>
      <c r="F434" s="28">
        <v>469.56</v>
      </c>
      <c r="G434" s="28">
        <v>539.44000000000005</v>
      </c>
      <c r="H434" s="28">
        <v>567.23</v>
      </c>
      <c r="I434" s="28">
        <v>541.66999999999996</v>
      </c>
      <c r="J434" s="28">
        <v>504.72</v>
      </c>
      <c r="K434" s="28">
        <v>458.87</v>
      </c>
      <c r="L434" s="28">
        <v>527.41999999999996</v>
      </c>
      <c r="M434" s="28">
        <v>547.6</v>
      </c>
      <c r="N434" s="28">
        <v>504.25</v>
      </c>
      <c r="O434" s="88"/>
      <c r="P434" s="88"/>
      <c r="Q434" s="89"/>
      <c r="R434" s="89"/>
      <c r="S434" s="210"/>
      <c r="T434" s="23"/>
      <c r="U434" s="211"/>
      <c r="V434" s="246"/>
      <c r="W434" s="33"/>
      <c r="X434" s="186"/>
      <c r="Y434" s="186"/>
      <c r="Z434" s="186"/>
      <c r="AA434" s="186"/>
    </row>
    <row r="435" spans="1:29" ht="32.299999999999997" customHeight="1" thickBot="1" x14ac:dyDescent="0.3">
      <c r="A435" s="279"/>
      <c r="B435" s="90"/>
      <c r="C435" s="91"/>
      <c r="D435" s="91"/>
      <c r="E435" s="92" t="s">
        <v>196</v>
      </c>
      <c r="F435" s="79">
        <f t="shared" ref="F435:N435" si="141">IF(((F433="")*AND(F434="")),"",(F433-F434)*3)</f>
        <v>2028.06</v>
      </c>
      <c r="G435" s="79">
        <f t="shared" si="141"/>
        <v>2030.28</v>
      </c>
      <c r="H435" s="79">
        <f t="shared" si="141"/>
        <v>2064.4199999999996</v>
      </c>
      <c r="I435" s="79">
        <f t="shared" si="141"/>
        <v>2094.9</v>
      </c>
      <c r="J435" s="79">
        <f t="shared" si="141"/>
        <v>2043.03</v>
      </c>
      <c r="K435" s="79">
        <f t="shared" si="141"/>
        <v>2172.4499999999998</v>
      </c>
      <c r="L435" s="79">
        <f t="shared" si="141"/>
        <v>2109.54</v>
      </c>
      <c r="M435" s="79">
        <f t="shared" si="141"/>
        <v>2039.52</v>
      </c>
      <c r="N435" s="79">
        <f t="shared" si="141"/>
        <v>1959.69</v>
      </c>
      <c r="O435" s="92"/>
      <c r="P435" s="92"/>
      <c r="Q435" s="93"/>
      <c r="R435" s="93"/>
      <c r="S435" s="213"/>
      <c r="T435" s="214"/>
      <c r="U435" s="215"/>
      <c r="V435" s="246"/>
      <c r="W435" s="33"/>
      <c r="X435" s="186"/>
      <c r="Y435" s="186"/>
      <c r="Z435" s="186"/>
      <c r="AA435" s="186"/>
    </row>
    <row r="436" spans="1:29" x14ac:dyDescent="0.25">
      <c r="A436" s="271">
        <v>43307</v>
      </c>
      <c r="B436" s="63" t="s">
        <v>191</v>
      </c>
      <c r="C436" s="65" t="s">
        <v>176</v>
      </c>
      <c r="D436" s="65" t="s">
        <v>175</v>
      </c>
      <c r="E436" s="67" t="s">
        <v>192</v>
      </c>
      <c r="F436" s="175">
        <v>29271.35</v>
      </c>
      <c r="G436" s="175">
        <v>29200.07</v>
      </c>
      <c r="H436" s="175">
        <v>29222.17</v>
      </c>
      <c r="I436" s="175">
        <v>29224.16</v>
      </c>
      <c r="J436" s="175">
        <v>29306.91</v>
      </c>
      <c r="K436" s="175">
        <v>29315.94</v>
      </c>
      <c r="L436" s="175">
        <v>29223.67</v>
      </c>
      <c r="M436" s="175">
        <v>29194.87</v>
      </c>
      <c r="N436" s="175">
        <v>29282.44</v>
      </c>
      <c r="O436" s="67">
        <f>IF((N437=""),"",MAX(F438:N438))</f>
        <v>4547.9399999999987</v>
      </c>
      <c r="P436" s="67">
        <f>IF(N437="","",MIN(F438:N438))</f>
        <v>4124.6999999999935</v>
      </c>
      <c r="Q436" s="68">
        <f>IF((N438=""),"",AVERAGE(F438:N438))</f>
        <v>4312.1499999999978</v>
      </c>
      <c r="R436" s="68">
        <f>IF((N437=""),"",(O436-P436)/(O436+P436)*100)</f>
        <v>4.8801748948417742</v>
      </c>
      <c r="S436" s="181">
        <f>STDEV(F438:N438)</f>
        <v>167.9274801067418</v>
      </c>
      <c r="T436" s="187" t="str">
        <f>IF(N437="","",IF(R436&lt;16,IF(Q436&gt;3200,IF(R436,IF(Q436&lt;5240,"Pass","Fail"),"Fail"),"Fail")))</f>
        <v>Pass</v>
      </c>
      <c r="U436" s="188">
        <v>1340</v>
      </c>
      <c r="V436" s="246"/>
      <c r="W436" s="33"/>
      <c r="X436" s="184">
        <v>4200</v>
      </c>
      <c r="Y436" s="184">
        <v>5500</v>
      </c>
      <c r="Z436" s="184">
        <v>3200</v>
      </c>
      <c r="AA436" s="184">
        <v>5240</v>
      </c>
      <c r="AB436" s="57">
        <v>16</v>
      </c>
    </row>
    <row r="437" spans="1:29" x14ac:dyDescent="0.25">
      <c r="A437" s="272"/>
      <c r="B437" s="47"/>
      <c r="C437" s="24"/>
      <c r="D437" s="24"/>
      <c r="E437" s="88" t="s">
        <v>193</v>
      </c>
      <c r="F437" s="28">
        <v>27792.52</v>
      </c>
      <c r="G437" s="28">
        <v>27815.26</v>
      </c>
      <c r="H437" s="28">
        <v>27847.27</v>
      </c>
      <c r="I437" s="28">
        <v>27816.7</v>
      </c>
      <c r="J437" s="28">
        <v>27800.28</v>
      </c>
      <c r="K437" s="28">
        <v>27843.360000000001</v>
      </c>
      <c r="L437" s="28">
        <v>27840.41</v>
      </c>
      <c r="M437" s="28">
        <v>27782.87</v>
      </c>
      <c r="N437" s="28">
        <v>27766.46</v>
      </c>
      <c r="O437" s="88"/>
      <c r="P437" s="88"/>
      <c r="Q437" s="89"/>
      <c r="R437" s="89"/>
      <c r="S437" s="210"/>
      <c r="T437" s="23"/>
      <c r="U437" s="211"/>
      <c r="V437" s="246"/>
      <c r="W437" s="33"/>
      <c r="X437" s="186"/>
      <c r="Y437" s="186"/>
      <c r="Z437" s="186"/>
      <c r="AA437" s="186"/>
    </row>
    <row r="438" spans="1:29" ht="22.75" thickBot="1" x14ac:dyDescent="0.3">
      <c r="A438" s="272"/>
      <c r="B438" s="47"/>
      <c r="C438" s="24"/>
      <c r="D438" s="24"/>
      <c r="E438" s="88" t="s">
        <v>194</v>
      </c>
      <c r="F438" s="66">
        <f t="shared" ref="F438:N438" si="142">IF(((F436="")*AND(F437="")),"",(F436-F437)*3)</f>
        <v>4436.4899999999943</v>
      </c>
      <c r="G438" s="66">
        <f t="shared" si="142"/>
        <v>4154.4300000000039</v>
      </c>
      <c r="H438" s="66">
        <f t="shared" si="142"/>
        <v>4124.6999999999935</v>
      </c>
      <c r="I438" s="66">
        <f t="shared" si="142"/>
        <v>4222.3799999999974</v>
      </c>
      <c r="J438" s="66">
        <f t="shared" si="142"/>
        <v>4519.8900000000031</v>
      </c>
      <c r="K438" s="66">
        <f t="shared" si="142"/>
        <v>4417.7399999999943</v>
      </c>
      <c r="L438" s="66">
        <f t="shared" si="142"/>
        <v>4149.7799999999952</v>
      </c>
      <c r="M438" s="66">
        <f t="shared" si="142"/>
        <v>4236</v>
      </c>
      <c r="N438" s="66">
        <f t="shared" si="142"/>
        <v>4547.9399999999987</v>
      </c>
      <c r="O438" s="88"/>
      <c r="P438" s="88"/>
      <c r="Q438" s="89"/>
      <c r="R438" s="89"/>
      <c r="S438" s="210"/>
      <c r="T438" s="23"/>
      <c r="U438" s="211"/>
      <c r="V438" s="246"/>
      <c r="W438" s="33"/>
      <c r="X438" s="186"/>
      <c r="Y438" s="186"/>
      <c r="Z438" s="186"/>
      <c r="AA438" s="186"/>
    </row>
    <row r="439" spans="1:29" x14ac:dyDescent="0.25">
      <c r="A439" s="272">
        <v>43307</v>
      </c>
      <c r="B439" s="47" t="s">
        <v>177</v>
      </c>
      <c r="C439" s="24" t="s">
        <v>179</v>
      </c>
      <c r="D439" s="70" t="s">
        <v>178</v>
      </c>
      <c r="E439" s="88" t="s">
        <v>192</v>
      </c>
      <c r="F439" s="28">
        <v>4985</v>
      </c>
      <c r="G439" s="28">
        <v>4899.9399999999996</v>
      </c>
      <c r="H439" s="28">
        <v>4907.63</v>
      </c>
      <c r="I439" s="28">
        <v>4879.01</v>
      </c>
      <c r="J439" s="28">
        <v>5024.1899999999996</v>
      </c>
      <c r="K439" s="28">
        <v>5023.83</v>
      </c>
      <c r="L439" s="28">
        <v>4888.22</v>
      </c>
      <c r="M439" s="28">
        <v>4887.1899999999996</v>
      </c>
      <c r="N439" s="28">
        <v>5019.3</v>
      </c>
      <c r="O439" s="88">
        <f>IF((N440=""),"",MAX(F441:N441))</f>
        <v>4008.3799999999992</v>
      </c>
      <c r="P439" s="88">
        <f>IF(N440="","",MIN(F441:N441))</f>
        <v>3648.74</v>
      </c>
      <c r="Q439" s="89">
        <f>IF((N441=""),"",AVERAGE(F441:N441))</f>
        <v>3875.3399999999997</v>
      </c>
      <c r="R439" s="89">
        <f>IF((N440=""),"",(O439-P439)/(O439+P439)*100)</f>
        <v>4.6968050650897393</v>
      </c>
      <c r="S439" s="181">
        <f>STDEV(F441:N441)</f>
        <v>123.3293630892498</v>
      </c>
      <c r="T439" s="23" t="str">
        <f>IF(N440="","",IF(Q439&gt;3650,IF(R439&lt;7,IF(Q439&lt;4450,"Pass","Fail"),"Fail"),"Fail"))</f>
        <v>Pass</v>
      </c>
      <c r="U439" s="211">
        <v>1340</v>
      </c>
      <c r="V439" s="246"/>
      <c r="W439" s="33"/>
      <c r="X439" s="184">
        <v>3650</v>
      </c>
      <c r="Y439" s="184">
        <v>4450</v>
      </c>
      <c r="Z439" s="184">
        <v>3700</v>
      </c>
      <c r="AA439" s="184">
        <v>4100</v>
      </c>
      <c r="AB439" s="57">
        <v>6.5</v>
      </c>
      <c r="AC439" s="57">
        <v>7</v>
      </c>
    </row>
    <row r="440" spans="1:29" x14ac:dyDescent="0.25">
      <c r="A440" s="272"/>
      <c r="B440" s="47"/>
      <c r="C440" s="24"/>
      <c r="D440" s="24"/>
      <c r="E440" s="88" t="s">
        <v>193</v>
      </c>
      <c r="F440" s="28">
        <v>3099.21</v>
      </c>
      <c r="G440" s="28">
        <v>2923.12</v>
      </c>
      <c r="H440" s="28">
        <v>2911.09</v>
      </c>
      <c r="I440" s="28">
        <v>2904.72</v>
      </c>
      <c r="J440" s="28">
        <v>3144.49</v>
      </c>
      <c r="K440" s="28">
        <v>3199.46</v>
      </c>
      <c r="L440" s="28">
        <v>2923.35</v>
      </c>
      <c r="M440" s="28">
        <v>2883</v>
      </c>
      <c r="N440" s="28">
        <v>3086.84</v>
      </c>
      <c r="O440" s="88"/>
      <c r="P440" s="88"/>
      <c r="Q440" s="89"/>
      <c r="R440" s="89"/>
      <c r="S440" s="210"/>
      <c r="T440" s="23"/>
      <c r="U440" s="211"/>
      <c r="V440" s="246"/>
      <c r="W440" s="33"/>
      <c r="X440" s="186"/>
      <c r="Y440" s="186"/>
      <c r="Z440" s="186"/>
      <c r="AA440" s="186"/>
    </row>
    <row r="441" spans="1:29" ht="22.15" x14ac:dyDescent="0.25">
      <c r="A441" s="272"/>
      <c r="B441" s="47"/>
      <c r="C441" s="24"/>
      <c r="D441" s="24"/>
      <c r="E441" s="88" t="s">
        <v>194</v>
      </c>
      <c r="F441" s="66">
        <f t="shared" ref="F441:N441" si="143">IF(((F439="")*AND(F440="")),"",(F439-F440)*2)</f>
        <v>3771.58</v>
      </c>
      <c r="G441" s="66">
        <f t="shared" si="143"/>
        <v>3953.6399999999994</v>
      </c>
      <c r="H441" s="66">
        <f t="shared" si="143"/>
        <v>3993.08</v>
      </c>
      <c r="I441" s="66">
        <f t="shared" si="143"/>
        <v>3948.5800000000008</v>
      </c>
      <c r="J441" s="66">
        <f t="shared" si="143"/>
        <v>3759.3999999999996</v>
      </c>
      <c r="K441" s="66">
        <f t="shared" si="143"/>
        <v>3648.74</v>
      </c>
      <c r="L441" s="66">
        <f t="shared" si="143"/>
        <v>3929.7400000000007</v>
      </c>
      <c r="M441" s="66">
        <f t="shared" si="143"/>
        <v>4008.3799999999992</v>
      </c>
      <c r="N441" s="66">
        <f t="shared" si="143"/>
        <v>3864.92</v>
      </c>
      <c r="O441" s="88"/>
      <c r="P441" s="88"/>
      <c r="Q441" s="89"/>
      <c r="R441" s="89"/>
      <c r="S441" s="210"/>
      <c r="T441" s="23"/>
      <c r="U441" s="211"/>
      <c r="V441" s="246"/>
      <c r="W441" s="33"/>
      <c r="X441" s="186"/>
      <c r="Y441" s="186"/>
      <c r="Z441" s="186"/>
      <c r="AA441" s="186"/>
    </row>
    <row r="442" spans="1:29" x14ac:dyDescent="0.25">
      <c r="A442" s="272">
        <v>43307</v>
      </c>
      <c r="B442" s="24" t="s">
        <v>172</v>
      </c>
      <c r="C442" s="24" t="s">
        <v>174</v>
      </c>
      <c r="D442" s="24" t="s">
        <v>195</v>
      </c>
      <c r="E442" s="88" t="s">
        <v>192</v>
      </c>
      <c r="F442" s="28">
        <v>1931.66</v>
      </c>
      <c r="G442" s="28">
        <v>1927.42</v>
      </c>
      <c r="H442" s="28">
        <v>1923.5</v>
      </c>
      <c r="I442" s="28">
        <v>1927.79</v>
      </c>
      <c r="J442" s="28">
        <v>1933.12</v>
      </c>
      <c r="K442" s="28">
        <v>1933.4</v>
      </c>
      <c r="L442" s="28">
        <v>1926.11</v>
      </c>
      <c r="M442" s="28">
        <v>1929.08</v>
      </c>
      <c r="N442" s="28">
        <v>1931.97</v>
      </c>
      <c r="O442" s="88">
        <f>IF((N443=""),"",MAX(F444:N444))</f>
        <v>2042.28</v>
      </c>
      <c r="P442" s="88">
        <f>IF(N443="","",MIN(F444:N444))</f>
        <v>1961.1899999999994</v>
      </c>
      <c r="Q442" s="89">
        <f>IF((N444=""),"",AVERAGE(F444:N444))</f>
        <v>2005.6266666666666</v>
      </c>
      <c r="R442" s="89">
        <f>IF((N443=""),"",(O442-P442)/(O442+P442)*100)</f>
        <v>2.025492884922345</v>
      </c>
      <c r="S442" s="181">
        <f>STDEV(F444:N444)</f>
        <v>24.625549740056641</v>
      </c>
      <c r="T442" s="23" t="str">
        <f>IF(N443="","",IF(Q442&gt;1940,IF(R442&lt;8.3,IF(Q442&lt;2180,"Pass","Fail"),"Fail"),"Fail"))</f>
        <v>Pass</v>
      </c>
      <c r="U442" s="211">
        <v>1340</v>
      </c>
      <c r="V442" s="246"/>
      <c r="W442" s="33"/>
      <c r="X442" s="184">
        <v>2000</v>
      </c>
      <c r="Y442" s="184">
        <v>3000</v>
      </c>
      <c r="Z442" s="184">
        <v>1940</v>
      </c>
      <c r="AA442" s="184">
        <v>2180</v>
      </c>
      <c r="AB442" s="57">
        <v>5.2</v>
      </c>
    </row>
    <row r="443" spans="1:29" x14ac:dyDescent="0.25">
      <c r="A443" s="272"/>
      <c r="B443" s="47"/>
      <c r="C443" s="24"/>
      <c r="D443" s="24"/>
      <c r="E443" s="88" t="s">
        <v>193</v>
      </c>
      <c r="F443" s="28">
        <v>1263.6600000000001</v>
      </c>
      <c r="G443" s="28">
        <v>1252.92</v>
      </c>
      <c r="H443" s="28">
        <v>1254.26</v>
      </c>
      <c r="I443" s="28">
        <v>1253.07</v>
      </c>
      <c r="J443" s="28">
        <v>1279.3900000000001</v>
      </c>
      <c r="K443" s="28">
        <v>1271.49</v>
      </c>
      <c r="L443" s="28">
        <v>1254.24</v>
      </c>
      <c r="M443" s="28">
        <v>1248.32</v>
      </c>
      <c r="N443" s="28">
        <v>1269.82</v>
      </c>
      <c r="O443" s="88"/>
      <c r="P443" s="88"/>
      <c r="Q443" s="89"/>
      <c r="R443" s="89"/>
      <c r="S443" s="210"/>
      <c r="T443" s="23"/>
      <c r="U443" s="211"/>
      <c r="V443" s="246"/>
      <c r="W443" s="33"/>
      <c r="X443" s="186"/>
      <c r="Y443" s="186"/>
      <c r="Z443" s="186"/>
      <c r="AA443" s="186"/>
    </row>
    <row r="444" spans="1:29" ht="13.3" thickBot="1" x14ac:dyDescent="0.3">
      <c r="A444" s="279"/>
      <c r="B444" s="90"/>
      <c r="C444" s="91"/>
      <c r="D444" s="91"/>
      <c r="E444" s="92" t="s">
        <v>196</v>
      </c>
      <c r="F444" s="79">
        <f t="shared" ref="F444:N444" si="144">IF(((F442="")*AND(F443="")),"",(F442-F443)*3)</f>
        <v>2004</v>
      </c>
      <c r="G444" s="79">
        <f t="shared" si="144"/>
        <v>2023.5</v>
      </c>
      <c r="H444" s="79">
        <f t="shared" si="144"/>
        <v>2007.72</v>
      </c>
      <c r="I444" s="79">
        <f t="shared" si="144"/>
        <v>2024.16</v>
      </c>
      <c r="J444" s="79">
        <f t="shared" si="144"/>
        <v>1961.1899999999994</v>
      </c>
      <c r="K444" s="79">
        <f t="shared" si="144"/>
        <v>1985.7300000000002</v>
      </c>
      <c r="L444" s="79">
        <f t="shared" si="144"/>
        <v>2015.6099999999997</v>
      </c>
      <c r="M444" s="79">
        <f t="shared" si="144"/>
        <v>2042.28</v>
      </c>
      <c r="N444" s="79">
        <f t="shared" si="144"/>
        <v>1986.4500000000003</v>
      </c>
      <c r="O444" s="92"/>
      <c r="P444" s="92"/>
      <c r="Q444" s="93"/>
      <c r="R444" s="93"/>
      <c r="S444" s="213"/>
      <c r="T444" s="214"/>
      <c r="U444" s="215"/>
      <c r="V444" s="246"/>
      <c r="W444" s="33"/>
      <c r="X444" s="186"/>
      <c r="Y444" s="186"/>
      <c r="Z444" s="186"/>
      <c r="AA444" s="186"/>
    </row>
    <row r="445" spans="1:29" x14ac:dyDescent="0.25">
      <c r="A445" s="271">
        <v>43311</v>
      </c>
      <c r="B445" s="63" t="s">
        <v>177</v>
      </c>
      <c r="C445" s="65" t="s">
        <v>179</v>
      </c>
      <c r="D445" s="70" t="s">
        <v>178</v>
      </c>
      <c r="E445" s="67" t="s">
        <v>192</v>
      </c>
      <c r="F445" s="175">
        <v>3099.21</v>
      </c>
      <c r="G445" s="175">
        <v>2923.12</v>
      </c>
      <c r="H445" s="175">
        <v>2911.09</v>
      </c>
      <c r="I445" s="175">
        <v>2904.72</v>
      </c>
      <c r="J445" s="175">
        <v>3144.49</v>
      </c>
      <c r="K445" s="175">
        <v>3199.46</v>
      </c>
      <c r="L445" s="175">
        <v>2923.35</v>
      </c>
      <c r="M445" s="175">
        <v>2883</v>
      </c>
      <c r="N445" s="175">
        <v>3086.84</v>
      </c>
      <c r="O445" s="67">
        <f>IF((N446=""),"",MAX(F447:N447))</f>
        <v>4039.02</v>
      </c>
      <c r="P445" s="67">
        <f>IF(N446="","",MIN(F447:N447))</f>
        <v>3696.2200000000003</v>
      </c>
      <c r="Q445" s="68">
        <f>IF((N447=""),"",AVERAGE(F447:N447))</f>
        <v>3915.3200000000006</v>
      </c>
      <c r="R445" s="68">
        <f>IF((N446=""),"",(O445-P445)/(O445+P445)*100)</f>
        <v>4.4316659858000493</v>
      </c>
      <c r="S445" s="181">
        <f>STDEV(F447:N447)</f>
        <v>118.76184783001648</v>
      </c>
      <c r="T445" s="187" t="str">
        <f>IF(N446="","",IF(Q445&gt;3650,IF(R445&lt;7,IF(Q445&lt;4450,"Pass","Fail"),"Fail"),"Fail"))</f>
        <v>Pass</v>
      </c>
      <c r="U445" s="216">
        <v>1340</v>
      </c>
      <c r="V445" s="198"/>
      <c r="W445" s="33"/>
      <c r="X445" s="184">
        <v>3650</v>
      </c>
      <c r="Y445" s="184">
        <v>4450</v>
      </c>
      <c r="Z445" s="184">
        <v>3700</v>
      </c>
      <c r="AA445" s="184">
        <v>4100</v>
      </c>
      <c r="AB445" s="57">
        <v>6.5</v>
      </c>
      <c r="AC445" s="57">
        <v>7</v>
      </c>
    </row>
    <row r="446" spans="1:29" x14ac:dyDescent="0.25">
      <c r="A446" s="272"/>
      <c r="B446" s="47"/>
      <c r="C446" s="24"/>
      <c r="D446" s="24"/>
      <c r="E446" s="88" t="s">
        <v>193</v>
      </c>
      <c r="F446" s="28">
        <v>1194.25</v>
      </c>
      <c r="G446" s="28">
        <v>927.99</v>
      </c>
      <c r="H446" s="28">
        <v>894.3</v>
      </c>
      <c r="I446" s="28">
        <v>911.5</v>
      </c>
      <c r="J446" s="28">
        <v>1238.04</v>
      </c>
      <c r="K446" s="28">
        <v>1351.35</v>
      </c>
      <c r="L446" s="28">
        <v>938.24</v>
      </c>
      <c r="M446" s="28">
        <v>863.49</v>
      </c>
      <c r="N446" s="28">
        <v>1137.18</v>
      </c>
      <c r="O446" s="88"/>
      <c r="P446" s="88"/>
      <c r="Q446" s="89"/>
      <c r="R446" s="89"/>
      <c r="S446" s="210"/>
      <c r="T446" s="28"/>
      <c r="U446" s="217"/>
      <c r="V446" s="198"/>
      <c r="W446" s="33"/>
      <c r="X446" s="186"/>
      <c r="Y446" s="186"/>
      <c r="Z446" s="186"/>
      <c r="AA446" s="186"/>
    </row>
    <row r="447" spans="1:29" ht="22.15" x14ac:dyDescent="0.25">
      <c r="A447" s="272"/>
      <c r="B447" s="47"/>
      <c r="C447" s="24"/>
      <c r="D447" s="24"/>
      <c r="E447" s="88" t="s">
        <v>194</v>
      </c>
      <c r="F447" s="66">
        <f t="shared" ref="F447:N447" si="145">IF(((F445="")*AND(F446="")),"",(F445-F446)*2)</f>
        <v>3809.92</v>
      </c>
      <c r="G447" s="66">
        <f t="shared" si="145"/>
        <v>3990.2599999999998</v>
      </c>
      <c r="H447" s="66">
        <f t="shared" si="145"/>
        <v>4033.5800000000004</v>
      </c>
      <c r="I447" s="66">
        <f t="shared" si="145"/>
        <v>3986.4399999999996</v>
      </c>
      <c r="J447" s="66">
        <f t="shared" si="145"/>
        <v>3812.8999999999996</v>
      </c>
      <c r="K447" s="66">
        <f t="shared" si="145"/>
        <v>3696.2200000000003</v>
      </c>
      <c r="L447" s="66">
        <f t="shared" si="145"/>
        <v>3970.22</v>
      </c>
      <c r="M447" s="66">
        <f t="shared" si="145"/>
        <v>4039.02</v>
      </c>
      <c r="N447" s="66">
        <f t="shared" si="145"/>
        <v>3899.32</v>
      </c>
      <c r="O447" s="88"/>
      <c r="P447" s="88"/>
      <c r="Q447" s="89"/>
      <c r="R447" s="89"/>
      <c r="S447" s="210"/>
      <c r="T447" s="28"/>
      <c r="U447" s="217"/>
      <c r="V447" s="198"/>
      <c r="W447" s="33"/>
      <c r="X447" s="186"/>
      <c r="Y447" s="186"/>
      <c r="Z447" s="186"/>
      <c r="AA447" s="186"/>
    </row>
    <row r="448" spans="1:29" x14ac:dyDescent="0.25">
      <c r="A448" s="272">
        <v>43311</v>
      </c>
      <c r="B448" s="24" t="s">
        <v>172</v>
      </c>
      <c r="C448" s="24" t="s">
        <v>174</v>
      </c>
      <c r="D448" s="24" t="s">
        <v>195</v>
      </c>
      <c r="E448" s="88" t="s">
        <v>192</v>
      </c>
      <c r="F448" s="28">
        <v>1263.6600000000001</v>
      </c>
      <c r="G448" s="28">
        <v>1252.92</v>
      </c>
      <c r="H448" s="28">
        <v>1254.26</v>
      </c>
      <c r="I448" s="28">
        <v>1253.07</v>
      </c>
      <c r="J448" s="28">
        <v>1279.3900000000001</v>
      </c>
      <c r="K448" s="28">
        <v>1271.49</v>
      </c>
      <c r="L448" s="28">
        <v>1254.24</v>
      </c>
      <c r="M448" s="28">
        <v>1248.32</v>
      </c>
      <c r="N448" s="28">
        <v>1269.82</v>
      </c>
      <c r="O448" s="88">
        <f>IF((N449=""),"",MAX(F450:N450))</f>
        <v>2063.25</v>
      </c>
      <c r="P448" s="88">
        <f>IF(N449="","",MIN(F450:N450))</f>
        <v>1974.0300000000002</v>
      </c>
      <c r="Q448" s="89">
        <f>IF((N450=""),"",AVERAGE(F450:N450))</f>
        <v>2025.5033333333336</v>
      </c>
      <c r="R448" s="89">
        <f>IF((N449=""),"",(O448-P448)/(O448+P448)*100)</f>
        <v>2.2099036975389321</v>
      </c>
      <c r="S448" s="181">
        <f>STDEV(F450:N450)</f>
        <v>32.737378102102106</v>
      </c>
      <c r="T448" s="23" t="str">
        <f>IF(N449="","",IF(Q448&gt;1940,IF(R448&lt;8.3,IF(Q448&lt;2180,"Pass","Fail"),"Fail"),"Fail"))</f>
        <v>Pass</v>
      </c>
      <c r="U448" s="211">
        <v>1340</v>
      </c>
      <c r="V448" s="246"/>
      <c r="W448" s="33"/>
      <c r="X448" s="184">
        <v>2000</v>
      </c>
      <c r="Y448" s="184">
        <v>3000</v>
      </c>
      <c r="Z448" s="184">
        <v>1940</v>
      </c>
      <c r="AA448" s="184">
        <v>2180</v>
      </c>
      <c r="AB448" s="57">
        <v>5.2</v>
      </c>
    </row>
    <row r="449" spans="1:29" x14ac:dyDescent="0.25">
      <c r="A449" s="272"/>
      <c r="B449" s="47"/>
      <c r="C449" s="24"/>
      <c r="D449" s="24"/>
      <c r="E449" s="88" t="s">
        <v>193</v>
      </c>
      <c r="F449" s="28">
        <v>596.20000000000005</v>
      </c>
      <c r="G449" s="28">
        <v>568.05999999999995</v>
      </c>
      <c r="H449" s="28">
        <v>566.51</v>
      </c>
      <c r="I449" s="28">
        <v>574.39</v>
      </c>
      <c r="J449" s="28">
        <v>621.38</v>
      </c>
      <c r="K449" s="28">
        <v>610.89</v>
      </c>
      <c r="L449" s="28">
        <v>576.34</v>
      </c>
      <c r="M449" s="28">
        <v>562.45000000000005</v>
      </c>
      <c r="N449" s="28">
        <v>594.44000000000005</v>
      </c>
      <c r="O449" s="88"/>
      <c r="P449" s="88"/>
      <c r="Q449" s="89"/>
      <c r="R449" s="89"/>
      <c r="S449" s="210"/>
      <c r="T449" s="23"/>
      <c r="U449" s="211"/>
      <c r="V449" s="246"/>
      <c r="W449" s="33"/>
      <c r="X449" s="186"/>
      <c r="Y449" s="186"/>
      <c r="Z449" s="186"/>
      <c r="AA449" s="186"/>
    </row>
    <row r="450" spans="1:29" x14ac:dyDescent="0.25">
      <c r="A450" s="272"/>
      <c r="B450" s="47"/>
      <c r="C450" s="24"/>
      <c r="D450" s="24"/>
      <c r="E450" s="88" t="s">
        <v>196</v>
      </c>
      <c r="F450" s="66">
        <f t="shared" ref="F450:N450" si="146">IF(((F448="")*AND(F449="")),"",(F448-F449)*3)</f>
        <v>2002.38</v>
      </c>
      <c r="G450" s="66">
        <f t="shared" si="146"/>
        <v>2054.5800000000004</v>
      </c>
      <c r="H450" s="66">
        <f t="shared" si="146"/>
        <v>2063.25</v>
      </c>
      <c r="I450" s="66">
        <f t="shared" si="146"/>
        <v>2036.04</v>
      </c>
      <c r="J450" s="66">
        <f t="shared" si="146"/>
        <v>1974.0300000000002</v>
      </c>
      <c r="K450" s="66">
        <f t="shared" si="146"/>
        <v>1981.8000000000002</v>
      </c>
      <c r="L450" s="66">
        <f t="shared" si="146"/>
        <v>2033.6999999999998</v>
      </c>
      <c r="M450" s="66">
        <f t="shared" si="146"/>
        <v>2057.6099999999997</v>
      </c>
      <c r="N450" s="66">
        <f t="shared" si="146"/>
        <v>2026.1399999999996</v>
      </c>
      <c r="O450" s="88"/>
      <c r="P450" s="88"/>
      <c r="Q450" s="89"/>
      <c r="R450" s="89"/>
      <c r="S450" s="210"/>
      <c r="T450" s="23"/>
      <c r="U450" s="211"/>
      <c r="V450" s="246"/>
      <c r="W450" s="33"/>
      <c r="X450" s="186"/>
      <c r="Y450" s="186"/>
      <c r="Z450" s="186"/>
      <c r="AA450" s="186"/>
    </row>
    <row r="451" spans="1:29" x14ac:dyDescent="0.25">
      <c r="A451" s="272">
        <v>43311</v>
      </c>
      <c r="B451" s="47" t="s">
        <v>191</v>
      </c>
      <c r="C451" s="24" t="s">
        <v>176</v>
      </c>
      <c r="D451" s="24" t="s">
        <v>175</v>
      </c>
      <c r="E451" s="88" t="s">
        <v>192</v>
      </c>
      <c r="F451" s="28">
        <v>27792.52</v>
      </c>
      <c r="G451" s="28">
        <v>27815.26</v>
      </c>
      <c r="H451" s="28">
        <v>27847.27</v>
      </c>
      <c r="I451" s="28">
        <v>27816.7</v>
      </c>
      <c r="J451" s="28">
        <v>27800.28</v>
      </c>
      <c r="K451" s="28">
        <v>27843.360000000001</v>
      </c>
      <c r="L451" s="28">
        <v>27840.41</v>
      </c>
      <c r="M451" s="28">
        <v>27782.87</v>
      </c>
      <c r="N451" s="28">
        <v>27766.46</v>
      </c>
      <c r="O451" s="88">
        <f>IF((N452=""),"",MAX(F453:N453))</f>
        <v>4751.9699999999939</v>
      </c>
      <c r="P451" s="88">
        <f>IF(N452="","",MIN(F453:N453))</f>
        <v>4287.1800000000039</v>
      </c>
      <c r="Q451" s="89">
        <f>IF((N453=""),"",AVERAGE(F453:N453))</f>
        <v>4486.8833333333332</v>
      </c>
      <c r="R451" s="89">
        <f>IF((N452=""),"",(O451-P451)/(O451+P451)*100)</f>
        <v>5.141965782180737</v>
      </c>
      <c r="S451" s="181">
        <f>STDEV(F453:N453)</f>
        <v>186.64878629393561</v>
      </c>
      <c r="T451" s="23" t="str">
        <f>IF(N452="","",IF(R451&lt;16,IF(Q451&gt;3200,IF(R451,IF(Q451&lt;5240,"Pass","Fail"),"Fail"),"Fail")))</f>
        <v>Pass</v>
      </c>
      <c r="U451" s="211">
        <v>1335</v>
      </c>
      <c r="V451" s="246"/>
      <c r="W451" s="33"/>
      <c r="X451" s="184">
        <v>4200</v>
      </c>
      <c r="Y451" s="184">
        <v>5500</v>
      </c>
      <c r="Z451" s="184">
        <v>3200</v>
      </c>
      <c r="AA451" s="184">
        <v>5240</v>
      </c>
      <c r="AB451" s="57">
        <v>16</v>
      </c>
    </row>
    <row r="452" spans="1:29" x14ac:dyDescent="0.25">
      <c r="A452" s="272"/>
      <c r="B452" s="47"/>
      <c r="C452" s="24"/>
      <c r="D452" s="24"/>
      <c r="E452" s="88" t="s">
        <v>193</v>
      </c>
      <c r="F452" s="28">
        <v>26263.88</v>
      </c>
      <c r="G452" s="28">
        <v>26375.279999999999</v>
      </c>
      <c r="H452" s="28">
        <v>26418.21</v>
      </c>
      <c r="I452" s="28">
        <v>26355.71</v>
      </c>
      <c r="J452" s="28">
        <v>26216.29</v>
      </c>
      <c r="K452" s="28">
        <v>26307.86</v>
      </c>
      <c r="L452" s="28">
        <v>26397.14</v>
      </c>
      <c r="M452" s="28">
        <v>26325.95</v>
      </c>
      <c r="N452" s="28">
        <v>26184.16</v>
      </c>
      <c r="O452" s="88"/>
      <c r="P452" s="88"/>
      <c r="Q452" s="89"/>
      <c r="R452" s="89"/>
      <c r="S452" s="210"/>
      <c r="T452" s="23"/>
      <c r="U452" s="211"/>
      <c r="V452" s="246"/>
      <c r="W452" s="33"/>
      <c r="X452" s="186"/>
      <c r="Y452" s="186"/>
      <c r="Z452" s="186"/>
      <c r="AA452" s="186"/>
    </row>
    <row r="453" spans="1:29" ht="22.75" thickBot="1" x14ac:dyDescent="0.3">
      <c r="A453" s="279"/>
      <c r="B453" s="90"/>
      <c r="C453" s="91"/>
      <c r="D453" s="91"/>
      <c r="E453" s="92" t="s">
        <v>194</v>
      </c>
      <c r="F453" s="79">
        <f t="shared" ref="F453:N453" si="147">IF(((F451="")*AND(F452="")),"",(F451-F452)*3)</f>
        <v>4585.9199999999983</v>
      </c>
      <c r="G453" s="79">
        <f t="shared" si="147"/>
        <v>4319.9399999999987</v>
      </c>
      <c r="H453" s="79">
        <f t="shared" si="147"/>
        <v>4287.1800000000039</v>
      </c>
      <c r="I453" s="79">
        <f t="shared" si="147"/>
        <v>4382.9700000000048</v>
      </c>
      <c r="J453" s="79">
        <f t="shared" si="147"/>
        <v>4751.9699999999939</v>
      </c>
      <c r="K453" s="79">
        <f t="shared" si="147"/>
        <v>4606.5</v>
      </c>
      <c r="L453" s="79">
        <f t="shared" si="147"/>
        <v>4329.8100000000013</v>
      </c>
      <c r="M453" s="79">
        <f t="shared" si="147"/>
        <v>4370.7599999999948</v>
      </c>
      <c r="N453" s="79">
        <f t="shared" si="147"/>
        <v>4746.8999999999978</v>
      </c>
      <c r="O453" s="92"/>
      <c r="P453" s="92"/>
      <c r="Q453" s="93"/>
      <c r="R453" s="93"/>
      <c r="S453" s="213"/>
      <c r="T453" s="214"/>
      <c r="U453" s="215"/>
      <c r="V453" s="246"/>
      <c r="W453" s="33"/>
      <c r="X453" s="186"/>
      <c r="Y453" s="186"/>
      <c r="Z453" s="186"/>
      <c r="AA453" s="186"/>
    </row>
    <row r="454" spans="1:29" x14ac:dyDescent="0.25">
      <c r="A454" s="271">
        <v>43314</v>
      </c>
      <c r="B454" s="63" t="s">
        <v>177</v>
      </c>
      <c r="C454" s="65" t="s">
        <v>179</v>
      </c>
      <c r="D454" s="70" t="s">
        <v>178</v>
      </c>
      <c r="E454" s="67" t="s">
        <v>192</v>
      </c>
      <c r="F454" s="175">
        <v>7021.92</v>
      </c>
      <c r="G454" s="175">
        <v>7017.77</v>
      </c>
      <c r="H454" s="175">
        <v>7041.54</v>
      </c>
      <c r="I454" s="175">
        <v>6990.05</v>
      </c>
      <c r="J454" s="175">
        <v>7049.58</v>
      </c>
      <c r="K454" s="175">
        <v>6991.64</v>
      </c>
      <c r="L454" s="175">
        <v>6994.74</v>
      </c>
      <c r="M454" s="175">
        <v>7025.7</v>
      </c>
      <c r="N454" s="175">
        <v>7102.58</v>
      </c>
      <c r="O454" s="67">
        <f>IF((N455=""),"",MAX(F456:N456))</f>
        <v>4034.3999999999996</v>
      </c>
      <c r="P454" s="67">
        <f>IF(N455="","",MIN(F456:N456))</f>
        <v>3662.4000000000015</v>
      </c>
      <c r="Q454" s="68">
        <f>IF((N456=""),"",AVERAGE(F456:N456))</f>
        <v>3900.3444444444449</v>
      </c>
      <c r="R454" s="68">
        <f>IF((N455=""),"",(O454-P454)/(O454+P454)*100)</f>
        <v>4.833177424384135</v>
      </c>
      <c r="S454" s="181">
        <f>STDEV(F456:N456)</f>
        <v>128.32095494414671</v>
      </c>
      <c r="T454" s="187" t="str">
        <f>IF(N455="","",IF(Q454&gt;3650,IF(R454&lt;7,IF(Q454&lt;4450,"Pass","Fail"),"Fail"),"Fail"))</f>
        <v>Pass</v>
      </c>
      <c r="U454" s="216">
        <v>1340</v>
      </c>
      <c r="V454" s="33" t="s">
        <v>209</v>
      </c>
      <c r="W454" s="33"/>
      <c r="X454" s="184">
        <v>3650</v>
      </c>
      <c r="Y454" s="184">
        <v>4450</v>
      </c>
      <c r="Z454" s="184">
        <v>3700</v>
      </c>
      <c r="AA454" s="184">
        <v>4100</v>
      </c>
      <c r="AB454" s="57">
        <v>6.5</v>
      </c>
      <c r="AC454" s="57">
        <v>7</v>
      </c>
    </row>
    <row r="455" spans="1:29" x14ac:dyDescent="0.25">
      <c r="A455" s="272"/>
      <c r="B455" s="47"/>
      <c r="C455" s="24"/>
      <c r="D455" s="24"/>
      <c r="E455" s="88" t="s">
        <v>193</v>
      </c>
      <c r="F455" s="28">
        <v>5124.12</v>
      </c>
      <c r="G455" s="28">
        <v>5025.45</v>
      </c>
      <c r="H455" s="28">
        <v>5029.4399999999996</v>
      </c>
      <c r="I455" s="28">
        <v>5002.0600000000004</v>
      </c>
      <c r="J455" s="28">
        <v>5158.8500000000004</v>
      </c>
      <c r="K455" s="28">
        <v>5160.4399999999996</v>
      </c>
      <c r="L455" s="28">
        <v>5014.55</v>
      </c>
      <c r="M455" s="28">
        <v>5008.5</v>
      </c>
      <c r="N455" s="28">
        <v>5160.5600000000004</v>
      </c>
      <c r="O455" s="88"/>
      <c r="P455" s="88"/>
      <c r="Q455" s="89"/>
      <c r="R455" s="89"/>
      <c r="S455" s="210"/>
      <c r="T455" s="28"/>
      <c r="U455" s="217"/>
      <c r="V455" s="198"/>
      <c r="W455" s="33"/>
      <c r="X455" s="186"/>
      <c r="Y455" s="186"/>
      <c r="Z455" s="186"/>
      <c r="AA455" s="186"/>
    </row>
    <row r="456" spans="1:29" ht="22.15" x14ac:dyDescent="0.25">
      <c r="A456" s="272"/>
      <c r="B456" s="47"/>
      <c r="C456" s="24"/>
      <c r="D456" s="24"/>
      <c r="E456" s="88" t="s">
        <v>194</v>
      </c>
      <c r="F456" s="66">
        <f t="shared" ref="F456:N456" si="148">IF(((F454="")*AND(F455="")),"",(F454-F455)*2)</f>
        <v>3795.6000000000004</v>
      </c>
      <c r="G456" s="66">
        <f t="shared" si="148"/>
        <v>3984.6400000000012</v>
      </c>
      <c r="H456" s="66">
        <f t="shared" si="148"/>
        <v>4024.2000000000007</v>
      </c>
      <c r="I456" s="66">
        <f t="shared" si="148"/>
        <v>3975.9799999999996</v>
      </c>
      <c r="J456" s="66">
        <f t="shared" si="148"/>
        <v>3781.4599999999991</v>
      </c>
      <c r="K456" s="66">
        <f t="shared" si="148"/>
        <v>3662.4000000000015</v>
      </c>
      <c r="L456" s="66">
        <f t="shared" si="148"/>
        <v>3960.3799999999992</v>
      </c>
      <c r="M456" s="66">
        <f t="shared" si="148"/>
        <v>4034.3999999999996</v>
      </c>
      <c r="N456" s="66">
        <f t="shared" si="148"/>
        <v>3884.0399999999991</v>
      </c>
      <c r="O456" s="88"/>
      <c r="P456" s="88"/>
      <c r="Q456" s="89"/>
      <c r="R456" s="89"/>
      <c r="S456" s="210"/>
      <c r="T456" s="28"/>
      <c r="U456" s="217"/>
      <c r="V456" s="198"/>
      <c r="W456" s="33"/>
      <c r="X456" s="186"/>
      <c r="Y456" s="186"/>
      <c r="Z456" s="186"/>
      <c r="AA456" s="186"/>
    </row>
    <row r="457" spans="1:29" x14ac:dyDescent="0.25">
      <c r="A457" s="272">
        <v>43314</v>
      </c>
      <c r="B457" s="24" t="s">
        <v>172</v>
      </c>
      <c r="C457" s="24" t="s">
        <v>174</v>
      </c>
      <c r="D457" s="24" t="s">
        <v>195</v>
      </c>
      <c r="E457" s="88" t="s">
        <v>192</v>
      </c>
      <c r="F457" s="28">
        <v>1927.61</v>
      </c>
      <c r="G457" s="28">
        <v>1921.53</v>
      </c>
      <c r="H457" s="28">
        <v>1921.19</v>
      </c>
      <c r="I457" s="28">
        <v>1917.35</v>
      </c>
      <c r="J457" s="28">
        <v>1926.1</v>
      </c>
      <c r="K457" s="28">
        <v>1930.36</v>
      </c>
      <c r="L457" s="28">
        <v>1918.35</v>
      </c>
      <c r="M457" s="28">
        <v>1917.43</v>
      </c>
      <c r="N457" s="28">
        <v>1929.21</v>
      </c>
      <c r="O457" s="88">
        <f>IF((N458=""),"",MAX(F459:N459))</f>
        <v>2038.9499999999996</v>
      </c>
      <c r="P457" s="88">
        <f>IF(N458="","",MIN(F459:N459))</f>
        <v>1967.0699999999995</v>
      </c>
      <c r="Q457" s="89">
        <f>IF((N459=""),"",AVERAGE(F459:N459))</f>
        <v>2012.0399999999997</v>
      </c>
      <c r="R457" s="89">
        <f>IF((N458=""),"",(O457-P457)/(O457+P457)*100)</f>
        <v>1.7942995791334075</v>
      </c>
      <c r="S457" s="181">
        <f>STDEV(F459:N459)</f>
        <v>24.570169413335549</v>
      </c>
      <c r="T457" s="23" t="str">
        <f>IF(N458="","",IF(Q457&gt;1940,IF(R457&lt;8.3,IF(Q457&lt;2180,"Pass","Fail"),"Fail"),"Fail"))</f>
        <v>Pass</v>
      </c>
      <c r="U457" s="211">
        <v>1340</v>
      </c>
      <c r="V457" s="33" t="s">
        <v>209</v>
      </c>
      <c r="W457" s="33"/>
      <c r="X457" s="184">
        <v>2000</v>
      </c>
      <c r="Y457" s="184">
        <v>3000</v>
      </c>
      <c r="Z457" s="184">
        <v>1940</v>
      </c>
      <c r="AA457" s="184">
        <v>2180</v>
      </c>
      <c r="AB457" s="57">
        <v>5.2</v>
      </c>
    </row>
    <row r="458" spans="1:29" x14ac:dyDescent="0.25">
      <c r="A458" s="272"/>
      <c r="B458" s="47"/>
      <c r="C458" s="24"/>
      <c r="D458" s="24"/>
      <c r="E458" s="88" t="s">
        <v>193</v>
      </c>
      <c r="F458" s="28">
        <v>1251.26</v>
      </c>
      <c r="G458" s="28">
        <v>1241.8800000000001</v>
      </c>
      <c r="H458" s="28">
        <v>1242.07</v>
      </c>
      <c r="I458" s="28">
        <v>1250.96</v>
      </c>
      <c r="J458" s="28">
        <v>1270.4100000000001</v>
      </c>
      <c r="K458" s="28">
        <v>1265.54</v>
      </c>
      <c r="L458" s="28">
        <v>1250.9000000000001</v>
      </c>
      <c r="M458" s="28">
        <v>1239.06</v>
      </c>
      <c r="N458" s="28">
        <v>1260.93</v>
      </c>
      <c r="O458" s="88"/>
      <c r="P458" s="88"/>
      <c r="Q458" s="89"/>
      <c r="R458" s="89"/>
      <c r="S458" s="210"/>
      <c r="T458" s="23"/>
      <c r="U458" s="211"/>
      <c r="V458" s="198"/>
      <c r="W458" s="33"/>
      <c r="X458" s="186"/>
      <c r="Y458" s="186"/>
      <c r="Z458" s="186"/>
      <c r="AA458" s="186"/>
    </row>
    <row r="459" spans="1:29" ht="23.3" customHeight="1" x14ac:dyDescent="0.25">
      <c r="A459" s="272"/>
      <c r="B459" s="47"/>
      <c r="C459" s="24"/>
      <c r="D459" s="24"/>
      <c r="E459" s="88" t="s">
        <v>196</v>
      </c>
      <c r="F459" s="66">
        <f t="shared" ref="F459:N459" si="149">IF(((F457="")*AND(F458="")),"",(F457-F458)*3)</f>
        <v>2029.0499999999997</v>
      </c>
      <c r="G459" s="66">
        <f t="shared" si="149"/>
        <v>2038.9499999999996</v>
      </c>
      <c r="H459" s="66">
        <f t="shared" si="149"/>
        <v>2037.3600000000004</v>
      </c>
      <c r="I459" s="66">
        <f t="shared" si="149"/>
        <v>1999.1699999999996</v>
      </c>
      <c r="J459" s="66">
        <f t="shared" si="149"/>
        <v>1967.0699999999995</v>
      </c>
      <c r="K459" s="66">
        <f t="shared" si="149"/>
        <v>1994.4599999999998</v>
      </c>
      <c r="L459" s="66">
        <f t="shared" si="149"/>
        <v>2002.3499999999995</v>
      </c>
      <c r="M459" s="66">
        <f t="shared" si="149"/>
        <v>2035.1100000000004</v>
      </c>
      <c r="N459" s="66">
        <f t="shared" si="149"/>
        <v>2004.84</v>
      </c>
      <c r="O459" s="88"/>
      <c r="P459" s="88"/>
      <c r="Q459" s="89"/>
      <c r="R459" s="89"/>
      <c r="S459" s="210"/>
      <c r="T459" s="23"/>
      <c r="U459" s="211"/>
      <c r="V459" s="198"/>
      <c r="W459" s="33"/>
      <c r="X459" s="186"/>
      <c r="Y459" s="186"/>
      <c r="Z459" s="186"/>
      <c r="AA459" s="186"/>
    </row>
    <row r="460" spans="1:29" x14ac:dyDescent="0.25">
      <c r="A460" s="272">
        <v>43314</v>
      </c>
      <c r="B460" s="47" t="s">
        <v>191</v>
      </c>
      <c r="C460" s="24" t="s">
        <v>176</v>
      </c>
      <c r="D460" s="24" t="s">
        <v>175</v>
      </c>
      <c r="E460" s="88" t="s">
        <v>192</v>
      </c>
      <c r="F460" s="28">
        <v>29144.12</v>
      </c>
      <c r="G460" s="28">
        <v>29078.77</v>
      </c>
      <c r="H460" s="28">
        <v>29121.78</v>
      </c>
      <c r="I460" s="28">
        <v>29072.41</v>
      </c>
      <c r="J460" s="28">
        <v>29150.94</v>
      </c>
      <c r="K460" s="28">
        <v>29126.92</v>
      </c>
      <c r="L460" s="28">
        <v>29076.53</v>
      </c>
      <c r="M460" s="28">
        <v>29078.19</v>
      </c>
      <c r="N460" s="28">
        <v>29144.19</v>
      </c>
      <c r="O460" s="88">
        <f>IF((N461=""),"",MAX(F462:N462))</f>
        <v>4366.0499999999956</v>
      </c>
      <c r="P460" s="88">
        <f>IF(N461="","",MIN(F462:N462))</f>
        <v>3976.1099999999969</v>
      </c>
      <c r="Q460" s="89">
        <f>IF((N462=""),"",AVERAGE(F462:N462))</f>
        <v>4163.6433333333289</v>
      </c>
      <c r="R460" s="89">
        <f>IF((N461=""),"",(O460-P460)/(O460+P460)*100)</f>
        <v>4.674328950775327</v>
      </c>
      <c r="S460" s="181">
        <f>STDEV(F462:N462)</f>
        <v>165.7561474727238</v>
      </c>
      <c r="T460" s="23" t="str">
        <f>IF(N461="","",IF(R460&lt;16,IF(Q460&gt;3200,IF(R460,IF(Q460&lt;5240,"Pass","Fail"),"Fail"),"Fail")))</f>
        <v>Pass</v>
      </c>
      <c r="U460" s="211">
        <v>1335</v>
      </c>
      <c r="V460" s="33" t="s">
        <v>209</v>
      </c>
      <c r="X460" s="184">
        <v>4200</v>
      </c>
      <c r="Y460" s="184">
        <v>5500</v>
      </c>
      <c r="Z460" s="184">
        <v>3200</v>
      </c>
      <c r="AA460" s="184">
        <v>5240</v>
      </c>
      <c r="AB460" s="57">
        <v>16</v>
      </c>
    </row>
    <row r="461" spans="1:29" x14ac:dyDescent="0.25">
      <c r="A461" s="272"/>
      <c r="B461" s="47"/>
      <c r="C461" s="24"/>
      <c r="D461" s="24"/>
      <c r="E461" s="88" t="s">
        <v>193</v>
      </c>
      <c r="F461" s="28">
        <v>27703.24</v>
      </c>
      <c r="G461" s="28">
        <v>27734.43</v>
      </c>
      <c r="H461" s="28">
        <v>27796.41</v>
      </c>
      <c r="I461" s="28">
        <v>27728.15</v>
      </c>
      <c r="J461" s="28">
        <v>27702.36</v>
      </c>
      <c r="K461" s="28">
        <v>27689.9</v>
      </c>
      <c r="L461" s="28">
        <v>27730.6</v>
      </c>
      <c r="M461" s="28">
        <v>27728.99</v>
      </c>
      <c r="N461" s="28">
        <v>27688.84</v>
      </c>
      <c r="O461" s="88"/>
      <c r="P461" s="88"/>
      <c r="Q461" s="89"/>
      <c r="R461" s="89"/>
      <c r="S461" s="210"/>
      <c r="T461" s="23"/>
      <c r="U461" s="211"/>
      <c r="V461" s="198"/>
      <c r="W461" s="33"/>
      <c r="X461" s="186"/>
      <c r="Y461" s="186"/>
      <c r="Z461" s="186"/>
      <c r="AA461" s="186"/>
    </row>
    <row r="462" spans="1:29" ht="22.75" thickBot="1" x14ac:dyDescent="0.3">
      <c r="A462" s="279"/>
      <c r="B462" s="90"/>
      <c r="C462" s="91"/>
      <c r="D462" s="91"/>
      <c r="E462" s="92" t="s">
        <v>194</v>
      </c>
      <c r="F462" s="79">
        <f t="shared" ref="F462:N462" si="150">IF(((F460="")*AND(F461="")),"",(F460-F461)*3)</f>
        <v>4322.6399999999921</v>
      </c>
      <c r="G462" s="79">
        <f t="shared" si="150"/>
        <v>4033.0200000000004</v>
      </c>
      <c r="H462" s="79">
        <f t="shared" si="150"/>
        <v>3976.1099999999969</v>
      </c>
      <c r="I462" s="79">
        <f t="shared" si="150"/>
        <v>4032.7799999999952</v>
      </c>
      <c r="J462" s="79">
        <f t="shared" si="150"/>
        <v>4345.7399999999943</v>
      </c>
      <c r="K462" s="79">
        <f t="shared" si="150"/>
        <v>4311.0599999999904</v>
      </c>
      <c r="L462" s="79">
        <f t="shared" si="150"/>
        <v>4037.7900000000009</v>
      </c>
      <c r="M462" s="79">
        <f t="shared" si="150"/>
        <v>4047.5999999999913</v>
      </c>
      <c r="N462" s="79">
        <f t="shared" si="150"/>
        <v>4366.0499999999956</v>
      </c>
      <c r="O462" s="92"/>
      <c r="P462" s="92"/>
      <c r="Q462" s="93"/>
      <c r="R462" s="93"/>
      <c r="S462" s="213"/>
      <c r="T462" s="214"/>
      <c r="U462" s="215"/>
      <c r="V462" s="198"/>
      <c r="W462" s="33"/>
      <c r="X462" s="186"/>
      <c r="Y462" s="186"/>
      <c r="Z462" s="186"/>
      <c r="AA462" s="186"/>
    </row>
    <row r="463" spans="1:29" x14ac:dyDescent="0.25">
      <c r="A463" s="271">
        <v>43317</v>
      </c>
      <c r="B463" s="63" t="s">
        <v>177</v>
      </c>
      <c r="C463" s="65" t="s">
        <v>179</v>
      </c>
      <c r="D463" s="70" t="s">
        <v>178</v>
      </c>
      <c r="E463" s="67" t="s">
        <v>192</v>
      </c>
      <c r="F463" s="175">
        <v>5124.12</v>
      </c>
      <c r="G463" s="175">
        <v>5025.45</v>
      </c>
      <c r="H463" s="175">
        <v>5029.4399999999996</v>
      </c>
      <c r="I463" s="175">
        <v>5002.0600000000004</v>
      </c>
      <c r="J463" s="175">
        <v>5158.8500000000004</v>
      </c>
      <c r="K463" s="175">
        <v>5160.4399999999996</v>
      </c>
      <c r="L463" s="175">
        <v>5014.55</v>
      </c>
      <c r="M463" s="175">
        <v>5008.5</v>
      </c>
      <c r="N463" s="175">
        <v>5160.5600000000004</v>
      </c>
      <c r="O463" s="67">
        <f>IF((N464=""),"",MAX(F465:N465))</f>
        <v>4009.5200000000004</v>
      </c>
      <c r="P463" s="67">
        <f>IF(N464="","",MIN(F465:N465))</f>
        <v>3664.0599999999995</v>
      </c>
      <c r="Q463" s="68">
        <f>IF((N465=""),"",AVERAGE(F465:N465))</f>
        <v>3886.1088888888894</v>
      </c>
      <c r="R463" s="68">
        <f>IF((N464=""),"",(O463-P463)/(O463+P463)*100)</f>
        <v>4.5019404241566638</v>
      </c>
      <c r="S463" s="181">
        <f>STDEV(F465:N465)</f>
        <v>122.11183812845954</v>
      </c>
      <c r="T463" s="187" t="str">
        <f>IF(N464="","",IF(Q463&gt;3650,IF(R463&lt;7,IF(Q463&lt;4450,"Pass","Fail"),"Fail"),"Fail"))</f>
        <v>Pass</v>
      </c>
      <c r="U463" s="216">
        <v>1340</v>
      </c>
      <c r="V463" s="198"/>
      <c r="W463" s="33"/>
      <c r="X463" s="184">
        <v>3650</v>
      </c>
      <c r="Y463" s="184">
        <v>4450</v>
      </c>
      <c r="Z463" s="184">
        <v>3700</v>
      </c>
      <c r="AA463" s="184">
        <v>4100</v>
      </c>
      <c r="AB463" s="57">
        <v>6.5</v>
      </c>
      <c r="AC463" s="57">
        <v>7</v>
      </c>
    </row>
    <row r="464" spans="1:29" x14ac:dyDescent="0.25">
      <c r="A464" s="272"/>
      <c r="B464" s="47"/>
      <c r="C464" s="24"/>
      <c r="D464" s="24"/>
      <c r="E464" s="88" t="s">
        <v>193</v>
      </c>
      <c r="F464" s="28">
        <v>3235.35</v>
      </c>
      <c r="G464" s="28">
        <v>3043.82</v>
      </c>
      <c r="H464" s="28">
        <v>3025.94</v>
      </c>
      <c r="I464" s="28">
        <v>3019.82</v>
      </c>
      <c r="J464" s="28">
        <v>3268.77</v>
      </c>
      <c r="K464" s="28">
        <v>3328.41</v>
      </c>
      <c r="L464" s="28">
        <v>3038.97</v>
      </c>
      <c r="M464" s="28">
        <v>3003.74</v>
      </c>
      <c r="N464" s="28">
        <v>3231.66</v>
      </c>
      <c r="O464" s="88"/>
      <c r="P464" s="88"/>
      <c r="Q464" s="89"/>
      <c r="R464" s="89"/>
      <c r="S464" s="210"/>
      <c r="T464" s="28"/>
      <c r="U464" s="217"/>
      <c r="V464" s="198"/>
      <c r="W464" s="33"/>
      <c r="X464" s="186"/>
      <c r="Y464" s="186"/>
      <c r="Z464" s="186"/>
      <c r="AA464" s="186"/>
    </row>
    <row r="465" spans="1:29" ht="22.15" x14ac:dyDescent="0.25">
      <c r="A465" s="272"/>
      <c r="B465" s="47"/>
      <c r="C465" s="24"/>
      <c r="D465" s="24"/>
      <c r="E465" s="88" t="s">
        <v>194</v>
      </c>
      <c r="F465" s="66">
        <f t="shared" ref="F465:N465" si="151">IF(((F463="")*AND(F464="")),"",(F463-F464)*2)</f>
        <v>3777.54</v>
      </c>
      <c r="G465" s="66">
        <f t="shared" si="151"/>
        <v>3963.2599999999993</v>
      </c>
      <c r="H465" s="66">
        <f t="shared" si="151"/>
        <v>4006.9999999999991</v>
      </c>
      <c r="I465" s="66">
        <f t="shared" si="151"/>
        <v>3964.4800000000005</v>
      </c>
      <c r="J465" s="66">
        <f t="shared" si="151"/>
        <v>3780.1600000000008</v>
      </c>
      <c r="K465" s="66">
        <f t="shared" si="151"/>
        <v>3664.0599999999995</v>
      </c>
      <c r="L465" s="66">
        <f t="shared" si="151"/>
        <v>3951.1600000000008</v>
      </c>
      <c r="M465" s="66">
        <f t="shared" si="151"/>
        <v>4009.5200000000004</v>
      </c>
      <c r="N465" s="66">
        <f t="shared" si="151"/>
        <v>3857.8000000000011</v>
      </c>
      <c r="O465" s="88"/>
      <c r="P465" s="88"/>
      <c r="Q465" s="89"/>
      <c r="R465" s="89"/>
      <c r="S465" s="210"/>
      <c r="T465" s="28"/>
      <c r="U465" s="217"/>
      <c r="V465" s="198"/>
      <c r="W465" s="33"/>
      <c r="X465" s="186"/>
      <c r="Y465" s="186"/>
      <c r="Z465" s="186"/>
      <c r="AA465" s="186"/>
    </row>
    <row r="466" spans="1:29" x14ac:dyDescent="0.25">
      <c r="A466" s="272">
        <v>43317</v>
      </c>
      <c r="B466" s="24" t="s">
        <v>172</v>
      </c>
      <c r="C466" s="24" t="s">
        <v>174</v>
      </c>
      <c r="D466" s="24" t="s">
        <v>195</v>
      </c>
      <c r="E466" s="88" t="s">
        <v>192</v>
      </c>
      <c r="F466" s="28">
        <v>1251.26</v>
      </c>
      <c r="G466" s="28">
        <v>1241.8800000000001</v>
      </c>
      <c r="H466" s="28">
        <v>1242.07</v>
      </c>
      <c r="I466" s="28">
        <v>1250.96</v>
      </c>
      <c r="J466" s="28">
        <v>1270.4100000000001</v>
      </c>
      <c r="K466" s="28">
        <v>1265.54</v>
      </c>
      <c r="L466" s="28">
        <v>1250.9000000000001</v>
      </c>
      <c r="M466" s="28">
        <v>1239.06</v>
      </c>
      <c r="N466" s="28">
        <v>1260.93</v>
      </c>
      <c r="O466" s="88">
        <f>IF((N467=""),"",MAX(F468:N468))</f>
        <v>2045.0699999999997</v>
      </c>
      <c r="P466" s="88">
        <f>IF(N467="","",MIN(F468:N468))</f>
        <v>1981.5900000000001</v>
      </c>
      <c r="Q466" s="89">
        <f>IF((N468=""),"",AVERAGE(F468:N468))</f>
        <v>2016.0933333333332</v>
      </c>
      <c r="R466" s="89">
        <f>IF((N467=""),"",(O466-P466)/(O466+P466)*100)</f>
        <v>1.576492676312367</v>
      </c>
      <c r="S466" s="181">
        <f>STDEV(F468:N468)</f>
        <v>21.749355737584438</v>
      </c>
      <c r="T466" s="23" t="str">
        <f>IF(N467="","",IF(Q466&gt;1940,IF(R466&lt;8.3,IF(Q466&lt;2180,"Pass","Fail"),"Fail"),"Fail"))</f>
        <v>Pass</v>
      </c>
      <c r="U466" s="211">
        <v>1340</v>
      </c>
      <c r="V466" s="246"/>
      <c r="W466" s="33"/>
      <c r="X466" s="184">
        <v>2000</v>
      </c>
      <c r="Y466" s="184">
        <v>3000</v>
      </c>
      <c r="Z466" s="184">
        <v>1940</v>
      </c>
      <c r="AA466" s="184">
        <v>2180</v>
      </c>
      <c r="AB466" s="57">
        <v>5.2</v>
      </c>
    </row>
    <row r="467" spans="1:29" x14ac:dyDescent="0.25">
      <c r="A467" s="272"/>
      <c r="B467" s="47"/>
      <c r="C467" s="24"/>
      <c r="D467" s="24"/>
      <c r="E467" s="88" t="s">
        <v>193</v>
      </c>
      <c r="F467" s="28">
        <v>578.89</v>
      </c>
      <c r="G467" s="28">
        <v>565.94000000000005</v>
      </c>
      <c r="H467" s="28">
        <v>563.44000000000005</v>
      </c>
      <c r="I467" s="28">
        <v>574.20000000000005</v>
      </c>
      <c r="J467" s="28">
        <v>609.88</v>
      </c>
      <c r="K467" s="28">
        <v>603.85</v>
      </c>
      <c r="L467" s="28">
        <v>579.89</v>
      </c>
      <c r="M467" s="28">
        <v>557.37</v>
      </c>
      <c r="N467" s="28">
        <v>591.27</v>
      </c>
      <c r="O467" s="88"/>
      <c r="P467" s="88"/>
      <c r="Q467" s="89"/>
      <c r="R467" s="89"/>
      <c r="S467" s="210"/>
      <c r="T467" s="23"/>
      <c r="U467" s="211"/>
      <c r="V467" s="246"/>
      <c r="W467" s="33"/>
      <c r="X467" s="186"/>
      <c r="Y467" s="186"/>
      <c r="Z467" s="186"/>
      <c r="AA467" s="186"/>
    </row>
    <row r="468" spans="1:29" x14ac:dyDescent="0.25">
      <c r="A468" s="272"/>
      <c r="B468" s="47"/>
      <c r="C468" s="24"/>
      <c r="D468" s="24"/>
      <c r="E468" s="88" t="s">
        <v>196</v>
      </c>
      <c r="F468" s="66">
        <f t="shared" ref="F468:N468" si="152">IF(((F466="")*AND(F467="")),"",(F466-F467)*3)</f>
        <v>2017.1100000000001</v>
      </c>
      <c r="G468" s="66">
        <f t="shared" si="152"/>
        <v>2027.8200000000002</v>
      </c>
      <c r="H468" s="66">
        <f t="shared" si="152"/>
        <v>2035.8899999999996</v>
      </c>
      <c r="I468" s="66">
        <f t="shared" si="152"/>
        <v>2030.28</v>
      </c>
      <c r="J468" s="66">
        <f t="shared" si="152"/>
        <v>1981.5900000000001</v>
      </c>
      <c r="K468" s="66">
        <f t="shared" si="152"/>
        <v>1985.0699999999997</v>
      </c>
      <c r="L468" s="66">
        <f t="shared" si="152"/>
        <v>2013.0300000000002</v>
      </c>
      <c r="M468" s="66">
        <f t="shared" si="152"/>
        <v>2045.0699999999997</v>
      </c>
      <c r="N468" s="66">
        <f t="shared" si="152"/>
        <v>2008.9800000000002</v>
      </c>
      <c r="O468" s="88"/>
      <c r="P468" s="88"/>
      <c r="Q468" s="89"/>
      <c r="R468" s="89"/>
      <c r="S468" s="210"/>
      <c r="T468" s="23"/>
      <c r="U468" s="211"/>
      <c r="V468" s="246"/>
      <c r="W468" s="33"/>
      <c r="X468" s="186"/>
      <c r="Y468" s="186"/>
      <c r="Z468" s="186"/>
      <c r="AA468" s="186"/>
    </row>
    <row r="469" spans="1:29" x14ac:dyDescent="0.25">
      <c r="A469" s="272">
        <v>43317</v>
      </c>
      <c r="B469" s="47" t="s">
        <v>191</v>
      </c>
      <c r="C469" s="24" t="s">
        <v>176</v>
      </c>
      <c r="D469" s="24" t="s">
        <v>175</v>
      </c>
      <c r="E469" s="88" t="s">
        <v>192</v>
      </c>
      <c r="F469" s="28">
        <v>27703.24</v>
      </c>
      <c r="G469" s="28">
        <v>27734.43</v>
      </c>
      <c r="H469" s="28">
        <v>27796.41</v>
      </c>
      <c r="I469" s="28">
        <v>27728.15</v>
      </c>
      <c r="J469" s="28">
        <v>27702.36</v>
      </c>
      <c r="K469" s="28">
        <v>27689.9</v>
      </c>
      <c r="L469" s="28">
        <v>27730.6</v>
      </c>
      <c r="M469" s="28">
        <v>27728.99</v>
      </c>
      <c r="N469" s="28">
        <v>27688.84</v>
      </c>
      <c r="O469" s="88">
        <f>IF((N470=""),"",MAX(F471:N471))</f>
        <v>4731.3300000000017</v>
      </c>
      <c r="P469" s="88">
        <f>IF(N470="","",MIN(F471:N471))</f>
        <v>4184.4300000000039</v>
      </c>
      <c r="Q469" s="89">
        <f>IF((N471=""),"",AVERAGE(F471:N471))</f>
        <v>4412.7866666666705</v>
      </c>
      <c r="R469" s="89">
        <f>IF((N470=""),"",(O469-P469)/(O469+P469)*100)</f>
        <v>6.1340816711082118</v>
      </c>
      <c r="S469" s="181">
        <f>STDEV(F471:N471)</f>
        <v>201.27683833466784</v>
      </c>
      <c r="T469" s="23" t="str">
        <f>IF(N470="","",IF(R469&lt;16,IF(Q469&gt;3200,IF(R469,IF(Q469&lt;5240,"Pass","Fail"),"Fail"),"Fail")))</f>
        <v>Pass</v>
      </c>
      <c r="U469" s="211">
        <v>1340</v>
      </c>
      <c r="V469" s="246"/>
      <c r="W469" s="33"/>
      <c r="X469" s="184">
        <v>4200</v>
      </c>
      <c r="Y469" s="184">
        <v>5500</v>
      </c>
      <c r="Z469" s="184">
        <v>3200</v>
      </c>
      <c r="AA469" s="184">
        <v>5240</v>
      </c>
      <c r="AB469" s="57">
        <v>16</v>
      </c>
    </row>
    <row r="470" spans="1:29" x14ac:dyDescent="0.25">
      <c r="A470" s="272"/>
      <c r="B470" s="47"/>
      <c r="C470" s="24"/>
      <c r="D470" s="24"/>
      <c r="E470" s="88" t="s">
        <v>193</v>
      </c>
      <c r="F470" s="28">
        <v>26175.439999999999</v>
      </c>
      <c r="G470" s="28">
        <v>26316.12</v>
      </c>
      <c r="H470" s="28">
        <v>26401.599999999999</v>
      </c>
      <c r="I470" s="28">
        <v>26300.71</v>
      </c>
      <c r="J470" s="28">
        <v>26160.54</v>
      </c>
      <c r="K470" s="28">
        <v>26187.82</v>
      </c>
      <c r="L470" s="28">
        <v>26325.34</v>
      </c>
      <c r="M470" s="28">
        <v>26285.26</v>
      </c>
      <c r="N470" s="28">
        <v>26111.73</v>
      </c>
      <c r="O470" s="88"/>
      <c r="P470" s="88"/>
      <c r="Q470" s="89"/>
      <c r="R470" s="89"/>
      <c r="S470" s="210"/>
      <c r="T470" s="23"/>
      <c r="U470" s="211"/>
      <c r="V470" s="246"/>
      <c r="W470" s="33"/>
      <c r="X470" s="186"/>
      <c r="Y470" s="186"/>
      <c r="Z470" s="186"/>
      <c r="AA470" s="186"/>
    </row>
    <row r="471" spans="1:29" ht="22.75" thickBot="1" x14ac:dyDescent="0.3">
      <c r="A471" s="279"/>
      <c r="B471" s="90"/>
      <c r="C471" s="91"/>
      <c r="D471" s="91"/>
      <c r="E471" s="92" t="s">
        <v>194</v>
      </c>
      <c r="F471" s="79">
        <f t="shared" ref="F471:N471" si="153">IF(((F469="")*AND(F470="")),"",(F469-F470)*3)</f>
        <v>4583.4000000000087</v>
      </c>
      <c r="G471" s="79">
        <f t="shared" si="153"/>
        <v>4254.9300000000039</v>
      </c>
      <c r="H471" s="79">
        <f t="shared" si="153"/>
        <v>4184.4300000000039</v>
      </c>
      <c r="I471" s="79">
        <f t="shared" si="153"/>
        <v>4282.320000000007</v>
      </c>
      <c r="J471" s="79">
        <f t="shared" si="153"/>
        <v>4625.4599999999991</v>
      </c>
      <c r="K471" s="79">
        <f t="shared" si="153"/>
        <v>4506.2400000000052</v>
      </c>
      <c r="L471" s="79">
        <f t="shared" si="153"/>
        <v>4215.7799999999952</v>
      </c>
      <c r="M471" s="79">
        <f t="shared" si="153"/>
        <v>4331.1900000000096</v>
      </c>
      <c r="N471" s="79">
        <f t="shared" si="153"/>
        <v>4731.3300000000017</v>
      </c>
      <c r="O471" s="92"/>
      <c r="P471" s="92"/>
      <c r="Q471" s="93"/>
      <c r="R471" s="93"/>
      <c r="S471" s="213"/>
      <c r="T471" s="214"/>
      <c r="U471" s="215"/>
      <c r="V471" s="246"/>
      <c r="W471" s="33"/>
      <c r="X471" s="186"/>
      <c r="Y471" s="186"/>
      <c r="Z471" s="186"/>
      <c r="AA471" s="186"/>
    </row>
    <row r="472" spans="1:29" x14ac:dyDescent="0.25">
      <c r="A472" s="271">
        <v>43320</v>
      </c>
      <c r="B472" s="63" t="s">
        <v>177</v>
      </c>
      <c r="C472" s="65" t="s">
        <v>179</v>
      </c>
      <c r="D472" s="70" t="s">
        <v>178</v>
      </c>
      <c r="E472" s="67" t="s">
        <v>192</v>
      </c>
      <c r="F472" s="175">
        <v>6839.48</v>
      </c>
      <c r="G472" s="175">
        <v>6826.21</v>
      </c>
      <c r="H472" s="175">
        <v>6870.9</v>
      </c>
      <c r="I472" s="175">
        <v>6834.68</v>
      </c>
      <c r="J472" s="175">
        <v>6894.53</v>
      </c>
      <c r="K472" s="175">
        <v>6858.91</v>
      </c>
      <c r="L472" s="175">
        <v>6859.58</v>
      </c>
      <c r="M472" s="175">
        <v>6862.33</v>
      </c>
      <c r="N472" s="175">
        <v>6947.74</v>
      </c>
      <c r="O472" s="67">
        <f>IF((N473=""),"",MAX(F474:N474))</f>
        <v>4023.8600000000006</v>
      </c>
      <c r="P472" s="67">
        <f>IF(N473="","",MIN(F474:N474))</f>
        <v>3680.4400000000005</v>
      </c>
      <c r="Q472" s="68">
        <f>IF((N474=""),"",AVERAGE(F474:N474))</f>
        <v>3900.0977777777775</v>
      </c>
      <c r="R472" s="68">
        <f>IF((N473=""),"",(O472-P472)/(O472+P472)*100)</f>
        <v>4.4575107407551631</v>
      </c>
      <c r="S472" s="181">
        <f>STDEV(F474:N474)</f>
        <v>119.54010140720344</v>
      </c>
      <c r="T472" s="187" t="str">
        <f>IF(N473="","",IF(Q472&gt;3650,IF(R472&lt;7,IF(Q472&lt;4450,"Pass","Fail"),"Fail"),"Fail"))</f>
        <v>Pass</v>
      </c>
      <c r="U472" s="216" t="s">
        <v>53</v>
      </c>
      <c r="V472" s="33" t="s">
        <v>210</v>
      </c>
      <c r="X472" s="184">
        <v>3650</v>
      </c>
      <c r="Y472" s="184">
        <v>4450</v>
      </c>
      <c r="Z472" s="184">
        <v>3700</v>
      </c>
      <c r="AA472" s="184">
        <v>4100</v>
      </c>
      <c r="AB472" s="57">
        <v>6.5</v>
      </c>
      <c r="AC472" s="57">
        <v>7</v>
      </c>
    </row>
    <row r="473" spans="1:29" x14ac:dyDescent="0.25">
      <c r="A473" s="272"/>
      <c r="B473" s="47"/>
      <c r="C473" s="24"/>
      <c r="D473" s="24"/>
      <c r="E473" s="88" t="s">
        <v>193</v>
      </c>
      <c r="F473" s="28">
        <v>4945.67</v>
      </c>
      <c r="G473" s="28">
        <v>4843.21</v>
      </c>
      <c r="H473" s="28">
        <v>4860.76</v>
      </c>
      <c r="I473" s="28">
        <v>4848.45</v>
      </c>
      <c r="J473" s="28">
        <v>4994.22</v>
      </c>
      <c r="K473" s="28">
        <v>5018.6899999999996</v>
      </c>
      <c r="L473" s="28">
        <v>4877.9399999999996</v>
      </c>
      <c r="M473" s="28">
        <v>4850.3999999999996</v>
      </c>
      <c r="N473" s="28">
        <v>5004.58</v>
      </c>
      <c r="O473" s="88"/>
      <c r="P473" s="88"/>
      <c r="Q473" s="89"/>
      <c r="R473" s="89"/>
      <c r="S473" s="210"/>
      <c r="T473" s="28"/>
      <c r="U473" s="217"/>
      <c r="V473" s="33"/>
      <c r="X473" s="186"/>
      <c r="Y473" s="186"/>
      <c r="Z473" s="186"/>
      <c r="AA473" s="186"/>
    </row>
    <row r="474" spans="1:29" ht="27" customHeight="1" x14ac:dyDescent="0.25">
      <c r="A474" s="272"/>
      <c r="B474" s="47"/>
      <c r="C474" s="24"/>
      <c r="D474" s="24"/>
      <c r="E474" s="88" t="s">
        <v>194</v>
      </c>
      <c r="F474" s="66">
        <f t="shared" ref="F474:N474" si="154">IF(((F472="")*AND(F473="")),"",(F472-F473)*2)</f>
        <v>3787.619999999999</v>
      </c>
      <c r="G474" s="66">
        <f t="shared" si="154"/>
        <v>3966</v>
      </c>
      <c r="H474" s="66">
        <f t="shared" si="154"/>
        <v>4020.2799999999988</v>
      </c>
      <c r="I474" s="66">
        <f t="shared" si="154"/>
        <v>3972.4600000000009</v>
      </c>
      <c r="J474" s="66">
        <f t="shared" si="154"/>
        <v>3800.619999999999</v>
      </c>
      <c r="K474" s="66">
        <f t="shared" si="154"/>
        <v>3680.4400000000005</v>
      </c>
      <c r="L474" s="66">
        <f t="shared" si="154"/>
        <v>3963.2800000000007</v>
      </c>
      <c r="M474" s="66">
        <f t="shared" si="154"/>
        <v>4023.8600000000006</v>
      </c>
      <c r="N474" s="66">
        <f t="shared" si="154"/>
        <v>3886.3199999999997</v>
      </c>
      <c r="O474" s="88"/>
      <c r="P474" s="88"/>
      <c r="Q474" s="89"/>
      <c r="R474" s="89"/>
      <c r="S474" s="210"/>
      <c r="T474" s="28"/>
      <c r="U474" s="217"/>
      <c r="V474" s="33"/>
      <c r="X474" s="186"/>
      <c r="Y474" s="186"/>
      <c r="Z474" s="186"/>
      <c r="AA474" s="186"/>
    </row>
    <row r="475" spans="1:29" x14ac:dyDescent="0.25">
      <c r="A475" s="272">
        <v>43320</v>
      </c>
      <c r="B475" s="24" t="s">
        <v>172</v>
      </c>
      <c r="C475" s="24" t="s">
        <v>174</v>
      </c>
      <c r="D475" s="24" t="s">
        <v>195</v>
      </c>
      <c r="E475" s="88" t="s">
        <v>192</v>
      </c>
      <c r="F475" s="28">
        <v>1938.66</v>
      </c>
      <c r="G475" s="28">
        <v>1935.67</v>
      </c>
      <c r="H475" s="28">
        <v>1931.73</v>
      </c>
      <c r="I475" s="28">
        <v>1932.9</v>
      </c>
      <c r="J475" s="28">
        <v>1939.29</v>
      </c>
      <c r="K475" s="28">
        <v>1940.86</v>
      </c>
      <c r="L475" s="28">
        <v>1932.62</v>
      </c>
      <c r="M475" s="28">
        <v>1933.16</v>
      </c>
      <c r="N475" s="28">
        <v>1936.88</v>
      </c>
      <c r="O475" s="88">
        <f>IF((N476=""),"",MAX(F477:N477))</f>
        <v>2056.9500000000003</v>
      </c>
      <c r="P475" s="88">
        <f>IF(N476="","",MIN(F477:N477))</f>
        <v>1995.8999999999999</v>
      </c>
      <c r="Q475" s="89">
        <f>IF((N477=""),"",AVERAGE(F477:N477))</f>
        <v>2027.5500000000002</v>
      </c>
      <c r="R475" s="89">
        <f>IF((N476=""),"",(O475-P475)/(O475+P475)*100)</f>
        <v>1.5063473851734064</v>
      </c>
      <c r="S475" s="181">
        <f>STDEV(F477:N477)</f>
        <v>21.512735181747718</v>
      </c>
      <c r="T475" s="23" t="str">
        <f>IF(N476="","",IF(Q475&gt;1940,IF(R475&lt;8.3,IF(Q475&lt;2180,"Pass","Fail"),"Fail"),"Fail"))</f>
        <v>Pass</v>
      </c>
      <c r="U475" s="211" t="s">
        <v>53</v>
      </c>
      <c r="V475" s="33" t="s">
        <v>210</v>
      </c>
      <c r="X475" s="184">
        <v>2000</v>
      </c>
      <c r="Y475" s="184">
        <v>3000</v>
      </c>
      <c r="Z475" s="184">
        <v>1940</v>
      </c>
      <c r="AA475" s="184">
        <v>2180</v>
      </c>
      <c r="AB475" s="57">
        <v>5.2</v>
      </c>
    </row>
    <row r="476" spans="1:29" x14ac:dyDescent="0.25">
      <c r="A476" s="272"/>
      <c r="B476" s="47"/>
      <c r="C476" s="24"/>
      <c r="D476" s="24"/>
      <c r="E476" s="88" t="s">
        <v>193</v>
      </c>
      <c r="F476" s="28">
        <v>1265.73</v>
      </c>
      <c r="G476" s="28">
        <v>1250.02</v>
      </c>
      <c r="H476" s="28">
        <v>1251</v>
      </c>
      <c r="I476" s="28">
        <v>1256.01</v>
      </c>
      <c r="J476" s="28">
        <v>1273.99</v>
      </c>
      <c r="K476" s="28">
        <v>1271.67</v>
      </c>
      <c r="L476" s="28">
        <v>1255.83</v>
      </c>
      <c r="M476" s="28">
        <v>1247.8499999999999</v>
      </c>
      <c r="N476" s="28">
        <v>1267.02</v>
      </c>
      <c r="O476" s="88"/>
      <c r="P476" s="88"/>
      <c r="Q476" s="89"/>
      <c r="R476" s="89"/>
      <c r="S476" s="210"/>
      <c r="T476" s="23"/>
      <c r="U476" s="211"/>
      <c r="V476" s="33"/>
      <c r="X476" s="186"/>
      <c r="Y476" s="186"/>
      <c r="Z476" s="186"/>
      <c r="AA476" s="186"/>
    </row>
    <row r="477" spans="1:29" ht="27" customHeight="1" x14ac:dyDescent="0.25">
      <c r="A477" s="272"/>
      <c r="B477" s="47"/>
      <c r="C477" s="24"/>
      <c r="D477" s="24"/>
      <c r="E477" s="88" t="s">
        <v>196</v>
      </c>
      <c r="F477" s="66">
        <f t="shared" ref="F477:N477" si="155">IF(((F475="")*AND(F476="")),"",(F475-F476)*3)</f>
        <v>2018.7900000000002</v>
      </c>
      <c r="G477" s="66">
        <f t="shared" si="155"/>
        <v>2056.9500000000003</v>
      </c>
      <c r="H477" s="66">
        <f t="shared" si="155"/>
        <v>2042.19</v>
      </c>
      <c r="I477" s="66">
        <f t="shared" si="155"/>
        <v>2030.6700000000003</v>
      </c>
      <c r="J477" s="66">
        <f t="shared" si="155"/>
        <v>1995.8999999999999</v>
      </c>
      <c r="K477" s="66">
        <f t="shared" si="155"/>
        <v>2007.5699999999995</v>
      </c>
      <c r="L477" s="66">
        <f t="shared" si="155"/>
        <v>2030.37</v>
      </c>
      <c r="M477" s="66">
        <f t="shared" si="155"/>
        <v>2055.9300000000003</v>
      </c>
      <c r="N477" s="66">
        <f t="shared" si="155"/>
        <v>2009.5800000000004</v>
      </c>
      <c r="O477" s="88"/>
      <c r="P477" s="88"/>
      <c r="Q477" s="89"/>
      <c r="R477" s="89"/>
      <c r="S477" s="210"/>
      <c r="T477" s="23"/>
      <c r="U477" s="211"/>
      <c r="V477" s="33"/>
      <c r="X477" s="186"/>
      <c r="Y477" s="186"/>
      <c r="Z477" s="186"/>
      <c r="AA477" s="186"/>
    </row>
    <row r="478" spans="1:29" x14ac:dyDescent="0.25">
      <c r="A478" s="272">
        <v>43320</v>
      </c>
      <c r="B478" s="47" t="s">
        <v>191</v>
      </c>
      <c r="C478" s="24" t="s">
        <v>176</v>
      </c>
      <c r="D478" s="24" t="s">
        <v>175</v>
      </c>
      <c r="E478" s="88" t="s">
        <v>192</v>
      </c>
      <c r="F478" s="28">
        <v>26122.21</v>
      </c>
      <c r="G478" s="28">
        <v>26254.959999999999</v>
      </c>
      <c r="H478" s="28">
        <v>26351.23</v>
      </c>
      <c r="I478" s="28">
        <v>26250.27</v>
      </c>
      <c r="J478" s="28">
        <v>26096.11</v>
      </c>
      <c r="K478" s="28">
        <v>26137.99</v>
      </c>
      <c r="L478" s="28">
        <v>26273.69</v>
      </c>
      <c r="M478" s="28">
        <v>26226.48</v>
      </c>
      <c r="N478" s="28">
        <v>26048.83</v>
      </c>
      <c r="O478" s="88">
        <f>IF((N479=""),"",MAX(F480:N480))</f>
        <v>4519.1999999999935</v>
      </c>
      <c r="P478" s="88">
        <f>IF(N479="","",MIN(F480:N480))</f>
        <v>4060.0800000000017</v>
      </c>
      <c r="Q478" s="89">
        <f>IF((N480=""),"",AVERAGE(F480:N480))</f>
        <v>4252.329999999999</v>
      </c>
      <c r="R478" s="89">
        <f>IF((N479=""),"",(O478-P478)/(O478+P478)*100)</f>
        <v>5.3514980278064357</v>
      </c>
      <c r="S478" s="181">
        <f>STDEV(F480:N480)</f>
        <v>175.78514399686941</v>
      </c>
      <c r="T478" s="23" t="str">
        <f>IF(N479="","",IF(R478&lt;16,IF(Q478&gt;3200,IF(R478,IF(Q478&lt;5240,"Pass","Fail"),"Fail"),"Fail")))</f>
        <v>Pass</v>
      </c>
      <c r="U478" s="211" t="s">
        <v>53</v>
      </c>
      <c r="V478" s="33" t="s">
        <v>210</v>
      </c>
      <c r="X478" s="184">
        <v>4200</v>
      </c>
      <c r="Y478" s="184">
        <v>5500</v>
      </c>
      <c r="Z478" s="184">
        <v>3200</v>
      </c>
      <c r="AA478" s="184">
        <v>5240</v>
      </c>
      <c r="AB478" s="57">
        <v>16</v>
      </c>
    </row>
    <row r="479" spans="1:29" x14ac:dyDescent="0.25">
      <c r="A479" s="272"/>
      <c r="B479" s="47"/>
      <c r="C479" s="24"/>
      <c r="D479" s="24"/>
      <c r="E479" s="88" t="s">
        <v>193</v>
      </c>
      <c r="F479" s="28">
        <v>24615.81</v>
      </c>
      <c r="G479" s="28">
        <v>24874.9</v>
      </c>
      <c r="H479" s="28">
        <v>24997.87</v>
      </c>
      <c r="I479" s="28">
        <v>24883.32</v>
      </c>
      <c r="J479" s="28">
        <v>24641.73</v>
      </c>
      <c r="K479" s="28">
        <v>24671.02</v>
      </c>
      <c r="L479" s="28">
        <v>24897.32</v>
      </c>
      <c r="M479" s="28">
        <v>24854.27</v>
      </c>
      <c r="N479" s="28">
        <v>24568.54</v>
      </c>
      <c r="O479" s="88"/>
      <c r="P479" s="88"/>
      <c r="Q479" s="89"/>
      <c r="R479" s="89"/>
      <c r="S479" s="210"/>
      <c r="T479" s="23"/>
      <c r="U479" s="211"/>
      <c r="V479" s="33"/>
      <c r="X479" s="186"/>
      <c r="Y479" s="186"/>
      <c r="Z479" s="186"/>
      <c r="AA479" s="186"/>
    </row>
    <row r="480" spans="1:29" ht="22.75" thickBot="1" x14ac:dyDescent="0.3">
      <c r="A480" s="279"/>
      <c r="B480" s="90"/>
      <c r="C480" s="91"/>
      <c r="D480" s="91"/>
      <c r="E480" s="92" t="s">
        <v>194</v>
      </c>
      <c r="F480" s="79">
        <f t="shared" ref="F480:N480" si="156">IF(((F478="")*AND(F479="")),"",(F478-F479)*3)</f>
        <v>4519.1999999999935</v>
      </c>
      <c r="G480" s="79">
        <f t="shared" si="156"/>
        <v>4140.179999999993</v>
      </c>
      <c r="H480" s="79">
        <f t="shared" si="156"/>
        <v>4060.0800000000017</v>
      </c>
      <c r="I480" s="79">
        <f t="shared" si="156"/>
        <v>4100.8500000000022</v>
      </c>
      <c r="J480" s="79">
        <f t="shared" si="156"/>
        <v>4363.1400000000031</v>
      </c>
      <c r="K480" s="79">
        <f t="shared" si="156"/>
        <v>4400.9100000000035</v>
      </c>
      <c r="L480" s="79">
        <f t="shared" si="156"/>
        <v>4129.1099999999969</v>
      </c>
      <c r="M480" s="79">
        <f t="shared" si="156"/>
        <v>4116.6299999999974</v>
      </c>
      <c r="N480" s="79">
        <f t="shared" si="156"/>
        <v>4440.8700000000026</v>
      </c>
      <c r="O480" s="92"/>
      <c r="P480" s="92"/>
      <c r="Q480" s="93"/>
      <c r="R480" s="93"/>
      <c r="S480" s="213"/>
      <c r="T480" s="214"/>
      <c r="U480" s="215"/>
      <c r="V480" s="33"/>
      <c r="X480" s="186"/>
      <c r="Y480" s="186"/>
      <c r="Z480" s="186"/>
      <c r="AA480" s="186"/>
    </row>
    <row r="481" spans="1:29" x14ac:dyDescent="0.25">
      <c r="A481" s="271">
        <v>43322</v>
      </c>
      <c r="B481" s="63" t="s">
        <v>177</v>
      </c>
      <c r="C481" s="65" t="s">
        <v>179</v>
      </c>
      <c r="D481" s="70" t="s">
        <v>178</v>
      </c>
      <c r="E481" s="67" t="s">
        <v>192</v>
      </c>
      <c r="F481" s="33">
        <v>4953.6000000000004</v>
      </c>
      <c r="G481" s="33">
        <v>4853.66</v>
      </c>
      <c r="H481" s="33">
        <v>4870.76</v>
      </c>
      <c r="I481" s="33">
        <v>4858.71</v>
      </c>
      <c r="J481" s="33">
        <v>5000.79</v>
      </c>
      <c r="K481" s="33">
        <v>5025</v>
      </c>
      <c r="L481" s="33">
        <v>4887.74</v>
      </c>
      <c r="M481" s="33">
        <v>4860.87</v>
      </c>
      <c r="N481" s="33">
        <v>5011.5</v>
      </c>
      <c r="O481" s="67">
        <f>IF((N482=""),"",MAX(F483:N483))</f>
        <v>4035.6400000000003</v>
      </c>
      <c r="P481" s="67">
        <f>IF(N482="","",MIN(F483:N483))</f>
        <v>3675.62</v>
      </c>
      <c r="Q481" s="68">
        <f>IF((N483=""),"",AVERAGE(F483:N483))</f>
        <v>3908.1888888888884</v>
      </c>
      <c r="R481" s="68">
        <f>IF((N482=""),"",(O481-P481)/(O481+P481)*100)</f>
        <v>4.66875711621707</v>
      </c>
      <c r="S481" s="181">
        <f>STDEV(F483:N483)</f>
        <v>127.82060362520221</v>
      </c>
      <c r="T481" s="187" t="str">
        <f>IF(N482="","",IF(Q481&gt;3650,IF(R481&lt;7,IF(Q481&lt;4450,"Pass","Fail"),"Fail"),"Fail"))</f>
        <v>Pass</v>
      </c>
      <c r="U481" s="216">
        <v>1428</v>
      </c>
      <c r="V481" s="33"/>
      <c r="X481" s="184">
        <v>3650</v>
      </c>
      <c r="Y481" s="184">
        <v>4450</v>
      </c>
      <c r="Z481" s="184">
        <v>3700</v>
      </c>
      <c r="AA481" s="184">
        <v>4100</v>
      </c>
      <c r="AB481" s="57">
        <v>6.5</v>
      </c>
      <c r="AC481" s="57">
        <v>7</v>
      </c>
    </row>
    <row r="482" spans="1:29" x14ac:dyDescent="0.25">
      <c r="A482" s="272"/>
      <c r="B482" s="47"/>
      <c r="C482" s="24"/>
      <c r="D482" s="24"/>
      <c r="E482" s="88" t="s">
        <v>193</v>
      </c>
      <c r="F482" s="33">
        <v>3052.71</v>
      </c>
      <c r="G482" s="33">
        <v>2859.34</v>
      </c>
      <c r="H482" s="33">
        <v>2852.94</v>
      </c>
      <c r="I482" s="33">
        <v>2863.09</v>
      </c>
      <c r="J482" s="33">
        <v>3105.68</v>
      </c>
      <c r="K482" s="33">
        <v>3187.19</v>
      </c>
      <c r="L482" s="33">
        <v>2899.51</v>
      </c>
      <c r="M482" s="33">
        <v>2843.09</v>
      </c>
      <c r="N482" s="33">
        <v>3072.23</v>
      </c>
      <c r="O482" s="88"/>
      <c r="P482" s="88"/>
      <c r="Q482" s="89"/>
      <c r="R482" s="89"/>
      <c r="S482" s="210"/>
      <c r="T482" s="28"/>
      <c r="U482" s="217"/>
      <c r="V482" s="33"/>
      <c r="X482" s="186"/>
      <c r="Y482" s="186"/>
      <c r="Z482" s="186"/>
      <c r="AA482" s="186"/>
    </row>
    <row r="483" spans="1:29" ht="22.15" x14ac:dyDescent="0.25">
      <c r="A483" s="272"/>
      <c r="B483" s="47"/>
      <c r="C483" s="24"/>
      <c r="D483" s="24"/>
      <c r="E483" s="88" t="s">
        <v>194</v>
      </c>
      <c r="F483" s="66">
        <f t="shared" ref="F483:N483" si="157">IF(((F481="")*AND(F482="")),"",(F481-F482)*2)</f>
        <v>3801.7800000000007</v>
      </c>
      <c r="G483" s="66">
        <f t="shared" si="157"/>
        <v>3988.6399999999994</v>
      </c>
      <c r="H483" s="66">
        <f t="shared" si="157"/>
        <v>4035.6400000000003</v>
      </c>
      <c r="I483" s="66">
        <f t="shared" si="157"/>
        <v>3991.24</v>
      </c>
      <c r="J483" s="66">
        <f t="shared" si="157"/>
        <v>3790.2200000000003</v>
      </c>
      <c r="K483" s="66">
        <f t="shared" si="157"/>
        <v>3675.62</v>
      </c>
      <c r="L483" s="66">
        <f t="shared" si="157"/>
        <v>3976.4599999999991</v>
      </c>
      <c r="M483" s="66">
        <f t="shared" si="157"/>
        <v>4035.5599999999995</v>
      </c>
      <c r="N483" s="66">
        <f t="shared" si="157"/>
        <v>3878.54</v>
      </c>
      <c r="O483" s="88"/>
      <c r="P483" s="88"/>
      <c r="Q483" s="89"/>
      <c r="R483" s="89"/>
      <c r="S483" s="210"/>
      <c r="T483" s="28"/>
      <c r="U483" s="217"/>
      <c r="V483" s="33"/>
      <c r="X483" s="186"/>
      <c r="Y483" s="186"/>
      <c r="Z483" s="186"/>
      <c r="AA483" s="186"/>
    </row>
    <row r="484" spans="1:29" x14ac:dyDescent="0.25">
      <c r="A484" s="272">
        <v>43322</v>
      </c>
      <c r="B484" s="24" t="s">
        <v>172</v>
      </c>
      <c r="C484" s="24" t="s">
        <v>174</v>
      </c>
      <c r="D484" s="24" t="s">
        <v>195</v>
      </c>
      <c r="E484" s="88" t="s">
        <v>192</v>
      </c>
      <c r="F484" s="33">
        <v>1273.8399999999999</v>
      </c>
      <c r="G484" s="33">
        <v>1251.7</v>
      </c>
      <c r="H484" s="33">
        <v>1253.77</v>
      </c>
      <c r="I484" s="33">
        <v>1259.04</v>
      </c>
      <c r="J484" s="33">
        <v>1276.1099999999999</v>
      </c>
      <c r="K484" s="33">
        <v>1273.43</v>
      </c>
      <c r="L484" s="33">
        <v>1258.04</v>
      </c>
      <c r="M484" s="33">
        <v>1249.3800000000001</v>
      </c>
      <c r="N484" s="33">
        <v>1271.74</v>
      </c>
      <c r="O484" s="88">
        <f>IF((N485=""),"",MAX(F486:N486))</f>
        <v>2061.5099999999998</v>
      </c>
      <c r="P484" s="88">
        <f>IF(N485="","",MIN(F486:N486))</f>
        <v>1972.2599999999995</v>
      </c>
      <c r="Q484" s="89">
        <f>IF((N486=""),"",AVERAGE(F486:N486))</f>
        <v>2034.1366666666665</v>
      </c>
      <c r="R484" s="89">
        <f>IF((N485=""),"",(O484-P484)/(O484+P484)*100)</f>
        <v>2.2125703746123415</v>
      </c>
      <c r="S484" s="181">
        <f>STDEV(F486:N486)</f>
        <v>32.939218266376628</v>
      </c>
      <c r="T484" s="23" t="str">
        <f>IF(N485="","",IF(Q484&gt;1940,IF(R484&lt;8.3,IF(Q484&lt;2180,"Pass","Fail"),"Fail"),"Fail"))</f>
        <v>Pass</v>
      </c>
      <c r="U484" s="211">
        <v>1428</v>
      </c>
      <c r="V484" s="33"/>
      <c r="X484" s="184">
        <v>2000</v>
      </c>
      <c r="Y484" s="184">
        <v>3000</v>
      </c>
      <c r="Z484" s="184">
        <v>1940</v>
      </c>
      <c r="AA484" s="184">
        <v>2180</v>
      </c>
      <c r="AB484" s="57">
        <v>5.2</v>
      </c>
    </row>
    <row r="485" spans="1:29" x14ac:dyDescent="0.25">
      <c r="A485" s="272"/>
      <c r="B485" s="47"/>
      <c r="C485" s="24"/>
      <c r="D485" s="24"/>
      <c r="E485" s="88" t="s">
        <v>193</v>
      </c>
      <c r="F485" s="33">
        <v>587.09</v>
      </c>
      <c r="G485" s="33">
        <v>564.78</v>
      </c>
      <c r="H485" s="33">
        <v>566.6</v>
      </c>
      <c r="I485" s="33">
        <v>577.66</v>
      </c>
      <c r="J485" s="33">
        <v>618.69000000000005</v>
      </c>
      <c r="K485" s="33">
        <v>606.55999999999995</v>
      </c>
      <c r="L485" s="33">
        <v>577.97</v>
      </c>
      <c r="M485" s="33">
        <v>562.49</v>
      </c>
      <c r="N485" s="33">
        <v>602.79999999999995</v>
      </c>
      <c r="O485" s="88"/>
      <c r="P485" s="88"/>
      <c r="Q485" s="89"/>
      <c r="R485" s="89"/>
      <c r="S485" s="210"/>
      <c r="T485" s="23"/>
      <c r="U485" s="211"/>
      <c r="V485" s="33"/>
      <c r="X485" s="186"/>
      <c r="Y485" s="186"/>
      <c r="Z485" s="186"/>
      <c r="AA485" s="186"/>
    </row>
    <row r="486" spans="1:29" x14ac:dyDescent="0.25">
      <c r="A486" s="272"/>
      <c r="B486" s="47"/>
      <c r="C486" s="24"/>
      <c r="D486" s="24"/>
      <c r="E486" s="88" t="s">
        <v>196</v>
      </c>
      <c r="F486" s="66">
        <f t="shared" ref="F486:N486" si="158">IF(((F484="")*AND(F485="")),"",(F484-F485)*3)</f>
        <v>2060.2499999999995</v>
      </c>
      <c r="G486" s="66">
        <f t="shared" si="158"/>
        <v>2060.7600000000002</v>
      </c>
      <c r="H486" s="66">
        <f t="shared" si="158"/>
        <v>2061.5099999999998</v>
      </c>
      <c r="I486" s="66">
        <f t="shared" si="158"/>
        <v>2044.1399999999999</v>
      </c>
      <c r="J486" s="66">
        <f t="shared" si="158"/>
        <v>1972.2599999999995</v>
      </c>
      <c r="K486" s="66">
        <f t="shared" si="158"/>
        <v>2000.6100000000004</v>
      </c>
      <c r="L486" s="66">
        <f t="shared" si="158"/>
        <v>2040.2099999999998</v>
      </c>
      <c r="M486" s="66">
        <f t="shared" si="158"/>
        <v>2060.67</v>
      </c>
      <c r="N486" s="66">
        <f t="shared" si="158"/>
        <v>2006.8200000000002</v>
      </c>
      <c r="O486" s="88"/>
      <c r="P486" s="88"/>
      <c r="Q486" s="89"/>
      <c r="R486" s="89"/>
      <c r="S486" s="210"/>
      <c r="T486" s="23"/>
      <c r="U486" s="211"/>
      <c r="V486" s="33"/>
      <c r="X486" s="186"/>
      <c r="Y486" s="186"/>
      <c r="Z486" s="186"/>
      <c r="AA486" s="186"/>
    </row>
    <row r="487" spans="1:29" x14ac:dyDescent="0.25">
      <c r="A487" s="272">
        <v>43322</v>
      </c>
      <c r="B487" s="47" t="s">
        <v>191</v>
      </c>
      <c r="C487" s="24" t="s">
        <v>176</v>
      </c>
      <c r="D487" s="24" t="s">
        <v>175</v>
      </c>
      <c r="E487" s="88" t="s">
        <v>192</v>
      </c>
      <c r="F487" s="33">
        <v>24586.41</v>
      </c>
      <c r="G487" s="33">
        <v>24844.32</v>
      </c>
      <c r="H487" s="33">
        <v>24966.42</v>
      </c>
      <c r="I487" s="33">
        <v>24854.55</v>
      </c>
      <c r="J487" s="33">
        <v>24604.13</v>
      </c>
      <c r="K487" s="33">
        <v>24649.67</v>
      </c>
      <c r="L487" s="33">
        <v>24866.05</v>
      </c>
      <c r="M487" s="33">
        <v>24816.76</v>
      </c>
      <c r="N487" s="33">
        <v>24525.46</v>
      </c>
      <c r="O487" s="88">
        <f>IF((N488=""),"",MAX(F489:N489))</f>
        <v>4451.1599999999926</v>
      </c>
      <c r="P487" s="88">
        <f>IF(N488="","",MIN(F489:N489))</f>
        <v>4045.8599999999969</v>
      </c>
      <c r="Q487" s="89">
        <f>IF((N489=""),"",AVERAGE(F489:N489))</f>
        <v>4233.5533333333296</v>
      </c>
      <c r="R487" s="89">
        <f>IF((N488=""),"",(O487-P487)/(O487+P487)*100)</f>
        <v>4.7699075675942408</v>
      </c>
      <c r="S487" s="181">
        <f>STDEV(F489:N489)</f>
        <v>170.56541560351369</v>
      </c>
      <c r="T487" s="23" t="str">
        <f>IF(N488="","",IF(R487&lt;16,IF(Q487&gt;3200,IF(R487,IF(Q487&lt;5240,"Pass","Fail"),"Fail"),"Fail")))</f>
        <v>Pass</v>
      </c>
      <c r="U487" s="211">
        <v>1428</v>
      </c>
      <c r="V487" s="33"/>
      <c r="X487" s="184">
        <v>4200</v>
      </c>
      <c r="Y487" s="184">
        <v>5500</v>
      </c>
      <c r="Z487" s="184">
        <v>3200</v>
      </c>
      <c r="AA487" s="184">
        <v>5240</v>
      </c>
      <c r="AB487" s="57">
        <v>16</v>
      </c>
    </row>
    <row r="488" spans="1:29" x14ac:dyDescent="0.25">
      <c r="A488" s="272"/>
      <c r="B488" s="47"/>
      <c r="C488" s="24"/>
      <c r="D488" s="24"/>
      <c r="E488" s="88" t="s">
        <v>193</v>
      </c>
      <c r="F488" s="33">
        <v>23128.33</v>
      </c>
      <c r="G488" s="33">
        <v>23478.21</v>
      </c>
      <c r="H488" s="33">
        <v>23617.8</v>
      </c>
      <c r="I488" s="33">
        <v>23477.53</v>
      </c>
      <c r="J488" s="33">
        <v>23131.24</v>
      </c>
      <c r="K488" s="33">
        <v>23183.88</v>
      </c>
      <c r="L488" s="33">
        <v>23508.34</v>
      </c>
      <c r="M488" s="33">
        <v>23446.04</v>
      </c>
      <c r="N488" s="33">
        <v>23041.74</v>
      </c>
      <c r="O488" s="88"/>
      <c r="P488" s="88"/>
      <c r="Q488" s="89"/>
      <c r="R488" s="89"/>
      <c r="S488" s="210"/>
      <c r="T488" s="23"/>
      <c r="U488" s="211"/>
      <c r="V488" s="33"/>
      <c r="X488" s="186"/>
      <c r="Y488" s="186"/>
      <c r="Z488" s="186"/>
      <c r="AA488" s="186"/>
    </row>
    <row r="489" spans="1:29" ht="22.75" thickBot="1" x14ac:dyDescent="0.3">
      <c r="A489" s="282"/>
      <c r="B489" s="95"/>
      <c r="C489" s="72"/>
      <c r="D489" s="72"/>
      <c r="E489" s="74" t="s">
        <v>194</v>
      </c>
      <c r="F489" s="71">
        <f t="shared" ref="F489:N489" si="159">IF(((F487="")*AND(F488="")),"",(F487-F488)*3)</f>
        <v>4374.2399999999943</v>
      </c>
      <c r="G489" s="71">
        <f t="shared" si="159"/>
        <v>4098.3300000000017</v>
      </c>
      <c r="H489" s="71">
        <f t="shared" si="159"/>
        <v>4045.8599999999969</v>
      </c>
      <c r="I489" s="71">
        <f t="shared" si="159"/>
        <v>4131.0600000000013</v>
      </c>
      <c r="J489" s="71">
        <f t="shared" si="159"/>
        <v>4418.6699999999983</v>
      </c>
      <c r="K489" s="71">
        <f t="shared" si="159"/>
        <v>4397.3699999999917</v>
      </c>
      <c r="L489" s="71">
        <f t="shared" si="159"/>
        <v>4073.1299999999974</v>
      </c>
      <c r="M489" s="71">
        <f t="shared" si="159"/>
        <v>4112.1599999999926</v>
      </c>
      <c r="N489" s="71">
        <f t="shared" si="159"/>
        <v>4451.1599999999926</v>
      </c>
      <c r="O489" s="74"/>
      <c r="P489" s="74"/>
      <c r="Q489" s="75"/>
      <c r="R489" s="75"/>
      <c r="S489" s="218"/>
      <c r="T489" s="189"/>
      <c r="U489" s="219"/>
      <c r="V489" s="33"/>
      <c r="X489" s="186"/>
      <c r="Y489" s="186"/>
      <c r="Z489" s="186"/>
      <c r="AA489" s="186"/>
    </row>
    <row r="490" spans="1:29" x14ac:dyDescent="0.25">
      <c r="A490" s="277">
        <v>43328</v>
      </c>
      <c r="B490" s="85" t="s">
        <v>177</v>
      </c>
      <c r="C490" s="70" t="s">
        <v>179</v>
      </c>
      <c r="D490" s="70" t="s">
        <v>178</v>
      </c>
      <c r="E490" s="86" t="s">
        <v>192</v>
      </c>
      <c r="F490" s="207">
        <v>6945.23</v>
      </c>
      <c r="G490" s="207">
        <v>6937.17</v>
      </c>
      <c r="H490" s="207">
        <v>6986.48</v>
      </c>
      <c r="I490" s="207">
        <v>6948.31</v>
      </c>
      <c r="J490" s="207">
        <v>6995.27</v>
      </c>
      <c r="K490" s="207">
        <v>6958.84</v>
      </c>
      <c r="L490" s="207">
        <v>6969.59</v>
      </c>
      <c r="M490" s="207">
        <v>6978.8</v>
      </c>
      <c r="N490" s="207">
        <v>7054.81</v>
      </c>
      <c r="O490" s="86">
        <f>IF((N491=""),"",MAX(F492:N492))</f>
        <v>4069.9799999999996</v>
      </c>
      <c r="P490" s="86">
        <f>IF(N491="","",MIN(F492:N492))</f>
        <v>3741.6200000000008</v>
      </c>
      <c r="Q490" s="87">
        <f>IF((N492=""),"",AVERAGE(F492:N492))</f>
        <v>3950.3333333333335</v>
      </c>
      <c r="R490" s="87">
        <f>IF((N491=""),"",(O490-P490)/(O490+P490)*100)</f>
        <v>4.2034922423062975</v>
      </c>
      <c r="S490" s="181">
        <f>STDEV(F492:N492)</f>
        <v>116.86572123595516</v>
      </c>
      <c r="T490" s="208" t="str">
        <f>IF(N491="","",IF(Q490&gt;3650,IF(R490&lt;7,IF(Q490&lt;4450,"Pass","Fail"),"Fail"),"Fail"))</f>
        <v>Pass</v>
      </c>
      <c r="U490" s="220">
        <v>1335</v>
      </c>
      <c r="V490" s="33"/>
      <c r="X490" s="184">
        <v>3650</v>
      </c>
      <c r="Y490" s="184">
        <v>4450</v>
      </c>
      <c r="Z490" s="184">
        <v>3700</v>
      </c>
      <c r="AA490" s="184">
        <v>4100</v>
      </c>
      <c r="AB490" s="57">
        <v>6.5</v>
      </c>
      <c r="AC490" s="57">
        <v>7</v>
      </c>
    </row>
    <row r="491" spans="1:29" x14ac:dyDescent="0.25">
      <c r="A491" s="272"/>
      <c r="B491" s="47"/>
      <c r="C491" s="24"/>
      <c r="D491" s="24"/>
      <c r="E491" s="88" t="s">
        <v>193</v>
      </c>
      <c r="F491" s="28">
        <v>5016.49</v>
      </c>
      <c r="G491" s="28">
        <v>4920.8</v>
      </c>
      <c r="H491" s="28">
        <v>4951.49</v>
      </c>
      <c r="I491" s="28">
        <v>4938.37</v>
      </c>
      <c r="J491" s="28">
        <v>5075.3900000000003</v>
      </c>
      <c r="K491" s="28">
        <v>5088.03</v>
      </c>
      <c r="L491" s="28">
        <v>4963.2700000000004</v>
      </c>
      <c r="M491" s="28">
        <v>4945.3999999999996</v>
      </c>
      <c r="N491" s="28">
        <v>5098.76</v>
      </c>
      <c r="O491" s="88"/>
      <c r="P491" s="88"/>
      <c r="Q491" s="89"/>
      <c r="R491" s="89"/>
      <c r="S491" s="210"/>
      <c r="T491" s="28"/>
      <c r="U491" s="217"/>
      <c r="V491" s="33"/>
      <c r="X491" s="186"/>
      <c r="Y491" s="186"/>
      <c r="Z491" s="186"/>
      <c r="AA491" s="186"/>
    </row>
    <row r="492" spans="1:29" ht="22.15" x14ac:dyDescent="0.25">
      <c r="A492" s="272"/>
      <c r="B492" s="47"/>
      <c r="C492" s="24"/>
      <c r="D492" s="24"/>
      <c r="E492" s="88" t="s">
        <v>194</v>
      </c>
      <c r="F492" s="66">
        <f t="shared" ref="F492:N492" si="160">IF(((F490="")*AND(F491="")),"",(F490-F491)*2)</f>
        <v>3857.4799999999996</v>
      </c>
      <c r="G492" s="66">
        <f t="shared" si="160"/>
        <v>4032.74</v>
      </c>
      <c r="H492" s="66">
        <f t="shared" si="160"/>
        <v>4069.9799999999996</v>
      </c>
      <c r="I492" s="66">
        <f t="shared" si="160"/>
        <v>4019.880000000001</v>
      </c>
      <c r="J492" s="66">
        <f t="shared" si="160"/>
        <v>3839.76</v>
      </c>
      <c r="K492" s="66">
        <f t="shared" si="160"/>
        <v>3741.6200000000008</v>
      </c>
      <c r="L492" s="66">
        <f t="shared" si="160"/>
        <v>4012.6399999999994</v>
      </c>
      <c r="M492" s="66">
        <f t="shared" si="160"/>
        <v>4066.8000000000011</v>
      </c>
      <c r="N492" s="66">
        <f t="shared" si="160"/>
        <v>3912.1000000000004</v>
      </c>
      <c r="O492" s="88"/>
      <c r="P492" s="88"/>
      <c r="Q492" s="89"/>
      <c r="R492" s="89"/>
      <c r="S492" s="210"/>
      <c r="T492" s="28"/>
      <c r="U492" s="217"/>
      <c r="V492" s="33"/>
      <c r="X492" s="186"/>
      <c r="Y492" s="186"/>
      <c r="Z492" s="186"/>
      <c r="AA492" s="186"/>
    </row>
    <row r="493" spans="1:29" x14ac:dyDescent="0.25">
      <c r="A493" s="272">
        <v>43328</v>
      </c>
      <c r="B493" s="24" t="s">
        <v>172</v>
      </c>
      <c r="C493" s="24" t="s">
        <v>174</v>
      </c>
      <c r="D493" s="24" t="s">
        <v>195</v>
      </c>
      <c r="E493" s="88" t="s">
        <v>192</v>
      </c>
      <c r="F493" s="28">
        <v>1927.72</v>
      </c>
      <c r="G493" s="28">
        <v>1922.3</v>
      </c>
      <c r="H493" s="28">
        <v>1913.48</v>
      </c>
      <c r="I493" s="28">
        <v>1919.53</v>
      </c>
      <c r="J493" s="28">
        <v>1925.99</v>
      </c>
      <c r="K493" s="28">
        <v>1927.23</v>
      </c>
      <c r="L493" s="28">
        <v>1921.48</v>
      </c>
      <c r="M493" s="28">
        <v>1920.43</v>
      </c>
      <c r="N493" s="28">
        <v>1925.38</v>
      </c>
      <c r="O493" s="88">
        <f>IF((N494=""),"",MAX(F495:N495))</f>
        <v>2082.5100000000002</v>
      </c>
      <c r="P493" s="88">
        <f>IF(N494="","",MIN(F495:N495))</f>
        <v>2036.5199999999998</v>
      </c>
      <c r="Q493" s="89">
        <f>IF((N495=""),"",AVERAGE(F495:N495))</f>
        <v>2060.9766666666669</v>
      </c>
      <c r="R493" s="89">
        <f>IF((N494=""),"",(O493-P493)/(O493+P493)*100)</f>
        <v>1.1165250071011978</v>
      </c>
      <c r="S493" s="181">
        <f>STDEV(F495:N495)</f>
        <v>16.144228845008517</v>
      </c>
      <c r="T493" s="23" t="str">
        <f>IF(N494="","",IF(Q493&gt;1940,IF(R493&lt;8.3,IF(Q493&lt;2180,"Pass","Fail"),"Fail"),"Fail"))</f>
        <v>Pass</v>
      </c>
      <c r="U493" s="211">
        <v>1335</v>
      </c>
      <c r="V493" s="33"/>
      <c r="X493" s="184">
        <v>2000</v>
      </c>
      <c r="Y493" s="184">
        <v>3000</v>
      </c>
      <c r="Z493" s="184">
        <v>1940</v>
      </c>
      <c r="AA493" s="184">
        <v>2180</v>
      </c>
      <c r="AB493" s="57">
        <v>5.2</v>
      </c>
    </row>
    <row r="494" spans="1:29" x14ac:dyDescent="0.25">
      <c r="A494" s="272"/>
      <c r="B494" s="47"/>
      <c r="C494" s="24"/>
      <c r="D494" s="24"/>
      <c r="E494" s="88" t="s">
        <v>193</v>
      </c>
      <c r="F494" s="28">
        <v>1243.17</v>
      </c>
      <c r="G494" s="28">
        <v>1231.1500000000001</v>
      </c>
      <c r="H494" s="28">
        <v>1221.99</v>
      </c>
      <c r="I494" s="28">
        <v>1229.8599999999999</v>
      </c>
      <c r="J494" s="28">
        <v>1246.93</v>
      </c>
      <c r="K494" s="28">
        <v>1248.3900000000001</v>
      </c>
      <c r="L494" s="28">
        <v>1234.73</v>
      </c>
      <c r="M494" s="28">
        <v>1226.26</v>
      </c>
      <c r="N494" s="28">
        <v>1238.1300000000001</v>
      </c>
      <c r="O494" s="88"/>
      <c r="P494" s="88"/>
      <c r="Q494" s="89"/>
      <c r="R494" s="89"/>
      <c r="S494" s="210"/>
      <c r="T494" s="23"/>
      <c r="U494" s="211"/>
      <c r="V494" s="33"/>
      <c r="X494" s="186"/>
      <c r="Y494" s="186"/>
      <c r="Z494" s="186"/>
      <c r="AA494" s="186"/>
    </row>
    <row r="495" spans="1:29" ht="32.299999999999997" customHeight="1" x14ac:dyDescent="0.25">
      <c r="A495" s="272"/>
      <c r="B495" s="47"/>
      <c r="C495" s="24"/>
      <c r="D495" s="24"/>
      <c r="E495" s="88" t="s">
        <v>196</v>
      </c>
      <c r="F495" s="66">
        <f t="shared" ref="F495:N495" si="161">IF(((F493="")*AND(F494="")),"",(F493-F494)*3)</f>
        <v>2053.6499999999996</v>
      </c>
      <c r="G495" s="66">
        <f t="shared" si="161"/>
        <v>2073.4499999999998</v>
      </c>
      <c r="H495" s="66">
        <f t="shared" si="161"/>
        <v>2074.4700000000003</v>
      </c>
      <c r="I495" s="66">
        <f t="shared" si="161"/>
        <v>2069.0100000000002</v>
      </c>
      <c r="J495" s="66">
        <f t="shared" si="161"/>
        <v>2037.1799999999998</v>
      </c>
      <c r="K495" s="66">
        <f t="shared" si="161"/>
        <v>2036.5199999999998</v>
      </c>
      <c r="L495" s="66">
        <f t="shared" si="161"/>
        <v>2060.25</v>
      </c>
      <c r="M495" s="66">
        <f t="shared" si="161"/>
        <v>2082.5100000000002</v>
      </c>
      <c r="N495" s="66">
        <f t="shared" si="161"/>
        <v>2061.75</v>
      </c>
      <c r="O495" s="88"/>
      <c r="P495" s="88"/>
      <c r="Q495" s="89"/>
      <c r="R495" s="89"/>
      <c r="S495" s="210"/>
      <c r="T495" s="23"/>
      <c r="U495" s="211"/>
      <c r="V495" s="33"/>
      <c r="X495" s="186"/>
      <c r="Y495" s="186"/>
      <c r="Z495" s="186"/>
      <c r="AA495" s="186"/>
    </row>
    <row r="496" spans="1:29" x14ac:dyDescent="0.25">
      <c r="A496" s="272">
        <v>43328</v>
      </c>
      <c r="B496" s="47" t="s">
        <v>191</v>
      </c>
      <c r="C496" s="24" t="s">
        <v>176</v>
      </c>
      <c r="D496" s="24" t="s">
        <v>175</v>
      </c>
      <c r="E496" s="88" t="s">
        <v>192</v>
      </c>
      <c r="F496" s="28">
        <v>23045.26</v>
      </c>
      <c r="G496" s="28">
        <v>23402.57</v>
      </c>
      <c r="H496" s="28">
        <v>23539.77</v>
      </c>
      <c r="I496" s="28">
        <v>23404.69</v>
      </c>
      <c r="J496" s="28">
        <v>23040.68</v>
      </c>
      <c r="K496" s="28">
        <v>23105.360000000001</v>
      </c>
      <c r="L496" s="28">
        <v>23430.17</v>
      </c>
      <c r="M496" s="28">
        <v>23365.94</v>
      </c>
      <c r="N496" s="28">
        <v>22960.62</v>
      </c>
      <c r="O496" s="88">
        <f>IF((N497=""),"",MAX(F498:N498))</f>
        <v>4654.6499999999978</v>
      </c>
      <c r="P496" s="88">
        <f>IF(N497="","",MIN(F498:N498))</f>
        <v>4150.3799999999974</v>
      </c>
      <c r="Q496" s="89">
        <f>IF((N498=""),"",AVERAGE(F498:N498))</f>
        <v>4379.6833333333307</v>
      </c>
      <c r="R496" s="89">
        <f>IF((N497=""),"",(O496-P496)/(O496+P496)*100)</f>
        <v>5.7270673694467904</v>
      </c>
      <c r="S496" s="181">
        <f>STDEV(F498:N498)</f>
        <v>188.20711370721395</v>
      </c>
      <c r="T496" s="23" t="str">
        <f>IF(N497="","",IF(R496&lt;16,IF(Q496&gt;3200,IF(R496,IF(Q496&lt;5240,"Pass","Fail"),"Fail"),"Fail")))</f>
        <v>Pass</v>
      </c>
      <c r="U496" s="211">
        <v>1335</v>
      </c>
      <c r="V496" s="33"/>
      <c r="X496" s="184">
        <v>4200</v>
      </c>
      <c r="Y496" s="184">
        <v>5500</v>
      </c>
      <c r="Z496" s="184">
        <v>3200</v>
      </c>
      <c r="AA496" s="184">
        <v>5240</v>
      </c>
      <c r="AB496" s="57">
        <v>16</v>
      </c>
    </row>
    <row r="497" spans="1:29" x14ac:dyDescent="0.25">
      <c r="A497" s="272"/>
      <c r="B497" s="47"/>
      <c r="C497" s="24"/>
      <c r="D497" s="24"/>
      <c r="E497" s="88" t="s">
        <v>193</v>
      </c>
      <c r="F497" s="28">
        <v>21534.95</v>
      </c>
      <c r="G497" s="28">
        <v>21992.57</v>
      </c>
      <c r="H497" s="28">
        <v>22156.31</v>
      </c>
      <c r="I497" s="28">
        <v>21982.39</v>
      </c>
      <c r="J497" s="28">
        <v>21508.28</v>
      </c>
      <c r="K497" s="28">
        <v>21607.95</v>
      </c>
      <c r="L497" s="28">
        <v>22025.48</v>
      </c>
      <c r="M497" s="28">
        <v>21939.01</v>
      </c>
      <c r="N497" s="28">
        <v>21409.07</v>
      </c>
      <c r="O497" s="88"/>
      <c r="P497" s="88"/>
      <c r="Q497" s="89"/>
      <c r="R497" s="89"/>
      <c r="S497" s="210"/>
      <c r="T497" s="23"/>
      <c r="U497" s="211"/>
      <c r="V497" s="33"/>
      <c r="X497" s="186"/>
      <c r="Y497" s="186"/>
      <c r="Z497" s="186"/>
      <c r="AA497" s="186"/>
    </row>
    <row r="498" spans="1:29" ht="22.75" thickBot="1" x14ac:dyDescent="0.3">
      <c r="A498" s="279"/>
      <c r="B498" s="90"/>
      <c r="C498" s="91"/>
      <c r="D498" s="91"/>
      <c r="E498" s="92" t="s">
        <v>194</v>
      </c>
      <c r="F498" s="79">
        <f t="shared" ref="F498:N498" si="162">IF(((F496="")*AND(F497="")),"",(F496-F497)*3)</f>
        <v>4530.929999999993</v>
      </c>
      <c r="G498" s="79">
        <f t="shared" si="162"/>
        <v>4230</v>
      </c>
      <c r="H498" s="79">
        <f t="shared" si="162"/>
        <v>4150.3799999999974</v>
      </c>
      <c r="I498" s="79">
        <f t="shared" si="162"/>
        <v>4266.8999999999978</v>
      </c>
      <c r="J498" s="79">
        <f t="shared" si="162"/>
        <v>4597.2000000000044</v>
      </c>
      <c r="K498" s="79">
        <f t="shared" si="162"/>
        <v>4492.2299999999996</v>
      </c>
      <c r="L498" s="79">
        <f t="shared" si="162"/>
        <v>4214.0699999999961</v>
      </c>
      <c r="M498" s="79">
        <f t="shared" si="162"/>
        <v>4280.7900000000009</v>
      </c>
      <c r="N498" s="79">
        <f t="shared" si="162"/>
        <v>4654.6499999999978</v>
      </c>
      <c r="O498" s="92"/>
      <c r="P498" s="92"/>
      <c r="Q498" s="93"/>
      <c r="R498" s="93"/>
      <c r="S498" s="213"/>
      <c r="T498" s="214"/>
      <c r="U498" s="215"/>
      <c r="V498" s="33"/>
      <c r="X498" s="186"/>
      <c r="Y498" s="186"/>
      <c r="Z498" s="186"/>
      <c r="AA498" s="186"/>
    </row>
    <row r="499" spans="1:29" x14ac:dyDescent="0.25">
      <c r="A499" s="271">
        <v>43332</v>
      </c>
      <c r="B499" s="63" t="s">
        <v>177</v>
      </c>
      <c r="C499" s="65" t="s">
        <v>179</v>
      </c>
      <c r="D499" s="70" t="s">
        <v>178</v>
      </c>
      <c r="E499" s="67" t="s">
        <v>192</v>
      </c>
      <c r="F499" s="33">
        <v>5016.49</v>
      </c>
      <c r="G499" s="33">
        <v>4920.8</v>
      </c>
      <c r="H499" s="33">
        <v>4951.49</v>
      </c>
      <c r="I499" s="33">
        <v>4938.37</v>
      </c>
      <c r="J499" s="33">
        <v>5075.3900000000003</v>
      </c>
      <c r="K499" s="33">
        <v>5088.03</v>
      </c>
      <c r="L499" s="33">
        <v>4963.2700000000004</v>
      </c>
      <c r="M499" s="33">
        <v>4945.3999999999996</v>
      </c>
      <c r="N499" s="33">
        <v>5098.76</v>
      </c>
      <c r="O499" s="67">
        <f>IF((N500=""),"",MAX(F501:N501))</f>
        <v>4071.3199999999997</v>
      </c>
      <c r="P499" s="67">
        <f>IF(N500="","",MIN(F501:N501))</f>
        <v>3724.2999999999993</v>
      </c>
      <c r="Q499" s="68">
        <f>IF((N501=""),"",AVERAGE(F501:N501))</f>
        <v>3946.3355555555559</v>
      </c>
      <c r="R499" s="68">
        <f>IF((N500=""),"",(O499-P499)/(O499+P499)*100)</f>
        <v>4.4514740328543523</v>
      </c>
      <c r="S499" s="181">
        <f>STDEV(F501:N501)</f>
        <v>123.11148921923504</v>
      </c>
      <c r="T499" s="187" t="str">
        <f>IF(N500="","",IF(Q499&gt;3650,IF(R499&lt;7,IF(Q499&lt;4450,"Pass","Fail"),"Fail"),"Fail"))</f>
        <v>Pass</v>
      </c>
      <c r="U499" s="216">
        <v>1340</v>
      </c>
      <c r="V499" s="33"/>
      <c r="X499" s="184">
        <v>3650</v>
      </c>
      <c r="Y499" s="184">
        <v>4450</v>
      </c>
      <c r="Z499" s="184">
        <v>3700</v>
      </c>
      <c r="AA499" s="184">
        <v>4100</v>
      </c>
      <c r="AB499" s="57">
        <v>6.5</v>
      </c>
      <c r="AC499" s="57">
        <v>7</v>
      </c>
    </row>
    <row r="500" spans="1:29" x14ac:dyDescent="0.25">
      <c r="A500" s="272"/>
      <c r="B500" s="47"/>
      <c r="C500" s="24"/>
      <c r="D500" s="24"/>
      <c r="E500" s="88" t="s">
        <v>193</v>
      </c>
      <c r="F500" s="33">
        <v>3094.94</v>
      </c>
      <c r="G500" s="33">
        <v>2905.33</v>
      </c>
      <c r="H500" s="33">
        <v>2915.83</v>
      </c>
      <c r="I500" s="33">
        <v>2927.1</v>
      </c>
      <c r="J500" s="33">
        <v>3158.53</v>
      </c>
      <c r="K500" s="33">
        <v>3225.88</v>
      </c>
      <c r="L500" s="33">
        <v>2957.69</v>
      </c>
      <c r="M500" s="33">
        <v>2911.66</v>
      </c>
      <c r="N500" s="33">
        <v>3142.53</v>
      </c>
      <c r="O500" s="88"/>
      <c r="P500" s="88"/>
      <c r="Q500" s="89"/>
      <c r="R500" s="89"/>
      <c r="S500" s="210"/>
      <c r="T500" s="28"/>
      <c r="U500" s="217"/>
      <c r="V500" s="33"/>
      <c r="X500" s="186"/>
      <c r="Y500" s="186"/>
      <c r="Z500" s="186"/>
      <c r="AA500" s="186"/>
    </row>
    <row r="501" spans="1:29" ht="22.15" x14ac:dyDescent="0.25">
      <c r="A501" s="272"/>
      <c r="B501" s="47"/>
      <c r="C501" s="24"/>
      <c r="D501" s="24"/>
      <c r="E501" s="88" t="s">
        <v>194</v>
      </c>
      <c r="F501" s="66">
        <f t="shared" ref="F501:N501" si="163">IF(((F499="")*AND(F500="")),"",(F499-F500)*2)</f>
        <v>3843.0999999999995</v>
      </c>
      <c r="G501" s="66">
        <f t="shared" si="163"/>
        <v>4030.9400000000005</v>
      </c>
      <c r="H501" s="66">
        <f t="shared" si="163"/>
        <v>4071.3199999999997</v>
      </c>
      <c r="I501" s="66">
        <f t="shared" si="163"/>
        <v>4022.54</v>
      </c>
      <c r="J501" s="66">
        <f t="shared" si="163"/>
        <v>3833.7200000000003</v>
      </c>
      <c r="K501" s="66">
        <f t="shared" si="163"/>
        <v>3724.2999999999993</v>
      </c>
      <c r="L501" s="66">
        <f t="shared" si="163"/>
        <v>4011.1600000000008</v>
      </c>
      <c r="M501" s="66">
        <f t="shared" si="163"/>
        <v>4067.4799999999996</v>
      </c>
      <c r="N501" s="66">
        <f t="shared" si="163"/>
        <v>3912.46</v>
      </c>
      <c r="O501" s="88"/>
      <c r="P501" s="88"/>
      <c r="Q501" s="89"/>
      <c r="R501" s="89"/>
      <c r="S501" s="210"/>
      <c r="T501" s="28"/>
      <c r="U501" s="217"/>
      <c r="V501" s="33"/>
      <c r="X501" s="186"/>
      <c r="Y501" s="186"/>
      <c r="Z501" s="186"/>
      <c r="AA501" s="186"/>
    </row>
    <row r="502" spans="1:29" x14ac:dyDescent="0.25">
      <c r="A502" s="272">
        <v>43332</v>
      </c>
      <c r="B502" s="24" t="s">
        <v>172</v>
      </c>
      <c r="C502" s="24" t="s">
        <v>174</v>
      </c>
      <c r="D502" s="24" t="s">
        <v>195</v>
      </c>
      <c r="E502" s="88" t="s">
        <v>192</v>
      </c>
      <c r="F502" s="33">
        <v>1243.17</v>
      </c>
      <c r="G502" s="33">
        <v>1231.1500000000001</v>
      </c>
      <c r="H502" s="33">
        <v>1221.99</v>
      </c>
      <c r="I502" s="33">
        <v>1229.8599999999999</v>
      </c>
      <c r="J502" s="33">
        <v>1246.93</v>
      </c>
      <c r="K502" s="33">
        <v>1248.3900000000001</v>
      </c>
      <c r="L502" s="33">
        <v>1234.73</v>
      </c>
      <c r="M502" s="33">
        <v>1226.26</v>
      </c>
      <c r="N502" s="33">
        <v>1238.1300000000001</v>
      </c>
      <c r="O502" s="88">
        <f>IF((N503=""),"",MAX(F504:N504))</f>
        <v>2053.7400000000002</v>
      </c>
      <c r="P502" s="88">
        <f>IF(N503="","",MIN(F504:N504))</f>
        <v>1966.7400000000002</v>
      </c>
      <c r="Q502" s="89">
        <f>IF((N504=""),"",AVERAGE(F504:N504))</f>
        <v>2019.9866666666667</v>
      </c>
      <c r="R502" s="89">
        <f>IF((N503=""),"",(O502-P502)/(O502+P502)*100)</f>
        <v>2.1639207258834765</v>
      </c>
      <c r="S502" s="181">
        <f>STDEV(F504:N504)</f>
        <v>29.23273507559626</v>
      </c>
      <c r="T502" s="23" t="str">
        <f>IF(N503="","",IF(Q502&gt;1940,IF(R502&lt;8.3,IF(Q502&lt;2180,"Pass","Fail"),"Fail"),"Fail"))</f>
        <v>Pass</v>
      </c>
      <c r="U502" s="211">
        <v>1340</v>
      </c>
      <c r="V502" s="33"/>
      <c r="X502" s="184">
        <v>2000</v>
      </c>
      <c r="Y502" s="184">
        <v>3000</v>
      </c>
      <c r="Z502" s="184">
        <v>1940</v>
      </c>
      <c r="AA502" s="184">
        <v>2180</v>
      </c>
      <c r="AB502" s="57">
        <v>5.2</v>
      </c>
    </row>
    <row r="503" spans="1:29" x14ac:dyDescent="0.25">
      <c r="A503" s="272"/>
      <c r="B503" s="47"/>
      <c r="C503" s="24"/>
      <c r="D503" s="24"/>
      <c r="E503" s="88" t="s">
        <v>193</v>
      </c>
      <c r="F503" s="33">
        <v>567.88</v>
      </c>
      <c r="G503" s="33">
        <v>549.34</v>
      </c>
      <c r="H503" s="33">
        <v>540.45000000000005</v>
      </c>
      <c r="I503" s="33">
        <v>552.4</v>
      </c>
      <c r="J503" s="33">
        <v>591.35</v>
      </c>
      <c r="K503" s="33">
        <v>584.96</v>
      </c>
      <c r="L503" s="33">
        <v>560.16</v>
      </c>
      <c r="M503" s="33">
        <v>541.67999999999995</v>
      </c>
      <c r="N503" s="33">
        <v>572.42999999999995</v>
      </c>
      <c r="O503" s="88"/>
      <c r="P503" s="88"/>
      <c r="Q503" s="89"/>
      <c r="R503" s="89"/>
      <c r="S503" s="210"/>
      <c r="T503" s="23"/>
      <c r="U503" s="211"/>
      <c r="V503" s="33"/>
      <c r="X503" s="186"/>
      <c r="Y503" s="186"/>
      <c r="Z503" s="186"/>
      <c r="AA503" s="186"/>
    </row>
    <row r="504" spans="1:29" ht="31.6" customHeight="1" x14ac:dyDescent="0.25">
      <c r="A504" s="272"/>
      <c r="B504" s="47"/>
      <c r="C504" s="24"/>
      <c r="D504" s="24"/>
      <c r="E504" s="88" t="s">
        <v>196</v>
      </c>
      <c r="F504" s="66">
        <f t="shared" ref="F504:N504" si="164">IF(((F502="")*AND(F503="")),"",(F502-F503)*3)</f>
        <v>2025.8700000000003</v>
      </c>
      <c r="G504" s="66">
        <f t="shared" si="164"/>
        <v>2045.4300000000003</v>
      </c>
      <c r="H504" s="66">
        <f t="shared" si="164"/>
        <v>2044.62</v>
      </c>
      <c r="I504" s="66">
        <f t="shared" si="164"/>
        <v>2032.3799999999997</v>
      </c>
      <c r="J504" s="66">
        <f t="shared" si="164"/>
        <v>1966.7400000000002</v>
      </c>
      <c r="K504" s="66">
        <f t="shared" si="164"/>
        <v>1990.2900000000002</v>
      </c>
      <c r="L504" s="66">
        <f t="shared" si="164"/>
        <v>2023.71</v>
      </c>
      <c r="M504" s="66">
        <f t="shared" si="164"/>
        <v>2053.7400000000002</v>
      </c>
      <c r="N504" s="66">
        <f t="shared" si="164"/>
        <v>1997.1000000000004</v>
      </c>
      <c r="O504" s="88"/>
      <c r="P504" s="88"/>
      <c r="Q504" s="89"/>
      <c r="R504" s="89"/>
      <c r="S504" s="210"/>
      <c r="T504" s="23"/>
      <c r="U504" s="211"/>
      <c r="V504" s="33"/>
      <c r="X504" s="186"/>
      <c r="Y504" s="186"/>
      <c r="Z504" s="186"/>
      <c r="AA504" s="186"/>
    </row>
    <row r="505" spans="1:29" x14ac:dyDescent="0.25">
      <c r="A505" s="272">
        <v>43332</v>
      </c>
      <c r="B505" s="47" t="s">
        <v>191</v>
      </c>
      <c r="C505" s="24" t="s">
        <v>176</v>
      </c>
      <c r="D505" s="24" t="s">
        <v>175</v>
      </c>
      <c r="E505" s="88" t="s">
        <v>192</v>
      </c>
      <c r="F505" s="33">
        <v>21534.95</v>
      </c>
      <c r="G505" s="33">
        <v>21992.57</v>
      </c>
      <c r="H505" s="33">
        <v>22156.31</v>
      </c>
      <c r="I505" s="33">
        <v>21982.39</v>
      </c>
      <c r="J505" s="33">
        <v>21508.28</v>
      </c>
      <c r="K505" s="33">
        <v>21607.95</v>
      </c>
      <c r="L505" s="33">
        <v>22025.48</v>
      </c>
      <c r="M505" s="33">
        <v>21939.01</v>
      </c>
      <c r="N505" s="33">
        <v>21409.07</v>
      </c>
      <c r="O505" s="88">
        <f>IF((N506=""),"",MAX(F507:N507))</f>
        <v>4740.9900000000052</v>
      </c>
      <c r="P505" s="88">
        <f>IF(N506="","",MIN(F507:N507))</f>
        <v>4307.1300000000083</v>
      </c>
      <c r="Q505" s="89">
        <f>IF((N507=""),"",AVERAGE(F507:N507))</f>
        <v>4524.5233333333335</v>
      </c>
      <c r="R505" s="89">
        <f>IF((N506=""),"",(O505-P505)/(O505+P505)*100)</f>
        <v>4.7950292436439428</v>
      </c>
      <c r="S505" s="181">
        <f>STDEV(F507:N507)</f>
        <v>166.61587529404324</v>
      </c>
      <c r="T505" s="23" t="str">
        <f>IF(N506="","",IF(R505&lt;16,IF(Q505&gt;3200,IF(R505,IF(Q505&lt;5240,"Pass","Fail"),"Fail"),"Fail")))</f>
        <v>Pass</v>
      </c>
      <c r="U505" s="211">
        <v>1340</v>
      </c>
      <c r="V505" s="33"/>
      <c r="X505" s="184">
        <v>4200</v>
      </c>
      <c r="Y505" s="184">
        <v>5500</v>
      </c>
      <c r="Z505" s="184">
        <v>3200</v>
      </c>
      <c r="AA505" s="184">
        <v>5240</v>
      </c>
      <c r="AB505" s="57">
        <v>16</v>
      </c>
    </row>
    <row r="506" spans="1:29" x14ac:dyDescent="0.25">
      <c r="A506" s="272"/>
      <c r="B506" s="47"/>
      <c r="C506" s="24"/>
      <c r="D506" s="24"/>
      <c r="E506" s="88" t="s">
        <v>193</v>
      </c>
      <c r="F506" s="33">
        <v>19964.86</v>
      </c>
      <c r="G506" s="33">
        <v>20516.61</v>
      </c>
      <c r="H506" s="33">
        <v>20720.599999999999</v>
      </c>
      <c r="I506" s="33">
        <v>20517.900000000001</v>
      </c>
      <c r="J506" s="33">
        <v>19952.3</v>
      </c>
      <c r="K506" s="33">
        <v>20027.62</v>
      </c>
      <c r="L506" s="33">
        <v>20547.66</v>
      </c>
      <c r="M506" s="33">
        <v>20478.39</v>
      </c>
      <c r="N506" s="33">
        <v>19856.5</v>
      </c>
      <c r="O506" s="88"/>
      <c r="P506" s="88"/>
      <c r="Q506" s="89"/>
      <c r="R506" s="89"/>
      <c r="S506" s="210"/>
      <c r="T506" s="23"/>
      <c r="U506" s="211"/>
      <c r="V506" s="33"/>
      <c r="X506" s="186"/>
      <c r="Y506" s="186"/>
      <c r="Z506" s="186"/>
      <c r="AA506" s="186"/>
    </row>
    <row r="507" spans="1:29" ht="22.75" thickBot="1" x14ac:dyDescent="0.3">
      <c r="A507" s="279"/>
      <c r="B507" s="90"/>
      <c r="C507" s="91"/>
      <c r="D507" s="91"/>
      <c r="E507" s="92" t="s">
        <v>194</v>
      </c>
      <c r="F507" s="79">
        <f t="shared" ref="F507:N507" si="165">IF(((F505="")*AND(F506="")),"",(F505-F506)*3)</f>
        <v>4710.2700000000004</v>
      </c>
      <c r="G507" s="79">
        <f t="shared" si="165"/>
        <v>4427.8799999999974</v>
      </c>
      <c r="H507" s="79">
        <f t="shared" si="165"/>
        <v>4307.1300000000083</v>
      </c>
      <c r="I507" s="79">
        <f t="shared" si="165"/>
        <v>4393.4699999999939</v>
      </c>
      <c r="J507" s="79">
        <f t="shared" si="165"/>
        <v>4667.9399999999987</v>
      </c>
      <c r="K507" s="79">
        <f t="shared" si="165"/>
        <v>4740.9900000000052</v>
      </c>
      <c r="L507" s="79">
        <f t="shared" si="165"/>
        <v>4433.4599999999991</v>
      </c>
      <c r="M507" s="79">
        <f t="shared" si="165"/>
        <v>4381.8599999999969</v>
      </c>
      <c r="N507" s="79">
        <f t="shared" si="165"/>
        <v>4657.7099999999991</v>
      </c>
      <c r="O507" s="92"/>
      <c r="P507" s="92"/>
      <c r="Q507" s="93"/>
      <c r="R507" s="93"/>
      <c r="S507" s="213"/>
      <c r="T507" s="214"/>
      <c r="U507" s="215"/>
      <c r="V507" s="33"/>
      <c r="X507" s="186"/>
      <c r="Y507" s="186"/>
      <c r="Z507" s="186"/>
      <c r="AA507" s="186"/>
    </row>
    <row r="508" spans="1:29" x14ac:dyDescent="0.25">
      <c r="A508" s="277">
        <v>43335</v>
      </c>
      <c r="B508" s="85" t="s">
        <v>177</v>
      </c>
      <c r="C508" s="70" t="s">
        <v>179</v>
      </c>
      <c r="D508" s="70" t="s">
        <v>178</v>
      </c>
      <c r="E508" s="86" t="s">
        <v>192</v>
      </c>
      <c r="F508" s="207">
        <v>6842</v>
      </c>
      <c r="G508" s="207">
        <v>6855</v>
      </c>
      <c r="H508" s="207">
        <v>6905</v>
      </c>
      <c r="I508" s="207">
        <v>6852</v>
      </c>
      <c r="J508" s="207">
        <v>6857</v>
      </c>
      <c r="K508" s="207">
        <v>6860</v>
      </c>
      <c r="L508" s="207">
        <v>6883</v>
      </c>
      <c r="M508" s="207">
        <v>6885</v>
      </c>
      <c r="N508" s="207">
        <v>6956</v>
      </c>
      <c r="O508" s="86">
        <f>IF((N509=""),"",MAX(F510:N510))</f>
        <v>4008</v>
      </c>
      <c r="P508" s="86">
        <f>IF(N509="","",MIN(F510:N510))</f>
        <v>3660</v>
      </c>
      <c r="Q508" s="87">
        <f>IF((N510=""),"",AVERAGE(F510:N510))</f>
        <v>3881.7777777777778</v>
      </c>
      <c r="R508" s="87">
        <f>IF((N509=""),"",(O508-P508)/(O508+P508)*100)</f>
        <v>4.5383411580594686</v>
      </c>
      <c r="S508" s="181">
        <f>STDEV(F510:N510)</f>
        <v>121.34844228272749</v>
      </c>
      <c r="T508" s="208" t="str">
        <f>IF(N509="","",IF(Q508&gt;3650,IF(R508&lt;7,IF(Q508&lt;4450,"Pass","Fail"),"Fail"),"Fail"))</f>
        <v>Pass</v>
      </c>
      <c r="U508" s="220">
        <v>1340</v>
      </c>
      <c r="V508" s="33"/>
      <c r="X508" s="184">
        <v>3650</v>
      </c>
      <c r="Y508" s="184">
        <v>4450</v>
      </c>
      <c r="Z508" s="184">
        <v>3700</v>
      </c>
      <c r="AA508" s="184">
        <v>4100</v>
      </c>
      <c r="AB508" s="57">
        <v>6.5</v>
      </c>
      <c r="AC508" s="57">
        <v>7</v>
      </c>
    </row>
    <row r="509" spans="1:29" x14ac:dyDescent="0.25">
      <c r="A509" s="272"/>
      <c r="B509" s="47"/>
      <c r="C509" s="24"/>
      <c r="D509" s="24"/>
      <c r="E509" s="88" t="s">
        <v>193</v>
      </c>
      <c r="F509" s="28">
        <v>4960</v>
      </c>
      <c r="G509" s="28">
        <v>4877</v>
      </c>
      <c r="H509" s="28">
        <v>4901</v>
      </c>
      <c r="I509" s="28">
        <v>4875</v>
      </c>
      <c r="J509" s="28">
        <v>4969</v>
      </c>
      <c r="K509" s="28">
        <v>5030</v>
      </c>
      <c r="L509" s="28">
        <v>4913</v>
      </c>
      <c r="M509" s="28">
        <v>4886</v>
      </c>
      <c r="N509" s="28">
        <v>5016</v>
      </c>
      <c r="O509" s="88"/>
      <c r="P509" s="88"/>
      <c r="Q509" s="89"/>
      <c r="R509" s="89"/>
      <c r="S509" s="210"/>
      <c r="T509" s="28"/>
      <c r="U509" s="217"/>
      <c r="V509" s="33"/>
      <c r="X509" s="186"/>
      <c r="Y509" s="186"/>
      <c r="Z509" s="186"/>
      <c r="AA509" s="186"/>
    </row>
    <row r="510" spans="1:29" ht="22.15" x14ac:dyDescent="0.25">
      <c r="A510" s="272"/>
      <c r="B510" s="47"/>
      <c r="C510" s="24"/>
      <c r="D510" s="24"/>
      <c r="E510" s="88" t="s">
        <v>194</v>
      </c>
      <c r="F510" s="66">
        <f t="shared" ref="F510:N510" si="166">IF(((F508="")*AND(F509="")),"",(F508-F509)*2)</f>
        <v>3764</v>
      </c>
      <c r="G510" s="66">
        <f t="shared" si="166"/>
        <v>3956</v>
      </c>
      <c r="H510" s="66">
        <f t="shared" si="166"/>
        <v>4008</v>
      </c>
      <c r="I510" s="66">
        <f t="shared" si="166"/>
        <v>3954</v>
      </c>
      <c r="J510" s="66">
        <f t="shared" si="166"/>
        <v>3776</v>
      </c>
      <c r="K510" s="66">
        <f t="shared" si="166"/>
        <v>3660</v>
      </c>
      <c r="L510" s="66">
        <f t="shared" si="166"/>
        <v>3940</v>
      </c>
      <c r="M510" s="66">
        <f t="shared" si="166"/>
        <v>3998</v>
      </c>
      <c r="N510" s="66">
        <f t="shared" si="166"/>
        <v>3880</v>
      </c>
      <c r="O510" s="88"/>
      <c r="P510" s="88"/>
      <c r="Q510" s="89"/>
      <c r="R510" s="89"/>
      <c r="S510" s="210"/>
      <c r="T510" s="28"/>
      <c r="U510" s="217"/>
      <c r="V510" s="33"/>
      <c r="X510" s="186"/>
      <c r="Y510" s="186"/>
      <c r="Z510" s="186"/>
      <c r="AA510" s="186"/>
    </row>
    <row r="511" spans="1:29" x14ac:dyDescent="0.25">
      <c r="A511" s="271">
        <v>43335</v>
      </c>
      <c r="B511" s="24" t="s">
        <v>172</v>
      </c>
      <c r="C511" s="24" t="s">
        <v>174</v>
      </c>
      <c r="D511" s="24" t="s">
        <v>195</v>
      </c>
      <c r="E511" s="88" t="s">
        <v>192</v>
      </c>
      <c r="F511" s="28">
        <v>1916</v>
      </c>
      <c r="G511" s="28">
        <v>1911</v>
      </c>
      <c r="H511" s="28">
        <v>1921</v>
      </c>
      <c r="I511" s="28">
        <v>1911</v>
      </c>
      <c r="J511" s="28">
        <v>1918</v>
      </c>
      <c r="K511" s="28">
        <v>1918</v>
      </c>
      <c r="L511" s="28">
        <v>1912</v>
      </c>
      <c r="M511" s="28">
        <v>1913</v>
      </c>
      <c r="N511" s="28">
        <v>1918</v>
      </c>
      <c r="O511" s="88">
        <f>IF((N512=""),"",MAX(F513:N513))</f>
        <v>2070</v>
      </c>
      <c r="P511" s="88">
        <f>IF(N512="","",MIN(F513:N513))</f>
        <v>1986</v>
      </c>
      <c r="Q511" s="89">
        <f>IF((N513=""),"",AVERAGE(F513:N513))</f>
        <v>2027</v>
      </c>
      <c r="R511" s="89">
        <f>IF((N512=""),"",(O511-P511)/(O511+P511)*100)</f>
        <v>2.0710059171597637</v>
      </c>
      <c r="S511" s="181">
        <f>STDEV(F513:N513)</f>
        <v>24.738633753705962</v>
      </c>
      <c r="T511" s="23" t="str">
        <f>IF(N512="","",IF(Q511&gt;1940,IF(R511&lt;8.3,IF(Q511&lt;2180,"Pass","Fail"),"Fail"),"Fail"))</f>
        <v>Pass</v>
      </c>
      <c r="U511" s="211">
        <v>1340</v>
      </c>
      <c r="V511" s="33"/>
      <c r="X511" s="184">
        <v>2000</v>
      </c>
      <c r="Y511" s="184">
        <v>3000</v>
      </c>
      <c r="Z511" s="184">
        <v>1940</v>
      </c>
      <c r="AA511" s="184">
        <v>2180</v>
      </c>
      <c r="AB511" s="57">
        <v>5.2</v>
      </c>
    </row>
    <row r="512" spans="1:29" x14ac:dyDescent="0.25">
      <c r="A512" s="272"/>
      <c r="B512" s="47"/>
      <c r="C512" s="24"/>
      <c r="D512" s="24"/>
      <c r="E512" s="88" t="s">
        <v>193</v>
      </c>
      <c r="F512" s="28">
        <v>1239</v>
      </c>
      <c r="G512" s="28">
        <v>1230</v>
      </c>
      <c r="H512" s="28">
        <v>1231</v>
      </c>
      <c r="I512" s="28">
        <v>1238</v>
      </c>
      <c r="J512" s="28">
        <v>1256</v>
      </c>
      <c r="K512" s="28">
        <v>1246</v>
      </c>
      <c r="L512" s="28">
        <v>1238</v>
      </c>
      <c r="M512" s="28">
        <v>1230</v>
      </c>
      <c r="N512" s="28">
        <v>1249</v>
      </c>
      <c r="O512" s="88"/>
      <c r="P512" s="88"/>
      <c r="Q512" s="89"/>
      <c r="R512" s="89"/>
      <c r="S512" s="210"/>
      <c r="T512" s="23"/>
      <c r="U512" s="211"/>
      <c r="V512" s="33"/>
      <c r="X512" s="186"/>
      <c r="Y512" s="186"/>
      <c r="Z512" s="186"/>
      <c r="AA512" s="186"/>
    </row>
    <row r="513" spans="1:29" ht="32.299999999999997" customHeight="1" x14ac:dyDescent="0.25">
      <c r="A513" s="272"/>
      <c r="B513" s="47"/>
      <c r="C513" s="24"/>
      <c r="D513" s="24"/>
      <c r="E513" s="88" t="s">
        <v>196</v>
      </c>
      <c r="F513" s="66">
        <f t="shared" ref="F513:N513" si="167">IF(((F511="")*AND(F512="")),"",(F511-F512)*3)</f>
        <v>2031</v>
      </c>
      <c r="G513" s="66">
        <f t="shared" si="167"/>
        <v>2043</v>
      </c>
      <c r="H513" s="66">
        <f t="shared" si="167"/>
        <v>2070</v>
      </c>
      <c r="I513" s="66">
        <f t="shared" si="167"/>
        <v>2019</v>
      </c>
      <c r="J513" s="66">
        <f t="shared" si="167"/>
        <v>1986</v>
      </c>
      <c r="K513" s="66">
        <f t="shared" si="167"/>
        <v>2016</v>
      </c>
      <c r="L513" s="66">
        <f t="shared" si="167"/>
        <v>2022</v>
      </c>
      <c r="M513" s="66">
        <f t="shared" si="167"/>
        <v>2049</v>
      </c>
      <c r="N513" s="66">
        <f t="shared" si="167"/>
        <v>2007</v>
      </c>
      <c r="O513" s="88"/>
      <c r="P513" s="88"/>
      <c r="Q513" s="89"/>
      <c r="R513" s="89"/>
      <c r="S513" s="210"/>
      <c r="T513" s="23"/>
      <c r="U513" s="211"/>
      <c r="V513" s="33"/>
      <c r="X513" s="186"/>
      <c r="Y513" s="186"/>
      <c r="Z513" s="186"/>
      <c r="AA513" s="186"/>
    </row>
    <row r="514" spans="1:29" x14ac:dyDescent="0.25">
      <c r="A514" s="271">
        <v>43335</v>
      </c>
      <c r="B514" s="47" t="s">
        <v>191</v>
      </c>
      <c r="C514" s="24" t="s">
        <v>176</v>
      </c>
      <c r="D514" s="24" t="s">
        <v>175</v>
      </c>
      <c r="E514" s="88" t="s">
        <v>192</v>
      </c>
      <c r="F514" s="28">
        <v>29141</v>
      </c>
      <c r="G514" s="28">
        <v>29060</v>
      </c>
      <c r="H514" s="28">
        <v>29107</v>
      </c>
      <c r="I514" s="28">
        <v>29056</v>
      </c>
      <c r="J514" s="28">
        <v>29110</v>
      </c>
      <c r="K514" s="28">
        <v>29118</v>
      </c>
      <c r="L514" s="28">
        <v>29045</v>
      </c>
      <c r="M514" s="28">
        <v>29057</v>
      </c>
      <c r="N514" s="28">
        <v>29120</v>
      </c>
      <c r="O514" s="88">
        <f>IF((N515=""),"",MAX(F516:N516))</f>
        <v>4515</v>
      </c>
      <c r="P514" s="88">
        <f>IF(N515="","",MIN(F516:N516))</f>
        <v>4095</v>
      </c>
      <c r="Q514" s="89">
        <f>IF((N516=""),"",AVERAGE(F516:N516))</f>
        <v>4278</v>
      </c>
      <c r="R514" s="89">
        <f>IF((N515=""),"",(O514-P514)/(O514+P514)*100)</f>
        <v>4.8780487804878048</v>
      </c>
      <c r="S514" s="181">
        <f>STDEV(F516:N516)</f>
        <v>167.09353667931026</v>
      </c>
      <c r="T514" s="23" t="str">
        <f>IF(N515="","",IF(R514&lt;16,IF(Q514&gt;3200,IF(R514,IF(Q514&lt;5240,"Pass","Fail"),"Fail"),"Fail")))</f>
        <v>Pass</v>
      </c>
      <c r="U514" s="211">
        <v>1340</v>
      </c>
      <c r="V514" s="33"/>
      <c r="X514" s="184">
        <v>4200</v>
      </c>
      <c r="Y514" s="184">
        <v>5500</v>
      </c>
      <c r="Z514" s="184">
        <v>3200</v>
      </c>
      <c r="AA514" s="184">
        <v>5240</v>
      </c>
      <c r="AB514" s="57">
        <v>16</v>
      </c>
    </row>
    <row r="515" spans="1:29" x14ac:dyDescent="0.25">
      <c r="A515" s="272"/>
      <c r="B515" s="47"/>
      <c r="C515" s="24"/>
      <c r="D515" s="24"/>
      <c r="E515" s="88" t="s">
        <v>193</v>
      </c>
      <c r="F515" s="28">
        <v>27636</v>
      </c>
      <c r="G515" s="28">
        <v>27669</v>
      </c>
      <c r="H515" s="28">
        <v>27742</v>
      </c>
      <c r="I515" s="28">
        <v>27678</v>
      </c>
      <c r="J515" s="28">
        <v>27644</v>
      </c>
      <c r="K515" s="28">
        <v>27651</v>
      </c>
      <c r="L515" s="28">
        <v>27668</v>
      </c>
      <c r="M515" s="28">
        <v>27665</v>
      </c>
      <c r="N515" s="28">
        <v>27627</v>
      </c>
      <c r="O515" s="88"/>
      <c r="P515" s="88"/>
      <c r="Q515" s="89"/>
      <c r="R515" s="89"/>
      <c r="S515" s="210"/>
      <c r="T515" s="23"/>
      <c r="U515" s="211"/>
      <c r="V515" s="33"/>
      <c r="X515" s="186"/>
      <c r="Y515" s="186"/>
      <c r="Z515" s="186"/>
      <c r="AA515" s="186"/>
    </row>
    <row r="516" spans="1:29" ht="22.75" thickBot="1" x14ac:dyDescent="0.3">
      <c r="A516" s="279"/>
      <c r="B516" s="90"/>
      <c r="C516" s="91"/>
      <c r="D516" s="91"/>
      <c r="E516" s="92" t="s">
        <v>194</v>
      </c>
      <c r="F516" s="79">
        <f t="shared" ref="F516:N516" si="168">IF(((F514="")*AND(F515="")),"",(F514-F515)*3)</f>
        <v>4515</v>
      </c>
      <c r="G516" s="79">
        <f t="shared" si="168"/>
        <v>4173</v>
      </c>
      <c r="H516" s="79">
        <f t="shared" si="168"/>
        <v>4095</v>
      </c>
      <c r="I516" s="79">
        <f t="shared" si="168"/>
        <v>4134</v>
      </c>
      <c r="J516" s="79">
        <f t="shared" si="168"/>
        <v>4398</v>
      </c>
      <c r="K516" s="79">
        <f t="shared" si="168"/>
        <v>4401</v>
      </c>
      <c r="L516" s="79">
        <f t="shared" si="168"/>
        <v>4131</v>
      </c>
      <c r="M516" s="79">
        <f t="shared" si="168"/>
        <v>4176</v>
      </c>
      <c r="N516" s="79">
        <f t="shared" si="168"/>
        <v>4479</v>
      </c>
      <c r="O516" s="92"/>
      <c r="P516" s="92"/>
      <c r="Q516" s="93"/>
      <c r="R516" s="93"/>
      <c r="S516" s="213"/>
      <c r="T516" s="214"/>
      <c r="U516" s="215"/>
      <c r="V516" s="33"/>
      <c r="X516" s="186"/>
      <c r="Y516" s="186"/>
      <c r="Z516" s="186"/>
      <c r="AA516" s="186"/>
    </row>
    <row r="517" spans="1:29" x14ac:dyDescent="0.25">
      <c r="A517" s="277">
        <v>43338</v>
      </c>
      <c r="B517" s="85" t="s">
        <v>177</v>
      </c>
      <c r="C517" s="70" t="s">
        <v>179</v>
      </c>
      <c r="D517" s="70" t="s">
        <v>178</v>
      </c>
      <c r="E517" s="86" t="s">
        <v>192</v>
      </c>
      <c r="F517" s="197">
        <v>4969.79</v>
      </c>
      <c r="G517" s="197">
        <v>4888.7700000000004</v>
      </c>
      <c r="H517" s="197">
        <v>4912.22</v>
      </c>
      <c r="I517" s="197">
        <v>4886.2299999999996</v>
      </c>
      <c r="J517" s="197">
        <v>4978.38</v>
      </c>
      <c r="K517" s="197">
        <v>5038.82</v>
      </c>
      <c r="L517" s="197">
        <v>4923.6499999999996</v>
      </c>
      <c r="M517" s="197">
        <v>4897.26</v>
      </c>
      <c r="N517" s="197">
        <v>5025.3599999999997</v>
      </c>
      <c r="O517" s="86">
        <f>IF((N518=""),"",MAX(F519:N519))</f>
        <v>4047.1000000000004</v>
      </c>
      <c r="P517" s="86">
        <f>IF(N518="","",MIN(F519:N519))</f>
        <v>3678.3999999999996</v>
      </c>
      <c r="Q517" s="87">
        <f>IF((N519=""),"",AVERAGE(F519:N519))</f>
        <v>3916.7044444444441</v>
      </c>
      <c r="R517" s="87">
        <f>IF((N518=""),"",(O517-P517)/(O517+P517)*100)</f>
        <v>4.7725066338748396</v>
      </c>
      <c r="S517" s="181">
        <f>STDEV(F519:N519)</f>
        <v>131.01059070845309</v>
      </c>
      <c r="T517" s="208" t="str">
        <f>IF(N518="","",IF(Q517&gt;3650,IF(R517&lt;7,IF(Q517&lt;4450,"Pass","Fail"),"Fail"),"Fail"))</f>
        <v>Pass</v>
      </c>
      <c r="U517" s="220">
        <v>102</v>
      </c>
      <c r="V517" s="33"/>
      <c r="X517" s="184">
        <v>3650</v>
      </c>
      <c r="Y517" s="184">
        <v>4450</v>
      </c>
      <c r="Z517" s="184">
        <v>3700</v>
      </c>
      <c r="AA517" s="184">
        <v>4100</v>
      </c>
      <c r="AB517" s="57">
        <v>6.5</v>
      </c>
      <c r="AC517" s="57">
        <v>7</v>
      </c>
    </row>
    <row r="518" spans="1:29" x14ac:dyDescent="0.25">
      <c r="A518" s="272"/>
      <c r="B518" s="47"/>
      <c r="C518" s="24"/>
      <c r="D518" s="24"/>
      <c r="E518" s="88" t="s">
        <v>193</v>
      </c>
      <c r="F518" s="198">
        <v>3060.29</v>
      </c>
      <c r="G518" s="198">
        <v>2883.44</v>
      </c>
      <c r="H518" s="198">
        <v>2889.94</v>
      </c>
      <c r="I518" s="198">
        <v>2890.31</v>
      </c>
      <c r="J518" s="198">
        <v>3086.86</v>
      </c>
      <c r="K518" s="198">
        <v>3199.62</v>
      </c>
      <c r="L518" s="198">
        <v>2931.29</v>
      </c>
      <c r="M518" s="198">
        <v>2873.71</v>
      </c>
      <c r="N518" s="198">
        <v>3079.85</v>
      </c>
      <c r="O518" s="88"/>
      <c r="P518" s="88"/>
      <c r="Q518" s="89"/>
      <c r="R518" s="89"/>
      <c r="S518" s="210"/>
      <c r="T518" s="28"/>
      <c r="U518" s="217"/>
      <c r="V518" s="33"/>
      <c r="X518" s="186"/>
      <c r="Y518" s="186"/>
      <c r="Z518" s="186"/>
      <c r="AA518" s="186"/>
    </row>
    <row r="519" spans="1:29" ht="22.15" x14ac:dyDescent="0.25">
      <c r="A519" s="272"/>
      <c r="B519" s="47"/>
      <c r="C519" s="24"/>
      <c r="D519" s="24"/>
      <c r="E519" s="88" t="s">
        <v>194</v>
      </c>
      <c r="F519" s="66">
        <f t="shared" ref="F519:N519" si="169">IF(((F517="")*AND(F518="")),"",(F517-F518)*2)</f>
        <v>3819</v>
      </c>
      <c r="G519" s="66">
        <f t="shared" si="169"/>
        <v>4010.6600000000008</v>
      </c>
      <c r="H519" s="66">
        <f t="shared" si="169"/>
        <v>4044.5600000000004</v>
      </c>
      <c r="I519" s="66">
        <f t="shared" si="169"/>
        <v>3991.8399999999992</v>
      </c>
      <c r="J519" s="66">
        <f t="shared" si="169"/>
        <v>3783.04</v>
      </c>
      <c r="K519" s="66">
        <f t="shared" si="169"/>
        <v>3678.3999999999996</v>
      </c>
      <c r="L519" s="66">
        <f t="shared" si="169"/>
        <v>3984.7199999999993</v>
      </c>
      <c r="M519" s="66">
        <f t="shared" si="169"/>
        <v>4047.1000000000004</v>
      </c>
      <c r="N519" s="66">
        <f t="shared" si="169"/>
        <v>3891.0199999999995</v>
      </c>
      <c r="O519" s="88"/>
      <c r="P519" s="88"/>
      <c r="Q519" s="89"/>
      <c r="R519" s="89"/>
      <c r="S519" s="210"/>
      <c r="T519" s="28"/>
      <c r="U519" s="217"/>
      <c r="V519" s="33"/>
      <c r="X519" s="186"/>
      <c r="Y519" s="186"/>
      <c r="Z519" s="186"/>
      <c r="AA519" s="186"/>
    </row>
    <row r="520" spans="1:29" x14ac:dyDescent="0.25">
      <c r="A520" s="271">
        <v>43338</v>
      </c>
      <c r="B520" s="24" t="s">
        <v>172</v>
      </c>
      <c r="C520" s="24" t="s">
        <v>174</v>
      </c>
      <c r="D520" s="24" t="s">
        <v>195</v>
      </c>
      <c r="E520" s="88" t="s">
        <v>192</v>
      </c>
      <c r="F520" s="198">
        <v>1242.4000000000001</v>
      </c>
      <c r="G520" s="198">
        <v>1233.6500000000001</v>
      </c>
      <c r="H520" s="198">
        <v>1234.0999999999999</v>
      </c>
      <c r="I520" s="198">
        <v>1241.99</v>
      </c>
      <c r="J520" s="198">
        <v>1259.79</v>
      </c>
      <c r="K520" s="198">
        <v>1250.95</v>
      </c>
      <c r="L520" s="198">
        <v>1240.72</v>
      </c>
      <c r="M520" s="198">
        <v>1234.27</v>
      </c>
      <c r="N520" s="198">
        <v>1249.2</v>
      </c>
      <c r="O520" s="88">
        <f>IF((N521=""),"",MAX(F522:N522))</f>
        <v>2073.1499999999996</v>
      </c>
      <c r="P520" s="88">
        <f>IF(N521="","",MIN(F522:N522))</f>
        <v>1988.4900000000002</v>
      </c>
      <c r="Q520" s="89">
        <f>IF((N522=""),"",AVERAGE(F522:N522))</f>
        <v>2031.5666666666668</v>
      </c>
      <c r="R520" s="89">
        <f>IF((N521=""),"",(O520-P520)/(O520+P520)*100)</f>
        <v>2.0843797086890863</v>
      </c>
      <c r="S520" s="181">
        <f>STDEV(F522:N522)</f>
        <v>28.677985459233216</v>
      </c>
      <c r="T520" s="23" t="str">
        <f>IF(N521="","",IF(Q520&gt;1940,IF(R520&lt;8.3,IF(Q520&lt;2180,"Pass","Fail"),"Fail"),"Fail"))</f>
        <v>Pass</v>
      </c>
      <c r="U520" s="211">
        <v>102</v>
      </c>
      <c r="V520" s="33"/>
      <c r="X520" s="184">
        <v>2000</v>
      </c>
      <c r="Y520" s="184">
        <v>3000</v>
      </c>
      <c r="Z520" s="184">
        <v>1940</v>
      </c>
      <c r="AA520" s="184">
        <v>2180</v>
      </c>
      <c r="AB520" s="57">
        <v>5.2</v>
      </c>
    </row>
    <row r="521" spans="1:29" x14ac:dyDescent="0.25">
      <c r="A521" s="272"/>
      <c r="B521" s="47"/>
      <c r="C521" s="24"/>
      <c r="D521" s="24"/>
      <c r="E521" s="88" t="s">
        <v>193</v>
      </c>
      <c r="F521" s="198">
        <v>573.11</v>
      </c>
      <c r="G521" s="198">
        <v>551.9</v>
      </c>
      <c r="H521" s="198">
        <v>547.71</v>
      </c>
      <c r="I521" s="198">
        <v>558.39</v>
      </c>
      <c r="J521" s="198">
        <v>593.67999999999995</v>
      </c>
      <c r="K521" s="198">
        <v>588.12</v>
      </c>
      <c r="L521" s="198">
        <v>563.25</v>
      </c>
      <c r="M521" s="198">
        <v>543.22</v>
      </c>
      <c r="N521" s="198">
        <v>572.99</v>
      </c>
      <c r="O521" s="88"/>
      <c r="P521" s="88"/>
      <c r="Q521" s="89"/>
      <c r="R521" s="89"/>
      <c r="S521" s="210"/>
      <c r="T521" s="23"/>
      <c r="U521" s="211"/>
      <c r="V521" s="33"/>
      <c r="X521" s="186"/>
      <c r="Y521" s="186"/>
      <c r="Z521" s="186"/>
      <c r="AA521" s="186"/>
    </row>
    <row r="522" spans="1:29" ht="33.799999999999997" customHeight="1" x14ac:dyDescent="0.25">
      <c r="A522" s="272"/>
      <c r="B522" s="47"/>
      <c r="C522" s="24"/>
      <c r="D522" s="24"/>
      <c r="E522" s="88" t="s">
        <v>196</v>
      </c>
      <c r="F522" s="66">
        <f t="shared" ref="F522:N522" si="170">IF(((F520="")*AND(F521="")),"",(F520-F521)*3)</f>
        <v>2007.8700000000003</v>
      </c>
      <c r="G522" s="66">
        <f t="shared" si="170"/>
        <v>2045.2500000000005</v>
      </c>
      <c r="H522" s="66">
        <f t="shared" si="170"/>
        <v>2059.1699999999996</v>
      </c>
      <c r="I522" s="66">
        <f t="shared" si="170"/>
        <v>2050.8000000000002</v>
      </c>
      <c r="J522" s="66">
        <f t="shared" si="170"/>
        <v>1998.33</v>
      </c>
      <c r="K522" s="66">
        <f t="shared" si="170"/>
        <v>1988.4900000000002</v>
      </c>
      <c r="L522" s="66">
        <f t="shared" si="170"/>
        <v>2032.41</v>
      </c>
      <c r="M522" s="66">
        <f t="shared" si="170"/>
        <v>2073.1499999999996</v>
      </c>
      <c r="N522" s="66">
        <f t="shared" si="170"/>
        <v>2028.63</v>
      </c>
      <c r="O522" s="88"/>
      <c r="P522" s="88"/>
      <c r="Q522" s="89"/>
      <c r="R522" s="89"/>
      <c r="S522" s="210"/>
      <c r="T522" s="23"/>
      <c r="U522" s="211"/>
      <c r="V522" s="33"/>
      <c r="X522" s="186"/>
      <c r="Y522" s="186"/>
      <c r="Z522" s="186"/>
      <c r="AA522" s="186"/>
    </row>
    <row r="523" spans="1:29" x14ac:dyDescent="0.25">
      <c r="A523" s="271">
        <v>43338</v>
      </c>
      <c r="B523" s="47" t="s">
        <v>191</v>
      </c>
      <c r="C523" s="24" t="s">
        <v>176</v>
      </c>
      <c r="D523" s="24" t="s">
        <v>175</v>
      </c>
      <c r="E523" s="88" t="s">
        <v>192</v>
      </c>
      <c r="F523" s="198">
        <v>27580.27</v>
      </c>
      <c r="G523" s="198">
        <v>27614.16</v>
      </c>
      <c r="H523" s="198">
        <v>27685.07</v>
      </c>
      <c r="I523" s="198">
        <v>27623.75</v>
      </c>
      <c r="J523" s="198">
        <v>27587.040000000001</v>
      </c>
      <c r="K523" s="198">
        <v>27593.41</v>
      </c>
      <c r="L523" s="198">
        <v>27612.080000000002</v>
      </c>
      <c r="M523" s="198">
        <v>27609.85</v>
      </c>
      <c r="N523" s="198">
        <v>27562.25</v>
      </c>
      <c r="O523" s="88">
        <f>IF((N524=""),"",MAX(F525:N525))</f>
        <v>4542</v>
      </c>
      <c r="P523" s="88">
        <f>IF(N524="","",MIN(F525:N525))</f>
        <v>4104.8100000000013</v>
      </c>
      <c r="Q523" s="89">
        <f>IF((N525=""),"",AVERAGE(F525:N525))</f>
        <v>4310.1900000000005</v>
      </c>
      <c r="R523" s="89">
        <f>IF((N524=""),"",(O523-P523)/(O523+P523)*100)</f>
        <v>5.0560842669146036</v>
      </c>
      <c r="S523" s="181">
        <f>STDEV(F525:N525)</f>
        <v>180.49370605370234</v>
      </c>
      <c r="T523" s="23" t="str">
        <f>IF(N524="","",IF(R523&lt;16,IF(Q523&gt;3200,IF(R523,IF(Q523&lt;5240,"Pass","Fail"),"Fail"),"Fail")))</f>
        <v>Pass</v>
      </c>
      <c r="U523" s="211">
        <v>102</v>
      </c>
      <c r="V523" s="33"/>
      <c r="X523" s="184">
        <v>4200</v>
      </c>
      <c r="Y523" s="184">
        <v>5500</v>
      </c>
      <c r="Z523" s="184">
        <v>3200</v>
      </c>
      <c r="AA523" s="184">
        <v>5240</v>
      </c>
      <c r="AB523" s="57">
        <v>16</v>
      </c>
    </row>
    <row r="524" spans="1:29" x14ac:dyDescent="0.25">
      <c r="A524" s="272"/>
      <c r="B524" s="47"/>
      <c r="C524" s="24"/>
      <c r="D524" s="24"/>
      <c r="E524" s="88" t="s">
        <v>193</v>
      </c>
      <c r="F524" s="198">
        <v>26079.03</v>
      </c>
      <c r="G524" s="198">
        <v>26221.09</v>
      </c>
      <c r="H524" s="198">
        <v>26316.799999999999</v>
      </c>
      <c r="I524" s="198">
        <v>26231.99</v>
      </c>
      <c r="J524" s="198">
        <v>26092.29</v>
      </c>
      <c r="K524" s="198">
        <v>26106.51</v>
      </c>
      <c r="L524" s="198">
        <v>26224.44</v>
      </c>
      <c r="M524" s="198">
        <v>26216.91</v>
      </c>
      <c r="N524" s="198">
        <v>26048.25</v>
      </c>
      <c r="O524" s="88"/>
      <c r="P524" s="88"/>
      <c r="Q524" s="89"/>
      <c r="R524" s="89"/>
      <c r="S524" s="210"/>
      <c r="T524" s="23"/>
      <c r="U524" s="211"/>
      <c r="V524" s="33"/>
      <c r="X524" s="186"/>
      <c r="Y524" s="186"/>
      <c r="Z524" s="186"/>
      <c r="AA524" s="186"/>
    </row>
    <row r="525" spans="1:29" ht="22.75" thickBot="1" x14ac:dyDescent="0.3">
      <c r="A525" s="279"/>
      <c r="B525" s="90"/>
      <c r="C525" s="91"/>
      <c r="D525" s="91"/>
      <c r="E525" s="92" t="s">
        <v>194</v>
      </c>
      <c r="F525" s="79">
        <f t="shared" ref="F525:N525" si="171">IF(((F523="")*AND(F524="")),"",(F523-F524)*3)</f>
        <v>4503.7200000000048</v>
      </c>
      <c r="G525" s="79">
        <f t="shared" si="171"/>
        <v>4179.2099999999991</v>
      </c>
      <c r="H525" s="79">
        <f t="shared" si="171"/>
        <v>4104.8100000000013</v>
      </c>
      <c r="I525" s="79">
        <f t="shared" si="171"/>
        <v>4175.2799999999952</v>
      </c>
      <c r="J525" s="79">
        <f t="shared" si="171"/>
        <v>4484.25</v>
      </c>
      <c r="K525" s="79">
        <f t="shared" si="171"/>
        <v>4460.7000000000044</v>
      </c>
      <c r="L525" s="79">
        <f t="shared" si="171"/>
        <v>4162.9200000000092</v>
      </c>
      <c r="M525" s="79">
        <f t="shared" si="171"/>
        <v>4178.8199999999961</v>
      </c>
      <c r="N525" s="79">
        <f t="shared" si="171"/>
        <v>4542</v>
      </c>
      <c r="O525" s="92"/>
      <c r="P525" s="92"/>
      <c r="Q525" s="93"/>
      <c r="R525" s="93"/>
      <c r="S525" s="213"/>
      <c r="T525" s="214"/>
      <c r="U525" s="215"/>
      <c r="V525" s="33"/>
      <c r="X525" s="186"/>
      <c r="Y525" s="186"/>
      <c r="Z525" s="186"/>
      <c r="AA525" s="186"/>
    </row>
    <row r="526" spans="1:29" x14ac:dyDescent="0.25">
      <c r="A526" s="277">
        <v>43338</v>
      </c>
      <c r="B526" s="85" t="s">
        <v>177</v>
      </c>
      <c r="C526" s="70" t="s">
        <v>179</v>
      </c>
      <c r="D526" s="70" t="s">
        <v>178</v>
      </c>
      <c r="E526" s="86" t="s">
        <v>192</v>
      </c>
      <c r="F526" s="33">
        <v>3071.52</v>
      </c>
      <c r="G526" s="33">
        <v>2893.21</v>
      </c>
      <c r="H526" s="33">
        <v>2900.42</v>
      </c>
      <c r="I526" s="33">
        <v>2900.61</v>
      </c>
      <c r="J526" s="33">
        <v>3098.24</v>
      </c>
      <c r="K526" s="33">
        <v>3211.2</v>
      </c>
      <c r="L526" s="33">
        <v>2941.74</v>
      </c>
      <c r="M526" s="33">
        <v>2883.91</v>
      </c>
      <c r="N526" s="33">
        <v>3091.94</v>
      </c>
      <c r="O526" s="86">
        <f>IF((N527=""),"",MAX(F528:N528))</f>
        <v>4048.9799999999996</v>
      </c>
      <c r="P526" s="86">
        <f>IF(N527="","",MIN(F528:N528))</f>
        <v>3679.0199999999995</v>
      </c>
      <c r="Q526" s="87">
        <f>IF((N528=""),"",AVERAGE(F528:N528))</f>
        <v>3913.0866666666666</v>
      </c>
      <c r="R526" s="87">
        <f>IF((N527=""),"",(O526-P526)/(O526+P526)*100)</f>
        <v>4.7872670807453428</v>
      </c>
      <c r="S526" s="181">
        <f>STDEV(F528:N528)</f>
        <v>127.15059063960348</v>
      </c>
      <c r="T526" s="208" t="str">
        <f>IF(N527="","",IF(Q526&gt;3650,IF(R526&lt;7,IF(Q526&lt;4450,"Pass","Fail"),"Fail"),"Fail"))</f>
        <v>Pass</v>
      </c>
      <c r="U526" s="220">
        <v>121</v>
      </c>
      <c r="V526" s="33"/>
      <c r="X526" s="184">
        <v>3650</v>
      </c>
      <c r="Y526" s="184">
        <v>4450</v>
      </c>
      <c r="Z526" s="184">
        <v>3700</v>
      </c>
      <c r="AA526" s="184">
        <v>4100</v>
      </c>
      <c r="AB526" s="57">
        <v>6.5</v>
      </c>
      <c r="AC526" s="57">
        <v>7</v>
      </c>
    </row>
    <row r="527" spans="1:29" x14ac:dyDescent="0.25">
      <c r="A527" s="272"/>
      <c r="B527" s="47"/>
      <c r="C527" s="24"/>
      <c r="D527" s="24"/>
      <c r="E527" s="88" t="s">
        <v>193</v>
      </c>
      <c r="F527" s="33">
        <v>1170.8900000000001</v>
      </c>
      <c r="G527" s="33">
        <v>896.9</v>
      </c>
      <c r="H527" s="33">
        <v>881.13</v>
      </c>
      <c r="I527" s="33">
        <v>909.2</v>
      </c>
      <c r="J527" s="33">
        <v>1199.07</v>
      </c>
      <c r="K527" s="33">
        <v>1371.69</v>
      </c>
      <c r="L527" s="33">
        <v>956.02</v>
      </c>
      <c r="M527" s="33">
        <v>859.42</v>
      </c>
      <c r="N527" s="33">
        <v>1139.58</v>
      </c>
      <c r="O527" s="88"/>
      <c r="P527" s="88"/>
      <c r="Q527" s="89"/>
      <c r="R527" s="89"/>
      <c r="S527" s="210"/>
      <c r="T527" s="28"/>
      <c r="U527" s="217"/>
      <c r="V527" s="33"/>
      <c r="X527" s="186"/>
      <c r="Y527" s="186"/>
      <c r="Z527" s="186"/>
      <c r="AA527" s="186"/>
    </row>
    <row r="528" spans="1:29" ht="22.15" x14ac:dyDescent="0.25">
      <c r="A528" s="272"/>
      <c r="B528" s="47"/>
      <c r="C528" s="24"/>
      <c r="D528" s="24"/>
      <c r="E528" s="88" t="s">
        <v>194</v>
      </c>
      <c r="F528" s="66">
        <f t="shared" ref="F528:N528" si="172">IF(((F526="")*AND(F527="")),"",(F526-F527)*2)</f>
        <v>3801.2599999999998</v>
      </c>
      <c r="G528" s="66">
        <f t="shared" si="172"/>
        <v>3992.62</v>
      </c>
      <c r="H528" s="66">
        <f t="shared" si="172"/>
        <v>4038.58</v>
      </c>
      <c r="I528" s="66">
        <f t="shared" si="172"/>
        <v>3982.82</v>
      </c>
      <c r="J528" s="66">
        <f t="shared" si="172"/>
        <v>3798.3399999999997</v>
      </c>
      <c r="K528" s="66">
        <f t="shared" si="172"/>
        <v>3679.0199999999995</v>
      </c>
      <c r="L528" s="66">
        <f t="shared" si="172"/>
        <v>3971.4399999999996</v>
      </c>
      <c r="M528" s="66">
        <f t="shared" si="172"/>
        <v>4048.9799999999996</v>
      </c>
      <c r="N528" s="66">
        <f t="shared" si="172"/>
        <v>3904.7200000000003</v>
      </c>
      <c r="O528" s="88"/>
      <c r="P528" s="88"/>
      <c r="Q528" s="89"/>
      <c r="R528" s="89"/>
      <c r="S528" s="210"/>
      <c r="T528" s="28"/>
      <c r="U528" s="217"/>
      <c r="V528" s="33"/>
      <c r="X528" s="186"/>
      <c r="Y528" s="186"/>
      <c r="Z528" s="186"/>
      <c r="AA528" s="186"/>
    </row>
    <row r="529" spans="1:29" x14ac:dyDescent="0.25">
      <c r="A529" s="271">
        <v>43338</v>
      </c>
      <c r="B529" s="24" t="s">
        <v>172</v>
      </c>
      <c r="C529" s="24" t="s">
        <v>174</v>
      </c>
      <c r="D529" s="24" t="s">
        <v>195</v>
      </c>
      <c r="E529" s="88" t="s">
        <v>192</v>
      </c>
      <c r="F529" s="33">
        <v>1962.38</v>
      </c>
      <c r="G529" s="33">
        <v>1955.53</v>
      </c>
      <c r="H529" s="33">
        <v>1954.99</v>
      </c>
      <c r="I529" s="33">
        <v>1958.98</v>
      </c>
      <c r="J529" s="33">
        <v>1965.04</v>
      </c>
      <c r="K529" s="33">
        <v>1964.37</v>
      </c>
      <c r="L529" s="33">
        <v>1958.65</v>
      </c>
      <c r="M529" s="33">
        <v>1961.71</v>
      </c>
      <c r="N529" s="33">
        <v>1966.04</v>
      </c>
      <c r="O529" s="88">
        <f>IF((N530=""),"",MAX(F531:N531))</f>
        <v>2125.59</v>
      </c>
      <c r="P529" s="88">
        <f>IF(N530="","",MIN(F531:N531))</f>
        <v>2050.0800000000004</v>
      </c>
      <c r="Q529" s="89">
        <f>IF((N531=""),"",AVERAGE(F531:N531))</f>
        <v>2089.3333333333335</v>
      </c>
      <c r="R529" s="89">
        <f>IF((N530=""),"",(O529-P529)/(O529+P529)*100)</f>
        <v>1.8083325550151175</v>
      </c>
      <c r="S529" s="181">
        <f>STDEV(F531:N531)</f>
        <v>30.499880737471852</v>
      </c>
      <c r="T529" s="23" t="str">
        <f>IF(N530="","",IF(Q529&gt;1940,IF(R529&lt;8.3,IF(Q529&lt;2180,"Pass","Fail"),"Fail"),"Fail"))</f>
        <v>Pass</v>
      </c>
      <c r="U529" s="211">
        <v>121</v>
      </c>
      <c r="V529" s="33"/>
      <c r="X529" s="184">
        <v>2000</v>
      </c>
      <c r="Y529" s="184">
        <v>3000</v>
      </c>
      <c r="Z529" s="184">
        <v>1940</v>
      </c>
      <c r="AA529" s="184">
        <v>2180</v>
      </c>
      <c r="AB529" s="57">
        <v>5.2</v>
      </c>
    </row>
    <row r="530" spans="1:29" x14ac:dyDescent="0.25">
      <c r="A530" s="272"/>
      <c r="B530" s="47"/>
      <c r="C530" s="24"/>
      <c r="D530" s="24"/>
      <c r="E530" s="88" t="s">
        <v>193</v>
      </c>
      <c r="F530" s="33">
        <v>1279.02</v>
      </c>
      <c r="G530" s="33">
        <v>1255.26</v>
      </c>
      <c r="H530" s="33">
        <v>1249.26</v>
      </c>
      <c r="I530" s="33">
        <v>1254.19</v>
      </c>
      <c r="J530" s="33">
        <v>1280.2</v>
      </c>
      <c r="K530" s="33">
        <v>1272.44</v>
      </c>
      <c r="L530" s="33">
        <v>1255.03</v>
      </c>
      <c r="M530" s="33">
        <v>1253.18</v>
      </c>
      <c r="N530" s="33">
        <v>1281.1099999999999</v>
      </c>
      <c r="O530" s="88"/>
      <c r="P530" s="88"/>
      <c r="Q530" s="89"/>
      <c r="R530" s="89"/>
      <c r="S530" s="210"/>
      <c r="T530" s="23"/>
      <c r="U530" s="211"/>
      <c r="V530" s="33"/>
      <c r="X530" s="186"/>
      <c r="Y530" s="186"/>
      <c r="Z530" s="186"/>
      <c r="AA530" s="186"/>
    </row>
    <row r="531" spans="1:29" x14ac:dyDescent="0.25">
      <c r="A531" s="272"/>
      <c r="B531" s="47"/>
      <c r="C531" s="24"/>
      <c r="D531" s="24"/>
      <c r="E531" s="88" t="s">
        <v>196</v>
      </c>
      <c r="F531" s="66">
        <f t="shared" ref="F531:N531" si="173">IF(((F529="")*AND(F530="")),"",(F529-F530)*3)</f>
        <v>2050.0800000000004</v>
      </c>
      <c r="G531" s="66">
        <f t="shared" si="173"/>
        <v>2100.81</v>
      </c>
      <c r="H531" s="66">
        <f t="shared" si="173"/>
        <v>2117.19</v>
      </c>
      <c r="I531" s="66">
        <f t="shared" si="173"/>
        <v>2114.37</v>
      </c>
      <c r="J531" s="66">
        <f t="shared" si="173"/>
        <v>2054.5199999999995</v>
      </c>
      <c r="K531" s="66">
        <f t="shared" si="173"/>
        <v>2075.7899999999995</v>
      </c>
      <c r="L531" s="66">
        <f t="shared" si="173"/>
        <v>2110.8600000000006</v>
      </c>
      <c r="M531" s="66">
        <f t="shared" si="173"/>
        <v>2125.59</v>
      </c>
      <c r="N531" s="66">
        <f t="shared" si="173"/>
        <v>2054.79</v>
      </c>
      <c r="O531" s="88"/>
      <c r="P531" s="88"/>
      <c r="Q531" s="89"/>
      <c r="R531" s="89"/>
      <c r="S531" s="210"/>
      <c r="T531" s="23"/>
      <c r="U531" s="211"/>
      <c r="V531" s="33"/>
      <c r="X531" s="186"/>
      <c r="Y531" s="186"/>
      <c r="Z531" s="186"/>
      <c r="AA531" s="186"/>
    </row>
    <row r="532" spans="1:29" x14ac:dyDescent="0.25">
      <c r="A532" s="271">
        <v>43338</v>
      </c>
      <c r="B532" s="47" t="s">
        <v>191</v>
      </c>
      <c r="C532" s="24" t="s">
        <v>176</v>
      </c>
      <c r="D532" s="24" t="s">
        <v>175</v>
      </c>
      <c r="E532" s="88" t="s">
        <v>192</v>
      </c>
      <c r="F532" s="33">
        <v>26022.03</v>
      </c>
      <c r="G532" s="33">
        <v>26161.63</v>
      </c>
      <c r="H532" s="33">
        <v>26264.400000000001</v>
      </c>
      <c r="I532" s="33">
        <v>26179.51</v>
      </c>
      <c r="J532" s="33">
        <v>26030.7</v>
      </c>
      <c r="K532" s="33">
        <v>26045.89</v>
      </c>
      <c r="L532" s="33">
        <v>26174.240000000002</v>
      </c>
      <c r="M532" s="33">
        <v>26158.26</v>
      </c>
      <c r="N532" s="33">
        <v>25995.75</v>
      </c>
      <c r="O532" s="88">
        <f>IF((N533=""),"",MAX(F534:N534))</f>
        <v>4772.0400000000009</v>
      </c>
      <c r="P532" s="88">
        <f>IF(N533="","",MIN(F534:N534))</f>
        <v>4312.5</v>
      </c>
      <c r="Q532" s="89">
        <f>IF((N534=""),"",AVERAGE(F534:N534))</f>
        <v>4509.9633333333331</v>
      </c>
      <c r="R532" s="89">
        <f>IF((N533=""),"",(O532-P532)/(O532+P532)*100)</f>
        <v>5.0584839738721046</v>
      </c>
      <c r="S532" s="181">
        <f>STDEV(F534:N534)</f>
        <v>186.94878603510557</v>
      </c>
      <c r="T532" s="23" t="str">
        <f>IF(N533="","",IF(R532&lt;16,IF(Q532&gt;3200,IF(R532,IF(Q532&lt;5240,"Pass","Fail"),"Fail"),"Fail")))</f>
        <v>Pass</v>
      </c>
      <c r="U532" s="211">
        <v>121</v>
      </c>
      <c r="V532" s="33"/>
      <c r="X532" s="184">
        <v>4200</v>
      </c>
      <c r="Y532" s="184">
        <v>5500</v>
      </c>
      <c r="Z532" s="184">
        <v>3200</v>
      </c>
      <c r="AA532" s="184">
        <v>5240</v>
      </c>
      <c r="AB532" s="57">
        <v>16</v>
      </c>
    </row>
    <row r="533" spans="1:29" x14ac:dyDescent="0.25">
      <c r="A533" s="272"/>
      <c r="B533" s="47"/>
      <c r="C533" s="24"/>
      <c r="D533" s="24"/>
      <c r="E533" s="88" t="s">
        <v>193</v>
      </c>
      <c r="F533" s="33">
        <v>24439.54</v>
      </c>
      <c r="G533" s="33">
        <v>24697.93</v>
      </c>
      <c r="H533" s="33">
        <v>24826.9</v>
      </c>
      <c r="I533" s="33">
        <v>24731.5</v>
      </c>
      <c r="J533" s="33">
        <v>24483.55</v>
      </c>
      <c r="K533" s="33">
        <v>24499.52</v>
      </c>
      <c r="L533" s="33">
        <v>24725.59</v>
      </c>
      <c r="M533" s="33">
        <v>24692.92</v>
      </c>
      <c r="N533" s="33">
        <v>24405.07</v>
      </c>
      <c r="O533" s="88"/>
      <c r="P533" s="88"/>
      <c r="Q533" s="89"/>
      <c r="R533" s="89"/>
      <c r="S533" s="210"/>
      <c r="T533" s="23"/>
      <c r="U533" s="211"/>
      <c r="V533" s="33"/>
      <c r="X533" s="186"/>
      <c r="Y533" s="186"/>
      <c r="Z533" s="186"/>
      <c r="AA533" s="186"/>
    </row>
    <row r="534" spans="1:29" ht="22.75" thickBot="1" x14ac:dyDescent="0.3">
      <c r="A534" s="279"/>
      <c r="B534" s="90"/>
      <c r="C534" s="91"/>
      <c r="D534" s="91"/>
      <c r="E534" s="92" t="s">
        <v>194</v>
      </c>
      <c r="F534" s="79">
        <f t="shared" ref="F534:N534" si="174">IF(((F532="")*AND(F533="")),"",(F532-F533)*3)</f>
        <v>4747.4699999999939</v>
      </c>
      <c r="G534" s="79">
        <f t="shared" si="174"/>
        <v>4391.1000000000022</v>
      </c>
      <c r="H534" s="79">
        <f t="shared" si="174"/>
        <v>4312.5</v>
      </c>
      <c r="I534" s="79">
        <f t="shared" si="174"/>
        <v>4344.0299999999952</v>
      </c>
      <c r="J534" s="79">
        <f t="shared" si="174"/>
        <v>4641.4500000000044</v>
      </c>
      <c r="K534" s="79">
        <f t="shared" si="174"/>
        <v>4639.1099999999969</v>
      </c>
      <c r="L534" s="79">
        <f t="shared" si="174"/>
        <v>4345.9500000000044</v>
      </c>
      <c r="M534" s="79">
        <f t="shared" si="174"/>
        <v>4396.0200000000004</v>
      </c>
      <c r="N534" s="79">
        <f t="shared" si="174"/>
        <v>4772.0400000000009</v>
      </c>
      <c r="O534" s="92"/>
      <c r="P534" s="92"/>
      <c r="Q534" s="93"/>
      <c r="R534" s="93"/>
      <c r="S534" s="213"/>
      <c r="T534" s="214"/>
      <c r="U534" s="215"/>
      <c r="V534" s="33"/>
      <c r="X534" s="186"/>
      <c r="Y534" s="186"/>
      <c r="Z534" s="186"/>
      <c r="AA534" s="186"/>
    </row>
    <row r="535" spans="1:29" x14ac:dyDescent="0.25">
      <c r="A535" s="277">
        <v>43344</v>
      </c>
      <c r="B535" s="85" t="s">
        <v>177</v>
      </c>
      <c r="C535" s="70" t="s">
        <v>179</v>
      </c>
      <c r="D535" s="70" t="s">
        <v>178</v>
      </c>
      <c r="E535" s="86" t="s">
        <v>192</v>
      </c>
      <c r="F535" s="33">
        <v>6953.63</v>
      </c>
      <c r="G535" s="33">
        <v>6941.14</v>
      </c>
      <c r="H535" s="33">
        <v>6989.81</v>
      </c>
      <c r="I535" s="33">
        <v>6952.52</v>
      </c>
      <c r="J535" s="33">
        <v>7007.72</v>
      </c>
      <c r="K535" s="33">
        <v>6971.64</v>
      </c>
      <c r="L535" s="33">
        <v>6975.28</v>
      </c>
      <c r="M535" s="33">
        <v>6980.98</v>
      </c>
      <c r="N535" s="33">
        <v>7061.7</v>
      </c>
      <c r="O535" s="86">
        <f>IF((N536=""),"",MAX(F537:N537))</f>
        <v>4051.7799999999988</v>
      </c>
      <c r="P535" s="86">
        <f>IF(N536="","",MIN(F537:N537))</f>
        <v>3695.1800000000003</v>
      </c>
      <c r="Q535" s="87">
        <f>IF((N537=""),"",AVERAGE(F537:N537))</f>
        <v>3924.7333333333331</v>
      </c>
      <c r="R535" s="87">
        <f>IF((N536=""),"",(O535-P535)/(O535+P535)*100)</f>
        <v>4.6030959240785885</v>
      </c>
      <c r="S535" s="181">
        <f>STDEV(F537:N537)</f>
        <v>122.26539371383873</v>
      </c>
      <c r="T535" s="208" t="str">
        <f>IF(N536="","",IF(Q535&gt;3650,IF(R535&lt;7,IF(Q535&lt;4450,"Pass","Fail"),"Fail"),"Fail"))</f>
        <v>Pass</v>
      </c>
      <c r="U535" s="220">
        <v>1335</v>
      </c>
      <c r="V535" s="33"/>
      <c r="X535" s="184">
        <v>3650</v>
      </c>
      <c r="Y535" s="184">
        <v>4450</v>
      </c>
      <c r="Z535" s="184">
        <v>3700</v>
      </c>
      <c r="AA535" s="184">
        <v>4100</v>
      </c>
      <c r="AB535" s="57">
        <v>6.5</v>
      </c>
      <c r="AC535" s="57">
        <v>7</v>
      </c>
    </row>
    <row r="536" spans="1:29" x14ac:dyDescent="0.25">
      <c r="A536" s="272"/>
      <c r="B536" s="47"/>
      <c r="C536" s="24"/>
      <c r="D536" s="24"/>
      <c r="E536" s="88" t="s">
        <v>193</v>
      </c>
      <c r="F536" s="33">
        <v>5037.71</v>
      </c>
      <c r="G536" s="33">
        <v>4936.49</v>
      </c>
      <c r="H536" s="33">
        <v>4969.26</v>
      </c>
      <c r="I536" s="33">
        <v>4956.1899999999996</v>
      </c>
      <c r="J536" s="33">
        <v>5103.18</v>
      </c>
      <c r="K536" s="33">
        <v>5124.05</v>
      </c>
      <c r="L536" s="33">
        <v>4984.5</v>
      </c>
      <c r="M536" s="33">
        <v>4955.09</v>
      </c>
      <c r="N536" s="33">
        <v>5106.6499999999996</v>
      </c>
      <c r="O536" s="88"/>
      <c r="P536" s="88"/>
      <c r="Q536" s="89"/>
      <c r="R536" s="89"/>
      <c r="S536" s="210"/>
      <c r="T536" s="28"/>
      <c r="U536" s="217"/>
      <c r="V536" s="33"/>
      <c r="X536" s="186"/>
      <c r="Y536" s="186"/>
      <c r="Z536" s="186"/>
      <c r="AA536" s="186"/>
    </row>
    <row r="537" spans="1:29" ht="22.75" thickBot="1" x14ac:dyDescent="0.3">
      <c r="A537" s="272"/>
      <c r="B537" s="47"/>
      <c r="C537" s="24"/>
      <c r="D537" s="24"/>
      <c r="E537" s="88" t="s">
        <v>194</v>
      </c>
      <c r="F537" s="66">
        <f t="shared" ref="F537:N537" si="175">IF(((F535="")*AND(F536="")),"",(F535-F536)*2)</f>
        <v>3831.84</v>
      </c>
      <c r="G537" s="66">
        <f t="shared" si="175"/>
        <v>4009.3000000000011</v>
      </c>
      <c r="H537" s="66">
        <f t="shared" si="175"/>
        <v>4041.1000000000004</v>
      </c>
      <c r="I537" s="66">
        <f t="shared" si="175"/>
        <v>3992.6600000000017</v>
      </c>
      <c r="J537" s="66">
        <f t="shared" si="175"/>
        <v>3809.08</v>
      </c>
      <c r="K537" s="66">
        <f t="shared" si="175"/>
        <v>3695.1800000000003</v>
      </c>
      <c r="L537" s="66">
        <f t="shared" si="175"/>
        <v>3981.5599999999995</v>
      </c>
      <c r="M537" s="66">
        <f t="shared" si="175"/>
        <v>4051.7799999999988</v>
      </c>
      <c r="N537" s="66">
        <f t="shared" si="175"/>
        <v>3910.1000000000004</v>
      </c>
      <c r="O537" s="88"/>
      <c r="P537" s="88"/>
      <c r="Q537" s="89"/>
      <c r="R537" s="89"/>
      <c r="S537" s="210"/>
      <c r="T537" s="28"/>
      <c r="U537" s="217"/>
      <c r="V537" s="33"/>
      <c r="X537" s="186"/>
      <c r="Y537" s="186"/>
      <c r="Z537" s="186"/>
      <c r="AA537" s="186"/>
    </row>
    <row r="538" spans="1:29" x14ac:dyDescent="0.25">
      <c r="A538" s="277">
        <v>43344</v>
      </c>
      <c r="B538" s="24" t="s">
        <v>172</v>
      </c>
      <c r="C538" s="24" t="s">
        <v>174</v>
      </c>
      <c r="D538" s="24" t="s">
        <v>195</v>
      </c>
      <c r="E538" s="88" t="s">
        <v>192</v>
      </c>
      <c r="F538" s="33">
        <v>1281.79</v>
      </c>
      <c r="G538" s="33">
        <v>1257.3</v>
      </c>
      <c r="H538" s="33">
        <v>1252.99</v>
      </c>
      <c r="I538" s="33">
        <v>1252.75</v>
      </c>
      <c r="J538" s="33">
        <v>1280.46</v>
      </c>
      <c r="K538" s="33">
        <v>1280.0999999999999</v>
      </c>
      <c r="L538" s="33">
        <v>1259.1500000000001</v>
      </c>
      <c r="M538" s="33">
        <v>1254.55</v>
      </c>
      <c r="N538" s="33">
        <v>1279.92</v>
      </c>
      <c r="O538" s="88">
        <f>IF((N539=""),"",MAX(F540:N540))</f>
        <v>2065.86</v>
      </c>
      <c r="P538" s="88">
        <f>IF(N539="","",MIN(F540:N540))</f>
        <v>1993.44</v>
      </c>
      <c r="Q538" s="89">
        <f>IF((N540=""),"",AVERAGE(F540:N540))</f>
        <v>2039.2866666666664</v>
      </c>
      <c r="R538" s="89">
        <f>IF((N539=""),"",(O538-P538)/(O538+P538)*100)</f>
        <v>1.7840514374399545</v>
      </c>
      <c r="S538" s="181">
        <f>STDEV(F540:N540)</f>
        <v>24.168397236887635</v>
      </c>
      <c r="T538" s="23" t="str">
        <f>IF(N539="","",IF(Q538&gt;1940,IF(R538&lt;8.3,IF(Q538&lt;2180,"Pass","Fail"),"Fail"),"Fail"))</f>
        <v>Pass</v>
      </c>
      <c r="U538" s="211">
        <v>1335</v>
      </c>
      <c r="V538" s="33"/>
      <c r="X538" s="184">
        <v>2000</v>
      </c>
      <c r="Y538" s="184">
        <v>3000</v>
      </c>
      <c r="Z538" s="184">
        <v>1940</v>
      </c>
      <c r="AA538" s="184">
        <v>2180</v>
      </c>
      <c r="AB538" s="57">
        <v>5.2</v>
      </c>
    </row>
    <row r="539" spans="1:29" x14ac:dyDescent="0.25">
      <c r="A539" s="272"/>
      <c r="B539" s="47"/>
      <c r="C539" s="24"/>
      <c r="D539" s="24"/>
      <c r="E539" s="88" t="s">
        <v>193</v>
      </c>
      <c r="F539" s="33">
        <v>596.78</v>
      </c>
      <c r="G539" s="33">
        <v>568.67999999999995</v>
      </c>
      <c r="H539" s="33">
        <v>567.09</v>
      </c>
      <c r="I539" s="33">
        <v>573.74</v>
      </c>
      <c r="J539" s="33">
        <v>615.98</v>
      </c>
      <c r="K539" s="33">
        <v>605.91</v>
      </c>
      <c r="L539" s="33">
        <v>575.88</v>
      </c>
      <c r="M539" s="33">
        <v>568.94000000000005</v>
      </c>
      <c r="N539" s="33">
        <v>608.15</v>
      </c>
      <c r="O539" s="88"/>
      <c r="P539" s="88"/>
      <c r="Q539" s="89"/>
      <c r="R539" s="89"/>
      <c r="S539" s="210"/>
      <c r="T539" s="23"/>
      <c r="U539" s="211"/>
      <c r="V539" s="33"/>
      <c r="X539" s="186"/>
      <c r="Y539" s="186"/>
      <c r="Z539" s="186"/>
      <c r="AA539" s="186"/>
    </row>
    <row r="540" spans="1:29" ht="13.3" thickBot="1" x14ac:dyDescent="0.3">
      <c r="A540" s="272"/>
      <c r="B540" s="47"/>
      <c r="C540" s="24"/>
      <c r="D540" s="24"/>
      <c r="E540" s="88" t="s">
        <v>196</v>
      </c>
      <c r="F540" s="66">
        <f t="shared" ref="F540:N540" si="176">IF(((F538="")*AND(F539="")),"",(F538-F539)*3)</f>
        <v>2055.0299999999997</v>
      </c>
      <c r="G540" s="66">
        <f t="shared" si="176"/>
        <v>2065.86</v>
      </c>
      <c r="H540" s="66">
        <f t="shared" si="176"/>
        <v>2057.6999999999998</v>
      </c>
      <c r="I540" s="66">
        <f t="shared" si="176"/>
        <v>2037.03</v>
      </c>
      <c r="J540" s="66">
        <f t="shared" si="176"/>
        <v>1993.44</v>
      </c>
      <c r="K540" s="66">
        <f t="shared" si="176"/>
        <v>2022.5699999999997</v>
      </c>
      <c r="L540" s="66">
        <f t="shared" si="176"/>
        <v>2049.8100000000004</v>
      </c>
      <c r="M540" s="66">
        <f t="shared" si="176"/>
        <v>2056.83</v>
      </c>
      <c r="N540" s="66">
        <f t="shared" si="176"/>
        <v>2015.3100000000004</v>
      </c>
      <c r="O540" s="88"/>
      <c r="P540" s="88"/>
      <c r="Q540" s="89"/>
      <c r="R540" s="89"/>
      <c r="S540" s="210"/>
      <c r="T540" s="23"/>
      <c r="U540" s="211"/>
      <c r="V540" s="33"/>
      <c r="X540" s="186"/>
      <c r="Y540" s="186"/>
      <c r="Z540" s="186"/>
      <c r="AA540" s="186"/>
    </row>
    <row r="541" spans="1:29" x14ac:dyDescent="0.25">
      <c r="A541" s="277">
        <v>43344</v>
      </c>
      <c r="B541" s="47" t="s">
        <v>191</v>
      </c>
      <c r="C541" s="24" t="s">
        <v>176</v>
      </c>
      <c r="D541" s="24" t="s">
        <v>175</v>
      </c>
      <c r="E541" s="88" t="s">
        <v>192</v>
      </c>
      <c r="F541" s="33">
        <v>24376.92</v>
      </c>
      <c r="G541" s="33">
        <v>24638.61</v>
      </c>
      <c r="H541" s="33">
        <v>24760.19</v>
      </c>
      <c r="I541" s="33">
        <v>24670.720000000001</v>
      </c>
      <c r="J541" s="33">
        <v>24423.13</v>
      </c>
      <c r="K541" s="33">
        <v>24435.75</v>
      </c>
      <c r="L541" s="33">
        <v>24664.46</v>
      </c>
      <c r="M541" s="33">
        <v>24641.88</v>
      </c>
      <c r="N541" s="33">
        <v>24349.08</v>
      </c>
      <c r="O541" s="88">
        <f>IF((N542=""),"",MAX(F543:N543))</f>
        <v>4499.25</v>
      </c>
      <c r="P541" s="88">
        <f>IF(N542="","",MIN(F543:N543))</f>
        <v>4030.2900000000009</v>
      </c>
      <c r="Q541" s="89">
        <f>IF((N543=""),"",AVERAGE(F543:N543))</f>
        <v>4254.2800000000016</v>
      </c>
      <c r="R541" s="89">
        <f>IF((N542=""),"",(O541-P541)/(O541+P541)*100)</f>
        <v>5.4980690635133795</v>
      </c>
      <c r="S541" s="181">
        <f>STDEV(F543:N543)</f>
        <v>192.73358393128979</v>
      </c>
      <c r="T541" s="23" t="str">
        <f>IF(N542="","",IF(R541&lt;16,IF(Q541&gt;3200,IF(R541,IF(Q541&lt;5240,"Pass","Fail"),"Fail"),"Fail")))</f>
        <v>Pass</v>
      </c>
      <c r="U541" s="211">
        <v>1335</v>
      </c>
      <c r="V541" s="33"/>
      <c r="X541" s="184">
        <v>4200</v>
      </c>
      <c r="Y541" s="184">
        <v>5500</v>
      </c>
      <c r="Z541" s="184">
        <v>3200</v>
      </c>
      <c r="AA541" s="184">
        <v>5240</v>
      </c>
      <c r="AB541" s="57">
        <v>16</v>
      </c>
    </row>
    <row r="542" spans="1:29" x14ac:dyDescent="0.25">
      <c r="A542" s="272"/>
      <c r="B542" s="47"/>
      <c r="C542" s="24"/>
      <c r="D542" s="24"/>
      <c r="E542" s="88" t="s">
        <v>193</v>
      </c>
      <c r="F542" s="33">
        <v>22882.04</v>
      </c>
      <c r="G542" s="33">
        <v>23265.439999999999</v>
      </c>
      <c r="H542" s="33">
        <v>23416.76</v>
      </c>
      <c r="I542" s="33">
        <v>23307.77</v>
      </c>
      <c r="J542" s="33">
        <v>22948.37</v>
      </c>
      <c r="K542" s="33">
        <v>22967.96</v>
      </c>
      <c r="L542" s="33">
        <v>23297.87</v>
      </c>
      <c r="M542" s="33">
        <v>23262.36</v>
      </c>
      <c r="N542" s="33">
        <v>22849.33</v>
      </c>
      <c r="O542" s="88"/>
      <c r="P542" s="88"/>
      <c r="Q542" s="89"/>
      <c r="R542" s="89"/>
      <c r="S542" s="210"/>
      <c r="T542" s="23"/>
      <c r="U542" s="211"/>
      <c r="V542" s="33"/>
      <c r="X542" s="186"/>
      <c r="Y542" s="186"/>
      <c r="Z542" s="186"/>
      <c r="AA542" s="186"/>
    </row>
    <row r="543" spans="1:29" ht="22.75" thickBot="1" x14ac:dyDescent="0.3">
      <c r="A543" s="272"/>
      <c r="B543" s="90"/>
      <c r="C543" s="91"/>
      <c r="D543" s="91"/>
      <c r="E543" s="92" t="s">
        <v>194</v>
      </c>
      <c r="F543" s="79">
        <f t="shared" ref="F543:N543" si="177">IF(((F541="")*AND(F542="")),"",(F541-F542)*3)</f>
        <v>4484.6399999999921</v>
      </c>
      <c r="G543" s="79">
        <f t="shared" si="177"/>
        <v>4119.5100000000057</v>
      </c>
      <c r="H543" s="79">
        <f t="shared" si="177"/>
        <v>4030.2900000000009</v>
      </c>
      <c r="I543" s="79">
        <f t="shared" si="177"/>
        <v>4088.8500000000022</v>
      </c>
      <c r="J543" s="79">
        <f t="shared" si="177"/>
        <v>4424.2800000000061</v>
      </c>
      <c r="K543" s="79">
        <f t="shared" si="177"/>
        <v>4403.3700000000026</v>
      </c>
      <c r="L543" s="79">
        <f t="shared" si="177"/>
        <v>4099.7700000000004</v>
      </c>
      <c r="M543" s="79">
        <f t="shared" si="177"/>
        <v>4138.5600000000013</v>
      </c>
      <c r="N543" s="79">
        <f t="shared" si="177"/>
        <v>4499.25</v>
      </c>
      <c r="O543" s="92"/>
      <c r="P543" s="92"/>
      <c r="Q543" s="93"/>
      <c r="R543" s="93"/>
      <c r="S543" s="213"/>
      <c r="T543" s="214"/>
      <c r="U543" s="215"/>
      <c r="V543" s="33"/>
      <c r="X543" s="186"/>
      <c r="Y543" s="186"/>
      <c r="Z543" s="186"/>
      <c r="AA543" s="186"/>
    </row>
    <row r="544" spans="1:29" x14ac:dyDescent="0.25">
      <c r="A544" s="277">
        <v>43199</v>
      </c>
      <c r="B544" s="85" t="s">
        <v>177</v>
      </c>
      <c r="C544" s="70" t="s">
        <v>179</v>
      </c>
      <c r="D544" s="70" t="s">
        <v>178</v>
      </c>
      <c r="E544" s="86" t="s">
        <v>192</v>
      </c>
      <c r="F544" s="33">
        <v>5037.71</v>
      </c>
      <c r="G544" s="33">
        <v>4936.49</v>
      </c>
      <c r="H544" s="33">
        <v>4969.26</v>
      </c>
      <c r="I544" s="33">
        <v>4956.1899999999996</v>
      </c>
      <c r="J544" s="33">
        <v>5103.18</v>
      </c>
      <c r="K544" s="33">
        <v>5124.05</v>
      </c>
      <c r="L544" s="33">
        <v>4984.5</v>
      </c>
      <c r="M544" s="33">
        <v>4955.09</v>
      </c>
      <c r="N544" s="33">
        <v>5106.6499999999996</v>
      </c>
      <c r="O544" s="86">
        <f>IF((N545=""),"",MAX(F546:N546))</f>
        <v>4051.5400000000009</v>
      </c>
      <c r="P544" s="86">
        <f>IF(N545="","",MIN(F546:N546))</f>
        <v>3704.1400000000003</v>
      </c>
      <c r="Q544" s="87">
        <f>IF((N546=""),"",AVERAGE(F546:N546))</f>
        <v>3929.4066666666663</v>
      </c>
      <c r="R544" s="87">
        <f>IF((N545=""),"",(O544-P544)/(O544+P544)*100)</f>
        <v>4.479297753388491</v>
      </c>
      <c r="S544" s="181">
        <f>STDEV(F546:N546)</f>
        <v>122.62903938301058</v>
      </c>
      <c r="T544" s="208" t="str">
        <f>IF(N545="","",IF(Q544&gt;3650,IF(R544&lt;7,IF(Q544&lt;4450,"Pass","Fail"),"Fail"),"Fail"))</f>
        <v>Pass</v>
      </c>
      <c r="U544" s="220">
        <v>1335</v>
      </c>
      <c r="V544" s="33"/>
      <c r="X544" s="184">
        <v>3650</v>
      </c>
      <c r="Y544" s="184">
        <v>4450</v>
      </c>
      <c r="Z544" s="184">
        <v>3700</v>
      </c>
      <c r="AA544" s="184">
        <v>4100</v>
      </c>
      <c r="AB544" s="57">
        <v>6.5</v>
      </c>
      <c r="AC544" s="57">
        <v>7</v>
      </c>
    </row>
    <row r="545" spans="1:29" x14ac:dyDescent="0.25">
      <c r="A545" s="272"/>
      <c r="B545" s="47"/>
      <c r="C545" s="24"/>
      <c r="D545" s="24"/>
      <c r="E545" s="88" t="s">
        <v>193</v>
      </c>
      <c r="F545" s="33">
        <v>3125.43</v>
      </c>
      <c r="G545" s="33">
        <v>2930.29</v>
      </c>
      <c r="H545" s="33">
        <v>2943.49</v>
      </c>
      <c r="I545" s="33">
        <v>2952.57</v>
      </c>
      <c r="J545" s="33">
        <v>3191.08</v>
      </c>
      <c r="K545" s="33">
        <v>3271.98</v>
      </c>
      <c r="L545" s="33">
        <v>2985.34</v>
      </c>
      <c r="M545" s="33">
        <v>2931.77</v>
      </c>
      <c r="N545" s="33">
        <v>3158.84</v>
      </c>
      <c r="O545" s="88"/>
      <c r="P545" s="88"/>
      <c r="Q545" s="89"/>
      <c r="R545" s="89"/>
      <c r="S545" s="210"/>
      <c r="T545" s="28"/>
      <c r="U545" s="217"/>
      <c r="V545" s="33"/>
      <c r="X545" s="186"/>
      <c r="Y545" s="186"/>
      <c r="Z545" s="186"/>
      <c r="AA545" s="186"/>
    </row>
    <row r="546" spans="1:29" ht="22.75" thickBot="1" x14ac:dyDescent="0.3">
      <c r="A546" s="272"/>
      <c r="B546" s="47"/>
      <c r="C546" s="24"/>
      <c r="D546" s="24"/>
      <c r="E546" s="88" t="s">
        <v>194</v>
      </c>
      <c r="F546" s="66">
        <f t="shared" ref="F546:N546" si="178">IF(((F544="")*AND(F545="")),"",(F544-F545)*2)</f>
        <v>3824.5600000000004</v>
      </c>
      <c r="G546" s="66">
        <f t="shared" si="178"/>
        <v>4012.3999999999996</v>
      </c>
      <c r="H546" s="66">
        <f t="shared" si="178"/>
        <v>4051.5400000000009</v>
      </c>
      <c r="I546" s="66">
        <f t="shared" si="178"/>
        <v>4007.2399999999989</v>
      </c>
      <c r="J546" s="66">
        <f t="shared" si="178"/>
        <v>3824.2000000000007</v>
      </c>
      <c r="K546" s="66">
        <f t="shared" si="178"/>
        <v>3704.1400000000003</v>
      </c>
      <c r="L546" s="66">
        <f t="shared" si="178"/>
        <v>3998.3199999999997</v>
      </c>
      <c r="M546" s="66">
        <f t="shared" si="178"/>
        <v>4046.6400000000003</v>
      </c>
      <c r="N546" s="66">
        <f t="shared" si="178"/>
        <v>3895.619999999999</v>
      </c>
      <c r="O546" s="88"/>
      <c r="P546" s="88"/>
      <c r="Q546" s="89"/>
      <c r="R546" s="89"/>
      <c r="S546" s="210"/>
      <c r="T546" s="28"/>
      <c r="U546" s="217"/>
      <c r="V546" s="33"/>
      <c r="X546" s="186"/>
      <c r="Y546" s="186"/>
      <c r="Z546" s="186"/>
      <c r="AA546" s="186"/>
    </row>
    <row r="547" spans="1:29" x14ac:dyDescent="0.25">
      <c r="A547" s="277">
        <v>43199</v>
      </c>
      <c r="B547" s="24" t="s">
        <v>172</v>
      </c>
      <c r="C547" s="24" t="s">
        <v>174</v>
      </c>
      <c r="D547" s="24" t="s">
        <v>195</v>
      </c>
      <c r="E547" s="88" t="s">
        <v>192</v>
      </c>
      <c r="F547" s="33">
        <v>1971.67</v>
      </c>
      <c r="G547" s="33">
        <v>1966.5</v>
      </c>
      <c r="H547" s="33">
        <v>1965.14</v>
      </c>
      <c r="I547" s="33">
        <v>1968.7</v>
      </c>
      <c r="J547" s="33">
        <v>1971.96</v>
      </c>
      <c r="K547" s="33">
        <v>1978.37</v>
      </c>
      <c r="L547" s="33">
        <v>1971.14</v>
      </c>
      <c r="M547" s="33">
        <v>1967.94</v>
      </c>
      <c r="N547" s="33">
        <v>1974.59</v>
      </c>
      <c r="O547" s="88">
        <f>IF((N548=""),"",MAX(F549:N549))</f>
        <v>2107.9500000000003</v>
      </c>
      <c r="P547" s="88">
        <f>IF(N548="","",MIN(F549:N549))</f>
        <v>2041.2900000000002</v>
      </c>
      <c r="Q547" s="89">
        <f>IF((N549=""),"",AVERAGE(F549:N549))</f>
        <v>2084.6033333333335</v>
      </c>
      <c r="R547" s="89">
        <f>IF((N548=""),"",(O547-P547)/(O547+P547)*100)</f>
        <v>1.606559273505511</v>
      </c>
      <c r="S547" s="181">
        <f>STDEV(F549:N549)</f>
        <v>20.014557826742074</v>
      </c>
      <c r="T547" s="23" t="str">
        <f>IF(N548="","",IF(Q547&gt;1940,IF(R547&lt;8.3,IF(Q547&lt;2180,"Pass","Fail"),"Fail"),"Fail"))</f>
        <v>Pass</v>
      </c>
      <c r="U547" s="211">
        <v>1335</v>
      </c>
      <c r="V547" s="33"/>
      <c r="X547" s="184">
        <v>2000</v>
      </c>
      <c r="Y547" s="184">
        <v>3000</v>
      </c>
      <c r="Z547" s="184">
        <v>1940</v>
      </c>
      <c r="AA547" s="184">
        <v>2180</v>
      </c>
      <c r="AB547" s="57">
        <v>5.2</v>
      </c>
    </row>
    <row r="548" spans="1:29" x14ac:dyDescent="0.25">
      <c r="A548" s="272"/>
      <c r="B548" s="47"/>
      <c r="C548" s="24"/>
      <c r="D548" s="24"/>
      <c r="E548" s="88" t="s">
        <v>193</v>
      </c>
      <c r="F548" s="33">
        <v>1276.7</v>
      </c>
      <c r="G548" s="33">
        <v>1268.7</v>
      </c>
      <c r="H548" s="33">
        <v>1268.97</v>
      </c>
      <c r="I548" s="33">
        <v>1267.8900000000001</v>
      </c>
      <c r="J548" s="33">
        <v>1291.53</v>
      </c>
      <c r="K548" s="33">
        <v>1286.9000000000001</v>
      </c>
      <c r="L548" s="33">
        <v>1272.52</v>
      </c>
      <c r="M548" s="33">
        <v>1265.29</v>
      </c>
      <c r="N548" s="33">
        <v>1283.7</v>
      </c>
      <c r="O548" s="88"/>
      <c r="P548" s="88"/>
      <c r="Q548" s="89"/>
      <c r="R548" s="89"/>
      <c r="S548" s="210"/>
      <c r="T548" s="23"/>
      <c r="U548" s="211"/>
      <c r="V548" s="33"/>
      <c r="X548" s="186"/>
      <c r="Y548" s="186"/>
      <c r="Z548" s="186"/>
      <c r="AA548" s="186"/>
    </row>
    <row r="549" spans="1:29" ht="13.3" thickBot="1" x14ac:dyDescent="0.3">
      <c r="A549" s="272"/>
      <c r="B549" s="47"/>
      <c r="C549" s="24"/>
      <c r="D549" s="24"/>
      <c r="E549" s="88" t="s">
        <v>196</v>
      </c>
      <c r="F549" s="66">
        <f t="shared" ref="F549:N549" si="179">IF(((F547="")*AND(F548="")),"",(F547-F548)*3)</f>
        <v>2084.91</v>
      </c>
      <c r="G549" s="66">
        <f t="shared" si="179"/>
        <v>2093.3999999999996</v>
      </c>
      <c r="H549" s="66">
        <f t="shared" si="179"/>
        <v>2088.5100000000002</v>
      </c>
      <c r="I549" s="66">
        <f t="shared" si="179"/>
        <v>2102.4299999999998</v>
      </c>
      <c r="J549" s="66">
        <f t="shared" si="179"/>
        <v>2041.2900000000002</v>
      </c>
      <c r="K549" s="66">
        <f t="shared" si="179"/>
        <v>2074.4099999999994</v>
      </c>
      <c r="L549" s="66">
        <f t="shared" si="179"/>
        <v>2095.8600000000006</v>
      </c>
      <c r="M549" s="66">
        <f t="shared" si="179"/>
        <v>2107.9500000000003</v>
      </c>
      <c r="N549" s="66">
        <f t="shared" si="179"/>
        <v>2072.6699999999996</v>
      </c>
      <c r="O549" s="88"/>
      <c r="P549" s="88"/>
      <c r="Q549" s="89"/>
      <c r="R549" s="89"/>
      <c r="S549" s="210"/>
      <c r="T549" s="23"/>
      <c r="U549" s="211"/>
      <c r="V549" s="33"/>
      <c r="X549" s="186"/>
      <c r="Y549" s="186"/>
      <c r="Z549" s="186"/>
      <c r="AA549" s="186"/>
    </row>
    <row r="550" spans="1:29" x14ac:dyDescent="0.25">
      <c r="A550" s="277">
        <v>43199</v>
      </c>
      <c r="B550" s="47" t="s">
        <v>191</v>
      </c>
      <c r="C550" s="24" t="s">
        <v>176</v>
      </c>
      <c r="D550" s="24" t="s">
        <v>175</v>
      </c>
      <c r="E550" s="88" t="s">
        <v>192</v>
      </c>
      <c r="F550" s="33">
        <v>22882.04</v>
      </c>
      <c r="G550" s="33">
        <v>23265.439999999999</v>
      </c>
      <c r="H550" s="33">
        <v>23416.76</v>
      </c>
      <c r="I550" s="33">
        <v>23307.77</v>
      </c>
      <c r="J550" s="33">
        <v>22948.37</v>
      </c>
      <c r="K550" s="33">
        <v>22967.96</v>
      </c>
      <c r="L550" s="33">
        <v>23297.87</v>
      </c>
      <c r="M550" s="33">
        <v>23262.36</v>
      </c>
      <c r="N550" s="33">
        <v>22849.33</v>
      </c>
      <c r="O550" s="88">
        <f>IF((N551=""),"",MAX(F552:N552))</f>
        <v>4818.2700000000004</v>
      </c>
      <c r="P550" s="88">
        <f>IF(N551="","",MIN(F552:N552))</f>
        <v>4373.5499999999956</v>
      </c>
      <c r="Q550" s="89">
        <f>IF((N552=""),"",AVERAGE(F552:N552))</f>
        <v>4587.7166666666662</v>
      </c>
      <c r="R550" s="89">
        <f>IF((N551=""),"",(O550-P550)/(O550+P550)*100)</f>
        <v>4.8382148475492883</v>
      </c>
      <c r="S550" s="181">
        <f>STDEV(F552:N552)</f>
        <v>182.20709892866432</v>
      </c>
      <c r="T550" s="23" t="str">
        <f>IF(N551="","",IF(R550&lt;16,IF(Q550&gt;3200,IF(R550,IF(Q550&lt;5240,"Pass","Fail"),"Fail"),"Fail")))</f>
        <v>Pass</v>
      </c>
      <c r="U550" s="211">
        <v>1335</v>
      </c>
      <c r="V550" s="33"/>
      <c r="X550" s="184">
        <v>4200</v>
      </c>
      <c r="Y550" s="184">
        <v>5500</v>
      </c>
      <c r="Z550" s="184">
        <v>3200</v>
      </c>
      <c r="AA550" s="184">
        <v>5240</v>
      </c>
      <c r="AB550" s="57">
        <v>16</v>
      </c>
    </row>
    <row r="551" spans="1:29" x14ac:dyDescent="0.25">
      <c r="A551" s="272"/>
      <c r="B551" s="47"/>
      <c r="C551" s="24"/>
      <c r="D551" s="24"/>
      <c r="E551" s="88" t="s">
        <v>193</v>
      </c>
      <c r="F551" s="33">
        <v>21275.95</v>
      </c>
      <c r="G551" s="33">
        <v>21771.599999999999</v>
      </c>
      <c r="H551" s="33">
        <v>21958.91</v>
      </c>
      <c r="I551" s="33">
        <v>21836.880000000001</v>
      </c>
      <c r="J551" s="33">
        <v>21373.16</v>
      </c>
      <c r="K551" s="33">
        <v>21388.880000000001</v>
      </c>
      <c r="L551" s="33">
        <v>21813.01</v>
      </c>
      <c r="M551" s="33">
        <v>21772.16</v>
      </c>
      <c r="N551" s="33">
        <v>21244.2</v>
      </c>
      <c r="O551" s="88"/>
      <c r="P551" s="88"/>
      <c r="Q551" s="89"/>
      <c r="R551" s="89"/>
      <c r="S551" s="210"/>
      <c r="T551" s="23"/>
      <c r="U551" s="211"/>
      <c r="V551" s="33"/>
      <c r="X551" s="186"/>
      <c r="Y551" s="186"/>
      <c r="Z551" s="186"/>
      <c r="AA551" s="186"/>
    </row>
    <row r="552" spans="1:29" ht="22.75" thickBot="1" x14ac:dyDescent="0.3">
      <c r="A552" s="272"/>
      <c r="B552" s="90"/>
      <c r="C552" s="91"/>
      <c r="D552" s="91"/>
      <c r="E552" s="92" t="s">
        <v>194</v>
      </c>
      <c r="F552" s="79">
        <f t="shared" ref="F552:N552" si="180">IF(((F550="")*AND(F551="")),"",(F550-F551)*3)</f>
        <v>4818.2700000000004</v>
      </c>
      <c r="G552" s="79">
        <f t="shared" si="180"/>
        <v>4481.5200000000004</v>
      </c>
      <c r="H552" s="79">
        <f t="shared" si="180"/>
        <v>4373.5499999999956</v>
      </c>
      <c r="I552" s="79">
        <f t="shared" si="180"/>
        <v>4412.6699999999983</v>
      </c>
      <c r="J552" s="79">
        <f t="shared" si="180"/>
        <v>4725.6299999999974</v>
      </c>
      <c r="K552" s="79">
        <f t="shared" si="180"/>
        <v>4737.2399999999943</v>
      </c>
      <c r="L552" s="79">
        <f t="shared" si="180"/>
        <v>4454.5800000000017</v>
      </c>
      <c r="M552" s="79">
        <f t="shared" si="180"/>
        <v>4470.6000000000022</v>
      </c>
      <c r="N552" s="79">
        <f t="shared" si="180"/>
        <v>4815.3900000000031</v>
      </c>
      <c r="O552" s="92"/>
      <c r="P552" s="92"/>
      <c r="Q552" s="93"/>
      <c r="R552" s="93"/>
      <c r="S552" s="213"/>
      <c r="T552" s="214"/>
      <c r="U552" s="215"/>
      <c r="V552" s="33"/>
      <c r="X552" s="186"/>
      <c r="Y552" s="186"/>
      <c r="Z552" s="186"/>
      <c r="AA552" s="186"/>
    </row>
    <row r="553" spans="1:29" x14ac:dyDescent="0.25">
      <c r="A553" s="277">
        <v>43290</v>
      </c>
      <c r="B553" s="47" t="s">
        <v>191</v>
      </c>
      <c r="C553" s="24" t="s">
        <v>176</v>
      </c>
      <c r="D553" s="24" t="s">
        <v>175</v>
      </c>
      <c r="E553" s="88" t="s">
        <v>192</v>
      </c>
      <c r="F553" s="33">
        <v>29036.66</v>
      </c>
      <c r="G553" s="33">
        <v>28946.15</v>
      </c>
      <c r="H553" s="33">
        <v>28965.17</v>
      </c>
      <c r="I553" s="33">
        <v>28965.09</v>
      </c>
      <c r="J553" s="33">
        <v>29051.79</v>
      </c>
      <c r="K553" s="33">
        <v>29025.42</v>
      </c>
      <c r="L553" s="33">
        <v>28950.5</v>
      </c>
      <c r="M553" s="33">
        <v>28958.52</v>
      </c>
      <c r="N553" s="33">
        <v>29060.75</v>
      </c>
      <c r="O553" s="88">
        <f>IF((N554=""),"",MAX(F555:N555))</f>
        <v>4299.5099999999948</v>
      </c>
      <c r="P553" s="88">
        <f>IF(N554="","",MIN(F555:N555))</f>
        <v>3924.0299999999952</v>
      </c>
      <c r="Q553" s="89">
        <f>IF((N555=""),"",AVERAGE(F555:N555))</f>
        <v>4085.246666666666</v>
      </c>
      <c r="R553" s="89">
        <f>IF((N554=""),"",(O553-P553)/(O553+P553)*100)</f>
        <v>4.5659168679181956</v>
      </c>
      <c r="S553" s="181">
        <f>STDEV(F555:N555)</f>
        <v>153.57467328631924</v>
      </c>
      <c r="T553" s="23" t="str">
        <f>IF(N554="","",IF(R553&lt;16,IF(Q553&gt;3200,IF(R553,IF(Q553&lt;5240,"Pass","Fail"),"Fail"),"Fail")))</f>
        <v>Pass</v>
      </c>
      <c r="U553" s="211">
        <v>1340</v>
      </c>
      <c r="V553" s="33"/>
      <c r="X553" s="184">
        <v>4200</v>
      </c>
      <c r="Y553" s="184">
        <v>5500</v>
      </c>
      <c r="Z553" s="184">
        <v>3200</v>
      </c>
      <c r="AA553" s="184">
        <v>5240</v>
      </c>
      <c r="AB553" s="57">
        <v>16</v>
      </c>
    </row>
    <row r="554" spans="1:29" x14ac:dyDescent="0.25">
      <c r="A554" s="272"/>
      <c r="B554" s="47"/>
      <c r="C554" s="24"/>
      <c r="D554" s="24"/>
      <c r="E554" s="88" t="s">
        <v>193</v>
      </c>
      <c r="F554" s="33">
        <v>27614.49</v>
      </c>
      <c r="G554" s="33">
        <v>27615.65</v>
      </c>
      <c r="H554" s="33">
        <v>27656.82</v>
      </c>
      <c r="I554" s="33">
        <v>27645.78</v>
      </c>
      <c r="J554" s="33">
        <v>27656.21</v>
      </c>
      <c r="K554" s="33">
        <v>27621.19</v>
      </c>
      <c r="L554" s="33">
        <v>27642.49</v>
      </c>
      <c r="M554" s="33">
        <v>27624.1</v>
      </c>
      <c r="N554" s="33">
        <v>27627.58</v>
      </c>
      <c r="O554" s="88"/>
      <c r="P554" s="88"/>
      <c r="Q554" s="89"/>
      <c r="R554" s="89"/>
      <c r="S554" s="210"/>
      <c r="T554" s="23"/>
      <c r="U554" s="211"/>
      <c r="V554" s="33"/>
      <c r="X554" s="186"/>
      <c r="Y554" s="186"/>
      <c r="Z554" s="186"/>
      <c r="AA554" s="186"/>
    </row>
    <row r="555" spans="1:29" ht="22.75" thickBot="1" x14ac:dyDescent="0.3">
      <c r="A555" s="272"/>
      <c r="B555" s="90"/>
      <c r="C555" s="91"/>
      <c r="D555" s="91"/>
      <c r="E555" s="92" t="s">
        <v>194</v>
      </c>
      <c r="F555" s="79">
        <f t="shared" ref="F555:N555" si="181">IF(((F553="")*AND(F554="")),"",(F553-F554)*3)</f>
        <v>4266.5099999999948</v>
      </c>
      <c r="G555" s="79">
        <f t="shared" si="181"/>
        <v>3991.5</v>
      </c>
      <c r="H555" s="79">
        <f t="shared" si="181"/>
        <v>3925.0499999999956</v>
      </c>
      <c r="I555" s="79">
        <f t="shared" si="181"/>
        <v>3957.9300000000039</v>
      </c>
      <c r="J555" s="79">
        <f t="shared" si="181"/>
        <v>4186.7400000000052</v>
      </c>
      <c r="K555" s="79">
        <f t="shared" si="181"/>
        <v>4212.6899999999987</v>
      </c>
      <c r="L555" s="79">
        <f t="shared" si="181"/>
        <v>3924.0299999999952</v>
      </c>
      <c r="M555" s="79">
        <f t="shared" si="181"/>
        <v>4003.2600000000057</v>
      </c>
      <c r="N555" s="79">
        <f t="shared" si="181"/>
        <v>4299.5099999999948</v>
      </c>
      <c r="O555" s="92"/>
      <c r="P555" s="92"/>
      <c r="Q555" s="93"/>
      <c r="R555" s="93"/>
      <c r="S555" s="213"/>
      <c r="T555" s="214"/>
      <c r="U555" s="215"/>
      <c r="V555" s="33"/>
      <c r="X555" s="186"/>
      <c r="Y555" s="186"/>
      <c r="Z555" s="186"/>
      <c r="AA555" s="186"/>
    </row>
    <row r="556" spans="1:29" x14ac:dyDescent="0.25">
      <c r="A556" s="280">
        <v>43290</v>
      </c>
      <c r="B556" s="85" t="s">
        <v>177</v>
      </c>
      <c r="C556" s="70" t="s">
        <v>179</v>
      </c>
      <c r="D556" s="70" t="s">
        <v>178</v>
      </c>
      <c r="E556" s="86" t="s">
        <v>192</v>
      </c>
      <c r="F556" s="33">
        <v>3135.67</v>
      </c>
      <c r="G556" s="33">
        <v>2939.37</v>
      </c>
      <c r="H556" s="33">
        <v>2953.21</v>
      </c>
      <c r="I556" s="33">
        <v>2962.39</v>
      </c>
      <c r="J556" s="33">
        <v>3202.45</v>
      </c>
      <c r="K556" s="33">
        <v>3283.39</v>
      </c>
      <c r="L556" s="33">
        <v>2995.09</v>
      </c>
      <c r="M556" s="33">
        <v>2941.35</v>
      </c>
      <c r="N556" s="33">
        <v>3170.06</v>
      </c>
      <c r="O556" s="86">
        <f>IF((N557=""),"",MAX(F558:N558))</f>
        <v>4042.04</v>
      </c>
      <c r="P556" s="86">
        <f>IF(N557="","",MIN(F558:N558))</f>
        <v>3696.8399999999997</v>
      </c>
      <c r="Q556" s="87">
        <f>IF((N558=""),"",AVERAGE(F558:N558))</f>
        <v>3919.7533333333331</v>
      </c>
      <c r="R556" s="87">
        <f>IF((N557=""),"",(O556-P556)/(O556+P556)*100)</f>
        <v>4.4605937810122436</v>
      </c>
      <c r="S556" s="181">
        <f>STDEV(F558:N558)</f>
        <v>119.20797750150797</v>
      </c>
      <c r="T556" s="208" t="str">
        <f>IF(N557="","",IF(Q556&gt;3650,IF(R556&lt;7,IF(Q556&lt;4450,"Pass","Fail"),"Fail"),"Fail"))</f>
        <v>Pass</v>
      </c>
      <c r="U556" s="220">
        <v>1340</v>
      </c>
      <c r="V556" s="33"/>
      <c r="X556" s="184">
        <v>3650</v>
      </c>
      <c r="Y556" s="184">
        <v>4450</v>
      </c>
      <c r="Z556" s="184">
        <v>3700</v>
      </c>
      <c r="AA556" s="184">
        <v>4100</v>
      </c>
      <c r="AB556" s="57">
        <v>6.5</v>
      </c>
      <c r="AC556" s="57">
        <v>7</v>
      </c>
    </row>
    <row r="557" spans="1:29" x14ac:dyDescent="0.25">
      <c r="A557" s="281"/>
      <c r="B557" s="47"/>
      <c r="C557" s="24"/>
      <c r="D557" s="24"/>
      <c r="E557" s="88" t="s">
        <v>193</v>
      </c>
      <c r="F557" s="33">
        <v>1230.97</v>
      </c>
      <c r="G557" s="33">
        <v>943.62</v>
      </c>
      <c r="H557" s="33">
        <v>933.68</v>
      </c>
      <c r="I557" s="33">
        <v>965.61</v>
      </c>
      <c r="J557" s="33">
        <v>1288.0999999999999</v>
      </c>
      <c r="K557" s="33">
        <v>1434.97</v>
      </c>
      <c r="L557" s="33">
        <v>1006.39</v>
      </c>
      <c r="M557" s="33">
        <v>920.33</v>
      </c>
      <c r="N557" s="33">
        <v>1220.42</v>
      </c>
      <c r="O557" s="88"/>
      <c r="P557" s="88"/>
      <c r="Q557" s="89"/>
      <c r="R557" s="89"/>
      <c r="S557" s="210"/>
      <c r="T557" s="28"/>
      <c r="U557" s="217"/>
      <c r="V557" s="33"/>
      <c r="X557" s="186"/>
      <c r="Y557" s="186"/>
      <c r="Z557" s="186"/>
      <c r="AA557" s="186"/>
    </row>
    <row r="558" spans="1:29" ht="22.75" thickBot="1" x14ac:dyDescent="0.3">
      <c r="A558" s="283"/>
      <c r="B558" s="47"/>
      <c r="C558" s="24"/>
      <c r="D558" s="24"/>
      <c r="E558" s="88" t="s">
        <v>194</v>
      </c>
      <c r="F558" s="66">
        <f t="shared" ref="F558:N558" si="182">IF(((F556="")*AND(F557="")),"",(F556-F557)*2)</f>
        <v>3809.4</v>
      </c>
      <c r="G558" s="66">
        <f t="shared" si="182"/>
        <v>3991.5</v>
      </c>
      <c r="H558" s="66">
        <f t="shared" si="182"/>
        <v>4039.0600000000004</v>
      </c>
      <c r="I558" s="66">
        <f t="shared" si="182"/>
        <v>3993.5599999999995</v>
      </c>
      <c r="J558" s="66">
        <f t="shared" si="182"/>
        <v>3828.7</v>
      </c>
      <c r="K558" s="66">
        <f t="shared" si="182"/>
        <v>3696.8399999999997</v>
      </c>
      <c r="L558" s="66">
        <f t="shared" si="182"/>
        <v>3977.4000000000005</v>
      </c>
      <c r="M558" s="66">
        <f t="shared" si="182"/>
        <v>4042.04</v>
      </c>
      <c r="N558" s="66">
        <f t="shared" si="182"/>
        <v>3899.2799999999997</v>
      </c>
      <c r="O558" s="88"/>
      <c r="P558" s="88"/>
      <c r="Q558" s="89"/>
      <c r="R558" s="89"/>
      <c r="S558" s="210"/>
      <c r="T558" s="28"/>
      <c r="U558" s="217"/>
      <c r="V558" s="33"/>
      <c r="X558" s="186"/>
      <c r="Y558" s="186"/>
      <c r="Z558" s="186"/>
      <c r="AA558" s="186"/>
    </row>
    <row r="559" spans="1:29" x14ac:dyDescent="0.25">
      <c r="A559" s="280">
        <v>43290</v>
      </c>
      <c r="B559" s="24" t="s">
        <v>172</v>
      </c>
      <c r="C559" s="24" t="s">
        <v>174</v>
      </c>
      <c r="D559" s="24" t="s">
        <v>195</v>
      </c>
      <c r="E559" s="88" t="s">
        <v>192</v>
      </c>
      <c r="F559" s="33">
        <v>1936.79</v>
      </c>
      <c r="G559" s="33">
        <v>1932.78</v>
      </c>
      <c r="H559" s="33">
        <v>1931.55</v>
      </c>
      <c r="I559" s="33">
        <v>1932.04</v>
      </c>
      <c r="J559" s="33">
        <v>1934.36</v>
      </c>
      <c r="K559" s="33">
        <v>1936.98</v>
      </c>
      <c r="L559" s="33">
        <v>1930.69</v>
      </c>
      <c r="M559" s="33">
        <v>1933.08</v>
      </c>
      <c r="N559" s="33">
        <v>1936.12</v>
      </c>
      <c r="O559" s="88">
        <f>IF((N560=""),"",MAX(F561:N561))</f>
        <v>2056.2600000000002</v>
      </c>
      <c r="P559" s="88">
        <f>IF(N560="","",MIN(F561:N561))</f>
        <v>1967.97</v>
      </c>
      <c r="Q559" s="89">
        <f>IF((N561=""),"",AVERAGE(F561:N561))</f>
        <v>2018.7566666666664</v>
      </c>
      <c r="R559" s="89">
        <f>IF((N560=""),"",(O559-P559)/(O559+P559)*100)</f>
        <v>2.1939600867743692</v>
      </c>
      <c r="S559" s="181">
        <f>STDEV(F561:N561)</f>
        <v>28.24590988090134</v>
      </c>
      <c r="T559" s="23" t="str">
        <f>IF(N560="","",IF(Q559&gt;1940,IF(R559&lt;8.3,IF(Q559&lt;2180,"Pass","Fail"),"Fail"),"Fail"))</f>
        <v>Pass</v>
      </c>
      <c r="U559" s="211">
        <v>1340</v>
      </c>
      <c r="V559" s="33"/>
      <c r="X559" s="184">
        <v>2000</v>
      </c>
      <c r="Y559" s="184">
        <v>3000</v>
      </c>
      <c r="Z559" s="184">
        <v>1940</v>
      </c>
      <c r="AA559" s="184">
        <v>2180</v>
      </c>
      <c r="AB559" s="57">
        <v>5.2</v>
      </c>
    </row>
    <row r="560" spans="1:29" x14ac:dyDescent="0.25">
      <c r="A560" s="281"/>
      <c r="B560" s="47"/>
      <c r="C560" s="24"/>
      <c r="D560" s="24"/>
      <c r="E560" s="88" t="s">
        <v>193</v>
      </c>
      <c r="F560" s="33">
        <v>1265.23</v>
      </c>
      <c r="G560" s="33">
        <v>1247.3599999999999</v>
      </c>
      <c r="H560" s="33">
        <v>1258.17</v>
      </c>
      <c r="I560" s="33">
        <v>1254.48</v>
      </c>
      <c r="J560" s="33">
        <v>1278.3699999999999</v>
      </c>
      <c r="K560" s="33">
        <v>1271.45</v>
      </c>
      <c r="L560" s="33">
        <v>1254.9000000000001</v>
      </c>
      <c r="M560" s="33">
        <v>1248.44</v>
      </c>
      <c r="N560" s="33">
        <v>1269.72</v>
      </c>
      <c r="O560" s="88"/>
      <c r="P560" s="88"/>
      <c r="Q560" s="89"/>
      <c r="R560" s="89"/>
      <c r="S560" s="210"/>
      <c r="T560" s="23"/>
      <c r="U560" s="211"/>
      <c r="V560" s="33"/>
      <c r="X560" s="186"/>
      <c r="Y560" s="186"/>
      <c r="Z560" s="186"/>
      <c r="AA560" s="186"/>
    </row>
    <row r="561" spans="1:29" ht="13.3" thickBot="1" x14ac:dyDescent="0.3">
      <c r="A561" s="271"/>
      <c r="B561" s="47"/>
      <c r="C561" s="24"/>
      <c r="D561" s="24"/>
      <c r="E561" s="88" t="s">
        <v>196</v>
      </c>
      <c r="F561" s="66">
        <f t="shared" ref="F561:N561" si="183">IF(((F559="")*AND(F560="")),"",(F559-F560)*3)</f>
        <v>2014.6799999999998</v>
      </c>
      <c r="G561" s="66">
        <f t="shared" si="183"/>
        <v>2056.2600000000002</v>
      </c>
      <c r="H561" s="66">
        <f t="shared" si="183"/>
        <v>2020.1399999999996</v>
      </c>
      <c r="I561" s="66">
        <f t="shared" si="183"/>
        <v>2032.6799999999998</v>
      </c>
      <c r="J561" s="66">
        <f t="shared" si="183"/>
        <v>1967.97</v>
      </c>
      <c r="K561" s="66">
        <f t="shared" si="183"/>
        <v>1996.59</v>
      </c>
      <c r="L561" s="66">
        <f t="shared" si="183"/>
        <v>2027.37</v>
      </c>
      <c r="M561" s="66">
        <f t="shared" si="183"/>
        <v>2053.9199999999996</v>
      </c>
      <c r="N561" s="66">
        <f t="shared" si="183"/>
        <v>1999.1999999999996</v>
      </c>
      <c r="O561" s="88"/>
      <c r="P561" s="88"/>
      <c r="Q561" s="89"/>
      <c r="R561" s="89"/>
      <c r="S561" s="210"/>
      <c r="T561" s="23"/>
      <c r="U561" s="211"/>
      <c r="V561" s="33"/>
      <c r="X561" s="186"/>
      <c r="Y561" s="186"/>
      <c r="Z561" s="186"/>
      <c r="AA561" s="186"/>
    </row>
    <row r="562" spans="1:29" x14ac:dyDescent="0.25">
      <c r="A562" s="277">
        <v>43353</v>
      </c>
      <c r="B562" s="85" t="s">
        <v>177</v>
      </c>
      <c r="C562" s="70" t="s">
        <v>179</v>
      </c>
      <c r="D562" s="70" t="s">
        <v>178</v>
      </c>
      <c r="E562" s="86" t="s">
        <v>192</v>
      </c>
      <c r="F562" s="33">
        <v>7035</v>
      </c>
      <c r="G562" s="33">
        <v>7018</v>
      </c>
      <c r="H562" s="33">
        <v>7039</v>
      </c>
      <c r="I562" s="199">
        <v>6989</v>
      </c>
      <c r="J562" s="199">
        <v>7065</v>
      </c>
      <c r="K562" s="199">
        <v>7010</v>
      </c>
      <c r="L562" s="199">
        <v>6993</v>
      </c>
      <c r="M562" s="199">
        <v>7022</v>
      </c>
      <c r="N562" s="199">
        <v>7111</v>
      </c>
      <c r="O562" s="86">
        <f>IF((N563=""),"",MAX(F564:N564))</f>
        <v>4002</v>
      </c>
      <c r="P562" s="86">
        <f>IF(N563="","",MIN(F564:N564))</f>
        <v>3622</v>
      </c>
      <c r="Q562" s="87">
        <f>IF((N564=""),"",AVERAGE(F564:N564))</f>
        <v>3863.7777777777778</v>
      </c>
      <c r="R562" s="87">
        <f>IF((N563=""),"",(O562-P562)/(O562+P562)*100)</f>
        <v>4.984260230849948</v>
      </c>
      <c r="S562" s="181">
        <f>STDEV(F564:N564)</f>
        <v>130.17082793177758</v>
      </c>
      <c r="T562" s="208" t="str">
        <f>IF(N563="","",IF(Q562&gt;3650,IF(R562&lt;7,IF(Q562&lt;4450,"Pass","Fail"),"Fail"),"Fail"))</f>
        <v>Pass</v>
      </c>
      <c r="U562" s="220">
        <v>1340</v>
      </c>
      <c r="V562" s="33"/>
      <c r="X562" s="184">
        <v>3650</v>
      </c>
      <c r="Y562" s="184">
        <v>4450</v>
      </c>
      <c r="Z562" s="184">
        <v>3700</v>
      </c>
      <c r="AA562" s="184">
        <v>4100</v>
      </c>
      <c r="AB562" s="57">
        <v>6.5</v>
      </c>
      <c r="AC562" s="57">
        <v>7</v>
      </c>
    </row>
    <row r="563" spans="1:29" x14ac:dyDescent="0.25">
      <c r="A563" s="272"/>
      <c r="B563" s="47"/>
      <c r="C563" s="24"/>
      <c r="D563" s="24"/>
      <c r="E563" s="88" t="s">
        <v>193</v>
      </c>
      <c r="F563" s="33">
        <v>5159</v>
      </c>
      <c r="G563" s="33">
        <v>5044</v>
      </c>
      <c r="H563" s="199">
        <v>5044</v>
      </c>
      <c r="I563" s="199">
        <v>5018</v>
      </c>
      <c r="J563" s="199">
        <v>5190</v>
      </c>
      <c r="K563" s="199">
        <v>5199</v>
      </c>
      <c r="L563" s="199">
        <v>5033</v>
      </c>
      <c r="M563" s="199">
        <v>5021</v>
      </c>
      <c r="N563" s="199">
        <v>5187</v>
      </c>
      <c r="O563" s="88"/>
      <c r="P563" s="88"/>
      <c r="Q563" s="89"/>
      <c r="R563" s="89"/>
      <c r="S563" s="210"/>
      <c r="T563" s="28"/>
      <c r="U563" s="217"/>
      <c r="V563" s="33"/>
      <c r="X563" s="186"/>
      <c r="Y563" s="186"/>
      <c r="Z563" s="186"/>
      <c r="AA563" s="186"/>
    </row>
    <row r="564" spans="1:29" ht="22.75" thickBot="1" x14ac:dyDescent="0.3">
      <c r="A564" s="272"/>
      <c r="B564" s="47"/>
      <c r="C564" s="24"/>
      <c r="D564" s="24"/>
      <c r="E564" s="88" t="s">
        <v>194</v>
      </c>
      <c r="F564" s="66">
        <f t="shared" ref="F564:N564" si="184">IF(((F562="")*AND(F563="")),"",(F562-F563)*2)</f>
        <v>3752</v>
      </c>
      <c r="G564" s="66">
        <f t="shared" si="184"/>
        <v>3948</v>
      </c>
      <c r="H564" s="66">
        <f t="shared" si="184"/>
        <v>3990</v>
      </c>
      <c r="I564" s="66">
        <f t="shared" si="184"/>
        <v>3942</v>
      </c>
      <c r="J564" s="66">
        <f t="shared" si="184"/>
        <v>3750</v>
      </c>
      <c r="K564" s="66">
        <f t="shared" si="184"/>
        <v>3622</v>
      </c>
      <c r="L564" s="66">
        <f t="shared" si="184"/>
        <v>3920</v>
      </c>
      <c r="M564" s="66">
        <f t="shared" si="184"/>
        <v>4002</v>
      </c>
      <c r="N564" s="66">
        <f t="shared" si="184"/>
        <v>3848</v>
      </c>
      <c r="O564" s="88"/>
      <c r="P564" s="88"/>
      <c r="Q564" s="89"/>
      <c r="R564" s="89"/>
      <c r="S564" s="210"/>
      <c r="T564" s="28"/>
      <c r="U564" s="217"/>
      <c r="V564" s="33"/>
      <c r="X564" s="186"/>
      <c r="Y564" s="186"/>
      <c r="Z564" s="186"/>
      <c r="AA564" s="186"/>
    </row>
    <row r="565" spans="1:29" x14ac:dyDescent="0.25">
      <c r="A565" s="277">
        <v>43353</v>
      </c>
      <c r="B565" s="24" t="s">
        <v>172</v>
      </c>
      <c r="C565" s="24" t="s">
        <v>174</v>
      </c>
      <c r="D565" s="24" t="s">
        <v>195</v>
      </c>
      <c r="E565" s="88" t="s">
        <v>192</v>
      </c>
      <c r="F565" s="199">
        <v>1928</v>
      </c>
      <c r="G565" s="199">
        <v>1935</v>
      </c>
      <c r="H565" s="199">
        <v>1928</v>
      </c>
      <c r="I565" s="199">
        <v>1935</v>
      </c>
      <c r="J565" s="199">
        <v>1930</v>
      </c>
      <c r="K565" s="33">
        <v>1932</v>
      </c>
      <c r="L565" s="33">
        <v>1934</v>
      </c>
      <c r="M565" s="33">
        <v>1936</v>
      </c>
      <c r="N565" s="33">
        <v>1929</v>
      </c>
      <c r="O565" s="88">
        <f>IF((N566=""),"",MAX(F567:N567))</f>
        <v>2058</v>
      </c>
      <c r="P565" s="88">
        <f>IF(N566="","",MIN(F567:N567))</f>
        <v>1983</v>
      </c>
      <c r="Q565" s="89">
        <f>IF((N567=""),"",AVERAGE(F567:N567))</f>
        <v>2019.6666666666667</v>
      </c>
      <c r="R565" s="89">
        <f>IF((N566=""),"",(O565-P565)/(O565+P565)*100)</f>
        <v>1.855976243504083</v>
      </c>
      <c r="S565" s="181">
        <f>STDEV(F567:N567)</f>
        <v>24.269322199023193</v>
      </c>
      <c r="T565" s="23" t="str">
        <f>IF(N566="","",IF(Q565&gt;1940,IF(R565&lt;8.3,IF(Q565&lt;2180,"Pass","Fail"),"Fail"),"Fail"))</f>
        <v>Pass</v>
      </c>
      <c r="U565" s="211">
        <v>1340</v>
      </c>
      <c r="V565" s="33"/>
      <c r="X565" s="184">
        <v>2000</v>
      </c>
      <c r="Y565" s="184">
        <v>3000</v>
      </c>
      <c r="Z565" s="184">
        <v>1940</v>
      </c>
      <c r="AA565" s="184">
        <v>2180</v>
      </c>
      <c r="AB565" s="57">
        <v>5.2</v>
      </c>
    </row>
    <row r="566" spans="1:29" x14ac:dyDescent="0.25">
      <c r="A566" s="272"/>
      <c r="B566" s="47"/>
      <c r="C566" s="24"/>
      <c r="D566" s="24"/>
      <c r="E566" s="88" t="s">
        <v>193</v>
      </c>
      <c r="F566" s="33">
        <v>1257</v>
      </c>
      <c r="G566" s="33">
        <v>1254</v>
      </c>
      <c r="H566" s="199">
        <v>1250</v>
      </c>
      <c r="I566" s="199">
        <v>1257</v>
      </c>
      <c r="J566" s="199">
        <v>1269</v>
      </c>
      <c r="K566" s="199">
        <v>1267</v>
      </c>
      <c r="L566" s="33">
        <v>1263</v>
      </c>
      <c r="M566" s="33">
        <v>1250</v>
      </c>
      <c r="N566" s="33">
        <v>1261</v>
      </c>
      <c r="O566" s="88"/>
      <c r="P566" s="88"/>
      <c r="Q566" s="89"/>
      <c r="R566" s="89"/>
      <c r="S566" s="210"/>
      <c r="T566" s="23"/>
      <c r="U566" s="211"/>
      <c r="V566" s="33"/>
      <c r="X566" s="186"/>
      <c r="Y566" s="186"/>
      <c r="Z566" s="186"/>
      <c r="AA566" s="186"/>
    </row>
    <row r="567" spans="1:29" ht="13.3" thickBot="1" x14ac:dyDescent="0.3">
      <c r="A567" s="272"/>
      <c r="B567" s="47"/>
      <c r="C567" s="24"/>
      <c r="D567" s="24"/>
      <c r="E567" s="88" t="s">
        <v>196</v>
      </c>
      <c r="F567" s="66">
        <f t="shared" ref="F567:N567" si="185">IF(((F565="")*AND(F566="")),"",(F565-F566)*3)</f>
        <v>2013</v>
      </c>
      <c r="G567" s="66">
        <f t="shared" si="185"/>
        <v>2043</v>
      </c>
      <c r="H567" s="66">
        <f t="shared" si="185"/>
        <v>2034</v>
      </c>
      <c r="I567" s="66">
        <f t="shared" si="185"/>
        <v>2034</v>
      </c>
      <c r="J567" s="66">
        <f t="shared" si="185"/>
        <v>1983</v>
      </c>
      <c r="K567" s="66">
        <f t="shared" si="185"/>
        <v>1995</v>
      </c>
      <c r="L567" s="66">
        <f t="shared" si="185"/>
        <v>2013</v>
      </c>
      <c r="M567" s="66">
        <f t="shared" si="185"/>
        <v>2058</v>
      </c>
      <c r="N567" s="66">
        <f t="shared" si="185"/>
        <v>2004</v>
      </c>
      <c r="O567" s="88"/>
      <c r="P567" s="88"/>
      <c r="Q567" s="89"/>
      <c r="R567" s="89"/>
      <c r="S567" s="210"/>
      <c r="T567" s="23"/>
      <c r="U567" s="211"/>
      <c r="V567" s="33"/>
      <c r="X567" s="186"/>
      <c r="Y567" s="186"/>
      <c r="Z567" s="186"/>
      <c r="AA567" s="186"/>
    </row>
    <row r="568" spans="1:29" x14ac:dyDescent="0.25">
      <c r="A568" s="277">
        <v>43353</v>
      </c>
      <c r="B568" s="47" t="s">
        <v>191</v>
      </c>
      <c r="C568" s="24" t="s">
        <v>176</v>
      </c>
      <c r="D568" s="24" t="s">
        <v>175</v>
      </c>
      <c r="E568" s="88" t="s">
        <v>192</v>
      </c>
      <c r="F568" s="33">
        <v>29253</v>
      </c>
      <c r="G568" s="33">
        <v>29153</v>
      </c>
      <c r="H568" s="199">
        <v>29149</v>
      </c>
      <c r="I568" s="199">
        <v>29137</v>
      </c>
      <c r="J568" s="199">
        <v>29208</v>
      </c>
      <c r="K568" s="199">
        <v>29208</v>
      </c>
      <c r="L568" s="199">
        <v>29125</v>
      </c>
      <c r="M568" s="199">
        <v>29161</v>
      </c>
      <c r="N568" s="199">
        <v>29267</v>
      </c>
      <c r="O568" s="88">
        <f>IF((N569=""),"",MAX(F570:N570))</f>
        <v>4389</v>
      </c>
      <c r="P568" s="88">
        <f>IF(N569="","",MIN(F570:N570))</f>
        <v>3990</v>
      </c>
      <c r="Q568" s="89">
        <f>IF((N570=""),"",AVERAGE(F570:N570))</f>
        <v>4186.333333333333</v>
      </c>
      <c r="R568" s="89">
        <f>IF((N569=""),"",(O568-P568)/(O568+P568)*100)</f>
        <v>4.7619047619047619</v>
      </c>
      <c r="S568" s="181">
        <f>STDEV(F570:N570)</f>
        <v>152.57375265752626</v>
      </c>
      <c r="T568" s="23" t="str">
        <f>IF(N569="","",IF(R568&lt;16,IF(Q568&gt;3200,IF(R568,IF(Q568&lt;5240,"Pass","Fail"),"Fail"),"Fail")))</f>
        <v>Pass</v>
      </c>
      <c r="U568" s="211">
        <v>1340</v>
      </c>
      <c r="V568" s="33"/>
      <c r="X568" s="184">
        <v>4200</v>
      </c>
      <c r="Y568" s="184">
        <v>5500</v>
      </c>
      <c r="Z568" s="184">
        <v>3200</v>
      </c>
      <c r="AA568" s="184">
        <v>5240</v>
      </c>
      <c r="AB568" s="57">
        <v>16</v>
      </c>
    </row>
    <row r="569" spans="1:29" x14ac:dyDescent="0.25">
      <c r="A569" s="272"/>
      <c r="B569" s="47"/>
      <c r="C569" s="24"/>
      <c r="D569" s="24"/>
      <c r="E569" s="88" t="s">
        <v>193</v>
      </c>
      <c r="F569" s="33">
        <v>27807</v>
      </c>
      <c r="G569" s="33">
        <v>27765</v>
      </c>
      <c r="H569" s="199">
        <v>27819</v>
      </c>
      <c r="I569" s="199">
        <v>27787</v>
      </c>
      <c r="J569" s="199">
        <v>27763</v>
      </c>
      <c r="K569" s="199">
        <v>27778</v>
      </c>
      <c r="L569" s="199">
        <v>27772</v>
      </c>
      <c r="M569" s="199">
        <v>27807</v>
      </c>
      <c r="N569" s="199">
        <v>27804</v>
      </c>
      <c r="O569" s="88"/>
      <c r="P569" s="88"/>
      <c r="Q569" s="89"/>
      <c r="R569" s="89"/>
      <c r="S569" s="210"/>
      <c r="T569" s="23"/>
      <c r="U569" s="211"/>
      <c r="V569" s="33"/>
      <c r="X569" s="186"/>
      <c r="Y569" s="186"/>
      <c r="Z569" s="186"/>
      <c r="AA569" s="186"/>
    </row>
    <row r="570" spans="1:29" ht="22.75" thickBot="1" x14ac:dyDescent="0.3">
      <c r="A570" s="272"/>
      <c r="B570" s="90"/>
      <c r="C570" s="91"/>
      <c r="D570" s="91"/>
      <c r="E570" s="92" t="s">
        <v>194</v>
      </c>
      <c r="F570" s="79">
        <f t="shared" ref="F570:N570" si="186">IF(((F568="")*AND(F569="")),"",(F568-F569)*3)</f>
        <v>4338</v>
      </c>
      <c r="G570" s="79">
        <f t="shared" si="186"/>
        <v>4164</v>
      </c>
      <c r="H570" s="79">
        <f t="shared" si="186"/>
        <v>3990</v>
      </c>
      <c r="I570" s="79">
        <f t="shared" si="186"/>
        <v>4050</v>
      </c>
      <c r="J570" s="79">
        <f t="shared" si="186"/>
        <v>4335</v>
      </c>
      <c r="K570" s="79">
        <f t="shared" si="186"/>
        <v>4290</v>
      </c>
      <c r="L570" s="79">
        <f t="shared" si="186"/>
        <v>4059</v>
      </c>
      <c r="M570" s="79">
        <f t="shared" si="186"/>
        <v>4062</v>
      </c>
      <c r="N570" s="79">
        <f t="shared" si="186"/>
        <v>4389</v>
      </c>
      <c r="O570" s="92"/>
      <c r="P570" s="92"/>
      <c r="Q570" s="93"/>
      <c r="R570" s="93"/>
      <c r="S570" s="213"/>
      <c r="T570" s="214"/>
      <c r="U570" s="215"/>
      <c r="V570" s="33"/>
      <c r="X570" s="186"/>
      <c r="Y570" s="186"/>
      <c r="Z570" s="186"/>
      <c r="AA570" s="186"/>
    </row>
    <row r="571" spans="1:29" x14ac:dyDescent="0.25">
      <c r="A571" s="277">
        <v>43357</v>
      </c>
      <c r="B571" s="85" t="s">
        <v>177</v>
      </c>
      <c r="C571" s="70" t="s">
        <v>179</v>
      </c>
      <c r="D571" s="70" t="s">
        <v>178</v>
      </c>
      <c r="E571" s="86" t="s">
        <v>192</v>
      </c>
      <c r="F571" s="33">
        <v>5165.4799999999996</v>
      </c>
      <c r="G571" s="33">
        <v>5051.29</v>
      </c>
      <c r="H571" s="33">
        <v>5050.1899999999996</v>
      </c>
      <c r="I571" s="33">
        <v>5025.01</v>
      </c>
      <c r="J571" s="33">
        <v>5195.8500000000004</v>
      </c>
      <c r="K571" s="33">
        <v>5204.78</v>
      </c>
      <c r="L571" s="33">
        <v>5039.47</v>
      </c>
      <c r="M571" s="33">
        <v>5027.83</v>
      </c>
      <c r="N571" s="33">
        <v>5193.53</v>
      </c>
      <c r="O571" s="86">
        <f>IF((N572=""),"",MAX(F573:N573))</f>
        <v>4054.3199999999997</v>
      </c>
      <c r="P571" s="86">
        <f>IF(N572="","",MIN(F573:N573))</f>
        <v>3670.2</v>
      </c>
      <c r="Q571" s="87">
        <f>IF((N573=""),"",AVERAGE(F573:N573))</f>
        <v>3917.4422222222224</v>
      </c>
      <c r="R571" s="87">
        <f>IF((N572=""),"",(O571-P571)/(O571+P571)*100)</f>
        <v>4.9727361700144463</v>
      </c>
      <c r="S571" s="181">
        <f>STDEV(F573:N573)</f>
        <v>131.97694701895642</v>
      </c>
      <c r="T571" s="208" t="str">
        <f>IF(N572="","",IF(Q571&gt;3650,IF(R571&lt;7,IF(Q571&lt;4450,"Pass","Fail"),"Fail"),"Fail"))</f>
        <v>Pass</v>
      </c>
      <c r="U571" s="220">
        <v>1335</v>
      </c>
      <c r="V571" s="33"/>
      <c r="X571" s="184">
        <v>3650</v>
      </c>
      <c r="Y571" s="184">
        <v>4450</v>
      </c>
      <c r="Z571" s="184">
        <v>3700</v>
      </c>
      <c r="AA571" s="184">
        <v>4100</v>
      </c>
      <c r="AB571" s="57">
        <v>6.5</v>
      </c>
      <c r="AC571" s="57">
        <v>7</v>
      </c>
    </row>
    <row r="572" spans="1:29" x14ac:dyDescent="0.25">
      <c r="A572" s="272"/>
      <c r="B572" s="47"/>
      <c r="C572" s="24"/>
      <c r="D572" s="24"/>
      <c r="E572" s="88" t="s">
        <v>193</v>
      </c>
      <c r="F572" s="33">
        <v>3259.39</v>
      </c>
      <c r="G572" s="33">
        <v>3048.83</v>
      </c>
      <c r="H572" s="33">
        <v>3027.96</v>
      </c>
      <c r="I572" s="33">
        <v>3027.16</v>
      </c>
      <c r="J572" s="33">
        <v>3296.99</v>
      </c>
      <c r="K572" s="33">
        <v>3369.68</v>
      </c>
      <c r="L572" s="33">
        <v>3049.95</v>
      </c>
      <c r="M572" s="33">
        <v>3000.67</v>
      </c>
      <c r="N572" s="33">
        <v>3244.31</v>
      </c>
      <c r="O572" s="88"/>
      <c r="P572" s="88"/>
      <c r="Q572" s="89"/>
      <c r="R572" s="89"/>
      <c r="S572" s="210"/>
      <c r="T572" s="28"/>
      <c r="U572" s="217"/>
      <c r="V572" s="33"/>
      <c r="X572" s="186"/>
      <c r="Y572" s="186"/>
      <c r="Z572" s="186"/>
      <c r="AA572" s="186"/>
    </row>
    <row r="573" spans="1:29" ht="22.75" thickBot="1" x14ac:dyDescent="0.3">
      <c r="A573" s="272"/>
      <c r="B573" s="47"/>
      <c r="C573" s="24"/>
      <c r="D573" s="24"/>
      <c r="E573" s="88" t="s">
        <v>194</v>
      </c>
      <c r="F573" s="66">
        <f t="shared" ref="F573:N573" si="187">IF(((F571="")*AND(F572="")),"",(F571-F572)*2)</f>
        <v>3812.1799999999994</v>
      </c>
      <c r="G573" s="66">
        <f t="shared" si="187"/>
        <v>4004.92</v>
      </c>
      <c r="H573" s="66">
        <f t="shared" si="187"/>
        <v>4044.4599999999991</v>
      </c>
      <c r="I573" s="66">
        <f t="shared" si="187"/>
        <v>3995.7000000000007</v>
      </c>
      <c r="J573" s="66">
        <f t="shared" si="187"/>
        <v>3797.7200000000012</v>
      </c>
      <c r="K573" s="66">
        <f t="shared" si="187"/>
        <v>3670.2</v>
      </c>
      <c r="L573" s="66">
        <f t="shared" si="187"/>
        <v>3979.0400000000009</v>
      </c>
      <c r="M573" s="66">
        <f t="shared" si="187"/>
        <v>4054.3199999999997</v>
      </c>
      <c r="N573" s="66">
        <f t="shared" si="187"/>
        <v>3898.4399999999996</v>
      </c>
      <c r="O573" s="88"/>
      <c r="P573" s="88"/>
      <c r="Q573" s="89"/>
      <c r="R573" s="89"/>
      <c r="S573" s="210"/>
      <c r="T573" s="28"/>
      <c r="U573" s="217"/>
      <c r="V573" s="33"/>
      <c r="X573" s="186"/>
      <c r="Y573" s="186"/>
      <c r="Z573" s="186"/>
      <c r="AA573" s="186"/>
    </row>
    <row r="574" spans="1:29" x14ac:dyDescent="0.25">
      <c r="A574" s="277">
        <v>43357</v>
      </c>
      <c r="B574" s="24" t="s">
        <v>172</v>
      </c>
      <c r="C574" s="24" t="s">
        <v>174</v>
      </c>
      <c r="D574" s="24" t="s">
        <v>195</v>
      </c>
      <c r="E574" s="88" t="s">
        <v>192</v>
      </c>
      <c r="F574" s="33">
        <v>1260.4000000000001</v>
      </c>
      <c r="G574" s="33">
        <v>1256.46</v>
      </c>
      <c r="H574" s="33">
        <v>1251.7</v>
      </c>
      <c r="I574" s="33">
        <v>1261.5</v>
      </c>
      <c r="J574" s="33">
        <v>1269.17</v>
      </c>
      <c r="K574" s="33">
        <v>1271.8499999999999</v>
      </c>
      <c r="L574" s="33">
        <v>1265.79</v>
      </c>
      <c r="M574" s="33">
        <v>1253.57</v>
      </c>
      <c r="N574" s="33">
        <v>1261.3399999999999</v>
      </c>
      <c r="O574" s="88">
        <f>IF((N575=""),"",MAX(F576:N576))</f>
        <v>2072.1299999999997</v>
      </c>
      <c r="P574" s="88">
        <f>IF(N575="","",MIN(F576:N576))</f>
        <v>1974.6000000000001</v>
      </c>
      <c r="Q574" s="89">
        <f>IF((N576=""),"",AVERAGE(F576:N576))</f>
        <v>2034.2966666666664</v>
      </c>
      <c r="R574" s="89">
        <f>IF((N575=""),"",(O574-P574)/(O574+P574)*100)</f>
        <v>2.410094075957613</v>
      </c>
      <c r="S574" s="181">
        <f>STDEV(F576:N576)</f>
        <v>37.797039897325369</v>
      </c>
      <c r="T574" s="23" t="str">
        <f>IF(N575="","",IF(Q574&gt;1940,IF(R574&lt;8.3,IF(Q574&lt;2180,"Pass","Fail"),"Fail"),"Fail"))</f>
        <v>Pass</v>
      </c>
      <c r="U574" s="220">
        <v>1335</v>
      </c>
      <c r="V574" s="33"/>
      <c r="X574" s="184">
        <v>2000</v>
      </c>
      <c r="Y574" s="184">
        <v>3000</v>
      </c>
      <c r="Z574" s="184">
        <v>1940</v>
      </c>
      <c r="AA574" s="184">
        <v>2180</v>
      </c>
      <c r="AB574" s="57">
        <v>5.2</v>
      </c>
    </row>
    <row r="575" spans="1:29" x14ac:dyDescent="0.25">
      <c r="A575" s="272"/>
      <c r="B575" s="47"/>
      <c r="C575" s="24"/>
      <c r="D575" s="24"/>
      <c r="E575" s="88" t="s">
        <v>193</v>
      </c>
      <c r="F575" s="33">
        <v>585.71</v>
      </c>
      <c r="G575" s="33">
        <v>567.91999999999996</v>
      </c>
      <c r="H575" s="33">
        <v>561.79</v>
      </c>
      <c r="I575" s="33">
        <v>576.01</v>
      </c>
      <c r="J575" s="33">
        <v>610.97</v>
      </c>
      <c r="K575" s="33">
        <v>599.84</v>
      </c>
      <c r="L575" s="33">
        <v>582.28</v>
      </c>
      <c r="M575" s="33">
        <v>562.86</v>
      </c>
      <c r="N575" s="33">
        <v>601.51</v>
      </c>
      <c r="O575" s="88"/>
      <c r="P575" s="88"/>
      <c r="Q575" s="89"/>
      <c r="R575" s="89"/>
      <c r="S575" s="210"/>
      <c r="T575" s="23"/>
      <c r="U575" s="211"/>
      <c r="V575" s="33"/>
      <c r="X575" s="186"/>
      <c r="Y575" s="186"/>
      <c r="Z575" s="186"/>
      <c r="AA575" s="186"/>
    </row>
    <row r="576" spans="1:29" ht="13.3" thickBot="1" x14ac:dyDescent="0.3">
      <c r="A576" s="272"/>
      <c r="B576" s="47"/>
      <c r="C576" s="24"/>
      <c r="D576" s="24"/>
      <c r="E576" s="88" t="s">
        <v>196</v>
      </c>
      <c r="F576" s="66">
        <f t="shared" ref="F576:N576" si="188">IF(((F574="")*AND(F575="")),"",(F574-F575)*3)</f>
        <v>2024.0700000000002</v>
      </c>
      <c r="G576" s="66">
        <f t="shared" si="188"/>
        <v>2065.6200000000003</v>
      </c>
      <c r="H576" s="66">
        <f t="shared" si="188"/>
        <v>2069.7300000000005</v>
      </c>
      <c r="I576" s="66">
        <f t="shared" si="188"/>
        <v>2056.4700000000003</v>
      </c>
      <c r="J576" s="66">
        <f t="shared" si="188"/>
        <v>1974.6000000000001</v>
      </c>
      <c r="K576" s="66">
        <f t="shared" si="188"/>
        <v>2016.0299999999997</v>
      </c>
      <c r="L576" s="66">
        <f t="shared" si="188"/>
        <v>2050.5299999999997</v>
      </c>
      <c r="M576" s="66">
        <f t="shared" si="188"/>
        <v>2072.1299999999997</v>
      </c>
      <c r="N576" s="66">
        <f t="shared" si="188"/>
        <v>1979.4899999999998</v>
      </c>
      <c r="O576" s="88"/>
      <c r="P576" s="88"/>
      <c r="Q576" s="89"/>
      <c r="R576" s="89"/>
      <c r="S576" s="210"/>
      <c r="T576" s="23"/>
      <c r="U576" s="211"/>
      <c r="V576" s="33"/>
      <c r="X576" s="186"/>
      <c r="Y576" s="186"/>
      <c r="Z576" s="186"/>
      <c r="AA576" s="186"/>
    </row>
    <row r="577" spans="1:29" x14ac:dyDescent="0.25">
      <c r="A577" s="277">
        <v>43357</v>
      </c>
      <c r="B577" s="47" t="s">
        <v>191</v>
      </c>
      <c r="C577" s="24" t="s">
        <v>176</v>
      </c>
      <c r="D577" s="24" t="s">
        <v>175</v>
      </c>
      <c r="E577" s="88" t="s">
        <v>192</v>
      </c>
      <c r="F577" s="33">
        <v>27755.88</v>
      </c>
      <c r="G577" s="33">
        <v>27744.19</v>
      </c>
      <c r="H577" s="33">
        <v>27764.11</v>
      </c>
      <c r="I577" s="33">
        <v>27729.55</v>
      </c>
      <c r="J577" s="33">
        <v>27698.13</v>
      </c>
      <c r="K577" s="33">
        <v>27720.06</v>
      </c>
      <c r="L577" s="33">
        <v>27720.99</v>
      </c>
      <c r="M577" s="33">
        <v>27745.96</v>
      </c>
      <c r="N577" s="33">
        <v>27749.74</v>
      </c>
      <c r="O577" s="88">
        <f>IF((N578=""),"",MAX(F579:N579))</f>
        <v>4480.2299999999996</v>
      </c>
      <c r="P577" s="88">
        <f>IF(N578="","",MIN(F579:N579))</f>
        <v>4110.3000000000065</v>
      </c>
      <c r="Q577" s="89">
        <f>IF((N579=""),"",AVERAGE(F579:N579))</f>
        <v>4283.4300000000012</v>
      </c>
      <c r="R577" s="89">
        <f>IF((N578=""),"",(O577-P577)/(O577+P577)*100)</f>
        <v>4.3062535140438687</v>
      </c>
      <c r="S577" s="181">
        <f>STDEV(F579:N579)</f>
        <v>159.4243286013766</v>
      </c>
      <c r="T577" s="23" t="str">
        <f>IF(N578="","",IF(R577&lt;16,IF(Q577&gt;3200,IF(R577,IF(Q577&lt;5240,"Pass","Fail"),"Fail"),"Fail")))</f>
        <v>Pass</v>
      </c>
      <c r="U577" s="220">
        <v>1335</v>
      </c>
      <c r="V577" s="33"/>
      <c r="X577" s="184">
        <v>4200</v>
      </c>
      <c r="Y577" s="184">
        <v>5500</v>
      </c>
      <c r="Z577" s="184">
        <v>3200</v>
      </c>
      <c r="AA577" s="184">
        <v>5240</v>
      </c>
      <c r="AB577" s="57">
        <v>16</v>
      </c>
    </row>
    <row r="578" spans="1:29" x14ac:dyDescent="0.25">
      <c r="A578" s="272"/>
      <c r="B578" s="47"/>
      <c r="C578" s="24"/>
      <c r="D578" s="24"/>
      <c r="E578" s="88" t="s">
        <v>193</v>
      </c>
      <c r="F578" s="33">
        <v>26271.88</v>
      </c>
      <c r="G578" s="33">
        <v>26358.76</v>
      </c>
      <c r="H578" s="33">
        <v>26394.01</v>
      </c>
      <c r="I578" s="33">
        <v>26341.22</v>
      </c>
      <c r="J578" s="33">
        <v>26216.63</v>
      </c>
      <c r="K578" s="33">
        <v>26245.75</v>
      </c>
      <c r="L578" s="33">
        <v>26336.07</v>
      </c>
      <c r="M578" s="33">
        <v>26357.67</v>
      </c>
      <c r="N578" s="33">
        <v>26256.33</v>
      </c>
      <c r="O578" s="88"/>
      <c r="P578" s="88"/>
      <c r="Q578" s="89"/>
      <c r="R578" s="89"/>
      <c r="S578" s="210"/>
      <c r="T578" s="23"/>
      <c r="U578" s="211"/>
      <c r="V578" s="33"/>
      <c r="X578" s="186"/>
      <c r="Y578" s="186"/>
      <c r="Z578" s="186"/>
      <c r="AA578" s="186"/>
    </row>
    <row r="579" spans="1:29" ht="22.75" thickBot="1" x14ac:dyDescent="0.3">
      <c r="A579" s="272"/>
      <c r="B579" s="90"/>
      <c r="C579" s="91"/>
      <c r="D579" s="91"/>
      <c r="E579" s="92" t="s">
        <v>194</v>
      </c>
      <c r="F579" s="79">
        <f t="shared" ref="F579:N579" si="189">IF(((F577="")*AND(F578="")),"",(F577-F578)*3)</f>
        <v>4452</v>
      </c>
      <c r="G579" s="79">
        <f t="shared" si="189"/>
        <v>4156.2900000000009</v>
      </c>
      <c r="H579" s="79">
        <f t="shared" si="189"/>
        <v>4110.3000000000065</v>
      </c>
      <c r="I579" s="79">
        <f t="shared" si="189"/>
        <v>4164.9899999999943</v>
      </c>
      <c r="J579" s="79">
        <f t="shared" si="189"/>
        <v>4444.5</v>
      </c>
      <c r="K579" s="79">
        <f t="shared" si="189"/>
        <v>4422.9300000000039</v>
      </c>
      <c r="L579" s="79">
        <f t="shared" si="189"/>
        <v>4154.7600000000057</v>
      </c>
      <c r="M579" s="79">
        <f t="shared" si="189"/>
        <v>4164.8700000000026</v>
      </c>
      <c r="N579" s="79">
        <f t="shared" si="189"/>
        <v>4480.2299999999996</v>
      </c>
      <c r="O579" s="92"/>
      <c r="P579" s="92"/>
      <c r="Q579" s="93"/>
      <c r="R579" s="93"/>
      <c r="S579" s="213"/>
      <c r="T579" s="214"/>
      <c r="U579" s="215"/>
      <c r="V579" s="33"/>
      <c r="X579" s="186"/>
      <c r="Y579" s="186"/>
      <c r="Z579" s="186"/>
      <c r="AA579" s="186"/>
    </row>
    <row r="580" spans="1:29" x14ac:dyDescent="0.25">
      <c r="A580" s="277">
        <v>43360</v>
      </c>
      <c r="B580" s="85" t="s">
        <v>177</v>
      </c>
      <c r="C580" s="70" t="s">
        <v>179</v>
      </c>
      <c r="D580" s="70" t="s">
        <v>178</v>
      </c>
      <c r="E580" s="86" t="s">
        <v>192</v>
      </c>
      <c r="F580" s="33">
        <v>3259.39</v>
      </c>
      <c r="G580" s="33">
        <v>3048.83</v>
      </c>
      <c r="H580" s="33">
        <v>3027.96</v>
      </c>
      <c r="I580" s="33">
        <v>3027.16</v>
      </c>
      <c r="J580" s="33">
        <v>3296.99</v>
      </c>
      <c r="K580" s="33">
        <v>3369.68</v>
      </c>
      <c r="L580" s="33">
        <v>3049.95</v>
      </c>
      <c r="M580" s="33">
        <v>3000.67</v>
      </c>
      <c r="N580" s="33">
        <v>3244.31</v>
      </c>
      <c r="O580" s="86">
        <f>IF((N581=""),"",MAX(F582:N582))</f>
        <v>4042.12</v>
      </c>
      <c r="P580" s="86">
        <f>IF(N581="","",MIN(F582:N582))</f>
        <v>3681.5399999999995</v>
      </c>
      <c r="Q580" s="87">
        <f>IF((N582=""),"",AVERAGE(F582:N582))</f>
        <v>3918.6999999999994</v>
      </c>
      <c r="R580" s="87">
        <f>IF((N581=""),"",(O580-P580)/(O580+P580)*100)</f>
        <v>4.6685120784705747</v>
      </c>
      <c r="S580" s="181">
        <f>STDEV(F582:N582)</f>
        <v>121.31930225648357</v>
      </c>
      <c r="T580" s="208" t="str">
        <f>IF(N581="","",IF(Q580&gt;3650,IF(R580&lt;7,IF(Q580&lt;4450,"Pass","Fail"),"Fail"),"Fail"))</f>
        <v>Pass</v>
      </c>
      <c r="U580" s="220">
        <v>1340</v>
      </c>
      <c r="V580" s="33" t="s">
        <v>211</v>
      </c>
      <c r="X580" s="184">
        <v>3650</v>
      </c>
      <c r="Y580" s="184">
        <v>4450</v>
      </c>
      <c r="Z580" s="184">
        <v>3700</v>
      </c>
      <c r="AA580" s="184">
        <v>4100</v>
      </c>
      <c r="AB580" s="57">
        <v>6.5</v>
      </c>
      <c r="AC580" s="57">
        <v>7</v>
      </c>
    </row>
    <row r="581" spans="1:29" x14ac:dyDescent="0.25">
      <c r="A581" s="272"/>
      <c r="B581" s="47"/>
      <c r="C581" s="24"/>
      <c r="D581" s="24"/>
      <c r="E581" s="88" t="s">
        <v>193</v>
      </c>
      <c r="F581" s="33">
        <v>1339.51</v>
      </c>
      <c r="G581" s="33">
        <v>1047.8800000000001</v>
      </c>
      <c r="H581" s="33">
        <v>1010.71</v>
      </c>
      <c r="I581" s="33">
        <v>1036.44</v>
      </c>
      <c r="J581" s="33">
        <v>1395.37</v>
      </c>
      <c r="K581" s="33">
        <v>1528.91</v>
      </c>
      <c r="L581" s="33">
        <v>1065.95</v>
      </c>
      <c r="M581" s="33">
        <v>979.61</v>
      </c>
      <c r="N581" s="33">
        <v>1286.4100000000001</v>
      </c>
      <c r="O581" s="88"/>
      <c r="P581" s="88"/>
      <c r="Q581" s="89"/>
      <c r="R581" s="89"/>
      <c r="S581" s="210"/>
      <c r="T581" s="28"/>
      <c r="U581" s="217"/>
      <c r="V581" s="33"/>
      <c r="X581" s="186"/>
      <c r="Y581" s="186"/>
      <c r="Z581" s="186"/>
      <c r="AA581" s="186"/>
    </row>
    <row r="582" spans="1:29" ht="22.75" thickBot="1" x14ac:dyDescent="0.3">
      <c r="A582" s="272"/>
      <c r="B582" s="47"/>
      <c r="C582" s="24"/>
      <c r="D582" s="24"/>
      <c r="E582" s="88" t="s">
        <v>194</v>
      </c>
      <c r="F582" s="66">
        <f t="shared" ref="F582:N582" si="190">IF(((F580="")*AND(F581="")),"",(F580-F581)*2)</f>
        <v>3839.7599999999998</v>
      </c>
      <c r="G582" s="66">
        <f t="shared" si="190"/>
        <v>4001.8999999999996</v>
      </c>
      <c r="H582" s="66">
        <f t="shared" si="190"/>
        <v>4034.5</v>
      </c>
      <c r="I582" s="66">
        <f t="shared" si="190"/>
        <v>3981.4399999999996</v>
      </c>
      <c r="J582" s="66">
        <f t="shared" si="190"/>
        <v>3803.24</v>
      </c>
      <c r="K582" s="66">
        <f t="shared" si="190"/>
        <v>3681.5399999999995</v>
      </c>
      <c r="L582" s="66">
        <f t="shared" si="190"/>
        <v>3967.9999999999995</v>
      </c>
      <c r="M582" s="66">
        <f t="shared" si="190"/>
        <v>4042.12</v>
      </c>
      <c r="N582" s="66">
        <f t="shared" si="190"/>
        <v>3915.7999999999997</v>
      </c>
      <c r="O582" s="88"/>
      <c r="P582" s="88"/>
      <c r="Q582" s="89"/>
      <c r="R582" s="89"/>
      <c r="S582" s="210"/>
      <c r="T582" s="28"/>
      <c r="U582" s="217"/>
      <c r="V582" s="33"/>
      <c r="X582" s="186"/>
      <c r="Y582" s="186"/>
      <c r="Z582" s="186"/>
      <c r="AA582" s="186"/>
    </row>
    <row r="583" spans="1:29" x14ac:dyDescent="0.25">
      <c r="A583" s="277">
        <v>43360</v>
      </c>
      <c r="B583" s="24" t="s">
        <v>172</v>
      </c>
      <c r="C583" s="24" t="s">
        <v>174</v>
      </c>
      <c r="D583" s="24" t="s">
        <v>195</v>
      </c>
      <c r="E583" s="88" t="s">
        <v>192</v>
      </c>
      <c r="F583" s="33">
        <v>1916.9</v>
      </c>
      <c r="G583" s="33">
        <v>1914.73</v>
      </c>
      <c r="H583" s="33">
        <v>1907.91</v>
      </c>
      <c r="I583" s="33">
        <v>1911.62</v>
      </c>
      <c r="J583" s="33">
        <v>1920.56</v>
      </c>
      <c r="K583" s="33">
        <v>1920.67</v>
      </c>
      <c r="L583" s="33">
        <v>1911.31</v>
      </c>
      <c r="M583" s="33">
        <v>1914.2</v>
      </c>
      <c r="N583" s="33">
        <v>1921.51</v>
      </c>
      <c r="O583" s="88">
        <f>IF((N584=""),"",MAX(F585:N585))</f>
        <v>2057.0700000000002</v>
      </c>
      <c r="P583" s="88">
        <f>IF(N584="","",MIN(F585:N585))</f>
        <v>1971.9900000000005</v>
      </c>
      <c r="Q583" s="89">
        <f>IF((N585=""),"",AVERAGE(F585:N585))</f>
        <v>2017.5600000000002</v>
      </c>
      <c r="R583" s="89">
        <f>IF((N584=""),"",(O583-P583)/(O583+P583)*100)</f>
        <v>2.1116587988265176</v>
      </c>
      <c r="S583" s="181">
        <f>STDEV(F585:N585)</f>
        <v>31.815714277696127</v>
      </c>
      <c r="T583" s="23" t="str">
        <f>IF(N584="","",IF(Q583&gt;1940,IF(R583&lt;8.3,IF(Q583&lt;2180,"Pass","Fail"),"Fail"),"Fail"))</f>
        <v>Pass</v>
      </c>
      <c r="U583" s="220">
        <v>1340</v>
      </c>
      <c r="V583" s="33" t="s">
        <v>211</v>
      </c>
      <c r="X583" s="184">
        <v>2000</v>
      </c>
      <c r="Y583" s="184">
        <v>3000</v>
      </c>
      <c r="Z583" s="184">
        <v>1940</v>
      </c>
      <c r="AA583" s="184">
        <v>2180</v>
      </c>
      <c r="AB583" s="57">
        <v>5.2</v>
      </c>
    </row>
    <row r="584" spans="1:29" x14ac:dyDescent="0.25">
      <c r="A584" s="272"/>
      <c r="B584" s="47"/>
      <c r="C584" s="24"/>
      <c r="D584" s="24"/>
      <c r="E584" s="88" t="s">
        <v>193</v>
      </c>
      <c r="F584" s="33">
        <v>1259.57</v>
      </c>
      <c r="G584" s="33">
        <v>1232.77</v>
      </c>
      <c r="H584" s="33">
        <v>1226.75</v>
      </c>
      <c r="I584" s="33">
        <v>1233.1099999999999</v>
      </c>
      <c r="J584" s="33">
        <v>1251.67</v>
      </c>
      <c r="K584" s="33">
        <v>1260.23</v>
      </c>
      <c r="L584" s="33">
        <v>1234.32</v>
      </c>
      <c r="M584" s="33">
        <v>1228.51</v>
      </c>
      <c r="N584" s="33">
        <v>1259.8</v>
      </c>
      <c r="O584" s="88"/>
      <c r="P584" s="88"/>
      <c r="Q584" s="89"/>
      <c r="R584" s="89"/>
      <c r="S584" s="210"/>
      <c r="T584" s="23"/>
      <c r="U584" s="211"/>
      <c r="V584" s="33"/>
      <c r="X584" s="186"/>
      <c r="Y584" s="186"/>
      <c r="Z584" s="186"/>
      <c r="AA584" s="186"/>
    </row>
    <row r="585" spans="1:29" ht="13.3" thickBot="1" x14ac:dyDescent="0.3">
      <c r="A585" s="272"/>
      <c r="B585" s="47"/>
      <c r="C585" s="24"/>
      <c r="D585" s="24"/>
      <c r="E585" s="88" t="s">
        <v>196</v>
      </c>
      <c r="F585" s="66">
        <f t="shared" ref="F585:N585" si="191">IF(((F583="")*AND(F584="")),"",(F583-F584)*3)</f>
        <v>1971.9900000000005</v>
      </c>
      <c r="G585" s="66">
        <f t="shared" si="191"/>
        <v>2045.88</v>
      </c>
      <c r="H585" s="66">
        <f t="shared" si="191"/>
        <v>2043.4800000000002</v>
      </c>
      <c r="I585" s="66">
        <f t="shared" si="191"/>
        <v>2035.53</v>
      </c>
      <c r="J585" s="66">
        <f t="shared" si="191"/>
        <v>2006.6699999999996</v>
      </c>
      <c r="K585" s="66">
        <f t="shared" si="191"/>
        <v>1981.3200000000002</v>
      </c>
      <c r="L585" s="66">
        <f t="shared" si="191"/>
        <v>2030.97</v>
      </c>
      <c r="M585" s="66">
        <f t="shared" si="191"/>
        <v>2057.0700000000002</v>
      </c>
      <c r="N585" s="66">
        <f t="shared" si="191"/>
        <v>1985.13</v>
      </c>
      <c r="O585" s="88"/>
      <c r="P585" s="88"/>
      <c r="Q585" s="89"/>
      <c r="R585" s="89"/>
      <c r="S585" s="210"/>
      <c r="T585" s="23"/>
      <c r="U585" s="211"/>
      <c r="V585" s="33"/>
      <c r="X585" s="186"/>
      <c r="Y585" s="186"/>
      <c r="Z585" s="186"/>
      <c r="AA585" s="186"/>
    </row>
    <row r="586" spans="1:29" x14ac:dyDescent="0.25">
      <c r="A586" s="277">
        <v>43360</v>
      </c>
      <c r="B586" s="47" t="s">
        <v>191</v>
      </c>
      <c r="C586" s="24" t="s">
        <v>176</v>
      </c>
      <c r="D586" s="24" t="s">
        <v>175</v>
      </c>
      <c r="E586" s="88" t="s">
        <v>192</v>
      </c>
      <c r="F586" s="33">
        <v>29380.52</v>
      </c>
      <c r="G586" s="33">
        <v>29296.05</v>
      </c>
      <c r="H586" s="33">
        <v>29245.24</v>
      </c>
      <c r="I586" s="33">
        <v>29268.73</v>
      </c>
      <c r="J586" s="33">
        <v>29340.91</v>
      </c>
      <c r="K586" s="33">
        <v>29352.29</v>
      </c>
      <c r="L586" s="33">
        <v>29268.52</v>
      </c>
      <c r="M586" s="33">
        <v>29297.4</v>
      </c>
      <c r="N586" s="33">
        <v>29405.72</v>
      </c>
      <c r="O586" s="88">
        <f>IF((N587=""),"",MAX(F588:N588))</f>
        <v>4531.8000000000065</v>
      </c>
      <c r="P586" s="88">
        <f>IF(N587="","",MIN(F588:N588))</f>
        <v>4030.2000000000044</v>
      </c>
      <c r="Q586" s="89">
        <f>IF((N588=""),"",AVERAGE(F588:N588))</f>
        <v>4241.2233333333361</v>
      </c>
      <c r="R586" s="89">
        <f>IF((N587=""),"",(O586-P586)/(O586+P586)*100)</f>
        <v>5.8584442887176076</v>
      </c>
      <c r="S586" s="181">
        <f>STDEV(F588:N588)</f>
        <v>202.41481399591402</v>
      </c>
      <c r="T586" s="23" t="str">
        <f>IF(N587="","",IF(R586&lt;16,IF(Q586&gt;3200,IF(R586,IF(Q586&lt;5240,"Pass","Fail"),"Fail"),"Fail")))</f>
        <v>Pass</v>
      </c>
      <c r="U586" s="220">
        <v>1340</v>
      </c>
      <c r="V586" s="33" t="s">
        <v>211</v>
      </c>
      <c r="X586" s="184">
        <v>4200</v>
      </c>
      <c r="Y586" s="184">
        <v>5500</v>
      </c>
      <c r="Z586" s="184">
        <v>3200</v>
      </c>
      <c r="AA586" s="184">
        <v>5240</v>
      </c>
      <c r="AB586" s="57">
        <v>16</v>
      </c>
    </row>
    <row r="587" spans="1:29" x14ac:dyDescent="0.25">
      <c r="A587" s="272"/>
      <c r="B587" s="47"/>
      <c r="C587" s="24"/>
      <c r="D587" s="24"/>
      <c r="E587" s="88" t="s">
        <v>193</v>
      </c>
      <c r="F587" s="33">
        <v>27874.959999999999</v>
      </c>
      <c r="G587" s="33">
        <v>27930.41</v>
      </c>
      <c r="H587" s="33">
        <v>27901.84</v>
      </c>
      <c r="I587" s="33">
        <v>27923.45</v>
      </c>
      <c r="J587" s="33">
        <v>27887.79</v>
      </c>
      <c r="K587" s="33">
        <v>27916.78</v>
      </c>
      <c r="L587" s="33">
        <v>27922.67</v>
      </c>
      <c r="M587" s="33">
        <v>27878.69</v>
      </c>
      <c r="N587" s="33">
        <v>27895.119999999999</v>
      </c>
      <c r="O587" s="88"/>
      <c r="P587" s="88"/>
      <c r="Q587" s="89"/>
      <c r="R587" s="89"/>
      <c r="S587" s="210"/>
      <c r="T587" s="23"/>
      <c r="U587" s="211"/>
      <c r="V587" s="33"/>
      <c r="X587" s="186"/>
      <c r="Y587" s="186"/>
      <c r="Z587" s="186"/>
      <c r="AA587" s="186"/>
    </row>
    <row r="588" spans="1:29" ht="22.75" thickBot="1" x14ac:dyDescent="0.3">
      <c r="A588" s="272"/>
      <c r="B588" s="90"/>
      <c r="C588" s="91"/>
      <c r="D588" s="91"/>
      <c r="E588" s="92" t="s">
        <v>194</v>
      </c>
      <c r="F588" s="79">
        <f t="shared" ref="F588:N588" si="192">IF(((F586="")*AND(F587="")),"",(F586-F587)*3)</f>
        <v>4516.6800000000039</v>
      </c>
      <c r="G588" s="79">
        <f t="shared" si="192"/>
        <v>4096.9199999999983</v>
      </c>
      <c r="H588" s="79">
        <f t="shared" si="192"/>
        <v>4030.2000000000044</v>
      </c>
      <c r="I588" s="79">
        <f t="shared" si="192"/>
        <v>4035.8399999999965</v>
      </c>
      <c r="J588" s="79">
        <f t="shared" si="192"/>
        <v>4359.3599999999969</v>
      </c>
      <c r="K588" s="79">
        <f t="shared" si="192"/>
        <v>4306.5300000000061</v>
      </c>
      <c r="L588" s="79">
        <f t="shared" si="192"/>
        <v>4037.5500000000065</v>
      </c>
      <c r="M588" s="79">
        <f t="shared" si="192"/>
        <v>4256.1300000000083</v>
      </c>
      <c r="N588" s="79">
        <f t="shared" si="192"/>
        <v>4531.8000000000065</v>
      </c>
      <c r="O588" s="92"/>
      <c r="P588" s="92"/>
      <c r="Q588" s="93"/>
      <c r="R588" s="93"/>
      <c r="S588" s="213"/>
      <c r="T588" s="214"/>
      <c r="U588" s="215"/>
      <c r="V588" s="33"/>
      <c r="X588" s="186"/>
      <c r="Y588" s="186"/>
      <c r="Z588" s="186"/>
      <c r="AA588" s="186"/>
    </row>
    <row r="589" spans="1:29" x14ac:dyDescent="0.25">
      <c r="A589" s="277">
        <v>43363</v>
      </c>
      <c r="B589" s="85" t="s">
        <v>177</v>
      </c>
      <c r="C589" s="70" t="s">
        <v>179</v>
      </c>
      <c r="D589" s="70" t="s">
        <v>178</v>
      </c>
      <c r="E589" s="86" t="s">
        <v>192</v>
      </c>
      <c r="F589" s="33">
        <v>6877.78</v>
      </c>
      <c r="G589" s="33">
        <v>6887.78</v>
      </c>
      <c r="H589" s="33">
        <v>6914.55</v>
      </c>
      <c r="I589" s="33">
        <v>6864.87</v>
      </c>
      <c r="J589" s="33">
        <v>6901.15</v>
      </c>
      <c r="K589" s="33">
        <v>6839.29</v>
      </c>
      <c r="L589" s="33">
        <v>6866.3</v>
      </c>
      <c r="M589" s="33">
        <v>6903.24</v>
      </c>
      <c r="N589" s="33">
        <v>6978.28</v>
      </c>
      <c r="O589" s="86">
        <f>IF((N590=""),"",MAX(F591:N591))</f>
        <v>4033.58</v>
      </c>
      <c r="P589" s="86">
        <f>IF(N590="","",MIN(F591:N591))</f>
        <v>3644.6000000000004</v>
      </c>
      <c r="Q589" s="87">
        <f>IF((N591=""),"",AVERAGE(F591:N591))</f>
        <v>3894.7355555555569</v>
      </c>
      <c r="R589" s="87">
        <f>IF((N590=""),"",(O589-P589)/(O589+P589)*100)</f>
        <v>5.0660442969557833</v>
      </c>
      <c r="S589" s="181">
        <f>STDEV(F591:N591)</f>
        <v>131.26017552090104</v>
      </c>
      <c r="T589" s="208" t="str">
        <f>IF(N590="","",IF(Q589&gt;3650,IF(R589&lt;7,IF(Q589&lt;4450,"Pass","Fail"),"Fail"),"Fail"))</f>
        <v>Pass</v>
      </c>
      <c r="U589" s="220">
        <v>1340</v>
      </c>
      <c r="V589" s="198"/>
      <c r="W589" s="33"/>
      <c r="X589" s="184">
        <v>3650</v>
      </c>
      <c r="Y589" s="184">
        <v>4450</v>
      </c>
      <c r="Z589" s="184">
        <v>3700</v>
      </c>
      <c r="AA589" s="184">
        <v>4100</v>
      </c>
      <c r="AB589" s="57">
        <v>6.5</v>
      </c>
      <c r="AC589" s="57">
        <v>7</v>
      </c>
    </row>
    <row r="590" spans="1:29" x14ac:dyDescent="0.25">
      <c r="A590" s="272"/>
      <c r="B590" s="47"/>
      <c r="C590" s="24"/>
      <c r="D590" s="24"/>
      <c r="E590" s="88" t="s">
        <v>193</v>
      </c>
      <c r="F590" s="33">
        <v>4987.2299999999996</v>
      </c>
      <c r="G590" s="33">
        <v>4899.32</v>
      </c>
      <c r="H590" s="33">
        <v>4904.84</v>
      </c>
      <c r="I590" s="33">
        <v>4880.62</v>
      </c>
      <c r="J590" s="33">
        <v>5008.8599999999997</v>
      </c>
      <c r="K590" s="33">
        <v>5016.99</v>
      </c>
      <c r="L590" s="33">
        <v>4890.67</v>
      </c>
      <c r="M590" s="33">
        <v>4886.45</v>
      </c>
      <c r="N590" s="33">
        <v>5031.95</v>
      </c>
      <c r="O590" s="88"/>
      <c r="P590" s="88"/>
      <c r="Q590" s="89"/>
      <c r="R590" s="89"/>
      <c r="S590" s="210"/>
      <c r="T590" s="28"/>
      <c r="U590" s="217"/>
      <c r="V590" s="198"/>
      <c r="W590" s="33"/>
      <c r="X590" s="186"/>
      <c r="Y590" s="186"/>
      <c r="Z590" s="186"/>
      <c r="AA590" s="186"/>
    </row>
    <row r="591" spans="1:29" ht="22.75" thickBot="1" x14ac:dyDescent="0.3">
      <c r="A591" s="272"/>
      <c r="B591" s="47"/>
      <c r="C591" s="24"/>
      <c r="D591" s="24"/>
      <c r="E591" s="88" t="s">
        <v>194</v>
      </c>
      <c r="F591" s="66">
        <f t="shared" ref="F591:N591" si="193">IF(((F589="")*AND(F590="")),"",(F589-F590)*2)</f>
        <v>3781.1000000000004</v>
      </c>
      <c r="G591" s="66">
        <f t="shared" si="193"/>
        <v>3976.92</v>
      </c>
      <c r="H591" s="66">
        <f t="shared" si="193"/>
        <v>4019.42</v>
      </c>
      <c r="I591" s="66">
        <f t="shared" si="193"/>
        <v>3968.5</v>
      </c>
      <c r="J591" s="66">
        <f t="shared" si="193"/>
        <v>3784.58</v>
      </c>
      <c r="K591" s="66">
        <f t="shared" si="193"/>
        <v>3644.6000000000004</v>
      </c>
      <c r="L591" s="66">
        <f t="shared" si="193"/>
        <v>3951.26</v>
      </c>
      <c r="M591" s="66">
        <f t="shared" si="193"/>
        <v>4033.58</v>
      </c>
      <c r="N591" s="66">
        <f t="shared" si="193"/>
        <v>3892.66</v>
      </c>
      <c r="O591" s="88"/>
      <c r="P591" s="88"/>
      <c r="Q591" s="89"/>
      <c r="R591" s="89"/>
      <c r="S591" s="210"/>
      <c r="T591" s="28"/>
      <c r="U591" s="217"/>
      <c r="V591" s="198"/>
      <c r="W591" s="33"/>
      <c r="X591" s="186"/>
      <c r="Y591" s="186"/>
      <c r="Z591" s="186"/>
      <c r="AA591" s="186"/>
    </row>
    <row r="592" spans="1:29" x14ac:dyDescent="0.25">
      <c r="A592" s="277">
        <v>43363</v>
      </c>
      <c r="B592" s="24" t="s">
        <v>172</v>
      </c>
      <c r="C592" s="24" t="s">
        <v>174</v>
      </c>
      <c r="D592" s="24" t="s">
        <v>195</v>
      </c>
      <c r="E592" s="88" t="s">
        <v>192</v>
      </c>
      <c r="F592" s="33">
        <v>1917.35</v>
      </c>
      <c r="G592" s="33">
        <v>1912.31</v>
      </c>
      <c r="H592" s="33">
        <v>1912.45</v>
      </c>
      <c r="I592" s="33">
        <v>1910.99</v>
      </c>
      <c r="J592" s="33">
        <v>1915.33</v>
      </c>
      <c r="K592" s="33">
        <v>1916.59</v>
      </c>
      <c r="L592" s="33">
        <v>1911.37</v>
      </c>
      <c r="M592" s="33">
        <v>1911.54</v>
      </c>
      <c r="N592" s="33">
        <v>1914.98</v>
      </c>
      <c r="O592" s="88">
        <f>IF((N593=""),"",MAX(F594:N594))</f>
        <v>2071.7700000000004</v>
      </c>
      <c r="P592" s="88">
        <f>IF(N593="","",MIN(F594:N594))</f>
        <v>1959.81</v>
      </c>
      <c r="Q592" s="89">
        <f>IF((N594=""),"",AVERAGE(F594:N594))</f>
        <v>2025.6799999999998</v>
      </c>
      <c r="R592" s="89">
        <f>IF((N593=""),"",(O592-P592)/(O592+P592)*100)</f>
        <v>2.7770749929308232</v>
      </c>
      <c r="S592" s="181">
        <f>STDEV(F594:N594)</f>
        <v>40.959787291928208</v>
      </c>
      <c r="T592" s="23" t="str">
        <f>IF(N593="","",IF(Q592&gt;1940,IF(R592&lt;8.3,IF(Q592&lt;2180,"Pass","Fail"),"Fail"),"Fail"))</f>
        <v>Pass</v>
      </c>
      <c r="U592" s="220">
        <v>1340</v>
      </c>
      <c r="V592" s="198"/>
      <c r="W592" s="33"/>
      <c r="X592" s="184">
        <v>2000</v>
      </c>
      <c r="Y592" s="184">
        <v>3000</v>
      </c>
      <c r="Z592" s="184">
        <v>1940</v>
      </c>
      <c r="AA592" s="184">
        <v>2180</v>
      </c>
      <c r="AB592" s="57">
        <v>5.2</v>
      </c>
    </row>
    <row r="593" spans="1:29" x14ac:dyDescent="0.25">
      <c r="A593" s="272"/>
      <c r="B593" s="47"/>
      <c r="C593" s="24"/>
      <c r="D593" s="24"/>
      <c r="E593" s="88" t="s">
        <v>193</v>
      </c>
      <c r="F593" s="33">
        <v>1244.8699999999999</v>
      </c>
      <c r="G593" s="33">
        <v>1223.5</v>
      </c>
      <c r="H593" s="33">
        <v>1221.8599999999999</v>
      </c>
      <c r="I593" s="33">
        <v>1231.52</v>
      </c>
      <c r="J593" s="33">
        <v>1262.06</v>
      </c>
      <c r="K593" s="33">
        <v>1252.46</v>
      </c>
      <c r="L593" s="33">
        <v>1230.79</v>
      </c>
      <c r="M593" s="33">
        <v>1223.4100000000001</v>
      </c>
      <c r="N593" s="33">
        <v>1255.4000000000001</v>
      </c>
      <c r="O593" s="88"/>
      <c r="P593" s="88"/>
      <c r="Q593" s="89"/>
      <c r="R593" s="89"/>
      <c r="S593" s="210"/>
      <c r="T593" s="23"/>
      <c r="U593" s="211"/>
      <c r="V593" s="246"/>
      <c r="W593" s="33"/>
      <c r="X593" s="186"/>
      <c r="Y593" s="186"/>
      <c r="Z593" s="186"/>
      <c r="AA593" s="186"/>
    </row>
    <row r="594" spans="1:29" ht="13.3" thickBot="1" x14ac:dyDescent="0.3">
      <c r="A594" s="272"/>
      <c r="B594" s="47"/>
      <c r="C594" s="24"/>
      <c r="D594" s="24"/>
      <c r="E594" s="88" t="s">
        <v>196</v>
      </c>
      <c r="F594" s="66">
        <f t="shared" ref="F594:N594" si="194">IF(((F592="")*AND(F593="")),"",(F592-F593)*3)</f>
        <v>2017.44</v>
      </c>
      <c r="G594" s="66">
        <f t="shared" si="194"/>
        <v>2066.4299999999998</v>
      </c>
      <c r="H594" s="66">
        <f t="shared" si="194"/>
        <v>2071.7700000000004</v>
      </c>
      <c r="I594" s="66">
        <f t="shared" si="194"/>
        <v>2038.41</v>
      </c>
      <c r="J594" s="66">
        <f t="shared" si="194"/>
        <v>1959.81</v>
      </c>
      <c r="K594" s="66">
        <f t="shared" si="194"/>
        <v>1992.3899999999996</v>
      </c>
      <c r="L594" s="66">
        <f t="shared" si="194"/>
        <v>2041.7399999999998</v>
      </c>
      <c r="M594" s="66">
        <f t="shared" si="194"/>
        <v>2064.3899999999994</v>
      </c>
      <c r="N594" s="66">
        <f t="shared" si="194"/>
        <v>1978.7399999999998</v>
      </c>
      <c r="O594" s="88"/>
      <c r="P594" s="88"/>
      <c r="Q594" s="89"/>
      <c r="R594" s="89"/>
      <c r="S594" s="210"/>
      <c r="T594" s="23"/>
      <c r="U594" s="211"/>
      <c r="V594" s="246"/>
      <c r="W594" s="33"/>
      <c r="X594" s="186"/>
      <c r="Y594" s="186"/>
      <c r="Z594" s="186"/>
      <c r="AA594" s="186"/>
    </row>
    <row r="595" spans="1:29" x14ac:dyDescent="0.25">
      <c r="A595" s="277">
        <v>43363</v>
      </c>
      <c r="B595" s="47" t="s">
        <v>191</v>
      </c>
      <c r="C595" s="24" t="s">
        <v>176</v>
      </c>
      <c r="D595" s="24" t="s">
        <v>175</v>
      </c>
      <c r="E595" s="88" t="s">
        <v>192</v>
      </c>
      <c r="F595" s="33">
        <v>29321.78</v>
      </c>
      <c r="G595" s="33">
        <v>29242.5</v>
      </c>
      <c r="H595" s="33">
        <v>29260.17</v>
      </c>
      <c r="I595" s="33">
        <v>29269.81</v>
      </c>
      <c r="J595" s="33">
        <v>29369.759999999998</v>
      </c>
      <c r="K595" s="33">
        <v>29355.98</v>
      </c>
      <c r="L595" s="33">
        <v>29267.35</v>
      </c>
      <c r="M595" s="33">
        <v>29263.62</v>
      </c>
      <c r="N595" s="33">
        <v>29289.17</v>
      </c>
      <c r="O595" s="88">
        <f>IF((N596=""),"",MAX(F597:N597))</f>
        <v>4281.6299999999974</v>
      </c>
      <c r="P595" s="88">
        <f>IF(N596="","",MIN(F597:N597))</f>
        <v>3697.7999999999956</v>
      </c>
      <c r="Q595" s="89">
        <f>IF((N597=""),"",AVERAGE(F597:N597))</f>
        <v>3985.3099999999959</v>
      </c>
      <c r="R595" s="89">
        <f>IF((N596=""),"",(O595-P595)/(O595+P595)*100)</f>
        <v>7.3166880341077283</v>
      </c>
      <c r="S595" s="181">
        <f>STDEV(F597:N597)</f>
        <v>178.24249808897937</v>
      </c>
      <c r="T595" s="23" t="str">
        <f>IF(N596="","",IF(R595&lt;16,IF(Q595&gt;3200,IF(R595,IF(Q595&lt;5240,"Pass","Fail"),"Fail"),"Fail")))</f>
        <v>Pass</v>
      </c>
      <c r="U595" s="220">
        <v>1340</v>
      </c>
      <c r="V595" s="198"/>
      <c r="W595" s="33"/>
      <c r="X595" s="184">
        <v>4200</v>
      </c>
      <c r="Y595" s="184">
        <v>5500</v>
      </c>
      <c r="Z595" s="184">
        <v>3200</v>
      </c>
      <c r="AA595" s="184">
        <v>5240</v>
      </c>
      <c r="AB595" s="57">
        <v>16</v>
      </c>
    </row>
    <row r="596" spans="1:29" x14ac:dyDescent="0.25">
      <c r="A596" s="272"/>
      <c r="B596" s="47"/>
      <c r="C596" s="24"/>
      <c r="D596" s="24"/>
      <c r="E596" s="88" t="s">
        <v>193</v>
      </c>
      <c r="F596" s="33">
        <v>27966.080000000002</v>
      </c>
      <c r="G596" s="33">
        <v>27975.200000000001</v>
      </c>
      <c r="H596" s="33">
        <v>28027.57</v>
      </c>
      <c r="I596" s="33">
        <v>27936.86</v>
      </c>
      <c r="J596" s="33">
        <v>27942.55</v>
      </c>
      <c r="K596" s="33">
        <v>27970.29</v>
      </c>
      <c r="L596" s="33">
        <v>27976.35</v>
      </c>
      <c r="M596" s="33">
        <v>27938.84</v>
      </c>
      <c r="N596" s="33">
        <v>27950.47</v>
      </c>
      <c r="O596" s="88"/>
      <c r="P596" s="88"/>
      <c r="Q596" s="89"/>
      <c r="R596" s="89"/>
      <c r="S596" s="210"/>
      <c r="T596" s="23"/>
      <c r="U596" s="211"/>
      <c r="V596" s="246"/>
      <c r="W596" s="33"/>
      <c r="X596" s="186"/>
      <c r="Y596" s="186"/>
      <c r="Z596" s="186"/>
      <c r="AA596" s="186"/>
    </row>
    <row r="597" spans="1:29" ht="22.75" thickBot="1" x14ac:dyDescent="0.3">
      <c r="A597" s="282"/>
      <c r="B597" s="95"/>
      <c r="C597" s="72"/>
      <c r="D597" s="72"/>
      <c r="E597" s="74" t="s">
        <v>194</v>
      </c>
      <c r="F597" s="71">
        <f t="shared" ref="F597:N597" si="195">IF(((F595="")*AND(F596="")),"",(F595-F596)*3)</f>
        <v>4067.0999999999913</v>
      </c>
      <c r="G597" s="71">
        <f t="shared" si="195"/>
        <v>3801.8999999999978</v>
      </c>
      <c r="H597" s="71">
        <f t="shared" si="195"/>
        <v>3697.7999999999956</v>
      </c>
      <c r="I597" s="71">
        <f t="shared" si="195"/>
        <v>3998.8500000000022</v>
      </c>
      <c r="J597" s="71">
        <f t="shared" si="195"/>
        <v>4281.6299999999974</v>
      </c>
      <c r="K597" s="71">
        <f t="shared" si="195"/>
        <v>4157.0699999999961</v>
      </c>
      <c r="L597" s="71">
        <f t="shared" si="195"/>
        <v>3873</v>
      </c>
      <c r="M597" s="71">
        <f t="shared" si="195"/>
        <v>3974.3399999999965</v>
      </c>
      <c r="N597" s="71">
        <f t="shared" si="195"/>
        <v>4016.0999999999913</v>
      </c>
      <c r="O597" s="74"/>
      <c r="P597" s="74"/>
      <c r="Q597" s="75"/>
      <c r="R597" s="75"/>
      <c r="S597" s="218"/>
      <c r="T597" s="189"/>
      <c r="U597" s="219"/>
      <c r="V597" s="246"/>
      <c r="W597" s="33"/>
      <c r="X597" s="186"/>
      <c r="Y597" s="186"/>
      <c r="Z597" s="186"/>
      <c r="AA597" s="186"/>
    </row>
    <row r="598" spans="1:29" x14ac:dyDescent="0.25">
      <c r="A598" s="277">
        <v>43367</v>
      </c>
      <c r="B598" s="85" t="s">
        <v>177</v>
      </c>
      <c r="C598" s="70" t="s">
        <v>179</v>
      </c>
      <c r="D598" s="70" t="s">
        <v>178</v>
      </c>
      <c r="E598" s="86" t="s">
        <v>192</v>
      </c>
      <c r="F598" s="207">
        <v>4987.2299999999996</v>
      </c>
      <c r="G598" s="207">
        <v>4899.32</v>
      </c>
      <c r="H598" s="207">
        <v>4904.84</v>
      </c>
      <c r="I598" s="207">
        <v>4880.62</v>
      </c>
      <c r="J598" s="207">
        <v>5008.8599999999997</v>
      </c>
      <c r="K598" s="207">
        <v>5016.99</v>
      </c>
      <c r="L598" s="207">
        <v>4890.67</v>
      </c>
      <c r="M598" s="207">
        <v>4886.45</v>
      </c>
      <c r="N598" s="207">
        <v>5031.95</v>
      </c>
      <c r="O598" s="86">
        <f>IF((N599=""),"",MAX(F600:N600))</f>
        <v>4095.6800000000003</v>
      </c>
      <c r="P598" s="86">
        <f>IF(N599="","",MIN(F600:N600))</f>
        <v>3703.9799999999996</v>
      </c>
      <c r="Q598" s="87">
        <f>IF((N600=""),"",AVERAGE(F600:N600))</f>
        <v>3959.3177777777778</v>
      </c>
      <c r="R598" s="87">
        <f>IF((N599=""),"",(O598-P598)/(O598+P598)*100)</f>
        <v>5.0220137800878595</v>
      </c>
      <c r="S598" s="221">
        <f>STDEV(F600:N600)</f>
        <v>139.52159633707072</v>
      </c>
      <c r="T598" s="208" t="str">
        <f>IF(N599="","",IF(Q598&gt;3650,IF(R598&lt;7,IF(Q598&lt;4450,"Pass","Fail"),"Fail"),"Fail"))</f>
        <v>Pass</v>
      </c>
      <c r="U598" s="220">
        <v>1340</v>
      </c>
      <c r="V598" s="198"/>
      <c r="W598" s="33"/>
      <c r="X598" s="184">
        <v>3650</v>
      </c>
      <c r="Y598" s="184">
        <v>4450</v>
      </c>
      <c r="Z598" s="184">
        <v>3700</v>
      </c>
      <c r="AA598" s="184">
        <v>4100</v>
      </c>
      <c r="AB598" s="57">
        <v>6.5</v>
      </c>
      <c r="AC598" s="57">
        <v>7</v>
      </c>
    </row>
    <row r="599" spans="1:29" x14ac:dyDescent="0.25">
      <c r="A599" s="272"/>
      <c r="B599" s="47"/>
      <c r="C599" s="24"/>
      <c r="D599" s="24"/>
      <c r="E599" s="88" t="s">
        <v>193</v>
      </c>
      <c r="F599" s="28">
        <v>3070</v>
      </c>
      <c r="G599" s="28">
        <v>2873</v>
      </c>
      <c r="H599" s="28">
        <v>2857</v>
      </c>
      <c r="I599" s="28">
        <v>2856</v>
      </c>
      <c r="J599" s="28">
        <v>3088</v>
      </c>
      <c r="K599" s="28">
        <v>3165</v>
      </c>
      <c r="L599" s="28">
        <v>2872</v>
      </c>
      <c r="M599" s="28">
        <v>2839</v>
      </c>
      <c r="N599" s="28">
        <v>3070</v>
      </c>
      <c r="O599" s="88"/>
      <c r="P599" s="88"/>
      <c r="Q599" s="89"/>
      <c r="R599" s="89"/>
      <c r="S599" s="210"/>
      <c r="T599" s="28"/>
      <c r="U599" s="217"/>
      <c r="V599" s="198"/>
      <c r="W599" s="33"/>
      <c r="X599" s="186"/>
      <c r="Y599" s="186"/>
      <c r="Z599" s="186"/>
      <c r="AA599" s="186"/>
    </row>
    <row r="600" spans="1:29" ht="22.15" x14ac:dyDescent="0.25">
      <c r="A600" s="272"/>
      <c r="B600" s="47"/>
      <c r="C600" s="24"/>
      <c r="D600" s="24"/>
      <c r="E600" s="88" t="s">
        <v>194</v>
      </c>
      <c r="F600" s="66">
        <f t="shared" ref="F600:N600" si="196">IF(((F598="")*AND(F599="")),"",(F598-F599)*2)</f>
        <v>3834.4599999999991</v>
      </c>
      <c r="G600" s="66">
        <f t="shared" si="196"/>
        <v>4052.6399999999994</v>
      </c>
      <c r="H600" s="66">
        <f t="shared" si="196"/>
        <v>4095.6800000000003</v>
      </c>
      <c r="I600" s="66">
        <f t="shared" si="196"/>
        <v>4049.24</v>
      </c>
      <c r="J600" s="66">
        <f t="shared" si="196"/>
        <v>3841.7199999999993</v>
      </c>
      <c r="K600" s="66">
        <f t="shared" si="196"/>
        <v>3703.9799999999996</v>
      </c>
      <c r="L600" s="66">
        <f t="shared" si="196"/>
        <v>4037.34</v>
      </c>
      <c r="M600" s="66">
        <f t="shared" si="196"/>
        <v>4094.8999999999996</v>
      </c>
      <c r="N600" s="66">
        <f t="shared" si="196"/>
        <v>3923.8999999999996</v>
      </c>
      <c r="O600" s="88"/>
      <c r="P600" s="88"/>
      <c r="Q600" s="89"/>
      <c r="R600" s="89"/>
      <c r="S600" s="210"/>
      <c r="T600" s="28"/>
      <c r="U600" s="217"/>
      <c r="V600" s="198"/>
      <c r="W600" s="33"/>
      <c r="X600" s="186"/>
      <c r="Y600" s="186"/>
      <c r="Z600" s="186"/>
      <c r="AA600" s="186"/>
    </row>
    <row r="601" spans="1:29" x14ac:dyDescent="0.25">
      <c r="A601" s="272">
        <v>43367</v>
      </c>
      <c r="B601" s="24" t="s">
        <v>172</v>
      </c>
      <c r="C601" s="24" t="s">
        <v>174</v>
      </c>
      <c r="D601" s="24" t="s">
        <v>195</v>
      </c>
      <c r="E601" s="88" t="s">
        <v>192</v>
      </c>
      <c r="F601" s="28">
        <v>1933</v>
      </c>
      <c r="G601" s="28">
        <v>1928</v>
      </c>
      <c r="H601" s="28">
        <v>1925</v>
      </c>
      <c r="I601" s="28">
        <v>1927</v>
      </c>
      <c r="J601" s="28">
        <v>1933</v>
      </c>
      <c r="K601" s="28">
        <v>1934</v>
      </c>
      <c r="L601" s="28">
        <v>1927</v>
      </c>
      <c r="M601" s="28">
        <v>1927</v>
      </c>
      <c r="N601" s="28">
        <v>1935</v>
      </c>
      <c r="O601" s="88">
        <f>IF((N602=""),"",MAX(F603:N603))</f>
        <v>2067</v>
      </c>
      <c r="P601" s="88">
        <f>IF(N602="","",MIN(F603:N603))</f>
        <v>1971</v>
      </c>
      <c r="Q601" s="89">
        <f>IF((N603=""),"",AVERAGE(F603:N603))</f>
        <v>2022.6666666666667</v>
      </c>
      <c r="R601" s="89">
        <f>IF((N602=""),"",(O601-P601)/(O601+P601)*100)</f>
        <v>2.3774145616641902</v>
      </c>
      <c r="S601" s="210">
        <f>STDEV(F603:N603)</f>
        <v>36.42801120017397</v>
      </c>
      <c r="T601" s="23" t="str">
        <f>IF(N602="","",IF(Q601&gt;1940,IF(R601&lt;8.3,IF(Q601&lt;2180,"Pass","Fail"),"Fail"),"Fail"))</f>
        <v>Pass</v>
      </c>
      <c r="U601" s="217">
        <v>1340</v>
      </c>
      <c r="V601" s="198"/>
      <c r="W601" s="33"/>
      <c r="X601" s="184">
        <v>2000</v>
      </c>
      <c r="Y601" s="184">
        <v>3000</v>
      </c>
      <c r="Z601" s="184">
        <v>1940</v>
      </c>
      <c r="AA601" s="184">
        <v>2180</v>
      </c>
      <c r="AB601" s="57">
        <v>5.2</v>
      </c>
    </row>
    <row r="602" spans="1:29" x14ac:dyDescent="0.25">
      <c r="A602" s="272"/>
      <c r="B602" s="47"/>
      <c r="C602" s="24"/>
      <c r="D602" s="24"/>
      <c r="E602" s="88" t="s">
        <v>193</v>
      </c>
      <c r="F602" s="28">
        <v>1264</v>
      </c>
      <c r="G602" s="28">
        <v>1244</v>
      </c>
      <c r="H602" s="28">
        <v>1236</v>
      </c>
      <c r="I602" s="170">
        <v>1247</v>
      </c>
      <c r="J602" s="170">
        <v>1276</v>
      </c>
      <c r="K602" s="170">
        <v>1275</v>
      </c>
      <c r="L602" s="28">
        <v>1247</v>
      </c>
      <c r="M602" s="28">
        <v>1241</v>
      </c>
      <c r="N602" s="28">
        <v>1271</v>
      </c>
      <c r="O602" s="88"/>
      <c r="P602" s="88"/>
      <c r="Q602" s="89"/>
      <c r="R602" s="89"/>
      <c r="S602" s="210"/>
      <c r="T602" s="23"/>
      <c r="U602" s="211"/>
      <c r="V602" s="246"/>
      <c r="W602" s="33"/>
      <c r="X602" s="186"/>
      <c r="Y602" s="186"/>
      <c r="Z602" s="186"/>
      <c r="AA602" s="186"/>
    </row>
    <row r="603" spans="1:29" x14ac:dyDescent="0.25">
      <c r="A603" s="272"/>
      <c r="B603" s="47"/>
      <c r="C603" s="24"/>
      <c r="D603" s="24"/>
      <c r="E603" s="88" t="s">
        <v>196</v>
      </c>
      <c r="F603" s="66">
        <f t="shared" ref="F603:N603" si="197">IF(((F601="")*AND(F602="")),"",(F601-F602)*3)</f>
        <v>2007</v>
      </c>
      <c r="G603" s="66">
        <f t="shared" si="197"/>
        <v>2052</v>
      </c>
      <c r="H603" s="66">
        <f t="shared" si="197"/>
        <v>2067</v>
      </c>
      <c r="I603" s="66">
        <f t="shared" si="197"/>
        <v>2040</v>
      </c>
      <c r="J603" s="66">
        <f t="shared" si="197"/>
        <v>1971</v>
      </c>
      <c r="K603" s="66">
        <f t="shared" si="197"/>
        <v>1977</v>
      </c>
      <c r="L603" s="66">
        <f t="shared" si="197"/>
        <v>2040</v>
      </c>
      <c r="M603" s="66">
        <f t="shared" si="197"/>
        <v>2058</v>
      </c>
      <c r="N603" s="66">
        <f t="shared" si="197"/>
        <v>1992</v>
      </c>
      <c r="O603" s="88"/>
      <c r="P603" s="88"/>
      <c r="Q603" s="89"/>
      <c r="R603" s="89"/>
      <c r="S603" s="210"/>
      <c r="T603" s="23"/>
      <c r="U603" s="211"/>
      <c r="V603" s="246"/>
      <c r="W603" s="33"/>
      <c r="X603" s="186"/>
      <c r="Y603" s="186"/>
      <c r="Z603" s="186"/>
      <c r="AA603" s="186"/>
    </row>
    <row r="604" spans="1:29" x14ac:dyDescent="0.25">
      <c r="A604" s="272">
        <v>43367</v>
      </c>
      <c r="B604" s="47" t="s">
        <v>191</v>
      </c>
      <c r="C604" s="24" t="s">
        <v>176</v>
      </c>
      <c r="D604" s="24" t="s">
        <v>175</v>
      </c>
      <c r="E604" s="88" t="s">
        <v>192</v>
      </c>
      <c r="F604" s="28">
        <v>29309</v>
      </c>
      <c r="G604" s="28">
        <v>29207</v>
      </c>
      <c r="H604" s="28">
        <v>29262</v>
      </c>
      <c r="I604" s="28">
        <v>29195</v>
      </c>
      <c r="J604" s="28">
        <v>29265</v>
      </c>
      <c r="K604" s="170">
        <v>29286</v>
      </c>
      <c r="L604" s="170">
        <v>29233</v>
      </c>
      <c r="M604" s="170">
        <v>29213</v>
      </c>
      <c r="N604" s="170">
        <v>29265</v>
      </c>
      <c r="O604" s="88">
        <f>IF((N605=""),"",MAX(F606:N606))</f>
        <v>4371</v>
      </c>
      <c r="P604" s="88">
        <f>IF(N605="","",MIN(F606:N606))</f>
        <v>3903</v>
      </c>
      <c r="Q604" s="89">
        <f>IF((N606=""),"",AVERAGE(F606:N606))</f>
        <v>4160.333333333333</v>
      </c>
      <c r="R604" s="89">
        <f>IF((N605=""),"",(O604-P604)/(O604+P604)*100)</f>
        <v>5.6562726613488028</v>
      </c>
      <c r="S604" s="210">
        <f>STDEV(F606:N606)</f>
        <v>164.67771555374455</v>
      </c>
      <c r="T604" s="23" t="str">
        <f>IF(N605="","",IF(R604&lt;16,IF(Q604&gt;3200,IF(R604,IF(Q604&lt;5240,"Pass","Fail"),"Fail"),"Fail")))</f>
        <v>Pass</v>
      </c>
      <c r="U604" s="217">
        <v>1340</v>
      </c>
      <c r="V604" s="198"/>
      <c r="W604" s="33"/>
      <c r="X604" s="184">
        <v>4200</v>
      </c>
      <c r="Y604" s="184">
        <v>5500</v>
      </c>
      <c r="Z604" s="184">
        <v>3200</v>
      </c>
      <c r="AA604" s="184">
        <v>5240</v>
      </c>
      <c r="AB604" s="57">
        <v>16</v>
      </c>
    </row>
    <row r="605" spans="1:29" x14ac:dyDescent="0.25">
      <c r="A605" s="272"/>
      <c r="B605" s="47"/>
      <c r="C605" s="24"/>
      <c r="D605" s="24"/>
      <c r="E605" s="88" t="s">
        <v>193</v>
      </c>
      <c r="F605" s="28">
        <v>27857</v>
      </c>
      <c r="G605" s="28">
        <v>27862</v>
      </c>
      <c r="H605" s="170">
        <v>27907</v>
      </c>
      <c r="I605" s="170">
        <v>27894</v>
      </c>
      <c r="J605" s="170">
        <v>27816</v>
      </c>
      <c r="K605" s="170">
        <v>27901</v>
      </c>
      <c r="L605" s="170">
        <v>27876</v>
      </c>
      <c r="M605" s="170">
        <v>27833</v>
      </c>
      <c r="N605" s="170">
        <v>27808</v>
      </c>
      <c r="O605" s="88"/>
      <c r="P605" s="88"/>
      <c r="Q605" s="89"/>
      <c r="R605" s="89"/>
      <c r="S605" s="210"/>
      <c r="T605" s="23"/>
      <c r="U605" s="211"/>
      <c r="V605" s="246"/>
      <c r="W605" s="33"/>
      <c r="X605" s="186"/>
      <c r="Y605" s="186"/>
      <c r="Z605" s="186"/>
      <c r="AA605" s="186"/>
    </row>
    <row r="606" spans="1:29" ht="22.75" thickBot="1" x14ac:dyDescent="0.3">
      <c r="A606" s="279"/>
      <c r="B606" s="90"/>
      <c r="C606" s="91"/>
      <c r="D606" s="91"/>
      <c r="E606" s="92" t="s">
        <v>194</v>
      </c>
      <c r="F606" s="79">
        <f t="shared" ref="F606:N606" si="198">IF(((F604="")*AND(F605="")),"",(F604-F605)*3)</f>
        <v>4356</v>
      </c>
      <c r="G606" s="79">
        <f t="shared" si="198"/>
        <v>4035</v>
      </c>
      <c r="H606" s="79">
        <f t="shared" si="198"/>
        <v>4065</v>
      </c>
      <c r="I606" s="79">
        <f t="shared" si="198"/>
        <v>3903</v>
      </c>
      <c r="J606" s="79">
        <f t="shared" si="198"/>
        <v>4347</v>
      </c>
      <c r="K606" s="79">
        <f t="shared" si="198"/>
        <v>4155</v>
      </c>
      <c r="L606" s="79">
        <f t="shared" si="198"/>
        <v>4071</v>
      </c>
      <c r="M606" s="79">
        <f t="shared" si="198"/>
        <v>4140</v>
      </c>
      <c r="N606" s="79">
        <f t="shared" si="198"/>
        <v>4371</v>
      </c>
      <c r="O606" s="92"/>
      <c r="P606" s="92"/>
      <c r="Q606" s="93"/>
      <c r="R606" s="93"/>
      <c r="S606" s="213"/>
      <c r="T606" s="214"/>
      <c r="U606" s="215"/>
      <c r="V606" s="246"/>
      <c r="W606" s="33"/>
      <c r="X606" s="186"/>
      <c r="Y606" s="186"/>
      <c r="Z606" s="186"/>
      <c r="AA606" s="186"/>
    </row>
    <row r="607" spans="1:29" x14ac:dyDescent="0.25">
      <c r="A607" s="271">
        <v>43370</v>
      </c>
      <c r="B607" s="63" t="s">
        <v>177</v>
      </c>
      <c r="C607" s="65" t="s">
        <v>179</v>
      </c>
      <c r="D607" s="65" t="s">
        <v>178</v>
      </c>
      <c r="E607" s="67" t="s">
        <v>192</v>
      </c>
      <c r="F607" s="175">
        <v>7038.77</v>
      </c>
      <c r="G607" s="175">
        <v>7022.49</v>
      </c>
      <c r="H607" s="175">
        <v>7039.84</v>
      </c>
      <c r="I607" s="175">
        <v>6989.84</v>
      </c>
      <c r="J607" s="175">
        <v>7064.59</v>
      </c>
      <c r="K607" s="175">
        <v>7007.58</v>
      </c>
      <c r="L607" s="175">
        <v>6994.27</v>
      </c>
      <c r="M607" s="175">
        <v>7025.41</v>
      </c>
      <c r="N607" s="175">
        <v>7112.41</v>
      </c>
      <c r="O607" s="67">
        <f>IF((N608=""),"",MAX(F609:N609))</f>
        <v>4018.42</v>
      </c>
      <c r="P607" s="67">
        <f>IF(N608="","",MIN(F609:N609))</f>
        <v>3646.0399999999991</v>
      </c>
      <c r="Q607" s="68">
        <f>IF((N609=""),"",AVERAGE(F609:N609))</f>
        <v>3884.204444444445</v>
      </c>
      <c r="R607" s="68">
        <f>IF((N608=""),"",(O607-P607)/(O607+P607)*100)</f>
        <v>4.8585288461287695</v>
      </c>
      <c r="S607" s="222">
        <f>STDEV(F609:N609)</f>
        <v>133.012666606522</v>
      </c>
      <c r="T607" s="187" t="str">
        <f>IF(N608="","",IF(Q607&gt;3650,IF(R607&lt;7,IF(Q607&lt;4450,"Pass","Fail"),"Fail"),"Fail"))</f>
        <v>Pass</v>
      </c>
      <c r="U607" s="216">
        <v>1340</v>
      </c>
      <c r="V607" s="198"/>
      <c r="W607" s="33"/>
      <c r="X607" s="184">
        <v>3650</v>
      </c>
      <c r="Y607" s="184">
        <v>4450</v>
      </c>
      <c r="Z607" s="184">
        <v>3700</v>
      </c>
      <c r="AA607" s="184">
        <v>4100</v>
      </c>
      <c r="AB607" s="57">
        <v>6.5</v>
      </c>
      <c r="AC607" s="57">
        <v>7</v>
      </c>
    </row>
    <row r="608" spans="1:29" x14ac:dyDescent="0.25">
      <c r="A608" s="272"/>
      <c r="B608" s="47"/>
      <c r="C608" s="24"/>
      <c r="D608" s="24"/>
      <c r="E608" s="88" t="s">
        <v>193</v>
      </c>
      <c r="F608" s="28">
        <v>5153.4799999999996</v>
      </c>
      <c r="G608" s="28">
        <v>5032.51</v>
      </c>
      <c r="H608" s="28">
        <v>5030.63</v>
      </c>
      <c r="I608" s="28">
        <v>5007.49</v>
      </c>
      <c r="J608" s="28">
        <v>5182.5</v>
      </c>
      <c r="K608" s="28">
        <v>5184.5600000000004</v>
      </c>
      <c r="L608" s="28">
        <v>5017.37</v>
      </c>
      <c r="M608" s="28">
        <v>5017.38</v>
      </c>
      <c r="N608" s="28">
        <v>5190.3599999999997</v>
      </c>
      <c r="O608" s="88"/>
      <c r="P608" s="88"/>
      <c r="Q608" s="89"/>
      <c r="R608" s="89"/>
      <c r="S608" s="210"/>
      <c r="T608" s="28"/>
      <c r="U608" s="217"/>
      <c r="V608" s="198"/>
      <c r="W608" s="33"/>
      <c r="X608" s="186"/>
      <c r="Y608" s="186"/>
      <c r="Z608" s="186"/>
      <c r="AA608" s="186"/>
    </row>
    <row r="609" spans="1:28" ht="22.15" x14ac:dyDescent="0.25">
      <c r="A609" s="272"/>
      <c r="B609" s="47"/>
      <c r="C609" s="24"/>
      <c r="D609" s="24"/>
      <c r="E609" s="88" t="s">
        <v>194</v>
      </c>
      <c r="F609" s="66">
        <f t="shared" ref="F609:N609" si="199">IF(((F607="")*AND(F608="")),"",(F607-F608)*2)</f>
        <v>3770.5800000000017</v>
      </c>
      <c r="G609" s="66">
        <f t="shared" si="199"/>
        <v>3979.9599999999991</v>
      </c>
      <c r="H609" s="66">
        <f t="shared" si="199"/>
        <v>4018.42</v>
      </c>
      <c r="I609" s="66">
        <f t="shared" si="199"/>
        <v>3964.7000000000007</v>
      </c>
      <c r="J609" s="66">
        <f t="shared" si="199"/>
        <v>3764.1800000000003</v>
      </c>
      <c r="K609" s="66">
        <f t="shared" si="199"/>
        <v>3646.0399999999991</v>
      </c>
      <c r="L609" s="66">
        <f t="shared" si="199"/>
        <v>3953.8000000000011</v>
      </c>
      <c r="M609" s="66">
        <f t="shared" si="199"/>
        <v>4016.0599999999995</v>
      </c>
      <c r="N609" s="66">
        <f t="shared" si="199"/>
        <v>3844.1000000000004</v>
      </c>
      <c r="O609" s="88"/>
      <c r="P609" s="88"/>
      <c r="Q609" s="89"/>
      <c r="R609" s="89"/>
      <c r="S609" s="210"/>
      <c r="T609" s="28"/>
      <c r="U609" s="217"/>
      <c r="V609" s="198"/>
      <c r="W609" s="33"/>
      <c r="X609" s="186"/>
      <c r="Y609" s="186"/>
      <c r="Z609" s="186"/>
      <c r="AA609" s="186"/>
    </row>
    <row r="610" spans="1:28" x14ac:dyDescent="0.25">
      <c r="A610" s="272">
        <v>43370</v>
      </c>
      <c r="B610" s="24" t="s">
        <v>172</v>
      </c>
      <c r="C610" s="24" t="s">
        <v>174</v>
      </c>
      <c r="D610" s="24" t="s">
        <v>195</v>
      </c>
      <c r="E610" s="88" t="s">
        <v>192</v>
      </c>
      <c r="F610" s="28">
        <v>1930.35</v>
      </c>
      <c r="G610" s="28">
        <v>1911.95</v>
      </c>
      <c r="H610" s="28">
        <v>1805.08</v>
      </c>
      <c r="I610" s="28">
        <v>1926.62</v>
      </c>
      <c r="J610" s="28">
        <v>1934.77</v>
      </c>
      <c r="K610" s="28">
        <v>1933.21</v>
      </c>
      <c r="L610" s="28">
        <v>1925.67</v>
      </c>
      <c r="M610" s="28">
        <v>1848.02</v>
      </c>
      <c r="N610" s="28">
        <v>1931.41</v>
      </c>
      <c r="O610" s="88">
        <f>IF((N611=""),"",MAX(F612:N612))</f>
        <v>2074.7999999999997</v>
      </c>
      <c r="P610" s="88">
        <f>IF(N611="","",MIN(F612:N612))</f>
        <v>1753.6499999999999</v>
      </c>
      <c r="Q610" s="89">
        <f>IF((N612=""),"",AVERAGE(F612:N612))</f>
        <v>1969.7933333333333</v>
      </c>
      <c r="R610" s="89">
        <f>IF((N611=""),"",(O610-P610)/(O610+P610)*100)</f>
        <v>8.3885123222191709</v>
      </c>
      <c r="S610" s="210">
        <f>STDEV(F612:N612)</f>
        <v>104.11026474368421</v>
      </c>
      <c r="T610" s="23" t="str">
        <f>IF(N611="","",IF(Q610&gt;1940,IF(R610&lt;8.3,IF(Q610&lt;2180,"Pass","Fail"),"Fail"),"Fail"))</f>
        <v>Fail</v>
      </c>
      <c r="U610" s="217">
        <v>1340</v>
      </c>
      <c r="V610" s="198"/>
      <c r="W610" s="33"/>
      <c r="X610" s="184">
        <v>2000</v>
      </c>
      <c r="Y610" s="184">
        <v>3000</v>
      </c>
      <c r="Z610" s="184">
        <v>1940</v>
      </c>
      <c r="AA610" s="184">
        <v>2180</v>
      </c>
      <c r="AB610" s="57">
        <v>5.2</v>
      </c>
    </row>
    <row r="611" spans="1:28" x14ac:dyDescent="0.25">
      <c r="A611" s="272"/>
      <c r="B611" s="47"/>
      <c r="C611" s="24"/>
      <c r="D611" s="24"/>
      <c r="E611" s="88" t="s">
        <v>193</v>
      </c>
      <c r="F611" s="28">
        <v>1267.69</v>
      </c>
      <c r="G611" s="28">
        <v>1240.8599999999999</v>
      </c>
      <c r="H611" s="28">
        <v>1220.53</v>
      </c>
      <c r="I611" s="28">
        <v>1235.02</v>
      </c>
      <c r="J611" s="28">
        <v>1268.1300000000001</v>
      </c>
      <c r="K611" s="28">
        <v>1268.27</v>
      </c>
      <c r="L611" s="28">
        <v>1236.25</v>
      </c>
      <c r="M611" s="28">
        <v>1232.46</v>
      </c>
      <c r="N611" s="28">
        <v>1268.49</v>
      </c>
      <c r="O611" s="88"/>
      <c r="P611" s="88"/>
      <c r="Q611" s="89"/>
      <c r="R611" s="89"/>
      <c r="S611" s="210"/>
      <c r="T611" s="23"/>
      <c r="U611" s="211"/>
      <c r="V611" s="246"/>
      <c r="W611" s="33"/>
      <c r="X611" s="186"/>
      <c r="Y611" s="186"/>
      <c r="Z611" s="186"/>
      <c r="AA611" s="186"/>
    </row>
    <row r="612" spans="1:28" x14ac:dyDescent="0.25">
      <c r="A612" s="272"/>
      <c r="B612" s="47"/>
      <c r="C612" s="24"/>
      <c r="D612" s="24"/>
      <c r="E612" s="88" t="s">
        <v>196</v>
      </c>
      <c r="F612" s="66">
        <f t="shared" ref="F612:N612" si="200">IF(((F610="")*AND(F611="")),"",(F610-F611)*3)</f>
        <v>1987.9799999999996</v>
      </c>
      <c r="G612" s="66">
        <f t="shared" si="200"/>
        <v>2013.2700000000004</v>
      </c>
      <c r="H612" s="66">
        <f t="shared" si="200"/>
        <v>1753.6499999999999</v>
      </c>
      <c r="I612" s="66">
        <f t="shared" si="200"/>
        <v>2074.7999999999997</v>
      </c>
      <c r="J612" s="66">
        <f t="shared" si="200"/>
        <v>1999.9199999999996</v>
      </c>
      <c r="K612" s="66">
        <f t="shared" si="200"/>
        <v>1994.8200000000002</v>
      </c>
      <c r="L612" s="66">
        <f t="shared" si="200"/>
        <v>2068.2600000000002</v>
      </c>
      <c r="M612" s="66">
        <f t="shared" si="200"/>
        <v>1846.6799999999998</v>
      </c>
      <c r="N612" s="66">
        <f t="shared" si="200"/>
        <v>1988.7600000000002</v>
      </c>
      <c r="O612" s="88"/>
      <c r="P612" s="88"/>
      <c r="Q612" s="89"/>
      <c r="R612" s="89"/>
      <c r="S612" s="210"/>
      <c r="T612" s="23"/>
      <c r="U612" s="211"/>
      <c r="V612" s="246"/>
      <c r="W612" s="33"/>
      <c r="X612" s="186"/>
      <c r="Y612" s="186"/>
      <c r="Z612" s="186"/>
      <c r="AA612" s="186"/>
    </row>
    <row r="613" spans="1:28" x14ac:dyDescent="0.25">
      <c r="A613" s="272">
        <v>43370</v>
      </c>
      <c r="B613" s="47" t="s">
        <v>191</v>
      </c>
      <c r="C613" s="24" t="s">
        <v>176</v>
      </c>
      <c r="D613" s="24" t="s">
        <v>175</v>
      </c>
      <c r="E613" s="88" t="s">
        <v>192</v>
      </c>
      <c r="F613" s="28">
        <v>29199.49</v>
      </c>
      <c r="G613" s="28">
        <v>29114.2</v>
      </c>
      <c r="H613" s="28">
        <v>29101.98</v>
      </c>
      <c r="I613" s="28">
        <v>29086.39</v>
      </c>
      <c r="J613" s="28">
        <v>29159.46</v>
      </c>
      <c r="K613" s="28">
        <v>29175.48</v>
      </c>
      <c r="L613" s="28">
        <v>29075.57</v>
      </c>
      <c r="M613" s="28">
        <v>29095.57</v>
      </c>
      <c r="N613" s="28">
        <v>29178.09</v>
      </c>
      <c r="O613" s="88">
        <f>IF((N614=""),"",MAX(F615:N615))</f>
        <v>4066.8300000000017</v>
      </c>
      <c r="P613" s="88">
        <f>IF(N614="","",MIN(F615:N615))</f>
        <v>3769.1400000000031</v>
      </c>
      <c r="Q613" s="89">
        <f>IF((N615=""),"",AVERAGE(F615:N615))</f>
        <v>3896.6966666666681</v>
      </c>
      <c r="R613" s="89">
        <f>IF((N614=""),"",(O613-P613)/(O613+P613)*100)</f>
        <v>3.799019138664371</v>
      </c>
      <c r="S613" s="210">
        <f>STDEV(F615:N615)</f>
        <v>115.05259069225714</v>
      </c>
      <c r="T613" s="23" t="str">
        <f>IF(N614="","",IF(R613&lt;16,IF(Q613&gt;3200,IF(R613,IF(Q613&lt;5240,"Pass","Fail"),"Fail"),"Fail")))</f>
        <v>Pass</v>
      </c>
      <c r="U613" s="217">
        <v>1340</v>
      </c>
      <c r="V613" s="198"/>
      <c r="W613" s="33"/>
      <c r="X613" s="184">
        <v>4200</v>
      </c>
      <c r="Y613" s="184">
        <v>5500</v>
      </c>
      <c r="Z613" s="184">
        <v>3200</v>
      </c>
      <c r="AA613" s="184">
        <v>5240</v>
      </c>
      <c r="AB613" s="57">
        <v>16</v>
      </c>
    </row>
    <row r="614" spans="1:28" x14ac:dyDescent="0.25">
      <c r="A614" s="272"/>
      <c r="B614" s="47"/>
      <c r="C614" s="24"/>
      <c r="D614" s="24"/>
      <c r="E614" s="88" t="s">
        <v>193</v>
      </c>
      <c r="F614" s="28">
        <v>27843.88</v>
      </c>
      <c r="G614" s="28">
        <v>27827.56</v>
      </c>
      <c r="H614" s="28">
        <v>27837.26</v>
      </c>
      <c r="I614" s="28">
        <v>27830.01</v>
      </c>
      <c r="J614" s="28">
        <v>27840.36</v>
      </c>
      <c r="K614" s="28">
        <v>27860.51</v>
      </c>
      <c r="L614" s="28">
        <v>27813.43</v>
      </c>
      <c r="M614" s="28">
        <v>27818.19</v>
      </c>
      <c r="N614" s="28">
        <v>27824.94</v>
      </c>
      <c r="O614" s="88"/>
      <c r="P614" s="88"/>
      <c r="Q614" s="89"/>
      <c r="R614" s="89"/>
      <c r="S614" s="210"/>
      <c r="T614" s="23"/>
      <c r="U614" s="211"/>
      <c r="V614" s="246"/>
      <c r="W614" s="33"/>
      <c r="X614" s="186"/>
      <c r="Y614" s="186"/>
      <c r="Z614" s="186"/>
      <c r="AA614" s="186"/>
    </row>
    <row r="615" spans="1:28" ht="22.15" x14ac:dyDescent="0.25">
      <c r="A615" s="272"/>
      <c r="B615" s="47"/>
      <c r="C615" s="24"/>
      <c r="D615" s="24"/>
      <c r="E615" s="88" t="s">
        <v>194</v>
      </c>
      <c r="F615" s="66">
        <f t="shared" ref="F615:N615" si="201">IF(((F613="")*AND(F614="")),"",(F613-F614)*3)</f>
        <v>4066.8300000000017</v>
      </c>
      <c r="G615" s="66">
        <f t="shared" si="201"/>
        <v>3859.9199999999983</v>
      </c>
      <c r="H615" s="66">
        <f t="shared" si="201"/>
        <v>3794.1600000000035</v>
      </c>
      <c r="I615" s="66">
        <f t="shared" si="201"/>
        <v>3769.1400000000031</v>
      </c>
      <c r="J615" s="66">
        <f t="shared" si="201"/>
        <v>3957.2999999999956</v>
      </c>
      <c r="K615" s="66">
        <f t="shared" si="201"/>
        <v>3944.9100000000035</v>
      </c>
      <c r="L615" s="66">
        <f t="shared" si="201"/>
        <v>3786.4199999999983</v>
      </c>
      <c r="M615" s="66">
        <f t="shared" si="201"/>
        <v>3832.1400000000031</v>
      </c>
      <c r="N615" s="66">
        <f t="shared" si="201"/>
        <v>4059.4500000000044</v>
      </c>
      <c r="O615" s="88"/>
      <c r="P615" s="88"/>
      <c r="Q615" s="89"/>
      <c r="R615" s="89"/>
      <c r="S615" s="210"/>
      <c r="T615" s="23"/>
      <c r="U615" s="211"/>
      <c r="V615" s="246"/>
      <c r="W615" s="33"/>
      <c r="X615" s="186"/>
      <c r="Y615" s="186"/>
      <c r="Z615" s="186"/>
      <c r="AA615" s="186"/>
    </row>
    <row r="616" spans="1:28" x14ac:dyDescent="0.25">
      <c r="A616" s="272">
        <v>43370</v>
      </c>
      <c r="B616" s="24" t="s">
        <v>172</v>
      </c>
      <c r="C616" s="24" t="s">
        <v>174</v>
      </c>
      <c r="D616" s="24" t="s">
        <v>195</v>
      </c>
      <c r="E616" s="88" t="s">
        <v>192</v>
      </c>
      <c r="F616" s="28">
        <v>1937.06</v>
      </c>
      <c r="G616" s="28">
        <v>1940.34</v>
      </c>
      <c r="H616" s="28">
        <v>1940.59</v>
      </c>
      <c r="I616" s="28">
        <v>1943.06</v>
      </c>
      <c r="J616" s="28">
        <v>1939.36</v>
      </c>
      <c r="K616" s="28">
        <v>1941.98</v>
      </c>
      <c r="L616" s="28">
        <v>1941.16</v>
      </c>
      <c r="M616" s="28">
        <v>1941.57</v>
      </c>
      <c r="N616" s="28">
        <v>1944.29</v>
      </c>
      <c r="O616" s="88">
        <f>IF((N617=""),"",MAX(F618:N618))</f>
        <v>2100.66</v>
      </c>
      <c r="P616" s="88">
        <f>IF(N617="","",MIN(F618:N618))</f>
        <v>2027.19</v>
      </c>
      <c r="Q616" s="89">
        <f>IF((N618=""),"",AVERAGE(F618:N618))</f>
        <v>2063.6</v>
      </c>
      <c r="R616" s="89">
        <f>IF((N617=""),"",(O616-P616)/(O616+P616)*100)</f>
        <v>1.7798611868163765</v>
      </c>
      <c r="S616" s="210">
        <f>STDEV(F618:N618)</f>
        <v>24.058386791304159</v>
      </c>
      <c r="T616" s="23" t="str">
        <f>IF(N617="","",IF(Q616&gt;1940,IF(R616&lt;8.3,IF(Q616&lt;2180,"Pass","Fail"),"Fail"),"Fail"))</f>
        <v>Pass</v>
      </c>
      <c r="U616" s="217">
        <v>1340</v>
      </c>
      <c r="V616" s="198"/>
      <c r="W616" s="33"/>
      <c r="X616" s="184">
        <v>2000</v>
      </c>
      <c r="Y616" s="184">
        <v>3000</v>
      </c>
      <c r="Z616" s="184">
        <v>1940</v>
      </c>
      <c r="AA616" s="184">
        <v>2180</v>
      </c>
      <c r="AB616" s="57">
        <v>5.2</v>
      </c>
    </row>
    <row r="617" spans="1:28" x14ac:dyDescent="0.25">
      <c r="A617" s="272"/>
      <c r="B617" s="47"/>
      <c r="C617" s="24"/>
      <c r="D617" s="24"/>
      <c r="E617" s="88" t="s">
        <v>193</v>
      </c>
      <c r="F617" s="28">
        <v>1244.27</v>
      </c>
      <c r="G617" s="28">
        <v>1260.54</v>
      </c>
      <c r="H617" s="28">
        <v>1257</v>
      </c>
      <c r="I617" s="28">
        <v>1258.33</v>
      </c>
      <c r="J617" s="28">
        <v>1243.01</v>
      </c>
      <c r="K617" s="28">
        <v>1249.76</v>
      </c>
      <c r="L617" s="28">
        <v>1265.43</v>
      </c>
      <c r="M617" s="28">
        <v>1256.2</v>
      </c>
      <c r="N617" s="28">
        <v>1244.07</v>
      </c>
      <c r="O617" s="88"/>
      <c r="P617" s="88"/>
      <c r="Q617" s="89"/>
      <c r="R617" s="89"/>
      <c r="S617" s="210"/>
      <c r="T617" s="23"/>
      <c r="U617" s="211"/>
      <c r="V617" s="246"/>
      <c r="W617" s="33"/>
      <c r="X617" s="184">
        <v>2000</v>
      </c>
      <c r="Y617" s="184">
        <v>3000</v>
      </c>
      <c r="Z617" s="184">
        <v>1940</v>
      </c>
      <c r="AA617" s="184">
        <v>2180</v>
      </c>
      <c r="AB617" s="57">
        <v>5.2</v>
      </c>
    </row>
    <row r="618" spans="1:28" ht="13.3" thickBot="1" x14ac:dyDescent="0.3">
      <c r="A618" s="279"/>
      <c r="B618" s="90"/>
      <c r="C618" s="91"/>
      <c r="D618" s="91"/>
      <c r="E618" s="92" t="s">
        <v>196</v>
      </c>
      <c r="F618" s="79">
        <f t="shared" ref="F618:N618" si="202">IF(((F616="")*AND(F617="")),"",(F616-F617)*3)</f>
        <v>2078.37</v>
      </c>
      <c r="G618" s="79">
        <f t="shared" si="202"/>
        <v>2039.3999999999999</v>
      </c>
      <c r="H618" s="79">
        <f t="shared" si="202"/>
        <v>2050.7699999999995</v>
      </c>
      <c r="I618" s="79">
        <f t="shared" si="202"/>
        <v>2054.19</v>
      </c>
      <c r="J618" s="79">
        <f t="shared" si="202"/>
        <v>2089.0499999999997</v>
      </c>
      <c r="K618" s="79">
        <f t="shared" si="202"/>
        <v>2076.66</v>
      </c>
      <c r="L618" s="79">
        <f t="shared" si="202"/>
        <v>2027.19</v>
      </c>
      <c r="M618" s="79">
        <f t="shared" si="202"/>
        <v>2056.1099999999997</v>
      </c>
      <c r="N618" s="79">
        <f t="shared" si="202"/>
        <v>2100.66</v>
      </c>
      <c r="O618" s="92"/>
      <c r="P618" s="92"/>
      <c r="Q618" s="93"/>
      <c r="R618" s="93"/>
      <c r="S618" s="213"/>
      <c r="T618" s="214"/>
      <c r="U618" s="215"/>
      <c r="V618" s="246"/>
      <c r="W618" s="33"/>
      <c r="X618" s="184">
        <v>2000</v>
      </c>
      <c r="Y618" s="184">
        <v>3000</v>
      </c>
      <c r="Z618" s="184">
        <v>1940</v>
      </c>
      <c r="AA618" s="184">
        <v>2180</v>
      </c>
      <c r="AB618" s="57">
        <v>5.2</v>
      </c>
    </row>
    <row r="619" spans="1:28" x14ac:dyDescent="0.25">
      <c r="A619" s="271">
        <v>43373</v>
      </c>
      <c r="B619" s="63" t="s">
        <v>191</v>
      </c>
      <c r="C619" s="65" t="s">
        <v>176</v>
      </c>
      <c r="D619" s="65" t="s">
        <v>175</v>
      </c>
      <c r="E619" s="67" t="s">
        <v>192</v>
      </c>
      <c r="F619" s="175">
        <v>29024.61</v>
      </c>
      <c r="G619" s="175">
        <v>28925.61</v>
      </c>
      <c r="H619" s="175">
        <v>28923.37</v>
      </c>
      <c r="I619" s="175">
        <v>28920.82</v>
      </c>
      <c r="J619" s="175">
        <v>29016.75</v>
      </c>
      <c r="K619" s="175">
        <v>29022.91</v>
      </c>
      <c r="L619" s="175">
        <v>28920.71</v>
      </c>
      <c r="M619" s="175">
        <v>28918.58</v>
      </c>
      <c r="N619" s="175">
        <v>29009.11</v>
      </c>
      <c r="O619" s="67">
        <f>IF((N620=""),"",MAX(F621:N621))</f>
        <v>4173.2400000000052</v>
      </c>
      <c r="P619" s="67">
        <f>IF(N620="","",MIN(F621:N621))</f>
        <v>3818.25</v>
      </c>
      <c r="Q619" s="68">
        <f>IF((N621=""),"",AVERAGE(F621:N621))</f>
        <v>4002.006666666668</v>
      </c>
      <c r="R619" s="68">
        <f>IF((N620=""),"",(O619-P619)/(O619+P619)*100)</f>
        <v>4.4421002841773563</v>
      </c>
      <c r="S619" s="222">
        <f>STDEV(F621:N621)</f>
        <v>151.9368117014447</v>
      </c>
      <c r="T619" s="187" t="str">
        <f>IF(N620="","",IF(R619&lt;16,IF(Q619&gt;3200,IF(R619,IF(Q619&lt;5240,"Pass","Fail"),"Fail"),"Fail")))</f>
        <v>Pass</v>
      </c>
      <c r="U619" s="216">
        <v>74</v>
      </c>
      <c r="V619" s="198"/>
      <c r="W619" s="33"/>
      <c r="X619" s="184">
        <v>4200</v>
      </c>
      <c r="Y619" s="184">
        <v>5500</v>
      </c>
      <c r="Z619" s="184">
        <v>3200</v>
      </c>
      <c r="AA619" s="184">
        <v>5240</v>
      </c>
      <c r="AB619" s="57">
        <v>16</v>
      </c>
    </row>
    <row r="620" spans="1:28" x14ac:dyDescent="0.25">
      <c r="A620" s="272"/>
      <c r="B620" s="47"/>
      <c r="C620" s="24"/>
      <c r="D620" s="24"/>
      <c r="E620" s="88" t="s">
        <v>193</v>
      </c>
      <c r="F620" s="28">
        <v>27638.12</v>
      </c>
      <c r="G620" s="28">
        <v>27626.74</v>
      </c>
      <c r="H620" s="28">
        <v>27650.62</v>
      </c>
      <c r="I620" s="28">
        <v>27632.92</v>
      </c>
      <c r="J620" s="28">
        <v>27632.49</v>
      </c>
      <c r="K620" s="28">
        <v>27638.35</v>
      </c>
      <c r="L620" s="28">
        <v>27618.57</v>
      </c>
      <c r="M620" s="28">
        <v>27620.61</v>
      </c>
      <c r="N620" s="28">
        <v>27618.03</v>
      </c>
      <c r="O620" s="88"/>
      <c r="P620" s="88"/>
      <c r="Q620" s="89"/>
      <c r="R620" s="89"/>
      <c r="S620" s="210"/>
      <c r="T620" s="23"/>
      <c r="U620" s="211"/>
      <c r="V620" s="246"/>
      <c r="W620" s="33"/>
      <c r="X620" s="186"/>
      <c r="Y620" s="186"/>
      <c r="Z620" s="186"/>
      <c r="AA620" s="186"/>
    </row>
    <row r="621" spans="1:28" ht="22.15" x14ac:dyDescent="0.25">
      <c r="A621" s="272"/>
      <c r="B621" s="47"/>
      <c r="C621" s="24"/>
      <c r="D621" s="24"/>
      <c r="E621" s="88" t="s">
        <v>194</v>
      </c>
      <c r="F621" s="66">
        <f t="shared" ref="F621:N621" si="203">IF(((F619="")*AND(F620="")),"",(F619-F620)*3)</f>
        <v>4159.4700000000048</v>
      </c>
      <c r="G621" s="66">
        <f t="shared" si="203"/>
        <v>3896.6099999999969</v>
      </c>
      <c r="H621" s="66">
        <f t="shared" si="203"/>
        <v>3818.25</v>
      </c>
      <c r="I621" s="66">
        <f t="shared" si="203"/>
        <v>3863.7000000000044</v>
      </c>
      <c r="J621" s="66">
        <f t="shared" si="203"/>
        <v>4152.7799999999952</v>
      </c>
      <c r="K621" s="66">
        <f t="shared" si="203"/>
        <v>4153.6800000000039</v>
      </c>
      <c r="L621" s="66">
        <f t="shared" si="203"/>
        <v>3906.4199999999983</v>
      </c>
      <c r="M621" s="66">
        <f t="shared" si="203"/>
        <v>3893.9100000000035</v>
      </c>
      <c r="N621" s="66">
        <f t="shared" si="203"/>
        <v>4173.2400000000052</v>
      </c>
      <c r="O621" s="88"/>
      <c r="P621" s="88"/>
      <c r="Q621" s="89"/>
      <c r="R621" s="89"/>
      <c r="S621" s="210"/>
      <c r="T621" s="23"/>
      <c r="U621" s="211"/>
      <c r="V621" s="246"/>
      <c r="W621" s="33"/>
      <c r="X621" s="186"/>
      <c r="Y621" s="186"/>
      <c r="Z621" s="186"/>
      <c r="AA621" s="186"/>
    </row>
    <row r="622" spans="1:28" x14ac:dyDescent="0.25">
      <c r="A622" s="272">
        <v>43373</v>
      </c>
      <c r="B622" s="24" t="s">
        <v>172</v>
      </c>
      <c r="C622" s="24" t="s">
        <v>174</v>
      </c>
      <c r="D622" s="24" t="s">
        <v>195</v>
      </c>
      <c r="E622" s="88" t="s">
        <v>192</v>
      </c>
      <c r="F622" s="28">
        <v>1777.19</v>
      </c>
      <c r="G622" s="28">
        <v>1837.55</v>
      </c>
      <c r="H622" s="28">
        <v>1832.47</v>
      </c>
      <c r="I622" s="28">
        <v>1834.16</v>
      </c>
      <c r="J622" s="28">
        <v>1825.81</v>
      </c>
      <c r="K622" s="28">
        <v>1789.3</v>
      </c>
      <c r="L622" s="28">
        <v>1840.66</v>
      </c>
      <c r="M622" s="28">
        <v>1862.26</v>
      </c>
      <c r="N622" s="28">
        <v>1814.08</v>
      </c>
      <c r="O622" s="88">
        <f>IF((N623=""),"",MAX(F624:N624))</f>
        <v>1951.2900000000002</v>
      </c>
      <c r="P622" s="88">
        <f>IF(N623="","",MIN(F624:N624))</f>
        <v>1629.3900000000003</v>
      </c>
      <c r="Q622" s="89">
        <f>IF((N624=""),"",AVERAGE(F624:N624))</f>
        <v>1804.1600000000003</v>
      </c>
      <c r="R622" s="89">
        <f>IF((N623=""),"",(O622-P622)/(O622+P622)*100)</f>
        <v>8.9899125305807797</v>
      </c>
      <c r="S622" s="210">
        <f>STDEV(F624:N624)</f>
        <v>108.48144150037842</v>
      </c>
      <c r="T622" s="23" t="str">
        <f>IF(N623="","",IF(Q622&gt;1940,IF(R622&lt;8.3,IF(Q622&lt;2180,"Pass","Fail"),"Fail"),"Fail"))</f>
        <v>Fail</v>
      </c>
      <c r="U622" s="217">
        <v>74</v>
      </c>
      <c r="V622" s="198"/>
      <c r="W622" s="33"/>
      <c r="X622" s="184">
        <v>2000</v>
      </c>
      <c r="Y622" s="184">
        <v>3000</v>
      </c>
      <c r="Z622" s="184">
        <v>1940</v>
      </c>
      <c r="AA622" s="184">
        <v>2180</v>
      </c>
      <c r="AB622" s="57">
        <v>5.2</v>
      </c>
    </row>
    <row r="623" spans="1:28" x14ac:dyDescent="0.25">
      <c r="A623" s="272"/>
      <c r="B623" s="47"/>
      <c r="C623" s="24"/>
      <c r="D623" s="24"/>
      <c r="E623" s="88" t="s">
        <v>193</v>
      </c>
      <c r="F623" s="28">
        <v>1234.06</v>
      </c>
      <c r="G623" s="28">
        <v>1211.5999999999999</v>
      </c>
      <c r="H623" s="28">
        <v>1208.3599999999999</v>
      </c>
      <c r="I623" s="28">
        <v>1211.21</v>
      </c>
      <c r="J623" s="28">
        <v>1243.2</v>
      </c>
      <c r="K623" s="28">
        <v>1235.43</v>
      </c>
      <c r="L623" s="28">
        <v>1221.04</v>
      </c>
      <c r="M623" s="28">
        <v>1211.83</v>
      </c>
      <c r="N623" s="28">
        <v>1224.27</v>
      </c>
      <c r="O623" s="88"/>
      <c r="P623" s="88"/>
      <c r="Q623" s="89"/>
      <c r="R623" s="89"/>
      <c r="S623" s="210"/>
      <c r="T623" s="23"/>
      <c r="U623" s="211"/>
      <c r="V623" s="246"/>
      <c r="W623" s="33"/>
      <c r="X623" s="186"/>
      <c r="Y623" s="186"/>
      <c r="Z623" s="186"/>
      <c r="AA623" s="186"/>
    </row>
    <row r="624" spans="1:28" x14ac:dyDescent="0.25">
      <c r="A624" s="272"/>
      <c r="B624" s="47"/>
      <c r="C624" s="24"/>
      <c r="D624" s="24"/>
      <c r="E624" s="88" t="s">
        <v>196</v>
      </c>
      <c r="F624" s="66">
        <f t="shared" ref="F624:N624" si="204">IF(((F622="")*AND(F623="")),"",(F622-F623)*3)</f>
        <v>1629.3900000000003</v>
      </c>
      <c r="G624" s="66">
        <f t="shared" si="204"/>
        <v>1877.8500000000001</v>
      </c>
      <c r="H624" s="66">
        <f t="shared" si="204"/>
        <v>1872.3300000000004</v>
      </c>
      <c r="I624" s="66">
        <f t="shared" si="204"/>
        <v>1868.8500000000001</v>
      </c>
      <c r="J624" s="66">
        <f t="shared" si="204"/>
        <v>1747.8299999999997</v>
      </c>
      <c r="K624" s="66">
        <f t="shared" si="204"/>
        <v>1661.6099999999997</v>
      </c>
      <c r="L624" s="66">
        <f t="shared" si="204"/>
        <v>1858.8600000000004</v>
      </c>
      <c r="M624" s="66">
        <f t="shared" si="204"/>
        <v>1951.2900000000002</v>
      </c>
      <c r="N624" s="66">
        <f t="shared" si="204"/>
        <v>1769.4299999999998</v>
      </c>
      <c r="O624" s="88"/>
      <c r="P624" s="88"/>
      <c r="Q624" s="89"/>
      <c r="R624" s="89"/>
      <c r="S624" s="210"/>
      <c r="T624" s="23"/>
      <c r="U624" s="211"/>
      <c r="V624" s="246"/>
      <c r="W624" s="33"/>
      <c r="X624" s="186"/>
      <c r="Y624" s="186"/>
      <c r="Z624" s="186"/>
      <c r="AA624" s="186"/>
    </row>
    <row r="625" spans="1:29" x14ac:dyDescent="0.25">
      <c r="A625" s="284">
        <v>43373</v>
      </c>
      <c r="B625" s="47" t="s">
        <v>177</v>
      </c>
      <c r="C625" s="24" t="s">
        <v>179</v>
      </c>
      <c r="D625" s="24" t="s">
        <v>178</v>
      </c>
      <c r="E625" s="88" t="s">
        <v>192</v>
      </c>
      <c r="F625" s="28">
        <v>5158.79</v>
      </c>
      <c r="G625" s="28">
        <v>5037.1400000000003</v>
      </c>
      <c r="H625" s="28">
        <v>5035.55</v>
      </c>
      <c r="I625" s="28">
        <v>5012.3999999999996</v>
      </c>
      <c r="J625" s="28">
        <v>5188.3999999999996</v>
      </c>
      <c r="K625" s="28">
        <v>5189.87</v>
      </c>
      <c r="L625" s="28">
        <v>5021.9799999999996</v>
      </c>
      <c r="M625" s="28">
        <v>5022.17</v>
      </c>
      <c r="N625" s="28">
        <v>5195.3100000000004</v>
      </c>
      <c r="O625" s="88">
        <f>IF((N626=""),"",MAX(F627:N627))</f>
        <v>4080.1400000000003</v>
      </c>
      <c r="P625" s="88">
        <f>IF(N626="","",MIN(F627:N627))</f>
        <v>3706.26</v>
      </c>
      <c r="Q625" s="89">
        <f>IF((N627=""),"",AVERAGE(F627:N627))</f>
        <v>3949.4666666666662</v>
      </c>
      <c r="R625" s="89">
        <f>IF((N626=""),"",(O625-P625)/(O625+P625)*100)</f>
        <v>4.8017055378608866</v>
      </c>
      <c r="S625" s="210">
        <f>STDEV(F627:N627)</f>
        <v>131.64858031896881</v>
      </c>
      <c r="T625" s="23" t="str">
        <f>IF(N626="","",IF(Q625&gt;3650,IF(R625&lt;7,IF(Q625&lt;4450,"Pass","Fail"),"Fail"),"Fail"))</f>
        <v>Pass</v>
      </c>
      <c r="U625" s="217">
        <v>74</v>
      </c>
      <c r="V625" s="198"/>
      <c r="W625" s="33"/>
      <c r="X625" s="184">
        <v>3650</v>
      </c>
      <c r="Y625" s="184">
        <v>4450</v>
      </c>
      <c r="Z625" s="184">
        <v>3700</v>
      </c>
      <c r="AA625" s="184">
        <v>4100</v>
      </c>
      <c r="AB625" s="57">
        <v>6.5</v>
      </c>
      <c r="AC625" s="57">
        <v>7</v>
      </c>
    </row>
    <row r="626" spans="1:29" x14ac:dyDescent="0.25">
      <c r="A626" s="284"/>
      <c r="B626" s="47"/>
      <c r="C626" s="24"/>
      <c r="D626" s="24"/>
      <c r="E626" s="88" t="s">
        <v>193</v>
      </c>
      <c r="F626" s="28">
        <v>3237.5</v>
      </c>
      <c r="G626" s="28">
        <v>3017.36</v>
      </c>
      <c r="H626" s="28">
        <v>2995.48</v>
      </c>
      <c r="I626" s="28">
        <v>2996.44</v>
      </c>
      <c r="J626" s="28">
        <v>3271.47</v>
      </c>
      <c r="K626" s="28">
        <v>3336.74</v>
      </c>
      <c r="L626" s="28">
        <v>3012.48</v>
      </c>
      <c r="M626" s="28">
        <v>2983.02</v>
      </c>
      <c r="N626" s="28">
        <v>3238.52</v>
      </c>
      <c r="O626" s="88"/>
      <c r="P626" s="88"/>
      <c r="Q626" s="89"/>
      <c r="R626" s="89"/>
      <c r="S626" s="210"/>
      <c r="T626" s="28"/>
      <c r="U626" s="217"/>
      <c r="V626" s="198"/>
      <c r="W626" s="33"/>
      <c r="X626" s="186"/>
      <c r="Y626" s="186"/>
      <c r="Z626" s="186"/>
      <c r="AA626" s="186"/>
    </row>
    <row r="627" spans="1:29" ht="22.75" thickBot="1" x14ac:dyDescent="0.3">
      <c r="A627" s="285"/>
      <c r="B627" s="90"/>
      <c r="C627" s="91"/>
      <c r="D627" s="91"/>
      <c r="E627" s="92" t="s">
        <v>194</v>
      </c>
      <c r="F627" s="79">
        <f t="shared" ref="F627:N627" si="205">IF(((F625="")*AND(F626="")),"",(F625-F626)*2)</f>
        <v>3842.58</v>
      </c>
      <c r="G627" s="79">
        <f t="shared" si="205"/>
        <v>4039.5600000000004</v>
      </c>
      <c r="H627" s="79">
        <f t="shared" si="205"/>
        <v>4080.1400000000003</v>
      </c>
      <c r="I627" s="79">
        <f t="shared" si="205"/>
        <v>4031.9199999999992</v>
      </c>
      <c r="J627" s="79">
        <f t="shared" si="205"/>
        <v>3833.8599999999997</v>
      </c>
      <c r="K627" s="79">
        <f t="shared" si="205"/>
        <v>3706.26</v>
      </c>
      <c r="L627" s="79">
        <f t="shared" si="205"/>
        <v>4018.9999999999991</v>
      </c>
      <c r="M627" s="79">
        <f t="shared" si="205"/>
        <v>4078.3</v>
      </c>
      <c r="N627" s="79">
        <f t="shared" si="205"/>
        <v>3913.5800000000008</v>
      </c>
      <c r="O627" s="92"/>
      <c r="P627" s="92"/>
      <c r="Q627" s="93"/>
      <c r="R627" s="93"/>
      <c r="S627" s="213"/>
      <c r="T627" s="223"/>
      <c r="U627" s="224"/>
      <c r="V627" s="198"/>
      <c r="W627" s="33"/>
      <c r="X627" s="186"/>
      <c r="Y627" s="186"/>
      <c r="Z627" s="186"/>
      <c r="AA627" s="186"/>
    </row>
    <row r="628" spans="1:29" x14ac:dyDescent="0.25">
      <c r="A628" s="277">
        <v>43377</v>
      </c>
      <c r="B628" s="85" t="s">
        <v>191</v>
      </c>
      <c r="C628" s="70" t="s">
        <v>176</v>
      </c>
      <c r="D628" s="70" t="s">
        <v>175</v>
      </c>
      <c r="E628" s="86" t="s">
        <v>192</v>
      </c>
      <c r="F628" s="33">
        <v>27638.12</v>
      </c>
      <c r="G628" s="33">
        <v>27626.74</v>
      </c>
      <c r="H628" s="33">
        <v>27650.62</v>
      </c>
      <c r="I628" s="33">
        <v>27632.92</v>
      </c>
      <c r="J628" s="33">
        <v>27632.49</v>
      </c>
      <c r="K628" s="33">
        <v>27638.35</v>
      </c>
      <c r="L628" s="33">
        <v>27618.57</v>
      </c>
      <c r="M628" s="33">
        <v>27620.61</v>
      </c>
      <c r="N628" s="33">
        <v>27618.03</v>
      </c>
      <c r="O628" s="86">
        <f>IF((N629=""),"",MAX(F630:N630))</f>
        <v>4733.8799999999974</v>
      </c>
      <c r="P628" s="86">
        <f>IF(N629="","",MIN(F630:N630))</f>
        <v>4252.8300000000017</v>
      </c>
      <c r="Q628" s="87">
        <f>IF((N630=""),"",AVERAGE(F630:N630))</f>
        <v>4433.0766666666659</v>
      </c>
      <c r="R628" s="87">
        <f>IF((N629=""),"",(O628-P628)/(O628+P628)*100)</f>
        <v>5.3529044555793579</v>
      </c>
      <c r="S628" s="221">
        <f>STDEV(F630:N630)</f>
        <v>183.23185872003694</v>
      </c>
      <c r="T628" s="208" t="str">
        <f>IF(N629="","",IF(R628&lt;16,IF(Q628&gt;3200,IF(R628,IF(Q628&lt;5240,"Pass","Fail"),"Fail"),"Fail")))</f>
        <v>Pass</v>
      </c>
      <c r="U628" s="220">
        <v>1340</v>
      </c>
      <c r="V628" s="251" t="s">
        <v>212</v>
      </c>
      <c r="X628" s="184">
        <v>4200</v>
      </c>
      <c r="Y628" s="184">
        <v>5500</v>
      </c>
      <c r="Z628" s="184">
        <v>3200</v>
      </c>
      <c r="AA628" s="184">
        <v>5240</v>
      </c>
      <c r="AB628" s="57">
        <v>16</v>
      </c>
    </row>
    <row r="629" spans="1:29" x14ac:dyDescent="0.25">
      <c r="A629" s="272"/>
      <c r="B629" s="47"/>
      <c r="C629" s="24"/>
      <c r="D629" s="24"/>
      <c r="E629" s="88" t="s">
        <v>193</v>
      </c>
      <c r="F629" s="33">
        <v>26081.82</v>
      </c>
      <c r="G629" s="33">
        <v>26186.34</v>
      </c>
      <c r="H629" s="33">
        <v>26233.01</v>
      </c>
      <c r="I629" s="33">
        <v>26206.79</v>
      </c>
      <c r="J629" s="33">
        <v>26118.48</v>
      </c>
      <c r="K629" s="33">
        <v>26139.06</v>
      </c>
      <c r="L629" s="33">
        <v>26197.19</v>
      </c>
      <c r="M629" s="33">
        <v>26174.46</v>
      </c>
      <c r="N629" s="33">
        <v>26040.07</v>
      </c>
      <c r="O629" s="88"/>
      <c r="P629" s="88"/>
      <c r="Q629" s="89"/>
      <c r="R629" s="89"/>
      <c r="S629" s="210"/>
      <c r="T629" s="23"/>
      <c r="U629" s="211"/>
      <c r="V629" s="246"/>
      <c r="W629" s="251"/>
      <c r="X629" s="186"/>
      <c r="Y629" s="186"/>
      <c r="Z629" s="186"/>
      <c r="AA629" s="186"/>
    </row>
    <row r="630" spans="1:29" ht="22.15" x14ac:dyDescent="0.25">
      <c r="A630" s="272"/>
      <c r="B630" s="47"/>
      <c r="C630" s="24"/>
      <c r="D630" s="24"/>
      <c r="E630" s="88" t="s">
        <v>194</v>
      </c>
      <c r="F630" s="66">
        <f t="shared" ref="F630:N630" si="206">IF(((F628="")*AND(F629="")),"",(F628-F629)*3)</f>
        <v>4668.8999999999978</v>
      </c>
      <c r="G630" s="66">
        <f t="shared" si="206"/>
        <v>4321.2000000000044</v>
      </c>
      <c r="H630" s="66">
        <f t="shared" si="206"/>
        <v>4252.8300000000017</v>
      </c>
      <c r="I630" s="66">
        <f t="shared" si="206"/>
        <v>4278.3899999999921</v>
      </c>
      <c r="J630" s="66">
        <f t="shared" si="206"/>
        <v>4542.0300000000061</v>
      </c>
      <c r="K630" s="66">
        <f t="shared" si="206"/>
        <v>4497.8699999999917</v>
      </c>
      <c r="L630" s="66">
        <f t="shared" si="206"/>
        <v>4264.1400000000031</v>
      </c>
      <c r="M630" s="66">
        <f t="shared" si="206"/>
        <v>4338.4500000000044</v>
      </c>
      <c r="N630" s="66">
        <f t="shared" si="206"/>
        <v>4733.8799999999974</v>
      </c>
      <c r="O630" s="88"/>
      <c r="P630" s="88"/>
      <c r="Q630" s="89"/>
      <c r="R630" s="89"/>
      <c r="S630" s="210"/>
      <c r="T630" s="23"/>
      <c r="U630" s="211"/>
      <c r="V630" s="246"/>
      <c r="W630" s="251"/>
      <c r="X630" s="186"/>
      <c r="Y630" s="186"/>
      <c r="Z630" s="186"/>
      <c r="AA630" s="186"/>
    </row>
    <row r="631" spans="1:29" x14ac:dyDescent="0.25">
      <c r="A631" s="271">
        <v>43377</v>
      </c>
      <c r="B631" s="24" t="s">
        <v>172</v>
      </c>
      <c r="C631" s="24" t="s">
        <v>174</v>
      </c>
      <c r="D631" s="24" t="s">
        <v>195</v>
      </c>
      <c r="E631" s="88" t="s">
        <v>192</v>
      </c>
      <c r="F631" s="33">
        <v>1963.19</v>
      </c>
      <c r="G631" s="33">
        <v>1957.1</v>
      </c>
      <c r="H631" s="33">
        <v>1951.78</v>
      </c>
      <c r="I631" s="33">
        <v>1956.32</v>
      </c>
      <c r="J631" s="33">
        <v>1961.91</v>
      </c>
      <c r="K631" s="33">
        <v>1958.88</v>
      </c>
      <c r="L631" s="33">
        <v>1958.84</v>
      </c>
      <c r="M631" s="33">
        <v>1956.06</v>
      </c>
      <c r="N631" s="33">
        <v>1962.45</v>
      </c>
      <c r="O631" s="88">
        <f>IF((N632=""),"",MAX(F633:N633))</f>
        <v>2104.7999999999997</v>
      </c>
      <c r="P631" s="88">
        <f>IF(N632="","",MIN(F633:N633))</f>
        <v>2008.9500000000003</v>
      </c>
      <c r="Q631" s="89">
        <f>IF((N633=""),"",AVERAGE(F633:N633))</f>
        <v>2069.8399999999997</v>
      </c>
      <c r="R631" s="89">
        <f>IF((N632=""),"",(O631-P631)/(O631+P631)*100)</f>
        <v>2.3299908842297041</v>
      </c>
      <c r="S631" s="210">
        <f>STDEV(F633:N633)</f>
        <v>39.597840850227861</v>
      </c>
      <c r="T631" s="23" t="str">
        <f>IF(N632="","",IF(Q631&gt;1940,IF(R631&lt;8.3,IF(Q631&lt;2180,"Pass","Fail"),"Fail"),"Fail"))</f>
        <v>Pass</v>
      </c>
      <c r="U631" s="217">
        <v>1340</v>
      </c>
      <c r="V631" s="251" t="s">
        <v>212</v>
      </c>
      <c r="W631" s="251"/>
      <c r="X631" s="184">
        <v>2000</v>
      </c>
      <c r="Y631" s="184">
        <v>3000</v>
      </c>
      <c r="Z631" s="184">
        <v>1940</v>
      </c>
      <c r="AA631" s="184">
        <v>2180</v>
      </c>
      <c r="AB631" s="57">
        <v>5.2</v>
      </c>
    </row>
    <row r="632" spans="1:29" x14ac:dyDescent="0.25">
      <c r="A632" s="272"/>
      <c r="B632" s="47"/>
      <c r="C632" s="24"/>
      <c r="D632" s="24"/>
      <c r="E632" s="88" t="s">
        <v>193</v>
      </c>
      <c r="F632" s="33">
        <v>1281.56</v>
      </c>
      <c r="G632" s="33">
        <v>1256.5</v>
      </c>
      <c r="H632" s="33">
        <v>1250.18</v>
      </c>
      <c r="I632" s="33">
        <v>1258.44</v>
      </c>
      <c r="J632" s="33">
        <v>1290.5999999999999</v>
      </c>
      <c r="K632" s="33">
        <v>1289.23</v>
      </c>
      <c r="L632" s="33">
        <v>1258.94</v>
      </c>
      <c r="M632" s="33">
        <v>1254.55</v>
      </c>
      <c r="N632" s="33">
        <v>1277.01</v>
      </c>
      <c r="O632" s="88"/>
      <c r="P632" s="88"/>
      <c r="Q632" s="89"/>
      <c r="R632" s="89"/>
      <c r="S632" s="210"/>
      <c r="T632" s="23"/>
      <c r="U632" s="211"/>
      <c r="V632" s="246"/>
      <c r="W632" s="251"/>
      <c r="X632" s="186"/>
      <c r="Y632" s="186"/>
      <c r="Z632" s="186"/>
      <c r="AA632" s="186"/>
    </row>
    <row r="633" spans="1:29" x14ac:dyDescent="0.25">
      <c r="A633" s="272"/>
      <c r="B633" s="47"/>
      <c r="C633" s="24"/>
      <c r="D633" s="24"/>
      <c r="E633" s="88" t="s">
        <v>196</v>
      </c>
      <c r="F633" s="66">
        <f t="shared" ref="F633:N633" si="207">IF(((F631="")*AND(F632="")),"",(F631-F632)*3)</f>
        <v>2044.8900000000003</v>
      </c>
      <c r="G633" s="66">
        <f t="shared" si="207"/>
        <v>2101.7999999999997</v>
      </c>
      <c r="H633" s="66">
        <f t="shared" si="207"/>
        <v>2104.7999999999997</v>
      </c>
      <c r="I633" s="66">
        <f t="shared" si="207"/>
        <v>2093.6399999999994</v>
      </c>
      <c r="J633" s="66">
        <f t="shared" si="207"/>
        <v>2013.9300000000005</v>
      </c>
      <c r="K633" s="66">
        <f t="shared" si="207"/>
        <v>2008.9500000000003</v>
      </c>
      <c r="L633" s="66">
        <f t="shared" si="207"/>
        <v>2099.6999999999998</v>
      </c>
      <c r="M633" s="66">
        <f t="shared" si="207"/>
        <v>2104.5299999999997</v>
      </c>
      <c r="N633" s="66">
        <f t="shared" si="207"/>
        <v>2056.3200000000002</v>
      </c>
      <c r="O633" s="88"/>
      <c r="P633" s="88"/>
      <c r="Q633" s="89"/>
      <c r="R633" s="89"/>
      <c r="S633" s="210"/>
      <c r="T633" s="23"/>
      <c r="U633" s="211"/>
      <c r="V633" s="246"/>
      <c r="W633" s="251"/>
      <c r="X633" s="186"/>
      <c r="Y633" s="186"/>
      <c r="Z633" s="186"/>
      <c r="AA633" s="186"/>
    </row>
    <row r="634" spans="1:29" x14ac:dyDescent="0.25">
      <c r="A634" s="271">
        <v>43377</v>
      </c>
      <c r="B634" s="47" t="s">
        <v>177</v>
      </c>
      <c r="C634" s="24" t="s">
        <v>179</v>
      </c>
      <c r="D634" s="24" t="s">
        <v>178</v>
      </c>
      <c r="E634" s="88" t="s">
        <v>192</v>
      </c>
      <c r="F634" s="33">
        <v>3237.5</v>
      </c>
      <c r="G634" s="33">
        <v>3017.36</v>
      </c>
      <c r="H634" s="33">
        <v>2995.48</v>
      </c>
      <c r="I634" s="33">
        <v>2996.44</v>
      </c>
      <c r="J634" s="33">
        <v>3271.47</v>
      </c>
      <c r="K634" s="33">
        <v>3336.74</v>
      </c>
      <c r="L634" s="33">
        <v>3012.48</v>
      </c>
      <c r="M634" s="33">
        <v>2983.02</v>
      </c>
      <c r="N634" s="33">
        <v>3238.52</v>
      </c>
      <c r="O634" s="88">
        <f>IF((N635=""),"",MAX(F636:N636))</f>
        <v>4078.14</v>
      </c>
      <c r="P634" s="88">
        <f>IF(N635="","",MIN(F636:N636))</f>
        <v>3706.5799999999995</v>
      </c>
      <c r="Q634" s="89">
        <f>IF((N636=""),"",AVERAGE(F636:N636))</f>
        <v>3949.3888888888887</v>
      </c>
      <c r="R634" s="89">
        <f>IF((N635=""),"",(O634-P634)/(O634+P634)*100)</f>
        <v>4.7729398102950453</v>
      </c>
      <c r="S634" s="210">
        <f>STDEV(F636:N636)</f>
        <v>121.26813642136651</v>
      </c>
      <c r="T634" s="23" t="str">
        <f>IF(N635="","",IF(Q634&gt;3650,IF(R634&lt;7,IF(Q634&lt;4450,"Pass","Fail"),"Fail"),"Fail"))</f>
        <v>Pass</v>
      </c>
      <c r="U634" s="217">
        <v>1340</v>
      </c>
      <c r="V634" s="251" t="s">
        <v>212</v>
      </c>
      <c r="W634" s="251"/>
      <c r="X634" s="184">
        <v>3650</v>
      </c>
      <c r="Y634" s="184">
        <v>4450</v>
      </c>
      <c r="Z634" s="184">
        <v>3700</v>
      </c>
      <c r="AA634" s="184">
        <v>4100</v>
      </c>
      <c r="AB634" s="57">
        <v>6.5</v>
      </c>
      <c r="AC634" s="57">
        <v>7</v>
      </c>
    </row>
    <row r="635" spans="1:29" x14ac:dyDescent="0.25">
      <c r="A635" s="272"/>
      <c r="B635" s="47"/>
      <c r="C635" s="24"/>
      <c r="D635" s="24"/>
      <c r="E635" s="88" t="s">
        <v>193</v>
      </c>
      <c r="F635" s="33">
        <v>1307.43</v>
      </c>
      <c r="G635" s="33">
        <v>1007.95</v>
      </c>
      <c r="H635" s="33">
        <v>963.5</v>
      </c>
      <c r="I635" s="33">
        <v>988.6</v>
      </c>
      <c r="J635" s="33">
        <v>1346.11</v>
      </c>
      <c r="K635" s="33">
        <v>1483.45</v>
      </c>
      <c r="L635" s="33">
        <v>1015.27</v>
      </c>
      <c r="M635" s="33">
        <v>943.95</v>
      </c>
      <c r="N635" s="33">
        <v>1260.5</v>
      </c>
      <c r="O635" s="88"/>
      <c r="P635" s="88"/>
      <c r="Q635" s="89"/>
      <c r="R635" s="89"/>
      <c r="S635" s="210"/>
      <c r="T635" s="28"/>
      <c r="U635" s="217"/>
      <c r="V635" s="246"/>
      <c r="W635" s="251"/>
      <c r="X635" s="186"/>
      <c r="Y635" s="186"/>
      <c r="Z635" s="186"/>
      <c r="AA635" s="186"/>
    </row>
    <row r="636" spans="1:29" ht="22.75" thickBot="1" x14ac:dyDescent="0.3">
      <c r="A636" s="279"/>
      <c r="B636" s="90"/>
      <c r="C636" s="91"/>
      <c r="D636" s="91"/>
      <c r="E636" s="92" t="s">
        <v>194</v>
      </c>
      <c r="F636" s="79">
        <f t="shared" ref="F636:N636" si="208">IF(((F634="")*AND(F635="")),"",(F634-F635)*2)</f>
        <v>3860.14</v>
      </c>
      <c r="G636" s="79">
        <f t="shared" si="208"/>
        <v>4018.82</v>
      </c>
      <c r="H636" s="79">
        <f t="shared" si="208"/>
        <v>4063.96</v>
      </c>
      <c r="I636" s="79">
        <f t="shared" si="208"/>
        <v>4015.6800000000003</v>
      </c>
      <c r="J636" s="79">
        <f t="shared" si="208"/>
        <v>3850.72</v>
      </c>
      <c r="K636" s="79">
        <f t="shared" si="208"/>
        <v>3706.5799999999995</v>
      </c>
      <c r="L636" s="79">
        <f t="shared" si="208"/>
        <v>3994.42</v>
      </c>
      <c r="M636" s="79">
        <f t="shared" si="208"/>
        <v>4078.14</v>
      </c>
      <c r="N636" s="79">
        <f t="shared" si="208"/>
        <v>3956.04</v>
      </c>
      <c r="O636" s="92"/>
      <c r="P636" s="92"/>
      <c r="Q636" s="93"/>
      <c r="R636" s="93"/>
      <c r="S636" s="213"/>
      <c r="T636" s="223"/>
      <c r="U636" s="224"/>
      <c r="V636" s="246"/>
      <c r="W636" s="251"/>
      <c r="X636" s="186"/>
      <c r="Y636" s="186"/>
      <c r="Z636" s="186"/>
      <c r="AA636" s="186"/>
    </row>
    <row r="637" spans="1:29" x14ac:dyDescent="0.25">
      <c r="A637" s="277">
        <v>43380</v>
      </c>
      <c r="B637" s="85" t="s">
        <v>191</v>
      </c>
      <c r="C637" s="70" t="s">
        <v>176</v>
      </c>
      <c r="D637" s="70" t="s">
        <v>175</v>
      </c>
      <c r="E637" s="86" t="s">
        <v>192</v>
      </c>
      <c r="F637" s="33">
        <v>26046.23</v>
      </c>
      <c r="G637" s="33">
        <v>26156.32</v>
      </c>
      <c r="H637" s="33">
        <v>26200.46</v>
      </c>
      <c r="I637" s="33">
        <v>26173.11</v>
      </c>
      <c r="J637" s="33">
        <v>26076.97</v>
      </c>
      <c r="K637" s="33">
        <v>26102.42</v>
      </c>
      <c r="L637" s="33">
        <v>26170.45</v>
      </c>
      <c r="M637" s="33">
        <v>26137.78</v>
      </c>
      <c r="N637" s="33">
        <v>26000.22</v>
      </c>
      <c r="O637" s="86">
        <f>IF((N638=""),"",MAX(F639:N639))</f>
        <v>4501.2600000000057</v>
      </c>
      <c r="P637" s="86">
        <f>IF(N638="","",MIN(F639:N639))</f>
        <v>4115.1000000000022</v>
      </c>
      <c r="Q637" s="87">
        <f>IF((N639=""),"",AVERAGE(F639:N639))</f>
        <v>4293.0200000000004</v>
      </c>
      <c r="R637" s="87">
        <f>IF((N638=""),"",(O637-P637)/(O637+P637)*100)</f>
        <v>4.4817068924697105</v>
      </c>
      <c r="S637" s="221">
        <f>STDEV(F639:N639)</f>
        <v>163.68799742192471</v>
      </c>
      <c r="T637" s="208" t="str">
        <f>IF(N638="","",IF(R637&lt;16,IF(Q637&gt;3200,IF(R637,IF(Q637&lt;5240,"Pass","Fail"),"Fail"),"Fail")))</f>
        <v>Pass</v>
      </c>
      <c r="U637" s="220">
        <v>1428</v>
      </c>
      <c r="V637" s="251" t="s">
        <v>213</v>
      </c>
      <c r="X637" s="184">
        <v>4200</v>
      </c>
      <c r="Y637" s="184">
        <v>5500</v>
      </c>
      <c r="Z637" s="184">
        <v>3200</v>
      </c>
      <c r="AA637" s="184">
        <v>5240</v>
      </c>
      <c r="AB637" s="57">
        <v>16</v>
      </c>
    </row>
    <row r="638" spans="1:29" x14ac:dyDescent="0.25">
      <c r="A638" s="272"/>
      <c r="B638" s="47"/>
      <c r="C638" s="24"/>
      <c r="D638" s="24"/>
      <c r="E638" s="88" t="s">
        <v>193</v>
      </c>
      <c r="F638" s="33">
        <v>24569.82</v>
      </c>
      <c r="G638" s="33">
        <v>24767.53</v>
      </c>
      <c r="H638" s="33">
        <v>24828.76</v>
      </c>
      <c r="I638" s="33">
        <v>24781.55</v>
      </c>
      <c r="J638" s="33">
        <v>24576.55</v>
      </c>
      <c r="K638" s="33">
        <v>24621.13</v>
      </c>
      <c r="L638" s="33">
        <v>24780.29</v>
      </c>
      <c r="M638" s="33">
        <v>24752.01</v>
      </c>
      <c r="N638" s="33">
        <v>24507.26</v>
      </c>
      <c r="O638" s="88"/>
      <c r="P638" s="88"/>
      <c r="Q638" s="89"/>
      <c r="R638" s="89"/>
      <c r="S638" s="210"/>
      <c r="T638" s="23"/>
      <c r="U638" s="211"/>
      <c r="V638" s="251"/>
      <c r="X638" s="186"/>
      <c r="Y638" s="186"/>
      <c r="Z638" s="186"/>
      <c r="AA638" s="186"/>
    </row>
    <row r="639" spans="1:29" ht="22.15" x14ac:dyDescent="0.25">
      <c r="A639" s="272"/>
      <c r="B639" s="47"/>
      <c r="C639" s="24"/>
      <c r="D639" s="24"/>
      <c r="E639" s="88" t="s">
        <v>194</v>
      </c>
      <c r="F639" s="66">
        <f t="shared" ref="F639:N639" si="209">IF(((F637="")*AND(F638="")),"",(F637-F638)*3)</f>
        <v>4429.2299999999996</v>
      </c>
      <c r="G639" s="66">
        <f t="shared" si="209"/>
        <v>4166.3700000000026</v>
      </c>
      <c r="H639" s="66">
        <f t="shared" si="209"/>
        <v>4115.1000000000022</v>
      </c>
      <c r="I639" s="66">
        <f t="shared" si="209"/>
        <v>4174.6800000000039</v>
      </c>
      <c r="J639" s="66">
        <f t="shared" si="209"/>
        <v>4501.2600000000057</v>
      </c>
      <c r="K639" s="66">
        <f t="shared" si="209"/>
        <v>4443.8699999999917</v>
      </c>
      <c r="L639" s="66">
        <f t="shared" si="209"/>
        <v>4170.4799999999996</v>
      </c>
      <c r="M639" s="66">
        <f t="shared" si="209"/>
        <v>4157.3100000000013</v>
      </c>
      <c r="N639" s="66">
        <f t="shared" si="209"/>
        <v>4478.8800000000083</v>
      </c>
      <c r="O639" s="88"/>
      <c r="P639" s="88"/>
      <c r="Q639" s="89"/>
      <c r="R639" s="89"/>
      <c r="S639" s="210"/>
      <c r="T639" s="23"/>
      <c r="U639" s="211"/>
      <c r="V639" s="251"/>
      <c r="X639" s="186"/>
      <c r="Y639" s="186"/>
      <c r="Z639" s="186"/>
      <c r="AA639" s="186"/>
    </row>
    <row r="640" spans="1:29" x14ac:dyDescent="0.25">
      <c r="A640" s="271">
        <v>43380</v>
      </c>
      <c r="B640" s="24" t="s">
        <v>172</v>
      </c>
      <c r="C640" s="24" t="s">
        <v>174</v>
      </c>
      <c r="D640" s="24" t="s">
        <v>195</v>
      </c>
      <c r="E640" s="88" t="s">
        <v>192</v>
      </c>
      <c r="F640" s="33">
        <v>1287.69</v>
      </c>
      <c r="G640" s="33">
        <v>1260.6199999999999</v>
      </c>
      <c r="H640" s="33">
        <v>1253.54</v>
      </c>
      <c r="I640" s="33">
        <v>1262.1300000000001</v>
      </c>
      <c r="J640" s="33">
        <v>1289.27</v>
      </c>
      <c r="K640" s="33">
        <v>1286.49</v>
      </c>
      <c r="L640" s="33">
        <v>1263.72</v>
      </c>
      <c r="M640" s="33">
        <v>1257.24</v>
      </c>
      <c r="N640" s="33">
        <v>1285.69</v>
      </c>
      <c r="O640" s="88">
        <f>IF((N641=""),"",MAX(F642:N642))</f>
        <v>2087.64</v>
      </c>
      <c r="P640" s="88">
        <f>IF(N641="","",MIN(F642:N642))</f>
        <v>1988.22</v>
      </c>
      <c r="Q640" s="89">
        <f>IF((N642=""),"",AVERAGE(F642:N642))</f>
        <v>2043.8633333333335</v>
      </c>
      <c r="R640" s="89">
        <f>IF((N641=""),"",(O640-P640)/(O640+P640)*100)</f>
        <v>2.4392398168729996</v>
      </c>
      <c r="S640" s="210">
        <f>STDEV(F642:N642)</f>
        <v>44.297338520502521</v>
      </c>
      <c r="T640" s="23" t="str">
        <f>IF(N641="","",IF(Q640&gt;1940,IF(R640&lt;8.3,IF(Q640&lt;2180,"Pass","Fail"),"Fail"),"Fail"))</f>
        <v>Pass</v>
      </c>
      <c r="U640" s="217">
        <v>1428</v>
      </c>
      <c r="V640" s="251" t="s">
        <v>213</v>
      </c>
      <c r="X640" s="184">
        <v>2000</v>
      </c>
      <c r="Y640" s="184">
        <v>3000</v>
      </c>
      <c r="Z640" s="184">
        <v>1940</v>
      </c>
      <c r="AA640" s="184">
        <v>2180</v>
      </c>
      <c r="AB640" s="57">
        <v>5.2</v>
      </c>
    </row>
    <row r="641" spans="1:29" x14ac:dyDescent="0.25">
      <c r="A641" s="272"/>
      <c r="B641" s="47"/>
      <c r="C641" s="24"/>
      <c r="D641" s="24"/>
      <c r="E641" s="88" t="s">
        <v>193</v>
      </c>
      <c r="F641" s="33">
        <v>617.19000000000005</v>
      </c>
      <c r="G641" s="33">
        <v>568.75</v>
      </c>
      <c r="H641" s="33">
        <v>557.83000000000004</v>
      </c>
      <c r="I641" s="33">
        <v>568.17999999999995</v>
      </c>
      <c r="J641" s="33">
        <v>625.46</v>
      </c>
      <c r="K641" s="33">
        <v>619.54999999999995</v>
      </c>
      <c r="L641" s="33">
        <v>573.53</v>
      </c>
      <c r="M641" s="33">
        <v>561.36</v>
      </c>
      <c r="N641" s="33">
        <v>622.95000000000005</v>
      </c>
      <c r="O641" s="88"/>
      <c r="P641" s="88"/>
      <c r="Q641" s="89"/>
      <c r="R641" s="89"/>
      <c r="S641" s="210"/>
      <c r="T641" s="23"/>
      <c r="U641" s="211"/>
      <c r="V641" s="251"/>
      <c r="X641" s="186"/>
      <c r="Y641" s="186"/>
      <c r="Z641" s="186"/>
      <c r="AA641" s="186"/>
    </row>
    <row r="642" spans="1:29" ht="21.6" customHeight="1" x14ac:dyDescent="0.25">
      <c r="A642" s="272"/>
      <c r="B642" s="47"/>
      <c r="C642" s="24"/>
      <c r="D642" s="24"/>
      <c r="E642" s="88" t="s">
        <v>196</v>
      </c>
      <c r="F642" s="66">
        <f t="shared" ref="F642:N642" si="210">IF(((F640="")*AND(F641="")),"",(F640-F641)*3)</f>
        <v>2011.5</v>
      </c>
      <c r="G642" s="66">
        <f t="shared" si="210"/>
        <v>2075.6099999999997</v>
      </c>
      <c r="H642" s="66">
        <f t="shared" si="210"/>
        <v>2087.1299999999997</v>
      </c>
      <c r="I642" s="66">
        <f t="shared" si="210"/>
        <v>2081.8500000000004</v>
      </c>
      <c r="J642" s="66">
        <f t="shared" si="210"/>
        <v>1991.4299999999998</v>
      </c>
      <c r="K642" s="66">
        <f t="shared" si="210"/>
        <v>2000.8200000000002</v>
      </c>
      <c r="L642" s="66">
        <f t="shared" si="210"/>
        <v>2070.5700000000002</v>
      </c>
      <c r="M642" s="66">
        <f t="shared" si="210"/>
        <v>2087.64</v>
      </c>
      <c r="N642" s="66">
        <f t="shared" si="210"/>
        <v>1988.22</v>
      </c>
      <c r="O642" s="88"/>
      <c r="P642" s="88"/>
      <c r="Q642" s="89"/>
      <c r="R642" s="89"/>
      <c r="S642" s="210"/>
      <c r="T642" s="23"/>
      <c r="U642" s="211"/>
      <c r="V642" s="251"/>
      <c r="X642" s="186"/>
      <c r="Y642" s="186"/>
      <c r="Z642" s="186"/>
      <c r="AA642" s="186"/>
    </row>
    <row r="643" spans="1:29" x14ac:dyDescent="0.25">
      <c r="A643" s="271">
        <v>43380</v>
      </c>
      <c r="B643" s="47" t="s">
        <v>177</v>
      </c>
      <c r="C643" s="24" t="s">
        <v>179</v>
      </c>
      <c r="D643" s="24" t="s">
        <v>178</v>
      </c>
      <c r="E643" s="88" t="s">
        <v>192</v>
      </c>
      <c r="F643" s="33">
        <v>6873.84</v>
      </c>
      <c r="G643" s="33">
        <v>6889.92</v>
      </c>
      <c r="H643" s="33">
        <v>6940.99</v>
      </c>
      <c r="I643" s="33">
        <v>6887.25</v>
      </c>
      <c r="J643" s="33">
        <v>6882.15</v>
      </c>
      <c r="K643" s="33">
        <v>6889.51</v>
      </c>
      <c r="L643" s="33">
        <v>6918.4</v>
      </c>
      <c r="M643" s="33">
        <v>6931.13</v>
      </c>
      <c r="N643" s="33">
        <v>6987.69</v>
      </c>
      <c r="O643" s="88">
        <f>IF((N644=""),"",MAX(F645:N645))</f>
        <v>4053.4799999999996</v>
      </c>
      <c r="P643" s="88">
        <f>IF(N644="","",MIN(F645:N645))</f>
        <v>3687.6400000000012</v>
      </c>
      <c r="Q643" s="89">
        <f>IF((N645=""),"",AVERAGE(F645:N645))</f>
        <v>3926.1711111111113</v>
      </c>
      <c r="R643" s="89">
        <f>IF((N644=""),"",(O643-P643)/(O643+P643)*100)</f>
        <v>4.7259311314124872</v>
      </c>
      <c r="S643" s="210">
        <f>STDEV(F645:N645)</f>
        <v>127.51750394009058</v>
      </c>
      <c r="T643" s="23" t="str">
        <f>IF(N644="","",IF(Q643&gt;3650,IF(R643&lt;7,IF(Q643&lt;4450,"Pass","Fail"),"Fail"),"Fail"))</f>
        <v>Pass</v>
      </c>
      <c r="U643" s="217">
        <v>1428</v>
      </c>
      <c r="V643" s="251" t="s">
        <v>213</v>
      </c>
      <c r="X643" s="184">
        <v>3650</v>
      </c>
      <c r="Y643" s="184">
        <v>4450</v>
      </c>
      <c r="Z643" s="184">
        <v>3700</v>
      </c>
      <c r="AA643" s="184">
        <v>4100</v>
      </c>
      <c r="AB643" s="57">
        <v>6.5</v>
      </c>
      <c r="AC643" s="57">
        <v>7</v>
      </c>
    </row>
    <row r="644" spans="1:29" x14ac:dyDescent="0.25">
      <c r="A644" s="272"/>
      <c r="B644" s="47"/>
      <c r="C644" s="24"/>
      <c r="D644" s="24"/>
      <c r="E644" s="88" t="s">
        <v>193</v>
      </c>
      <c r="F644" s="33">
        <v>4962.6400000000003</v>
      </c>
      <c r="G644" s="33">
        <v>4882.96</v>
      </c>
      <c r="H644" s="33">
        <v>4915.5600000000004</v>
      </c>
      <c r="I644" s="33">
        <v>4889.4399999999996</v>
      </c>
      <c r="J644" s="33">
        <v>4977.67</v>
      </c>
      <c r="K644" s="33">
        <v>5045.6899999999996</v>
      </c>
      <c r="L644" s="33">
        <v>4922.93</v>
      </c>
      <c r="M644" s="33">
        <v>4904.3900000000003</v>
      </c>
      <c r="N644" s="33">
        <v>5031.83</v>
      </c>
      <c r="O644" s="88"/>
      <c r="P644" s="88"/>
      <c r="Q644" s="89"/>
      <c r="R644" s="89"/>
      <c r="S644" s="210"/>
      <c r="T644" s="28"/>
      <c r="U644" s="217"/>
      <c r="V644" s="251"/>
      <c r="X644" s="186"/>
      <c r="Y644" s="186"/>
      <c r="Z644" s="186"/>
      <c r="AA644" s="186"/>
    </row>
    <row r="645" spans="1:29" ht="22.75" thickBot="1" x14ac:dyDescent="0.3">
      <c r="A645" s="279"/>
      <c r="B645" s="90"/>
      <c r="C645" s="91"/>
      <c r="D645" s="91"/>
      <c r="E645" s="92" t="s">
        <v>194</v>
      </c>
      <c r="F645" s="79">
        <f t="shared" ref="F645:N645" si="211">IF(((F643="")*AND(F644="")),"",(F643-F644)*2)</f>
        <v>3822.3999999999996</v>
      </c>
      <c r="G645" s="79">
        <f t="shared" si="211"/>
        <v>4013.92</v>
      </c>
      <c r="H645" s="79">
        <f t="shared" si="211"/>
        <v>4050.8599999999988</v>
      </c>
      <c r="I645" s="79">
        <f t="shared" si="211"/>
        <v>3995.6200000000008</v>
      </c>
      <c r="J645" s="79">
        <f t="shared" si="211"/>
        <v>3808.9599999999991</v>
      </c>
      <c r="K645" s="79">
        <f t="shared" si="211"/>
        <v>3687.6400000000012</v>
      </c>
      <c r="L645" s="79">
        <f t="shared" si="211"/>
        <v>3990.9399999999987</v>
      </c>
      <c r="M645" s="79">
        <f t="shared" si="211"/>
        <v>4053.4799999999996</v>
      </c>
      <c r="N645" s="79">
        <f t="shared" si="211"/>
        <v>3911.7199999999993</v>
      </c>
      <c r="O645" s="92"/>
      <c r="P645" s="92"/>
      <c r="Q645" s="93"/>
      <c r="R645" s="93"/>
      <c r="S645" s="213"/>
      <c r="T645" s="223"/>
      <c r="U645" s="224"/>
      <c r="V645" s="251"/>
      <c r="X645" s="186"/>
      <c r="Y645" s="186"/>
      <c r="Z645" s="186"/>
      <c r="AA645" s="186"/>
    </row>
    <row r="646" spans="1:29" x14ac:dyDescent="0.25">
      <c r="A646" s="277">
        <v>43383</v>
      </c>
      <c r="B646" s="85" t="s">
        <v>191</v>
      </c>
      <c r="C646" s="70" t="s">
        <v>176</v>
      </c>
      <c r="D646" s="70" t="s">
        <v>175</v>
      </c>
      <c r="E646" s="86" t="s">
        <v>192</v>
      </c>
      <c r="F646" s="33">
        <v>29268.639999999999</v>
      </c>
      <c r="G646" s="33">
        <v>29173.39</v>
      </c>
      <c r="H646" s="33">
        <v>29166.41</v>
      </c>
      <c r="I646" s="33">
        <v>29160.9</v>
      </c>
      <c r="J646" s="33">
        <v>29257.98</v>
      </c>
      <c r="K646" s="33">
        <v>29250.37</v>
      </c>
      <c r="L646" s="33">
        <v>29155.64</v>
      </c>
      <c r="M646" s="33">
        <v>29159.3</v>
      </c>
      <c r="N646" s="33">
        <v>29228.48</v>
      </c>
      <c r="O646" s="86">
        <f>IF((N647=""),"",MAX(F648:N648))</f>
        <v>4578.2999999999956</v>
      </c>
      <c r="P646" s="86">
        <f>IF(N647="","",MIN(F648:N648))</f>
        <v>4213.0499999999956</v>
      </c>
      <c r="Q646" s="87">
        <f>IF((N648=""),"",AVERAGE(F648:N648))</f>
        <v>4381.83</v>
      </c>
      <c r="R646" s="87">
        <f>IF((N647=""),"",(O646-P646)/(O646+P646)*100)</f>
        <v>4.1546520159019984</v>
      </c>
      <c r="S646" s="221">
        <f>STDEV(F648:N648)</f>
        <v>160.01852994262958</v>
      </c>
      <c r="T646" s="208" t="str">
        <f>IF(N647="","",IF(R646&lt;16,IF(Q646&gt;3200,IF(R646,IF(Q646&lt;5240,"Pass","Fail"),"Fail"),"Fail")))</f>
        <v>Pass</v>
      </c>
      <c r="U646" s="220">
        <v>1340</v>
      </c>
      <c r="V646" s="251" t="s">
        <v>214</v>
      </c>
      <c r="X646" s="184">
        <v>4200</v>
      </c>
      <c r="Y646" s="184">
        <v>5500</v>
      </c>
      <c r="Z646" s="184">
        <v>3200</v>
      </c>
      <c r="AA646" s="184">
        <v>5240</v>
      </c>
      <c r="AB646" s="57">
        <v>16</v>
      </c>
    </row>
    <row r="647" spans="1:29" x14ac:dyDescent="0.25">
      <c r="A647" s="272"/>
      <c r="B647" s="47"/>
      <c r="C647" s="24"/>
      <c r="D647" s="24"/>
      <c r="E647" s="88" t="s">
        <v>193</v>
      </c>
      <c r="F647" s="33">
        <v>27752.46</v>
      </c>
      <c r="G647" s="33">
        <v>27748.39</v>
      </c>
      <c r="H647" s="33">
        <v>27762.06</v>
      </c>
      <c r="I647" s="33">
        <v>27740.49</v>
      </c>
      <c r="J647" s="33">
        <v>27731.88</v>
      </c>
      <c r="K647" s="33">
        <v>27732.92</v>
      </c>
      <c r="L647" s="33">
        <v>27747.64</v>
      </c>
      <c r="M647" s="33">
        <v>27736</v>
      </c>
      <c r="N647" s="33">
        <v>27723.78</v>
      </c>
      <c r="O647" s="88"/>
      <c r="P647" s="88"/>
      <c r="Q647" s="89"/>
      <c r="R647" s="89"/>
      <c r="S647" s="210"/>
      <c r="T647" s="23"/>
      <c r="U647" s="211"/>
      <c r="V647" s="251"/>
      <c r="X647" s="186"/>
      <c r="Y647" s="186"/>
      <c r="Z647" s="186"/>
      <c r="AA647" s="186"/>
    </row>
    <row r="648" spans="1:29" ht="22.75" thickBot="1" x14ac:dyDescent="0.3">
      <c r="A648" s="272"/>
      <c r="B648" s="47"/>
      <c r="C648" s="24"/>
      <c r="D648" s="24"/>
      <c r="E648" s="88" t="s">
        <v>194</v>
      </c>
      <c r="F648" s="66">
        <f t="shared" ref="F648:N648" si="212">IF(((F646="")*AND(F647="")),"",(F646-F647)*3)</f>
        <v>4548.5400000000009</v>
      </c>
      <c r="G648" s="66">
        <f t="shared" si="212"/>
        <v>4275</v>
      </c>
      <c r="H648" s="66">
        <f t="shared" si="212"/>
        <v>4213.0499999999956</v>
      </c>
      <c r="I648" s="66">
        <f t="shared" si="212"/>
        <v>4261.2299999999996</v>
      </c>
      <c r="J648" s="66">
        <f t="shared" si="212"/>
        <v>4578.2999999999956</v>
      </c>
      <c r="K648" s="66">
        <f t="shared" si="212"/>
        <v>4552.3500000000022</v>
      </c>
      <c r="L648" s="66">
        <f t="shared" si="212"/>
        <v>4224</v>
      </c>
      <c r="M648" s="66">
        <f t="shared" si="212"/>
        <v>4269.8999999999978</v>
      </c>
      <c r="N648" s="66">
        <f t="shared" si="212"/>
        <v>4514.1000000000022</v>
      </c>
      <c r="O648" s="88"/>
      <c r="P648" s="88"/>
      <c r="Q648" s="89"/>
      <c r="R648" s="89"/>
      <c r="S648" s="210"/>
      <c r="T648" s="23"/>
      <c r="U648" s="211"/>
      <c r="V648" s="251"/>
      <c r="X648" s="186"/>
      <c r="Y648" s="186"/>
      <c r="Z648" s="186"/>
      <c r="AA648" s="186"/>
    </row>
    <row r="649" spans="1:29" x14ac:dyDescent="0.25">
      <c r="A649" s="277">
        <v>43383</v>
      </c>
      <c r="B649" s="24" t="s">
        <v>172</v>
      </c>
      <c r="C649" s="24" t="s">
        <v>174</v>
      </c>
      <c r="D649" s="24" t="s">
        <v>195</v>
      </c>
      <c r="E649" s="88" t="s">
        <v>192</v>
      </c>
      <c r="F649" s="33">
        <v>1988.1</v>
      </c>
      <c r="G649" s="33">
        <v>1980.04</v>
      </c>
      <c r="H649" s="33">
        <v>1976.8</v>
      </c>
      <c r="I649" s="33">
        <v>1976.47</v>
      </c>
      <c r="J649" s="33">
        <v>1989.38</v>
      </c>
      <c r="K649" s="33">
        <v>1989.64</v>
      </c>
      <c r="L649" s="33">
        <v>1978.09</v>
      </c>
      <c r="M649" s="33">
        <v>1978.63</v>
      </c>
      <c r="N649" s="33">
        <v>1990.88</v>
      </c>
      <c r="O649" s="88">
        <f>IF((N650=""),"",MAX(F651:N651))</f>
        <v>2170.8599999999997</v>
      </c>
      <c r="P649" s="88">
        <f>IF(N650="","",MIN(F651:N651))</f>
        <v>2077.1400000000003</v>
      </c>
      <c r="Q649" s="89">
        <f>IF((N651=""),"",AVERAGE(F651:N651))</f>
        <v>2127.746666666666</v>
      </c>
      <c r="R649" s="89">
        <f>IF((N650=""),"",(O649-P649)/(O649+P649)*100)</f>
        <v>2.2062146892655212</v>
      </c>
      <c r="S649" s="210">
        <f>STDEV(F651:N651)</f>
        <v>34.468010531505762</v>
      </c>
      <c r="T649" s="23" t="str">
        <f>IF(N650="","",IF(Q649&gt;1940,IF(R649&lt;8.3,IF(Q649&lt;2180,"Pass","Fail"),"Fail"),"Fail"))</f>
        <v>Pass</v>
      </c>
      <c r="U649" s="220">
        <v>1340</v>
      </c>
      <c r="V649" s="251" t="s">
        <v>214</v>
      </c>
      <c r="X649" s="184">
        <v>2000</v>
      </c>
      <c r="Y649" s="184">
        <v>3000</v>
      </c>
      <c r="Z649" s="184">
        <v>1940</v>
      </c>
      <c r="AA649" s="184">
        <v>2180</v>
      </c>
      <c r="AB649" s="57">
        <v>5.2</v>
      </c>
    </row>
    <row r="650" spans="1:29" x14ac:dyDescent="0.25">
      <c r="A650" s="272"/>
      <c r="B650" s="47"/>
      <c r="C650" s="24"/>
      <c r="D650" s="24"/>
      <c r="E650" s="88" t="s">
        <v>193</v>
      </c>
      <c r="F650" s="33">
        <v>1278.31</v>
      </c>
      <c r="G650" s="33">
        <v>1258.3399999999999</v>
      </c>
      <c r="H650" s="33">
        <v>1253.18</v>
      </c>
      <c r="I650" s="33">
        <v>1265.8800000000001</v>
      </c>
      <c r="J650" s="33">
        <v>1296.32</v>
      </c>
      <c r="K650" s="33">
        <v>1297.26</v>
      </c>
      <c r="L650" s="33">
        <v>1270.8900000000001</v>
      </c>
      <c r="M650" s="33">
        <v>1258.4000000000001</v>
      </c>
      <c r="N650" s="33">
        <v>1286.21</v>
      </c>
      <c r="O650" s="88"/>
      <c r="P650" s="88"/>
      <c r="Q650" s="89"/>
      <c r="R650" s="89"/>
      <c r="S650" s="210"/>
      <c r="T650" s="23"/>
      <c r="U650" s="211"/>
      <c r="V650" s="251"/>
      <c r="X650" s="186"/>
      <c r="Y650" s="186"/>
      <c r="Z650" s="186"/>
      <c r="AA650" s="186"/>
    </row>
    <row r="651" spans="1:29" ht="22.15" customHeight="1" thickBot="1" x14ac:dyDescent="0.3">
      <c r="A651" s="272"/>
      <c r="B651" s="47"/>
      <c r="C651" s="24"/>
      <c r="D651" s="24"/>
      <c r="E651" s="88" t="s">
        <v>196</v>
      </c>
      <c r="F651" s="66">
        <f t="shared" ref="F651:N651" si="213">IF(((F649="")*AND(F650="")),"",(F649-F650)*3)</f>
        <v>2129.37</v>
      </c>
      <c r="G651" s="66">
        <f t="shared" si="213"/>
        <v>2165.1000000000004</v>
      </c>
      <c r="H651" s="66">
        <f t="shared" si="213"/>
        <v>2170.8599999999997</v>
      </c>
      <c r="I651" s="66">
        <f t="shared" si="213"/>
        <v>2131.7699999999995</v>
      </c>
      <c r="J651" s="66">
        <f t="shared" si="213"/>
        <v>2079.1800000000003</v>
      </c>
      <c r="K651" s="66">
        <f t="shared" si="213"/>
        <v>2077.1400000000003</v>
      </c>
      <c r="L651" s="66">
        <f t="shared" si="213"/>
        <v>2121.5999999999995</v>
      </c>
      <c r="M651" s="66">
        <f t="shared" si="213"/>
        <v>2160.69</v>
      </c>
      <c r="N651" s="66">
        <f t="shared" si="213"/>
        <v>2114.0100000000002</v>
      </c>
      <c r="O651" s="88"/>
      <c r="P651" s="88"/>
      <c r="Q651" s="89"/>
      <c r="R651" s="89"/>
      <c r="S651" s="210"/>
      <c r="T651" s="23"/>
      <c r="U651" s="211"/>
      <c r="V651" s="251"/>
      <c r="X651" s="186"/>
      <c r="Y651" s="186"/>
      <c r="Z651" s="186"/>
      <c r="AA651" s="186"/>
    </row>
    <row r="652" spans="1:29" x14ac:dyDescent="0.25">
      <c r="A652" s="277">
        <v>43383</v>
      </c>
      <c r="B652" s="47" t="s">
        <v>177</v>
      </c>
      <c r="C652" s="24" t="s">
        <v>179</v>
      </c>
      <c r="D652" s="24" t="s">
        <v>178</v>
      </c>
      <c r="E652" s="88" t="s">
        <v>192</v>
      </c>
      <c r="F652" s="33">
        <v>4970.53</v>
      </c>
      <c r="G652" s="33">
        <v>4892.05</v>
      </c>
      <c r="H652" s="33">
        <v>4924.42</v>
      </c>
      <c r="I652" s="33">
        <v>4898.46</v>
      </c>
      <c r="J652" s="33">
        <v>4985.33</v>
      </c>
      <c r="K652" s="33">
        <v>5052.33</v>
      </c>
      <c r="L652" s="33">
        <v>4931.3</v>
      </c>
      <c r="M652" s="33">
        <v>4912.8999999999996</v>
      </c>
      <c r="N652" s="33">
        <v>5038.7</v>
      </c>
      <c r="O652" s="88">
        <f>IF((N653=""),"",MAX(F654:N654))</f>
        <v>4125.3599999999997</v>
      </c>
      <c r="P652" s="88">
        <f>IF(N653="","",MIN(F654:N654))</f>
        <v>3748.6399999999994</v>
      </c>
      <c r="Q652" s="89">
        <f>IF((N654=""),"",AVERAGE(F654:N654))</f>
        <v>3995.7977777777778</v>
      </c>
      <c r="R652" s="89">
        <f>IF((N653=""),"",(O652-P652)/(O652+P652)*100)</f>
        <v>4.7843535687071412</v>
      </c>
      <c r="S652" s="210">
        <f>STDEV(F654:N654)</f>
        <v>131.78010906219689</v>
      </c>
      <c r="T652" s="23" t="str">
        <f>IF(N653="","",IF(Q652&gt;3650,IF(R652&lt;7,IF(Q652&lt;4450,"Pass","Fail"),"Fail"),"Fail"))</f>
        <v>Pass</v>
      </c>
      <c r="U652" s="220">
        <v>1340</v>
      </c>
      <c r="V652" s="251" t="s">
        <v>214</v>
      </c>
      <c r="X652" s="184">
        <v>3650</v>
      </c>
      <c r="Y652" s="184">
        <v>4450</v>
      </c>
      <c r="Z652" s="184">
        <v>3700</v>
      </c>
      <c r="AA652" s="184">
        <v>4100</v>
      </c>
      <c r="AB652" s="57">
        <v>6.5</v>
      </c>
      <c r="AC652" s="57">
        <v>7</v>
      </c>
    </row>
    <row r="653" spans="1:29" x14ac:dyDescent="0.25">
      <c r="A653" s="272"/>
      <c r="B653" s="47"/>
      <c r="C653" s="24"/>
      <c r="D653" s="24"/>
      <c r="E653" s="88" t="s">
        <v>193</v>
      </c>
      <c r="F653" s="33">
        <v>3027.64</v>
      </c>
      <c r="G653" s="33">
        <v>2849.55</v>
      </c>
      <c r="H653" s="33">
        <v>2862.62</v>
      </c>
      <c r="I653" s="33">
        <v>2860.51</v>
      </c>
      <c r="J653" s="33">
        <v>3044.26</v>
      </c>
      <c r="K653" s="33">
        <v>3178.01</v>
      </c>
      <c r="L653" s="33">
        <v>2899.04</v>
      </c>
      <c r="M653" s="33">
        <v>2850.22</v>
      </c>
      <c r="N653" s="33">
        <v>3053.08</v>
      </c>
      <c r="O653" s="88"/>
      <c r="P653" s="88"/>
      <c r="Q653" s="89"/>
      <c r="R653" s="89"/>
      <c r="S653" s="210"/>
      <c r="T653" s="28"/>
      <c r="U653" s="217"/>
      <c r="V653" s="251"/>
      <c r="X653" s="186"/>
      <c r="Y653" s="186"/>
      <c r="Z653" s="186"/>
      <c r="AA653" s="186"/>
    </row>
    <row r="654" spans="1:29" ht="22.75" thickBot="1" x14ac:dyDescent="0.3">
      <c r="A654" s="282"/>
      <c r="B654" s="95"/>
      <c r="C654" s="72"/>
      <c r="D654" s="72"/>
      <c r="E654" s="74" t="s">
        <v>194</v>
      </c>
      <c r="F654" s="71">
        <f t="shared" ref="F654:N654" si="214">IF(((F652="")*AND(F653="")),"",(F652-F653)*2)</f>
        <v>3885.7799999999997</v>
      </c>
      <c r="G654" s="71">
        <f t="shared" si="214"/>
        <v>4085</v>
      </c>
      <c r="H654" s="71">
        <f t="shared" si="214"/>
        <v>4123.6000000000004</v>
      </c>
      <c r="I654" s="71">
        <f t="shared" si="214"/>
        <v>4075.8999999999996</v>
      </c>
      <c r="J654" s="71">
        <f t="shared" si="214"/>
        <v>3882.1399999999994</v>
      </c>
      <c r="K654" s="71">
        <f t="shared" si="214"/>
        <v>3748.6399999999994</v>
      </c>
      <c r="L654" s="71">
        <f t="shared" si="214"/>
        <v>4064.5200000000004</v>
      </c>
      <c r="M654" s="71">
        <f t="shared" si="214"/>
        <v>4125.3599999999997</v>
      </c>
      <c r="N654" s="71">
        <f t="shared" si="214"/>
        <v>3971.24</v>
      </c>
      <c r="O654" s="74"/>
      <c r="P654" s="74"/>
      <c r="Q654" s="75"/>
      <c r="R654" s="75"/>
      <c r="S654" s="218"/>
      <c r="T654" s="225"/>
      <c r="U654" s="226"/>
      <c r="V654" s="251"/>
      <c r="X654" s="186"/>
      <c r="Y654" s="186"/>
      <c r="Z654" s="186"/>
      <c r="AA654" s="186"/>
    </row>
    <row r="655" spans="1:29" x14ac:dyDescent="0.25">
      <c r="A655" s="277">
        <v>43387</v>
      </c>
      <c r="B655" s="85" t="s">
        <v>177</v>
      </c>
      <c r="C655" s="70" t="s">
        <v>179</v>
      </c>
      <c r="D655" s="70" t="s">
        <v>178</v>
      </c>
      <c r="E655" s="86" t="s">
        <v>192</v>
      </c>
      <c r="F655" s="207">
        <v>6913.76</v>
      </c>
      <c r="G655" s="207">
        <v>6917.01</v>
      </c>
      <c r="H655" s="207">
        <v>6938.55</v>
      </c>
      <c r="I655" s="207">
        <v>6879</v>
      </c>
      <c r="J655" s="207">
        <v>6924.66</v>
      </c>
      <c r="K655" s="207">
        <v>6870.55</v>
      </c>
      <c r="L655" s="207">
        <v>6884.15</v>
      </c>
      <c r="M655" s="207">
        <v>6921.89</v>
      </c>
      <c r="N655" s="207">
        <v>6986.62</v>
      </c>
      <c r="O655" s="86">
        <f>IF((N656=""),"",MAX(F657:N657))</f>
        <v>4086.76</v>
      </c>
      <c r="P655" s="86">
        <f>IF(N656="","",MIN(F657:N657))</f>
        <v>3720.7000000000007</v>
      </c>
      <c r="Q655" s="87">
        <f>IF((N657=""),"",AVERAGE(F657:N657))</f>
        <v>3958.2999999999997</v>
      </c>
      <c r="R655" s="87">
        <f>IF((N656=""),"",(O655-P655)/(O655+P655)*100)</f>
        <v>4.6885927049257949</v>
      </c>
      <c r="S655" s="221">
        <f>STDEV(F657:N657)</f>
        <v>125.43281269269208</v>
      </c>
      <c r="T655" s="208" t="str">
        <f>IF(N656="","",IF(Q655&gt;3650,IF(R655&lt;7,IF(Q655&lt;4450,"Pass","Fail"),"Fail"),"Fail"))</f>
        <v>Pass</v>
      </c>
      <c r="U655" s="220">
        <v>1340</v>
      </c>
      <c r="V655" s="251" t="s">
        <v>215</v>
      </c>
      <c r="X655" s="184">
        <v>3650</v>
      </c>
      <c r="Y655" s="184">
        <v>4450</v>
      </c>
      <c r="Z655" s="184">
        <v>3700</v>
      </c>
      <c r="AA655" s="184">
        <v>4100</v>
      </c>
      <c r="AB655" s="57">
        <v>6.5</v>
      </c>
      <c r="AC655" s="57">
        <v>7</v>
      </c>
    </row>
    <row r="656" spans="1:29" x14ac:dyDescent="0.25">
      <c r="A656" s="272"/>
      <c r="B656" s="47"/>
      <c r="C656" s="24"/>
      <c r="D656" s="24"/>
      <c r="E656" s="88" t="s">
        <v>193</v>
      </c>
      <c r="F656" s="28">
        <v>4990.21</v>
      </c>
      <c r="G656" s="28">
        <v>4899.29</v>
      </c>
      <c r="H656" s="28">
        <v>4897.79</v>
      </c>
      <c r="I656" s="28">
        <v>4862.8</v>
      </c>
      <c r="J656" s="28">
        <v>4996.3</v>
      </c>
      <c r="K656" s="28">
        <v>5010.2</v>
      </c>
      <c r="L656" s="28">
        <v>4875.54</v>
      </c>
      <c r="M656" s="28">
        <v>4878.51</v>
      </c>
      <c r="N656" s="28">
        <v>5013.2</v>
      </c>
      <c r="O656" s="88"/>
      <c r="P656" s="88"/>
      <c r="Q656" s="89"/>
      <c r="R656" s="89"/>
      <c r="S656" s="210"/>
      <c r="T656" s="28"/>
      <c r="U656" s="217"/>
      <c r="V656" s="251"/>
      <c r="X656" s="186"/>
      <c r="Y656" s="186"/>
      <c r="Z656" s="186"/>
      <c r="AA656" s="186"/>
    </row>
    <row r="657" spans="1:29" ht="22.15" x14ac:dyDescent="0.25">
      <c r="A657" s="272"/>
      <c r="B657" s="47"/>
      <c r="C657" s="24"/>
      <c r="D657" s="24"/>
      <c r="E657" s="88" t="s">
        <v>194</v>
      </c>
      <c r="F657" s="66">
        <f t="shared" ref="F657:N657" si="215">IF(((F655="")*AND(F656="")),"",(F655-F656)*2)</f>
        <v>3847.1000000000004</v>
      </c>
      <c r="G657" s="66">
        <f t="shared" si="215"/>
        <v>4035.4400000000005</v>
      </c>
      <c r="H657" s="66">
        <f t="shared" si="215"/>
        <v>4081.5200000000004</v>
      </c>
      <c r="I657" s="66">
        <f t="shared" si="215"/>
        <v>4032.3999999999996</v>
      </c>
      <c r="J657" s="66">
        <f t="shared" si="215"/>
        <v>3856.7199999999993</v>
      </c>
      <c r="K657" s="66">
        <f t="shared" si="215"/>
        <v>3720.7000000000007</v>
      </c>
      <c r="L657" s="66">
        <f t="shared" si="215"/>
        <v>4017.2199999999993</v>
      </c>
      <c r="M657" s="66">
        <f t="shared" si="215"/>
        <v>4086.76</v>
      </c>
      <c r="N657" s="66">
        <f t="shared" si="215"/>
        <v>3946.84</v>
      </c>
      <c r="O657" s="88"/>
      <c r="P657" s="88"/>
      <c r="Q657" s="89"/>
      <c r="R657" s="89"/>
      <c r="S657" s="210"/>
      <c r="T657" s="28"/>
      <c r="U657" s="217"/>
      <c r="V657" s="251"/>
      <c r="X657" s="186"/>
      <c r="Y657" s="186"/>
      <c r="Z657" s="186"/>
      <c r="AA657" s="186"/>
    </row>
    <row r="658" spans="1:29" x14ac:dyDescent="0.25">
      <c r="A658" s="272">
        <v>43387</v>
      </c>
      <c r="B658" s="24" t="s">
        <v>172</v>
      </c>
      <c r="C658" s="24" t="s">
        <v>174</v>
      </c>
      <c r="D658" s="24" t="s">
        <v>195</v>
      </c>
      <c r="E658" s="88" t="s">
        <v>192</v>
      </c>
      <c r="F658" s="28">
        <v>1920.23</v>
      </c>
      <c r="G658" s="28">
        <v>1912.53</v>
      </c>
      <c r="H658" s="28">
        <v>1907.95</v>
      </c>
      <c r="I658" s="28">
        <v>1917.67</v>
      </c>
      <c r="J658" s="28">
        <v>1925.22</v>
      </c>
      <c r="K658" s="28">
        <v>1922.32</v>
      </c>
      <c r="L658" s="28">
        <v>1913.2</v>
      </c>
      <c r="M658" s="28">
        <v>1918.71</v>
      </c>
      <c r="N658" s="28">
        <v>1924.12</v>
      </c>
      <c r="O658" s="88">
        <f>IF((N659=""),"",MAX(F660:N660))</f>
        <v>2081.79</v>
      </c>
      <c r="P658" s="88">
        <f>IF(N659="","",MIN(F660:N660))</f>
        <v>1980.2399999999998</v>
      </c>
      <c r="Q658" s="89">
        <f>IF((N660=""),"",AVERAGE(F660:N660))</f>
        <v>2023.49</v>
      </c>
      <c r="R658" s="89">
        <f>IF((N659=""),"",(O658-P658)/(O658+P658)*100)</f>
        <v>2.4999815363254378</v>
      </c>
      <c r="S658" s="210">
        <f>STDEV(F660:N660)</f>
        <v>34.026279182420318</v>
      </c>
      <c r="T658" s="23" t="str">
        <f>IF(N659="","",IF(Q658&gt;1940,IF(R658&lt;8.3,IF(Q658&lt;2180,"Pass","Fail"),"Fail"),"Fail"))</f>
        <v>Pass</v>
      </c>
      <c r="U658" s="217">
        <v>1340</v>
      </c>
      <c r="V658" s="251" t="s">
        <v>215</v>
      </c>
      <c r="X658" s="184">
        <v>2000</v>
      </c>
      <c r="Y658" s="184">
        <v>3000</v>
      </c>
      <c r="Z658" s="184">
        <v>1940</v>
      </c>
      <c r="AA658" s="184">
        <v>2180</v>
      </c>
      <c r="AB658" s="57">
        <v>5.2</v>
      </c>
    </row>
    <row r="659" spans="1:29" x14ac:dyDescent="0.25">
      <c r="A659" s="272"/>
      <c r="B659" s="47"/>
      <c r="C659" s="24"/>
      <c r="D659" s="24"/>
      <c r="E659" s="88" t="s">
        <v>193</v>
      </c>
      <c r="F659" s="28">
        <v>1260.1500000000001</v>
      </c>
      <c r="G659" s="28">
        <v>1235.8599999999999</v>
      </c>
      <c r="H659" s="28">
        <v>1228.04</v>
      </c>
      <c r="I659" s="28">
        <v>1230.26</v>
      </c>
      <c r="J659" s="28">
        <v>1259.0899999999999</v>
      </c>
      <c r="K659" s="28">
        <v>1260.43</v>
      </c>
      <c r="L659" s="28">
        <v>1239.6300000000001</v>
      </c>
      <c r="M659" s="28">
        <v>1224.78</v>
      </c>
      <c r="N659" s="28">
        <v>1253.24</v>
      </c>
      <c r="O659" s="88"/>
      <c r="P659" s="88"/>
      <c r="Q659" s="89"/>
      <c r="R659" s="89"/>
      <c r="S659" s="210"/>
      <c r="T659" s="23"/>
      <c r="U659" s="211"/>
      <c r="V659" s="251"/>
      <c r="X659" s="186"/>
      <c r="Y659" s="186"/>
      <c r="Z659" s="186"/>
      <c r="AA659" s="186"/>
    </row>
    <row r="660" spans="1:29" x14ac:dyDescent="0.25">
      <c r="A660" s="272"/>
      <c r="B660" s="47"/>
      <c r="C660" s="24"/>
      <c r="D660" s="24"/>
      <c r="E660" s="88" t="s">
        <v>196</v>
      </c>
      <c r="F660" s="66">
        <f t="shared" ref="F660:N660" si="216">IF(((F658="")*AND(F659="")),"",(F658-F659)*3)</f>
        <v>1980.2399999999998</v>
      </c>
      <c r="G660" s="66">
        <f t="shared" si="216"/>
        <v>2030.0100000000002</v>
      </c>
      <c r="H660" s="66">
        <f t="shared" si="216"/>
        <v>2039.7300000000002</v>
      </c>
      <c r="I660" s="66">
        <f t="shared" si="216"/>
        <v>2062.2300000000005</v>
      </c>
      <c r="J660" s="66">
        <f t="shared" si="216"/>
        <v>1998.3900000000003</v>
      </c>
      <c r="K660" s="66">
        <f t="shared" si="216"/>
        <v>1985.6699999999996</v>
      </c>
      <c r="L660" s="66">
        <f t="shared" si="216"/>
        <v>2020.7099999999998</v>
      </c>
      <c r="M660" s="66">
        <f t="shared" si="216"/>
        <v>2081.79</v>
      </c>
      <c r="N660" s="66">
        <f t="shared" si="216"/>
        <v>2012.6399999999996</v>
      </c>
      <c r="O660" s="88"/>
      <c r="P660" s="88"/>
      <c r="Q660" s="89"/>
      <c r="R660" s="89"/>
      <c r="S660" s="210"/>
      <c r="T660" s="23"/>
      <c r="U660" s="211"/>
      <c r="V660" s="251"/>
      <c r="X660" s="186"/>
      <c r="Y660" s="186"/>
      <c r="Z660" s="186"/>
      <c r="AA660" s="186"/>
    </row>
    <row r="661" spans="1:29" x14ac:dyDescent="0.25">
      <c r="A661" s="272">
        <v>43387</v>
      </c>
      <c r="B661" s="47" t="s">
        <v>191</v>
      </c>
      <c r="C661" s="24" t="s">
        <v>176</v>
      </c>
      <c r="D661" s="24" t="s">
        <v>175</v>
      </c>
      <c r="E661" s="88" t="s">
        <v>192</v>
      </c>
      <c r="F661" s="28">
        <v>29268.38</v>
      </c>
      <c r="G661" s="28">
        <v>29186.81</v>
      </c>
      <c r="H661" s="28">
        <v>29207.61</v>
      </c>
      <c r="I661" s="28">
        <v>29170.240000000002</v>
      </c>
      <c r="J661" s="28">
        <v>29225.9</v>
      </c>
      <c r="K661" s="28">
        <v>29222.880000000001</v>
      </c>
      <c r="L661" s="28">
        <v>29176.38</v>
      </c>
      <c r="M661" s="28">
        <v>29175.06</v>
      </c>
      <c r="N661" s="28">
        <v>29278.5</v>
      </c>
      <c r="O661" s="88">
        <f>IF((N662=""),"",MAX(F663:N663))</f>
        <v>4528.7099999999991</v>
      </c>
      <c r="P661" s="88">
        <f>IF(N662="","",MIN(F663:N663))</f>
        <v>4086.3300000000017</v>
      </c>
      <c r="Q661" s="89">
        <f>IF((N663=""),"",AVERAGE(F663:N663))</f>
        <v>4263.9600000000037</v>
      </c>
      <c r="R661" s="89">
        <f>IF((N662=""),"",(O661-P661)/(O661+P661)*100)</f>
        <v>5.134973256073069</v>
      </c>
      <c r="S661" s="210">
        <f>STDEV(F663:N663)</f>
        <v>162.9352316873163</v>
      </c>
      <c r="T661" s="23" t="str">
        <f>IF(N662="","",IF(R661&lt;16,IF(Q661&gt;3200,IF(R661,IF(Q661&lt;5240,"Pass","Fail"),"Fail"),"Fail")))</f>
        <v>Pass</v>
      </c>
      <c r="U661" s="217">
        <v>1340</v>
      </c>
      <c r="V661" s="251" t="s">
        <v>215</v>
      </c>
      <c r="X661" s="184">
        <v>4200</v>
      </c>
      <c r="Y661" s="184">
        <v>5500</v>
      </c>
      <c r="Z661" s="184">
        <v>3200</v>
      </c>
      <c r="AA661" s="184">
        <v>5240</v>
      </c>
      <c r="AB661" s="57">
        <v>16</v>
      </c>
    </row>
    <row r="662" spans="1:29" x14ac:dyDescent="0.25">
      <c r="A662" s="272"/>
      <c r="B662" s="47"/>
      <c r="C662" s="24"/>
      <c r="D662" s="24"/>
      <c r="E662" s="88" t="s">
        <v>193</v>
      </c>
      <c r="F662" s="28">
        <v>27779.29</v>
      </c>
      <c r="G662" s="28">
        <v>27792.41</v>
      </c>
      <c r="H662" s="28">
        <v>27845.5</v>
      </c>
      <c r="I662" s="28">
        <v>27796.03</v>
      </c>
      <c r="J662" s="28">
        <v>27768.01</v>
      </c>
      <c r="K662" s="28">
        <v>27787.81</v>
      </c>
      <c r="L662" s="28">
        <v>27808.48</v>
      </c>
      <c r="M662" s="28">
        <v>27773.42</v>
      </c>
      <c r="N662" s="28">
        <v>27768.93</v>
      </c>
      <c r="O662" s="88"/>
      <c r="P662" s="88"/>
      <c r="Q662" s="89"/>
      <c r="R662" s="89"/>
      <c r="S662" s="210"/>
      <c r="T662" s="23"/>
      <c r="U662" s="211"/>
      <c r="V662" s="251"/>
      <c r="X662" s="186"/>
      <c r="Y662" s="186"/>
      <c r="Z662" s="186"/>
      <c r="AA662" s="186"/>
    </row>
    <row r="663" spans="1:29" ht="22.75" thickBot="1" x14ac:dyDescent="0.3">
      <c r="A663" s="279"/>
      <c r="B663" s="90"/>
      <c r="C663" s="91"/>
      <c r="D663" s="91"/>
      <c r="E663" s="92" t="s">
        <v>194</v>
      </c>
      <c r="F663" s="79">
        <f t="shared" ref="F663:N663" si="217">IF(((F661="")*AND(F662="")),"",(F661-F662)*3)</f>
        <v>4467.2700000000004</v>
      </c>
      <c r="G663" s="79">
        <f t="shared" si="217"/>
        <v>4183.2000000000044</v>
      </c>
      <c r="H663" s="79">
        <f t="shared" si="217"/>
        <v>4086.3300000000017</v>
      </c>
      <c r="I663" s="79">
        <f t="shared" si="217"/>
        <v>4122.6300000000083</v>
      </c>
      <c r="J663" s="79">
        <f t="shared" si="217"/>
        <v>4373.6700000000092</v>
      </c>
      <c r="K663" s="79">
        <f t="shared" si="217"/>
        <v>4305.2099999999991</v>
      </c>
      <c r="L663" s="79">
        <f t="shared" si="217"/>
        <v>4103.7000000000044</v>
      </c>
      <c r="M663" s="79">
        <f t="shared" si="217"/>
        <v>4204.9200000000092</v>
      </c>
      <c r="N663" s="79">
        <f t="shared" si="217"/>
        <v>4528.7099999999991</v>
      </c>
      <c r="O663" s="92"/>
      <c r="P663" s="92"/>
      <c r="Q663" s="93"/>
      <c r="R663" s="93"/>
      <c r="S663" s="213"/>
      <c r="T663" s="214"/>
      <c r="U663" s="215"/>
      <c r="V663" s="251"/>
      <c r="X663" s="186"/>
      <c r="Y663" s="186"/>
      <c r="Z663" s="186"/>
      <c r="AA663" s="186"/>
    </row>
    <row r="664" spans="1:29" x14ac:dyDescent="0.25">
      <c r="A664" s="271">
        <v>43390</v>
      </c>
      <c r="B664" s="63" t="s">
        <v>177</v>
      </c>
      <c r="C664" s="65" t="s">
        <v>179</v>
      </c>
      <c r="D664" s="65" t="s">
        <v>178</v>
      </c>
      <c r="E664" s="67" t="s">
        <v>192</v>
      </c>
      <c r="F664" s="175">
        <v>4996.04</v>
      </c>
      <c r="G664" s="175">
        <v>4906.16</v>
      </c>
      <c r="H664" s="175">
        <v>4904.93</v>
      </c>
      <c r="I664" s="175">
        <v>4870.8</v>
      </c>
      <c r="J664" s="175">
        <v>5001.92</v>
      </c>
      <c r="K664" s="175">
        <v>5015.62</v>
      </c>
      <c r="L664" s="175">
        <v>4883.22</v>
      </c>
      <c r="M664" s="175">
        <v>4885.9399999999996</v>
      </c>
      <c r="N664" s="175">
        <v>5019.01</v>
      </c>
      <c r="O664" s="67">
        <f>IF((N665=""),"",MAX(F666:N666))</f>
        <v>4082.9799999999996</v>
      </c>
      <c r="P664" s="67">
        <f>IF(N665="","",MIN(F666:N666))</f>
        <v>3654.96</v>
      </c>
      <c r="Q664" s="68">
        <f>IF((N666=""),"",AVERAGE(F666:N666))</f>
        <v>3934.6377777777775</v>
      </c>
      <c r="R664" s="68">
        <f>IF((N665=""),"",(O664-P664)/(O664+P664)*100)</f>
        <v>5.5314463539391561</v>
      </c>
      <c r="S664" s="222">
        <f>STDEV(F666:N666)</f>
        <v>145.70417785514758</v>
      </c>
      <c r="T664" s="187" t="str">
        <f>IF(N665="","",IF(Q664&gt;3650,IF(R664&lt;7,IF(Q664&lt;4450,"Pass","Fail"),"Fail"),"Fail"))</f>
        <v>Pass</v>
      </c>
      <c r="U664" s="216">
        <v>102</v>
      </c>
      <c r="V664" s="252" t="s">
        <v>216</v>
      </c>
      <c r="X664" s="184">
        <v>3650</v>
      </c>
      <c r="Y664" s="184">
        <v>4450</v>
      </c>
      <c r="Z664" s="184">
        <v>3700</v>
      </c>
      <c r="AA664" s="184">
        <v>4100</v>
      </c>
      <c r="AB664" s="57">
        <v>6.5</v>
      </c>
      <c r="AC664" s="57">
        <v>7</v>
      </c>
    </row>
    <row r="665" spans="1:29" x14ac:dyDescent="0.25">
      <c r="A665" s="272"/>
      <c r="B665" s="47"/>
      <c r="C665" s="24"/>
      <c r="D665" s="24"/>
      <c r="E665" s="88" t="s">
        <v>193</v>
      </c>
      <c r="F665" s="28">
        <v>3077.78</v>
      </c>
      <c r="G665" s="28">
        <v>2887.31</v>
      </c>
      <c r="H665" s="28">
        <v>2871.47</v>
      </c>
      <c r="I665" s="28">
        <v>2862.88</v>
      </c>
      <c r="J665" s="28">
        <v>3106.23</v>
      </c>
      <c r="K665" s="28">
        <v>3188.14</v>
      </c>
      <c r="L665" s="28">
        <v>2881.95</v>
      </c>
      <c r="M665" s="28">
        <v>2844.45</v>
      </c>
      <c r="N665" s="28">
        <v>3057.56</v>
      </c>
      <c r="O665" s="88"/>
      <c r="P665" s="88"/>
      <c r="Q665" s="89"/>
      <c r="R665" s="89"/>
      <c r="S665" s="210"/>
      <c r="T665" s="28"/>
      <c r="U665" s="217"/>
      <c r="V665" s="252"/>
      <c r="X665" s="186"/>
      <c r="Y665" s="186"/>
      <c r="Z665" s="186"/>
      <c r="AA665" s="186"/>
    </row>
    <row r="666" spans="1:29" ht="22.15" x14ac:dyDescent="0.25">
      <c r="A666" s="272"/>
      <c r="B666" s="47"/>
      <c r="C666" s="24"/>
      <c r="D666" s="24"/>
      <c r="E666" s="88" t="s">
        <v>194</v>
      </c>
      <c r="F666" s="66">
        <f t="shared" ref="F666:N666" si="218">IF(((F664="")*AND(F665="")),"",(F664-F665)*2)</f>
        <v>3836.5199999999995</v>
      </c>
      <c r="G666" s="66">
        <f t="shared" si="218"/>
        <v>4037.7</v>
      </c>
      <c r="H666" s="66">
        <f t="shared" si="218"/>
        <v>4066.920000000001</v>
      </c>
      <c r="I666" s="66">
        <f t="shared" si="218"/>
        <v>4015.84</v>
      </c>
      <c r="J666" s="66">
        <f t="shared" si="218"/>
        <v>3791.38</v>
      </c>
      <c r="K666" s="66">
        <f t="shared" si="218"/>
        <v>3654.96</v>
      </c>
      <c r="L666" s="66">
        <f t="shared" si="218"/>
        <v>4002.5400000000009</v>
      </c>
      <c r="M666" s="66">
        <f t="shared" si="218"/>
        <v>4082.9799999999996</v>
      </c>
      <c r="N666" s="66">
        <f t="shared" si="218"/>
        <v>3922.9000000000005</v>
      </c>
      <c r="O666" s="88"/>
      <c r="P666" s="88"/>
      <c r="Q666" s="89"/>
      <c r="R666" s="89"/>
      <c r="S666" s="210"/>
      <c r="T666" s="28"/>
      <c r="U666" s="217"/>
      <c r="V666" s="252"/>
      <c r="X666" s="186"/>
      <c r="Y666" s="186"/>
      <c r="Z666" s="186"/>
      <c r="AA666" s="186"/>
    </row>
    <row r="667" spans="1:29" x14ac:dyDescent="0.25">
      <c r="A667" s="272">
        <v>43390</v>
      </c>
      <c r="B667" s="24" t="s">
        <v>172</v>
      </c>
      <c r="C667" s="24" t="s">
        <v>174</v>
      </c>
      <c r="D667" s="24" t="s">
        <v>195</v>
      </c>
      <c r="E667" s="88" t="s">
        <v>192</v>
      </c>
      <c r="F667" s="28">
        <v>1262.03</v>
      </c>
      <c r="G667" s="28">
        <v>1238.1400000000001</v>
      </c>
      <c r="H667" s="28">
        <v>1229.95</v>
      </c>
      <c r="I667" s="28">
        <v>1231.8699999999999</v>
      </c>
      <c r="J667" s="28">
        <v>1261.8499999999999</v>
      </c>
      <c r="K667" s="28">
        <v>1264.43</v>
      </c>
      <c r="L667" s="28">
        <v>1240.99</v>
      </c>
      <c r="M667" s="28">
        <v>1225.99</v>
      </c>
      <c r="N667" s="28">
        <v>1251.0899999999999</v>
      </c>
      <c r="O667" s="88">
        <f>IF((N668=""),"",MAX(F669:N669))</f>
        <v>2093.2200000000003</v>
      </c>
      <c r="P667" s="88">
        <f>IF(N668="","",MIN(F669:N669))</f>
        <v>1992.1799999999998</v>
      </c>
      <c r="Q667" s="89">
        <f>IF((N669=""),"",AVERAGE(F669:N669))</f>
        <v>2050.1999999999998</v>
      </c>
      <c r="R667" s="89">
        <f>IF((N668=""),"",(O667-P667)/(O667+P667)*100)</f>
        <v>2.4731972389484609</v>
      </c>
      <c r="S667" s="210">
        <f>STDEV(F669:N669)</f>
        <v>41.237771823899607</v>
      </c>
      <c r="T667" s="23" t="str">
        <f>IF(N668="","",IF(Q667&gt;1940,IF(R667&lt;8.3,IF(Q667&lt;2180,"Pass","Fail"),"Fail"),"Fail"))</f>
        <v>Pass</v>
      </c>
      <c r="U667" s="217">
        <v>102</v>
      </c>
      <c r="V667" s="252" t="s">
        <v>216</v>
      </c>
      <c r="X667" s="184">
        <v>2000</v>
      </c>
      <c r="Y667" s="184">
        <v>3000</v>
      </c>
      <c r="Z667" s="184">
        <v>1940</v>
      </c>
      <c r="AA667" s="184">
        <v>2180</v>
      </c>
      <c r="AB667" s="57">
        <v>5.2</v>
      </c>
    </row>
    <row r="668" spans="1:29" x14ac:dyDescent="0.25">
      <c r="A668" s="272"/>
      <c r="B668" s="47"/>
      <c r="C668" s="24"/>
      <c r="D668" s="24"/>
      <c r="E668" s="88" t="s">
        <v>193</v>
      </c>
      <c r="F668" s="28">
        <v>589.75</v>
      </c>
      <c r="G668" s="28">
        <v>540.6</v>
      </c>
      <c r="H668" s="28">
        <v>532.21</v>
      </c>
      <c r="I668" s="28">
        <v>542.16999999999996</v>
      </c>
      <c r="J668" s="28">
        <v>595.51</v>
      </c>
      <c r="K668" s="28">
        <v>588.52</v>
      </c>
      <c r="L668" s="28">
        <v>550.38</v>
      </c>
      <c r="M668" s="28">
        <v>529.57000000000005</v>
      </c>
      <c r="N668" s="28">
        <v>587.03</v>
      </c>
      <c r="O668" s="88"/>
      <c r="P668" s="88"/>
      <c r="Q668" s="89"/>
      <c r="R668" s="89"/>
      <c r="S668" s="210"/>
      <c r="T668" s="23"/>
      <c r="U668" s="211"/>
      <c r="V668" s="252"/>
      <c r="X668" s="186"/>
      <c r="Y668" s="186"/>
      <c r="Z668" s="186"/>
      <c r="AA668" s="186"/>
    </row>
    <row r="669" spans="1:29" x14ac:dyDescent="0.25">
      <c r="A669" s="272"/>
      <c r="B669" s="47"/>
      <c r="C669" s="24"/>
      <c r="D669" s="24"/>
      <c r="E669" s="88" t="s">
        <v>196</v>
      </c>
      <c r="F669" s="66">
        <f t="shared" ref="F669:N669" si="219">IF(((F667="")*AND(F668="")),"",(F667-F668)*3)</f>
        <v>2016.84</v>
      </c>
      <c r="G669" s="66">
        <f t="shared" si="219"/>
        <v>2092.6200000000003</v>
      </c>
      <c r="H669" s="66">
        <f t="shared" si="219"/>
        <v>2093.2200000000003</v>
      </c>
      <c r="I669" s="66">
        <f t="shared" si="219"/>
        <v>2069.1</v>
      </c>
      <c r="J669" s="66">
        <f t="shared" si="219"/>
        <v>1999.0199999999998</v>
      </c>
      <c r="K669" s="66">
        <f t="shared" si="219"/>
        <v>2027.7300000000002</v>
      </c>
      <c r="L669" s="66">
        <f t="shared" si="219"/>
        <v>2071.83</v>
      </c>
      <c r="M669" s="66">
        <f t="shared" si="219"/>
        <v>2089.2599999999998</v>
      </c>
      <c r="N669" s="66">
        <f t="shared" si="219"/>
        <v>1992.1799999999998</v>
      </c>
      <c r="O669" s="88"/>
      <c r="P669" s="88"/>
      <c r="Q669" s="89"/>
      <c r="R669" s="89"/>
      <c r="S669" s="210"/>
      <c r="T669" s="23"/>
      <c r="U669" s="211"/>
      <c r="V669" s="252"/>
      <c r="X669" s="186"/>
      <c r="Y669" s="186"/>
      <c r="Z669" s="186"/>
      <c r="AA669" s="186"/>
    </row>
    <row r="670" spans="1:29" x14ac:dyDescent="0.25">
      <c r="A670" s="272">
        <v>43390</v>
      </c>
      <c r="B670" s="47" t="s">
        <v>191</v>
      </c>
      <c r="C670" s="24" t="s">
        <v>176</v>
      </c>
      <c r="D670" s="24" t="s">
        <v>175</v>
      </c>
      <c r="E670" s="88" t="s">
        <v>192</v>
      </c>
      <c r="F670" s="28">
        <v>27735.52</v>
      </c>
      <c r="G670" s="28">
        <v>27745.91</v>
      </c>
      <c r="H670" s="28">
        <v>27801.4</v>
      </c>
      <c r="I670" s="28">
        <v>27758.67</v>
      </c>
      <c r="J670" s="28">
        <v>27720.59</v>
      </c>
      <c r="K670" s="28">
        <v>27736.92</v>
      </c>
      <c r="L670" s="28">
        <v>27770.37</v>
      </c>
      <c r="M670" s="28">
        <v>27736.71</v>
      </c>
      <c r="N670" s="28">
        <v>27717.21</v>
      </c>
      <c r="O670" s="88">
        <f>IF((N671=""),"",MAX(F672:N672))</f>
        <v>4444.0800000000017</v>
      </c>
      <c r="P670" s="88">
        <f>IF(N671="","",MIN(F672:N672))</f>
        <v>4009.320000000007</v>
      </c>
      <c r="Q670" s="89">
        <f>IF((N672=""),"",AVERAGE(F672:N672))</f>
        <v>4192.6899999999987</v>
      </c>
      <c r="R670" s="89">
        <f>IF((N671=""),"",(O670-P670)/(O670+P670)*100)</f>
        <v>5.143019376818728</v>
      </c>
      <c r="S670" s="210">
        <f>STDEV(F672:N672)</f>
        <v>165.84239461006271</v>
      </c>
      <c r="T670" s="23" t="str">
        <f>IF(N671="","",IF(R670&lt;16,IF(Q670&gt;3200,IF(R670,IF(Q670&lt;5240,"Pass","Fail"),"Fail"),"Fail")))</f>
        <v>Pass</v>
      </c>
      <c r="U670" s="217">
        <v>102</v>
      </c>
      <c r="V670" s="252" t="s">
        <v>216</v>
      </c>
      <c r="X670" s="184">
        <v>4200</v>
      </c>
      <c r="Y670" s="184">
        <v>5500</v>
      </c>
      <c r="Z670" s="184">
        <v>3200</v>
      </c>
      <c r="AA670" s="184">
        <v>5240</v>
      </c>
      <c r="AB670" s="57">
        <v>16</v>
      </c>
    </row>
    <row r="671" spans="1:29" x14ac:dyDescent="0.25">
      <c r="A671" s="272"/>
      <c r="B671" s="47"/>
      <c r="C671" s="24"/>
      <c r="D671" s="24"/>
      <c r="E671" s="88" t="s">
        <v>193</v>
      </c>
      <c r="F671" s="28">
        <v>26264.240000000002</v>
      </c>
      <c r="G671" s="28">
        <v>26386.76</v>
      </c>
      <c r="H671" s="28">
        <v>26464.959999999999</v>
      </c>
      <c r="I671" s="28">
        <v>26401.87</v>
      </c>
      <c r="J671" s="28">
        <v>26281.38</v>
      </c>
      <c r="K671" s="28">
        <v>26327.93</v>
      </c>
      <c r="L671" s="28">
        <v>26427.74</v>
      </c>
      <c r="M671" s="28">
        <v>26354.5</v>
      </c>
      <c r="N671" s="28">
        <v>26235.85</v>
      </c>
      <c r="O671" s="88"/>
      <c r="P671" s="88"/>
      <c r="Q671" s="89"/>
      <c r="R671" s="89"/>
      <c r="S671" s="210"/>
      <c r="T671" s="23"/>
      <c r="U671" s="211"/>
      <c r="V671" s="252"/>
      <c r="X671" s="186"/>
      <c r="Y671" s="186"/>
      <c r="Z671" s="186"/>
      <c r="AA671" s="186"/>
    </row>
    <row r="672" spans="1:29" ht="22.75" thickBot="1" x14ac:dyDescent="0.3">
      <c r="A672" s="279"/>
      <c r="B672" s="90"/>
      <c r="C672" s="91"/>
      <c r="D672" s="91"/>
      <c r="E672" s="92" t="s">
        <v>194</v>
      </c>
      <c r="F672" s="79">
        <f t="shared" ref="F672:N672" si="220">IF(((F670="")*AND(F671="")),"",(F670-F671)*3)</f>
        <v>4413.8399999999965</v>
      </c>
      <c r="G672" s="79">
        <f t="shared" si="220"/>
        <v>4077.4500000000044</v>
      </c>
      <c r="H672" s="79">
        <f t="shared" si="220"/>
        <v>4009.320000000007</v>
      </c>
      <c r="I672" s="79">
        <f t="shared" si="220"/>
        <v>4070.3999999999978</v>
      </c>
      <c r="J672" s="79">
        <f t="shared" si="220"/>
        <v>4317.6299999999974</v>
      </c>
      <c r="K672" s="79">
        <f t="shared" si="220"/>
        <v>4226.9699999999939</v>
      </c>
      <c r="L672" s="79">
        <f t="shared" si="220"/>
        <v>4027.8899999999921</v>
      </c>
      <c r="M672" s="79">
        <f t="shared" si="220"/>
        <v>4146.6299999999974</v>
      </c>
      <c r="N672" s="79">
        <f t="shared" si="220"/>
        <v>4444.0800000000017</v>
      </c>
      <c r="O672" s="92"/>
      <c r="P672" s="92"/>
      <c r="Q672" s="93"/>
      <c r="R672" s="93"/>
      <c r="S672" s="213"/>
      <c r="T672" s="214"/>
      <c r="U672" s="215"/>
      <c r="V672" s="252"/>
      <c r="X672" s="186"/>
      <c r="Y672" s="186"/>
      <c r="Z672" s="186"/>
      <c r="AA672" s="186"/>
    </row>
    <row r="673" spans="1:29" x14ac:dyDescent="0.25">
      <c r="A673" s="271">
        <v>43394</v>
      </c>
      <c r="B673" s="63" t="s">
        <v>177</v>
      </c>
      <c r="C673" s="65" t="s">
        <v>179</v>
      </c>
      <c r="D673" s="65" t="s">
        <v>178</v>
      </c>
      <c r="E673" s="67" t="s">
        <v>192</v>
      </c>
      <c r="F673" s="33">
        <v>3086.13</v>
      </c>
      <c r="G673" s="33">
        <v>2894.35</v>
      </c>
      <c r="H673" s="33">
        <v>2878.24</v>
      </c>
      <c r="I673" s="33">
        <v>2869.15</v>
      </c>
      <c r="J673" s="33">
        <v>3113.34</v>
      </c>
      <c r="K673" s="33">
        <v>3195.98</v>
      </c>
      <c r="L673" s="33">
        <v>2888.48</v>
      </c>
      <c r="M673" s="33">
        <v>2851.33</v>
      </c>
      <c r="N673" s="33">
        <v>3065.83</v>
      </c>
      <c r="O673" s="67">
        <f>IF((N674=""),"",MAX(F675:N675))</f>
        <v>4100.9799999999996</v>
      </c>
      <c r="P673" s="67">
        <f>IF(N674="","",MIN(F675:N675))</f>
        <v>3748.18</v>
      </c>
      <c r="Q673" s="68">
        <f>IF((N675=""),"",AVERAGE(F675:N675))</f>
        <v>3974.4377777777781</v>
      </c>
      <c r="R673" s="68">
        <f>IF((N674=""),"",(O673-P673)/(O673+P673)*100)</f>
        <v>4.4947484826401771</v>
      </c>
      <c r="S673" s="222">
        <f>STDEV(F675:N675)</f>
        <v>124.5017479573858</v>
      </c>
      <c r="T673" s="187" t="str">
        <f>IF(N674="","",IF(Q673&gt;3650,IF(R673&lt;7,IF(Q673&lt;4450,"Pass","Fail"),"Fail"),"Fail"))</f>
        <v>Pass</v>
      </c>
      <c r="U673" s="216">
        <v>121</v>
      </c>
      <c r="V673" s="252" t="s">
        <v>217</v>
      </c>
      <c r="X673" s="184">
        <v>3650</v>
      </c>
      <c r="Y673" s="184">
        <v>4450</v>
      </c>
      <c r="Z673" s="184">
        <v>3700</v>
      </c>
      <c r="AA673" s="184">
        <v>4100</v>
      </c>
      <c r="AB673" s="57">
        <v>6.5</v>
      </c>
      <c r="AC673" s="57">
        <v>7</v>
      </c>
    </row>
    <row r="674" spans="1:29" x14ac:dyDescent="0.25">
      <c r="A674" s="272"/>
      <c r="B674" s="47"/>
      <c r="C674" s="24"/>
      <c r="D674" s="24"/>
      <c r="E674" s="88" t="s">
        <v>193</v>
      </c>
      <c r="F674" s="33">
        <v>1145.8399999999999</v>
      </c>
      <c r="G674" s="33">
        <v>859.5</v>
      </c>
      <c r="H674" s="33">
        <v>830.66</v>
      </c>
      <c r="I674" s="33">
        <v>848.67</v>
      </c>
      <c r="J674" s="33">
        <v>1188.8800000000001</v>
      </c>
      <c r="K674" s="33">
        <v>1321.89</v>
      </c>
      <c r="L674" s="33">
        <v>871.22</v>
      </c>
      <c r="M674" s="33">
        <v>800.84</v>
      </c>
      <c r="N674" s="33">
        <v>1090.3599999999999</v>
      </c>
      <c r="O674" s="88"/>
      <c r="P674" s="88"/>
      <c r="Q674" s="89"/>
      <c r="R674" s="89"/>
      <c r="S674" s="210"/>
      <c r="T674" s="28"/>
      <c r="U674" s="217"/>
      <c r="V674" s="252"/>
      <c r="X674" s="186"/>
      <c r="Y674" s="186"/>
      <c r="Z674" s="186"/>
      <c r="AA674" s="186"/>
    </row>
    <row r="675" spans="1:29" ht="22.15" x14ac:dyDescent="0.25">
      <c r="A675" s="272"/>
      <c r="B675" s="47"/>
      <c r="C675" s="24"/>
      <c r="D675" s="24"/>
      <c r="E675" s="88" t="s">
        <v>194</v>
      </c>
      <c r="F675" s="66">
        <f t="shared" ref="F675:N675" si="221">IF(((F673="")*AND(F674="")),"",(F673-F674)*2)</f>
        <v>3880.5800000000004</v>
      </c>
      <c r="G675" s="66">
        <f t="shared" si="221"/>
        <v>4069.7</v>
      </c>
      <c r="H675" s="66">
        <f t="shared" si="221"/>
        <v>4095.16</v>
      </c>
      <c r="I675" s="66">
        <f t="shared" si="221"/>
        <v>4040.96</v>
      </c>
      <c r="J675" s="66">
        <f t="shared" si="221"/>
        <v>3848.92</v>
      </c>
      <c r="K675" s="66">
        <f t="shared" si="221"/>
        <v>3748.18</v>
      </c>
      <c r="L675" s="66">
        <f t="shared" si="221"/>
        <v>4034.52</v>
      </c>
      <c r="M675" s="66">
        <f t="shared" si="221"/>
        <v>4100.9799999999996</v>
      </c>
      <c r="N675" s="66">
        <f t="shared" si="221"/>
        <v>3950.94</v>
      </c>
      <c r="O675" s="88"/>
      <c r="P675" s="88"/>
      <c r="Q675" s="89"/>
      <c r="R675" s="89"/>
      <c r="S675" s="210"/>
      <c r="T675" s="28"/>
      <c r="U675" s="217"/>
      <c r="V675" s="252"/>
      <c r="X675" s="186"/>
      <c r="Y675" s="186"/>
      <c r="Z675" s="186"/>
      <c r="AA675" s="186"/>
    </row>
    <row r="676" spans="1:29" x14ac:dyDescent="0.25">
      <c r="A676" s="272">
        <v>43394</v>
      </c>
      <c r="B676" s="24" t="s">
        <v>172</v>
      </c>
      <c r="C676" s="24" t="s">
        <v>174</v>
      </c>
      <c r="D676" s="24" t="s">
        <v>195</v>
      </c>
      <c r="E676" s="88" t="s">
        <v>192</v>
      </c>
      <c r="F676" s="33">
        <v>1914.37</v>
      </c>
      <c r="G676" s="33">
        <v>1909.18</v>
      </c>
      <c r="H676" s="33">
        <v>1903.3</v>
      </c>
      <c r="I676" s="33">
        <v>1905.15</v>
      </c>
      <c r="J676" s="33">
        <v>1912.84</v>
      </c>
      <c r="K676" s="33">
        <v>1913.59</v>
      </c>
      <c r="L676" s="33">
        <v>1912.61</v>
      </c>
      <c r="M676" s="33">
        <v>1909.3</v>
      </c>
      <c r="N676" s="33">
        <v>1914.96</v>
      </c>
      <c r="O676" s="88">
        <f>IF((N677=""),"",MAX(F678:N678))</f>
        <v>2094.06</v>
      </c>
      <c r="P676" s="88">
        <f>IF(N677="","",MIN(F678:N678))</f>
        <v>1973.7000000000003</v>
      </c>
      <c r="Q676" s="89">
        <f>IF((N678=""),"",AVERAGE(F678:N678))</f>
        <v>2040.7333333333336</v>
      </c>
      <c r="R676" s="89">
        <f>IF((N677=""),"",(O676-P676)/(O676+P676)*100)</f>
        <v>2.9588766298896609</v>
      </c>
      <c r="S676" s="210">
        <f>STDEV(F678:N678)</f>
        <v>46.618574088017809</v>
      </c>
      <c r="T676" s="23" t="str">
        <f>IF(N677="","",IF(Q676&gt;1940,IF(R676&lt;8.3,IF(Q676&lt;2180,"Pass","Fail"),"Fail"),"Fail"))</f>
        <v>Pass</v>
      </c>
      <c r="U676" s="217">
        <v>121</v>
      </c>
      <c r="V676" s="252" t="s">
        <v>217</v>
      </c>
      <c r="X676" s="184">
        <v>2000</v>
      </c>
      <c r="Y676" s="184">
        <v>3000</v>
      </c>
      <c r="Z676" s="184">
        <v>1940</v>
      </c>
      <c r="AA676" s="184">
        <v>2180</v>
      </c>
      <c r="AB676" s="57">
        <v>5.2</v>
      </c>
    </row>
    <row r="677" spans="1:29" x14ac:dyDescent="0.25">
      <c r="A677" s="272"/>
      <c r="B677" s="47"/>
      <c r="C677" s="24"/>
      <c r="D677" s="24"/>
      <c r="E677" s="88" t="s">
        <v>193</v>
      </c>
      <c r="F677" s="33">
        <v>1246.0899999999999</v>
      </c>
      <c r="G677" s="33">
        <v>1217.1199999999999</v>
      </c>
      <c r="H677" s="33">
        <v>1205.28</v>
      </c>
      <c r="I677" s="33">
        <v>1215.4100000000001</v>
      </c>
      <c r="J677" s="33">
        <v>1251.75</v>
      </c>
      <c r="K677" s="33">
        <v>1242.78</v>
      </c>
      <c r="L677" s="33">
        <v>1219</v>
      </c>
      <c r="M677" s="33">
        <v>1218.6099999999999</v>
      </c>
      <c r="N677" s="33">
        <v>1257.06</v>
      </c>
      <c r="O677" s="88"/>
      <c r="P677" s="88"/>
      <c r="Q677" s="89"/>
      <c r="R677" s="89"/>
      <c r="S677" s="210"/>
      <c r="T677" s="23"/>
      <c r="U677" s="211"/>
      <c r="V677" s="252"/>
      <c r="X677" s="186"/>
      <c r="Y677" s="186"/>
      <c r="Z677" s="186"/>
      <c r="AA677" s="186"/>
    </row>
    <row r="678" spans="1:29" x14ac:dyDescent="0.25">
      <c r="A678" s="272"/>
      <c r="B678" s="47"/>
      <c r="C678" s="24"/>
      <c r="D678" s="24"/>
      <c r="E678" s="88" t="s">
        <v>196</v>
      </c>
      <c r="F678" s="66">
        <f t="shared" ref="F678:N678" si="222">IF(((F676="")*AND(F677="")),"",(F676-F677)*3)</f>
        <v>2004.84</v>
      </c>
      <c r="G678" s="66">
        <f t="shared" si="222"/>
        <v>2076.1800000000003</v>
      </c>
      <c r="H678" s="66">
        <f t="shared" si="222"/>
        <v>2094.06</v>
      </c>
      <c r="I678" s="66">
        <f t="shared" si="222"/>
        <v>2069.2200000000003</v>
      </c>
      <c r="J678" s="66">
        <f t="shared" si="222"/>
        <v>1983.2699999999998</v>
      </c>
      <c r="K678" s="66">
        <f t="shared" si="222"/>
        <v>2012.4299999999998</v>
      </c>
      <c r="L678" s="66">
        <f t="shared" si="222"/>
        <v>2080.83</v>
      </c>
      <c r="M678" s="66">
        <f t="shared" si="222"/>
        <v>2072.0700000000002</v>
      </c>
      <c r="N678" s="66">
        <f t="shared" si="222"/>
        <v>1973.7000000000003</v>
      </c>
      <c r="O678" s="88"/>
      <c r="P678" s="88"/>
      <c r="Q678" s="89"/>
      <c r="R678" s="89"/>
      <c r="S678" s="210"/>
      <c r="T678" s="23"/>
      <c r="U678" s="211"/>
      <c r="V678" s="252"/>
      <c r="X678" s="186"/>
      <c r="Y678" s="186"/>
      <c r="Z678" s="186"/>
      <c r="AA678" s="186"/>
    </row>
    <row r="679" spans="1:29" x14ac:dyDescent="0.25">
      <c r="A679" s="272">
        <v>43394</v>
      </c>
      <c r="B679" s="47" t="s">
        <v>191</v>
      </c>
      <c r="C679" s="24" t="s">
        <v>176</v>
      </c>
      <c r="D679" s="24" t="s">
        <v>175</v>
      </c>
      <c r="E679" s="88" t="s">
        <v>192</v>
      </c>
      <c r="F679" s="33">
        <v>26215.87</v>
      </c>
      <c r="G679" s="33">
        <v>26334.17</v>
      </c>
      <c r="H679" s="33">
        <v>26414.79</v>
      </c>
      <c r="I679" s="33">
        <v>26353.599999999999</v>
      </c>
      <c r="J679" s="33">
        <v>26228.15</v>
      </c>
      <c r="K679" s="33">
        <v>26275.54</v>
      </c>
      <c r="L679" s="33">
        <v>26374.47</v>
      </c>
      <c r="M679" s="33">
        <v>26307.18</v>
      </c>
      <c r="N679" s="33">
        <v>26173.77</v>
      </c>
      <c r="O679" s="88">
        <f>IF((N680=""),"",MAX(F681:N681))</f>
        <v>4763.7600000000057</v>
      </c>
      <c r="P679" s="88">
        <f>IF(N680="","",MIN(F681:N681))</f>
        <v>4250.4900000000052</v>
      </c>
      <c r="Q679" s="89">
        <f>IF((N681=""),"",AVERAGE(F681:N681))</f>
        <v>4437.9066666666668</v>
      </c>
      <c r="R679" s="89">
        <f>IF((N680=""),"",(O679-P679)/(O679+P679)*100)</f>
        <v>5.6939845245028682</v>
      </c>
      <c r="S679" s="210">
        <f>STDEV(F681:N681)</f>
        <v>190.63612406886833</v>
      </c>
      <c r="T679" s="23" t="str">
        <f>IF(N680="","",IF(R679&lt;16,IF(Q679&gt;3200,IF(R679,IF(Q679&lt;5240,"Pass","Fail"),"Fail"),"Fail")))</f>
        <v>Pass</v>
      </c>
      <c r="U679" s="217">
        <v>121</v>
      </c>
      <c r="V679" s="252" t="s">
        <v>217</v>
      </c>
      <c r="X679" s="184">
        <v>4200</v>
      </c>
      <c r="Y679" s="184">
        <v>5500</v>
      </c>
      <c r="Z679" s="184">
        <v>3200</v>
      </c>
      <c r="AA679" s="184">
        <v>5240</v>
      </c>
      <c r="AB679" s="57">
        <v>16</v>
      </c>
    </row>
    <row r="680" spans="1:29" x14ac:dyDescent="0.25">
      <c r="A680" s="272"/>
      <c r="B680" s="47"/>
      <c r="C680" s="24"/>
      <c r="D680" s="24"/>
      <c r="E680" s="88" t="s">
        <v>193</v>
      </c>
      <c r="F680" s="33">
        <v>24689.52</v>
      </c>
      <c r="G680" s="33">
        <v>24904.15</v>
      </c>
      <c r="H680" s="33">
        <v>24997.89</v>
      </c>
      <c r="I680" s="33">
        <v>24917.47</v>
      </c>
      <c r="J680" s="33">
        <v>24675.71</v>
      </c>
      <c r="K680" s="33">
        <v>24782.12</v>
      </c>
      <c r="L680" s="33">
        <v>24957.64</v>
      </c>
      <c r="M680" s="33">
        <v>24853.47</v>
      </c>
      <c r="N680" s="33">
        <v>24585.85</v>
      </c>
      <c r="O680" s="88"/>
      <c r="P680" s="88"/>
      <c r="Q680" s="89"/>
      <c r="R680" s="89"/>
      <c r="S680" s="210"/>
      <c r="T680" s="23"/>
      <c r="U680" s="211"/>
      <c r="V680" s="252"/>
      <c r="X680" s="186"/>
      <c r="Y680" s="186"/>
      <c r="Z680" s="186"/>
      <c r="AA680" s="186"/>
    </row>
    <row r="681" spans="1:29" ht="22.75" thickBot="1" x14ac:dyDescent="0.3">
      <c r="A681" s="279"/>
      <c r="B681" s="90"/>
      <c r="C681" s="91"/>
      <c r="D681" s="91"/>
      <c r="E681" s="92" t="s">
        <v>194</v>
      </c>
      <c r="F681" s="79">
        <f t="shared" ref="F681:N681" si="223">IF(((F679="")*AND(F680="")),"",(F679-F680)*3)</f>
        <v>4579.0499999999956</v>
      </c>
      <c r="G681" s="79">
        <f t="shared" si="223"/>
        <v>4290.0599999999904</v>
      </c>
      <c r="H681" s="79">
        <f t="shared" si="223"/>
        <v>4250.7000000000044</v>
      </c>
      <c r="I681" s="79">
        <f t="shared" si="223"/>
        <v>4308.3899999999921</v>
      </c>
      <c r="J681" s="79">
        <f t="shared" si="223"/>
        <v>4657.320000000007</v>
      </c>
      <c r="K681" s="79">
        <f t="shared" si="223"/>
        <v>4480.2600000000057</v>
      </c>
      <c r="L681" s="79">
        <f t="shared" si="223"/>
        <v>4250.4900000000052</v>
      </c>
      <c r="M681" s="79">
        <f t="shared" si="223"/>
        <v>4361.1299999999974</v>
      </c>
      <c r="N681" s="79">
        <f t="shared" si="223"/>
        <v>4763.7600000000057</v>
      </c>
      <c r="O681" s="92"/>
      <c r="P681" s="92"/>
      <c r="Q681" s="93"/>
      <c r="R681" s="93"/>
      <c r="S681" s="213"/>
      <c r="T681" s="214"/>
      <c r="U681" s="215"/>
      <c r="V681" s="252"/>
      <c r="X681" s="186"/>
      <c r="Y681" s="186"/>
      <c r="Z681" s="186"/>
      <c r="AA681" s="186"/>
    </row>
    <row r="682" spans="1:29" x14ac:dyDescent="0.25">
      <c r="A682" s="272">
        <v>43397</v>
      </c>
      <c r="B682" s="63" t="s">
        <v>177</v>
      </c>
      <c r="C682" s="65" t="s">
        <v>179</v>
      </c>
      <c r="D682" s="65" t="s">
        <v>178</v>
      </c>
      <c r="E682" s="67" t="s">
        <v>192</v>
      </c>
      <c r="F682" s="33">
        <v>6848.32</v>
      </c>
      <c r="G682" s="33">
        <v>6841.1</v>
      </c>
      <c r="H682" s="33">
        <v>6888.48</v>
      </c>
      <c r="I682" s="33">
        <v>6848.47</v>
      </c>
      <c r="J682" s="33">
        <v>6893.98</v>
      </c>
      <c r="K682" s="33">
        <v>6866.11</v>
      </c>
      <c r="L682" s="33">
        <v>6873.7</v>
      </c>
      <c r="M682" s="33">
        <v>6878.57</v>
      </c>
      <c r="N682" s="33">
        <v>6952.19</v>
      </c>
      <c r="O682" s="67">
        <f>IF((N683=""),"",MAX(F684:N684))</f>
        <v>4067.5999999999985</v>
      </c>
      <c r="P682" s="67">
        <f>IF(N683="","",MIN(F684:N684))</f>
        <v>3694.7199999999993</v>
      </c>
      <c r="Q682" s="68">
        <f>IF((N684=""),"",AVERAGE(F684:N684))</f>
        <v>3939.1555555555556</v>
      </c>
      <c r="R682" s="68">
        <f>IF((N683=""),"",(O682-P682)/(O682+P682)*100)</f>
        <v>4.8037184759195615</v>
      </c>
      <c r="S682" s="222">
        <f>STDEV(F684:N684)</f>
        <v>130.28535749568263</v>
      </c>
      <c r="T682" s="187" t="str">
        <f>IF(N683="","",IF(Q682&gt;3650,IF(R682&lt;7,IF(Q682&lt;4450,"Pass","Fail"),"Fail"),"Fail"))</f>
        <v>Pass</v>
      </c>
      <c r="U682" s="216">
        <v>1159</v>
      </c>
      <c r="V682" s="252" t="s">
        <v>218</v>
      </c>
      <c r="X682" s="184">
        <v>3650</v>
      </c>
      <c r="Y682" s="184">
        <v>4450</v>
      </c>
      <c r="Z682" s="184">
        <v>3700</v>
      </c>
      <c r="AA682" s="184">
        <v>4100</v>
      </c>
      <c r="AB682" s="57">
        <v>6.5</v>
      </c>
      <c r="AC682" s="57">
        <v>7</v>
      </c>
    </row>
    <row r="683" spans="1:29" x14ac:dyDescent="0.25">
      <c r="A683" s="272"/>
      <c r="B683" s="47"/>
      <c r="C683" s="24"/>
      <c r="D683" s="24"/>
      <c r="E683" s="88" t="s">
        <v>193</v>
      </c>
      <c r="F683" s="33">
        <v>4934.91</v>
      </c>
      <c r="G683" s="33">
        <v>4828.4399999999996</v>
      </c>
      <c r="H683" s="33">
        <v>4855.5</v>
      </c>
      <c r="I683" s="33">
        <v>4839.99</v>
      </c>
      <c r="J683" s="33">
        <v>4979.49</v>
      </c>
      <c r="K683" s="33">
        <v>5018.75</v>
      </c>
      <c r="L683" s="33">
        <v>4869.57</v>
      </c>
      <c r="M683" s="33">
        <v>4844.7700000000004</v>
      </c>
      <c r="N683" s="33">
        <v>4993.3</v>
      </c>
      <c r="O683" s="88"/>
      <c r="P683" s="88"/>
      <c r="Q683" s="89"/>
      <c r="R683" s="89"/>
      <c r="S683" s="210"/>
      <c r="T683" s="28"/>
      <c r="U683" s="217"/>
      <c r="V683" s="252"/>
      <c r="X683" s="186"/>
      <c r="Y683" s="186"/>
      <c r="Z683" s="186"/>
      <c r="AA683" s="186"/>
    </row>
    <row r="684" spans="1:29" ht="22.75" thickBot="1" x14ac:dyDescent="0.3">
      <c r="A684" s="279"/>
      <c r="B684" s="47"/>
      <c r="C684" s="24"/>
      <c r="D684" s="24"/>
      <c r="E684" s="88" t="s">
        <v>194</v>
      </c>
      <c r="F684" s="66">
        <f t="shared" ref="F684:N684" si="224">IF(((F682="")*AND(F683="")),"",(F682-F683)*2)</f>
        <v>3826.8199999999997</v>
      </c>
      <c r="G684" s="66">
        <f t="shared" si="224"/>
        <v>4025.3200000000015</v>
      </c>
      <c r="H684" s="66">
        <f t="shared" si="224"/>
        <v>4065.9599999999991</v>
      </c>
      <c r="I684" s="66">
        <f t="shared" si="224"/>
        <v>4016.9600000000009</v>
      </c>
      <c r="J684" s="66">
        <f t="shared" si="224"/>
        <v>3828.9799999999996</v>
      </c>
      <c r="K684" s="66">
        <f t="shared" si="224"/>
        <v>3694.7199999999993</v>
      </c>
      <c r="L684" s="66">
        <f t="shared" si="224"/>
        <v>4008.26</v>
      </c>
      <c r="M684" s="66">
        <f t="shared" si="224"/>
        <v>4067.5999999999985</v>
      </c>
      <c r="N684" s="66">
        <f t="shared" si="224"/>
        <v>3917.7799999999988</v>
      </c>
      <c r="O684" s="88"/>
      <c r="P684" s="88"/>
      <c r="Q684" s="89"/>
      <c r="R684" s="89"/>
      <c r="S684" s="210"/>
      <c r="T684" s="28"/>
      <c r="U684" s="217"/>
      <c r="V684" s="252"/>
      <c r="X684" s="186"/>
      <c r="Y684" s="186"/>
      <c r="Z684" s="186"/>
      <c r="AA684" s="186"/>
    </row>
    <row r="685" spans="1:29" x14ac:dyDescent="0.25">
      <c r="A685" s="272">
        <v>43397</v>
      </c>
      <c r="B685" s="24" t="s">
        <v>172</v>
      </c>
      <c r="C685" s="24" t="s">
        <v>174</v>
      </c>
      <c r="D685" s="24" t="s">
        <v>195</v>
      </c>
      <c r="E685" s="88" t="s">
        <v>192</v>
      </c>
      <c r="F685" s="33">
        <v>1932.85</v>
      </c>
      <c r="G685" s="33">
        <v>1930.26</v>
      </c>
      <c r="H685" s="33">
        <v>1927.21</v>
      </c>
      <c r="I685" s="33">
        <v>1930.64</v>
      </c>
      <c r="J685" s="33">
        <v>1933.02</v>
      </c>
      <c r="K685" s="33">
        <v>1934.76</v>
      </c>
      <c r="L685" s="33">
        <v>1927.98</v>
      </c>
      <c r="M685" s="33">
        <v>1932.22</v>
      </c>
      <c r="N685" s="33">
        <v>1935.08</v>
      </c>
      <c r="O685" s="88">
        <f>IF((N686=""),"",MAX(F687:N687))</f>
        <v>2083.2000000000003</v>
      </c>
      <c r="P685" s="88">
        <f>IF(N686="","",MIN(F687:N687))</f>
        <v>1964.91</v>
      </c>
      <c r="Q685" s="89">
        <f>IF((N687=""),"",AVERAGE(F687:N687))</f>
        <v>2036.9299999999998</v>
      </c>
      <c r="R685" s="89">
        <f>IF((N686=""),"",(O685-P685)/(O685+P685)*100)</f>
        <v>2.9221043894558245</v>
      </c>
      <c r="S685" s="210">
        <f>STDEV(F687:N687)</f>
        <v>43.497897362976111</v>
      </c>
      <c r="T685" s="23" t="str">
        <f>IF(N686="","",IF(Q685&gt;1940,IF(R685&lt;8.3,IF(Q685&lt;2180,"Pass","Fail"),"Fail"),"Fail"))</f>
        <v>Pass</v>
      </c>
      <c r="U685" s="217">
        <v>1159</v>
      </c>
      <c r="V685" s="252" t="s">
        <v>218</v>
      </c>
      <c r="X685" s="184">
        <v>2000</v>
      </c>
      <c r="Y685" s="184">
        <v>3000</v>
      </c>
      <c r="Z685" s="184">
        <v>1940</v>
      </c>
      <c r="AA685" s="184">
        <v>2180</v>
      </c>
      <c r="AB685" s="57">
        <v>5.2</v>
      </c>
    </row>
    <row r="686" spans="1:29" x14ac:dyDescent="0.25">
      <c r="A686" s="272"/>
      <c r="B686" s="47"/>
      <c r="C686" s="24"/>
      <c r="D686" s="24"/>
      <c r="E686" s="88" t="s">
        <v>193</v>
      </c>
      <c r="F686" s="33">
        <v>1260.81</v>
      </c>
      <c r="G686" s="33">
        <v>1236.2</v>
      </c>
      <c r="H686" s="33">
        <v>1240.83</v>
      </c>
      <c r="I686" s="33">
        <v>1241.55</v>
      </c>
      <c r="J686" s="33">
        <v>1278.05</v>
      </c>
      <c r="K686" s="33">
        <v>1265.45</v>
      </c>
      <c r="L686" s="33">
        <v>1240.18</v>
      </c>
      <c r="M686" s="33">
        <v>1237.82</v>
      </c>
      <c r="N686" s="33">
        <v>1272.3399999999999</v>
      </c>
      <c r="O686" s="88"/>
      <c r="P686" s="88"/>
      <c r="Q686" s="89"/>
      <c r="R686" s="89"/>
      <c r="S686" s="210"/>
      <c r="T686" s="23"/>
      <c r="U686" s="211"/>
      <c r="V686" s="252"/>
      <c r="X686" s="186"/>
      <c r="Y686" s="186"/>
      <c r="Z686" s="186"/>
      <c r="AA686" s="186"/>
    </row>
    <row r="687" spans="1:29" ht="21.6" customHeight="1" thickBot="1" x14ac:dyDescent="0.3">
      <c r="A687" s="279"/>
      <c r="B687" s="47"/>
      <c r="C687" s="24"/>
      <c r="D687" s="24"/>
      <c r="E687" s="88" t="s">
        <v>196</v>
      </c>
      <c r="F687" s="66">
        <f t="shared" ref="F687:N687" si="225">IF(((F685="")*AND(F686="")),"",(F685-F686)*3)</f>
        <v>2016.12</v>
      </c>
      <c r="G687" s="66">
        <f t="shared" si="225"/>
        <v>2082.1799999999998</v>
      </c>
      <c r="H687" s="66">
        <f t="shared" si="225"/>
        <v>2059.1400000000003</v>
      </c>
      <c r="I687" s="66">
        <f t="shared" si="225"/>
        <v>2067.2700000000004</v>
      </c>
      <c r="J687" s="66">
        <f t="shared" si="225"/>
        <v>1964.91</v>
      </c>
      <c r="K687" s="66">
        <f t="shared" si="225"/>
        <v>2007.9299999999998</v>
      </c>
      <c r="L687" s="66">
        <f t="shared" si="225"/>
        <v>2063.3999999999996</v>
      </c>
      <c r="M687" s="66">
        <f t="shared" si="225"/>
        <v>2083.2000000000003</v>
      </c>
      <c r="N687" s="66">
        <f t="shared" si="225"/>
        <v>1988.22</v>
      </c>
      <c r="O687" s="88"/>
      <c r="P687" s="88"/>
      <c r="Q687" s="89"/>
      <c r="R687" s="89"/>
      <c r="S687" s="210"/>
      <c r="T687" s="23"/>
      <c r="U687" s="211"/>
      <c r="V687" s="252"/>
      <c r="X687" s="186"/>
      <c r="Y687" s="186"/>
      <c r="Z687" s="186"/>
      <c r="AA687" s="186"/>
    </row>
    <row r="688" spans="1:29" x14ac:dyDescent="0.25">
      <c r="A688" s="272">
        <v>43397</v>
      </c>
      <c r="B688" s="47" t="s">
        <v>191</v>
      </c>
      <c r="C688" s="24" t="s">
        <v>176</v>
      </c>
      <c r="D688" s="24" t="s">
        <v>175</v>
      </c>
      <c r="E688" s="88" t="s">
        <v>192</v>
      </c>
      <c r="F688" s="33">
        <v>24639.67</v>
      </c>
      <c r="G688" s="33">
        <v>24864.33</v>
      </c>
      <c r="H688" s="33">
        <v>24955.78</v>
      </c>
      <c r="I688" s="33">
        <v>24878.22</v>
      </c>
      <c r="J688" s="33">
        <v>24626.35</v>
      </c>
      <c r="K688" s="33">
        <v>24737.47</v>
      </c>
      <c r="L688" s="33">
        <v>24917</v>
      </c>
      <c r="M688" s="33">
        <v>24812.61</v>
      </c>
      <c r="N688" s="33">
        <v>24541.77</v>
      </c>
      <c r="O688" s="88">
        <f>IF((N689=""),"",MAX(F690:N690))</f>
        <v>4643.5500000000065</v>
      </c>
      <c r="P688" s="88">
        <f>IF(N689="","",MIN(F690:N690))</f>
        <v>4202.7299999999996</v>
      </c>
      <c r="Q688" s="89">
        <f>IF((N690=""),"",AVERAGE(F690:N690))</f>
        <v>4385.1799999999994</v>
      </c>
      <c r="R688" s="89">
        <f>IF((N689=""),"",(O688-P688)/(O688+P688)*100)</f>
        <v>4.9831115451919521</v>
      </c>
      <c r="S688" s="210">
        <f>STDEV(F690:N690)</f>
        <v>163.23632546096951</v>
      </c>
      <c r="T688" s="23" t="str">
        <f>IF(N689="","",IF(R688&lt;16,IF(Q688&gt;3200,IF(R688,IF(Q688&lt;5240,"Pass","Fail"),"Fail"),"Fail")))</f>
        <v>Pass</v>
      </c>
      <c r="U688" s="217">
        <v>1159</v>
      </c>
      <c r="V688" s="252" t="s">
        <v>218</v>
      </c>
      <c r="X688" s="184">
        <v>4200</v>
      </c>
      <c r="Y688" s="184">
        <v>5500</v>
      </c>
      <c r="Z688" s="184">
        <v>3200</v>
      </c>
      <c r="AA688" s="184">
        <v>5240</v>
      </c>
      <c r="AB688" s="57">
        <v>16</v>
      </c>
    </row>
    <row r="689" spans="1:29" x14ac:dyDescent="0.25">
      <c r="A689" s="272"/>
      <c r="B689" s="47"/>
      <c r="C689" s="24"/>
      <c r="D689" s="24"/>
      <c r="E689" s="88" t="s">
        <v>193</v>
      </c>
      <c r="F689" s="33">
        <v>23145.360000000001</v>
      </c>
      <c r="G689" s="33">
        <v>23444.7</v>
      </c>
      <c r="H689" s="33">
        <v>23554.87</v>
      </c>
      <c r="I689" s="33">
        <v>23448.63</v>
      </c>
      <c r="J689" s="33">
        <v>23097.79</v>
      </c>
      <c r="K689" s="33">
        <v>23246.240000000002</v>
      </c>
      <c r="L689" s="33">
        <v>23504.39</v>
      </c>
      <c r="M689" s="33">
        <v>23381.759999999998</v>
      </c>
      <c r="N689" s="33">
        <v>22993.919999999998</v>
      </c>
      <c r="O689" s="88"/>
      <c r="P689" s="88"/>
      <c r="Q689" s="89"/>
      <c r="R689" s="89"/>
      <c r="S689" s="210"/>
      <c r="T689" s="23"/>
      <c r="U689" s="211"/>
      <c r="V689" s="252"/>
      <c r="X689" s="186"/>
      <c r="Y689" s="186"/>
      <c r="Z689" s="186"/>
      <c r="AA689" s="186"/>
    </row>
    <row r="690" spans="1:29" ht="22.75" thickBot="1" x14ac:dyDescent="0.3">
      <c r="A690" s="279"/>
      <c r="B690" s="90"/>
      <c r="C690" s="91"/>
      <c r="D690" s="91"/>
      <c r="E690" s="92" t="s">
        <v>194</v>
      </c>
      <c r="F690" s="79">
        <f t="shared" ref="F690:N690" si="226">IF(((F688="")*AND(F689="")),"",(F688-F689)*3)</f>
        <v>4482.929999999993</v>
      </c>
      <c r="G690" s="79">
        <f t="shared" si="226"/>
        <v>4258.8900000000031</v>
      </c>
      <c r="H690" s="79">
        <f t="shared" si="226"/>
        <v>4202.7299999999996</v>
      </c>
      <c r="I690" s="79">
        <f t="shared" si="226"/>
        <v>4288.7700000000004</v>
      </c>
      <c r="J690" s="79">
        <f t="shared" si="226"/>
        <v>4585.679999999993</v>
      </c>
      <c r="K690" s="79">
        <f t="shared" si="226"/>
        <v>4473.6899999999987</v>
      </c>
      <c r="L690" s="79">
        <f t="shared" si="226"/>
        <v>4237.8300000000017</v>
      </c>
      <c r="M690" s="79">
        <f t="shared" si="226"/>
        <v>4292.5500000000065</v>
      </c>
      <c r="N690" s="79">
        <f t="shared" si="226"/>
        <v>4643.5500000000065</v>
      </c>
      <c r="O690" s="92"/>
      <c r="P690" s="92"/>
      <c r="Q690" s="93"/>
      <c r="R690" s="93"/>
      <c r="S690" s="213"/>
      <c r="T690" s="214"/>
      <c r="U690" s="215"/>
      <c r="V690" s="252"/>
      <c r="X690" s="186"/>
      <c r="Y690" s="186"/>
      <c r="Z690" s="186"/>
      <c r="AA690" s="186"/>
    </row>
    <row r="691" spans="1:29" x14ac:dyDescent="0.25">
      <c r="A691" s="272">
        <v>43401</v>
      </c>
      <c r="B691" s="63" t="s">
        <v>177</v>
      </c>
      <c r="C691" s="65" t="s">
        <v>179</v>
      </c>
      <c r="D691" s="65" t="s">
        <v>178</v>
      </c>
      <c r="E691" s="67" t="s">
        <v>192</v>
      </c>
      <c r="F691" s="33">
        <v>4940.8500000000004</v>
      </c>
      <c r="G691" s="33">
        <v>4836.93</v>
      </c>
      <c r="H691" s="33">
        <v>4863.9799999999996</v>
      </c>
      <c r="I691" s="33">
        <v>4849.74</v>
      </c>
      <c r="J691" s="33">
        <v>4985.08</v>
      </c>
      <c r="K691" s="33">
        <v>5024.28</v>
      </c>
      <c r="L691" s="33">
        <v>4878.17</v>
      </c>
      <c r="M691" s="33">
        <v>4853.58</v>
      </c>
      <c r="N691" s="33">
        <v>4999.28</v>
      </c>
      <c r="O691" s="67">
        <f>IF((N692=""),"",MAX(F693:N693))</f>
        <v>4155.08</v>
      </c>
      <c r="P691" s="67">
        <f>IF(N692="","",MIN(F693:N693))</f>
        <v>3758.4799999999996</v>
      </c>
      <c r="Q691" s="68">
        <f>IF((N693=""),"",AVERAGE(F693:N693))</f>
        <v>4018.7577777777778</v>
      </c>
      <c r="R691" s="68">
        <f>IF((N692=""),"",(O691-P691)/(O691+P691)*100)</f>
        <v>5.0116508878431496</v>
      </c>
      <c r="S691" s="222">
        <f>STDEV(F693:N693)</f>
        <v>134.0789056654493</v>
      </c>
      <c r="T691" s="187" t="str">
        <f>IF(N692="","",IF(Q691&gt;3650,IF(R691&lt;7,IF(Q691&lt;4450,"Pass","Fail"),"Fail"),"Fail"))</f>
        <v>Pass</v>
      </c>
      <c r="U691" s="216">
        <v>1335</v>
      </c>
      <c r="V691" s="252"/>
      <c r="X691" s="184">
        <v>3650</v>
      </c>
      <c r="Y691" s="184">
        <v>4450</v>
      </c>
      <c r="Z691" s="184">
        <v>3700</v>
      </c>
      <c r="AA691" s="184">
        <v>4100</v>
      </c>
      <c r="AB691" s="57">
        <v>6.5</v>
      </c>
      <c r="AC691" s="57">
        <v>7</v>
      </c>
    </row>
    <row r="692" spans="1:29" x14ac:dyDescent="0.25">
      <c r="A692" s="272"/>
      <c r="B692" s="47"/>
      <c r="C692" s="24"/>
      <c r="D692" s="24"/>
      <c r="E692" s="88" t="s">
        <v>193</v>
      </c>
      <c r="F692" s="33">
        <v>2977.58</v>
      </c>
      <c r="G692" s="33">
        <v>2780.34</v>
      </c>
      <c r="H692" s="33">
        <v>2793.04</v>
      </c>
      <c r="I692" s="33">
        <v>2803.52</v>
      </c>
      <c r="J692" s="33">
        <v>3038.01</v>
      </c>
      <c r="K692" s="33">
        <v>3145.04</v>
      </c>
      <c r="L692" s="33">
        <v>2837.95</v>
      </c>
      <c r="M692" s="33">
        <v>2776.04</v>
      </c>
      <c r="N692" s="33">
        <v>2995.96</v>
      </c>
      <c r="O692" s="88"/>
      <c r="P692" s="88"/>
      <c r="Q692" s="89"/>
      <c r="R692" s="89"/>
      <c r="S692" s="210"/>
      <c r="T692" s="28"/>
      <c r="U692" s="217"/>
      <c r="V692" s="252"/>
      <c r="X692" s="186"/>
      <c r="Y692" s="186"/>
      <c r="Z692" s="186"/>
      <c r="AA692" s="186"/>
    </row>
    <row r="693" spans="1:29" ht="22.75" thickBot="1" x14ac:dyDescent="0.3">
      <c r="A693" s="279"/>
      <c r="B693" s="47"/>
      <c r="C693" s="24"/>
      <c r="D693" s="24"/>
      <c r="E693" s="88" t="s">
        <v>194</v>
      </c>
      <c r="F693" s="66">
        <f t="shared" ref="F693:N693" si="227">IF(((F691="")*AND(F692="")),"",(F691-F692)*2)</f>
        <v>3926.5400000000009</v>
      </c>
      <c r="G693" s="66">
        <f t="shared" si="227"/>
        <v>4113.18</v>
      </c>
      <c r="H693" s="66">
        <f t="shared" si="227"/>
        <v>4141.8799999999992</v>
      </c>
      <c r="I693" s="66">
        <f t="shared" si="227"/>
        <v>4092.4399999999996</v>
      </c>
      <c r="J693" s="66">
        <f t="shared" si="227"/>
        <v>3894.1399999999994</v>
      </c>
      <c r="K693" s="66">
        <f t="shared" si="227"/>
        <v>3758.4799999999996</v>
      </c>
      <c r="L693" s="66">
        <f t="shared" si="227"/>
        <v>4080.4400000000005</v>
      </c>
      <c r="M693" s="66">
        <f t="shared" si="227"/>
        <v>4155.08</v>
      </c>
      <c r="N693" s="66">
        <f t="shared" si="227"/>
        <v>4006.6399999999994</v>
      </c>
      <c r="O693" s="88"/>
      <c r="P693" s="88"/>
      <c r="Q693" s="89"/>
      <c r="R693" s="89"/>
      <c r="S693" s="210"/>
      <c r="T693" s="28"/>
      <c r="U693" s="217"/>
      <c r="V693" s="252"/>
      <c r="X693" s="186"/>
      <c r="Y693" s="186"/>
      <c r="Z693" s="186"/>
      <c r="AA693" s="186"/>
    </row>
    <row r="694" spans="1:29" x14ac:dyDescent="0.25">
      <c r="A694" s="272">
        <v>43401</v>
      </c>
      <c r="B694" s="24" t="s">
        <v>172</v>
      </c>
      <c r="C694" s="24" t="s">
        <v>174</v>
      </c>
      <c r="D694" s="24" t="s">
        <v>195</v>
      </c>
      <c r="E694" s="88" t="s">
        <v>192</v>
      </c>
      <c r="F694" s="33">
        <v>1266.5899999999999</v>
      </c>
      <c r="G694" s="33">
        <v>1237.8599999999999</v>
      </c>
      <c r="H694" s="33">
        <v>1237.02</v>
      </c>
      <c r="I694" s="33">
        <v>1244.4000000000001</v>
      </c>
      <c r="J694" s="33">
        <v>1280.71</v>
      </c>
      <c r="K694" s="33">
        <v>1272.77</v>
      </c>
      <c r="L694" s="33">
        <v>1243.71</v>
      </c>
      <c r="M694" s="33">
        <v>1239.3699999999999</v>
      </c>
      <c r="N694" s="33">
        <v>1268.2</v>
      </c>
      <c r="O694" s="88">
        <f>IF((N695=""),"",MAX(F696:N696))</f>
        <v>2101.7699999999995</v>
      </c>
      <c r="P694" s="88">
        <f>IF(N695="","",MIN(F696:N696))</f>
        <v>1993.8000000000002</v>
      </c>
      <c r="Q694" s="89">
        <f>IF((N696=""),"",AVERAGE(F696:N696))</f>
        <v>2061.0766666666664</v>
      </c>
      <c r="R694" s="89">
        <f>IF((N695=""),"",(O694-P694)/(O694+P694)*100)</f>
        <v>2.6362630842593182</v>
      </c>
      <c r="S694" s="210">
        <f>STDEV(F696:N696)</f>
        <v>42.624560994806671</v>
      </c>
      <c r="T694" s="23" t="str">
        <f>IF(N695="","",IF(Q694&gt;1940,IF(R694&lt;8.3,IF(Q694&lt;2180,"Pass","Fail"),"Fail"),"Fail"))</f>
        <v>Pass</v>
      </c>
      <c r="U694" s="217">
        <v>1335</v>
      </c>
      <c r="V694" s="252"/>
      <c r="X694" s="184">
        <v>2000</v>
      </c>
      <c r="Y694" s="184">
        <v>3000</v>
      </c>
      <c r="Z694" s="184">
        <v>1940</v>
      </c>
      <c r="AA694" s="184">
        <v>2180</v>
      </c>
      <c r="AB694" s="57">
        <v>5.2</v>
      </c>
    </row>
    <row r="695" spans="1:29" x14ac:dyDescent="0.25">
      <c r="A695" s="272"/>
      <c r="B695" s="47"/>
      <c r="C695" s="24"/>
      <c r="D695" s="24"/>
      <c r="E695" s="88" t="s">
        <v>193</v>
      </c>
      <c r="F695" s="33">
        <v>589.89</v>
      </c>
      <c r="G695" s="33">
        <v>538.96</v>
      </c>
      <c r="H695" s="33">
        <v>537.91</v>
      </c>
      <c r="I695" s="33">
        <v>546.11</v>
      </c>
      <c r="J695" s="33">
        <v>609.98</v>
      </c>
      <c r="K695" s="33">
        <v>594.04</v>
      </c>
      <c r="L695" s="33">
        <v>548.13</v>
      </c>
      <c r="M695" s="33">
        <v>538.78</v>
      </c>
      <c r="N695" s="33">
        <v>603.6</v>
      </c>
      <c r="O695" s="88"/>
      <c r="P695" s="88"/>
      <c r="Q695" s="89"/>
      <c r="R695" s="89"/>
      <c r="S695" s="210"/>
      <c r="T695" s="23"/>
      <c r="U695" s="211"/>
      <c r="V695" s="252"/>
      <c r="X695" s="186"/>
      <c r="Y695" s="186"/>
      <c r="Z695" s="186"/>
      <c r="AA695" s="186"/>
    </row>
    <row r="696" spans="1:29" ht="13.3" thickBot="1" x14ac:dyDescent="0.3">
      <c r="A696" s="279"/>
      <c r="B696" s="47"/>
      <c r="C696" s="24"/>
      <c r="D696" s="24"/>
      <c r="E696" s="88" t="s">
        <v>196</v>
      </c>
      <c r="F696" s="66">
        <f t="shared" ref="F696:N696" si="228">IF(((F694="")*AND(F695="")),"",(F694-F695)*3)</f>
        <v>2030.1</v>
      </c>
      <c r="G696" s="66">
        <f t="shared" si="228"/>
        <v>2096.6999999999998</v>
      </c>
      <c r="H696" s="66">
        <f t="shared" si="228"/>
        <v>2097.33</v>
      </c>
      <c r="I696" s="66">
        <f t="shared" si="228"/>
        <v>2094.8700000000003</v>
      </c>
      <c r="J696" s="66">
        <f t="shared" si="228"/>
        <v>2012.19</v>
      </c>
      <c r="K696" s="66">
        <f t="shared" si="228"/>
        <v>2036.19</v>
      </c>
      <c r="L696" s="66">
        <f t="shared" si="228"/>
        <v>2086.7400000000002</v>
      </c>
      <c r="M696" s="66">
        <f t="shared" si="228"/>
        <v>2101.7699999999995</v>
      </c>
      <c r="N696" s="66">
        <f t="shared" si="228"/>
        <v>1993.8000000000002</v>
      </c>
      <c r="O696" s="88"/>
      <c r="P696" s="88"/>
      <c r="Q696" s="89"/>
      <c r="R696" s="89"/>
      <c r="S696" s="210"/>
      <c r="T696" s="23"/>
      <c r="U696" s="211"/>
      <c r="V696" s="252"/>
      <c r="X696" s="186"/>
      <c r="Y696" s="186"/>
      <c r="Z696" s="186"/>
      <c r="AA696" s="186"/>
    </row>
    <row r="697" spans="1:29" x14ac:dyDescent="0.25">
      <c r="A697" s="272">
        <v>43401</v>
      </c>
      <c r="B697" s="47" t="s">
        <v>191</v>
      </c>
      <c r="C697" s="24" t="s">
        <v>176</v>
      </c>
      <c r="D697" s="24" t="s">
        <v>175</v>
      </c>
      <c r="E697" s="88" t="s">
        <v>192</v>
      </c>
      <c r="F697" s="33">
        <v>23089.54</v>
      </c>
      <c r="G697" s="33">
        <v>23397.7</v>
      </c>
      <c r="H697" s="33">
        <v>23505.14</v>
      </c>
      <c r="I697" s="33">
        <v>23396.799999999999</v>
      </c>
      <c r="J697" s="33">
        <v>23044.99</v>
      </c>
      <c r="K697" s="33">
        <v>23191.759999999998</v>
      </c>
      <c r="L697" s="33">
        <v>23454.27</v>
      </c>
      <c r="M697" s="33">
        <v>23331.77</v>
      </c>
      <c r="N697" s="33">
        <v>22937.08</v>
      </c>
      <c r="O697" s="88">
        <f>IF((N698=""),"",MAX(F699:N699))</f>
        <v>4684.2600000000057</v>
      </c>
      <c r="P697" s="88">
        <f>IF(N698="","",MIN(F699:N699))</f>
        <v>4211.6400000000031</v>
      </c>
      <c r="Q697" s="89">
        <f>IF((N699=""),"",AVERAGE(F699:N699))</f>
        <v>4412.9833333333336</v>
      </c>
      <c r="R697" s="89">
        <f>IF((N698=""),"",(O697-P697)/(O697+P697)*100)</f>
        <v>5.3127845411931576</v>
      </c>
      <c r="S697" s="210">
        <f>STDEV(F699:N699)</f>
        <v>185.46633164809478</v>
      </c>
      <c r="T697" s="23" t="str">
        <f>IF(N698="","",IF(R697&lt;16,IF(Q697&gt;3200,IF(R697,IF(Q697&lt;5240,"Pass","Fail"),"Fail"),"Fail")))</f>
        <v>Pass</v>
      </c>
      <c r="U697" s="217">
        <v>1335</v>
      </c>
      <c r="V697" s="252"/>
      <c r="X697" s="184">
        <v>4200</v>
      </c>
      <c r="Y697" s="184">
        <v>5500</v>
      </c>
      <c r="Z697" s="184">
        <v>3200</v>
      </c>
      <c r="AA697" s="184">
        <v>5240</v>
      </c>
      <c r="AB697" s="57">
        <v>16</v>
      </c>
    </row>
    <row r="698" spans="1:29" x14ac:dyDescent="0.25">
      <c r="A698" s="272"/>
      <c r="B698" s="47"/>
      <c r="C698" s="24"/>
      <c r="D698" s="24"/>
      <c r="E698" s="88" t="s">
        <v>193</v>
      </c>
      <c r="F698" s="33">
        <v>21538.959999999999</v>
      </c>
      <c r="G698" s="33">
        <v>21965.74</v>
      </c>
      <c r="H698" s="33">
        <v>22101.26</v>
      </c>
      <c r="I698" s="33">
        <v>21980.13</v>
      </c>
      <c r="J698" s="33">
        <v>21530.959999999999</v>
      </c>
      <c r="K698" s="33">
        <v>21686.36</v>
      </c>
      <c r="L698" s="33">
        <v>22038.33</v>
      </c>
      <c r="M698" s="33">
        <v>21892.7</v>
      </c>
      <c r="N698" s="33">
        <v>21375.66</v>
      </c>
      <c r="O698" s="88"/>
      <c r="P698" s="88"/>
      <c r="Q698" s="89"/>
      <c r="R698" s="89"/>
      <c r="S698" s="210"/>
      <c r="T698" s="23"/>
      <c r="U698" s="211"/>
      <c r="V698" s="252"/>
      <c r="X698" s="186"/>
      <c r="Y698" s="186"/>
      <c r="Z698" s="186"/>
      <c r="AA698" s="186"/>
    </row>
    <row r="699" spans="1:29" ht="22.75" thickBot="1" x14ac:dyDescent="0.3">
      <c r="A699" s="279"/>
      <c r="B699" s="90"/>
      <c r="C699" s="91"/>
      <c r="D699" s="91"/>
      <c r="E699" s="92" t="s">
        <v>194</v>
      </c>
      <c r="F699" s="79">
        <f t="shared" ref="F699:N699" si="229">IF(((F697="")*AND(F698="")),"",(F697-F698)*3)</f>
        <v>4651.7400000000052</v>
      </c>
      <c r="G699" s="79">
        <f t="shared" si="229"/>
        <v>4295.8799999999974</v>
      </c>
      <c r="H699" s="79">
        <f t="shared" si="229"/>
        <v>4211.6400000000031</v>
      </c>
      <c r="I699" s="79">
        <f t="shared" si="229"/>
        <v>4250.0099999999948</v>
      </c>
      <c r="J699" s="79">
        <f t="shared" si="229"/>
        <v>4542.0900000000074</v>
      </c>
      <c r="K699" s="79">
        <f t="shared" si="229"/>
        <v>4516.1999999999935</v>
      </c>
      <c r="L699" s="79">
        <f t="shared" si="229"/>
        <v>4247.8199999999961</v>
      </c>
      <c r="M699" s="79">
        <f t="shared" si="229"/>
        <v>4317.2099999999991</v>
      </c>
      <c r="N699" s="79">
        <f t="shared" si="229"/>
        <v>4684.2600000000057</v>
      </c>
      <c r="O699" s="92"/>
      <c r="P699" s="92"/>
      <c r="Q699" s="93"/>
      <c r="R699" s="93"/>
      <c r="S699" s="213"/>
      <c r="T699" s="214"/>
      <c r="U699" s="215"/>
      <c r="V699" s="252"/>
      <c r="X699" s="186"/>
      <c r="Y699" s="186"/>
      <c r="Z699" s="186"/>
      <c r="AA699" s="186"/>
    </row>
    <row r="700" spans="1:29" x14ac:dyDescent="0.25">
      <c r="A700" s="271">
        <v>43404</v>
      </c>
      <c r="B700" s="63" t="s">
        <v>177</v>
      </c>
      <c r="C700" s="65" t="s">
        <v>179</v>
      </c>
      <c r="D700" s="65" t="s">
        <v>178</v>
      </c>
      <c r="E700" s="67" t="s">
        <v>192</v>
      </c>
      <c r="F700" s="33">
        <v>2984.52</v>
      </c>
      <c r="G700" s="33">
        <v>2786.95</v>
      </c>
      <c r="H700" s="33">
        <v>2799.84</v>
      </c>
      <c r="I700" s="33">
        <v>2810.01</v>
      </c>
      <c r="J700" s="33">
        <v>3044.96</v>
      </c>
      <c r="K700" s="33">
        <v>3152.39</v>
      </c>
      <c r="L700" s="33">
        <v>2844.83</v>
      </c>
      <c r="M700" s="33">
        <v>2782.63</v>
      </c>
      <c r="N700" s="33">
        <v>3003.37</v>
      </c>
      <c r="O700" s="67">
        <f>IF((N701=""),"",MAX(F702:N702))</f>
        <v>4115.76</v>
      </c>
      <c r="P700" s="67">
        <f>IF(N701="","",MIN(F702:N702))</f>
        <v>3779.18</v>
      </c>
      <c r="Q700" s="68">
        <f>IF((N702=""),"",AVERAGE(F702:N702))</f>
        <v>3995.9355555555553</v>
      </c>
      <c r="R700" s="68">
        <f>IF((N701=""),"",(O700-P700)/(O700+P700)*100)</f>
        <v>4.2632369593689168</v>
      </c>
      <c r="S700" s="222">
        <f>STDEV(F702:N702)</f>
        <v>117.17436996962175</v>
      </c>
      <c r="T700" s="187" t="str">
        <f>IF(N701="","",IF(Q700&gt;3650,IF(R700&lt;7,IF(Q700&lt;4450,"Pass","Fail"),"Fail"),"Fail"))</f>
        <v>Pass</v>
      </c>
      <c r="U700" s="216">
        <v>64</v>
      </c>
      <c r="V700" s="252"/>
      <c r="X700" s="184">
        <v>3650</v>
      </c>
      <c r="Y700" s="184">
        <v>4450</v>
      </c>
      <c r="Z700" s="184">
        <v>3700</v>
      </c>
      <c r="AA700" s="184">
        <v>4100</v>
      </c>
      <c r="AB700" s="57">
        <v>6.5</v>
      </c>
      <c r="AC700" s="57">
        <v>7</v>
      </c>
    </row>
    <row r="701" spans="1:29" x14ac:dyDescent="0.25">
      <c r="A701" s="272"/>
      <c r="B701" s="47"/>
      <c r="C701" s="24"/>
      <c r="D701" s="24"/>
      <c r="E701" s="88" t="s">
        <v>193</v>
      </c>
      <c r="F701" s="33">
        <v>1030.94</v>
      </c>
      <c r="G701" s="33">
        <v>750.57</v>
      </c>
      <c r="H701" s="33">
        <v>741.96</v>
      </c>
      <c r="I701" s="33">
        <v>778.4</v>
      </c>
      <c r="J701" s="33">
        <v>1102.81</v>
      </c>
      <c r="K701" s="33">
        <v>1262.8</v>
      </c>
      <c r="L701" s="33">
        <v>814.01</v>
      </c>
      <c r="M701" s="33">
        <v>728.18</v>
      </c>
      <c r="N701" s="33">
        <v>1018.12</v>
      </c>
      <c r="O701" s="88"/>
      <c r="P701" s="88"/>
      <c r="Q701" s="89"/>
      <c r="R701" s="89"/>
      <c r="S701" s="210"/>
      <c r="T701" s="28"/>
      <c r="U701" s="217"/>
      <c r="V701" s="252"/>
      <c r="X701" s="186"/>
      <c r="Y701" s="186"/>
      <c r="Z701" s="186"/>
      <c r="AA701" s="186"/>
    </row>
    <row r="702" spans="1:29" ht="22.15" x14ac:dyDescent="0.25">
      <c r="A702" s="272"/>
      <c r="B702" s="47"/>
      <c r="C702" s="24"/>
      <c r="D702" s="24"/>
      <c r="E702" s="88" t="s">
        <v>194</v>
      </c>
      <c r="F702" s="66">
        <f t="shared" ref="F702:N702" si="230">IF(((F700="")*AND(F701="")),"",(F700-F701)*2)</f>
        <v>3907.16</v>
      </c>
      <c r="G702" s="66">
        <f t="shared" si="230"/>
        <v>4072.7599999999993</v>
      </c>
      <c r="H702" s="66">
        <f t="shared" si="230"/>
        <v>4115.76</v>
      </c>
      <c r="I702" s="66">
        <f t="shared" si="230"/>
        <v>4063.2200000000003</v>
      </c>
      <c r="J702" s="66">
        <f t="shared" si="230"/>
        <v>3884.3</v>
      </c>
      <c r="K702" s="66">
        <f t="shared" si="230"/>
        <v>3779.18</v>
      </c>
      <c r="L702" s="66">
        <f t="shared" si="230"/>
        <v>4061.64</v>
      </c>
      <c r="M702" s="66">
        <f t="shared" si="230"/>
        <v>4108.9000000000005</v>
      </c>
      <c r="N702" s="66">
        <f t="shared" si="230"/>
        <v>3970.5</v>
      </c>
      <c r="O702" s="88"/>
      <c r="P702" s="88"/>
      <c r="Q702" s="89"/>
      <c r="R702" s="89"/>
      <c r="S702" s="210"/>
      <c r="T702" s="28"/>
      <c r="U702" s="217"/>
      <c r="V702" s="252"/>
      <c r="X702" s="186"/>
      <c r="Y702" s="186"/>
      <c r="Z702" s="186"/>
      <c r="AA702" s="186"/>
    </row>
    <row r="703" spans="1:29" x14ac:dyDescent="0.25">
      <c r="A703" s="272">
        <v>43404</v>
      </c>
      <c r="B703" s="24" t="s">
        <v>172</v>
      </c>
      <c r="C703" s="24" t="s">
        <v>174</v>
      </c>
      <c r="D703" s="24" t="s">
        <v>195</v>
      </c>
      <c r="E703" s="88" t="s">
        <v>192</v>
      </c>
      <c r="F703" s="33">
        <v>1939.14</v>
      </c>
      <c r="G703" s="33">
        <v>1932.78</v>
      </c>
      <c r="H703" s="33">
        <v>1924.36</v>
      </c>
      <c r="I703" s="33">
        <v>1932.59</v>
      </c>
      <c r="J703" s="33">
        <v>1934.36</v>
      </c>
      <c r="K703" s="33">
        <v>1940.14</v>
      </c>
      <c r="L703" s="33">
        <v>1932.24</v>
      </c>
      <c r="M703" s="33">
        <v>1932.34</v>
      </c>
      <c r="N703" s="33">
        <v>1936.81</v>
      </c>
      <c r="O703" s="88">
        <f>IF((N704=""),"",MAX(F705:N705))</f>
        <v>2078.2799999999997</v>
      </c>
      <c r="P703" s="88">
        <f>IF(N704="","",MIN(F705:N705))</f>
        <v>1951.4399999999994</v>
      </c>
      <c r="Q703" s="89">
        <f>IF((N705=""),"",AVERAGE(F705:N705))</f>
        <v>2027.0666666666662</v>
      </c>
      <c r="R703" s="89">
        <f>IF((N704=""),"",(O703-P703)/(O703+P703)*100)</f>
        <v>3.1476132336738134</v>
      </c>
      <c r="S703" s="210">
        <f>STDEV(F705:N705)</f>
        <v>53.527109486689106</v>
      </c>
      <c r="T703" s="23" t="str">
        <f>IF(N704="","",IF(Q703&gt;1940,IF(R703&lt;8.3,IF(Q703&lt;2180,"Pass","Fail"),"Fail"),"Fail"))</f>
        <v>Pass</v>
      </c>
      <c r="U703" s="217">
        <v>64</v>
      </c>
      <c r="V703" s="252"/>
      <c r="X703" s="184">
        <v>2000</v>
      </c>
      <c r="Y703" s="184">
        <v>3000</v>
      </c>
      <c r="Z703" s="184">
        <v>1940</v>
      </c>
      <c r="AA703" s="184">
        <v>2180</v>
      </c>
      <c r="AB703" s="57">
        <v>5.2</v>
      </c>
    </row>
    <row r="704" spans="1:29" x14ac:dyDescent="0.25">
      <c r="A704" s="272"/>
      <c r="B704" s="47"/>
      <c r="C704" s="24"/>
      <c r="D704" s="24"/>
      <c r="E704" s="88" t="s">
        <v>193</v>
      </c>
      <c r="F704" s="33">
        <v>1276.76</v>
      </c>
      <c r="G704" s="33">
        <v>1242.73</v>
      </c>
      <c r="H704" s="33">
        <v>1232.8699999999999</v>
      </c>
      <c r="I704" s="33">
        <v>1241.71</v>
      </c>
      <c r="J704" s="33">
        <v>1283.8800000000001</v>
      </c>
      <c r="K704" s="33">
        <v>1277.69</v>
      </c>
      <c r="L704" s="33">
        <v>1245.7</v>
      </c>
      <c r="M704" s="33">
        <v>1239.58</v>
      </c>
      <c r="N704" s="33">
        <v>1282.6400000000001</v>
      </c>
      <c r="O704" s="88"/>
      <c r="P704" s="88"/>
      <c r="Q704" s="89"/>
      <c r="R704" s="89"/>
      <c r="S704" s="210"/>
      <c r="T704" s="23"/>
      <c r="U704" s="211"/>
      <c r="V704" s="252"/>
      <c r="X704" s="186"/>
      <c r="Y704" s="186"/>
      <c r="Z704" s="186"/>
      <c r="AA704" s="186"/>
    </row>
    <row r="705" spans="1:29" x14ac:dyDescent="0.25">
      <c r="A705" s="272"/>
      <c r="B705" s="47"/>
      <c r="C705" s="24"/>
      <c r="D705" s="24"/>
      <c r="E705" s="88" t="s">
        <v>196</v>
      </c>
      <c r="F705" s="66">
        <f t="shared" ref="F705:N705" si="231">IF(((F703="")*AND(F704="")),"",(F703-F704)*3)</f>
        <v>1987.1400000000003</v>
      </c>
      <c r="G705" s="66">
        <f t="shared" si="231"/>
        <v>2070.1499999999996</v>
      </c>
      <c r="H705" s="66">
        <f t="shared" si="231"/>
        <v>2074.4700000000003</v>
      </c>
      <c r="I705" s="66">
        <f t="shared" si="231"/>
        <v>2072.6399999999994</v>
      </c>
      <c r="J705" s="66">
        <f t="shared" si="231"/>
        <v>1951.4399999999994</v>
      </c>
      <c r="K705" s="66">
        <f t="shared" si="231"/>
        <v>1987.3500000000001</v>
      </c>
      <c r="L705" s="66">
        <f t="shared" si="231"/>
        <v>2059.62</v>
      </c>
      <c r="M705" s="66">
        <f t="shared" si="231"/>
        <v>2078.2799999999997</v>
      </c>
      <c r="N705" s="66">
        <f t="shared" si="231"/>
        <v>1962.5099999999995</v>
      </c>
      <c r="O705" s="88"/>
      <c r="P705" s="88"/>
      <c r="Q705" s="89"/>
      <c r="R705" s="89"/>
      <c r="S705" s="210"/>
      <c r="T705" s="23"/>
      <c r="U705" s="211"/>
      <c r="V705" s="252"/>
      <c r="X705" s="186"/>
      <c r="Y705" s="186"/>
      <c r="Z705" s="186"/>
      <c r="AA705" s="186"/>
    </row>
    <row r="706" spans="1:29" x14ac:dyDescent="0.25">
      <c r="A706" s="272">
        <v>43404</v>
      </c>
      <c r="B706" s="47" t="s">
        <v>191</v>
      </c>
      <c r="C706" s="24" t="s">
        <v>176</v>
      </c>
      <c r="D706" s="24" t="s">
        <v>175</v>
      </c>
      <c r="E706" s="88" t="s">
        <v>192</v>
      </c>
      <c r="F706" s="33">
        <v>21496.49</v>
      </c>
      <c r="G706" s="33">
        <v>21927.17</v>
      </c>
      <c r="H706" s="33">
        <v>22062.46</v>
      </c>
      <c r="I706" s="33">
        <v>21948.68</v>
      </c>
      <c r="J706" s="33">
        <v>21491.55</v>
      </c>
      <c r="K706" s="33">
        <v>21652.13</v>
      </c>
      <c r="L706" s="33">
        <v>21999.759999999998</v>
      </c>
      <c r="M706" s="33">
        <v>21853.919999999998</v>
      </c>
      <c r="N706" s="33">
        <v>21330.38</v>
      </c>
      <c r="O706" s="88">
        <f>IF((N707=""),"",MAX(F708:N708))</f>
        <v>4917.8100000000013</v>
      </c>
      <c r="P706" s="88">
        <f>IF(N707="","",MIN(F708:N708))</f>
        <v>4417.1999999999935</v>
      </c>
      <c r="Q706" s="89">
        <f>IF((N708=""),"",AVERAGE(F708:N708))</f>
        <v>4631.0899999999983</v>
      </c>
      <c r="R706" s="89">
        <f>IF((N707=""),"",(O706-P706)/(O706+P706)*100)</f>
        <v>5.3627151979484564</v>
      </c>
      <c r="S706" s="210">
        <f>STDEV(F708:N708)</f>
        <v>179.98432306731769</v>
      </c>
      <c r="T706" s="23" t="str">
        <f>IF(N707="","",IF(R706&lt;16,IF(Q706&gt;3200,IF(R706,IF(Q706&lt;5240,"Pass","Fail"),"Fail"),"Fail")))</f>
        <v>Pass</v>
      </c>
      <c r="U706" s="217">
        <v>64</v>
      </c>
      <c r="V706" s="252"/>
      <c r="X706" s="184">
        <v>4200</v>
      </c>
      <c r="Y706" s="184">
        <v>5500</v>
      </c>
      <c r="Z706" s="184">
        <v>3200</v>
      </c>
      <c r="AA706" s="184">
        <v>5240</v>
      </c>
      <c r="AB706" s="57">
        <v>16</v>
      </c>
    </row>
    <row r="707" spans="1:29" x14ac:dyDescent="0.25">
      <c r="A707" s="272"/>
      <c r="B707" s="47"/>
      <c r="C707" s="24"/>
      <c r="D707" s="24"/>
      <c r="E707" s="88" t="s">
        <v>193</v>
      </c>
      <c r="F707" s="33">
        <v>19899.38</v>
      </c>
      <c r="G707" s="33">
        <v>20427.14</v>
      </c>
      <c r="H707" s="33">
        <v>20590.060000000001</v>
      </c>
      <c r="I707" s="33">
        <v>20442.66</v>
      </c>
      <c r="J707" s="33">
        <v>19883.45</v>
      </c>
      <c r="K707" s="33">
        <v>20089.21</v>
      </c>
      <c r="L707" s="33">
        <v>20514.53</v>
      </c>
      <c r="M707" s="33">
        <v>20331.73</v>
      </c>
      <c r="N707" s="33">
        <v>19691.11</v>
      </c>
      <c r="O707" s="88"/>
      <c r="P707" s="88"/>
      <c r="Q707" s="89"/>
      <c r="R707" s="89"/>
      <c r="S707" s="210"/>
      <c r="T707" s="23"/>
      <c r="U707" s="211"/>
      <c r="V707" s="252"/>
      <c r="X707" s="186"/>
      <c r="Y707" s="186"/>
      <c r="Z707" s="186"/>
      <c r="AA707" s="186"/>
    </row>
    <row r="708" spans="1:29" ht="22.75" thickBot="1" x14ac:dyDescent="0.3">
      <c r="A708" s="279"/>
      <c r="B708" s="90"/>
      <c r="C708" s="91"/>
      <c r="D708" s="91"/>
      <c r="E708" s="92" t="s">
        <v>194</v>
      </c>
      <c r="F708" s="79">
        <f t="shared" ref="F708:N708" si="232">IF(((F706="")*AND(F707="")),"",(F706-F707)*3)</f>
        <v>4791.3300000000017</v>
      </c>
      <c r="G708" s="79">
        <f t="shared" si="232"/>
        <v>4500.0899999999965</v>
      </c>
      <c r="H708" s="79">
        <f t="shared" si="232"/>
        <v>4417.1999999999935</v>
      </c>
      <c r="I708" s="79">
        <f t="shared" si="232"/>
        <v>4518.0600000000013</v>
      </c>
      <c r="J708" s="79">
        <f t="shared" si="232"/>
        <v>4824.2999999999956</v>
      </c>
      <c r="K708" s="79">
        <f t="shared" si="232"/>
        <v>4688.7600000000057</v>
      </c>
      <c r="L708" s="79">
        <f t="shared" si="232"/>
        <v>4455.6899999999987</v>
      </c>
      <c r="M708" s="79">
        <f t="shared" si="232"/>
        <v>4566.5699999999961</v>
      </c>
      <c r="N708" s="79">
        <f t="shared" si="232"/>
        <v>4917.8100000000013</v>
      </c>
      <c r="O708" s="92"/>
      <c r="P708" s="92"/>
      <c r="Q708" s="93"/>
      <c r="R708" s="93"/>
      <c r="S708" s="213"/>
      <c r="T708" s="214"/>
      <c r="U708" s="215"/>
      <c r="V708" s="252"/>
      <c r="X708" s="186"/>
      <c r="Y708" s="186"/>
      <c r="Z708" s="186"/>
      <c r="AA708" s="186"/>
    </row>
    <row r="709" spans="1:29" x14ac:dyDescent="0.25">
      <c r="A709" s="280">
        <v>43408</v>
      </c>
      <c r="B709" s="63" t="s">
        <v>177</v>
      </c>
      <c r="C709" s="65" t="s">
        <v>179</v>
      </c>
      <c r="D709" s="65" t="s">
        <v>178</v>
      </c>
      <c r="E709" s="67" t="s">
        <v>192</v>
      </c>
      <c r="F709" s="33">
        <v>7034.53</v>
      </c>
      <c r="G709" s="33">
        <v>7021.95</v>
      </c>
      <c r="H709" s="33">
        <v>7041.48</v>
      </c>
      <c r="I709" s="33">
        <v>6989.85</v>
      </c>
      <c r="J709" s="33">
        <v>7061.53</v>
      </c>
      <c r="K709" s="33">
        <v>7004.32</v>
      </c>
      <c r="L709" s="33">
        <v>6995.06</v>
      </c>
      <c r="M709" s="33">
        <v>7026.66</v>
      </c>
      <c r="N709" s="33">
        <v>7115.41</v>
      </c>
      <c r="O709" s="67">
        <f>IF((N710=""),"",MAX(F711:N711))</f>
        <v>4062.2999999999993</v>
      </c>
      <c r="P709" s="67">
        <f>IF(N710="","",MIN(F711:N711))</f>
        <v>3677.5399999999991</v>
      </c>
      <c r="Q709" s="68">
        <f>IF((N711=""),"",AVERAGE(F711:N711))</f>
        <v>3929.96</v>
      </c>
      <c r="R709" s="68">
        <f>IF((N710=""),"",(O709-P709)/(O709+P709)*100)</f>
        <v>4.9711621945673334</v>
      </c>
      <c r="S709" s="222">
        <f>STDEV(F711:N711)</f>
        <v>133.01954668393665</v>
      </c>
      <c r="T709" s="187" t="str">
        <f>IF(N710="","",IF(Q709&gt;3650,IF(R709&lt;7,IF(Q709&lt;4450,"Pass","Fail"),"Fail"),"Fail"))</f>
        <v>Pass</v>
      </c>
      <c r="U709" s="216">
        <v>121</v>
      </c>
      <c r="V709" s="252" t="s">
        <v>219</v>
      </c>
      <c r="X709" s="184">
        <v>3650</v>
      </c>
      <c r="Y709" s="184">
        <v>4450</v>
      </c>
      <c r="Z709" s="184">
        <v>3700</v>
      </c>
      <c r="AA709" s="184">
        <v>4100</v>
      </c>
      <c r="AB709" s="57">
        <v>6.5</v>
      </c>
      <c r="AC709" s="57">
        <v>7</v>
      </c>
    </row>
    <row r="710" spans="1:29" x14ac:dyDescent="0.25">
      <c r="A710" s="281"/>
      <c r="B710" s="47"/>
      <c r="C710" s="24"/>
      <c r="D710" s="24"/>
      <c r="E710" s="88" t="s">
        <v>193</v>
      </c>
      <c r="F710" s="33">
        <v>5110.74</v>
      </c>
      <c r="G710" s="33">
        <v>5007.29</v>
      </c>
      <c r="H710" s="33">
        <v>5012.68</v>
      </c>
      <c r="I710" s="33">
        <v>4989.09</v>
      </c>
      <c r="J710" s="33">
        <v>5162.12</v>
      </c>
      <c r="K710" s="33">
        <v>5165.55</v>
      </c>
      <c r="L710" s="33">
        <v>4997.76</v>
      </c>
      <c r="M710" s="33">
        <v>4995.51</v>
      </c>
      <c r="N710" s="33">
        <v>5165.2299999999996</v>
      </c>
      <c r="O710" s="88"/>
      <c r="P710" s="88"/>
      <c r="Q710" s="89"/>
      <c r="R710" s="89"/>
      <c r="S710" s="210"/>
      <c r="T710" s="28"/>
      <c r="U710" s="217"/>
      <c r="V710" s="252"/>
      <c r="X710" s="186"/>
      <c r="Y710" s="186"/>
      <c r="Z710" s="186"/>
      <c r="AA710" s="186"/>
    </row>
    <row r="711" spans="1:29" ht="22.15" x14ac:dyDescent="0.25">
      <c r="A711" s="271"/>
      <c r="B711" s="47"/>
      <c r="C711" s="24"/>
      <c r="D711" s="24"/>
      <c r="E711" s="88" t="s">
        <v>194</v>
      </c>
      <c r="F711" s="66">
        <f t="shared" ref="F711:N711" si="233">IF(((F709="")*AND(F710="")),"",(F709-F710)*2)</f>
        <v>3847.58</v>
      </c>
      <c r="G711" s="66">
        <f t="shared" si="233"/>
        <v>4029.3199999999997</v>
      </c>
      <c r="H711" s="66">
        <f t="shared" si="233"/>
        <v>4057.5999999999985</v>
      </c>
      <c r="I711" s="66">
        <f t="shared" si="233"/>
        <v>4001.5200000000004</v>
      </c>
      <c r="J711" s="66">
        <f t="shared" si="233"/>
        <v>3798.8199999999997</v>
      </c>
      <c r="K711" s="66">
        <f t="shared" si="233"/>
        <v>3677.5399999999991</v>
      </c>
      <c r="L711" s="66">
        <f t="shared" si="233"/>
        <v>3994.6000000000004</v>
      </c>
      <c r="M711" s="66">
        <f t="shared" si="233"/>
        <v>4062.2999999999993</v>
      </c>
      <c r="N711" s="66">
        <f t="shared" si="233"/>
        <v>3900.3600000000006</v>
      </c>
      <c r="O711" s="88"/>
      <c r="P711" s="88"/>
      <c r="Q711" s="89"/>
      <c r="R711" s="89"/>
      <c r="S711" s="210"/>
      <c r="T711" s="28"/>
      <c r="U711" s="217"/>
      <c r="V711" s="252"/>
      <c r="X711" s="186"/>
      <c r="Y711" s="186"/>
      <c r="Z711" s="186"/>
      <c r="AA711" s="186"/>
    </row>
    <row r="712" spans="1:29" x14ac:dyDescent="0.25">
      <c r="A712" s="282">
        <v>43408</v>
      </c>
      <c r="B712" s="24" t="s">
        <v>172</v>
      </c>
      <c r="C712" s="24" t="s">
        <v>174</v>
      </c>
      <c r="D712" s="24" t="s">
        <v>195</v>
      </c>
      <c r="E712" s="88" t="s">
        <v>192</v>
      </c>
      <c r="F712" s="33">
        <v>1282.19</v>
      </c>
      <c r="G712" s="33">
        <v>1245.93</v>
      </c>
      <c r="H712" s="33">
        <v>1235.99</v>
      </c>
      <c r="I712" s="33">
        <v>1245.82</v>
      </c>
      <c r="J712" s="33">
        <v>1287.1199999999999</v>
      </c>
      <c r="K712" s="33">
        <v>1283.9000000000001</v>
      </c>
      <c r="L712" s="33">
        <v>1249.3800000000001</v>
      </c>
      <c r="M712" s="33">
        <v>1241.4100000000001</v>
      </c>
      <c r="N712" s="33">
        <v>1280.77</v>
      </c>
      <c r="O712" s="88">
        <f>IF((N713=""),"",MAX(F714:N714))</f>
        <v>2098.92</v>
      </c>
      <c r="P712" s="88">
        <f>IF(N713="","",MIN(F714:N714))</f>
        <v>1989.8099999999995</v>
      </c>
      <c r="Q712" s="89">
        <f>IF((N714=""),"",AVERAGE(F714:N714))</f>
        <v>2054.0166666666669</v>
      </c>
      <c r="R712" s="89">
        <f>IF((N713=""),"",(O712-P712)/(O712+P712)*100)</f>
        <v>2.6685547835147001</v>
      </c>
      <c r="S712" s="210">
        <f>STDEV(F714:N714)</f>
        <v>49.297692897335587</v>
      </c>
      <c r="T712" s="23" t="str">
        <f>IF(N713="","",IF(Q712&gt;1940,IF(R712&lt;8.3,IF(Q712&lt;2180,"Pass","Fail"),"Fail"),"Fail"))</f>
        <v>Pass</v>
      </c>
      <c r="U712" s="217">
        <v>121</v>
      </c>
      <c r="V712" s="252" t="s">
        <v>219</v>
      </c>
      <c r="X712" s="184">
        <v>2000</v>
      </c>
      <c r="Y712" s="184">
        <v>3000</v>
      </c>
      <c r="Z712" s="184">
        <v>1940</v>
      </c>
      <c r="AA712" s="184">
        <v>2180</v>
      </c>
      <c r="AB712" s="57">
        <v>5.2</v>
      </c>
    </row>
    <row r="713" spans="1:29" x14ac:dyDescent="0.25">
      <c r="A713" s="281"/>
      <c r="B713" s="47"/>
      <c r="C713" s="24"/>
      <c r="D713" s="24"/>
      <c r="E713" s="88" t="s">
        <v>193</v>
      </c>
      <c r="F713" s="33">
        <v>607.99</v>
      </c>
      <c r="G713" s="33">
        <v>548.11</v>
      </c>
      <c r="H713" s="33">
        <v>537.03</v>
      </c>
      <c r="I713" s="33">
        <v>546.17999999999995</v>
      </c>
      <c r="J713" s="33">
        <v>623.85</v>
      </c>
      <c r="K713" s="33">
        <v>618.09</v>
      </c>
      <c r="L713" s="33">
        <v>552.32000000000005</v>
      </c>
      <c r="M713" s="33">
        <v>543.37</v>
      </c>
      <c r="N713" s="33">
        <v>613.52</v>
      </c>
      <c r="O713" s="88"/>
      <c r="P713" s="88"/>
      <c r="Q713" s="89"/>
      <c r="R713" s="89"/>
      <c r="S713" s="210"/>
      <c r="T713" s="23"/>
      <c r="U713" s="211"/>
      <c r="V713" s="252"/>
      <c r="X713" s="186"/>
      <c r="Y713" s="186"/>
      <c r="Z713" s="186"/>
      <c r="AA713" s="186"/>
    </row>
    <row r="714" spans="1:29" x14ac:dyDescent="0.25">
      <c r="A714" s="271"/>
      <c r="B714" s="47"/>
      <c r="C714" s="24"/>
      <c r="D714" s="24"/>
      <c r="E714" s="88" t="s">
        <v>196</v>
      </c>
      <c r="F714" s="66">
        <f t="shared" ref="F714:N714" si="234">IF(((F712="")*AND(F713="")),"",(F712-F713)*3)</f>
        <v>2022.6000000000001</v>
      </c>
      <c r="G714" s="66">
        <f t="shared" si="234"/>
        <v>2093.46</v>
      </c>
      <c r="H714" s="66">
        <f t="shared" si="234"/>
        <v>2096.88</v>
      </c>
      <c r="I714" s="66">
        <f t="shared" si="234"/>
        <v>2098.92</v>
      </c>
      <c r="J714" s="66">
        <f t="shared" si="234"/>
        <v>1989.8099999999995</v>
      </c>
      <c r="K714" s="66">
        <f t="shared" si="234"/>
        <v>1997.4300000000003</v>
      </c>
      <c r="L714" s="66">
        <f t="shared" si="234"/>
        <v>2091.1800000000003</v>
      </c>
      <c r="M714" s="66">
        <f t="shared" si="234"/>
        <v>2094.1200000000003</v>
      </c>
      <c r="N714" s="66">
        <f t="shared" si="234"/>
        <v>2001.75</v>
      </c>
      <c r="O714" s="88"/>
      <c r="P714" s="88"/>
      <c r="Q714" s="89"/>
      <c r="R714" s="89"/>
      <c r="S714" s="210"/>
      <c r="T714" s="23"/>
      <c r="U714" s="211"/>
      <c r="V714" s="252"/>
      <c r="X714" s="186"/>
      <c r="Y714" s="186"/>
      <c r="Z714" s="186"/>
      <c r="AA714" s="186"/>
    </row>
    <row r="715" spans="1:29" x14ac:dyDescent="0.25">
      <c r="A715" s="282">
        <v>43408</v>
      </c>
      <c r="B715" s="47" t="s">
        <v>191</v>
      </c>
      <c r="C715" s="24" t="s">
        <v>176</v>
      </c>
      <c r="D715" s="24" t="s">
        <v>175</v>
      </c>
      <c r="E715" s="88" t="s">
        <v>192</v>
      </c>
      <c r="F715" s="33">
        <v>29381.93</v>
      </c>
      <c r="G715" s="33">
        <v>29292.79</v>
      </c>
      <c r="H715" s="33">
        <v>29313.82</v>
      </c>
      <c r="I715" s="33">
        <v>29282.79</v>
      </c>
      <c r="J715" s="33">
        <v>29394.63</v>
      </c>
      <c r="K715" s="33">
        <v>29385.72</v>
      </c>
      <c r="L715" s="33">
        <v>29274.76</v>
      </c>
      <c r="M715" s="33">
        <v>29336.69</v>
      </c>
      <c r="N715" s="33">
        <v>29367.08</v>
      </c>
      <c r="O715" s="88">
        <f>IF((N716=""),"",MAX(F717:N717))</f>
        <v>4516.8000000000065</v>
      </c>
      <c r="P715" s="88">
        <f>IF(N716="","",MIN(F717:N717))</f>
        <v>4055.5500000000065</v>
      </c>
      <c r="Q715" s="89">
        <f>IF((N717=""),"",AVERAGE(F717:N717))</f>
        <v>4276.2166666666681</v>
      </c>
      <c r="R715" s="89">
        <f>IF((N716=""),"",(O715-P715)/(O715+P715)*100)</f>
        <v>5.3806715778053782</v>
      </c>
      <c r="S715" s="210">
        <f>STDEV(F717:N717)</f>
        <v>181.97322447272325</v>
      </c>
      <c r="T715" s="23" t="str">
        <f>IF(N716="","",IF(R715&lt;16,IF(Q715&gt;3200,IF(R715,IF(Q715&lt;5240,"Pass","Fail"),"Fail"),"Fail")))</f>
        <v>Pass</v>
      </c>
      <c r="U715" s="217">
        <v>121</v>
      </c>
      <c r="V715" s="252" t="s">
        <v>219</v>
      </c>
      <c r="X715" s="184">
        <v>4200</v>
      </c>
      <c r="Y715" s="184">
        <v>5500</v>
      </c>
      <c r="Z715" s="184">
        <v>3200</v>
      </c>
      <c r="AA715" s="184">
        <v>5240</v>
      </c>
      <c r="AB715" s="57">
        <v>16</v>
      </c>
    </row>
    <row r="716" spans="1:29" x14ac:dyDescent="0.25">
      <c r="A716" s="281"/>
      <c r="B716" s="47"/>
      <c r="C716" s="24"/>
      <c r="D716" s="24"/>
      <c r="E716" s="88" t="s">
        <v>193</v>
      </c>
      <c r="F716" s="33">
        <v>27919.27</v>
      </c>
      <c r="G716" s="33">
        <v>27927.95</v>
      </c>
      <c r="H716" s="33">
        <v>27925.439999999999</v>
      </c>
      <c r="I716" s="33">
        <v>27930.94</v>
      </c>
      <c r="J716" s="33">
        <v>27898.82</v>
      </c>
      <c r="K716" s="33">
        <v>27933.86</v>
      </c>
      <c r="L716" s="33">
        <v>27918.78</v>
      </c>
      <c r="M716" s="33">
        <v>27885.02</v>
      </c>
      <c r="N716" s="33">
        <v>27861.48</v>
      </c>
      <c r="O716" s="88"/>
      <c r="P716" s="88"/>
      <c r="Q716" s="89"/>
      <c r="R716" s="89"/>
      <c r="S716" s="210"/>
      <c r="T716" s="23"/>
      <c r="U716" s="211"/>
      <c r="V716" s="252"/>
      <c r="X716" s="186"/>
      <c r="Y716" s="186"/>
      <c r="Z716" s="186"/>
      <c r="AA716" s="186"/>
    </row>
    <row r="717" spans="1:29" ht="22.75" thickBot="1" x14ac:dyDescent="0.3">
      <c r="A717" s="283"/>
      <c r="B717" s="90"/>
      <c r="C717" s="91"/>
      <c r="D717" s="91"/>
      <c r="E717" s="92" t="s">
        <v>194</v>
      </c>
      <c r="F717" s="79">
        <f t="shared" ref="F717:N717" si="235">IF(((F715="")*AND(F716="")),"",(F715-F716)*3)</f>
        <v>4387.9799999999996</v>
      </c>
      <c r="G717" s="79">
        <f t="shared" si="235"/>
        <v>4094.5200000000004</v>
      </c>
      <c r="H717" s="79">
        <f t="shared" si="235"/>
        <v>4165.1400000000031</v>
      </c>
      <c r="I717" s="79">
        <f t="shared" si="235"/>
        <v>4055.5500000000065</v>
      </c>
      <c r="J717" s="79">
        <f t="shared" si="235"/>
        <v>4487.4300000000039</v>
      </c>
      <c r="K717" s="79">
        <f t="shared" si="235"/>
        <v>4355.5800000000017</v>
      </c>
      <c r="L717" s="79">
        <f t="shared" si="235"/>
        <v>4067.9399999999987</v>
      </c>
      <c r="M717" s="79">
        <f t="shared" si="235"/>
        <v>4355.0099999999948</v>
      </c>
      <c r="N717" s="79">
        <f t="shared" si="235"/>
        <v>4516.8000000000065</v>
      </c>
      <c r="O717" s="92"/>
      <c r="P717" s="92"/>
      <c r="Q717" s="93"/>
      <c r="R717" s="93"/>
      <c r="S717" s="213"/>
      <c r="T717" s="214"/>
      <c r="U717" s="215"/>
      <c r="V717" s="252"/>
      <c r="X717" s="186"/>
      <c r="Y717" s="186"/>
      <c r="Z717" s="186"/>
      <c r="AA717" s="186"/>
    </row>
    <row r="718" spans="1:29" x14ac:dyDescent="0.25">
      <c r="A718" s="282">
        <v>43412</v>
      </c>
      <c r="B718" s="63" t="s">
        <v>177</v>
      </c>
      <c r="C718" s="65" t="s">
        <v>179</v>
      </c>
      <c r="D718" s="65" t="s">
        <v>178</v>
      </c>
      <c r="E718" s="67" t="s">
        <v>192</v>
      </c>
      <c r="F718" s="33">
        <v>5116.88</v>
      </c>
      <c r="G718" s="33">
        <v>5013.6099999999997</v>
      </c>
      <c r="H718" s="33">
        <v>5018.6099999999997</v>
      </c>
      <c r="I718" s="33">
        <v>4995.26</v>
      </c>
      <c r="J718" s="33">
        <v>5168.1400000000003</v>
      </c>
      <c r="K718" s="33">
        <v>5171.47</v>
      </c>
      <c r="L718" s="33">
        <v>5004.13</v>
      </c>
      <c r="M718" s="33">
        <v>5001.46</v>
      </c>
      <c r="N718" s="33">
        <v>5171.24</v>
      </c>
      <c r="O718" s="67">
        <f>IF((N719=""),"",MAX(F720:N720))</f>
        <v>4153.4400000000005</v>
      </c>
      <c r="P718" s="67">
        <f>IF(N719="","",MIN(F720:N720))</f>
        <v>3756.1000000000004</v>
      </c>
      <c r="Q718" s="68">
        <f>IF((N720=""),"",AVERAGE(F720:N720))</f>
        <v>4016.1088888888894</v>
      </c>
      <c r="R718" s="68">
        <f>IF((N719=""),"",(O718-P718)/(O718+P718)*100)</f>
        <v>5.0235538349891407</v>
      </c>
      <c r="S718" s="222">
        <f>STDEV(F720:N720)</f>
        <v>135.34461500595827</v>
      </c>
      <c r="T718" s="187" t="str">
        <f>IF(N719="","",IF(Q718&gt;3650,IF(R718&lt;7,IF(Q718&lt;4450,"Pass","Fail"),"Fail"),"Fail"))</f>
        <v>Pass</v>
      </c>
      <c r="U718" s="216">
        <v>1335</v>
      </c>
      <c r="V718" s="252" t="s">
        <v>220</v>
      </c>
      <c r="X718" s="184">
        <v>3650</v>
      </c>
      <c r="Y718" s="184">
        <v>4450</v>
      </c>
      <c r="Z718" s="184">
        <v>3700</v>
      </c>
      <c r="AA718" s="184">
        <v>4100</v>
      </c>
      <c r="AB718" s="57">
        <v>6.5</v>
      </c>
      <c r="AC718" s="57">
        <v>7</v>
      </c>
    </row>
    <row r="719" spans="1:29" x14ac:dyDescent="0.25">
      <c r="A719" s="281"/>
      <c r="B719" s="47"/>
      <c r="C719" s="24"/>
      <c r="D719" s="24"/>
      <c r="E719" s="88" t="s">
        <v>193</v>
      </c>
      <c r="F719" s="33">
        <v>3165.16</v>
      </c>
      <c r="G719" s="33">
        <v>2963.34</v>
      </c>
      <c r="H719" s="33">
        <v>2946.93</v>
      </c>
      <c r="I719" s="33">
        <v>2943.94</v>
      </c>
      <c r="J719" s="33">
        <v>3214.28</v>
      </c>
      <c r="K719" s="33">
        <v>3293.42</v>
      </c>
      <c r="L719" s="33">
        <v>2962.92</v>
      </c>
      <c r="M719" s="33">
        <v>2924.74</v>
      </c>
      <c r="N719" s="33">
        <v>3173.58</v>
      </c>
      <c r="O719" s="88"/>
      <c r="P719" s="88"/>
      <c r="Q719" s="89"/>
      <c r="R719" s="89"/>
      <c r="S719" s="210"/>
      <c r="T719" s="28"/>
      <c r="U719" s="217"/>
      <c r="V719" s="252"/>
      <c r="X719" s="186"/>
      <c r="Y719" s="186"/>
      <c r="Z719" s="186"/>
      <c r="AA719" s="186"/>
    </row>
    <row r="720" spans="1:29" ht="22.75" thickBot="1" x14ac:dyDescent="0.3">
      <c r="A720" s="283"/>
      <c r="B720" s="47"/>
      <c r="C720" s="24"/>
      <c r="D720" s="24"/>
      <c r="E720" s="88" t="s">
        <v>194</v>
      </c>
      <c r="F720" s="66">
        <f t="shared" ref="F720:N720" si="236">IF(((F718="")*AND(F719="")),"",(F718-F719)*2)</f>
        <v>3903.4400000000005</v>
      </c>
      <c r="G720" s="66">
        <f t="shared" si="236"/>
        <v>4100.5399999999991</v>
      </c>
      <c r="H720" s="66">
        <f t="shared" si="236"/>
        <v>4143.3599999999997</v>
      </c>
      <c r="I720" s="66">
        <f t="shared" si="236"/>
        <v>4102.6400000000003</v>
      </c>
      <c r="J720" s="66">
        <f t="shared" si="236"/>
        <v>3907.7200000000003</v>
      </c>
      <c r="K720" s="66">
        <f t="shared" si="236"/>
        <v>3756.1000000000004</v>
      </c>
      <c r="L720" s="66">
        <f t="shared" si="236"/>
        <v>4082.42</v>
      </c>
      <c r="M720" s="66">
        <f t="shared" si="236"/>
        <v>4153.4400000000005</v>
      </c>
      <c r="N720" s="66">
        <f t="shared" si="236"/>
        <v>3995.3199999999997</v>
      </c>
      <c r="O720" s="88"/>
      <c r="P720" s="88"/>
      <c r="Q720" s="89"/>
      <c r="R720" s="89"/>
      <c r="S720" s="210"/>
      <c r="T720" s="28"/>
      <c r="U720" s="217"/>
      <c r="V720" s="252"/>
      <c r="X720" s="186"/>
      <c r="Y720" s="186"/>
      <c r="Z720" s="186"/>
      <c r="AA720" s="186"/>
    </row>
    <row r="721" spans="1:29" x14ac:dyDescent="0.25">
      <c r="A721" s="282">
        <v>43412</v>
      </c>
      <c r="B721" s="24" t="s">
        <v>172</v>
      </c>
      <c r="C721" s="24" t="s">
        <v>174</v>
      </c>
      <c r="D721" s="24" t="s">
        <v>195</v>
      </c>
      <c r="E721" s="88" t="s">
        <v>192</v>
      </c>
      <c r="F721" s="33">
        <v>1918.25</v>
      </c>
      <c r="G721" s="33">
        <v>1914.63</v>
      </c>
      <c r="H721" s="33">
        <v>1913.37</v>
      </c>
      <c r="I721" s="33">
        <v>1912.71</v>
      </c>
      <c r="J721" s="33">
        <v>1916.78</v>
      </c>
      <c r="K721" s="33">
        <v>1919.53</v>
      </c>
      <c r="L721" s="33">
        <v>1916.2</v>
      </c>
      <c r="M721" s="33">
        <v>1913.94</v>
      </c>
      <c r="N721" s="33">
        <v>1918.93</v>
      </c>
      <c r="O721" s="88">
        <f>IF((N722=""),"",MAX(F723:N723))</f>
        <v>2089.5300000000007</v>
      </c>
      <c r="P721" s="88">
        <f>IF(N722="","",MIN(F723:N723))</f>
        <v>1992.5400000000002</v>
      </c>
      <c r="Q721" s="89">
        <f>IF((N723=""),"",AVERAGE(F723:N723))</f>
        <v>2044.9033333333334</v>
      </c>
      <c r="R721" s="89">
        <f>IF((N722=""),"",(O721-P721)/(O721+P721)*100)</f>
        <v>2.3760004115559128</v>
      </c>
      <c r="S721" s="210">
        <f>STDEV(F723:N723)</f>
        <v>41.029744088892535</v>
      </c>
      <c r="T721" s="23" t="str">
        <f>IF(N722="","",IF(Q721&gt;1940,IF(R721&lt;8.3,IF(Q721&lt;2180,"Pass","Fail"),"Fail"),"Fail"))</f>
        <v>Pass</v>
      </c>
      <c r="U721" s="217">
        <v>1335</v>
      </c>
      <c r="V721" s="252" t="s">
        <v>220</v>
      </c>
      <c r="X721" s="184">
        <v>2000</v>
      </c>
      <c r="Y721" s="184">
        <v>3000</v>
      </c>
      <c r="Z721" s="184">
        <v>1940</v>
      </c>
      <c r="AA721" s="184">
        <v>2180</v>
      </c>
      <c r="AB721" s="57">
        <v>5.2</v>
      </c>
    </row>
    <row r="722" spans="1:29" x14ac:dyDescent="0.25">
      <c r="A722" s="281"/>
      <c r="B722" s="47"/>
      <c r="C722" s="24"/>
      <c r="D722" s="24"/>
      <c r="E722" s="88" t="s">
        <v>193</v>
      </c>
      <c r="F722" s="33">
        <v>1249.79</v>
      </c>
      <c r="G722" s="33">
        <v>1218.1199999999999</v>
      </c>
      <c r="H722" s="33">
        <v>1219.3499999999999</v>
      </c>
      <c r="I722" s="33">
        <v>1224.08</v>
      </c>
      <c r="J722" s="33">
        <v>1252.5999999999999</v>
      </c>
      <c r="K722" s="33">
        <v>1246.73</v>
      </c>
      <c r="L722" s="33">
        <v>1222.45</v>
      </c>
      <c r="M722" s="33">
        <v>1222.6099999999999</v>
      </c>
      <c r="N722" s="33">
        <v>1253.9000000000001</v>
      </c>
      <c r="O722" s="88"/>
      <c r="P722" s="88"/>
      <c r="Q722" s="89"/>
      <c r="R722" s="89"/>
      <c r="S722" s="210"/>
      <c r="T722" s="23"/>
      <c r="U722" s="211"/>
      <c r="V722" s="252"/>
      <c r="X722" s="186"/>
      <c r="Y722" s="186"/>
      <c r="Z722" s="186"/>
      <c r="AA722" s="186"/>
    </row>
    <row r="723" spans="1:29" ht="13.3" thickBot="1" x14ac:dyDescent="0.3">
      <c r="A723" s="283"/>
      <c r="B723" s="47"/>
      <c r="C723" s="24"/>
      <c r="D723" s="24"/>
      <c r="E723" s="88" t="s">
        <v>196</v>
      </c>
      <c r="F723" s="66">
        <f t="shared" ref="F723:N723" si="237">IF(((F721="")*AND(F722="")),"",(F721-F722)*3)</f>
        <v>2005.38</v>
      </c>
      <c r="G723" s="66">
        <f t="shared" si="237"/>
        <v>2089.5300000000007</v>
      </c>
      <c r="H723" s="66">
        <f t="shared" si="237"/>
        <v>2082.06</v>
      </c>
      <c r="I723" s="66">
        <f t="shared" si="237"/>
        <v>2065.8900000000003</v>
      </c>
      <c r="J723" s="66">
        <f t="shared" si="237"/>
        <v>1992.5400000000002</v>
      </c>
      <c r="K723" s="66">
        <f t="shared" si="237"/>
        <v>2018.3999999999999</v>
      </c>
      <c r="L723" s="66">
        <f t="shared" si="237"/>
        <v>2081.25</v>
      </c>
      <c r="M723" s="66">
        <f t="shared" si="237"/>
        <v>2073.9900000000007</v>
      </c>
      <c r="N723" s="66">
        <f t="shared" si="237"/>
        <v>1995.09</v>
      </c>
      <c r="O723" s="88"/>
      <c r="P723" s="88"/>
      <c r="Q723" s="89"/>
      <c r="R723" s="89"/>
      <c r="S723" s="210"/>
      <c r="T723" s="23"/>
      <c r="U723" s="211"/>
      <c r="V723" s="252"/>
      <c r="X723" s="186"/>
      <c r="Y723" s="186"/>
      <c r="Z723" s="186"/>
      <c r="AA723" s="186"/>
    </row>
    <row r="724" spans="1:29" x14ac:dyDescent="0.25">
      <c r="A724" s="282">
        <v>43412</v>
      </c>
      <c r="B724" s="47" t="s">
        <v>191</v>
      </c>
      <c r="C724" s="24" t="s">
        <v>176</v>
      </c>
      <c r="D724" s="24" t="s">
        <v>175</v>
      </c>
      <c r="E724" s="88" t="s">
        <v>192</v>
      </c>
      <c r="F724" s="33">
        <v>27811.15</v>
      </c>
      <c r="G724" s="33">
        <v>27901.62</v>
      </c>
      <c r="H724" s="33">
        <v>27859.81</v>
      </c>
      <c r="I724" s="33">
        <v>27862.799999999999</v>
      </c>
      <c r="J724" s="33">
        <v>27836.53</v>
      </c>
      <c r="K724" s="33">
        <v>27841.96</v>
      </c>
      <c r="L724" s="33">
        <v>27852.3</v>
      </c>
      <c r="M724" s="33">
        <v>27842.04</v>
      </c>
      <c r="N724" s="33">
        <v>27766.880000000001</v>
      </c>
      <c r="O724" s="88">
        <f>IF((N725=""),"",MAX(F726:N726))</f>
        <v>4387.0499999999956</v>
      </c>
      <c r="P724" s="88">
        <f>IF(N725="","",MIN(F726:N726))</f>
        <v>3931.5600000000013</v>
      </c>
      <c r="Q724" s="89">
        <f>IF((N726=""),"",AVERAGE(F726:N726))</f>
        <v>4178.9866666666676</v>
      </c>
      <c r="R724" s="89">
        <f>IF((N725=""),"",(O724-P724)/(O724+P724)*100)</f>
        <v>5.4755542091767069</v>
      </c>
      <c r="S724" s="210">
        <f>STDEV(F726:N726)</f>
        <v>166.72588401325058</v>
      </c>
      <c r="T724" s="23" t="str">
        <f>IF(N725="","",IF(R724&lt;16,IF(Q724&gt;3200,IF(R724,IF(Q724&lt;5240,"Pass","Fail"),"Fail"),"Fail")))</f>
        <v>Pass</v>
      </c>
      <c r="U724" s="217">
        <v>1335</v>
      </c>
      <c r="V724" s="252" t="s">
        <v>220</v>
      </c>
      <c r="X724" s="184">
        <v>4200</v>
      </c>
      <c r="Y724" s="184">
        <v>5500</v>
      </c>
      <c r="Z724" s="184">
        <v>3200</v>
      </c>
      <c r="AA724" s="184">
        <v>5240</v>
      </c>
      <c r="AB724" s="57">
        <v>16</v>
      </c>
    </row>
    <row r="725" spans="1:29" x14ac:dyDescent="0.25">
      <c r="A725" s="281"/>
      <c r="B725" s="47"/>
      <c r="C725" s="24"/>
      <c r="D725" s="24"/>
      <c r="E725" s="88" t="s">
        <v>193</v>
      </c>
      <c r="F725" s="33">
        <v>26372.48</v>
      </c>
      <c r="G725" s="33">
        <v>26481.439999999999</v>
      </c>
      <c r="H725" s="33">
        <v>26549.29</v>
      </c>
      <c r="I725" s="33">
        <v>26499.439999999999</v>
      </c>
      <c r="J725" s="33">
        <v>26398.84</v>
      </c>
      <c r="K725" s="33">
        <v>26379.61</v>
      </c>
      <c r="L725" s="33">
        <v>26534.28</v>
      </c>
      <c r="M725" s="33">
        <v>26478.74</v>
      </c>
      <c r="N725" s="33">
        <v>26344.01</v>
      </c>
      <c r="O725" s="88"/>
      <c r="P725" s="88"/>
      <c r="Q725" s="89"/>
      <c r="R725" s="89"/>
      <c r="S725" s="210"/>
      <c r="T725" s="23"/>
      <c r="U725" s="211"/>
      <c r="V725" s="252"/>
      <c r="X725" s="186"/>
      <c r="Y725" s="186"/>
      <c r="Z725" s="186"/>
      <c r="AA725" s="186"/>
    </row>
    <row r="726" spans="1:29" ht="22.75" thickBot="1" x14ac:dyDescent="0.3">
      <c r="A726" s="283"/>
      <c r="B726" s="90"/>
      <c r="C726" s="91"/>
      <c r="D726" s="91"/>
      <c r="E726" s="92" t="s">
        <v>194</v>
      </c>
      <c r="F726" s="79">
        <f t="shared" ref="F726:N726" si="238">IF(((F724="")*AND(F725="")),"",(F724-F725)*3)</f>
        <v>4316.0100000000057</v>
      </c>
      <c r="G726" s="79">
        <f t="shared" si="238"/>
        <v>4260.5400000000009</v>
      </c>
      <c r="H726" s="79">
        <f t="shared" si="238"/>
        <v>3931.5600000000013</v>
      </c>
      <c r="I726" s="79">
        <f t="shared" si="238"/>
        <v>4090.0800000000017</v>
      </c>
      <c r="J726" s="79">
        <f t="shared" si="238"/>
        <v>4313.0699999999961</v>
      </c>
      <c r="K726" s="79">
        <f t="shared" si="238"/>
        <v>4387.0499999999956</v>
      </c>
      <c r="L726" s="79">
        <f t="shared" si="238"/>
        <v>3954.0600000000013</v>
      </c>
      <c r="M726" s="79">
        <f t="shared" si="238"/>
        <v>4089.8999999999978</v>
      </c>
      <c r="N726" s="79">
        <f t="shared" si="238"/>
        <v>4268.6100000000079</v>
      </c>
      <c r="O726" s="92"/>
      <c r="P726" s="92"/>
      <c r="Q726" s="93"/>
      <c r="R726" s="93"/>
      <c r="S726" s="213"/>
      <c r="T726" s="214"/>
      <c r="U726" s="215"/>
      <c r="V726" s="252"/>
      <c r="X726" s="186"/>
      <c r="Y726" s="186"/>
      <c r="Z726" s="186"/>
      <c r="AA726" s="186"/>
    </row>
    <row r="727" spans="1:29" x14ac:dyDescent="0.25">
      <c r="A727" s="271">
        <v>43445</v>
      </c>
      <c r="B727" s="63" t="s">
        <v>177</v>
      </c>
      <c r="C727" s="65" t="s">
        <v>179</v>
      </c>
      <c r="D727" s="65" t="s">
        <v>178</v>
      </c>
      <c r="E727" s="67" t="s">
        <v>192</v>
      </c>
      <c r="F727" s="33">
        <v>3165.16</v>
      </c>
      <c r="G727" s="33">
        <v>2963.34</v>
      </c>
      <c r="H727" s="33">
        <v>2946.93</v>
      </c>
      <c r="I727" s="33">
        <v>2943.94</v>
      </c>
      <c r="J727" s="33">
        <v>3214.28</v>
      </c>
      <c r="K727" s="33">
        <v>3293.42</v>
      </c>
      <c r="L727" s="33">
        <v>2962.92</v>
      </c>
      <c r="M727" s="33">
        <v>2924.74</v>
      </c>
      <c r="N727" s="33">
        <v>3173.58</v>
      </c>
      <c r="O727" s="67">
        <f>IF((N728=""),"",MAX(F729:N729))</f>
        <v>4085.6399999999994</v>
      </c>
      <c r="P727" s="67">
        <f>IF(N728="","",MIN(F729:N729))</f>
        <v>3720.58</v>
      </c>
      <c r="Q727" s="68">
        <f>IF((N729=""),"",AVERAGE(F729:N729))</f>
        <v>3958.8933333333334</v>
      </c>
      <c r="R727" s="68">
        <f>IF((N728=""),"",(O727-P727)/(O727+P727)*100)</f>
        <v>4.6765271796080494</v>
      </c>
      <c r="S727" s="222">
        <f>STDEV(F729:N729)</f>
        <v>123.45592533369944</v>
      </c>
      <c r="T727" s="187" t="str">
        <f>IF(N728="","",IF(Q727&gt;3650,IF(R727&lt;7,IF(Q727&lt;4450,"Pass","Fail"),"Fail"),"Fail"))</f>
        <v>Pass</v>
      </c>
      <c r="U727" s="216">
        <v>121</v>
      </c>
      <c r="V727" s="252" t="s">
        <v>221</v>
      </c>
      <c r="X727" s="184">
        <v>3650</v>
      </c>
      <c r="Y727" s="184">
        <v>4450</v>
      </c>
      <c r="Z727" s="184">
        <v>3700</v>
      </c>
      <c r="AA727" s="184">
        <v>4100</v>
      </c>
      <c r="AB727" s="57">
        <v>6.5</v>
      </c>
      <c r="AC727" s="57">
        <v>7</v>
      </c>
    </row>
    <row r="728" spans="1:29" x14ac:dyDescent="0.25">
      <c r="A728" s="272"/>
      <c r="B728" s="47"/>
      <c r="C728" s="24"/>
      <c r="D728" s="24"/>
      <c r="E728" s="88" t="s">
        <v>193</v>
      </c>
      <c r="F728" s="33">
        <v>1229.51</v>
      </c>
      <c r="G728" s="33">
        <v>937.57</v>
      </c>
      <c r="H728" s="33">
        <v>908.12</v>
      </c>
      <c r="I728" s="33">
        <v>931.51</v>
      </c>
      <c r="J728" s="33">
        <v>1285.58</v>
      </c>
      <c r="K728" s="33">
        <v>1433.13</v>
      </c>
      <c r="L728" s="33">
        <v>955.86</v>
      </c>
      <c r="M728" s="33">
        <v>881.92</v>
      </c>
      <c r="N728" s="33">
        <v>1210.0899999999999</v>
      </c>
      <c r="O728" s="88"/>
      <c r="P728" s="88"/>
      <c r="Q728" s="89"/>
      <c r="R728" s="89"/>
      <c r="S728" s="210"/>
      <c r="T728" s="28"/>
      <c r="U728" s="217"/>
      <c r="V728" s="252"/>
      <c r="X728" s="186"/>
      <c r="Y728" s="186"/>
      <c r="Z728" s="186"/>
      <c r="AA728" s="186"/>
    </row>
    <row r="729" spans="1:29" ht="22.15" x14ac:dyDescent="0.25">
      <c r="A729" s="272"/>
      <c r="B729" s="47"/>
      <c r="C729" s="24"/>
      <c r="D729" s="24"/>
      <c r="E729" s="88" t="s">
        <v>194</v>
      </c>
      <c r="F729" s="66">
        <f t="shared" ref="F729:N729" si="239">IF(((F727="")*AND(F728="")),"",(F727-F728)*2)</f>
        <v>3871.2999999999997</v>
      </c>
      <c r="G729" s="66">
        <f t="shared" si="239"/>
        <v>4051.54</v>
      </c>
      <c r="H729" s="66">
        <f t="shared" si="239"/>
        <v>4077.62</v>
      </c>
      <c r="I729" s="66">
        <f t="shared" si="239"/>
        <v>4024.86</v>
      </c>
      <c r="J729" s="66">
        <f t="shared" si="239"/>
        <v>3857.4000000000005</v>
      </c>
      <c r="K729" s="66">
        <f t="shared" si="239"/>
        <v>3720.58</v>
      </c>
      <c r="L729" s="66">
        <f t="shared" si="239"/>
        <v>4014.12</v>
      </c>
      <c r="M729" s="66">
        <f t="shared" si="239"/>
        <v>4085.6399999999994</v>
      </c>
      <c r="N729" s="66">
        <f t="shared" si="239"/>
        <v>3926.98</v>
      </c>
      <c r="O729" s="88"/>
      <c r="P729" s="88"/>
      <c r="Q729" s="89"/>
      <c r="R729" s="89"/>
      <c r="S729" s="210"/>
      <c r="T729" s="28"/>
      <c r="U729" s="217"/>
      <c r="V729" s="252"/>
      <c r="X729" s="186"/>
      <c r="Y729" s="186"/>
      <c r="Z729" s="186"/>
      <c r="AA729" s="186"/>
    </row>
    <row r="730" spans="1:29" x14ac:dyDescent="0.25">
      <c r="A730" s="272">
        <v>43445</v>
      </c>
      <c r="B730" s="24" t="s">
        <v>172</v>
      </c>
      <c r="C730" s="24" t="s">
        <v>174</v>
      </c>
      <c r="D730" s="24" t="s">
        <v>195</v>
      </c>
      <c r="E730" s="88" t="s">
        <v>192</v>
      </c>
      <c r="F730" s="33">
        <v>1249.79</v>
      </c>
      <c r="G730" s="33">
        <v>1218.1199999999999</v>
      </c>
      <c r="H730" s="33">
        <v>1219.3499999999999</v>
      </c>
      <c r="I730" s="33">
        <v>1224.08</v>
      </c>
      <c r="J730" s="33">
        <v>1252.5999999999999</v>
      </c>
      <c r="K730" s="33">
        <v>1246.73</v>
      </c>
      <c r="L730" s="33">
        <v>1222.45</v>
      </c>
      <c r="M730" s="33">
        <v>1222.6099999999999</v>
      </c>
      <c r="N730" s="33">
        <v>1253.9000000000001</v>
      </c>
      <c r="O730" s="88">
        <f>IF((N731=""),"",MAX(F732:N732))</f>
        <v>2100.21</v>
      </c>
      <c r="P730" s="88">
        <f>IF(N731="","",MIN(F732:N732))</f>
        <v>1979.0700000000002</v>
      </c>
      <c r="Q730" s="89">
        <f>IF((N732=""),"",AVERAGE(F732:N732))</f>
        <v>2048.3999999999996</v>
      </c>
      <c r="R730" s="89">
        <f>IF((N731=""),"",(O730-P730)/(O730+P730)*100)</f>
        <v>2.969641701476728</v>
      </c>
      <c r="S730" s="210">
        <f>STDEV(F732:N732)</f>
        <v>49.873511255976339</v>
      </c>
      <c r="T730" s="23" t="str">
        <f>IF(N731="","",IF(Q730&gt;1940,IF(R730&lt;8.3,IF(Q730&lt;2180,"Pass","Fail"),"Fail"),"Fail"))</f>
        <v>Pass</v>
      </c>
      <c r="U730" s="217">
        <v>121</v>
      </c>
      <c r="V730" s="252" t="s">
        <v>221</v>
      </c>
      <c r="X730" s="184">
        <v>2000</v>
      </c>
      <c r="Y730" s="184">
        <v>3000</v>
      </c>
      <c r="Z730" s="184">
        <v>1940</v>
      </c>
      <c r="AA730" s="184">
        <v>2180</v>
      </c>
      <c r="AB730" s="57">
        <v>5.2</v>
      </c>
    </row>
    <row r="731" spans="1:29" x14ac:dyDescent="0.25">
      <c r="A731" s="272"/>
      <c r="B731" s="47"/>
      <c r="C731" s="24"/>
      <c r="D731" s="24"/>
      <c r="E731" s="88" t="s">
        <v>193</v>
      </c>
      <c r="F731" s="33">
        <v>576.9</v>
      </c>
      <c r="G731" s="33">
        <v>521.28</v>
      </c>
      <c r="H731" s="33">
        <v>525.05999999999995</v>
      </c>
      <c r="I731" s="33">
        <v>527.66999999999996</v>
      </c>
      <c r="J731" s="33">
        <v>591.70000000000005</v>
      </c>
      <c r="K731" s="33">
        <v>576.62</v>
      </c>
      <c r="L731" s="33">
        <v>528.45000000000005</v>
      </c>
      <c r="M731" s="33">
        <v>522.54</v>
      </c>
      <c r="N731" s="33">
        <v>594.21</v>
      </c>
      <c r="O731" s="88"/>
      <c r="P731" s="88"/>
      <c r="Q731" s="89"/>
      <c r="R731" s="89"/>
      <c r="S731" s="210"/>
      <c r="T731" s="23"/>
      <c r="U731" s="211"/>
      <c r="V731" s="252"/>
      <c r="X731" s="186"/>
      <c r="Y731" s="186"/>
      <c r="Z731" s="186"/>
      <c r="AA731" s="186"/>
    </row>
    <row r="732" spans="1:29" x14ac:dyDescent="0.25">
      <c r="A732" s="272"/>
      <c r="B732" s="47"/>
      <c r="C732" s="24"/>
      <c r="D732" s="24"/>
      <c r="E732" s="88" t="s">
        <v>196</v>
      </c>
      <c r="F732" s="66">
        <f t="shared" ref="F732:N732" si="240">IF(((F730="")*AND(F731="")),"",(F730-F731)*3)</f>
        <v>2018.67</v>
      </c>
      <c r="G732" s="66">
        <f t="shared" si="240"/>
        <v>2090.5199999999995</v>
      </c>
      <c r="H732" s="66">
        <f t="shared" si="240"/>
        <v>2082.87</v>
      </c>
      <c r="I732" s="66">
        <f t="shared" si="240"/>
        <v>2089.23</v>
      </c>
      <c r="J732" s="66">
        <f t="shared" si="240"/>
        <v>1982.6999999999996</v>
      </c>
      <c r="K732" s="66">
        <f t="shared" si="240"/>
        <v>2010.33</v>
      </c>
      <c r="L732" s="66">
        <f t="shared" si="240"/>
        <v>2082</v>
      </c>
      <c r="M732" s="66">
        <f t="shared" si="240"/>
        <v>2100.21</v>
      </c>
      <c r="N732" s="66">
        <f t="shared" si="240"/>
        <v>1979.0700000000002</v>
      </c>
      <c r="O732" s="88"/>
      <c r="P732" s="88"/>
      <c r="Q732" s="89"/>
      <c r="R732" s="89"/>
      <c r="S732" s="210"/>
      <c r="T732" s="23"/>
      <c r="U732" s="211"/>
      <c r="V732" s="252"/>
      <c r="X732" s="186"/>
      <c r="Y732" s="186"/>
      <c r="Z732" s="186"/>
      <c r="AA732" s="186"/>
    </row>
    <row r="733" spans="1:29" x14ac:dyDescent="0.25">
      <c r="A733" s="272">
        <v>43445</v>
      </c>
      <c r="B733" s="47" t="s">
        <v>191</v>
      </c>
      <c r="C733" s="24" t="s">
        <v>176</v>
      </c>
      <c r="D733" s="24" t="s">
        <v>175</v>
      </c>
      <c r="E733" s="88" t="s">
        <v>192</v>
      </c>
      <c r="F733" s="33">
        <v>26372.48</v>
      </c>
      <c r="G733" s="33">
        <v>26481.439999999999</v>
      </c>
      <c r="H733" s="33">
        <v>26549.29</v>
      </c>
      <c r="I733" s="33">
        <v>26499.439999999999</v>
      </c>
      <c r="J733" s="33">
        <v>26398.84</v>
      </c>
      <c r="K733" s="33">
        <v>26379.61</v>
      </c>
      <c r="L733" s="33">
        <v>26534.28</v>
      </c>
      <c r="M733" s="33">
        <v>26478.74</v>
      </c>
      <c r="N733" s="33">
        <v>26344.01</v>
      </c>
      <c r="O733" s="88">
        <f>IF((N734=""),"",MAX(F735:N735))</f>
        <v>5093.9099999999926</v>
      </c>
      <c r="P733" s="88">
        <f>IF(N734="","",MIN(F735:N735))</f>
        <v>4353.6000000000022</v>
      </c>
      <c r="Q733" s="89">
        <f>IF((N735=""),"",AVERAGE(F735:N735))</f>
        <v>4655.406666666664</v>
      </c>
      <c r="R733" s="89">
        <f>IF((N734=""),"",(O733-P733)/(O733+P733)*100)</f>
        <v>7.8360329864693528</v>
      </c>
      <c r="S733" s="210">
        <f>STDEV(F735:N735)</f>
        <v>266.73041577592795</v>
      </c>
      <c r="T733" s="23" t="str">
        <f>IF(N734="","",IF(R733&lt;16,IF(Q733&gt;3200,IF(R733,IF(Q733&lt;5240,"Pass","Fail"),"Fail"),"Fail")))</f>
        <v>Pass</v>
      </c>
      <c r="U733" s="217">
        <v>121</v>
      </c>
      <c r="V733" s="252" t="s">
        <v>221</v>
      </c>
      <c r="X733" s="184">
        <v>4200</v>
      </c>
      <c r="Y733" s="184">
        <v>5500</v>
      </c>
      <c r="Z733" s="184">
        <v>3200</v>
      </c>
      <c r="AA733" s="184">
        <v>5240</v>
      </c>
      <c r="AB733" s="57">
        <v>16</v>
      </c>
    </row>
    <row r="734" spans="1:29" x14ac:dyDescent="0.25">
      <c r="A734" s="272"/>
      <c r="B734" s="47"/>
      <c r="C734" s="24"/>
      <c r="D734" s="24"/>
      <c r="E734" s="88" t="s">
        <v>193</v>
      </c>
      <c r="F734" s="33">
        <v>24778.1</v>
      </c>
      <c r="G734" s="33">
        <v>25019.27</v>
      </c>
      <c r="H734" s="33">
        <v>25098.09</v>
      </c>
      <c r="I734" s="33">
        <v>25046.25</v>
      </c>
      <c r="J734" s="33">
        <v>24787.88</v>
      </c>
      <c r="K734" s="33">
        <v>24841.4</v>
      </c>
      <c r="L734" s="33">
        <v>24896</v>
      </c>
      <c r="M734" s="33">
        <v>24958.880000000001</v>
      </c>
      <c r="N734" s="33">
        <v>24646.04</v>
      </c>
      <c r="O734" s="88"/>
      <c r="P734" s="88"/>
      <c r="Q734" s="89"/>
      <c r="R734" s="89"/>
      <c r="S734" s="210"/>
      <c r="T734" s="23"/>
      <c r="U734" s="211"/>
      <c r="V734" s="252"/>
      <c r="X734" s="186"/>
      <c r="Y734" s="186"/>
      <c r="Z734" s="186"/>
      <c r="AA734" s="186"/>
    </row>
    <row r="735" spans="1:29" ht="22.75" thickBot="1" x14ac:dyDescent="0.3">
      <c r="A735" s="279"/>
      <c r="B735" s="90"/>
      <c r="C735" s="91"/>
      <c r="D735" s="91"/>
      <c r="E735" s="92" t="s">
        <v>194</v>
      </c>
      <c r="F735" s="79">
        <f t="shared" ref="F735:N735" si="241">IF(((F733="")*AND(F734="")),"",(F733-F734)*3)</f>
        <v>4783.1400000000031</v>
      </c>
      <c r="G735" s="79">
        <f t="shared" si="241"/>
        <v>4386.5099999999948</v>
      </c>
      <c r="H735" s="79">
        <f t="shared" si="241"/>
        <v>4353.6000000000022</v>
      </c>
      <c r="I735" s="79">
        <f t="shared" si="241"/>
        <v>4359.5699999999961</v>
      </c>
      <c r="J735" s="79">
        <f t="shared" si="241"/>
        <v>4832.8799999999974</v>
      </c>
      <c r="K735" s="79">
        <f t="shared" si="241"/>
        <v>4614.6299999999974</v>
      </c>
      <c r="L735" s="79">
        <f t="shared" si="241"/>
        <v>4914.8399999999965</v>
      </c>
      <c r="M735" s="79">
        <f t="shared" si="241"/>
        <v>4559.5800000000017</v>
      </c>
      <c r="N735" s="79">
        <f t="shared" si="241"/>
        <v>5093.9099999999926</v>
      </c>
      <c r="O735" s="92"/>
      <c r="P735" s="92"/>
      <c r="Q735" s="93"/>
      <c r="R735" s="93"/>
      <c r="S735" s="213"/>
      <c r="T735" s="214"/>
      <c r="U735" s="215"/>
      <c r="V735" s="252"/>
      <c r="X735" s="186"/>
      <c r="Y735" s="186"/>
      <c r="Z735" s="186"/>
      <c r="AA735" s="186"/>
    </row>
    <row r="736" spans="1:29" x14ac:dyDescent="0.25">
      <c r="A736" s="271">
        <v>43424</v>
      </c>
      <c r="B736" s="63" t="s">
        <v>177</v>
      </c>
      <c r="C736" s="65" t="s">
        <v>179</v>
      </c>
      <c r="D736" s="65" t="s">
        <v>178</v>
      </c>
      <c r="E736" s="67" t="s">
        <v>192</v>
      </c>
      <c r="F736" s="227">
        <v>6916.07</v>
      </c>
      <c r="G736" s="227">
        <v>6921.4</v>
      </c>
      <c r="H736" s="227">
        <v>6944.65</v>
      </c>
      <c r="I736" s="227">
        <v>6884.1</v>
      </c>
      <c r="J736" s="227">
        <v>6926.58</v>
      </c>
      <c r="K736" s="227">
        <v>6873.06</v>
      </c>
      <c r="L736" s="227">
        <v>6889.99</v>
      </c>
      <c r="M736" s="227">
        <v>6926.8</v>
      </c>
      <c r="N736" s="227">
        <v>6992.45</v>
      </c>
      <c r="O736" s="67">
        <f>IF((N737=""),"",MAX(F738:N738))</f>
        <v>4132.42</v>
      </c>
      <c r="P736" s="67">
        <f>IF(N737="","",MIN(F738:N738))</f>
        <v>3730.4000000000015</v>
      </c>
      <c r="Q736" s="68">
        <f>IF((N738=""),"",AVERAGE(F738:N738))</f>
        <v>3990.92</v>
      </c>
      <c r="R736" s="68">
        <f>IF((N737=""),"",(O736-P736)/(O736+P736)*100)</f>
        <v>5.1129238619222948</v>
      </c>
      <c r="S736" s="222">
        <f>STDEV(F738:N738)</f>
        <v>133.58480377647723</v>
      </c>
      <c r="T736" s="187" t="str">
        <f>IF(N737="","",IF(Q736&gt;3650,IF(R736&lt;7,IF(Q736&lt;4450,"Pass","Fail"),"Fail"),"Fail"))</f>
        <v>Pass</v>
      </c>
      <c r="U736" s="216">
        <v>121</v>
      </c>
      <c r="V736" s="252" t="s">
        <v>222</v>
      </c>
      <c r="X736" s="184">
        <v>3650</v>
      </c>
      <c r="Y736" s="184">
        <v>4450</v>
      </c>
      <c r="Z736" s="184">
        <v>3700</v>
      </c>
      <c r="AA736" s="184">
        <v>4100</v>
      </c>
      <c r="AB736" s="57">
        <v>6.5</v>
      </c>
      <c r="AC736" s="57">
        <v>7</v>
      </c>
    </row>
    <row r="737" spans="1:29" x14ac:dyDescent="0.25">
      <c r="A737" s="272"/>
      <c r="B737" s="47"/>
      <c r="C737" s="24"/>
      <c r="D737" s="24"/>
      <c r="E737" s="88" t="s">
        <v>193</v>
      </c>
      <c r="F737" s="33">
        <v>4971.33</v>
      </c>
      <c r="G737" s="33">
        <v>4881.4799999999996</v>
      </c>
      <c r="H737" s="33">
        <v>4887.6499999999996</v>
      </c>
      <c r="I737" s="33">
        <v>4854.05</v>
      </c>
      <c r="J737" s="33">
        <v>4990.13</v>
      </c>
      <c r="K737" s="33">
        <v>5007.8599999999997</v>
      </c>
      <c r="L737" s="33">
        <v>4868.1400000000003</v>
      </c>
      <c r="M737" s="33">
        <v>4860.59</v>
      </c>
      <c r="N737" s="33">
        <v>4994.7299999999996</v>
      </c>
      <c r="O737" s="88"/>
      <c r="P737" s="88"/>
      <c r="Q737" s="89"/>
      <c r="R737" s="89"/>
      <c r="S737" s="210"/>
      <c r="T737" s="28"/>
      <c r="U737" s="217"/>
      <c r="V737" s="252"/>
      <c r="X737" s="186"/>
      <c r="Y737" s="186"/>
      <c r="Z737" s="186"/>
      <c r="AA737" s="186"/>
    </row>
    <row r="738" spans="1:29" ht="22.15" x14ac:dyDescent="0.25">
      <c r="A738" s="272"/>
      <c r="B738" s="47"/>
      <c r="C738" s="24"/>
      <c r="D738" s="24"/>
      <c r="E738" s="88" t="s">
        <v>194</v>
      </c>
      <c r="F738" s="66">
        <f t="shared" ref="F738:N738" si="242">IF(((F736="")*AND(F737="")),"",(F736-F737)*2)</f>
        <v>3889.4799999999996</v>
      </c>
      <c r="G738" s="66">
        <f t="shared" si="242"/>
        <v>4079.84</v>
      </c>
      <c r="H738" s="66">
        <f t="shared" si="242"/>
        <v>4114</v>
      </c>
      <c r="I738" s="66">
        <f t="shared" si="242"/>
        <v>4060.1000000000004</v>
      </c>
      <c r="J738" s="66">
        <f t="shared" si="242"/>
        <v>3872.8999999999996</v>
      </c>
      <c r="K738" s="66">
        <f t="shared" si="242"/>
        <v>3730.4000000000015</v>
      </c>
      <c r="L738" s="66">
        <f t="shared" si="242"/>
        <v>4043.6999999999989</v>
      </c>
      <c r="M738" s="66">
        <f t="shared" si="242"/>
        <v>4132.42</v>
      </c>
      <c r="N738" s="66">
        <f t="shared" si="242"/>
        <v>3995.4400000000005</v>
      </c>
      <c r="O738" s="88"/>
      <c r="P738" s="88"/>
      <c r="Q738" s="89"/>
      <c r="R738" s="89"/>
      <c r="S738" s="210"/>
      <c r="T738" s="28"/>
      <c r="U738" s="217"/>
      <c r="V738" s="252"/>
      <c r="X738" s="186"/>
      <c r="Y738" s="186"/>
      <c r="Z738" s="186"/>
      <c r="AA738" s="186"/>
    </row>
    <row r="739" spans="1:29" x14ac:dyDescent="0.25">
      <c r="A739" s="272">
        <v>43424</v>
      </c>
      <c r="B739" s="24" t="s">
        <v>172</v>
      </c>
      <c r="C739" s="24" t="s">
        <v>174</v>
      </c>
      <c r="D739" s="24" t="s">
        <v>195</v>
      </c>
      <c r="E739" s="88" t="s">
        <v>192</v>
      </c>
      <c r="F739" s="33">
        <v>1908.66</v>
      </c>
      <c r="G739" s="33">
        <v>1905.57</v>
      </c>
      <c r="H739" s="33">
        <v>1899.72</v>
      </c>
      <c r="I739" s="33">
        <v>1903.49</v>
      </c>
      <c r="J739" s="33">
        <v>1909.45</v>
      </c>
      <c r="K739" s="33">
        <v>1906.88</v>
      </c>
      <c r="L739" s="33">
        <v>1902.96</v>
      </c>
      <c r="M739" s="33">
        <v>1907.25</v>
      </c>
      <c r="N739" s="33">
        <v>1910.4</v>
      </c>
      <c r="O739" s="88">
        <f>IF((N740=""),"",MAX(F741:N741))</f>
        <v>2093.13</v>
      </c>
      <c r="P739" s="88">
        <f>IF(N740="","",MIN(F741:N741))</f>
        <v>1978.41</v>
      </c>
      <c r="Q739" s="89">
        <f>IF((N741=""),"",AVERAGE(F741:N741))</f>
        <v>2037.7366666666667</v>
      </c>
      <c r="R739" s="89">
        <f>IF((N740=""),"",(O739-P739)/(O739+P739)*100)</f>
        <v>2.8176070970689233</v>
      </c>
      <c r="S739" s="210">
        <f>STDEV(F741:N741)</f>
        <v>47.286195924392196</v>
      </c>
      <c r="T739" s="23" t="str">
        <f>IF(N740="","",IF(Q739&gt;1940,IF(R739&lt;8.3,IF(Q739&lt;2180,"Pass","Fail"),"Fail"),"Fail"))</f>
        <v>Pass</v>
      </c>
      <c r="U739" s="217">
        <v>121</v>
      </c>
      <c r="V739" s="252" t="s">
        <v>222</v>
      </c>
      <c r="X739" s="184">
        <v>2000</v>
      </c>
      <c r="Y739" s="184">
        <v>3000</v>
      </c>
      <c r="Z739" s="184">
        <v>1940</v>
      </c>
      <c r="AA739" s="184">
        <v>2180</v>
      </c>
      <c r="AB739" s="57">
        <v>5.2</v>
      </c>
    </row>
    <row r="740" spans="1:29" x14ac:dyDescent="0.25">
      <c r="A740" s="272"/>
      <c r="B740" s="47"/>
      <c r="C740" s="24"/>
      <c r="D740" s="24"/>
      <c r="E740" s="88" t="s">
        <v>193</v>
      </c>
      <c r="F740" s="33">
        <v>1244.48</v>
      </c>
      <c r="G740" s="33">
        <v>1210.8699999999999</v>
      </c>
      <c r="H740" s="33">
        <v>1207.97</v>
      </c>
      <c r="I740" s="33">
        <v>1212.83</v>
      </c>
      <c r="J740" s="33">
        <v>1245.29</v>
      </c>
      <c r="K740" s="33">
        <v>1242.6400000000001</v>
      </c>
      <c r="L740" s="33">
        <v>1216.6199999999999</v>
      </c>
      <c r="M740" s="33">
        <v>1209.54</v>
      </c>
      <c r="N740" s="33">
        <v>1250.93</v>
      </c>
      <c r="O740" s="88"/>
      <c r="P740" s="88"/>
      <c r="Q740" s="89"/>
      <c r="R740" s="89"/>
      <c r="S740" s="210"/>
      <c r="T740" s="23"/>
      <c r="U740" s="211"/>
      <c r="V740" s="252"/>
      <c r="X740" s="186"/>
      <c r="Y740" s="186"/>
      <c r="Z740" s="186"/>
      <c r="AA740" s="186"/>
    </row>
    <row r="741" spans="1:29" x14ac:dyDescent="0.25">
      <c r="A741" s="272"/>
      <c r="B741" s="47"/>
      <c r="C741" s="24"/>
      <c r="D741" s="24"/>
      <c r="E741" s="88" t="s">
        <v>196</v>
      </c>
      <c r="F741" s="66">
        <f t="shared" ref="F741:N741" si="243">IF(((F739="")*AND(F740="")),"",(F739-F740)*3)</f>
        <v>1992.5400000000002</v>
      </c>
      <c r="G741" s="66">
        <f t="shared" si="243"/>
        <v>2084.1000000000004</v>
      </c>
      <c r="H741" s="66">
        <f t="shared" si="243"/>
        <v>2075.25</v>
      </c>
      <c r="I741" s="66">
        <f t="shared" si="243"/>
        <v>2071.9800000000005</v>
      </c>
      <c r="J741" s="66">
        <f t="shared" si="243"/>
        <v>1992.4800000000002</v>
      </c>
      <c r="K741" s="66">
        <f t="shared" si="243"/>
        <v>1992.72</v>
      </c>
      <c r="L741" s="66">
        <f t="shared" si="243"/>
        <v>2059.0200000000004</v>
      </c>
      <c r="M741" s="66">
        <f t="shared" si="243"/>
        <v>2093.13</v>
      </c>
      <c r="N741" s="66">
        <f t="shared" si="243"/>
        <v>1978.41</v>
      </c>
      <c r="O741" s="88"/>
      <c r="P741" s="88"/>
      <c r="Q741" s="89"/>
      <c r="R741" s="89"/>
      <c r="S741" s="210"/>
      <c r="T741" s="23"/>
      <c r="U741" s="211"/>
      <c r="V741" s="252"/>
      <c r="X741" s="186"/>
      <c r="Y741" s="186"/>
      <c r="Z741" s="186"/>
      <c r="AA741" s="186"/>
    </row>
    <row r="742" spans="1:29" x14ac:dyDescent="0.25">
      <c r="A742" s="272">
        <v>43424</v>
      </c>
      <c r="B742" s="47" t="s">
        <v>191</v>
      </c>
      <c r="C742" s="24" t="s">
        <v>176</v>
      </c>
      <c r="D742" s="24" t="s">
        <v>175</v>
      </c>
      <c r="E742" s="88" t="s">
        <v>192</v>
      </c>
      <c r="F742" s="33">
        <v>24824</v>
      </c>
      <c r="G742" s="33">
        <v>24870.01</v>
      </c>
      <c r="H742" s="33">
        <v>25016.07</v>
      </c>
      <c r="I742" s="33">
        <v>24890.26</v>
      </c>
      <c r="J742" s="33">
        <v>24691.01</v>
      </c>
      <c r="K742" s="33">
        <v>24778.84</v>
      </c>
      <c r="L742" s="33">
        <v>24951.439999999999</v>
      </c>
      <c r="M742" s="33">
        <v>24818.59</v>
      </c>
      <c r="N742" s="33">
        <v>24577.8</v>
      </c>
      <c r="O742" s="88">
        <f>IF((N743=""),"",MAX(F744:N744))</f>
        <v>5114.8500000000022</v>
      </c>
      <c r="P742" s="88">
        <f>IF(N743="","",MIN(F744:N744))</f>
        <v>4053.2700000000004</v>
      </c>
      <c r="Q742" s="89">
        <f>IF((N744=""),"",AVERAGE(F744:N744))</f>
        <v>4423.7299999999987</v>
      </c>
      <c r="R742" s="89">
        <f>IF((N743=""),"",(O742-P742)/(O742+P742)*100)</f>
        <v>11.579036923600492</v>
      </c>
      <c r="S742" s="210">
        <f>STDEV(F744:N744)</f>
        <v>340.75511324116786</v>
      </c>
      <c r="T742" s="23" t="str">
        <f>IF(N743="","",IF(R742&lt;16,IF(Q742&gt;3200,IF(R742,IF(Q742&lt;5240,"Pass","Fail"),"Fail"),"Fail")))</f>
        <v>Pass</v>
      </c>
      <c r="U742" s="217">
        <v>121</v>
      </c>
      <c r="V742" s="252" t="s">
        <v>222</v>
      </c>
      <c r="X742" s="184">
        <v>4200</v>
      </c>
      <c r="Y742" s="184">
        <v>5500</v>
      </c>
      <c r="Z742" s="184">
        <v>3200</v>
      </c>
      <c r="AA742" s="184">
        <v>5240</v>
      </c>
      <c r="AB742" s="57">
        <v>16</v>
      </c>
    </row>
    <row r="743" spans="1:29" x14ac:dyDescent="0.25">
      <c r="A743" s="272"/>
      <c r="B743" s="47"/>
      <c r="C743" s="24"/>
      <c r="D743" s="24"/>
      <c r="E743" s="88" t="s">
        <v>193</v>
      </c>
      <c r="F743" s="33">
        <v>23119.05</v>
      </c>
      <c r="G743" s="33">
        <v>23518.92</v>
      </c>
      <c r="H743" s="33">
        <v>23555.77</v>
      </c>
      <c r="I743" s="33">
        <v>23524.02</v>
      </c>
      <c r="J743" s="33">
        <v>23190.13</v>
      </c>
      <c r="K743" s="33">
        <v>23228.57</v>
      </c>
      <c r="L743" s="33">
        <v>23540.03</v>
      </c>
      <c r="M743" s="33">
        <v>23433.9</v>
      </c>
      <c r="N743" s="33">
        <v>23036.44</v>
      </c>
      <c r="O743" s="88"/>
      <c r="P743" s="88"/>
      <c r="Q743" s="89"/>
      <c r="R743" s="89"/>
      <c r="S743" s="210"/>
      <c r="T743" s="23"/>
      <c r="U743" s="211"/>
      <c r="V743" s="252"/>
      <c r="X743" s="186"/>
      <c r="Y743" s="186"/>
      <c r="Z743" s="186"/>
      <c r="AA743" s="186"/>
    </row>
    <row r="744" spans="1:29" ht="22.75" thickBot="1" x14ac:dyDescent="0.3">
      <c r="A744" s="279"/>
      <c r="B744" s="90"/>
      <c r="C744" s="91"/>
      <c r="D744" s="91"/>
      <c r="E744" s="92" t="s">
        <v>194</v>
      </c>
      <c r="F744" s="79">
        <f t="shared" ref="F744:N744" si="244">IF(((F742="")*AND(F743="")),"",(F742-F743)*3)</f>
        <v>5114.8500000000022</v>
      </c>
      <c r="G744" s="79">
        <f t="shared" si="244"/>
        <v>4053.2700000000004</v>
      </c>
      <c r="H744" s="79">
        <f t="shared" si="244"/>
        <v>4380.8999999999978</v>
      </c>
      <c r="I744" s="79">
        <f t="shared" si="244"/>
        <v>4098.7199999999939</v>
      </c>
      <c r="J744" s="79">
        <f t="shared" si="244"/>
        <v>4502.6399999999921</v>
      </c>
      <c r="K744" s="79">
        <f t="shared" si="244"/>
        <v>4650.8100000000013</v>
      </c>
      <c r="L744" s="79">
        <f t="shared" si="244"/>
        <v>4234.2299999999996</v>
      </c>
      <c r="M744" s="79">
        <f t="shared" si="244"/>
        <v>4154.0699999999961</v>
      </c>
      <c r="N744" s="79">
        <f t="shared" si="244"/>
        <v>4624.0800000000017</v>
      </c>
      <c r="O744" s="92"/>
      <c r="P744" s="92"/>
      <c r="Q744" s="93"/>
      <c r="R744" s="93"/>
      <c r="S744" s="213"/>
      <c r="T744" s="214"/>
      <c r="U744" s="215"/>
      <c r="V744" s="252"/>
      <c r="X744" s="186"/>
      <c r="Y744" s="186"/>
      <c r="Z744" s="186"/>
      <c r="AA744" s="186"/>
    </row>
    <row r="745" spans="1:29" x14ac:dyDescent="0.25">
      <c r="A745" s="271">
        <v>43430</v>
      </c>
      <c r="B745" s="63" t="s">
        <v>177</v>
      </c>
      <c r="C745" s="65" t="s">
        <v>179</v>
      </c>
      <c r="D745" s="65" t="s">
        <v>178</v>
      </c>
      <c r="E745" s="67" t="s">
        <v>192</v>
      </c>
      <c r="F745" s="33">
        <v>4978.78</v>
      </c>
      <c r="G745" s="33">
        <v>4889.5600000000004</v>
      </c>
      <c r="H745" s="33">
        <v>4896.01</v>
      </c>
      <c r="I745" s="33">
        <v>4863.05</v>
      </c>
      <c r="J745" s="33">
        <v>4996.4399999999996</v>
      </c>
      <c r="K745" s="33">
        <v>5014.53</v>
      </c>
      <c r="L745" s="33">
        <v>4876.8100000000004</v>
      </c>
      <c r="M745" s="33">
        <v>4869.54</v>
      </c>
      <c r="N745" s="33">
        <v>5001.38</v>
      </c>
      <c r="O745" s="67">
        <f>IF((N746=""),"",MAX(F747:N747))</f>
        <v>4203.82</v>
      </c>
      <c r="P745" s="67">
        <f>IF(N746="","",MIN(F747:N747))</f>
        <v>3802.8199999999997</v>
      </c>
      <c r="Q745" s="68">
        <f>IF((N747=""),"",AVERAGE(F747:N747))</f>
        <v>4079.6324999999997</v>
      </c>
      <c r="R745" s="68">
        <f>IF((N746=""),"",(O745-P745)/(O745+P745)*100)</f>
        <v>5.0083430752475451</v>
      </c>
      <c r="S745" s="222">
        <f>STDEV(F747:N747)</f>
        <v>138.31290031250603</v>
      </c>
      <c r="T745" s="187" t="str">
        <f>IF(N746="","",IF(Q745&gt;3650,IF(R745&lt;7,IF(Q745&lt;4450,"Pass","Fail"),"Fail"),"Fail"))</f>
        <v>Pass</v>
      </c>
      <c r="U745" s="216">
        <v>1340</v>
      </c>
      <c r="V745" s="278"/>
      <c r="X745" s="184">
        <v>3650</v>
      </c>
      <c r="Y745" s="184">
        <v>4450</v>
      </c>
      <c r="Z745" s="184">
        <v>3700</v>
      </c>
      <c r="AA745" s="184">
        <v>4100</v>
      </c>
      <c r="AB745" s="57">
        <v>6.5</v>
      </c>
      <c r="AC745" s="57">
        <v>7</v>
      </c>
    </row>
    <row r="746" spans="1:29" x14ac:dyDescent="0.25">
      <c r="A746" s="272"/>
      <c r="B746" s="47"/>
      <c r="C746" s="24"/>
      <c r="D746" s="24"/>
      <c r="E746" s="88" t="s">
        <v>193</v>
      </c>
      <c r="F746" s="33">
        <v>3004.46</v>
      </c>
      <c r="G746" s="33">
        <v>2815.36</v>
      </c>
      <c r="H746" s="33">
        <v>2800.63</v>
      </c>
      <c r="I746" s="33">
        <v>2787.51</v>
      </c>
      <c r="J746" s="33">
        <v>3020.03</v>
      </c>
      <c r="K746" s="33">
        <v>3113.12</v>
      </c>
      <c r="L746" s="33">
        <v>2809.95</v>
      </c>
      <c r="M746" s="33">
        <v>2767.63</v>
      </c>
      <c r="N746" s="33">
        <v>2974.56</v>
      </c>
      <c r="O746" s="88"/>
      <c r="P746" s="88"/>
      <c r="Q746" s="89"/>
      <c r="R746" s="89"/>
      <c r="S746" s="210"/>
      <c r="T746" s="28"/>
      <c r="U746" s="217"/>
      <c r="V746" s="278"/>
      <c r="X746" s="186"/>
      <c r="Y746" s="186"/>
      <c r="Z746" s="186"/>
      <c r="AA746" s="186"/>
    </row>
    <row r="747" spans="1:29" ht="22.15" x14ac:dyDescent="0.25">
      <c r="A747" s="272"/>
      <c r="B747" s="47"/>
      <c r="C747" s="24"/>
      <c r="D747" s="24"/>
      <c r="E747" s="88" t="s">
        <v>194</v>
      </c>
      <c r="F747" s="33"/>
      <c r="G747" s="66">
        <f t="shared" ref="G747:N747" si="245">IF(((G745="")*AND(G746="")),"",(G745-G746)*2)</f>
        <v>4148.4000000000005</v>
      </c>
      <c r="H747" s="66">
        <f t="shared" si="245"/>
        <v>4190.76</v>
      </c>
      <c r="I747" s="66">
        <f t="shared" si="245"/>
        <v>4151.08</v>
      </c>
      <c r="J747" s="66">
        <f t="shared" si="245"/>
        <v>3952.8199999999988</v>
      </c>
      <c r="K747" s="66">
        <f t="shared" si="245"/>
        <v>3802.8199999999997</v>
      </c>
      <c r="L747" s="66">
        <f t="shared" si="245"/>
        <v>4133.7200000000012</v>
      </c>
      <c r="M747" s="66">
        <f t="shared" si="245"/>
        <v>4203.82</v>
      </c>
      <c r="N747" s="66">
        <f t="shared" si="245"/>
        <v>4053.6400000000003</v>
      </c>
      <c r="O747" s="88"/>
      <c r="P747" s="88"/>
      <c r="Q747" s="89"/>
      <c r="R747" s="89"/>
      <c r="S747" s="210"/>
      <c r="T747" s="28"/>
      <c r="U747" s="217"/>
      <c r="V747" s="278"/>
      <c r="X747" s="186"/>
      <c r="Y747" s="186"/>
      <c r="Z747" s="186"/>
      <c r="AA747" s="186"/>
    </row>
    <row r="748" spans="1:29" x14ac:dyDescent="0.25">
      <c r="A748" s="272">
        <v>43430</v>
      </c>
      <c r="B748" s="24" t="s">
        <v>172</v>
      </c>
      <c r="C748" s="24" t="s">
        <v>174</v>
      </c>
      <c r="D748" s="24" t="s">
        <v>195</v>
      </c>
      <c r="E748" s="88" t="s">
        <v>192</v>
      </c>
      <c r="F748" s="33">
        <v>1918.98</v>
      </c>
      <c r="G748" s="33">
        <v>1914.88</v>
      </c>
      <c r="H748" s="33">
        <v>1907.19</v>
      </c>
      <c r="I748" s="33">
        <v>1917.57</v>
      </c>
      <c r="J748" s="33">
        <v>1921.47</v>
      </c>
      <c r="K748" s="33">
        <v>1920.12</v>
      </c>
      <c r="L748" s="33">
        <v>1913.55</v>
      </c>
      <c r="M748" s="33">
        <v>1917.9</v>
      </c>
      <c r="N748" s="33">
        <v>1920.61</v>
      </c>
      <c r="O748" s="88">
        <f>IF((N749=""),"",MAX(F750:N750))</f>
        <v>2089.0500000000002</v>
      </c>
      <c r="P748" s="88">
        <f>IF(N749="","",MIN(F750:N750))</f>
        <v>1984.59</v>
      </c>
      <c r="Q748" s="89">
        <f>IF((N750=""),"",AVERAGE(F750:N750))</f>
        <v>2035.8712500000001</v>
      </c>
      <c r="R748" s="89">
        <f>IF((N749=""),"",(O748-P748)/(O748+P748)*100)</f>
        <v>2.5642913954104989</v>
      </c>
      <c r="S748" s="210">
        <f>STDEV(F750:N750)</f>
        <v>43.083575073007196</v>
      </c>
      <c r="T748" s="23" t="str">
        <f>IF(N749="","",IF(Q748&gt;1940,IF(R748&lt;8.3,IF(Q748&lt;2180,"Pass","Fail"),"Fail"),"Fail"))</f>
        <v>Pass</v>
      </c>
      <c r="U748" s="217">
        <v>1340</v>
      </c>
      <c r="V748" s="278"/>
      <c r="X748" s="184">
        <v>2000</v>
      </c>
      <c r="Y748" s="184">
        <v>3000</v>
      </c>
      <c r="Z748" s="184">
        <v>1940</v>
      </c>
      <c r="AA748" s="184">
        <v>2180</v>
      </c>
      <c r="AB748" s="57">
        <v>5.2</v>
      </c>
    </row>
    <row r="749" spans="1:29" x14ac:dyDescent="0.25">
      <c r="A749" s="272"/>
      <c r="B749" s="47"/>
      <c r="C749" s="24"/>
      <c r="D749" s="24"/>
      <c r="E749" s="88" t="s">
        <v>193</v>
      </c>
      <c r="F749" s="33">
        <v>1250.8599999999999</v>
      </c>
      <c r="G749" s="33">
        <v>1223.8499999999999</v>
      </c>
      <c r="H749" s="33">
        <v>1222.8699999999999</v>
      </c>
      <c r="I749" s="33">
        <v>1228.53</v>
      </c>
      <c r="J749" s="33">
        <v>1259.77</v>
      </c>
      <c r="K749" s="33">
        <v>1257.1300000000001</v>
      </c>
      <c r="L749" s="33">
        <v>1231.52</v>
      </c>
      <c r="M749" s="33">
        <v>1221.55</v>
      </c>
      <c r="N749" s="33">
        <v>1259.08</v>
      </c>
      <c r="O749" s="88"/>
      <c r="P749" s="88"/>
      <c r="Q749" s="89"/>
      <c r="R749" s="89"/>
      <c r="S749" s="210"/>
      <c r="T749" s="23"/>
      <c r="U749" s="211"/>
      <c r="V749" s="278"/>
      <c r="X749" s="186"/>
      <c r="Y749" s="186"/>
      <c r="Z749" s="186"/>
      <c r="AA749" s="186"/>
    </row>
    <row r="750" spans="1:29" x14ac:dyDescent="0.25">
      <c r="A750" s="272"/>
      <c r="B750" s="47"/>
      <c r="C750" s="24"/>
      <c r="D750" s="24"/>
      <c r="E750" s="88" t="s">
        <v>196</v>
      </c>
      <c r="F750" s="33"/>
      <c r="G750" s="66">
        <f t="shared" ref="G750:N750" si="246">IF(((G748="")*AND(G749="")),"",(G748-G749)*3)</f>
        <v>2073.0900000000006</v>
      </c>
      <c r="H750" s="66">
        <f t="shared" si="246"/>
        <v>2052.9600000000005</v>
      </c>
      <c r="I750" s="66">
        <f t="shared" si="246"/>
        <v>2067.12</v>
      </c>
      <c r="J750" s="66">
        <f t="shared" si="246"/>
        <v>1985.1000000000001</v>
      </c>
      <c r="K750" s="66">
        <f t="shared" si="246"/>
        <v>1988.9699999999993</v>
      </c>
      <c r="L750" s="66">
        <f t="shared" si="246"/>
        <v>2046.09</v>
      </c>
      <c r="M750" s="66">
        <f t="shared" si="246"/>
        <v>2089.0500000000002</v>
      </c>
      <c r="N750" s="66">
        <f t="shared" si="246"/>
        <v>1984.59</v>
      </c>
      <c r="O750" s="88"/>
      <c r="P750" s="88"/>
      <c r="Q750" s="89"/>
      <c r="R750" s="89"/>
      <c r="S750" s="210"/>
      <c r="T750" s="23"/>
      <c r="U750" s="211"/>
      <c r="V750" s="278"/>
      <c r="X750" s="186"/>
      <c r="Y750" s="186"/>
      <c r="Z750" s="186"/>
      <c r="AA750" s="186"/>
    </row>
    <row r="751" spans="1:29" x14ac:dyDescent="0.25">
      <c r="A751" s="272">
        <v>43430</v>
      </c>
      <c r="B751" s="47" t="s">
        <v>191</v>
      </c>
      <c r="C751" s="24" t="s">
        <v>176</v>
      </c>
      <c r="D751" s="24" t="s">
        <v>175</v>
      </c>
      <c r="E751" s="88" t="s">
        <v>192</v>
      </c>
      <c r="F751" s="33">
        <v>27390.31</v>
      </c>
      <c r="G751" s="33">
        <v>27368.3</v>
      </c>
      <c r="H751" s="33">
        <v>27423.97</v>
      </c>
      <c r="I751" s="33">
        <v>27342.28</v>
      </c>
      <c r="J751" s="33">
        <v>27351.65</v>
      </c>
      <c r="K751" s="33">
        <v>27357.040000000001</v>
      </c>
      <c r="L751" s="33">
        <v>27357.29</v>
      </c>
      <c r="M751" s="33">
        <v>27321.53</v>
      </c>
      <c r="N751" s="33">
        <v>27356.22</v>
      </c>
      <c r="O751" s="88">
        <f>IF((N752=""),"",MAX(F753:N753))</f>
        <v>4805.7600000000057</v>
      </c>
      <c r="P751" s="88">
        <f>IF(N752="","",MIN(F753:N753))</f>
        <v>4290.3000000000065</v>
      </c>
      <c r="Q751" s="89">
        <f>IF((N753=""),"",AVERAGE(F753:N753))</f>
        <v>4518.9733333333343</v>
      </c>
      <c r="R751" s="89">
        <f>IF((N752=""),"",(O751-P751)/(O751+P751)*100)</f>
        <v>5.6668491632640778</v>
      </c>
      <c r="S751" s="210">
        <f>STDEV(F753:N753)</f>
        <v>193.83843143195497</v>
      </c>
      <c r="T751" s="23" t="str">
        <f>IF(N752="","",IF(R751&lt;16,IF(Q751&gt;3200,IF(R751,IF(Q751&lt;5240,"Pass","Fail"),"Fail"),"Fail")))</f>
        <v>Pass</v>
      </c>
      <c r="U751" s="217">
        <v>1340</v>
      </c>
      <c r="V751" s="278"/>
      <c r="X751" s="184">
        <v>4200</v>
      </c>
      <c r="Y751" s="184">
        <v>5500</v>
      </c>
      <c r="Z751" s="184">
        <v>3200</v>
      </c>
      <c r="AA751" s="184">
        <v>5240</v>
      </c>
      <c r="AB751" s="57">
        <v>16</v>
      </c>
    </row>
    <row r="752" spans="1:29" x14ac:dyDescent="0.25">
      <c r="A752" s="272"/>
      <c r="B752" s="47"/>
      <c r="C752" s="24"/>
      <c r="D752" s="24"/>
      <c r="E752" s="88" t="s">
        <v>193</v>
      </c>
      <c r="F752" s="33">
        <v>25805.99</v>
      </c>
      <c r="G752" s="33">
        <v>25897.29</v>
      </c>
      <c r="H752" s="33">
        <v>25993.87</v>
      </c>
      <c r="I752" s="33">
        <v>25886.87</v>
      </c>
      <c r="J752" s="33">
        <v>25790.62</v>
      </c>
      <c r="K752" s="33">
        <v>25821.360000000001</v>
      </c>
      <c r="L752" s="33">
        <v>25906.97</v>
      </c>
      <c r="M752" s="33">
        <v>25854.400000000001</v>
      </c>
      <c r="N752" s="33">
        <v>25754.3</v>
      </c>
      <c r="O752" s="88"/>
      <c r="P752" s="88"/>
      <c r="Q752" s="89"/>
      <c r="R752" s="89"/>
      <c r="S752" s="210"/>
      <c r="T752" s="23"/>
      <c r="U752" s="211"/>
      <c r="V752" s="278"/>
      <c r="X752" s="186"/>
      <c r="Y752" s="186"/>
      <c r="Z752" s="186"/>
      <c r="AA752" s="186"/>
    </row>
    <row r="753" spans="1:29" ht="22.75" thickBot="1" x14ac:dyDescent="0.3">
      <c r="A753" s="279"/>
      <c r="B753" s="90"/>
      <c r="C753" s="91"/>
      <c r="D753" s="91"/>
      <c r="E753" s="92" t="s">
        <v>194</v>
      </c>
      <c r="F753" s="79">
        <f t="shared" ref="F753:N753" si="247">IF(((F751="")*AND(F752="")),"",(F751-F752)*3)</f>
        <v>4752.9599999999991</v>
      </c>
      <c r="G753" s="79">
        <f t="shared" si="247"/>
        <v>4413.0299999999952</v>
      </c>
      <c r="H753" s="79">
        <f t="shared" si="247"/>
        <v>4290.3000000000065</v>
      </c>
      <c r="I753" s="79">
        <f t="shared" si="247"/>
        <v>4366.2299999999996</v>
      </c>
      <c r="J753" s="79">
        <f t="shared" si="247"/>
        <v>4683.0900000000074</v>
      </c>
      <c r="K753" s="79">
        <f t="shared" si="247"/>
        <v>4607.0400000000009</v>
      </c>
      <c r="L753" s="79">
        <f t="shared" si="247"/>
        <v>4350.9599999999991</v>
      </c>
      <c r="M753" s="79">
        <f t="shared" si="247"/>
        <v>4401.3899999999921</v>
      </c>
      <c r="N753" s="79">
        <f t="shared" si="247"/>
        <v>4805.7600000000057</v>
      </c>
      <c r="O753" s="92"/>
      <c r="P753" s="92"/>
      <c r="Q753" s="93"/>
      <c r="R753" s="93"/>
      <c r="S753" s="213"/>
      <c r="T753" s="214"/>
      <c r="U753" s="215"/>
      <c r="V753" s="278"/>
      <c r="X753" s="186"/>
      <c r="Y753" s="186"/>
      <c r="Z753" s="186"/>
      <c r="AA753" s="186"/>
    </row>
    <row r="754" spans="1:29" x14ac:dyDescent="0.25">
      <c r="A754" s="271">
        <v>43438</v>
      </c>
      <c r="B754" s="63" t="s">
        <v>177</v>
      </c>
      <c r="C754" s="65" t="s">
        <v>179</v>
      </c>
      <c r="D754" s="65" t="s">
        <v>178</v>
      </c>
      <c r="E754" s="67" t="s">
        <v>192</v>
      </c>
      <c r="F754" s="33">
        <v>3014.44</v>
      </c>
      <c r="G754" s="33">
        <v>2824.75</v>
      </c>
      <c r="H754" s="33">
        <v>2809.7</v>
      </c>
      <c r="I754" s="33">
        <v>2796.58</v>
      </c>
      <c r="J754" s="33">
        <v>3029.4</v>
      </c>
      <c r="K754" s="33">
        <v>3122.74</v>
      </c>
      <c r="L754" s="33">
        <v>2818.95</v>
      </c>
      <c r="M754" s="33">
        <v>2776.59</v>
      </c>
      <c r="N754" s="33">
        <v>2984.27</v>
      </c>
      <c r="O754" s="67">
        <f>IF((N755=""),"",MAX(F756:N756))</f>
        <v>4172</v>
      </c>
      <c r="P754" s="67">
        <f>IF(N755="","",MIN(F756:N756))</f>
        <v>3780.1199999999994</v>
      </c>
      <c r="Q754" s="68">
        <f>IF((N756=""),"",AVERAGE(F756:N756))</f>
        <v>4031.8911111111106</v>
      </c>
      <c r="R754" s="68">
        <f>IF((N755=""),"",(O754-P754)/(O754+P754)*100)</f>
        <v>4.9279940443554748</v>
      </c>
      <c r="S754" s="222">
        <f>STDEV(F756:N756)</f>
        <v>128.71646052899035</v>
      </c>
      <c r="T754" s="187" t="str">
        <f>IF(N755="","",IF(Q754&gt;3650,IF(R754&lt;7,IF(Q754&lt;4450,"Pass","Fail"),"Fail"),"Fail"))</f>
        <v>Pass</v>
      </c>
      <c r="U754" s="216">
        <v>74</v>
      </c>
      <c r="V754" s="278"/>
      <c r="X754" s="184">
        <v>3650</v>
      </c>
      <c r="Y754" s="184">
        <v>4450</v>
      </c>
      <c r="Z754" s="184">
        <v>3700</v>
      </c>
      <c r="AA754" s="184">
        <v>4100</v>
      </c>
      <c r="AB754" s="57">
        <v>6.5</v>
      </c>
      <c r="AC754" s="57">
        <v>7</v>
      </c>
    </row>
    <row r="755" spans="1:29" x14ac:dyDescent="0.25">
      <c r="A755" s="272"/>
      <c r="B755" s="47"/>
      <c r="C755" s="24"/>
      <c r="D755" s="24"/>
      <c r="E755" s="88" t="s">
        <v>193</v>
      </c>
      <c r="F755" s="33">
        <v>1048.1600000000001</v>
      </c>
      <c r="G755" s="33">
        <v>768.26</v>
      </c>
      <c r="H755" s="33">
        <v>736.5</v>
      </c>
      <c r="I755" s="33">
        <v>747.53</v>
      </c>
      <c r="J755" s="33">
        <v>1070.7</v>
      </c>
      <c r="K755" s="33">
        <v>1232.68</v>
      </c>
      <c r="L755" s="33">
        <v>779.58</v>
      </c>
      <c r="M755" s="33">
        <v>690.59</v>
      </c>
      <c r="N755" s="33">
        <v>959.91</v>
      </c>
      <c r="O755" s="88"/>
      <c r="P755" s="88"/>
      <c r="Q755" s="89"/>
      <c r="R755" s="89"/>
      <c r="S755" s="210"/>
      <c r="T755" s="28"/>
      <c r="U755" s="217"/>
      <c r="V755" s="278"/>
      <c r="X755" s="186"/>
      <c r="Y755" s="186"/>
      <c r="Z755" s="186"/>
      <c r="AA755" s="186"/>
    </row>
    <row r="756" spans="1:29" ht="22.15" x14ac:dyDescent="0.25">
      <c r="A756" s="272"/>
      <c r="B756" s="47"/>
      <c r="C756" s="24"/>
      <c r="D756" s="24"/>
      <c r="E756" s="88" t="s">
        <v>194</v>
      </c>
      <c r="F756" s="66">
        <f t="shared" ref="F756:N756" si="248">IF(((F754="")*AND(F755="")),"",(F754-F755)*2)</f>
        <v>3932.56</v>
      </c>
      <c r="G756" s="66">
        <f t="shared" si="248"/>
        <v>4112.9799999999996</v>
      </c>
      <c r="H756" s="66">
        <f t="shared" si="248"/>
        <v>4146.3999999999996</v>
      </c>
      <c r="I756" s="66">
        <f t="shared" si="248"/>
        <v>4098.1000000000004</v>
      </c>
      <c r="J756" s="66">
        <f t="shared" si="248"/>
        <v>3917.4</v>
      </c>
      <c r="K756" s="66">
        <f t="shared" si="248"/>
        <v>3780.1199999999994</v>
      </c>
      <c r="L756" s="66">
        <f t="shared" si="248"/>
        <v>4078.74</v>
      </c>
      <c r="M756" s="66">
        <f t="shared" si="248"/>
        <v>4172</v>
      </c>
      <c r="N756" s="66">
        <f t="shared" si="248"/>
        <v>4048.7200000000003</v>
      </c>
      <c r="O756" s="88"/>
      <c r="P756" s="88"/>
      <c r="Q756" s="89"/>
      <c r="R756" s="89"/>
      <c r="S756" s="210"/>
      <c r="T756" s="28"/>
      <c r="U756" s="217"/>
      <c r="V756" s="278"/>
      <c r="X756" s="186"/>
      <c r="Y756" s="186"/>
      <c r="Z756" s="186"/>
      <c r="AA756" s="186"/>
    </row>
    <row r="757" spans="1:29" x14ac:dyDescent="0.25">
      <c r="A757" s="271">
        <v>43438</v>
      </c>
      <c r="B757" s="24" t="s">
        <v>172</v>
      </c>
      <c r="C757" s="24" t="s">
        <v>174</v>
      </c>
      <c r="D757" s="24" t="s">
        <v>195</v>
      </c>
      <c r="E757" s="88" t="s">
        <v>192</v>
      </c>
      <c r="F757" s="33">
        <v>1252.47</v>
      </c>
      <c r="G757" s="33">
        <v>1226.24</v>
      </c>
      <c r="H757" s="33">
        <v>1220.9100000000001</v>
      </c>
      <c r="I757" s="33">
        <v>1230.48</v>
      </c>
      <c r="J757" s="33">
        <v>1261.0999999999999</v>
      </c>
      <c r="K757" s="33">
        <v>1268.06</v>
      </c>
      <c r="L757" s="33">
        <v>1233.3699999999999</v>
      </c>
      <c r="M757" s="33">
        <v>1224.74</v>
      </c>
      <c r="N757" s="33">
        <v>1254.76</v>
      </c>
      <c r="O757" s="88">
        <f>IF((N758=""),"",MAX(F759:N759))</f>
        <v>2113.77</v>
      </c>
      <c r="P757" s="88">
        <f>IF(N758="","",MIN(F759:N759))</f>
        <v>1995.4499999999998</v>
      </c>
      <c r="Q757" s="89">
        <f>IF((N759=""),"",AVERAGE(F759:N759))</f>
        <v>2065.3266666666664</v>
      </c>
      <c r="R757" s="89">
        <f>IF((N758=""),"",(O757-P757)/(O757+P757)*100)</f>
        <v>2.8793785681954285</v>
      </c>
      <c r="S757" s="210">
        <f>STDEV(F759:N759)</f>
        <v>46.274415987670814</v>
      </c>
      <c r="T757" s="23" t="str">
        <f>IF(N758="","",IF(Q757&gt;1940,IF(R757&lt;8.3,IF(Q757&lt;2180,"Pass","Fail"),"Fail"),"Fail"))</f>
        <v>Pass</v>
      </c>
      <c r="U757" s="217">
        <v>74</v>
      </c>
      <c r="V757" s="278"/>
      <c r="X757" s="184">
        <v>2000</v>
      </c>
      <c r="Y757" s="184">
        <v>3000</v>
      </c>
      <c r="Z757" s="184">
        <v>1940</v>
      </c>
      <c r="AA757" s="184">
        <v>2180</v>
      </c>
      <c r="AB757" s="57">
        <v>5.2</v>
      </c>
    </row>
    <row r="758" spans="1:29" x14ac:dyDescent="0.25">
      <c r="A758" s="272"/>
      <c r="B758" s="47"/>
      <c r="C758" s="24"/>
      <c r="D758" s="24"/>
      <c r="E758" s="88" t="s">
        <v>193</v>
      </c>
      <c r="F758" s="33">
        <v>570.47</v>
      </c>
      <c r="G758" s="33">
        <v>522.36</v>
      </c>
      <c r="H758" s="33">
        <v>516.32000000000005</v>
      </c>
      <c r="I758" s="33">
        <v>534.38</v>
      </c>
      <c r="J758" s="33">
        <v>594.42999999999995</v>
      </c>
      <c r="K758" s="33">
        <v>587.30999999999995</v>
      </c>
      <c r="L758" s="33">
        <v>538.78</v>
      </c>
      <c r="M758" s="33">
        <v>522.49</v>
      </c>
      <c r="N758" s="33">
        <v>589.61</v>
      </c>
      <c r="O758" s="88"/>
      <c r="P758" s="88"/>
      <c r="Q758" s="89"/>
      <c r="R758" s="89"/>
      <c r="S758" s="210"/>
      <c r="T758" s="23"/>
      <c r="U758" s="211"/>
      <c r="V758" s="278"/>
      <c r="X758" s="186"/>
      <c r="Y758" s="186"/>
      <c r="Z758" s="186"/>
      <c r="AA758" s="186"/>
    </row>
    <row r="759" spans="1:29" x14ac:dyDescent="0.25">
      <c r="A759" s="272"/>
      <c r="B759" s="47"/>
      <c r="C759" s="24"/>
      <c r="D759" s="24"/>
      <c r="E759" s="88" t="s">
        <v>196</v>
      </c>
      <c r="F759" s="66">
        <f t="shared" ref="F759:N759" si="249">IF(((F757="")*AND(F758="")),"",(F757-F758)*3)</f>
        <v>2046</v>
      </c>
      <c r="G759" s="66">
        <f t="shared" si="249"/>
        <v>2111.64</v>
      </c>
      <c r="H759" s="66">
        <f t="shared" si="249"/>
        <v>2113.77</v>
      </c>
      <c r="I759" s="66">
        <f t="shared" si="249"/>
        <v>2088.3000000000002</v>
      </c>
      <c r="J759" s="66">
        <f t="shared" si="249"/>
        <v>2000.0099999999998</v>
      </c>
      <c r="K759" s="66">
        <f t="shared" si="249"/>
        <v>2042.25</v>
      </c>
      <c r="L759" s="66">
        <f t="shared" si="249"/>
        <v>2083.7699999999995</v>
      </c>
      <c r="M759" s="66">
        <f t="shared" si="249"/>
        <v>2106.75</v>
      </c>
      <c r="N759" s="66">
        <f t="shared" si="249"/>
        <v>1995.4499999999998</v>
      </c>
      <c r="O759" s="88"/>
      <c r="P759" s="88"/>
      <c r="Q759" s="89"/>
      <c r="R759" s="89"/>
      <c r="S759" s="210"/>
      <c r="T759" s="23"/>
      <c r="U759" s="211"/>
      <c r="V759" s="278"/>
      <c r="X759" s="186"/>
      <c r="Y759" s="186"/>
      <c r="Z759" s="186"/>
      <c r="AA759" s="186"/>
    </row>
    <row r="760" spans="1:29" x14ac:dyDescent="0.25">
      <c r="A760" s="271">
        <v>43438</v>
      </c>
      <c r="B760" s="47" t="s">
        <v>191</v>
      </c>
      <c r="C760" s="24" t="s">
        <v>176</v>
      </c>
      <c r="D760" s="24" t="s">
        <v>175</v>
      </c>
      <c r="E760" s="88" t="s">
        <v>192</v>
      </c>
      <c r="F760" s="33">
        <v>25785.360000000001</v>
      </c>
      <c r="G760" s="33">
        <v>25878.05</v>
      </c>
      <c r="H760" s="33">
        <v>25965.84</v>
      </c>
      <c r="I760" s="33">
        <v>25857.09</v>
      </c>
      <c r="J760" s="33">
        <v>25755.279999999999</v>
      </c>
      <c r="K760" s="33">
        <v>25791.39</v>
      </c>
      <c r="L760" s="33">
        <v>25883.38</v>
      </c>
      <c r="M760" s="33">
        <v>25832.82</v>
      </c>
      <c r="N760" s="33">
        <v>25722.560000000001</v>
      </c>
      <c r="O760" s="88">
        <f>IF((N761=""),"",MAX(F762:N762))</f>
        <v>4722.3300000000017</v>
      </c>
      <c r="P760" s="88">
        <f>IF(N761="","",MIN(F762:N762))</f>
        <v>4275.4799999999996</v>
      </c>
      <c r="Q760" s="89">
        <f>IF((N762=""),"",AVERAGE(F762:N762))</f>
        <v>4462.93</v>
      </c>
      <c r="R760" s="89">
        <f>IF((N761=""),"",(O760-P760)/(O760+P760)*100)</f>
        <v>4.9662084440547432</v>
      </c>
      <c r="S760" s="210">
        <f>STDEV(F762:N762)</f>
        <v>168.86911396108007</v>
      </c>
      <c r="T760" s="23" t="str">
        <f>IF(N761="","",IF(R760&lt;16,IF(Q760&gt;3200,IF(R760,IF(Q760&lt;5240,"Pass","Fail"),"Fail"),"Fail")))</f>
        <v>Pass</v>
      </c>
      <c r="U760" s="217">
        <v>74</v>
      </c>
      <c r="V760" s="278"/>
      <c r="X760" s="184">
        <v>4200</v>
      </c>
      <c r="Y760" s="184">
        <v>5500</v>
      </c>
      <c r="Z760" s="184">
        <v>3200</v>
      </c>
      <c r="AA760" s="184">
        <v>5240</v>
      </c>
      <c r="AB760" s="57">
        <v>16</v>
      </c>
    </row>
    <row r="761" spans="1:29" x14ac:dyDescent="0.25">
      <c r="A761" s="272"/>
      <c r="B761" s="47"/>
      <c r="C761" s="24"/>
      <c r="D761" s="24"/>
      <c r="E761" s="88" t="s">
        <v>193</v>
      </c>
      <c r="F761" s="33">
        <v>24264.639999999999</v>
      </c>
      <c r="G761" s="33">
        <v>24430.1</v>
      </c>
      <c r="H761" s="33">
        <v>24540.68</v>
      </c>
      <c r="I761" s="33">
        <v>24406.38</v>
      </c>
      <c r="J761" s="33">
        <v>24198.26</v>
      </c>
      <c r="K761" s="33">
        <v>24268.82</v>
      </c>
      <c r="L761" s="33">
        <v>24450.57</v>
      </c>
      <c r="M761" s="33">
        <v>24375.08</v>
      </c>
      <c r="N761" s="33">
        <v>24148.45</v>
      </c>
      <c r="O761" s="88"/>
      <c r="P761" s="88"/>
      <c r="Q761" s="89"/>
      <c r="R761" s="89"/>
      <c r="S761" s="210"/>
      <c r="T761" s="23"/>
      <c r="U761" s="211"/>
      <c r="V761" s="278"/>
      <c r="X761" s="186"/>
      <c r="Y761" s="186"/>
      <c r="Z761" s="186"/>
      <c r="AA761" s="186"/>
    </row>
    <row r="762" spans="1:29" ht="22.75" thickBot="1" x14ac:dyDescent="0.3">
      <c r="A762" s="272"/>
      <c r="B762" s="90"/>
      <c r="C762" s="91"/>
      <c r="D762" s="91"/>
      <c r="E762" s="92" t="s">
        <v>194</v>
      </c>
      <c r="F762" s="79">
        <f t="shared" ref="F762:N762" si="250">IF(((F760="")*AND(F761="")),"",(F760-F761)*3)</f>
        <v>4562.1600000000035</v>
      </c>
      <c r="G762" s="79">
        <f t="shared" si="250"/>
        <v>4343.8500000000022</v>
      </c>
      <c r="H762" s="79">
        <f t="shared" si="250"/>
        <v>4275.4799999999996</v>
      </c>
      <c r="I762" s="79">
        <f t="shared" si="250"/>
        <v>4352.1299999999974</v>
      </c>
      <c r="J762" s="79">
        <f t="shared" si="250"/>
        <v>4671.0600000000013</v>
      </c>
      <c r="K762" s="79">
        <f t="shared" si="250"/>
        <v>4567.7099999999991</v>
      </c>
      <c r="L762" s="79">
        <f t="shared" si="250"/>
        <v>4298.4300000000039</v>
      </c>
      <c r="M762" s="79">
        <f t="shared" si="250"/>
        <v>4373.2199999999939</v>
      </c>
      <c r="N762" s="79">
        <f t="shared" si="250"/>
        <v>4722.3300000000017</v>
      </c>
      <c r="O762" s="92"/>
      <c r="P762" s="92"/>
      <c r="Q762" s="93"/>
      <c r="R762" s="93"/>
      <c r="S762" s="213"/>
      <c r="T762" s="214"/>
      <c r="U762" s="215"/>
      <c r="V762" s="278"/>
      <c r="X762" s="186"/>
      <c r="Y762" s="186"/>
      <c r="Z762" s="186"/>
      <c r="AA762" s="186"/>
    </row>
    <row r="763" spans="1:29" x14ac:dyDescent="0.25">
      <c r="A763" s="277">
        <v>43445</v>
      </c>
      <c r="B763" s="85" t="s">
        <v>177</v>
      </c>
      <c r="C763" s="70" t="s">
        <v>179</v>
      </c>
      <c r="D763" s="70" t="s">
        <v>178</v>
      </c>
      <c r="E763" s="86" t="s">
        <v>192</v>
      </c>
      <c r="F763" s="33">
        <v>6871.08</v>
      </c>
      <c r="G763" s="33">
        <v>6876.74</v>
      </c>
      <c r="H763" s="33">
        <v>6922.42</v>
      </c>
      <c r="I763" s="33">
        <v>6869.47</v>
      </c>
      <c r="J763" s="33">
        <v>6875.27</v>
      </c>
      <c r="K763" s="33">
        <v>6883.21</v>
      </c>
      <c r="L763" s="33">
        <v>6901.27</v>
      </c>
      <c r="M763" s="33">
        <v>6913.18</v>
      </c>
      <c r="N763" s="33">
        <v>6974.11</v>
      </c>
      <c r="O763" s="86">
        <f>IF((N764=""),"",MAX(F765:N765))</f>
        <v>3797.34</v>
      </c>
      <c r="P763" s="86">
        <f>IF(N764="","",MIN(F765:N765))</f>
        <v>3534.58</v>
      </c>
      <c r="Q763" s="87">
        <f>IF((N765=""),"",AVERAGE(F765:N765))</f>
        <v>3708.5244444444447</v>
      </c>
      <c r="R763" s="87">
        <f>IF((N764=""),"",(O763-P763)/(O763+P763)*100)</f>
        <v>3.5837816015450281</v>
      </c>
      <c r="S763" s="181">
        <f>STDEV(F765:N765)</f>
        <v>90.47911735741998</v>
      </c>
      <c r="T763" s="208" t="str">
        <f>IF(N764="","",IF(Q763&gt;3650,IF(R763&lt;7,IF(Q763&lt;4450,"Pass","Fail"),"Fail"),"Fail"))</f>
        <v>Pass</v>
      </c>
      <c r="U763" s="220" t="s">
        <v>223</v>
      </c>
      <c r="V763" s="278"/>
      <c r="X763" s="184">
        <v>3650</v>
      </c>
      <c r="Y763" s="184">
        <v>4450</v>
      </c>
      <c r="Z763" s="184">
        <v>3700</v>
      </c>
      <c r="AA763" s="184">
        <v>4100</v>
      </c>
      <c r="AB763" s="57">
        <v>6.5</v>
      </c>
      <c r="AC763" s="57">
        <v>7</v>
      </c>
    </row>
    <row r="764" spans="1:29" x14ac:dyDescent="0.25">
      <c r="A764" s="272"/>
      <c r="B764" s="47"/>
      <c r="C764" s="24"/>
      <c r="D764" s="24"/>
      <c r="E764" s="88" t="s">
        <v>193</v>
      </c>
      <c r="F764" s="33">
        <v>5050.88</v>
      </c>
      <c r="G764" s="33">
        <v>4992.38</v>
      </c>
      <c r="H764" s="33">
        <v>5030.1400000000003</v>
      </c>
      <c r="I764" s="33">
        <v>4991.51</v>
      </c>
      <c r="J764" s="33">
        <v>5067.8500000000004</v>
      </c>
      <c r="K764" s="33">
        <v>5115.92</v>
      </c>
      <c r="L764" s="33">
        <v>5025.33</v>
      </c>
      <c r="M764" s="33">
        <v>5014.51</v>
      </c>
      <c r="N764" s="33">
        <v>5109.87</v>
      </c>
      <c r="O764" s="88"/>
      <c r="P764" s="88"/>
      <c r="Q764" s="89"/>
      <c r="R764" s="89"/>
      <c r="S764" s="210"/>
      <c r="T764" s="28"/>
      <c r="U764" s="217"/>
      <c r="V764" s="278"/>
      <c r="X764" s="186"/>
      <c r="Y764" s="186"/>
      <c r="Z764" s="186"/>
      <c r="AA764" s="186"/>
    </row>
    <row r="765" spans="1:29" ht="22.75" thickBot="1" x14ac:dyDescent="0.3">
      <c r="A765" s="272"/>
      <c r="B765" s="47"/>
      <c r="C765" s="24"/>
      <c r="D765" s="24"/>
      <c r="E765" s="88" t="s">
        <v>194</v>
      </c>
      <c r="F765" s="66">
        <f t="shared" ref="F765:N765" si="251">IF(((F763="")*AND(F764="")),"",(F763-F764)*2)</f>
        <v>3640.3999999999996</v>
      </c>
      <c r="G765" s="66">
        <f t="shared" si="251"/>
        <v>3768.7199999999993</v>
      </c>
      <c r="H765" s="66">
        <f t="shared" si="251"/>
        <v>3784.5599999999995</v>
      </c>
      <c r="I765" s="66">
        <f t="shared" si="251"/>
        <v>3755.92</v>
      </c>
      <c r="J765" s="66">
        <f t="shared" si="251"/>
        <v>3614.84</v>
      </c>
      <c r="K765" s="66">
        <f t="shared" si="251"/>
        <v>3534.58</v>
      </c>
      <c r="L765" s="66">
        <f t="shared" si="251"/>
        <v>3751.880000000001</v>
      </c>
      <c r="M765" s="66">
        <f t="shared" si="251"/>
        <v>3797.34</v>
      </c>
      <c r="N765" s="66">
        <f t="shared" si="251"/>
        <v>3728.4799999999996</v>
      </c>
      <c r="O765" s="88"/>
      <c r="P765" s="88"/>
      <c r="Q765" s="89"/>
      <c r="R765" s="89"/>
      <c r="S765" s="210"/>
      <c r="T765" s="28"/>
      <c r="U765" s="217"/>
      <c r="V765" s="278"/>
      <c r="X765" s="186"/>
      <c r="Y765" s="186"/>
      <c r="Z765" s="186"/>
      <c r="AA765" s="186"/>
    </row>
    <row r="766" spans="1:29" x14ac:dyDescent="0.25">
      <c r="A766" s="272">
        <v>43445</v>
      </c>
      <c r="B766" s="24" t="s">
        <v>172</v>
      </c>
      <c r="C766" s="24" t="s">
        <v>174</v>
      </c>
      <c r="D766" s="24" t="s">
        <v>195</v>
      </c>
      <c r="E766" s="88" t="s">
        <v>192</v>
      </c>
      <c r="F766" s="33">
        <v>1973.08</v>
      </c>
      <c r="G766" s="33">
        <v>1950.62</v>
      </c>
      <c r="H766" s="33">
        <v>1948.98</v>
      </c>
      <c r="I766" s="33">
        <v>1946.23</v>
      </c>
      <c r="J766" s="33">
        <v>1967.11</v>
      </c>
      <c r="K766" s="33">
        <v>1972.42</v>
      </c>
      <c r="L766" s="33">
        <v>1953.82</v>
      </c>
      <c r="M766" s="33">
        <v>1949</v>
      </c>
      <c r="N766" s="33">
        <v>1965.14</v>
      </c>
      <c r="O766" s="88">
        <f>IF((N767=""),"",MAX(F768:N768))</f>
        <v>2142.06</v>
      </c>
      <c r="P766" s="88">
        <f>IF(N767="","",MIN(F768:N768))</f>
        <v>2055.9899999999998</v>
      </c>
      <c r="Q766" s="89">
        <f>IF((N768=""),"",AVERAGE(F768:N768))</f>
        <v>2089.3833333333332</v>
      </c>
      <c r="R766" s="89">
        <f>IF((N767=""),"",(O766-P766)/(O766+P766)*100)</f>
        <v>2.0502376103190811</v>
      </c>
      <c r="S766" s="210">
        <f>STDEV(F768:N768)</f>
        <v>33.235296749088882</v>
      </c>
      <c r="T766" s="23" t="str">
        <f>IF(N767="","",IF(Q766&gt;1940,IF(R766&lt;8.3,IF(Q766&lt;2180,"Pass","Fail"),"Fail"),"Fail"))</f>
        <v>Pass</v>
      </c>
      <c r="U766" s="220" t="s">
        <v>223</v>
      </c>
      <c r="V766" s="278"/>
      <c r="X766" s="184">
        <v>2000</v>
      </c>
      <c r="Y766" s="184">
        <v>3000</v>
      </c>
      <c r="Z766" s="184">
        <v>1940</v>
      </c>
      <c r="AA766" s="184">
        <v>2180</v>
      </c>
      <c r="AB766" s="57">
        <v>5.2</v>
      </c>
    </row>
    <row r="767" spans="1:29" x14ac:dyDescent="0.25">
      <c r="A767" s="272"/>
      <c r="B767" s="47"/>
      <c r="C767" s="24"/>
      <c r="D767" s="24"/>
      <c r="E767" s="88" t="s">
        <v>193</v>
      </c>
      <c r="F767" s="33">
        <v>1259.06</v>
      </c>
      <c r="G767" s="33">
        <v>1257.1600000000001</v>
      </c>
      <c r="H767" s="33">
        <v>1263.6500000000001</v>
      </c>
      <c r="I767" s="33">
        <v>1260.69</v>
      </c>
      <c r="J767" s="33">
        <v>1264.6600000000001</v>
      </c>
      <c r="K767" s="33">
        <v>1258.99</v>
      </c>
      <c r="L767" s="33">
        <v>1263.0899999999999</v>
      </c>
      <c r="M767" s="33">
        <v>1260.3499999999999</v>
      </c>
      <c r="N767" s="33">
        <v>1270.5999999999999</v>
      </c>
      <c r="O767" s="88"/>
      <c r="P767" s="88"/>
      <c r="Q767" s="89"/>
      <c r="R767" s="89"/>
      <c r="S767" s="210"/>
      <c r="T767" s="23"/>
      <c r="U767" s="211"/>
      <c r="V767" s="278"/>
      <c r="X767" s="186"/>
      <c r="Y767" s="186"/>
      <c r="Z767" s="186"/>
      <c r="AA767" s="186"/>
    </row>
    <row r="768" spans="1:29" ht="13.3" thickBot="1" x14ac:dyDescent="0.3">
      <c r="A768" s="272"/>
      <c r="B768" s="47"/>
      <c r="C768" s="24"/>
      <c r="D768" s="24"/>
      <c r="E768" s="88" t="s">
        <v>196</v>
      </c>
      <c r="F768" s="66">
        <f t="shared" ref="F768:N768" si="252">IF(((F766="")*AND(F767="")),"",(F766-F767)*3)</f>
        <v>2142.06</v>
      </c>
      <c r="G768" s="66">
        <f t="shared" si="252"/>
        <v>2080.3799999999992</v>
      </c>
      <c r="H768" s="66">
        <f t="shared" si="252"/>
        <v>2055.9899999999998</v>
      </c>
      <c r="I768" s="66">
        <f t="shared" si="252"/>
        <v>2056.62</v>
      </c>
      <c r="J768" s="66">
        <f t="shared" si="252"/>
        <v>2107.3499999999995</v>
      </c>
      <c r="K768" s="66">
        <f t="shared" si="252"/>
        <v>2140.29</v>
      </c>
      <c r="L768" s="66">
        <f t="shared" si="252"/>
        <v>2072.19</v>
      </c>
      <c r="M768" s="66">
        <f t="shared" si="252"/>
        <v>2065.9500000000003</v>
      </c>
      <c r="N768" s="66">
        <f t="shared" si="252"/>
        <v>2083.6200000000008</v>
      </c>
      <c r="O768" s="88"/>
      <c r="P768" s="88"/>
      <c r="Q768" s="89"/>
      <c r="R768" s="89"/>
      <c r="S768" s="210"/>
      <c r="T768" s="23"/>
      <c r="U768" s="211"/>
      <c r="V768" s="278"/>
      <c r="X768" s="186"/>
      <c r="Y768" s="186"/>
      <c r="Z768" s="186"/>
      <c r="AA768" s="186"/>
    </row>
    <row r="769" spans="1:29" x14ac:dyDescent="0.25">
      <c r="A769" s="272">
        <v>43445</v>
      </c>
      <c r="B769" s="47" t="s">
        <v>191</v>
      </c>
      <c r="C769" s="24" t="s">
        <v>176</v>
      </c>
      <c r="D769" s="24" t="s">
        <v>175</v>
      </c>
      <c r="E769" s="88" t="s">
        <v>192</v>
      </c>
      <c r="F769" s="33">
        <v>29211.13</v>
      </c>
      <c r="G769" s="33">
        <v>29098.5</v>
      </c>
      <c r="H769" s="33">
        <v>29095.51</v>
      </c>
      <c r="I769" s="33">
        <v>29106.87</v>
      </c>
      <c r="J769" s="33">
        <v>29178.7</v>
      </c>
      <c r="K769" s="33">
        <v>29157.75</v>
      </c>
      <c r="L769" s="33">
        <v>29081.27</v>
      </c>
      <c r="M769" s="33">
        <v>29111.97</v>
      </c>
      <c r="N769" s="33">
        <v>29215.22</v>
      </c>
      <c r="O769" s="88">
        <f>IF((N770=""),"",MAX(F771:N771))</f>
        <v>4366.6800000000039</v>
      </c>
      <c r="P769" s="88">
        <f>IF(N770="","",MIN(F771:N771))</f>
        <v>3849.1499999999978</v>
      </c>
      <c r="Q769" s="89">
        <f>IF((N771=""),"",AVERAGE(F771:N771))</f>
        <v>4068.3500000000008</v>
      </c>
      <c r="R769" s="89">
        <f>IF((N770=""),"",(O769-P769)/(O769+P769)*100)</f>
        <v>6.2991809713687603</v>
      </c>
      <c r="S769" s="210">
        <f>STDEV(F771:N771)</f>
        <v>196.1411167374163</v>
      </c>
      <c r="T769" s="23" t="str">
        <f>IF(N770="","",IF(R769&lt;16,IF(Q769&gt;3200,IF(R769,IF(Q769&lt;5240,"Pass","Fail"),"Fail"),"Fail")))</f>
        <v>Pass</v>
      </c>
      <c r="U769" s="220" t="s">
        <v>223</v>
      </c>
      <c r="V769" s="278"/>
      <c r="X769" s="184">
        <v>4200</v>
      </c>
      <c r="Y769" s="184">
        <v>5500</v>
      </c>
      <c r="Z769" s="184">
        <v>3200</v>
      </c>
      <c r="AA769" s="184">
        <v>5240</v>
      </c>
      <c r="AB769" s="57">
        <v>16</v>
      </c>
    </row>
    <row r="770" spans="1:29" x14ac:dyDescent="0.25">
      <c r="A770" s="272"/>
      <c r="B770" s="47"/>
      <c r="C770" s="24"/>
      <c r="D770" s="24"/>
      <c r="E770" s="88" t="s">
        <v>193</v>
      </c>
      <c r="F770" s="33">
        <v>27765.59</v>
      </c>
      <c r="G770" s="33">
        <v>27780.12</v>
      </c>
      <c r="H770" s="33">
        <v>27812.46</v>
      </c>
      <c r="I770" s="33">
        <v>27797.29</v>
      </c>
      <c r="J770" s="33">
        <v>27775.53</v>
      </c>
      <c r="K770" s="33">
        <v>27783.38</v>
      </c>
      <c r="L770" s="33">
        <v>27782.15</v>
      </c>
      <c r="M770" s="33">
        <v>27795.69</v>
      </c>
      <c r="N770" s="33">
        <v>27759.66</v>
      </c>
      <c r="O770" s="88"/>
      <c r="P770" s="88"/>
      <c r="Q770" s="89"/>
      <c r="R770" s="89"/>
      <c r="S770" s="210"/>
      <c r="T770" s="23"/>
      <c r="U770" s="211"/>
      <c r="V770" s="278"/>
      <c r="X770" s="186"/>
      <c r="Y770" s="186"/>
      <c r="Z770" s="186"/>
      <c r="AA770" s="186"/>
    </row>
    <row r="771" spans="1:29" ht="22.75" thickBot="1" x14ac:dyDescent="0.3">
      <c r="A771" s="279"/>
      <c r="B771" s="90"/>
      <c r="C771" s="91"/>
      <c r="D771" s="91"/>
      <c r="E771" s="92" t="s">
        <v>194</v>
      </c>
      <c r="F771" s="79">
        <f t="shared" ref="F771:N771" si="253">IF(((F769="")*AND(F770="")),"",(F769-F770)*3)</f>
        <v>4336.6200000000026</v>
      </c>
      <c r="G771" s="79">
        <f t="shared" si="253"/>
        <v>3955.1400000000031</v>
      </c>
      <c r="H771" s="79">
        <f t="shared" si="253"/>
        <v>3849.1499999999978</v>
      </c>
      <c r="I771" s="79">
        <f t="shared" si="253"/>
        <v>3928.7399999999943</v>
      </c>
      <c r="J771" s="79">
        <f t="shared" si="253"/>
        <v>4209.5100000000057</v>
      </c>
      <c r="K771" s="79">
        <f t="shared" si="253"/>
        <v>4123.1099999999969</v>
      </c>
      <c r="L771" s="79">
        <f t="shared" si="253"/>
        <v>3897.3599999999969</v>
      </c>
      <c r="M771" s="79">
        <f t="shared" si="253"/>
        <v>3948.8400000000074</v>
      </c>
      <c r="N771" s="79">
        <f t="shared" si="253"/>
        <v>4366.6800000000039</v>
      </c>
      <c r="O771" s="92"/>
      <c r="P771" s="92"/>
      <c r="Q771" s="93"/>
      <c r="R771" s="93"/>
      <c r="S771" s="213"/>
      <c r="T771" s="214"/>
      <c r="U771" s="215"/>
      <c r="V771" s="278"/>
      <c r="X771" s="186"/>
      <c r="Y771" s="186"/>
      <c r="Z771" s="186"/>
      <c r="AA771" s="186"/>
    </row>
    <row r="772" spans="1:29" x14ac:dyDescent="0.25">
      <c r="A772" s="271">
        <v>43451</v>
      </c>
      <c r="B772" s="63" t="s">
        <v>177</v>
      </c>
      <c r="C772" s="65" t="s">
        <v>179</v>
      </c>
      <c r="D772" s="65" t="s">
        <v>178</v>
      </c>
      <c r="E772" s="67" t="s">
        <v>192</v>
      </c>
      <c r="F772" s="33">
        <v>6849</v>
      </c>
      <c r="G772" s="33">
        <v>6830</v>
      </c>
      <c r="H772" s="33">
        <v>6874</v>
      </c>
      <c r="I772" s="33">
        <v>6838</v>
      </c>
      <c r="J772" s="33">
        <v>6903</v>
      </c>
      <c r="K772" s="199">
        <v>6872</v>
      </c>
      <c r="L772" s="199">
        <v>6863</v>
      </c>
      <c r="M772" s="199">
        <v>6866</v>
      </c>
      <c r="N772" s="199">
        <v>6956</v>
      </c>
      <c r="O772" s="86">
        <f>IF((N773=""),"",MAX(F774:N774))</f>
        <v>3836</v>
      </c>
      <c r="P772" s="86">
        <f>IF(N773="","",MIN(F774:N774))</f>
        <v>3614</v>
      </c>
      <c r="Q772" s="87">
        <f>IF((N774=""),"",AVERAGE(F774:N774))</f>
        <v>3762.4444444444443</v>
      </c>
      <c r="R772" s="87">
        <f>IF((N773=""),"",(O772-P772)/(O772+P772)*100)</f>
        <v>2.9798657718120807</v>
      </c>
      <c r="S772" s="181">
        <f>STDEV(F774:N774)</f>
        <v>78.611562621396729</v>
      </c>
      <c r="T772" s="208" t="str">
        <f>IF(N773="","",IF(Q772&gt;3650,IF(R772&lt;7,IF(Q772&lt;4450,"Pass","Fail"),"Fail"),"Fail"))</f>
        <v>Pass</v>
      </c>
      <c r="U772" s="220">
        <v>1340</v>
      </c>
      <c r="V772" s="278"/>
      <c r="X772" s="184">
        <v>3650</v>
      </c>
      <c r="Y772" s="184">
        <v>4450</v>
      </c>
      <c r="Z772" s="184">
        <v>3700</v>
      </c>
      <c r="AA772" s="184">
        <v>4100</v>
      </c>
      <c r="AB772" s="57">
        <v>6.5</v>
      </c>
      <c r="AC772" s="57">
        <v>7</v>
      </c>
    </row>
    <row r="773" spans="1:29" x14ac:dyDescent="0.25">
      <c r="A773" s="272"/>
      <c r="B773" s="47"/>
      <c r="C773" s="24"/>
      <c r="D773" s="24"/>
      <c r="E773" s="88" t="s">
        <v>193</v>
      </c>
      <c r="F773" s="33">
        <v>5008</v>
      </c>
      <c r="G773" s="33">
        <v>4926</v>
      </c>
      <c r="H773" s="33">
        <v>4959</v>
      </c>
      <c r="I773" s="33">
        <v>4933</v>
      </c>
      <c r="J773" s="33">
        <v>5055</v>
      </c>
      <c r="K773" s="33">
        <v>5065</v>
      </c>
      <c r="L773" s="33">
        <v>4960</v>
      </c>
      <c r="M773" s="33">
        <v>4948</v>
      </c>
      <c r="N773" s="33">
        <v>5066</v>
      </c>
      <c r="O773" s="88"/>
      <c r="P773" s="88"/>
      <c r="Q773" s="89"/>
      <c r="R773" s="89"/>
      <c r="S773" s="210"/>
      <c r="T773" s="28"/>
      <c r="U773" s="217"/>
      <c r="V773" s="278"/>
      <c r="X773" s="186"/>
      <c r="Y773" s="186"/>
      <c r="Z773" s="186"/>
      <c r="AA773" s="186"/>
    </row>
    <row r="774" spans="1:29" ht="22.75" thickBot="1" x14ac:dyDescent="0.3">
      <c r="A774" s="272"/>
      <c r="B774" s="47"/>
      <c r="C774" s="24"/>
      <c r="D774" s="24"/>
      <c r="E774" s="88" t="s">
        <v>194</v>
      </c>
      <c r="F774" s="66">
        <f t="shared" ref="F774:N774" si="254">IF(((F772="")*AND(F773="")),"",(F772-F773)*2)</f>
        <v>3682</v>
      </c>
      <c r="G774" s="66">
        <f t="shared" si="254"/>
        <v>3808</v>
      </c>
      <c r="H774" s="66">
        <f t="shared" si="254"/>
        <v>3830</v>
      </c>
      <c r="I774" s="66">
        <f t="shared" si="254"/>
        <v>3810</v>
      </c>
      <c r="J774" s="66">
        <f t="shared" si="254"/>
        <v>3696</v>
      </c>
      <c r="K774" s="66">
        <f t="shared" si="254"/>
        <v>3614</v>
      </c>
      <c r="L774" s="66">
        <f t="shared" si="254"/>
        <v>3806</v>
      </c>
      <c r="M774" s="66">
        <f t="shared" si="254"/>
        <v>3836</v>
      </c>
      <c r="N774" s="66">
        <f t="shared" si="254"/>
        <v>3780</v>
      </c>
      <c r="O774" s="88"/>
      <c r="P774" s="88"/>
      <c r="Q774" s="89"/>
      <c r="R774" s="89"/>
      <c r="S774" s="210"/>
      <c r="T774" s="28"/>
      <c r="U774" s="217"/>
      <c r="V774" s="278"/>
      <c r="X774" s="186"/>
      <c r="Y774" s="186"/>
      <c r="Z774" s="186"/>
      <c r="AA774" s="186"/>
    </row>
    <row r="775" spans="1:29" x14ac:dyDescent="0.25">
      <c r="A775" s="272">
        <v>43451</v>
      </c>
      <c r="B775" s="24" t="s">
        <v>172</v>
      </c>
      <c r="C775" s="24" t="s">
        <v>174</v>
      </c>
      <c r="D775" s="24" t="s">
        <v>195</v>
      </c>
      <c r="E775" s="88" t="s">
        <v>192</v>
      </c>
      <c r="F775" s="33">
        <v>1256</v>
      </c>
      <c r="G775" s="33">
        <v>1237</v>
      </c>
      <c r="H775" s="33">
        <v>1223</v>
      </c>
      <c r="I775" s="33">
        <v>1237</v>
      </c>
      <c r="J775" s="33">
        <v>1262</v>
      </c>
      <c r="K775" s="33">
        <v>1268</v>
      </c>
      <c r="L775" s="33">
        <v>1233</v>
      </c>
      <c r="M775" s="33">
        <v>1239</v>
      </c>
      <c r="N775" s="33">
        <v>1261</v>
      </c>
      <c r="O775" s="88">
        <f>IF((N776=""),"",MAX(F777:N777))</f>
        <v>2034</v>
      </c>
      <c r="P775" s="88">
        <f>IF(N776="","",MIN(F777:N777))</f>
        <v>1956</v>
      </c>
      <c r="Q775" s="89">
        <f>IF((N777=""),"",AVERAGE(F777:N777))</f>
        <v>1999.6666666666667</v>
      </c>
      <c r="R775" s="89">
        <f>IF((N776=""),"",(O775-P775)/(O775+P775)*100)</f>
        <v>1.9548872180451129</v>
      </c>
      <c r="S775" s="210">
        <f>STDEV(F777:N777)</f>
        <v>28.464890654980568</v>
      </c>
      <c r="T775" s="23" t="str">
        <f>IF(N776="","",IF(Q775&gt;1940,IF(R775&lt;8.3,IF(Q775&lt;2180,"Pass","Fail"),"Fail"),"Fail"))</f>
        <v>Pass</v>
      </c>
      <c r="U775" s="220">
        <v>1340</v>
      </c>
      <c r="V775" s="278"/>
      <c r="X775" s="184">
        <v>2000</v>
      </c>
      <c r="Y775" s="184">
        <v>3000</v>
      </c>
      <c r="Z775" s="184">
        <v>1940</v>
      </c>
      <c r="AA775" s="184">
        <v>2180</v>
      </c>
      <c r="AB775" s="57">
        <v>5.2</v>
      </c>
    </row>
    <row r="776" spans="1:29" x14ac:dyDescent="0.25">
      <c r="A776" s="272"/>
      <c r="B776" s="47"/>
      <c r="C776" s="24"/>
      <c r="D776" s="24"/>
      <c r="E776" s="88" t="s">
        <v>193</v>
      </c>
      <c r="F776" s="33">
        <v>578</v>
      </c>
      <c r="G776" s="33">
        <v>568</v>
      </c>
      <c r="H776" s="33">
        <v>569</v>
      </c>
      <c r="I776" s="199">
        <v>574</v>
      </c>
      <c r="J776" s="199">
        <v>594</v>
      </c>
      <c r="K776" s="199">
        <v>590</v>
      </c>
      <c r="L776" s="33">
        <v>581</v>
      </c>
      <c r="M776" s="33">
        <v>565</v>
      </c>
      <c r="N776" s="33">
        <v>598</v>
      </c>
      <c r="O776" s="88"/>
      <c r="P776" s="88"/>
      <c r="Q776" s="89"/>
      <c r="R776" s="89"/>
      <c r="S776" s="210"/>
      <c r="T776" s="23"/>
      <c r="U776" s="211"/>
      <c r="V776" s="278"/>
      <c r="X776" s="186"/>
      <c r="Y776" s="186"/>
      <c r="Z776" s="186"/>
      <c r="AA776" s="186"/>
    </row>
    <row r="777" spans="1:29" ht="13.3" thickBot="1" x14ac:dyDescent="0.3">
      <c r="A777" s="272"/>
      <c r="B777" s="47"/>
      <c r="C777" s="24"/>
      <c r="D777" s="24"/>
      <c r="E777" s="88" t="s">
        <v>196</v>
      </c>
      <c r="F777" s="66">
        <f t="shared" ref="F777:N777" si="255">IF(((F775="")*AND(F776="")),"",(F775-F776)*3)</f>
        <v>2034</v>
      </c>
      <c r="G777" s="66">
        <f t="shared" si="255"/>
        <v>2007</v>
      </c>
      <c r="H777" s="66">
        <f t="shared" si="255"/>
        <v>1962</v>
      </c>
      <c r="I777" s="66">
        <f t="shared" si="255"/>
        <v>1989</v>
      </c>
      <c r="J777" s="66">
        <f t="shared" si="255"/>
        <v>2004</v>
      </c>
      <c r="K777" s="66">
        <f t="shared" si="255"/>
        <v>2034</v>
      </c>
      <c r="L777" s="66">
        <f t="shared" si="255"/>
        <v>1956</v>
      </c>
      <c r="M777" s="66">
        <f t="shared" si="255"/>
        <v>2022</v>
      </c>
      <c r="N777" s="66">
        <f t="shared" si="255"/>
        <v>1989</v>
      </c>
      <c r="O777" s="88"/>
      <c r="P777" s="88"/>
      <c r="Q777" s="89"/>
      <c r="R777" s="89"/>
      <c r="S777" s="210"/>
      <c r="T777" s="23"/>
      <c r="U777" s="211"/>
      <c r="V777" s="278"/>
      <c r="X777" s="186"/>
      <c r="Y777" s="186"/>
      <c r="Z777" s="186"/>
      <c r="AA777" s="186"/>
    </row>
    <row r="778" spans="1:29" x14ac:dyDescent="0.25">
      <c r="A778" s="272">
        <v>43451</v>
      </c>
      <c r="B778" s="47" t="s">
        <v>191</v>
      </c>
      <c r="C778" s="24" t="s">
        <v>176</v>
      </c>
      <c r="D778" s="24" t="s">
        <v>175</v>
      </c>
      <c r="E778" s="88" t="s">
        <v>192</v>
      </c>
      <c r="F778" s="33">
        <v>29027</v>
      </c>
      <c r="G778" s="33">
        <v>28971</v>
      </c>
      <c r="H778" s="33">
        <v>28924</v>
      </c>
      <c r="I778" s="33">
        <v>28962</v>
      </c>
      <c r="J778" s="33">
        <v>29003</v>
      </c>
      <c r="K778" s="199">
        <v>28766</v>
      </c>
      <c r="L778" s="199">
        <v>28905</v>
      </c>
      <c r="M778" s="199">
        <v>28883</v>
      </c>
      <c r="N778" s="199">
        <v>28967</v>
      </c>
      <c r="O778" s="88">
        <f>IF((N779=""),"",MAX(F780:N780))</f>
        <v>4335</v>
      </c>
      <c r="P778" s="88">
        <f>IF(N779="","",MIN(F780:N780))</f>
        <v>3441</v>
      </c>
      <c r="Q778" s="89">
        <f>IF((N780=""),"",AVERAGE(F780:N780))</f>
        <v>3887.3333333333335</v>
      </c>
      <c r="R778" s="89">
        <f>IF((N779=""),"",(O778-P778)/(O778+P778)*100)</f>
        <v>11.496913580246913</v>
      </c>
      <c r="S778" s="210">
        <f>STDEV(F780:N780)</f>
        <v>281.61986790707789</v>
      </c>
      <c r="T778" s="23" t="str">
        <f>IF(N779="","",IF(R778&lt;16,IF(Q778&gt;3200,IF(R778,IF(Q778&lt;5240,"Pass","Fail"),"Fail"),"Fail")))</f>
        <v>Pass</v>
      </c>
      <c r="U778" s="220">
        <v>1340</v>
      </c>
      <c r="V778" s="278"/>
      <c r="X778" s="184">
        <v>4200</v>
      </c>
      <c r="Y778" s="184">
        <v>5500</v>
      </c>
      <c r="Z778" s="184">
        <v>3200</v>
      </c>
      <c r="AA778" s="184">
        <v>5240</v>
      </c>
      <c r="AB778" s="57">
        <v>16</v>
      </c>
    </row>
    <row r="779" spans="1:29" x14ac:dyDescent="0.25">
      <c r="A779" s="272"/>
      <c r="B779" s="47"/>
      <c r="C779" s="24"/>
      <c r="D779" s="24"/>
      <c r="E779" s="88" t="s">
        <v>193</v>
      </c>
      <c r="F779" s="33">
        <v>27582</v>
      </c>
      <c r="G779" s="33">
        <v>27666</v>
      </c>
      <c r="H779" s="33">
        <v>27711</v>
      </c>
      <c r="I779" s="199">
        <v>27662</v>
      </c>
      <c r="J779" s="199">
        <v>27650</v>
      </c>
      <c r="K779" s="199">
        <v>27619</v>
      </c>
      <c r="L779" s="199">
        <v>27664</v>
      </c>
      <c r="M779" s="199">
        <v>27627</v>
      </c>
      <c r="N779" s="199">
        <v>27565</v>
      </c>
      <c r="O779" s="88"/>
      <c r="P779" s="88"/>
      <c r="Q779" s="89"/>
      <c r="R779" s="89"/>
      <c r="S779" s="210"/>
      <c r="T779" s="23"/>
      <c r="U779" s="211"/>
      <c r="V779" s="278"/>
      <c r="X779" s="186"/>
      <c r="Y779" s="186"/>
      <c r="Z779" s="186"/>
      <c r="AA779" s="186"/>
    </row>
    <row r="780" spans="1:29" ht="22.75" thickBot="1" x14ac:dyDescent="0.3">
      <c r="A780" s="279"/>
      <c r="B780" s="90"/>
      <c r="C780" s="91"/>
      <c r="D780" s="91"/>
      <c r="E780" s="92" t="s">
        <v>194</v>
      </c>
      <c r="F780" s="79">
        <f t="shared" ref="F780:N780" si="256">IF(((F778="")*AND(F779="")),"",(F778-F779)*3)</f>
        <v>4335</v>
      </c>
      <c r="G780" s="79">
        <f t="shared" si="256"/>
        <v>3915</v>
      </c>
      <c r="H780" s="79">
        <f t="shared" si="256"/>
        <v>3639</v>
      </c>
      <c r="I780" s="79">
        <f t="shared" si="256"/>
        <v>3900</v>
      </c>
      <c r="J780" s="79">
        <f t="shared" si="256"/>
        <v>4059</v>
      </c>
      <c r="K780" s="79">
        <f t="shared" si="256"/>
        <v>3441</v>
      </c>
      <c r="L780" s="79">
        <f t="shared" si="256"/>
        <v>3723</v>
      </c>
      <c r="M780" s="79">
        <f t="shared" si="256"/>
        <v>3768</v>
      </c>
      <c r="N780" s="79">
        <f t="shared" si="256"/>
        <v>4206</v>
      </c>
      <c r="O780" s="92"/>
      <c r="P780" s="92"/>
      <c r="Q780" s="93"/>
      <c r="R780" s="93"/>
      <c r="S780" s="213"/>
      <c r="T780" s="214"/>
      <c r="U780" s="215"/>
      <c r="V780" s="278"/>
      <c r="X780" s="186"/>
      <c r="Y780" s="186"/>
      <c r="Z780" s="186"/>
      <c r="AA780" s="186"/>
    </row>
    <row r="781" spans="1:29" x14ac:dyDescent="0.25">
      <c r="A781" s="271">
        <v>43460</v>
      </c>
      <c r="B781" s="63" t="s">
        <v>177</v>
      </c>
      <c r="C781" s="65" t="s">
        <v>179</v>
      </c>
      <c r="D781" s="65" t="s">
        <v>178</v>
      </c>
      <c r="E781" s="67" t="s">
        <v>192</v>
      </c>
      <c r="F781" s="33">
        <v>5018.34</v>
      </c>
      <c r="G781" s="33">
        <v>4937.29</v>
      </c>
      <c r="H781" s="33">
        <v>4968.3</v>
      </c>
      <c r="I781" s="33">
        <v>4942.92</v>
      </c>
      <c r="J781" s="33">
        <v>5064.83</v>
      </c>
      <c r="K781" s="33">
        <v>5074.83</v>
      </c>
      <c r="L781" s="33">
        <v>4969.8100000000004</v>
      </c>
      <c r="M781" s="33">
        <v>4958.4399999999996</v>
      </c>
      <c r="N781" s="33">
        <v>5075.38</v>
      </c>
      <c r="O781" s="86">
        <f>IF((N782=""),"",MAX(F783:N783))</f>
        <v>3854.1399999999994</v>
      </c>
      <c r="P781" s="86">
        <f>IF(N782="","",MIN(F783:N783))</f>
        <v>3564.76</v>
      </c>
      <c r="Q781" s="87">
        <f>IF((N783=""),"",AVERAGE(F783:N783))</f>
        <v>3754.4866666666671</v>
      </c>
      <c r="R781" s="87">
        <f>IF((N782=""),"",(O781-P781)/(O781+P781)*100)</f>
        <v>3.9005782528407069</v>
      </c>
      <c r="S781" s="181">
        <f>STDEV(F783:N783)</f>
        <v>97.111780953702947</v>
      </c>
      <c r="T781" s="208" t="str">
        <f>IF(N782="","",IF(Q781&gt;3650,IF(R781&lt;7,IF(Q781&lt;4450,"Pass","Fail"),"Fail"),"Fail"))</f>
        <v>Pass</v>
      </c>
      <c r="U781" s="220">
        <v>74</v>
      </c>
      <c r="V781" s="33"/>
      <c r="X781" s="184">
        <v>3650</v>
      </c>
      <c r="Y781" s="184">
        <v>4450</v>
      </c>
      <c r="Z781" s="184">
        <v>3700</v>
      </c>
      <c r="AA781" s="184">
        <v>4100</v>
      </c>
      <c r="AB781" s="57">
        <v>6.5</v>
      </c>
      <c r="AC781" s="57">
        <v>7</v>
      </c>
    </row>
    <row r="782" spans="1:29" x14ac:dyDescent="0.25">
      <c r="A782" s="272"/>
      <c r="B782" s="47"/>
      <c r="C782" s="24"/>
      <c r="D782" s="24"/>
      <c r="E782" s="88" t="s">
        <v>193</v>
      </c>
      <c r="F782" s="33">
        <v>3190.58</v>
      </c>
      <c r="G782" s="33">
        <v>3035.89</v>
      </c>
      <c r="H782" s="33">
        <v>3053.67</v>
      </c>
      <c r="I782" s="33">
        <v>3034.87</v>
      </c>
      <c r="J782" s="33">
        <v>3223.27</v>
      </c>
      <c r="K782" s="33">
        <v>3292.45</v>
      </c>
      <c r="L782" s="33">
        <v>3071.3</v>
      </c>
      <c r="M782" s="33">
        <v>3031.37</v>
      </c>
      <c r="N782" s="33">
        <v>3181.55</v>
      </c>
      <c r="O782" s="88"/>
      <c r="P782" s="88"/>
      <c r="Q782" s="89"/>
      <c r="R782" s="89"/>
      <c r="S782" s="210"/>
      <c r="T782" s="28"/>
      <c r="U782" s="217"/>
      <c r="V782" s="33"/>
      <c r="X782" s="184">
        <v>3650</v>
      </c>
      <c r="Y782" s="184">
        <v>4450</v>
      </c>
      <c r="Z782" s="184">
        <v>3700</v>
      </c>
      <c r="AA782" s="184">
        <v>4100</v>
      </c>
      <c r="AB782" s="57">
        <v>6.5</v>
      </c>
      <c r="AC782" s="57">
        <v>7</v>
      </c>
    </row>
    <row r="783" spans="1:29" ht="22.75" thickBot="1" x14ac:dyDescent="0.3">
      <c r="A783" s="272"/>
      <c r="B783" s="47"/>
      <c r="C783" s="24"/>
      <c r="D783" s="24"/>
      <c r="E783" s="88" t="s">
        <v>194</v>
      </c>
      <c r="F783" s="66">
        <f t="shared" ref="F783:N783" si="257">IF(((F781="")*AND(F782="")),"",(F781-F782)*2)</f>
        <v>3655.5200000000004</v>
      </c>
      <c r="G783" s="66">
        <f t="shared" si="257"/>
        <v>3802.8</v>
      </c>
      <c r="H783" s="66">
        <f t="shared" si="257"/>
        <v>3829.26</v>
      </c>
      <c r="I783" s="66">
        <f t="shared" si="257"/>
        <v>3816.1000000000004</v>
      </c>
      <c r="J783" s="66">
        <f t="shared" si="257"/>
        <v>3683.12</v>
      </c>
      <c r="K783" s="66">
        <f t="shared" si="257"/>
        <v>3564.76</v>
      </c>
      <c r="L783" s="66">
        <f t="shared" si="257"/>
        <v>3797.0200000000004</v>
      </c>
      <c r="M783" s="66">
        <f t="shared" si="257"/>
        <v>3854.1399999999994</v>
      </c>
      <c r="N783" s="66">
        <f t="shared" si="257"/>
        <v>3787.66</v>
      </c>
      <c r="O783" s="88"/>
      <c r="P783" s="88"/>
      <c r="Q783" s="89"/>
      <c r="R783" s="89"/>
      <c r="S783" s="210"/>
      <c r="T783" s="28"/>
      <c r="U783" s="217"/>
      <c r="V783" s="33"/>
      <c r="X783" s="186"/>
      <c r="Y783" s="186"/>
      <c r="Z783" s="186"/>
      <c r="AA783" s="186"/>
    </row>
    <row r="784" spans="1:29" x14ac:dyDescent="0.25">
      <c r="A784" s="271">
        <v>43460</v>
      </c>
      <c r="B784" s="24" t="s">
        <v>172</v>
      </c>
      <c r="C784" s="24" t="s">
        <v>174</v>
      </c>
      <c r="D784" s="24" t="s">
        <v>195</v>
      </c>
      <c r="E784" s="88" t="s">
        <v>192</v>
      </c>
      <c r="F784" s="33">
        <v>1264.92</v>
      </c>
      <c r="G784" s="33">
        <v>1234.75</v>
      </c>
      <c r="H784" s="33">
        <v>1225.06</v>
      </c>
      <c r="I784" s="33">
        <v>1228.19</v>
      </c>
      <c r="J784" s="33">
        <v>1249.06</v>
      </c>
      <c r="K784" s="33">
        <v>1256.24</v>
      </c>
      <c r="L784" s="33">
        <v>1227.31</v>
      </c>
      <c r="M784" s="33">
        <v>1235.0899999999999</v>
      </c>
      <c r="N784" s="33">
        <v>1261.07</v>
      </c>
      <c r="O784" s="88">
        <f>IF((N785=""),"",MAX(F786:N786))</f>
        <v>2057.34</v>
      </c>
      <c r="P784" s="88">
        <f>IF(N785="","",MIN(F786:N786))</f>
        <v>1938.8999999999999</v>
      </c>
      <c r="Q784" s="89">
        <f>IF((N786=""),"",AVERAGE(F786:N786))</f>
        <v>1993.5033333333331</v>
      </c>
      <c r="R784" s="89">
        <f>IF((N785=""),"",(O784-P784)/(O784+P784)*100)</f>
        <v>2.9637859588012803</v>
      </c>
      <c r="S784" s="210">
        <f>STDEV(F786:N786)</f>
        <v>36.008559746260381</v>
      </c>
      <c r="T784" s="23" t="str">
        <f>IF(N785="","",IF(Q784&gt;1940,IF(R784&lt;8.3,IF(Q784&lt;2180,"Pass","Fail"),"Fail"),"Fail"))</f>
        <v>Pass</v>
      </c>
      <c r="U784" s="220">
        <v>74</v>
      </c>
      <c r="V784" s="33"/>
      <c r="X784" s="184">
        <v>2000</v>
      </c>
      <c r="Y784" s="184">
        <v>3000</v>
      </c>
      <c r="Z784" s="184">
        <v>1940</v>
      </c>
      <c r="AA784" s="184">
        <v>2180</v>
      </c>
      <c r="AB784" s="57">
        <v>5.2</v>
      </c>
    </row>
    <row r="785" spans="1:29" x14ac:dyDescent="0.25">
      <c r="A785" s="272"/>
      <c r="B785" s="47"/>
      <c r="C785" s="24"/>
      <c r="D785" s="24"/>
      <c r="E785" s="88" t="s">
        <v>193</v>
      </c>
      <c r="F785" s="33">
        <v>579.14</v>
      </c>
      <c r="G785" s="33">
        <v>561.74</v>
      </c>
      <c r="H785" s="33">
        <v>562.63</v>
      </c>
      <c r="I785" s="33">
        <v>569.30999999999995</v>
      </c>
      <c r="J785" s="33">
        <v>602.76</v>
      </c>
      <c r="K785" s="33">
        <v>592.24</v>
      </c>
      <c r="L785" s="33">
        <v>572.33000000000004</v>
      </c>
      <c r="M785" s="33">
        <v>558.85</v>
      </c>
      <c r="N785" s="33">
        <v>602.17999999999995</v>
      </c>
      <c r="O785" s="88"/>
      <c r="P785" s="88"/>
      <c r="Q785" s="89"/>
      <c r="R785" s="89"/>
      <c r="S785" s="210"/>
      <c r="T785" s="23"/>
      <c r="U785" s="211"/>
      <c r="V785" s="33"/>
      <c r="X785" s="186"/>
      <c r="Y785" s="186"/>
      <c r="Z785" s="186"/>
      <c r="AA785" s="186"/>
    </row>
    <row r="786" spans="1:29" ht="13.3" thickBot="1" x14ac:dyDescent="0.3">
      <c r="A786" s="272"/>
      <c r="B786" s="47"/>
      <c r="C786" s="24"/>
      <c r="D786" s="24"/>
      <c r="E786" s="88" t="s">
        <v>196</v>
      </c>
      <c r="F786" s="66">
        <f t="shared" ref="F786:N786" si="258">IF(((F784="")*AND(F785="")),"",(F784-F785)*3)</f>
        <v>2057.34</v>
      </c>
      <c r="G786" s="66">
        <f t="shared" si="258"/>
        <v>2019.03</v>
      </c>
      <c r="H786" s="66">
        <f t="shared" si="258"/>
        <v>1987.29</v>
      </c>
      <c r="I786" s="66">
        <f t="shared" si="258"/>
        <v>1976.6400000000003</v>
      </c>
      <c r="J786" s="66">
        <f t="shared" si="258"/>
        <v>1938.8999999999999</v>
      </c>
      <c r="K786" s="66">
        <f t="shared" si="258"/>
        <v>1992</v>
      </c>
      <c r="L786" s="66">
        <f t="shared" si="258"/>
        <v>1964.9399999999996</v>
      </c>
      <c r="M786" s="66">
        <f t="shared" si="258"/>
        <v>2028.7199999999998</v>
      </c>
      <c r="N786" s="66">
        <f t="shared" si="258"/>
        <v>1976.67</v>
      </c>
      <c r="O786" s="88"/>
      <c r="P786" s="88"/>
      <c r="Q786" s="89"/>
      <c r="R786" s="89"/>
      <c r="S786" s="210"/>
      <c r="T786" s="23"/>
      <c r="U786" s="211"/>
      <c r="V786" s="33"/>
      <c r="X786" s="186"/>
      <c r="Y786" s="186"/>
      <c r="Z786" s="186"/>
      <c r="AA786" s="186"/>
    </row>
    <row r="787" spans="1:29" x14ac:dyDescent="0.25">
      <c r="A787" s="271">
        <v>43460</v>
      </c>
      <c r="B787" s="47" t="s">
        <v>191</v>
      </c>
      <c r="C787" s="24" t="s">
        <v>176</v>
      </c>
      <c r="D787" s="24" t="s">
        <v>175</v>
      </c>
      <c r="E787" s="88" t="s">
        <v>192</v>
      </c>
      <c r="F787" s="33">
        <v>27534.17</v>
      </c>
      <c r="G787" s="33">
        <v>27573.27</v>
      </c>
      <c r="H787" s="33">
        <v>27665.85</v>
      </c>
      <c r="I787" s="33">
        <v>27608.21</v>
      </c>
      <c r="J787" s="33">
        <v>27588.54</v>
      </c>
      <c r="K787" s="33">
        <v>27633.94</v>
      </c>
      <c r="L787" s="33">
        <v>27599.279999999999</v>
      </c>
      <c r="M787" s="33">
        <v>27596.79</v>
      </c>
      <c r="N787" s="33">
        <v>27556.52</v>
      </c>
      <c r="O787" s="88">
        <f>IF((N788=""),"",MAX(F789:N789))</f>
        <v>4449.6299999999974</v>
      </c>
      <c r="P787" s="88">
        <f>IF(N788="","",MIN(F789:N789))</f>
        <v>3885.7799999999952</v>
      </c>
      <c r="Q787" s="89">
        <f>IF((N789=""),"",AVERAGE(F789:N789))</f>
        <v>4131.3133333333317</v>
      </c>
      <c r="R787" s="89">
        <f>IF((N788=""),"",(O787-P787)/(O787+P787)*100)</f>
        <v>6.7645142830406986</v>
      </c>
      <c r="S787" s="210">
        <f>STDEV(F789:N789)</f>
        <v>210.09872720937651</v>
      </c>
      <c r="T787" s="23" t="str">
        <f>IF(N788="","",IF(R787&lt;16,IF(Q787&gt;3200,IF(R787,IF(Q787&lt;5240,"Pass","Fail"),"Fail"),"Fail")))</f>
        <v>Pass</v>
      </c>
      <c r="U787" s="220">
        <v>74</v>
      </c>
      <c r="V787" s="33"/>
      <c r="X787" s="184">
        <v>4200</v>
      </c>
      <c r="Y787" s="184">
        <v>5500</v>
      </c>
      <c r="Z787" s="184">
        <v>3200</v>
      </c>
      <c r="AA787" s="184">
        <v>5240</v>
      </c>
      <c r="AB787" s="57">
        <v>16</v>
      </c>
    </row>
    <row r="788" spans="1:29" x14ac:dyDescent="0.25">
      <c r="A788" s="272"/>
      <c r="B788" s="47"/>
      <c r="C788" s="24"/>
      <c r="D788" s="24"/>
      <c r="E788" s="88" t="s">
        <v>193</v>
      </c>
      <c r="F788" s="33">
        <v>26076.77</v>
      </c>
      <c r="G788" s="33">
        <v>26229.19</v>
      </c>
      <c r="H788" s="33">
        <v>26370.59</v>
      </c>
      <c r="I788" s="33">
        <v>26298.33</v>
      </c>
      <c r="J788" s="33">
        <v>26175.34</v>
      </c>
      <c r="K788" s="33">
        <v>26203.89</v>
      </c>
      <c r="L788" s="33">
        <v>26288.34</v>
      </c>
      <c r="M788" s="33">
        <v>26246.87</v>
      </c>
      <c r="N788" s="33">
        <v>26073.31</v>
      </c>
      <c r="O788" s="88"/>
      <c r="P788" s="88"/>
      <c r="Q788" s="89"/>
      <c r="R788" s="89"/>
      <c r="S788" s="210"/>
      <c r="T788" s="23"/>
      <c r="U788" s="211"/>
      <c r="V788" s="33"/>
      <c r="X788" s="186"/>
      <c r="Y788" s="186"/>
      <c r="Z788" s="186"/>
      <c r="AA788" s="186"/>
    </row>
    <row r="789" spans="1:29" ht="22.75" thickBot="1" x14ac:dyDescent="0.3">
      <c r="A789" s="272"/>
      <c r="B789" s="90"/>
      <c r="C789" s="91"/>
      <c r="D789" s="91"/>
      <c r="E789" s="92" t="s">
        <v>194</v>
      </c>
      <c r="F789" s="79">
        <f t="shared" ref="F789:N789" si="259">IF(((F787="")*AND(F788="")),"",(F787-F788)*3)</f>
        <v>4372.1999999999935</v>
      </c>
      <c r="G789" s="79">
        <f t="shared" si="259"/>
        <v>4032.2400000000052</v>
      </c>
      <c r="H789" s="79">
        <f t="shared" si="259"/>
        <v>3885.7799999999952</v>
      </c>
      <c r="I789" s="79">
        <f t="shared" si="259"/>
        <v>3929.6399999999921</v>
      </c>
      <c r="J789" s="79">
        <f t="shared" si="259"/>
        <v>4239.6000000000022</v>
      </c>
      <c r="K789" s="79">
        <f t="shared" si="259"/>
        <v>4290.1499999999978</v>
      </c>
      <c r="L789" s="79">
        <f t="shared" si="259"/>
        <v>3932.8199999999961</v>
      </c>
      <c r="M789" s="79">
        <f t="shared" si="259"/>
        <v>4049.7600000000057</v>
      </c>
      <c r="N789" s="79">
        <f t="shared" si="259"/>
        <v>4449.6299999999974</v>
      </c>
      <c r="O789" s="92"/>
      <c r="P789" s="92"/>
      <c r="Q789" s="93"/>
      <c r="R789" s="93"/>
      <c r="S789" s="213"/>
      <c r="T789" s="214"/>
      <c r="U789" s="215"/>
      <c r="V789" s="33"/>
      <c r="X789" s="186"/>
      <c r="Y789" s="186"/>
      <c r="Z789" s="186"/>
      <c r="AA789" s="186"/>
    </row>
    <row r="790" spans="1:29" x14ac:dyDescent="0.25">
      <c r="A790" s="271">
        <v>43465</v>
      </c>
      <c r="B790" s="63" t="s">
        <v>177</v>
      </c>
      <c r="C790" s="65" t="s">
        <v>179</v>
      </c>
      <c r="D790" s="65" t="s">
        <v>178</v>
      </c>
      <c r="E790" s="67" t="s">
        <v>192</v>
      </c>
      <c r="F790" s="33">
        <v>3197.81</v>
      </c>
      <c r="G790" s="33">
        <v>3042.46</v>
      </c>
      <c r="H790" s="33">
        <v>3060.52</v>
      </c>
      <c r="I790" s="33">
        <v>3041.89</v>
      </c>
      <c r="J790" s="33">
        <v>3231.15</v>
      </c>
      <c r="K790" s="33">
        <v>3300.36</v>
      </c>
      <c r="L790" s="33">
        <v>3078.05</v>
      </c>
      <c r="M790" s="33">
        <v>3038.16</v>
      </c>
      <c r="N790" s="33">
        <v>3189.25</v>
      </c>
      <c r="O790" s="86">
        <f>IF((N791=""),"",MAX(F792:N792))</f>
        <v>3834.24</v>
      </c>
      <c r="P790" s="86">
        <f>IF(N791="","",MIN(F792:N792))</f>
        <v>3628.26</v>
      </c>
      <c r="Q790" s="87">
        <f>IF((N792=""),"",AVERAGE(F792:N792))</f>
        <v>3771.1600000000003</v>
      </c>
      <c r="R790" s="87">
        <f>IF((N791=""),"",(O790-P790)/(O790+P790)*100)</f>
        <v>2.7602010050251198</v>
      </c>
      <c r="S790" s="181">
        <f>STDEV(F792:N792)</f>
        <v>70.735963271874624</v>
      </c>
      <c r="T790" s="208" t="str">
        <f>IF(N791="","",IF(Q790&gt;3650,IF(R790&lt;7,IF(Q790&lt;4450,"Pass","Fail"),"Fail"),"Fail"))</f>
        <v>Pass</v>
      </c>
      <c r="U790" s="220">
        <v>121</v>
      </c>
      <c r="V790" s="33" t="s">
        <v>224</v>
      </c>
      <c r="X790" s="184">
        <v>3650</v>
      </c>
      <c r="Y790" s="184">
        <v>4450</v>
      </c>
      <c r="Z790" s="184">
        <v>3700</v>
      </c>
      <c r="AA790" s="184">
        <v>4100</v>
      </c>
      <c r="AB790" s="57">
        <v>6.5</v>
      </c>
      <c r="AC790" s="57">
        <v>7</v>
      </c>
    </row>
    <row r="791" spans="1:29" x14ac:dyDescent="0.25">
      <c r="A791" s="272"/>
      <c r="B791" s="47"/>
      <c r="C791" s="24"/>
      <c r="D791" s="24"/>
      <c r="E791" s="88" t="s">
        <v>193</v>
      </c>
      <c r="F791" s="33">
        <v>1350.41</v>
      </c>
      <c r="G791" s="33">
        <v>1143.73</v>
      </c>
      <c r="H791" s="33">
        <v>1146.55</v>
      </c>
      <c r="I791" s="33">
        <v>1137.44</v>
      </c>
      <c r="J791" s="33">
        <v>1365.42</v>
      </c>
      <c r="K791" s="33">
        <v>1486.23</v>
      </c>
      <c r="L791" s="33">
        <v>1176.56</v>
      </c>
      <c r="M791" s="33">
        <v>1121.04</v>
      </c>
      <c r="N791" s="33">
        <v>1282.05</v>
      </c>
      <c r="O791" s="88"/>
      <c r="P791" s="88"/>
      <c r="Q791" s="89"/>
      <c r="R791" s="89"/>
      <c r="S791" s="210"/>
      <c r="T791" s="28"/>
      <c r="U791" s="217"/>
      <c r="V791" s="33"/>
      <c r="X791" s="184">
        <v>3650</v>
      </c>
      <c r="Y791" s="184">
        <v>4450</v>
      </c>
      <c r="Z791" s="184">
        <v>3700</v>
      </c>
      <c r="AA791" s="184">
        <v>4100</v>
      </c>
      <c r="AB791" s="57">
        <v>6.5</v>
      </c>
      <c r="AC791" s="57">
        <v>7</v>
      </c>
    </row>
    <row r="792" spans="1:29" ht="22.75" thickBot="1" x14ac:dyDescent="0.3">
      <c r="A792" s="272"/>
      <c r="B792" s="47"/>
      <c r="C792" s="24"/>
      <c r="D792" s="24"/>
      <c r="E792" s="88" t="s">
        <v>194</v>
      </c>
      <c r="F792" s="66">
        <f t="shared" ref="F792:N792" si="260">IF(((F790="")*AND(F791="")),"",(F790-F791)*2)</f>
        <v>3694.7999999999997</v>
      </c>
      <c r="G792" s="66">
        <f t="shared" si="260"/>
        <v>3797.46</v>
      </c>
      <c r="H792" s="66">
        <f t="shared" si="260"/>
        <v>3827.94</v>
      </c>
      <c r="I792" s="66">
        <f t="shared" si="260"/>
        <v>3808.8999999999996</v>
      </c>
      <c r="J792" s="66">
        <f t="shared" si="260"/>
        <v>3731.46</v>
      </c>
      <c r="K792" s="66">
        <f t="shared" si="260"/>
        <v>3628.26</v>
      </c>
      <c r="L792" s="66">
        <f t="shared" si="260"/>
        <v>3802.9800000000005</v>
      </c>
      <c r="M792" s="66">
        <f t="shared" si="260"/>
        <v>3834.24</v>
      </c>
      <c r="N792" s="66">
        <f t="shared" si="260"/>
        <v>3814.4</v>
      </c>
      <c r="O792" s="88"/>
      <c r="P792" s="88"/>
      <c r="Q792" s="89"/>
      <c r="R792" s="89"/>
      <c r="S792" s="210"/>
      <c r="T792" s="28"/>
      <c r="U792" s="217"/>
      <c r="V792" s="33"/>
      <c r="X792" s="186"/>
      <c r="Y792" s="186"/>
      <c r="Z792" s="186"/>
      <c r="AA792" s="186"/>
    </row>
    <row r="793" spans="1:29" x14ac:dyDescent="0.25">
      <c r="A793" s="271">
        <v>43465</v>
      </c>
      <c r="B793" s="24" t="s">
        <v>172</v>
      </c>
      <c r="C793" s="24" t="s">
        <v>174</v>
      </c>
      <c r="D793" s="24" t="s">
        <v>195</v>
      </c>
      <c r="E793" s="88" t="s">
        <v>192</v>
      </c>
      <c r="F793" s="33">
        <v>1281.1600000000001</v>
      </c>
      <c r="G793" s="33">
        <v>1250.76</v>
      </c>
      <c r="H793" s="33">
        <v>1243.26</v>
      </c>
      <c r="I793" s="33">
        <v>1249.0999999999999</v>
      </c>
      <c r="J793" s="33">
        <v>1269.3800000000001</v>
      </c>
      <c r="K793" s="33">
        <v>1279.43</v>
      </c>
      <c r="L793" s="33">
        <v>1246.26</v>
      </c>
      <c r="M793" s="33">
        <v>1254.8699999999999</v>
      </c>
      <c r="N793" s="33">
        <v>1276.83</v>
      </c>
      <c r="O793" s="88">
        <f>IF((N794=""),"",MAX(F795:N795))</f>
        <v>2050.4400000000005</v>
      </c>
      <c r="P793" s="88">
        <f>IF(N794="","",MIN(F795:N795))</f>
        <v>1950.54</v>
      </c>
      <c r="Q793" s="89">
        <f>IF((N795=""),"",AVERAGE(F795:N795))</f>
        <v>1998.5366666666669</v>
      </c>
      <c r="R793" s="89">
        <f>IF((N794=""),"",(O793-P793)/(O793+P793)*100)</f>
        <v>2.4968882623757316</v>
      </c>
      <c r="S793" s="210">
        <f>STDEV(F795:N795)</f>
        <v>32.020241254556446</v>
      </c>
      <c r="T793" s="23" t="str">
        <f>IF(N794="","",IF(Q793&gt;1940,IF(R793&lt;8.3,IF(Q793&lt;2180,"Pass","Fail"),"Fail"),"Fail"))</f>
        <v>Pass</v>
      </c>
      <c r="U793" s="220">
        <v>121</v>
      </c>
      <c r="V793" s="33" t="s">
        <v>224</v>
      </c>
      <c r="X793" s="184">
        <v>2000</v>
      </c>
      <c r="Y793" s="184">
        <v>3000</v>
      </c>
      <c r="Z793" s="184">
        <v>1940</v>
      </c>
      <c r="AA793" s="184">
        <v>2180</v>
      </c>
      <c r="AB793" s="57">
        <v>5.2</v>
      </c>
    </row>
    <row r="794" spans="1:29" x14ac:dyDescent="0.25">
      <c r="A794" s="272"/>
      <c r="B794" s="47"/>
      <c r="C794" s="24"/>
      <c r="D794" s="24"/>
      <c r="E794" s="88" t="s">
        <v>193</v>
      </c>
      <c r="F794" s="33">
        <v>597.67999999999995</v>
      </c>
      <c r="G794" s="33">
        <v>583.76</v>
      </c>
      <c r="H794" s="33">
        <v>577.79999999999995</v>
      </c>
      <c r="I794" s="33">
        <v>585.91</v>
      </c>
      <c r="J794" s="33">
        <v>616.38</v>
      </c>
      <c r="K794" s="33">
        <v>614.07000000000005</v>
      </c>
      <c r="L794" s="33">
        <v>596.08000000000004</v>
      </c>
      <c r="M794" s="33">
        <v>575.89</v>
      </c>
      <c r="N794" s="33">
        <v>607.87</v>
      </c>
      <c r="O794" s="88"/>
      <c r="P794" s="88"/>
      <c r="Q794" s="89"/>
      <c r="R794" s="89"/>
      <c r="S794" s="210"/>
      <c r="T794" s="23"/>
      <c r="U794" s="211"/>
      <c r="V794" s="33"/>
      <c r="X794" s="186"/>
      <c r="Y794" s="186"/>
      <c r="Z794" s="186"/>
      <c r="AA794" s="186"/>
    </row>
    <row r="795" spans="1:29" ht="26.6" customHeight="1" thickBot="1" x14ac:dyDescent="0.3">
      <c r="A795" s="272"/>
      <c r="B795" s="47"/>
      <c r="C795" s="24"/>
      <c r="D795" s="24"/>
      <c r="E795" s="88" t="s">
        <v>196</v>
      </c>
      <c r="F795" s="66">
        <f t="shared" ref="F795:N795" si="261">IF(((F793="")*AND(F794="")),"",(F793-F794)*3)</f>
        <v>2050.4400000000005</v>
      </c>
      <c r="G795" s="66">
        <f t="shared" si="261"/>
        <v>2001</v>
      </c>
      <c r="H795" s="66">
        <f t="shared" si="261"/>
        <v>1996.38</v>
      </c>
      <c r="I795" s="66">
        <f t="shared" si="261"/>
        <v>1989.5699999999997</v>
      </c>
      <c r="J795" s="66">
        <f t="shared" si="261"/>
        <v>1959.0000000000005</v>
      </c>
      <c r="K795" s="66">
        <f t="shared" si="261"/>
        <v>1996.08</v>
      </c>
      <c r="L795" s="66">
        <f t="shared" si="261"/>
        <v>1950.54</v>
      </c>
      <c r="M795" s="66">
        <f t="shared" si="261"/>
        <v>2036.9399999999996</v>
      </c>
      <c r="N795" s="66">
        <f t="shared" si="261"/>
        <v>2006.8799999999997</v>
      </c>
      <c r="O795" s="88"/>
      <c r="P795" s="88"/>
      <c r="Q795" s="89"/>
      <c r="R795" s="89"/>
      <c r="S795" s="210"/>
      <c r="T795" s="23"/>
      <c r="U795" s="211"/>
      <c r="V795" s="33"/>
      <c r="X795" s="186"/>
      <c r="Y795" s="186"/>
      <c r="Z795" s="186"/>
      <c r="AA795" s="186"/>
    </row>
    <row r="796" spans="1:29" x14ac:dyDescent="0.25">
      <c r="A796" s="271">
        <v>43465</v>
      </c>
      <c r="B796" s="47" t="s">
        <v>191</v>
      </c>
      <c r="C796" s="24" t="s">
        <v>176</v>
      </c>
      <c r="D796" s="24" t="s">
        <v>175</v>
      </c>
      <c r="E796" s="88" t="s">
        <v>192</v>
      </c>
      <c r="F796" s="33">
        <v>26036.93</v>
      </c>
      <c r="G796" s="33">
        <v>26219.77</v>
      </c>
      <c r="H796" s="33">
        <v>26322.240000000002</v>
      </c>
      <c r="I796" s="33">
        <v>26248.32</v>
      </c>
      <c r="J796" s="33">
        <v>26149.84</v>
      </c>
      <c r="K796" s="33">
        <v>26154.06</v>
      </c>
      <c r="L796" s="33">
        <v>26249.54</v>
      </c>
      <c r="M796" s="33">
        <v>26216.44</v>
      </c>
      <c r="N796" s="33">
        <v>26016.959999999999</v>
      </c>
      <c r="O796" s="88">
        <f>IF((N797=""),"",MAX(F798:N798))</f>
        <v>4442.5200000000004</v>
      </c>
      <c r="P796" s="88">
        <f>IF(N797="","",MIN(F798:N798))</f>
        <v>3870.7200000000048</v>
      </c>
      <c r="Q796" s="89">
        <f>IF((N798=""),"",AVERAGE(F798:N798))</f>
        <v>4177.7000000000007</v>
      </c>
      <c r="R796" s="89">
        <f>IF((N797=""),"",(O796-P796)/(O796+P796)*100)</f>
        <v>6.8781846788977017</v>
      </c>
      <c r="S796" s="210">
        <f>STDEV(F798:N798)</f>
        <v>214.11617004560765</v>
      </c>
      <c r="T796" s="23" t="str">
        <f>IF(N797="","",IF(R796&lt;16,IF(Q796&gt;3200,IF(R796,IF(Q796&lt;5240,"Pass","Fail"),"Fail"),"Fail")))</f>
        <v>Pass</v>
      </c>
      <c r="U796" s="220">
        <v>121</v>
      </c>
      <c r="V796" s="33" t="s">
        <v>224</v>
      </c>
      <c r="X796" s="184">
        <v>4200</v>
      </c>
      <c r="Y796" s="184">
        <v>5500</v>
      </c>
      <c r="Z796" s="184">
        <v>3200</v>
      </c>
      <c r="AA796" s="184">
        <v>5240</v>
      </c>
      <c r="AB796" s="57">
        <v>16</v>
      </c>
    </row>
    <row r="797" spans="1:29" x14ac:dyDescent="0.25">
      <c r="A797" s="272"/>
      <c r="B797" s="47"/>
      <c r="C797" s="24"/>
      <c r="D797" s="24"/>
      <c r="E797" s="88" t="s">
        <v>193</v>
      </c>
      <c r="F797" s="33">
        <v>24575</v>
      </c>
      <c r="G797" s="33">
        <v>24866</v>
      </c>
      <c r="H797" s="33">
        <v>25032</v>
      </c>
      <c r="I797" s="199">
        <v>24945</v>
      </c>
      <c r="J797" s="199">
        <v>24669</v>
      </c>
      <c r="K797" s="199">
        <v>24721</v>
      </c>
      <c r="L797" s="199">
        <v>24906</v>
      </c>
      <c r="M797" s="199">
        <v>24804</v>
      </c>
      <c r="N797" s="199">
        <v>24563</v>
      </c>
      <c r="O797" s="88"/>
      <c r="P797" s="88"/>
      <c r="Q797" s="89"/>
      <c r="R797" s="89"/>
      <c r="S797" s="210"/>
      <c r="T797" s="23"/>
      <c r="U797" s="211"/>
      <c r="V797" s="33"/>
      <c r="X797" s="186"/>
      <c r="Y797" s="186"/>
      <c r="Z797" s="186"/>
      <c r="AA797" s="186"/>
    </row>
    <row r="798" spans="1:29" ht="22.75" thickBot="1" x14ac:dyDescent="0.3">
      <c r="A798" s="272"/>
      <c r="B798" s="90"/>
      <c r="C798" s="91"/>
      <c r="D798" s="91"/>
      <c r="E798" s="92" t="s">
        <v>194</v>
      </c>
      <c r="F798" s="79">
        <f t="shared" ref="F798:N798" si="262">IF(((F796="")*AND(F797="")),"",(F796-F797)*3)</f>
        <v>4385.7900000000009</v>
      </c>
      <c r="G798" s="79">
        <f t="shared" si="262"/>
        <v>4061.3100000000013</v>
      </c>
      <c r="H798" s="79">
        <f t="shared" si="262"/>
        <v>3870.7200000000048</v>
      </c>
      <c r="I798" s="79">
        <f t="shared" si="262"/>
        <v>3909.9599999999991</v>
      </c>
      <c r="J798" s="79">
        <f t="shared" si="262"/>
        <v>4442.5200000000004</v>
      </c>
      <c r="K798" s="79">
        <f t="shared" si="262"/>
        <v>4299.1800000000039</v>
      </c>
      <c r="L798" s="79">
        <f t="shared" si="262"/>
        <v>4030.6200000000026</v>
      </c>
      <c r="M798" s="79">
        <f t="shared" si="262"/>
        <v>4237.3199999999961</v>
      </c>
      <c r="N798" s="79">
        <f t="shared" si="262"/>
        <v>4361.8799999999974</v>
      </c>
      <c r="O798" s="92"/>
      <c r="P798" s="92"/>
      <c r="Q798" s="93"/>
      <c r="R798" s="93"/>
      <c r="S798" s="213"/>
      <c r="T798" s="214"/>
      <c r="U798" s="215"/>
      <c r="V798" s="33"/>
      <c r="X798" s="186"/>
      <c r="Y798" s="186"/>
      <c r="Z798" s="186"/>
      <c r="AA798" s="186"/>
    </row>
    <row r="799" spans="1:29" x14ac:dyDescent="0.25">
      <c r="A799" s="271">
        <v>43476</v>
      </c>
      <c r="B799" s="63" t="s">
        <v>177</v>
      </c>
      <c r="C799" s="65" t="s">
        <v>179</v>
      </c>
      <c r="D799" s="65" t="s">
        <v>178</v>
      </c>
      <c r="E799" s="67" t="s">
        <v>192</v>
      </c>
      <c r="F799" s="33">
        <v>6939.81</v>
      </c>
      <c r="G799" s="33">
        <v>6922.94</v>
      </c>
      <c r="H799" s="33">
        <v>6939.67</v>
      </c>
      <c r="I799" s="33">
        <v>6890.16</v>
      </c>
      <c r="J799" s="33">
        <v>6970.1</v>
      </c>
      <c r="K799" s="33">
        <v>6913.96</v>
      </c>
      <c r="L799" s="33">
        <v>6895.81</v>
      </c>
      <c r="M799" s="33">
        <v>6925.93</v>
      </c>
      <c r="N799" s="33">
        <v>7019.46</v>
      </c>
      <c r="O799" s="86">
        <f>IF((N800=""),"",MAX(F801:N801))</f>
        <v>3749.1400000000012</v>
      </c>
      <c r="P799" s="86">
        <f>IF(N800="","",MIN(F801:N801))</f>
        <v>3473.2000000000007</v>
      </c>
      <c r="Q799" s="87">
        <f>IF((N801=""),"",AVERAGE(F801:N801))</f>
        <v>3653.4066666666672</v>
      </c>
      <c r="R799" s="87">
        <f>IF((N800=""),"",(O799-P799)/(O799+P799)*100)</f>
        <v>3.8206453863983199</v>
      </c>
      <c r="S799" s="181">
        <f>STDEV(F801:N801)</f>
        <v>91.456127186755424</v>
      </c>
      <c r="T799" s="208" t="str">
        <f>IF(N800="","",IF(Q799&gt;3650,IF(R799&lt;7,IF(Q799&lt;4450,"Pass","Fail"),"Fail"),"Fail"))</f>
        <v>Pass</v>
      </c>
      <c r="U799" s="220">
        <v>74</v>
      </c>
      <c r="V799" s="198"/>
      <c r="W799" s="33"/>
      <c r="X799" s="184">
        <v>3650</v>
      </c>
      <c r="Y799" s="184">
        <v>4450</v>
      </c>
      <c r="Z799" s="184">
        <v>3700</v>
      </c>
      <c r="AA799" s="184">
        <v>4100</v>
      </c>
      <c r="AB799" s="57">
        <v>6.5</v>
      </c>
      <c r="AC799" s="57">
        <v>7</v>
      </c>
    </row>
    <row r="800" spans="1:29" x14ac:dyDescent="0.25">
      <c r="A800" s="272"/>
      <c r="B800" s="47"/>
      <c r="C800" s="24"/>
      <c r="D800" s="24"/>
      <c r="E800" s="88" t="s">
        <v>193</v>
      </c>
      <c r="F800" s="33">
        <v>5155.21</v>
      </c>
      <c r="G800" s="33">
        <v>5070.25</v>
      </c>
      <c r="H800" s="33">
        <v>5075.22</v>
      </c>
      <c r="I800" s="33">
        <v>5036.9399999999996</v>
      </c>
      <c r="J800" s="33">
        <v>5179.3100000000004</v>
      </c>
      <c r="K800" s="33">
        <v>5177.3599999999997</v>
      </c>
      <c r="L800" s="33">
        <v>5052.92</v>
      </c>
      <c r="M800" s="33">
        <v>5051.3599999999997</v>
      </c>
      <c r="N800" s="33">
        <v>5178.9399999999996</v>
      </c>
      <c r="O800" s="88"/>
      <c r="P800" s="88"/>
      <c r="Q800" s="89"/>
      <c r="R800" s="89"/>
      <c r="S800" s="210"/>
      <c r="T800" s="28"/>
      <c r="U800" s="217"/>
      <c r="V800" s="198"/>
      <c r="W800" s="33"/>
      <c r="X800" s="186"/>
      <c r="Y800" s="186"/>
      <c r="Z800" s="186"/>
      <c r="AA800" s="186"/>
    </row>
    <row r="801" spans="1:29" ht="22.75" thickBot="1" x14ac:dyDescent="0.3">
      <c r="A801" s="272"/>
      <c r="B801" s="47"/>
      <c r="C801" s="24"/>
      <c r="D801" s="24"/>
      <c r="E801" s="88" t="s">
        <v>194</v>
      </c>
      <c r="F801" s="66">
        <f t="shared" ref="F801:N801" si="263">IF(((F799="")*AND(F800="")),"",(F799-F800)*2)</f>
        <v>3569.2000000000007</v>
      </c>
      <c r="G801" s="66">
        <f t="shared" si="263"/>
        <v>3705.3799999999992</v>
      </c>
      <c r="H801" s="66">
        <f t="shared" si="263"/>
        <v>3728.8999999999996</v>
      </c>
      <c r="I801" s="66">
        <f t="shared" si="263"/>
        <v>3706.4400000000005</v>
      </c>
      <c r="J801" s="66">
        <f t="shared" si="263"/>
        <v>3581.58</v>
      </c>
      <c r="K801" s="66">
        <f t="shared" si="263"/>
        <v>3473.2000000000007</v>
      </c>
      <c r="L801" s="66">
        <f t="shared" si="263"/>
        <v>3685.7800000000007</v>
      </c>
      <c r="M801" s="66">
        <f t="shared" si="263"/>
        <v>3749.1400000000012</v>
      </c>
      <c r="N801" s="66">
        <f t="shared" si="263"/>
        <v>3681.0400000000009</v>
      </c>
      <c r="O801" s="88"/>
      <c r="P801" s="88"/>
      <c r="Q801" s="89"/>
      <c r="R801" s="89"/>
      <c r="S801" s="210"/>
      <c r="T801" s="28"/>
      <c r="U801" s="217"/>
      <c r="V801" s="198"/>
      <c r="W801" s="33"/>
      <c r="X801" s="186"/>
      <c r="Y801" s="186"/>
      <c r="Z801" s="186"/>
      <c r="AA801" s="186"/>
    </row>
    <row r="802" spans="1:29" x14ac:dyDescent="0.25">
      <c r="A802" s="271">
        <v>43477</v>
      </c>
      <c r="B802" s="24" t="s">
        <v>172</v>
      </c>
      <c r="C802" s="24" t="s">
        <v>174</v>
      </c>
      <c r="D802" s="24" t="s">
        <v>195</v>
      </c>
      <c r="E802" s="88" t="s">
        <v>192</v>
      </c>
      <c r="F802" s="33">
        <v>1922.45</v>
      </c>
      <c r="G802" s="33">
        <v>1919.41</v>
      </c>
      <c r="H802" s="33">
        <v>1915.35</v>
      </c>
      <c r="I802" s="33">
        <v>1919.27</v>
      </c>
      <c r="J802" s="33">
        <v>1928.33</v>
      </c>
      <c r="K802" s="33">
        <v>1925.87</v>
      </c>
      <c r="L802" s="33">
        <v>1917.61</v>
      </c>
      <c r="M802" s="33">
        <v>1920.38</v>
      </c>
      <c r="N802" s="33">
        <v>1923.01</v>
      </c>
      <c r="O802" s="88">
        <f>IF((N803=""),"",MAX(F804:N804))</f>
        <v>2001.9899999999998</v>
      </c>
      <c r="P802" s="88">
        <f>IF(N803="","",MIN(F804:N804))</f>
        <v>1945.0799999999997</v>
      </c>
      <c r="Q802" s="89">
        <f>IF((N804=""),"",AVERAGE(F804:N804))</f>
        <v>1974.0133333333335</v>
      </c>
      <c r="R802" s="89">
        <f>IF((N803=""),"",(O802-P802)/(O802+P802)*100)</f>
        <v>1.4418290022725739</v>
      </c>
      <c r="S802" s="210">
        <f>STDEV(F804:N804)</f>
        <v>18.393927666488231</v>
      </c>
      <c r="T802" s="23" t="str">
        <f>IF(N803="","",IF(Q802&gt;1940,IF(R802&lt;8.3,IF(Q802&lt;2180,"Pass","Fail"),"Fail"),"Fail"))</f>
        <v>Pass</v>
      </c>
      <c r="U802" s="220">
        <v>74</v>
      </c>
      <c r="V802" s="198"/>
      <c r="W802" s="33"/>
      <c r="X802" s="184">
        <v>2000</v>
      </c>
      <c r="Y802" s="184">
        <v>3000</v>
      </c>
      <c r="Z802" s="184">
        <v>1940</v>
      </c>
      <c r="AA802" s="184">
        <v>2180</v>
      </c>
      <c r="AB802" s="57">
        <v>5.2</v>
      </c>
    </row>
    <row r="803" spans="1:29" x14ac:dyDescent="0.25">
      <c r="A803" s="272"/>
      <c r="B803" s="47"/>
      <c r="C803" s="24"/>
      <c r="D803" s="24"/>
      <c r="E803" s="88" t="s">
        <v>193</v>
      </c>
      <c r="F803" s="33">
        <v>1258.3599999999999</v>
      </c>
      <c r="G803" s="33">
        <v>1262.26</v>
      </c>
      <c r="H803" s="33">
        <v>1266.99</v>
      </c>
      <c r="I803" s="33">
        <v>1262.5999999999999</v>
      </c>
      <c r="J803" s="33">
        <v>1266.17</v>
      </c>
      <c r="K803" s="33">
        <v>1258.54</v>
      </c>
      <c r="L803" s="33">
        <v>1265.06</v>
      </c>
      <c r="M803" s="33">
        <v>1259.54</v>
      </c>
      <c r="N803" s="33">
        <v>1270.1199999999999</v>
      </c>
      <c r="O803" s="88"/>
      <c r="P803" s="88"/>
      <c r="Q803" s="89"/>
      <c r="R803" s="89"/>
      <c r="S803" s="210"/>
      <c r="T803" s="23"/>
      <c r="U803" s="211"/>
      <c r="V803" s="246"/>
      <c r="W803" s="33"/>
      <c r="X803" s="186"/>
      <c r="Y803" s="186"/>
      <c r="Z803" s="186"/>
      <c r="AA803" s="186"/>
    </row>
    <row r="804" spans="1:29" ht="13.3" thickBot="1" x14ac:dyDescent="0.3">
      <c r="A804" s="272"/>
      <c r="B804" s="47"/>
      <c r="C804" s="24"/>
      <c r="D804" s="24"/>
      <c r="E804" s="88" t="s">
        <v>196</v>
      </c>
      <c r="F804" s="66">
        <f t="shared" ref="F804:N804" si="264">IF(((F802="")*AND(F803="")),"",(F802-F803)*3)</f>
        <v>1992.2700000000004</v>
      </c>
      <c r="G804" s="66">
        <f t="shared" si="264"/>
        <v>1971.4500000000003</v>
      </c>
      <c r="H804" s="66">
        <f t="shared" si="264"/>
        <v>1945.0799999999997</v>
      </c>
      <c r="I804" s="66">
        <f t="shared" si="264"/>
        <v>1970.0100000000002</v>
      </c>
      <c r="J804" s="66">
        <f t="shared" si="264"/>
        <v>1986.4799999999996</v>
      </c>
      <c r="K804" s="66">
        <f t="shared" si="264"/>
        <v>2001.9899999999998</v>
      </c>
      <c r="L804" s="66">
        <f t="shared" si="264"/>
        <v>1957.6499999999999</v>
      </c>
      <c r="M804" s="66">
        <f t="shared" si="264"/>
        <v>1982.5200000000004</v>
      </c>
      <c r="N804" s="66">
        <f t="shared" si="264"/>
        <v>1958.6700000000003</v>
      </c>
      <c r="O804" s="88"/>
      <c r="P804" s="88"/>
      <c r="Q804" s="89"/>
      <c r="R804" s="89"/>
      <c r="S804" s="210"/>
      <c r="T804" s="23"/>
      <c r="U804" s="211"/>
      <c r="V804" s="246"/>
      <c r="W804" s="33"/>
      <c r="X804" s="186"/>
      <c r="Y804" s="186"/>
      <c r="Z804" s="186"/>
      <c r="AA804" s="186"/>
    </row>
    <row r="805" spans="1:29" x14ac:dyDescent="0.25">
      <c r="A805" s="271">
        <v>43478</v>
      </c>
      <c r="B805" s="47" t="s">
        <v>191</v>
      </c>
      <c r="C805" s="24" t="s">
        <v>176</v>
      </c>
      <c r="D805" s="24" t="s">
        <v>175</v>
      </c>
      <c r="E805" s="88" t="s">
        <v>192</v>
      </c>
      <c r="F805" s="33">
        <v>24543.46</v>
      </c>
      <c r="G805" s="33">
        <v>24833.8</v>
      </c>
      <c r="H805" s="33">
        <v>25004.29</v>
      </c>
      <c r="I805" s="33">
        <v>24879.01</v>
      </c>
      <c r="J805" s="33">
        <v>24614.34</v>
      </c>
      <c r="K805" s="33">
        <v>24643.3</v>
      </c>
      <c r="L805" s="33">
        <v>24831.48</v>
      </c>
      <c r="M805" s="33">
        <v>24773.84</v>
      </c>
      <c r="N805" s="33">
        <v>24643.3</v>
      </c>
      <c r="O805" s="88">
        <f>IF((N806=""),"",MAX(F807:N807))</f>
        <v>4999.5299999999952</v>
      </c>
      <c r="P805" s="88">
        <f>IF(N806="","",MIN(F807:N807))</f>
        <v>3631.4100000000035</v>
      </c>
      <c r="Q805" s="89">
        <f>IF((N807=""),"",AVERAGE(F807:N807))</f>
        <v>4117.9166666666652</v>
      </c>
      <c r="R805" s="89">
        <f>IF((N806=""),"",(O805-P805)/(O805+P805)*100)</f>
        <v>15.85134411779009</v>
      </c>
      <c r="S805" s="210">
        <f>STDEV(F807:N807)</f>
        <v>394.61487199546747</v>
      </c>
      <c r="T805" s="23" t="str">
        <f>IF(N806="","",IF(R805&lt;16,IF(Q805&gt;3200,IF(R805,IF(Q805&lt;5240,"Pass","Fail"),"Fail"),"Fail")))</f>
        <v>Pass</v>
      </c>
      <c r="U805" s="220">
        <v>74</v>
      </c>
      <c r="V805" s="198"/>
      <c r="W805" s="33"/>
      <c r="X805" s="184">
        <v>4200</v>
      </c>
      <c r="Y805" s="184">
        <v>5500</v>
      </c>
      <c r="Z805" s="184">
        <v>3200</v>
      </c>
      <c r="AA805" s="184">
        <v>5240</v>
      </c>
      <c r="AB805" s="57">
        <v>16</v>
      </c>
    </row>
    <row r="806" spans="1:29" x14ac:dyDescent="0.25">
      <c r="A806" s="272"/>
      <c r="B806" s="47"/>
      <c r="C806" s="24"/>
      <c r="D806" s="24"/>
      <c r="E806" s="88" t="s">
        <v>193</v>
      </c>
      <c r="F806" s="33">
        <v>23104.91</v>
      </c>
      <c r="G806" s="33">
        <v>23511.88</v>
      </c>
      <c r="H806" s="33">
        <v>23671.15</v>
      </c>
      <c r="I806" s="33">
        <v>23552.14</v>
      </c>
      <c r="J806" s="33">
        <v>23166.01</v>
      </c>
      <c r="K806" s="33">
        <v>23335.4</v>
      </c>
      <c r="L806" s="33">
        <v>23621.01</v>
      </c>
      <c r="M806" s="33">
        <v>23473.78</v>
      </c>
      <c r="N806" s="33">
        <v>22976.79</v>
      </c>
      <c r="O806" s="88"/>
      <c r="P806" s="88"/>
      <c r="Q806" s="89"/>
      <c r="R806" s="89"/>
      <c r="S806" s="210"/>
      <c r="T806" s="23"/>
      <c r="U806" s="211"/>
      <c r="V806" s="246"/>
      <c r="W806" s="33"/>
      <c r="X806" s="186"/>
      <c r="Y806" s="186"/>
      <c r="Z806" s="186"/>
      <c r="AA806" s="186"/>
    </row>
    <row r="807" spans="1:29" ht="22.75" thickBot="1" x14ac:dyDescent="0.3">
      <c r="A807" s="272"/>
      <c r="B807" s="90"/>
      <c r="C807" s="91"/>
      <c r="D807" s="91"/>
      <c r="E807" s="92" t="s">
        <v>194</v>
      </c>
      <c r="F807" s="79">
        <f t="shared" ref="F807:N807" si="265">IF(((F805="")*AND(F806="")),"",(F805-F806)*3)</f>
        <v>4315.6499999999978</v>
      </c>
      <c r="G807" s="79">
        <f t="shared" si="265"/>
        <v>3965.7599999999948</v>
      </c>
      <c r="H807" s="79">
        <f t="shared" si="265"/>
        <v>3999.4199999999983</v>
      </c>
      <c r="I807" s="79">
        <f t="shared" si="265"/>
        <v>3980.6099999999969</v>
      </c>
      <c r="J807" s="79">
        <f t="shared" si="265"/>
        <v>4344.9900000000052</v>
      </c>
      <c r="K807" s="79">
        <f t="shared" si="265"/>
        <v>3923.6999999999935</v>
      </c>
      <c r="L807" s="79">
        <f t="shared" si="265"/>
        <v>3631.4100000000035</v>
      </c>
      <c r="M807" s="79">
        <f t="shared" si="265"/>
        <v>3900.1800000000039</v>
      </c>
      <c r="N807" s="79">
        <f t="shared" si="265"/>
        <v>4999.5299999999952</v>
      </c>
      <c r="O807" s="92"/>
      <c r="P807" s="92"/>
      <c r="Q807" s="93"/>
      <c r="R807" s="93"/>
      <c r="S807" s="213"/>
      <c r="T807" s="214"/>
      <c r="U807" s="215"/>
      <c r="V807" s="246"/>
      <c r="W807" s="33"/>
      <c r="X807" s="186"/>
      <c r="Y807" s="186"/>
      <c r="Z807" s="186"/>
      <c r="AA807" s="186"/>
    </row>
    <row r="808" spans="1:29" x14ac:dyDescent="0.25">
      <c r="A808" s="271">
        <v>43480</v>
      </c>
      <c r="B808" s="63" t="s">
        <v>177</v>
      </c>
      <c r="C808" s="65" t="s">
        <v>179</v>
      </c>
      <c r="D808" s="65" t="s">
        <v>178</v>
      </c>
      <c r="E808" s="67" t="s">
        <v>192</v>
      </c>
      <c r="F808" s="33">
        <v>5160.83</v>
      </c>
      <c r="G808" s="33">
        <v>5075.62</v>
      </c>
      <c r="H808" s="33">
        <v>5080.17</v>
      </c>
      <c r="I808" s="33">
        <v>5042.2</v>
      </c>
      <c r="J808" s="33">
        <v>5184.54</v>
      </c>
      <c r="K808" s="33">
        <v>5182.7</v>
      </c>
      <c r="L808" s="33">
        <v>5058.43</v>
      </c>
      <c r="M808" s="33">
        <v>5056.38</v>
      </c>
      <c r="N808" s="33">
        <v>5184.5200000000004</v>
      </c>
      <c r="O808" s="86">
        <f>IF((N809=""),"",MAX(F810:N810))</f>
        <v>3845.2800000000007</v>
      </c>
      <c r="P808" s="86">
        <f>IF(N809="","",MIN(F810:N810))</f>
        <v>3563.3999999999996</v>
      </c>
      <c r="Q808" s="87">
        <f>IF((N810=""),"",AVERAGE(F810:N810))</f>
        <v>3749.4644444444452</v>
      </c>
      <c r="R808" s="87">
        <f>IF((N809=""),"",(O808-P808)/(O808+P808)*100)</f>
        <v>3.8047263480134248</v>
      </c>
      <c r="S808" s="181">
        <f>STDEV(F810:N810)</f>
        <v>94.300986091227074</v>
      </c>
      <c r="T808" s="208" t="str">
        <f>IF(N809="","",IF(Q808&gt;3650,IF(R808&lt;7,IF(Q808&lt;4450,"Pass","Fail"),"Fail"),"Fail"))</f>
        <v>Pass</v>
      </c>
      <c r="U808" s="220">
        <v>1159</v>
      </c>
      <c r="V808" s="198"/>
      <c r="W808" s="33"/>
      <c r="X808" s="184">
        <v>3650</v>
      </c>
      <c r="Y808" s="184">
        <v>4450</v>
      </c>
      <c r="Z808" s="184">
        <v>3700</v>
      </c>
      <c r="AA808" s="184">
        <v>4100</v>
      </c>
      <c r="AB808" s="57">
        <v>6.5</v>
      </c>
      <c r="AC808" s="57">
        <v>7</v>
      </c>
    </row>
    <row r="809" spans="1:29" x14ac:dyDescent="0.25">
      <c r="A809" s="272"/>
      <c r="B809" s="47"/>
      <c r="C809" s="24"/>
      <c r="D809" s="24"/>
      <c r="E809" s="88" t="s">
        <v>193</v>
      </c>
      <c r="F809" s="33">
        <v>3321.24</v>
      </c>
      <c r="G809" s="33">
        <v>3172.78</v>
      </c>
      <c r="H809" s="33">
        <v>3167.34</v>
      </c>
      <c r="I809" s="33">
        <v>3140.79</v>
      </c>
      <c r="J809" s="33">
        <v>3355.33</v>
      </c>
      <c r="K809" s="33">
        <v>3401</v>
      </c>
      <c r="L809" s="33">
        <v>3163.16</v>
      </c>
      <c r="M809" s="33">
        <v>3133.74</v>
      </c>
      <c r="N809" s="33">
        <v>3297.42</v>
      </c>
      <c r="O809" s="88"/>
      <c r="P809" s="88"/>
      <c r="Q809" s="89"/>
      <c r="R809" s="89"/>
      <c r="S809" s="210"/>
      <c r="T809" s="28"/>
      <c r="U809" s="217"/>
      <c r="V809" s="198"/>
      <c r="W809" s="33"/>
      <c r="X809" s="186"/>
      <c r="Y809" s="186"/>
      <c r="Z809" s="186"/>
      <c r="AA809" s="186"/>
    </row>
    <row r="810" spans="1:29" ht="22.75" thickBot="1" x14ac:dyDescent="0.3">
      <c r="A810" s="272"/>
      <c r="B810" s="47"/>
      <c r="C810" s="24"/>
      <c r="D810" s="24"/>
      <c r="E810" s="88" t="s">
        <v>194</v>
      </c>
      <c r="F810" s="66">
        <f t="shared" ref="F810:N810" si="266">IF(((F808="")*AND(F809="")),"",(F808-F809)*2)</f>
        <v>3679.1800000000003</v>
      </c>
      <c r="G810" s="66">
        <f t="shared" si="266"/>
        <v>3805.6799999999994</v>
      </c>
      <c r="H810" s="66">
        <f t="shared" si="266"/>
        <v>3825.66</v>
      </c>
      <c r="I810" s="66">
        <f t="shared" si="266"/>
        <v>3802.8199999999997</v>
      </c>
      <c r="J810" s="66">
        <f t="shared" si="266"/>
        <v>3658.42</v>
      </c>
      <c r="K810" s="66">
        <f t="shared" si="266"/>
        <v>3563.3999999999996</v>
      </c>
      <c r="L810" s="66">
        <f t="shared" si="266"/>
        <v>3790.5400000000009</v>
      </c>
      <c r="M810" s="66">
        <f t="shared" si="266"/>
        <v>3845.2800000000007</v>
      </c>
      <c r="N810" s="66">
        <f t="shared" si="266"/>
        <v>3774.2000000000007</v>
      </c>
      <c r="O810" s="88"/>
      <c r="P810" s="88"/>
      <c r="Q810" s="89"/>
      <c r="R810" s="89"/>
      <c r="S810" s="210"/>
      <c r="T810" s="28"/>
      <c r="U810" s="217"/>
      <c r="V810" s="198"/>
      <c r="W810" s="33"/>
      <c r="X810" s="186"/>
      <c r="Y810" s="186"/>
      <c r="Z810" s="186"/>
      <c r="AA810" s="186"/>
    </row>
    <row r="811" spans="1:29" x14ac:dyDescent="0.25">
      <c r="A811" s="271">
        <v>43480</v>
      </c>
      <c r="B811" s="24" t="s">
        <v>172</v>
      </c>
      <c r="C811" s="24" t="s">
        <v>174</v>
      </c>
      <c r="D811" s="24" t="s">
        <v>195</v>
      </c>
      <c r="E811" s="88" t="s">
        <v>192</v>
      </c>
      <c r="F811" s="33">
        <v>1935.21</v>
      </c>
      <c r="G811" s="33">
        <v>1932.6</v>
      </c>
      <c r="H811" s="33">
        <v>1927.4</v>
      </c>
      <c r="I811" s="33">
        <v>1935.54</v>
      </c>
      <c r="J811" s="33">
        <v>1940.7</v>
      </c>
      <c r="K811" s="33">
        <v>1940.74</v>
      </c>
      <c r="L811" s="33">
        <v>1935.35</v>
      </c>
      <c r="M811" s="33">
        <v>1930.72</v>
      </c>
      <c r="N811" s="33">
        <v>1940.2</v>
      </c>
      <c r="O811" s="88">
        <f>IF((N812=""),"",MAX(F813:N813))</f>
        <v>2008.8600000000004</v>
      </c>
      <c r="P811" s="88">
        <f>IF(N812="","",MIN(F813:N813))</f>
        <v>1955.97</v>
      </c>
      <c r="Q811" s="89">
        <f>IF((N813=""),"",AVERAGE(F813:N813))</f>
        <v>1974.8500000000001</v>
      </c>
      <c r="R811" s="89">
        <f>IF((N812=""),"",(O811-P811)/(O811+P811)*100)</f>
        <v>1.3339790104493843</v>
      </c>
      <c r="S811" s="210">
        <f>STDEV(F813:N813)</f>
        <v>16.761411038453861</v>
      </c>
      <c r="T811" s="23" t="str">
        <f>IF(N812="","",IF(Q811&gt;1940,IF(R811&lt;8.3,IF(Q811&lt;2180,"Pass","Fail"),"Fail"),"Fail"))</f>
        <v>Pass</v>
      </c>
      <c r="U811" s="220">
        <v>1159</v>
      </c>
      <c r="V811" s="198"/>
      <c r="W811" s="33"/>
      <c r="X811" s="184">
        <v>2000</v>
      </c>
      <c r="Y811" s="184">
        <v>3000</v>
      </c>
      <c r="Z811" s="184">
        <v>1940</v>
      </c>
      <c r="AA811" s="184">
        <v>2180</v>
      </c>
      <c r="AB811" s="57">
        <v>5.2</v>
      </c>
    </row>
    <row r="812" spans="1:29" x14ac:dyDescent="0.25">
      <c r="A812" s="272"/>
      <c r="B812" s="47"/>
      <c r="C812" s="24"/>
      <c r="D812" s="24"/>
      <c r="E812" s="88" t="s">
        <v>193</v>
      </c>
      <c r="F812" s="33">
        <v>1265.5899999999999</v>
      </c>
      <c r="G812" s="33">
        <v>1276.6600000000001</v>
      </c>
      <c r="H812" s="33">
        <v>1271.8900000000001</v>
      </c>
      <c r="I812" s="33">
        <v>1279.0899999999999</v>
      </c>
      <c r="J812" s="33">
        <v>1288.71</v>
      </c>
      <c r="K812" s="33">
        <v>1275.9000000000001</v>
      </c>
      <c r="L812" s="33">
        <v>1279.05</v>
      </c>
      <c r="M812" s="33">
        <v>1271.07</v>
      </c>
      <c r="N812" s="33">
        <v>1285.95</v>
      </c>
      <c r="O812" s="88"/>
      <c r="P812" s="88"/>
      <c r="Q812" s="89"/>
      <c r="R812" s="89"/>
      <c r="S812" s="210"/>
      <c r="T812" s="23"/>
      <c r="U812" s="211"/>
      <c r="V812" s="246"/>
      <c r="W812" s="33"/>
      <c r="X812" s="186"/>
      <c r="Y812" s="186"/>
      <c r="Z812" s="186"/>
      <c r="AA812" s="186"/>
    </row>
    <row r="813" spans="1:29" ht="13.3" thickBot="1" x14ac:dyDescent="0.3">
      <c r="A813" s="272"/>
      <c r="B813" s="47"/>
      <c r="C813" s="24"/>
      <c r="D813" s="24"/>
      <c r="E813" s="88" t="s">
        <v>196</v>
      </c>
      <c r="F813" s="66">
        <f t="shared" ref="F813:N813" si="267">IF(((F811="")*AND(F812="")),"",(F811-F812)*3)</f>
        <v>2008.8600000000004</v>
      </c>
      <c r="G813" s="66">
        <f t="shared" si="267"/>
        <v>1967.8199999999995</v>
      </c>
      <c r="H813" s="66">
        <f t="shared" si="267"/>
        <v>1966.53</v>
      </c>
      <c r="I813" s="66">
        <f t="shared" si="267"/>
        <v>1969.3500000000001</v>
      </c>
      <c r="J813" s="66">
        <f t="shared" si="267"/>
        <v>1955.97</v>
      </c>
      <c r="K813" s="66">
        <f t="shared" si="267"/>
        <v>1994.5199999999998</v>
      </c>
      <c r="L813" s="66">
        <f t="shared" si="267"/>
        <v>1968.8999999999999</v>
      </c>
      <c r="M813" s="66">
        <f t="shared" si="267"/>
        <v>1978.9500000000003</v>
      </c>
      <c r="N813" s="66">
        <f t="shared" si="267"/>
        <v>1962.75</v>
      </c>
      <c r="O813" s="88"/>
      <c r="P813" s="88"/>
      <c r="Q813" s="89"/>
      <c r="R813" s="89"/>
      <c r="S813" s="210"/>
      <c r="T813" s="23"/>
      <c r="U813" s="211"/>
      <c r="V813" s="246"/>
      <c r="W813" s="33"/>
      <c r="X813" s="186"/>
      <c r="Y813" s="186"/>
      <c r="Z813" s="186"/>
      <c r="AA813" s="186"/>
    </row>
    <row r="814" spans="1:29" x14ac:dyDescent="0.25">
      <c r="A814" s="271">
        <v>43480</v>
      </c>
      <c r="B814" s="47" t="s">
        <v>191</v>
      </c>
      <c r="C814" s="24" t="s">
        <v>176</v>
      </c>
      <c r="D814" s="24" t="s">
        <v>175</v>
      </c>
      <c r="E814" s="88" t="s">
        <v>192</v>
      </c>
      <c r="F814" s="33">
        <v>29008.16</v>
      </c>
      <c r="G814" s="33">
        <v>28940.29</v>
      </c>
      <c r="H814" s="33">
        <v>28951.41</v>
      </c>
      <c r="I814" s="33">
        <v>28949.55</v>
      </c>
      <c r="J814" s="33">
        <v>29040.33</v>
      </c>
      <c r="K814" s="33">
        <v>29008.79</v>
      </c>
      <c r="L814" s="33">
        <v>28936.06</v>
      </c>
      <c r="M814" s="33">
        <v>28946.67</v>
      </c>
      <c r="N814" s="33">
        <v>29037.42</v>
      </c>
      <c r="O814" s="88">
        <f>IF((N815=""),"",MAX(F816:N816))</f>
        <v>4374.9599999999991</v>
      </c>
      <c r="P814" s="88">
        <f>IF(N815="","",MIN(F816:N816))</f>
        <v>3938.4899999999943</v>
      </c>
      <c r="Q814" s="89">
        <f>IF((N816=""),"",AVERAGE(F816:N816))</f>
        <v>4118.0966666666673</v>
      </c>
      <c r="R814" s="89">
        <f>IF((N815=""),"",(O814-P814)/(O814+P814)*100)</f>
        <v>5.2501668982192129</v>
      </c>
      <c r="S814" s="210">
        <f>STDEV(F816:N816)</f>
        <v>175.59900184796115</v>
      </c>
      <c r="T814" s="23" t="str">
        <f>IF(N815="","",IF(R814&lt;16,IF(Q814&gt;3200,IF(R814,IF(Q814&lt;5240,"Pass","Fail"),"Fail"),"Fail")))</f>
        <v>Pass</v>
      </c>
      <c r="U814" s="220">
        <v>1159</v>
      </c>
      <c r="V814" s="198"/>
      <c r="W814" s="33"/>
      <c r="X814" s="184">
        <v>4200</v>
      </c>
      <c r="Y814" s="184">
        <v>5500</v>
      </c>
      <c r="Z814" s="184">
        <v>3200</v>
      </c>
      <c r="AA814" s="184">
        <v>5240</v>
      </c>
      <c r="AB814" s="57">
        <v>16</v>
      </c>
    </row>
    <row r="815" spans="1:29" x14ac:dyDescent="0.25">
      <c r="A815" s="272"/>
      <c r="B815" s="47"/>
      <c r="C815" s="24"/>
      <c r="D815" s="24"/>
      <c r="E815" s="88" t="s">
        <v>193</v>
      </c>
      <c r="F815" s="33">
        <v>27594.22</v>
      </c>
      <c r="G815" s="33">
        <v>27617.1</v>
      </c>
      <c r="H815" s="33">
        <v>27638.58</v>
      </c>
      <c r="I815" s="33">
        <v>27615.7</v>
      </c>
      <c r="J815" s="33">
        <v>27594.37</v>
      </c>
      <c r="K815" s="33">
        <v>27599.45</v>
      </c>
      <c r="L815" s="33">
        <v>27617.71</v>
      </c>
      <c r="M815" s="33">
        <v>27608.16</v>
      </c>
      <c r="N815" s="33">
        <v>27579.1</v>
      </c>
      <c r="O815" s="88"/>
      <c r="P815" s="88"/>
      <c r="Q815" s="89"/>
      <c r="R815" s="89"/>
      <c r="S815" s="210"/>
      <c r="T815" s="23"/>
      <c r="U815" s="211"/>
      <c r="V815" s="246"/>
      <c r="W815" s="33"/>
      <c r="X815" s="186"/>
      <c r="Y815" s="186"/>
      <c r="Z815" s="186"/>
      <c r="AA815" s="186"/>
    </row>
    <row r="816" spans="1:29" ht="22.75" thickBot="1" x14ac:dyDescent="0.3">
      <c r="A816" s="272"/>
      <c r="B816" s="90"/>
      <c r="C816" s="91"/>
      <c r="D816" s="91"/>
      <c r="E816" s="92" t="s">
        <v>194</v>
      </c>
      <c r="F816" s="79">
        <f t="shared" ref="F816:N816" si="268">IF(((F814="")*AND(F815="")),"",(F814-F815)*3)</f>
        <v>4241.8199999999961</v>
      </c>
      <c r="G816" s="79">
        <f t="shared" si="268"/>
        <v>3969.570000000007</v>
      </c>
      <c r="H816" s="79">
        <f t="shared" si="268"/>
        <v>3938.4899999999943</v>
      </c>
      <c r="I816" s="79">
        <f t="shared" si="268"/>
        <v>4001.5499999999956</v>
      </c>
      <c r="J816" s="79">
        <f t="shared" si="268"/>
        <v>4337.8800000000083</v>
      </c>
      <c r="K816" s="79">
        <f t="shared" si="268"/>
        <v>4228.0200000000004</v>
      </c>
      <c r="L816" s="79">
        <f t="shared" si="268"/>
        <v>3955.0500000000065</v>
      </c>
      <c r="M816" s="79">
        <f t="shared" si="268"/>
        <v>4015.5299999999952</v>
      </c>
      <c r="N816" s="79">
        <f t="shared" si="268"/>
        <v>4374.9599999999991</v>
      </c>
      <c r="O816" s="92"/>
      <c r="P816" s="92"/>
      <c r="Q816" s="93"/>
      <c r="R816" s="93"/>
      <c r="S816" s="213"/>
      <c r="T816" s="214"/>
      <c r="U816" s="215"/>
      <c r="V816" s="246"/>
      <c r="W816" s="33"/>
      <c r="X816" s="186"/>
      <c r="Y816" s="186"/>
      <c r="Z816" s="186"/>
      <c r="AA816" s="186"/>
    </row>
    <row r="817" spans="1:29" x14ac:dyDescent="0.25">
      <c r="A817" s="271">
        <v>43486</v>
      </c>
      <c r="B817" s="63" t="s">
        <v>177</v>
      </c>
      <c r="C817" s="65" t="s">
        <v>179</v>
      </c>
      <c r="D817" s="65" t="s">
        <v>178</v>
      </c>
      <c r="E817" s="67" t="s">
        <v>192</v>
      </c>
      <c r="F817" s="33">
        <v>3329.62</v>
      </c>
      <c r="G817" s="33">
        <v>3180.47</v>
      </c>
      <c r="H817" s="33">
        <v>3175.09</v>
      </c>
      <c r="I817" s="33">
        <v>3148.09</v>
      </c>
      <c r="J817" s="33">
        <v>3363.15</v>
      </c>
      <c r="K817" s="33">
        <v>3409.82</v>
      </c>
      <c r="L817" s="33">
        <v>3170.93</v>
      </c>
      <c r="M817" s="33">
        <v>3141.27</v>
      </c>
      <c r="N817" s="33">
        <v>3305.73</v>
      </c>
      <c r="O817" s="86">
        <f>IF((N818=""),"",MAX(F819:N819))</f>
        <v>3891.4600000000005</v>
      </c>
      <c r="P817" s="86">
        <f>IF(N818="","",MIN(F819:N819))</f>
        <v>3657.7000000000003</v>
      </c>
      <c r="Q817" s="87">
        <f>IF((N819=""),"",AVERAGE(F819:N819))</f>
        <v>3825.8866666666672</v>
      </c>
      <c r="R817" s="87">
        <f>IF((N818=""),"",(O817-P817)/(O817+P817)*100)</f>
        <v>3.0965034520396997</v>
      </c>
      <c r="S817" s="181">
        <f>STDEV(F819:N819)</f>
        <v>80.488584904941604</v>
      </c>
      <c r="T817" s="208" t="str">
        <f>IF(N818="","",IF(Q817&gt;3650,IF(R817&lt;7,IF(Q817&lt;4450,"Pass","Fail"),"Fail"),"Fail"))</f>
        <v>Pass</v>
      </c>
      <c r="U817" s="220">
        <v>1428</v>
      </c>
      <c r="V817" s="198"/>
      <c r="W817" s="33"/>
      <c r="X817" s="184">
        <v>3650</v>
      </c>
      <c r="Y817" s="184">
        <v>4450</v>
      </c>
      <c r="Z817" s="184">
        <v>3700</v>
      </c>
      <c r="AA817" s="184">
        <v>4100</v>
      </c>
      <c r="AB817" s="57">
        <v>6.5</v>
      </c>
      <c r="AC817" s="57">
        <v>7</v>
      </c>
    </row>
    <row r="818" spans="1:29" x14ac:dyDescent="0.25">
      <c r="A818" s="272"/>
      <c r="B818" s="47"/>
      <c r="C818" s="24"/>
      <c r="D818" s="24"/>
      <c r="E818" s="88" t="s">
        <v>193</v>
      </c>
      <c r="F818" s="33">
        <v>1447.07</v>
      </c>
      <c r="G818" s="33">
        <v>1242.52</v>
      </c>
      <c r="H818" s="33">
        <v>1229.3599999999999</v>
      </c>
      <c r="I818" s="33">
        <v>1218.54</v>
      </c>
      <c r="J818" s="33">
        <v>1483.3</v>
      </c>
      <c r="K818" s="33">
        <v>1580.97</v>
      </c>
      <c r="L818" s="33">
        <v>1240.04</v>
      </c>
      <c r="M818" s="33">
        <v>1196.0899999999999</v>
      </c>
      <c r="N818" s="33">
        <v>1369.79</v>
      </c>
      <c r="O818" s="88"/>
      <c r="P818" s="88"/>
      <c r="Q818" s="89"/>
      <c r="R818" s="89"/>
      <c r="S818" s="210"/>
      <c r="T818" s="28"/>
      <c r="U818" s="217"/>
      <c r="V818" s="198"/>
      <c r="W818" s="33"/>
      <c r="X818" s="186"/>
      <c r="Y818" s="186"/>
      <c r="Z818" s="186"/>
      <c r="AA818" s="186"/>
    </row>
    <row r="819" spans="1:29" ht="22.75" thickBot="1" x14ac:dyDescent="0.3">
      <c r="A819" s="272"/>
      <c r="B819" s="47"/>
      <c r="C819" s="24"/>
      <c r="D819" s="24"/>
      <c r="E819" s="88" t="s">
        <v>194</v>
      </c>
      <c r="F819" s="66">
        <f t="shared" ref="F819:N819" si="269">IF(((F817="")*AND(F818="")),"",(F817-F818)*2)</f>
        <v>3765.1</v>
      </c>
      <c r="G819" s="66">
        <f t="shared" si="269"/>
        <v>3875.8999999999996</v>
      </c>
      <c r="H819" s="66">
        <f t="shared" si="269"/>
        <v>3891.4600000000005</v>
      </c>
      <c r="I819" s="66">
        <f t="shared" si="269"/>
        <v>3859.1000000000004</v>
      </c>
      <c r="J819" s="66">
        <f t="shared" si="269"/>
        <v>3759.7000000000003</v>
      </c>
      <c r="K819" s="66">
        <f t="shared" si="269"/>
        <v>3657.7000000000003</v>
      </c>
      <c r="L819" s="66">
        <f t="shared" si="269"/>
        <v>3861.7799999999997</v>
      </c>
      <c r="M819" s="66">
        <f t="shared" si="269"/>
        <v>3890.36</v>
      </c>
      <c r="N819" s="66">
        <f t="shared" si="269"/>
        <v>3871.88</v>
      </c>
      <c r="O819" s="88"/>
      <c r="P819" s="88"/>
      <c r="Q819" s="89"/>
      <c r="R819" s="89"/>
      <c r="S819" s="210"/>
      <c r="T819" s="28"/>
      <c r="U819" s="217"/>
      <c r="V819" s="198"/>
      <c r="W819" s="33"/>
      <c r="X819" s="186"/>
      <c r="Y819" s="186"/>
      <c r="Z819" s="186"/>
      <c r="AA819" s="186"/>
    </row>
    <row r="820" spans="1:29" x14ac:dyDescent="0.25">
      <c r="A820" s="271">
        <v>43486</v>
      </c>
      <c r="B820" s="24" t="s">
        <v>172</v>
      </c>
      <c r="C820" s="24" t="s">
        <v>174</v>
      </c>
      <c r="D820" s="24" t="s">
        <v>195</v>
      </c>
      <c r="E820" s="88" t="s">
        <v>192</v>
      </c>
      <c r="F820" s="33">
        <v>1268.8599999999999</v>
      </c>
      <c r="G820" s="33">
        <v>1279.6300000000001</v>
      </c>
      <c r="H820" s="33">
        <v>1278.8599999999999</v>
      </c>
      <c r="I820" s="33">
        <v>1281.79</v>
      </c>
      <c r="J820" s="33">
        <v>1293.1600000000001</v>
      </c>
      <c r="K820" s="33">
        <v>1279.47</v>
      </c>
      <c r="L820" s="33">
        <v>1283.6099999999999</v>
      </c>
      <c r="M820" s="33">
        <v>1274.48</v>
      </c>
      <c r="N820" s="33">
        <v>1283.55</v>
      </c>
      <c r="O820" s="88">
        <f>IF((N821=""),"",MAX(F822:N822))</f>
        <v>2017.6799999999998</v>
      </c>
      <c r="P820" s="88">
        <f>IF(N821="","",MIN(F822:N822))</f>
        <v>1970.85</v>
      </c>
      <c r="Q820" s="89">
        <f>IF((N822=""),"",AVERAGE(F822:N822))</f>
        <v>1992.1033333333335</v>
      </c>
      <c r="R820" s="89">
        <f>IF((N821=""),"",(O820-P820)/(O820+P820)*100)</f>
        <v>1.1741167798662648</v>
      </c>
      <c r="S820" s="210">
        <f>STDEV(F822:N822)</f>
        <v>14.432284988871256</v>
      </c>
      <c r="T820" s="23" t="str">
        <f>IF(N821="","",IF(Q820&gt;1940,IF(R820&lt;8.3,IF(Q820&lt;2180,"Pass","Fail"),"Fail"),"Fail"))</f>
        <v>Pass</v>
      </c>
      <c r="U820" s="220">
        <v>1428</v>
      </c>
      <c r="V820" s="198"/>
      <c r="W820" s="33"/>
      <c r="X820" s="184">
        <v>2000</v>
      </c>
      <c r="Y820" s="184">
        <v>3000</v>
      </c>
      <c r="Z820" s="184">
        <v>1940</v>
      </c>
      <c r="AA820" s="184">
        <v>2180</v>
      </c>
      <c r="AB820" s="57">
        <v>5.2</v>
      </c>
    </row>
    <row r="821" spans="1:29" x14ac:dyDescent="0.25">
      <c r="A821" s="272"/>
      <c r="B821" s="47"/>
      <c r="C821" s="24"/>
      <c r="D821" s="24"/>
      <c r="E821" s="88" t="s">
        <v>193</v>
      </c>
      <c r="F821" s="33">
        <v>596.29999999999995</v>
      </c>
      <c r="G821" s="33">
        <v>615.21</v>
      </c>
      <c r="H821" s="33">
        <v>614.11</v>
      </c>
      <c r="I821" s="33">
        <v>619.34</v>
      </c>
      <c r="J821" s="33">
        <v>634.20000000000005</v>
      </c>
      <c r="K821" s="33">
        <v>618.22</v>
      </c>
      <c r="L821" s="33">
        <v>626.66</v>
      </c>
      <c r="M821" s="33">
        <v>607.94000000000005</v>
      </c>
      <c r="N821" s="33">
        <v>615.12</v>
      </c>
      <c r="O821" s="88"/>
      <c r="P821" s="88"/>
      <c r="Q821" s="89"/>
      <c r="R821" s="89"/>
      <c r="S821" s="210"/>
      <c r="T821" s="23"/>
      <c r="U821" s="211"/>
      <c r="V821" s="246"/>
      <c r="W821" s="33"/>
      <c r="X821" s="186"/>
      <c r="Y821" s="186"/>
      <c r="Z821" s="186"/>
      <c r="AA821" s="186"/>
    </row>
    <row r="822" spans="1:29" ht="13.3" thickBot="1" x14ac:dyDescent="0.3">
      <c r="A822" s="272"/>
      <c r="B822" s="47"/>
      <c r="C822" s="24"/>
      <c r="D822" s="24"/>
      <c r="E822" s="88" t="s">
        <v>196</v>
      </c>
      <c r="F822" s="66">
        <f t="shared" ref="F822:N822" si="270">IF(((F820="")*AND(F821="")),"",(F820-F821)*3)</f>
        <v>2017.6799999999998</v>
      </c>
      <c r="G822" s="66">
        <f t="shared" si="270"/>
        <v>1993.2600000000002</v>
      </c>
      <c r="H822" s="66">
        <f t="shared" si="270"/>
        <v>1994.2499999999995</v>
      </c>
      <c r="I822" s="66">
        <f t="shared" si="270"/>
        <v>1987.35</v>
      </c>
      <c r="J822" s="66">
        <f t="shared" si="270"/>
        <v>1976.88</v>
      </c>
      <c r="K822" s="66">
        <f t="shared" si="270"/>
        <v>1983.75</v>
      </c>
      <c r="L822" s="66">
        <f t="shared" si="270"/>
        <v>1970.85</v>
      </c>
      <c r="M822" s="66">
        <f t="shared" si="270"/>
        <v>1999.62</v>
      </c>
      <c r="N822" s="66">
        <f t="shared" si="270"/>
        <v>2005.29</v>
      </c>
      <c r="O822" s="88"/>
      <c r="P822" s="88"/>
      <c r="Q822" s="89"/>
      <c r="R822" s="89"/>
      <c r="S822" s="210"/>
      <c r="T822" s="23"/>
      <c r="U822" s="211"/>
      <c r="V822" s="246"/>
      <c r="W822" s="33"/>
      <c r="X822" s="186"/>
      <c r="Y822" s="186"/>
      <c r="Z822" s="186"/>
      <c r="AA822" s="186"/>
    </row>
    <row r="823" spans="1:29" x14ac:dyDescent="0.25">
      <c r="A823" s="271">
        <v>43486</v>
      </c>
      <c r="B823" s="47" t="s">
        <v>191</v>
      </c>
      <c r="C823" s="24" t="s">
        <v>176</v>
      </c>
      <c r="D823" s="24" t="s">
        <v>175</v>
      </c>
      <c r="E823" s="88" t="s">
        <v>192</v>
      </c>
      <c r="F823" s="33">
        <v>27536.29</v>
      </c>
      <c r="G823" s="33">
        <v>27567.97</v>
      </c>
      <c r="H823" s="33">
        <v>27582.51</v>
      </c>
      <c r="I823" s="33">
        <v>27557.19</v>
      </c>
      <c r="J823" s="33">
        <v>27537.82</v>
      </c>
      <c r="K823" s="33">
        <v>27541.13</v>
      </c>
      <c r="L823" s="33">
        <v>27559.32</v>
      </c>
      <c r="M823" s="33">
        <v>27548.45</v>
      </c>
      <c r="N823" s="33">
        <v>27519.11</v>
      </c>
      <c r="O823" s="88">
        <f>IF((N824=""),"",MAX(F825:N825))</f>
        <v>4459.1699999999983</v>
      </c>
      <c r="P823" s="88">
        <f>IF(N824="","",MIN(F825:N825))</f>
        <v>3929.1299999999974</v>
      </c>
      <c r="Q823" s="89">
        <f>IF((N825=""),"",AVERAGE(F825:N825))</f>
        <v>4135.93</v>
      </c>
      <c r="R823" s="89">
        <f>IF((N824=""),"",(O823-P823)/(O823+P823)*100)</f>
        <v>6.318801187368134</v>
      </c>
      <c r="S823" s="210">
        <f>STDEV(F825:N825)</f>
        <v>193.64542035638326</v>
      </c>
      <c r="T823" s="23" t="str">
        <f>IF(N824="","",IF(R823&lt;16,IF(Q823&gt;3200,IF(R823,IF(Q823&lt;5240,"Pass","Fail"),"Fail"),"Fail")))</f>
        <v>Pass</v>
      </c>
      <c r="U823" s="220">
        <v>1428</v>
      </c>
      <c r="V823" s="198"/>
      <c r="W823" s="33"/>
      <c r="X823" s="184">
        <v>4200</v>
      </c>
      <c r="Y823" s="184">
        <v>5500</v>
      </c>
      <c r="Z823" s="184">
        <v>3200</v>
      </c>
      <c r="AA823" s="184">
        <v>5240</v>
      </c>
      <c r="AB823" s="57">
        <v>16</v>
      </c>
    </row>
    <row r="824" spans="1:29" x14ac:dyDescent="0.25">
      <c r="A824" s="272"/>
      <c r="B824" s="47"/>
      <c r="C824" s="24"/>
      <c r="D824" s="24"/>
      <c r="E824" s="88" t="s">
        <v>193</v>
      </c>
      <c r="F824" s="33">
        <v>26086.14</v>
      </c>
      <c r="G824" s="33">
        <v>26226.66</v>
      </c>
      <c r="H824" s="33">
        <v>26272.799999999999</v>
      </c>
      <c r="I824" s="33">
        <v>26231.17</v>
      </c>
      <c r="J824" s="33">
        <v>26107.87</v>
      </c>
      <c r="K824" s="33">
        <v>26143.88</v>
      </c>
      <c r="L824" s="33">
        <v>26243.72</v>
      </c>
      <c r="M824" s="33">
        <v>26197.040000000001</v>
      </c>
      <c r="N824" s="33">
        <v>26032.720000000001</v>
      </c>
      <c r="O824" s="88"/>
      <c r="P824" s="88"/>
      <c r="Q824" s="89"/>
      <c r="R824" s="89"/>
      <c r="S824" s="210"/>
      <c r="T824" s="23"/>
      <c r="U824" s="211"/>
      <c r="V824" s="246"/>
      <c r="W824" s="33"/>
      <c r="X824" s="186"/>
      <c r="Y824" s="186"/>
      <c r="Z824" s="186"/>
      <c r="AA824" s="186"/>
    </row>
    <row r="825" spans="1:29" ht="22.75" thickBot="1" x14ac:dyDescent="0.3">
      <c r="A825" s="272"/>
      <c r="B825" s="90"/>
      <c r="C825" s="91"/>
      <c r="D825" s="91"/>
      <c r="E825" s="92" t="s">
        <v>194</v>
      </c>
      <c r="F825" s="79">
        <f t="shared" ref="F825:N825" si="271">IF(((F823="")*AND(F824="")),"",(F823-F824)*3)</f>
        <v>4350.4500000000044</v>
      </c>
      <c r="G825" s="79">
        <f t="shared" si="271"/>
        <v>4023.9300000000039</v>
      </c>
      <c r="H825" s="79">
        <f t="shared" si="271"/>
        <v>3929.1299999999974</v>
      </c>
      <c r="I825" s="79">
        <f t="shared" si="271"/>
        <v>3978.0600000000013</v>
      </c>
      <c r="J825" s="79">
        <f t="shared" si="271"/>
        <v>4289.8500000000022</v>
      </c>
      <c r="K825" s="79">
        <f t="shared" si="271"/>
        <v>4191.75</v>
      </c>
      <c r="L825" s="79">
        <f t="shared" si="271"/>
        <v>3946.7999999999956</v>
      </c>
      <c r="M825" s="79">
        <f t="shared" si="271"/>
        <v>4054.2299999999996</v>
      </c>
      <c r="N825" s="79">
        <f t="shared" si="271"/>
        <v>4459.1699999999983</v>
      </c>
      <c r="O825" s="92"/>
      <c r="P825" s="92"/>
      <c r="Q825" s="93"/>
      <c r="R825" s="93"/>
      <c r="S825" s="213"/>
      <c r="T825" s="214"/>
      <c r="U825" s="215"/>
      <c r="V825" s="246"/>
      <c r="W825" s="33"/>
      <c r="X825" s="186"/>
      <c r="Y825" s="186"/>
      <c r="Z825" s="186"/>
      <c r="AA825" s="186"/>
    </row>
    <row r="826" spans="1:29" x14ac:dyDescent="0.25">
      <c r="A826" s="271">
        <v>43489</v>
      </c>
      <c r="B826" s="63" t="s">
        <v>177</v>
      </c>
      <c r="C826" s="65" t="s">
        <v>179</v>
      </c>
      <c r="D826" s="65" t="s">
        <v>178</v>
      </c>
      <c r="E826" s="67" t="s">
        <v>192</v>
      </c>
      <c r="F826" s="33">
        <v>6929.83</v>
      </c>
      <c r="G826" s="33">
        <v>6937.99</v>
      </c>
      <c r="H826" s="33">
        <v>6957.14</v>
      </c>
      <c r="I826" s="33">
        <v>6895.84</v>
      </c>
      <c r="J826" s="33">
        <v>6938.07</v>
      </c>
      <c r="K826" s="33">
        <v>6881.99</v>
      </c>
      <c r="L826" s="33">
        <v>6901.4</v>
      </c>
      <c r="M826" s="33">
        <v>6941.57</v>
      </c>
      <c r="N826" s="33">
        <v>7005.33</v>
      </c>
      <c r="O826" s="86">
        <f>IF((N827=""),"",MAX(F828:N828))</f>
        <v>3811.5</v>
      </c>
      <c r="P826" s="86">
        <f>IF(N827="","",MIN(F828:N828))</f>
        <v>3536.2999999999993</v>
      </c>
      <c r="Q826" s="87">
        <f>IF((N828=""),"",AVERAGE(F828:N828))</f>
        <v>3714.9377777777781</v>
      </c>
      <c r="R826" s="87">
        <f>IF((N827=""),"",(O826-P826)/(O826+P826)*100)</f>
        <v>3.7453387408476111</v>
      </c>
      <c r="S826" s="181">
        <f>STDEV(F828:N828)</f>
        <v>92.705022757370116</v>
      </c>
      <c r="T826" s="208" t="str">
        <f>IF(N827="","",IF(Q826&gt;3650,IF(R826&lt;7,IF(Q826&lt;4450,"Pass","Fail"),"Fail"),"Fail"))</f>
        <v>Pass</v>
      </c>
      <c r="U826" s="220">
        <v>1340</v>
      </c>
      <c r="V826" s="33" t="s">
        <v>225</v>
      </c>
      <c r="X826" s="184">
        <v>3650</v>
      </c>
      <c r="Y826" s="184">
        <v>4450</v>
      </c>
      <c r="Z826" s="184">
        <v>3700</v>
      </c>
      <c r="AA826" s="184">
        <v>4100</v>
      </c>
      <c r="AB826" s="57">
        <v>6.5</v>
      </c>
      <c r="AC826" s="57">
        <v>7</v>
      </c>
    </row>
    <row r="827" spans="1:29" x14ac:dyDescent="0.25">
      <c r="A827" s="272"/>
      <c r="B827" s="47"/>
      <c r="C827" s="24"/>
      <c r="D827" s="24"/>
      <c r="E827" s="88" t="s">
        <v>193</v>
      </c>
      <c r="F827" s="33">
        <v>5118.41</v>
      </c>
      <c r="G827" s="33">
        <v>5057.74</v>
      </c>
      <c r="H827" s="33">
        <v>5060.37</v>
      </c>
      <c r="I827" s="33">
        <v>5010.05</v>
      </c>
      <c r="J827" s="33">
        <v>5117.1000000000004</v>
      </c>
      <c r="K827" s="33">
        <v>5113.84</v>
      </c>
      <c r="L827" s="33">
        <v>5025.03</v>
      </c>
      <c r="M827" s="33">
        <v>5035.82</v>
      </c>
      <c r="N827" s="33">
        <v>5133.58</v>
      </c>
      <c r="O827" s="88"/>
      <c r="P827" s="88"/>
      <c r="Q827" s="89"/>
      <c r="R827" s="89"/>
      <c r="S827" s="210"/>
      <c r="T827" s="28"/>
      <c r="U827" s="217"/>
      <c r="V827" s="33"/>
      <c r="X827" s="186"/>
      <c r="Y827" s="186"/>
      <c r="Z827" s="186"/>
      <c r="AA827" s="186"/>
    </row>
    <row r="828" spans="1:29" ht="22.75" thickBot="1" x14ac:dyDescent="0.3">
      <c r="A828" s="272"/>
      <c r="B828" s="47"/>
      <c r="C828" s="24"/>
      <c r="D828" s="24"/>
      <c r="E828" s="88" t="s">
        <v>194</v>
      </c>
      <c r="F828" s="66">
        <f t="shared" ref="F828:N828" si="272">IF(((F826="")*AND(F827="")),"",(F826-F827)*2)</f>
        <v>3622.84</v>
      </c>
      <c r="G828" s="66">
        <f t="shared" si="272"/>
        <v>3760.5</v>
      </c>
      <c r="H828" s="66">
        <f t="shared" si="272"/>
        <v>3793.5400000000009</v>
      </c>
      <c r="I828" s="66">
        <f t="shared" si="272"/>
        <v>3771.58</v>
      </c>
      <c r="J828" s="66">
        <f t="shared" si="272"/>
        <v>3641.9399999999987</v>
      </c>
      <c r="K828" s="66">
        <f t="shared" si="272"/>
        <v>3536.2999999999993</v>
      </c>
      <c r="L828" s="66">
        <f t="shared" si="272"/>
        <v>3752.74</v>
      </c>
      <c r="M828" s="66">
        <f t="shared" si="272"/>
        <v>3811.5</v>
      </c>
      <c r="N828" s="66">
        <f t="shared" si="272"/>
        <v>3743.5</v>
      </c>
      <c r="O828" s="88"/>
      <c r="P828" s="88"/>
      <c r="Q828" s="89"/>
      <c r="R828" s="89"/>
      <c r="S828" s="210"/>
      <c r="T828" s="28"/>
      <c r="U828" s="217"/>
      <c r="V828" s="33"/>
      <c r="X828" s="186"/>
      <c r="Y828" s="186"/>
      <c r="Z828" s="186"/>
      <c r="AA828" s="186"/>
    </row>
    <row r="829" spans="1:29" x14ac:dyDescent="0.25">
      <c r="A829" s="271">
        <v>43489</v>
      </c>
      <c r="B829" s="24" t="s">
        <v>172</v>
      </c>
      <c r="C829" s="24" t="s">
        <v>174</v>
      </c>
      <c r="D829" s="24" t="s">
        <v>195</v>
      </c>
      <c r="E829" s="88" t="s">
        <v>192</v>
      </c>
      <c r="F829" s="33">
        <v>1958.05</v>
      </c>
      <c r="G829" s="33">
        <v>1951.31</v>
      </c>
      <c r="H829" s="33">
        <v>1949.48</v>
      </c>
      <c r="I829" s="33">
        <v>1950.57</v>
      </c>
      <c r="J829" s="33">
        <v>1955.24</v>
      </c>
      <c r="K829" s="33">
        <v>1956.39</v>
      </c>
      <c r="L829" s="33">
        <v>1951.83</v>
      </c>
      <c r="M829" s="33">
        <v>1953.31</v>
      </c>
      <c r="N829" s="33">
        <v>1954.85</v>
      </c>
      <c r="O829" s="88">
        <f>IF((N830=""),"",MAX(F831:N831))</f>
        <v>2002.7699999999998</v>
      </c>
      <c r="P829" s="88">
        <f>IF(N830="","",MIN(F831:N831))</f>
        <v>1928.1000000000001</v>
      </c>
      <c r="Q829" s="89">
        <f>IF((N831=""),"",AVERAGE(F831:N831))</f>
        <v>1963.3933333333334</v>
      </c>
      <c r="R829" s="89">
        <f>IF((N830=""),"",(O829-P829)/(O829+P829)*100)</f>
        <v>1.8995794824046488</v>
      </c>
      <c r="S829" s="210">
        <f>STDEV(F831:N831)</f>
        <v>21.130827007005596</v>
      </c>
      <c r="T829" s="23" t="str">
        <f>IF(N830="","",IF(Q829&gt;1940,IF(R829&lt;8.3,IF(Q829&lt;2180,"Pass","Fail"),"Fail"),"Fail"))</f>
        <v>Pass</v>
      </c>
      <c r="U829" s="220">
        <v>1340</v>
      </c>
      <c r="V829" s="33" t="s">
        <v>225</v>
      </c>
      <c r="X829" s="184">
        <v>2000</v>
      </c>
      <c r="Y829" s="184">
        <v>3000</v>
      </c>
      <c r="Z829" s="184">
        <v>1940</v>
      </c>
      <c r="AA829" s="184">
        <v>2180</v>
      </c>
      <c r="AB829" s="57">
        <v>5.2</v>
      </c>
    </row>
    <row r="830" spans="1:29" x14ac:dyDescent="0.25">
      <c r="A830" s="272"/>
      <c r="B830" s="47"/>
      <c r="C830" s="24"/>
      <c r="D830" s="24"/>
      <c r="E830" s="88" t="s">
        <v>193</v>
      </c>
      <c r="F830" s="33">
        <v>1290.46</v>
      </c>
      <c r="G830" s="33">
        <v>1294.3499999999999</v>
      </c>
      <c r="H830" s="33">
        <v>1294.78</v>
      </c>
      <c r="I830" s="33">
        <v>1299.71</v>
      </c>
      <c r="J830" s="33">
        <v>1312.54</v>
      </c>
      <c r="K830" s="33">
        <v>1299.98</v>
      </c>
      <c r="L830" s="33">
        <v>1302.52</v>
      </c>
      <c r="M830" s="33">
        <v>1293.43</v>
      </c>
      <c r="N830" s="33">
        <v>1303.08</v>
      </c>
      <c r="O830" s="88"/>
      <c r="P830" s="88"/>
      <c r="Q830" s="89"/>
      <c r="R830" s="89"/>
      <c r="S830" s="210"/>
      <c r="T830" s="23"/>
      <c r="U830" s="211"/>
      <c r="V830" s="33"/>
      <c r="X830" s="186"/>
      <c r="Y830" s="186"/>
      <c r="Z830" s="186"/>
      <c r="AA830" s="186"/>
    </row>
    <row r="831" spans="1:29" ht="24.4" customHeight="1" thickBot="1" x14ac:dyDescent="0.3">
      <c r="A831" s="272"/>
      <c r="B831" s="47"/>
      <c r="C831" s="24"/>
      <c r="D831" s="24"/>
      <c r="E831" s="88" t="s">
        <v>196</v>
      </c>
      <c r="F831" s="66">
        <f t="shared" ref="F831:N831" si="273">IF(((F829="")*AND(F830="")),"",(F829-F830)*3)</f>
        <v>2002.7699999999998</v>
      </c>
      <c r="G831" s="66">
        <f t="shared" si="273"/>
        <v>1970.88</v>
      </c>
      <c r="H831" s="66">
        <f t="shared" si="273"/>
        <v>1964.1000000000001</v>
      </c>
      <c r="I831" s="66">
        <f t="shared" si="273"/>
        <v>1952.5799999999997</v>
      </c>
      <c r="J831" s="66">
        <f t="shared" si="273"/>
        <v>1928.1000000000001</v>
      </c>
      <c r="K831" s="66">
        <f t="shared" si="273"/>
        <v>1969.2300000000002</v>
      </c>
      <c r="L831" s="66">
        <f t="shared" si="273"/>
        <v>1947.9299999999998</v>
      </c>
      <c r="M831" s="66">
        <f t="shared" si="273"/>
        <v>1979.6399999999996</v>
      </c>
      <c r="N831" s="66">
        <f t="shared" si="273"/>
        <v>1955.31</v>
      </c>
      <c r="O831" s="88"/>
      <c r="P831" s="88"/>
      <c r="Q831" s="89"/>
      <c r="R831" s="89"/>
      <c r="S831" s="210"/>
      <c r="T831" s="23"/>
      <c r="U831" s="211"/>
      <c r="V831" s="33"/>
      <c r="X831" s="186"/>
      <c r="Y831" s="186"/>
      <c r="Z831" s="186"/>
      <c r="AA831" s="186"/>
    </row>
    <row r="832" spans="1:29" x14ac:dyDescent="0.25">
      <c r="A832" s="271">
        <v>43489</v>
      </c>
      <c r="B832" s="47" t="s">
        <v>191</v>
      </c>
      <c r="C832" s="24" t="s">
        <v>176</v>
      </c>
      <c r="D832" s="24" t="s">
        <v>175</v>
      </c>
      <c r="E832" s="88" t="s">
        <v>192</v>
      </c>
      <c r="F832" s="33">
        <v>29045.200000000001</v>
      </c>
      <c r="G832" s="33">
        <v>28966.57</v>
      </c>
      <c r="H832" s="33">
        <v>28963.95</v>
      </c>
      <c r="I832" s="33">
        <v>28954.89</v>
      </c>
      <c r="J832" s="33">
        <v>29054.51</v>
      </c>
      <c r="K832" s="33">
        <v>29029.49</v>
      </c>
      <c r="L832" s="33">
        <v>28955.59</v>
      </c>
      <c r="M832" s="33">
        <v>28950.46</v>
      </c>
      <c r="N832" s="33">
        <v>29028.49</v>
      </c>
      <c r="O832" s="88">
        <f>IF((N833=""),"",MAX(F834:N834))</f>
        <v>4417.7700000000004</v>
      </c>
      <c r="P832" s="88">
        <f>IF(N833="","",MIN(F834:N834))</f>
        <v>3921.3000000000065</v>
      </c>
      <c r="Q832" s="89">
        <f>IF((N834=""),"",AVERAGE(F834:N834))</f>
        <v>4136.4000000000005</v>
      </c>
      <c r="R832" s="89">
        <f>IF((N833=""),"",(O832-P832)/(O832+P832)*100)</f>
        <v>5.95354158197489</v>
      </c>
      <c r="S832" s="210">
        <f>STDEV(F834:N834)</f>
        <v>195.07817240788248</v>
      </c>
      <c r="T832" s="23" t="str">
        <f>IF(N833="","",IF(R832&lt;16,IF(Q832&gt;3200,IF(R832,IF(Q832&lt;5240,"Pass","Fail"),"Fail"),"Fail")))</f>
        <v>Pass</v>
      </c>
      <c r="U832" s="220">
        <v>1340</v>
      </c>
      <c r="V832" s="33" t="s">
        <v>225</v>
      </c>
      <c r="X832" s="184">
        <v>4200</v>
      </c>
      <c r="Y832" s="184">
        <v>5500</v>
      </c>
      <c r="Z832" s="184">
        <v>3200</v>
      </c>
      <c r="AA832" s="184">
        <v>5240</v>
      </c>
      <c r="AB832" s="57">
        <v>16</v>
      </c>
    </row>
    <row r="833" spans="1:29" x14ac:dyDescent="0.25">
      <c r="A833" s="272"/>
      <c r="B833" s="47"/>
      <c r="C833" s="24"/>
      <c r="D833" s="24"/>
      <c r="E833" s="88" t="s">
        <v>193</v>
      </c>
      <c r="F833" s="33">
        <v>27622.63</v>
      </c>
      <c r="G833" s="33">
        <v>27645.07</v>
      </c>
      <c r="H833" s="33">
        <v>27656.85</v>
      </c>
      <c r="I833" s="33">
        <v>27624.33</v>
      </c>
      <c r="J833" s="33">
        <v>27596.240000000002</v>
      </c>
      <c r="K833" s="33">
        <v>27604.92</v>
      </c>
      <c r="L833" s="33">
        <v>27631.67</v>
      </c>
      <c r="M833" s="33">
        <v>27602.34</v>
      </c>
      <c r="N833" s="33">
        <v>27555.9</v>
      </c>
      <c r="O833" s="88"/>
      <c r="P833" s="88"/>
      <c r="Q833" s="89"/>
      <c r="R833" s="89"/>
      <c r="S833" s="210"/>
      <c r="T833" s="23"/>
      <c r="U833" s="211"/>
      <c r="V833" s="33"/>
      <c r="X833" s="186"/>
      <c r="Y833" s="186"/>
      <c r="Z833" s="186"/>
      <c r="AA833" s="186"/>
    </row>
    <row r="834" spans="1:29" ht="22.75" thickBot="1" x14ac:dyDescent="0.3">
      <c r="A834" s="272"/>
      <c r="B834" s="90"/>
      <c r="C834" s="91"/>
      <c r="D834" s="91"/>
      <c r="E834" s="92" t="s">
        <v>194</v>
      </c>
      <c r="F834" s="79">
        <f t="shared" ref="F834:N834" si="274">IF(((F832="")*AND(F833="")),"",(F832-F833)*3)</f>
        <v>4267.7099999999991</v>
      </c>
      <c r="G834" s="79">
        <f t="shared" si="274"/>
        <v>3964.5</v>
      </c>
      <c r="H834" s="79">
        <f t="shared" si="274"/>
        <v>3921.3000000000065</v>
      </c>
      <c r="I834" s="79">
        <f t="shared" si="274"/>
        <v>3991.679999999993</v>
      </c>
      <c r="J834" s="79">
        <f t="shared" si="274"/>
        <v>4374.8099999999904</v>
      </c>
      <c r="K834" s="79">
        <f t="shared" si="274"/>
        <v>4273.71000000001</v>
      </c>
      <c r="L834" s="79">
        <f t="shared" si="274"/>
        <v>3971.7600000000057</v>
      </c>
      <c r="M834" s="79">
        <f t="shared" si="274"/>
        <v>4044.3599999999969</v>
      </c>
      <c r="N834" s="79">
        <f t="shared" si="274"/>
        <v>4417.7700000000004</v>
      </c>
      <c r="O834" s="92"/>
      <c r="P834" s="92"/>
      <c r="Q834" s="93"/>
      <c r="R834" s="93"/>
      <c r="S834" s="213"/>
      <c r="T834" s="214"/>
      <c r="U834" s="215"/>
      <c r="V834" s="33"/>
      <c r="X834" s="186"/>
      <c r="Y834" s="186"/>
      <c r="Z834" s="186"/>
      <c r="AA834" s="186"/>
    </row>
    <row r="835" spans="1:29" x14ac:dyDescent="0.25">
      <c r="A835" s="271">
        <v>43493</v>
      </c>
      <c r="B835" s="63" t="s">
        <v>177</v>
      </c>
      <c r="C835" s="65" t="s">
        <v>179</v>
      </c>
      <c r="D835" s="65" t="s">
        <v>178</v>
      </c>
      <c r="E835" s="67" t="s">
        <v>192</v>
      </c>
      <c r="F835" s="33">
        <v>5118.41</v>
      </c>
      <c r="G835" s="33">
        <v>5057.74</v>
      </c>
      <c r="H835" s="33">
        <v>5060.37</v>
      </c>
      <c r="I835" s="33">
        <v>5010.05</v>
      </c>
      <c r="J835" s="33">
        <v>5117.1000000000004</v>
      </c>
      <c r="K835" s="33">
        <v>5113.84</v>
      </c>
      <c r="L835" s="33">
        <v>5025.03</v>
      </c>
      <c r="M835" s="33">
        <v>5035.82</v>
      </c>
      <c r="N835" s="33">
        <v>5133.58</v>
      </c>
      <c r="O835" s="86">
        <f>IF((N836=""),"",MAX(F837:N837))</f>
        <v>3885.7599999999993</v>
      </c>
      <c r="P835" s="86">
        <f>IF(N836="","",MIN(F837:N837))</f>
        <v>3599.46</v>
      </c>
      <c r="Q835" s="87">
        <f>IF((N837=""),"",AVERAGE(F837:N837))</f>
        <v>3787.2111111111103</v>
      </c>
      <c r="R835" s="87">
        <f>IF((N836=""),"",(O835-P835)/(O835+P835)*100)</f>
        <v>3.8248708788786341</v>
      </c>
      <c r="S835" s="181">
        <f>STDEV(F837:N837)</f>
        <v>94.614286506378548</v>
      </c>
      <c r="T835" s="208" t="str">
        <f>IF(N836="","",IF(Q835&gt;3650,IF(R835&lt;7,IF(Q835&lt;4450,"Pass","Fail"),"Fail"),"Fail"))</f>
        <v>Pass</v>
      </c>
      <c r="U835" s="220">
        <v>1340</v>
      </c>
      <c r="V835" s="33" t="s">
        <v>226</v>
      </c>
      <c r="X835" s="184">
        <v>3650</v>
      </c>
      <c r="Y835" s="184">
        <v>4450</v>
      </c>
      <c r="Z835" s="184">
        <v>3700</v>
      </c>
      <c r="AA835" s="184">
        <v>4100</v>
      </c>
      <c r="AB835" s="57">
        <v>6.5</v>
      </c>
      <c r="AC835" s="57">
        <v>7</v>
      </c>
    </row>
    <row r="836" spans="1:29" x14ac:dyDescent="0.25">
      <c r="A836" s="272"/>
      <c r="B836" s="47"/>
      <c r="C836" s="24"/>
      <c r="D836" s="24"/>
      <c r="E836" s="88" t="s">
        <v>193</v>
      </c>
      <c r="F836" s="33">
        <v>3262.07</v>
      </c>
      <c r="G836" s="33">
        <v>3137.22</v>
      </c>
      <c r="H836" s="33">
        <v>3129.12</v>
      </c>
      <c r="I836" s="33">
        <v>3090.11</v>
      </c>
      <c r="J836" s="33">
        <v>3266.58</v>
      </c>
      <c r="K836" s="33">
        <v>3314.11</v>
      </c>
      <c r="L836" s="33">
        <v>3113.16</v>
      </c>
      <c r="M836" s="33">
        <v>3092.94</v>
      </c>
      <c r="N836" s="33">
        <v>3224.18</v>
      </c>
      <c r="O836" s="88"/>
      <c r="P836" s="88"/>
      <c r="Q836" s="89"/>
      <c r="R836" s="89"/>
      <c r="S836" s="210"/>
      <c r="T836" s="28"/>
      <c r="U836" s="217"/>
      <c r="V836" s="33"/>
      <c r="X836" s="186"/>
      <c r="Y836" s="186"/>
      <c r="Z836" s="186"/>
      <c r="AA836" s="186"/>
    </row>
    <row r="837" spans="1:29" ht="22.75" thickBot="1" x14ac:dyDescent="0.3">
      <c r="A837" s="272"/>
      <c r="B837" s="47"/>
      <c r="C837" s="24"/>
      <c r="D837" s="24"/>
      <c r="E837" s="88" t="s">
        <v>194</v>
      </c>
      <c r="F837" s="66">
        <f t="shared" ref="F837:N837" si="275">IF(((F835="")*AND(F836="")),"",(F835-F836)*2)</f>
        <v>3712.6799999999994</v>
      </c>
      <c r="G837" s="66">
        <f t="shared" si="275"/>
        <v>3841.04</v>
      </c>
      <c r="H837" s="66">
        <f t="shared" si="275"/>
        <v>3862.5</v>
      </c>
      <c r="I837" s="66">
        <f t="shared" si="275"/>
        <v>3839.88</v>
      </c>
      <c r="J837" s="66">
        <f t="shared" si="275"/>
        <v>3701.0400000000009</v>
      </c>
      <c r="K837" s="66">
        <f t="shared" si="275"/>
        <v>3599.46</v>
      </c>
      <c r="L837" s="66">
        <f t="shared" si="275"/>
        <v>3823.74</v>
      </c>
      <c r="M837" s="66">
        <f t="shared" si="275"/>
        <v>3885.7599999999993</v>
      </c>
      <c r="N837" s="66">
        <f t="shared" si="275"/>
        <v>3818.8</v>
      </c>
      <c r="O837" s="88"/>
      <c r="P837" s="88"/>
      <c r="Q837" s="89"/>
      <c r="R837" s="89"/>
      <c r="S837" s="210"/>
      <c r="T837" s="28"/>
      <c r="U837" s="217"/>
      <c r="V837" s="33"/>
      <c r="X837" s="186"/>
      <c r="Y837" s="186"/>
      <c r="Z837" s="186"/>
      <c r="AA837" s="186"/>
    </row>
    <row r="838" spans="1:29" x14ac:dyDescent="0.25">
      <c r="A838" s="271">
        <v>43493</v>
      </c>
      <c r="B838" s="24" t="s">
        <v>172</v>
      </c>
      <c r="C838" s="24" t="s">
        <v>174</v>
      </c>
      <c r="D838" s="24" t="s">
        <v>195</v>
      </c>
      <c r="E838" s="88" t="s">
        <v>192</v>
      </c>
      <c r="F838" s="33">
        <v>1290.46</v>
      </c>
      <c r="G838" s="33">
        <v>1294.3499999999999</v>
      </c>
      <c r="H838" s="33">
        <v>1294.78</v>
      </c>
      <c r="I838" s="33">
        <v>1299.71</v>
      </c>
      <c r="J838" s="33">
        <v>1312.54</v>
      </c>
      <c r="K838" s="33">
        <v>1299.98</v>
      </c>
      <c r="L838" s="33">
        <v>1302.52</v>
      </c>
      <c r="M838" s="33">
        <v>1293.43</v>
      </c>
      <c r="N838" s="33">
        <v>1303.08</v>
      </c>
      <c r="O838" s="88">
        <f>IF((N839=""),"",MAX(F840:N840))</f>
        <v>2025.15</v>
      </c>
      <c r="P838" s="88">
        <f>IF(N839="","",MIN(F840:N840))</f>
        <v>1944.1499999999999</v>
      </c>
      <c r="Q838" s="89">
        <f>IF((N840=""),"",AVERAGE(F840:N840))</f>
        <v>1982.1733333333332</v>
      </c>
      <c r="R838" s="89">
        <f>IF((N839=""),"",(O838-P838)/(O838+P838)*100)</f>
        <v>2.0406620814753285</v>
      </c>
      <c r="S838" s="210">
        <f>STDEV(F840:N840)</f>
        <v>22.320494506170792</v>
      </c>
      <c r="T838" s="23" t="str">
        <f>IF(N839="","",IF(Q838&gt;1940,IF(R838&lt;8.3,IF(Q838&lt;2180,"Pass","Fail"),"Fail"),"Fail"))</f>
        <v>Pass</v>
      </c>
      <c r="U838" s="220">
        <v>1340</v>
      </c>
      <c r="V838" s="33" t="s">
        <v>226</v>
      </c>
      <c r="X838" s="184">
        <v>2000</v>
      </c>
      <c r="Y838" s="184">
        <v>3000</v>
      </c>
      <c r="Z838" s="184">
        <v>1940</v>
      </c>
      <c r="AA838" s="184">
        <v>2180</v>
      </c>
      <c r="AB838" s="57">
        <v>5.2</v>
      </c>
    </row>
    <row r="839" spans="1:29" x14ac:dyDescent="0.25">
      <c r="A839" s="272"/>
      <c r="B839" s="47"/>
      <c r="C839" s="24"/>
      <c r="D839" s="24"/>
      <c r="E839" s="88" t="s">
        <v>193</v>
      </c>
      <c r="F839" s="33">
        <v>615.41</v>
      </c>
      <c r="G839" s="33">
        <v>629.28</v>
      </c>
      <c r="H839" s="33">
        <v>636.97</v>
      </c>
      <c r="I839" s="33">
        <v>642.65</v>
      </c>
      <c r="J839" s="33">
        <v>664.49</v>
      </c>
      <c r="K839" s="33">
        <v>640.63</v>
      </c>
      <c r="L839" s="33">
        <v>645.38</v>
      </c>
      <c r="M839" s="33">
        <v>628.19000000000005</v>
      </c>
      <c r="N839" s="33">
        <v>641.33000000000004</v>
      </c>
      <c r="O839" s="88"/>
      <c r="P839" s="88"/>
      <c r="Q839" s="89"/>
      <c r="R839" s="89"/>
      <c r="S839" s="210"/>
      <c r="T839" s="23"/>
      <c r="U839" s="211"/>
      <c r="V839" s="33"/>
      <c r="X839" s="186"/>
      <c r="Y839" s="186"/>
      <c r="Z839" s="186"/>
      <c r="AA839" s="186"/>
    </row>
    <row r="840" spans="1:29" ht="23.3" customHeight="1" thickBot="1" x14ac:dyDescent="0.3">
      <c r="A840" s="272"/>
      <c r="B840" s="47"/>
      <c r="C840" s="24"/>
      <c r="D840" s="24"/>
      <c r="E840" s="88" t="s">
        <v>196</v>
      </c>
      <c r="F840" s="66">
        <f t="shared" ref="F840:N840" si="276">IF(((F838="")*AND(F839="")),"",(F838-F839)*3)</f>
        <v>2025.15</v>
      </c>
      <c r="G840" s="66">
        <f t="shared" si="276"/>
        <v>1995.2099999999998</v>
      </c>
      <c r="H840" s="66">
        <f t="shared" si="276"/>
        <v>1973.4299999999998</v>
      </c>
      <c r="I840" s="66">
        <f t="shared" si="276"/>
        <v>1971.1800000000003</v>
      </c>
      <c r="J840" s="66">
        <f t="shared" si="276"/>
        <v>1944.1499999999999</v>
      </c>
      <c r="K840" s="66">
        <f t="shared" si="276"/>
        <v>1978.0500000000002</v>
      </c>
      <c r="L840" s="66">
        <f t="shared" si="276"/>
        <v>1971.42</v>
      </c>
      <c r="M840" s="66">
        <f t="shared" si="276"/>
        <v>1995.72</v>
      </c>
      <c r="N840" s="66">
        <f t="shared" si="276"/>
        <v>1985.2499999999995</v>
      </c>
      <c r="O840" s="88"/>
      <c r="P840" s="88"/>
      <c r="Q840" s="89"/>
      <c r="R840" s="89"/>
      <c r="S840" s="210"/>
      <c r="T840" s="23"/>
      <c r="U840" s="211"/>
      <c r="V840" s="33"/>
      <c r="X840" s="186"/>
      <c r="Y840" s="186"/>
      <c r="Z840" s="186"/>
      <c r="AA840" s="186"/>
    </row>
    <row r="841" spans="1:29" x14ac:dyDescent="0.25">
      <c r="A841" s="271">
        <v>43493</v>
      </c>
      <c r="B841" s="47" t="s">
        <v>191</v>
      </c>
      <c r="C841" s="24" t="s">
        <v>176</v>
      </c>
      <c r="D841" s="24" t="s">
        <v>175</v>
      </c>
      <c r="E841" s="88" t="s">
        <v>192</v>
      </c>
      <c r="F841" s="33">
        <v>27622.63</v>
      </c>
      <c r="G841" s="33">
        <v>27645.07</v>
      </c>
      <c r="H841" s="33">
        <v>27656.85</v>
      </c>
      <c r="I841" s="33">
        <v>27624.33</v>
      </c>
      <c r="J841" s="33">
        <v>27596.240000000002</v>
      </c>
      <c r="K841" s="33">
        <v>27604.92</v>
      </c>
      <c r="L841" s="33">
        <v>27631.67</v>
      </c>
      <c r="M841" s="33">
        <v>27602.34</v>
      </c>
      <c r="N841" s="33">
        <v>27555.9</v>
      </c>
      <c r="O841" s="88">
        <f>IF((N842=""),"",MAX(F843:N843))</f>
        <v>4598.7600000000057</v>
      </c>
      <c r="P841" s="88">
        <f>IF(N842="","",MIN(F843:N843))</f>
        <v>4078.9799999999996</v>
      </c>
      <c r="Q841" s="89">
        <f>IF((N843=""),"",AVERAGE(F843:N843))</f>
        <v>4281.6133333333337</v>
      </c>
      <c r="R841" s="89">
        <f>IF((N842=""),"",(O841-P841)/(O841+P841)*100)</f>
        <v>5.9898084063362784</v>
      </c>
      <c r="S841" s="210">
        <f>STDEV(F843:N843)</f>
        <v>184.83170067658924</v>
      </c>
      <c r="T841" s="23" t="str">
        <f>IF(N842="","",IF(R841&lt;16,IF(Q841&gt;3200,IF(R841,IF(Q841&lt;5240,"Pass","Fail"),"Fail"),"Fail")))</f>
        <v>Pass</v>
      </c>
      <c r="U841" s="220">
        <v>1340</v>
      </c>
      <c r="V841" s="33" t="s">
        <v>226</v>
      </c>
      <c r="X841" s="184">
        <v>4200</v>
      </c>
      <c r="Y841" s="184">
        <v>5500</v>
      </c>
      <c r="Z841" s="184">
        <v>3200</v>
      </c>
      <c r="AA841" s="184">
        <v>5240</v>
      </c>
      <c r="AB841" s="57">
        <v>16</v>
      </c>
    </row>
    <row r="842" spans="1:29" x14ac:dyDescent="0.25">
      <c r="A842" s="272"/>
      <c r="B842" s="47"/>
      <c r="C842" s="24"/>
      <c r="D842" s="24"/>
      <c r="E842" s="88" t="s">
        <v>193</v>
      </c>
      <c r="F842" s="33">
        <v>26126.99</v>
      </c>
      <c r="G842" s="33">
        <v>26253.37</v>
      </c>
      <c r="H842" s="33">
        <v>26297.19</v>
      </c>
      <c r="I842" s="33">
        <v>26247.21</v>
      </c>
      <c r="J842" s="33">
        <v>26122.240000000002</v>
      </c>
      <c r="K842" s="33">
        <v>26163.07</v>
      </c>
      <c r="L842" s="33">
        <v>26259.34</v>
      </c>
      <c r="M842" s="33">
        <v>26202.720000000001</v>
      </c>
      <c r="N842" s="33">
        <v>26022.98</v>
      </c>
      <c r="O842" s="88"/>
      <c r="P842" s="88"/>
      <c r="Q842" s="89"/>
      <c r="R842" s="89"/>
      <c r="S842" s="210"/>
      <c r="T842" s="23"/>
      <c r="U842" s="211"/>
      <c r="V842" s="33"/>
      <c r="X842" s="186"/>
      <c r="Y842" s="186"/>
      <c r="Z842" s="186"/>
      <c r="AA842" s="186"/>
    </row>
    <row r="843" spans="1:29" ht="22.75" thickBot="1" x14ac:dyDescent="0.3">
      <c r="A843" s="272"/>
      <c r="B843" s="90"/>
      <c r="C843" s="91"/>
      <c r="D843" s="91"/>
      <c r="E843" s="92" t="s">
        <v>194</v>
      </c>
      <c r="F843" s="79">
        <f t="shared" ref="F843:N843" si="277">IF(((F841="")*AND(F842="")),"",(F841-F842)*3)</f>
        <v>4486.9199999999983</v>
      </c>
      <c r="G843" s="79">
        <f t="shared" si="277"/>
        <v>4175.1000000000022</v>
      </c>
      <c r="H843" s="79">
        <f t="shared" si="277"/>
        <v>4078.9799999999996</v>
      </c>
      <c r="I843" s="79">
        <f t="shared" si="277"/>
        <v>4131.3600000000079</v>
      </c>
      <c r="J843" s="79">
        <f t="shared" si="277"/>
        <v>4422</v>
      </c>
      <c r="K843" s="79">
        <f t="shared" si="277"/>
        <v>4325.5499999999956</v>
      </c>
      <c r="L843" s="79">
        <f t="shared" si="277"/>
        <v>4116.9899999999943</v>
      </c>
      <c r="M843" s="79">
        <f t="shared" si="277"/>
        <v>4198.8599999999969</v>
      </c>
      <c r="N843" s="79">
        <f t="shared" si="277"/>
        <v>4598.7600000000057</v>
      </c>
      <c r="O843" s="92"/>
      <c r="P843" s="92"/>
      <c r="Q843" s="93"/>
      <c r="R843" s="93"/>
      <c r="S843" s="213"/>
      <c r="T843" s="214"/>
      <c r="U843" s="215"/>
      <c r="V843" s="33"/>
      <c r="X843" s="186"/>
      <c r="Y843" s="186"/>
      <c r="Z843" s="186"/>
      <c r="AA843" s="186"/>
    </row>
    <row r="844" spans="1:29" x14ac:dyDescent="0.25">
      <c r="A844" s="271">
        <v>43497</v>
      </c>
      <c r="B844" s="63" t="s">
        <v>177</v>
      </c>
      <c r="C844" s="65" t="s">
        <v>179</v>
      </c>
      <c r="D844" s="65" t="s">
        <v>178</v>
      </c>
      <c r="E844" s="67" t="s">
        <v>192</v>
      </c>
      <c r="F844" s="33">
        <v>3269.02</v>
      </c>
      <c r="G844" s="33">
        <v>3143.67</v>
      </c>
      <c r="H844" s="33">
        <v>3135.49</v>
      </c>
      <c r="I844" s="33">
        <v>3096</v>
      </c>
      <c r="J844" s="33">
        <v>3273.08</v>
      </c>
      <c r="K844" s="33">
        <v>3321.21</v>
      </c>
      <c r="L844" s="33">
        <v>3119.42</v>
      </c>
      <c r="M844" s="33">
        <v>3098.94</v>
      </c>
      <c r="N844" s="33">
        <v>3230.45</v>
      </c>
      <c r="O844" s="86">
        <f>IF((N845=""),"",MAX(F846:N846))</f>
        <v>3875.06</v>
      </c>
      <c r="P844" s="86">
        <f>IF(N845="","",MIN(F846:N846))</f>
        <v>3647.84</v>
      </c>
      <c r="Q844" s="87">
        <f>IF((N846=""),"",AVERAGE(F846:N846))</f>
        <v>3806.8244444444445</v>
      </c>
      <c r="R844" s="87">
        <f>IF((N845=""),"",(O844-P844)/(O844+P844)*100)</f>
        <v>3.020377779845536</v>
      </c>
      <c r="S844" s="181">
        <f>STDEV(F846:N846)</f>
        <v>75.9381924842682</v>
      </c>
      <c r="T844" s="208" t="str">
        <f>IF(N845="","",IF(Q844&gt;3650,IF(R844&lt;7,IF(Q844&lt;4450,"Pass","Fail"),"Fail"),"Fail"))</f>
        <v>Pass</v>
      </c>
      <c r="U844" s="220">
        <v>1159</v>
      </c>
      <c r="V844" s="33" t="s">
        <v>227</v>
      </c>
      <c r="X844" s="184">
        <v>3650</v>
      </c>
      <c r="Y844" s="184">
        <v>4450</v>
      </c>
      <c r="Z844" s="184">
        <v>3700</v>
      </c>
      <c r="AA844" s="184">
        <v>4100</v>
      </c>
      <c r="AB844" s="57">
        <v>6.5</v>
      </c>
      <c r="AC844" s="57">
        <v>7</v>
      </c>
    </row>
    <row r="845" spans="1:29" x14ac:dyDescent="0.25">
      <c r="A845" s="272"/>
      <c r="B845" s="47"/>
      <c r="C845" s="24"/>
      <c r="D845" s="24"/>
      <c r="E845" s="88" t="s">
        <v>193</v>
      </c>
      <c r="F845" s="33">
        <v>1389.52</v>
      </c>
      <c r="G845" s="33">
        <v>1217.71</v>
      </c>
      <c r="H845" s="33">
        <v>1201.06</v>
      </c>
      <c r="I845" s="33">
        <v>1178.52</v>
      </c>
      <c r="J845" s="33">
        <v>1403.46</v>
      </c>
      <c r="K845" s="33">
        <v>1497.29</v>
      </c>
      <c r="L845" s="33">
        <v>1202.75</v>
      </c>
      <c r="M845" s="33">
        <v>1161.4100000000001</v>
      </c>
      <c r="N845" s="33">
        <v>1304.8499999999999</v>
      </c>
      <c r="O845" s="88"/>
      <c r="P845" s="88"/>
      <c r="Q845" s="89"/>
      <c r="R845" s="89"/>
      <c r="S845" s="210"/>
      <c r="T845" s="28"/>
      <c r="U845" s="217"/>
      <c r="V845" s="33"/>
      <c r="X845" s="186"/>
      <c r="Y845" s="186"/>
      <c r="Z845" s="186"/>
      <c r="AA845" s="186"/>
    </row>
    <row r="846" spans="1:29" ht="22.75" thickBot="1" x14ac:dyDescent="0.3">
      <c r="A846" s="272"/>
      <c r="B846" s="47"/>
      <c r="C846" s="24"/>
      <c r="D846" s="24"/>
      <c r="E846" s="88" t="s">
        <v>194</v>
      </c>
      <c r="F846" s="66">
        <f t="shared" ref="F846:N846" si="278">IF(((F844="")*AND(F845="")),"",(F844-F845)*2)</f>
        <v>3759</v>
      </c>
      <c r="G846" s="66">
        <f t="shared" si="278"/>
        <v>3851.92</v>
      </c>
      <c r="H846" s="66">
        <f t="shared" si="278"/>
        <v>3868.8599999999997</v>
      </c>
      <c r="I846" s="66">
        <f t="shared" si="278"/>
        <v>3834.96</v>
      </c>
      <c r="J846" s="66">
        <f t="shared" si="278"/>
        <v>3739.24</v>
      </c>
      <c r="K846" s="66">
        <f t="shared" si="278"/>
        <v>3647.84</v>
      </c>
      <c r="L846" s="66">
        <f t="shared" si="278"/>
        <v>3833.34</v>
      </c>
      <c r="M846" s="66">
        <f t="shared" si="278"/>
        <v>3875.06</v>
      </c>
      <c r="N846" s="66">
        <f t="shared" si="278"/>
        <v>3851.2</v>
      </c>
      <c r="O846" s="88"/>
      <c r="P846" s="88"/>
      <c r="Q846" s="89"/>
      <c r="R846" s="89"/>
      <c r="S846" s="210"/>
      <c r="T846" s="28"/>
      <c r="U846" s="217"/>
      <c r="V846" s="33"/>
      <c r="X846" s="186"/>
      <c r="Y846" s="186"/>
      <c r="Z846" s="186"/>
      <c r="AA846" s="186"/>
    </row>
    <row r="847" spans="1:29" x14ac:dyDescent="0.25">
      <c r="A847" s="271">
        <v>43497</v>
      </c>
      <c r="B847" s="24" t="s">
        <v>172</v>
      </c>
      <c r="C847" s="24" t="s">
        <v>174</v>
      </c>
      <c r="D847" s="24" t="s">
        <v>195</v>
      </c>
      <c r="E847" s="88" t="s">
        <v>192</v>
      </c>
      <c r="F847" s="33">
        <v>1951.14</v>
      </c>
      <c r="G847" s="33">
        <v>1947.97</v>
      </c>
      <c r="H847" s="33">
        <v>1947.18</v>
      </c>
      <c r="I847" s="33">
        <v>1940.91</v>
      </c>
      <c r="J847" s="33">
        <v>1948.83</v>
      </c>
      <c r="K847" s="33">
        <v>1950.94</v>
      </c>
      <c r="L847" s="33">
        <v>1942.46</v>
      </c>
      <c r="M847" s="33">
        <v>1947.59</v>
      </c>
      <c r="N847" s="33">
        <v>1952.16</v>
      </c>
      <c r="O847" s="88">
        <f>IF((N848=""),"",MAX(F849:N849))</f>
        <v>2026.3200000000002</v>
      </c>
      <c r="P847" s="88">
        <f>IF(N848="","",MIN(F849:N849))</f>
        <v>1937.25</v>
      </c>
      <c r="Q847" s="89">
        <f>IF((N849=""),"",AVERAGE(F849:N849))</f>
        <v>1974.5433333333333</v>
      </c>
      <c r="R847" s="89">
        <f>IF((N848=""),"",(O847-P847)/(O847+P847)*100)</f>
        <v>2.2472165244968592</v>
      </c>
      <c r="S847" s="210">
        <f>STDEV(F849:N849)</f>
        <v>28.464461175297256</v>
      </c>
      <c r="T847" s="23" t="str">
        <f>IF(N848="","",IF(Q847&gt;1940,IF(R847&lt;8.3,IF(Q847&lt;2180,"Pass","Fail"),"Fail"),"Fail"))</f>
        <v>Pass</v>
      </c>
      <c r="U847" s="220">
        <v>1159</v>
      </c>
      <c r="V847" s="33" t="s">
        <v>227</v>
      </c>
      <c r="X847" s="184">
        <v>2000</v>
      </c>
      <c r="Y847" s="184">
        <v>3000</v>
      </c>
      <c r="Z847" s="184">
        <v>1940</v>
      </c>
      <c r="AA847" s="184">
        <v>2180</v>
      </c>
      <c r="AB847" s="57">
        <v>5.2</v>
      </c>
    </row>
    <row r="848" spans="1:29" x14ac:dyDescent="0.25">
      <c r="A848" s="272"/>
      <c r="B848" s="47"/>
      <c r="C848" s="24"/>
      <c r="D848" s="24"/>
      <c r="E848" s="88" t="s">
        <v>193</v>
      </c>
      <c r="F848" s="33">
        <v>1275.7</v>
      </c>
      <c r="G848" s="33">
        <v>1283.5999999999999</v>
      </c>
      <c r="H848" s="33">
        <v>1287.01</v>
      </c>
      <c r="I848" s="33">
        <v>1293.8900000000001</v>
      </c>
      <c r="J848" s="33">
        <v>1303.08</v>
      </c>
      <c r="K848" s="33">
        <v>1286.78</v>
      </c>
      <c r="L848" s="33">
        <v>1288.67</v>
      </c>
      <c r="M848" s="33">
        <v>1286.6500000000001</v>
      </c>
      <c r="N848" s="33">
        <v>1300.17</v>
      </c>
      <c r="O848" s="88"/>
      <c r="P848" s="88"/>
      <c r="Q848" s="89"/>
      <c r="R848" s="89"/>
      <c r="S848" s="210"/>
      <c r="T848" s="23"/>
      <c r="U848" s="211"/>
      <c r="V848" s="33"/>
      <c r="X848" s="186"/>
      <c r="Y848" s="186"/>
      <c r="Z848" s="186"/>
      <c r="AA848" s="186"/>
    </row>
    <row r="849" spans="1:29" ht="26.6" customHeight="1" thickBot="1" x14ac:dyDescent="0.3">
      <c r="A849" s="272"/>
      <c r="B849" s="47"/>
      <c r="C849" s="24"/>
      <c r="D849" s="24"/>
      <c r="E849" s="88" t="s">
        <v>196</v>
      </c>
      <c r="F849" s="66">
        <f t="shared" ref="F849:N849" si="279">IF(((F847="")*AND(F848="")),"",(F847-F848)*3)</f>
        <v>2026.3200000000002</v>
      </c>
      <c r="G849" s="66">
        <f t="shared" si="279"/>
        <v>1993.1100000000004</v>
      </c>
      <c r="H849" s="66">
        <f t="shared" si="279"/>
        <v>1980.5100000000002</v>
      </c>
      <c r="I849" s="66">
        <f t="shared" si="279"/>
        <v>1941.06</v>
      </c>
      <c r="J849" s="66">
        <f t="shared" si="279"/>
        <v>1937.25</v>
      </c>
      <c r="K849" s="66">
        <f t="shared" si="279"/>
        <v>1992.4800000000002</v>
      </c>
      <c r="L849" s="66">
        <f t="shared" si="279"/>
        <v>1961.37</v>
      </c>
      <c r="M849" s="66">
        <f t="shared" si="279"/>
        <v>1982.8199999999995</v>
      </c>
      <c r="N849" s="66">
        <f t="shared" si="279"/>
        <v>1955.97</v>
      </c>
      <c r="O849" s="88"/>
      <c r="P849" s="88"/>
      <c r="Q849" s="89"/>
      <c r="R849" s="89"/>
      <c r="S849" s="210"/>
      <c r="T849" s="23"/>
      <c r="U849" s="211"/>
      <c r="V849" s="33"/>
      <c r="X849" s="186"/>
      <c r="Y849" s="186"/>
      <c r="Z849" s="186"/>
      <c r="AA849" s="186"/>
    </row>
    <row r="850" spans="1:29" x14ac:dyDescent="0.25">
      <c r="A850" s="271">
        <v>43497</v>
      </c>
      <c r="B850" s="47" t="s">
        <v>191</v>
      </c>
      <c r="C850" s="24" t="s">
        <v>176</v>
      </c>
      <c r="D850" s="24" t="s">
        <v>175</v>
      </c>
      <c r="E850" s="88" t="s">
        <v>192</v>
      </c>
      <c r="F850" s="33">
        <v>26057.01</v>
      </c>
      <c r="G850" s="33">
        <v>26203.18</v>
      </c>
      <c r="H850" s="33">
        <v>26252.53</v>
      </c>
      <c r="I850" s="33">
        <v>26209.99</v>
      </c>
      <c r="J850" s="33">
        <v>26081.279999999999</v>
      </c>
      <c r="K850" s="33">
        <v>26115.63</v>
      </c>
      <c r="L850" s="33">
        <v>26214.37</v>
      </c>
      <c r="M850" s="33">
        <v>26158.26</v>
      </c>
      <c r="N850" s="33">
        <v>25981.43</v>
      </c>
      <c r="O850" s="88">
        <f>IF((N851=""),"",MAX(F852:N852))</f>
        <v>4460.6099999999969</v>
      </c>
      <c r="P850" s="88">
        <f>IF(N851="","",MIN(F852:N852))</f>
        <v>3933.7799999999952</v>
      </c>
      <c r="Q850" s="89">
        <f>IF((N852=""),"",AVERAGE(F852:N852))</f>
        <v>4172.21</v>
      </c>
      <c r="R850" s="89">
        <f>IF((N851=""),"",(O850-P850)/(O850+P850)*100)</f>
        <v>6.2759771704674465</v>
      </c>
      <c r="S850" s="210">
        <f>STDEV(F852:N852)</f>
        <v>206.5429051069049</v>
      </c>
      <c r="T850" s="23" t="str">
        <f>IF(N851="","",IF(R850&lt;16,IF(Q850&gt;3200,IF(R850,IF(Q850&lt;5240,"Pass","Fail"),"Fail"),"Fail")))</f>
        <v>Pass</v>
      </c>
      <c r="U850" s="220">
        <v>1159</v>
      </c>
      <c r="V850" s="33" t="s">
        <v>227</v>
      </c>
      <c r="X850" s="184">
        <v>4200</v>
      </c>
      <c r="Y850" s="184">
        <v>5500</v>
      </c>
      <c r="Z850" s="184">
        <v>3200</v>
      </c>
      <c r="AA850" s="184">
        <v>5240</v>
      </c>
      <c r="AB850" s="57">
        <v>16</v>
      </c>
    </row>
    <row r="851" spans="1:29" x14ac:dyDescent="0.25">
      <c r="A851" s="272"/>
      <c r="B851" s="47"/>
      <c r="C851" s="24"/>
      <c r="D851" s="24"/>
      <c r="E851" s="88" t="s">
        <v>193</v>
      </c>
      <c r="F851" s="33">
        <v>24620.38</v>
      </c>
      <c r="G851" s="33">
        <v>24867.4</v>
      </c>
      <c r="H851" s="33">
        <v>24941.27</v>
      </c>
      <c r="I851" s="33">
        <v>24850.3</v>
      </c>
      <c r="J851" s="33">
        <v>24605.82</v>
      </c>
      <c r="K851" s="33">
        <v>24673.85</v>
      </c>
      <c r="L851" s="33">
        <v>24889.3</v>
      </c>
      <c r="M851" s="33">
        <v>24814.17</v>
      </c>
      <c r="N851" s="33">
        <v>24494.560000000001</v>
      </c>
      <c r="O851" s="88"/>
      <c r="P851" s="88"/>
      <c r="Q851" s="89"/>
      <c r="R851" s="89"/>
      <c r="S851" s="210"/>
      <c r="T851" s="23"/>
      <c r="U851" s="211"/>
      <c r="V851" s="33"/>
      <c r="X851" s="186"/>
      <c r="Y851" s="186"/>
      <c r="Z851" s="186"/>
      <c r="AA851" s="186"/>
    </row>
    <row r="852" spans="1:29" ht="22.75" thickBot="1" x14ac:dyDescent="0.3">
      <c r="A852" s="272"/>
      <c r="B852" s="90"/>
      <c r="C852" s="91"/>
      <c r="D852" s="91"/>
      <c r="E852" s="92" t="s">
        <v>194</v>
      </c>
      <c r="F852" s="79">
        <f t="shared" ref="F852:N852" si="280">IF(((F850="")*AND(F851="")),"",(F850-F851)*3)</f>
        <v>4309.8899999999921</v>
      </c>
      <c r="G852" s="79">
        <f t="shared" si="280"/>
        <v>4007.3399999999965</v>
      </c>
      <c r="H852" s="79">
        <f t="shared" si="280"/>
        <v>3933.7799999999952</v>
      </c>
      <c r="I852" s="79">
        <f t="shared" si="280"/>
        <v>4079.070000000007</v>
      </c>
      <c r="J852" s="79">
        <f t="shared" si="280"/>
        <v>4426.3799999999974</v>
      </c>
      <c r="K852" s="79">
        <f t="shared" si="280"/>
        <v>4325.3400000000074</v>
      </c>
      <c r="L852" s="79">
        <f t="shared" si="280"/>
        <v>3975.2099999999991</v>
      </c>
      <c r="M852" s="79">
        <f t="shared" si="280"/>
        <v>4032.2700000000004</v>
      </c>
      <c r="N852" s="79">
        <f t="shared" si="280"/>
        <v>4460.6099999999969</v>
      </c>
      <c r="O852" s="92"/>
      <c r="P852" s="92"/>
      <c r="Q852" s="93"/>
      <c r="R852" s="93"/>
      <c r="S852" s="213"/>
      <c r="T852" s="214"/>
      <c r="U852" s="215"/>
      <c r="V852" s="33"/>
      <c r="X852" s="186"/>
      <c r="Y852" s="186"/>
      <c r="Z852" s="186"/>
      <c r="AA852" s="186"/>
    </row>
    <row r="853" spans="1:29" x14ac:dyDescent="0.25">
      <c r="A853" s="271">
        <v>43503</v>
      </c>
      <c r="B853" s="63" t="s">
        <v>177</v>
      </c>
      <c r="C853" s="65" t="s">
        <v>179</v>
      </c>
      <c r="D853" s="65" t="s">
        <v>178</v>
      </c>
      <c r="E853" s="67" t="s">
        <v>192</v>
      </c>
      <c r="F853" s="33">
        <v>6845.34</v>
      </c>
      <c r="G853" s="33">
        <v>6831.55</v>
      </c>
      <c r="H853" s="33">
        <v>6876.31</v>
      </c>
      <c r="I853" s="33">
        <v>6837.8</v>
      </c>
      <c r="J853" s="33">
        <v>6889.62</v>
      </c>
      <c r="K853" s="33">
        <v>6867.8</v>
      </c>
      <c r="L853" s="33">
        <v>6863.99</v>
      </c>
      <c r="M853" s="33">
        <v>6867.53</v>
      </c>
      <c r="N853" s="33">
        <v>6950.11</v>
      </c>
      <c r="O853" s="86">
        <f>IF((N854=""),"",MAX(F855:N855))</f>
        <v>3808.7000000000007</v>
      </c>
      <c r="P853" s="86">
        <f>IF(N854="","",MIN(F855:N855))</f>
        <v>3579.0400000000009</v>
      </c>
      <c r="Q853" s="87">
        <f>IF((N855=""),"",AVERAGE(F855:N855))</f>
        <v>3730.0311111111109</v>
      </c>
      <c r="R853" s="87">
        <f>IF((N854=""),"",(O853-P853)/(O853+P853)*100)</f>
        <v>3.1086638132906654</v>
      </c>
      <c r="S853" s="181">
        <f>STDEV(F855:N855)</f>
        <v>82.571386757829558</v>
      </c>
      <c r="T853" s="208" t="str">
        <f>IF(N854="","",IF(Q853&gt;3650,IF(R853&lt;7,IF(Q853&lt;4450,"Pass","Fail"),"Fail"),"Fail"))</f>
        <v>Pass</v>
      </c>
      <c r="U853" s="220">
        <v>1340</v>
      </c>
      <c r="V853" s="33" t="s">
        <v>228</v>
      </c>
      <c r="X853" s="184">
        <v>3650</v>
      </c>
      <c r="Y853" s="184">
        <v>4450</v>
      </c>
      <c r="Z853" s="184">
        <v>3700</v>
      </c>
      <c r="AA853" s="184">
        <v>4100</v>
      </c>
      <c r="AB853" s="57">
        <v>6.5</v>
      </c>
      <c r="AC853" s="57">
        <v>7</v>
      </c>
    </row>
    <row r="854" spans="1:29" x14ac:dyDescent="0.25">
      <c r="A854" s="272"/>
      <c r="B854" s="47"/>
      <c r="C854" s="24"/>
      <c r="D854" s="24"/>
      <c r="E854" s="88" t="s">
        <v>193</v>
      </c>
      <c r="F854" s="33">
        <v>5021.13</v>
      </c>
      <c r="G854" s="33">
        <v>4944.96</v>
      </c>
      <c r="H854" s="33">
        <v>4971.96</v>
      </c>
      <c r="I854" s="33">
        <v>4945.7</v>
      </c>
      <c r="J854" s="33">
        <v>5062.12</v>
      </c>
      <c r="K854" s="33">
        <v>5078.28</v>
      </c>
      <c r="L854" s="33">
        <v>4972.71</v>
      </c>
      <c r="M854" s="33">
        <v>4964.7700000000004</v>
      </c>
      <c r="N854" s="33">
        <v>5083.28</v>
      </c>
      <c r="O854" s="88"/>
      <c r="P854" s="88"/>
      <c r="Q854" s="89"/>
      <c r="R854" s="89"/>
      <c r="S854" s="210"/>
      <c r="T854" s="28"/>
      <c r="U854" s="217"/>
      <c r="V854" s="33"/>
      <c r="X854" s="186"/>
      <c r="Y854" s="186"/>
      <c r="Z854" s="186"/>
      <c r="AA854" s="186"/>
    </row>
    <row r="855" spans="1:29" ht="22.75" thickBot="1" x14ac:dyDescent="0.3">
      <c r="A855" s="272"/>
      <c r="B855" s="47"/>
      <c r="C855" s="24"/>
      <c r="D855" s="24"/>
      <c r="E855" s="88" t="s">
        <v>194</v>
      </c>
      <c r="F855" s="66">
        <f t="shared" ref="F855:N855" si="281">IF(((F853="")*AND(F854="")),"",(F853-F854)*2)</f>
        <v>3648.42</v>
      </c>
      <c r="G855" s="66">
        <f t="shared" si="281"/>
        <v>3773.1800000000003</v>
      </c>
      <c r="H855" s="66">
        <f t="shared" si="281"/>
        <v>3808.7000000000007</v>
      </c>
      <c r="I855" s="66">
        <f t="shared" si="281"/>
        <v>3784.2000000000007</v>
      </c>
      <c r="J855" s="66">
        <f t="shared" si="281"/>
        <v>3655</v>
      </c>
      <c r="K855" s="66">
        <f t="shared" si="281"/>
        <v>3579.0400000000009</v>
      </c>
      <c r="L855" s="66">
        <f t="shared" si="281"/>
        <v>3782.5599999999995</v>
      </c>
      <c r="M855" s="66">
        <f t="shared" si="281"/>
        <v>3805.5199999999986</v>
      </c>
      <c r="N855" s="66">
        <f t="shared" si="281"/>
        <v>3733.66</v>
      </c>
      <c r="O855" s="88"/>
      <c r="P855" s="88"/>
      <c r="Q855" s="89"/>
      <c r="R855" s="89"/>
      <c r="S855" s="210"/>
      <c r="T855" s="28"/>
      <c r="U855" s="217"/>
      <c r="V855" s="33"/>
      <c r="X855" s="186"/>
      <c r="Y855" s="186"/>
      <c r="Z855" s="186"/>
      <c r="AA855" s="186"/>
    </row>
    <row r="856" spans="1:29" x14ac:dyDescent="0.25">
      <c r="A856" s="271">
        <v>43503</v>
      </c>
      <c r="B856" s="24" t="s">
        <v>172</v>
      </c>
      <c r="C856" s="24" t="s">
        <v>174</v>
      </c>
      <c r="D856" s="24" t="s">
        <v>195</v>
      </c>
      <c r="E856" s="88" t="s">
        <v>192</v>
      </c>
      <c r="F856" s="33">
        <v>1974.93</v>
      </c>
      <c r="G856" s="33">
        <v>1968.42</v>
      </c>
      <c r="H856" s="33">
        <v>1964.79</v>
      </c>
      <c r="I856" s="33">
        <v>1970.54</v>
      </c>
      <c r="J856" s="33">
        <v>1980.92</v>
      </c>
      <c r="K856" s="33">
        <v>1979.97</v>
      </c>
      <c r="L856" s="33">
        <v>1969.2</v>
      </c>
      <c r="M856" s="33">
        <v>1972.04</v>
      </c>
      <c r="N856" s="33">
        <v>1977.76</v>
      </c>
      <c r="O856" s="88">
        <f>IF((N857=""),"",MAX(F858:N858))</f>
        <v>2057.7300000000005</v>
      </c>
      <c r="P856" s="88">
        <f>IF(N857="","",MIN(F858:N858))</f>
        <v>2007.2999999999997</v>
      </c>
      <c r="Q856" s="89">
        <f>IF((N858=""),"",AVERAGE(F858:N858))</f>
        <v>2028.6233333333334</v>
      </c>
      <c r="R856" s="89">
        <f>IF((N857=""),"",(O856-P856)/(O856+P856)*100)</f>
        <v>1.2405812503228941</v>
      </c>
      <c r="S856" s="210">
        <f>STDEV(F858:N858)</f>
        <v>15.687022502693249</v>
      </c>
      <c r="T856" s="23" t="str">
        <f>IF(N857="","",IF(Q856&gt;1940,IF(R856&lt;8.3,IF(Q856&lt;2180,"Pass","Fail"),"Fail"),"Fail"))</f>
        <v>Pass</v>
      </c>
      <c r="U856" s="220">
        <v>1340</v>
      </c>
      <c r="V856" s="33" t="s">
        <v>228</v>
      </c>
      <c r="X856" s="184">
        <v>2000</v>
      </c>
      <c r="Y856" s="184">
        <v>3000</v>
      </c>
      <c r="Z856" s="184">
        <v>1940</v>
      </c>
      <c r="AA856" s="184">
        <v>2180</v>
      </c>
      <c r="AB856" s="57">
        <v>5.2</v>
      </c>
    </row>
    <row r="857" spans="1:29" x14ac:dyDescent="0.25">
      <c r="A857" s="272"/>
      <c r="B857" s="47"/>
      <c r="C857" s="24"/>
      <c r="D857" s="24"/>
      <c r="E857" s="88" t="s">
        <v>193</v>
      </c>
      <c r="F857" s="33">
        <v>1289.02</v>
      </c>
      <c r="G857" s="33">
        <v>1291.1099999999999</v>
      </c>
      <c r="H857" s="33">
        <v>1295.69</v>
      </c>
      <c r="I857" s="33">
        <v>1296.32</v>
      </c>
      <c r="J857" s="33">
        <v>1307.78</v>
      </c>
      <c r="K857" s="33">
        <v>1298.27</v>
      </c>
      <c r="L857" s="33">
        <v>1296.42</v>
      </c>
      <c r="M857" s="33">
        <v>1293.24</v>
      </c>
      <c r="N857" s="33">
        <v>1304.8499999999999</v>
      </c>
      <c r="O857" s="88"/>
      <c r="P857" s="88"/>
      <c r="Q857" s="89"/>
      <c r="R857" s="89"/>
      <c r="S857" s="210"/>
      <c r="T857" s="23"/>
      <c r="U857" s="211"/>
      <c r="V857" s="33"/>
      <c r="X857" s="186"/>
      <c r="Y857" s="186"/>
      <c r="Z857" s="186"/>
      <c r="AA857" s="186"/>
    </row>
    <row r="858" spans="1:29" ht="13.3" thickBot="1" x14ac:dyDescent="0.3">
      <c r="A858" s="272"/>
      <c r="B858" s="47"/>
      <c r="C858" s="24"/>
      <c r="D858" s="24"/>
      <c r="E858" s="88" t="s">
        <v>196</v>
      </c>
      <c r="F858" s="66">
        <f t="shared" ref="F858:N858" si="282">IF(((F856="")*AND(F857="")),"",(F856-F857)*3)</f>
        <v>2057.7300000000005</v>
      </c>
      <c r="G858" s="66">
        <f t="shared" si="282"/>
        <v>2031.9300000000005</v>
      </c>
      <c r="H858" s="66">
        <f t="shared" si="282"/>
        <v>2007.2999999999997</v>
      </c>
      <c r="I858" s="66">
        <f t="shared" si="282"/>
        <v>2022.66</v>
      </c>
      <c r="J858" s="66">
        <f t="shared" si="282"/>
        <v>2019.4200000000003</v>
      </c>
      <c r="K858" s="66">
        <f t="shared" si="282"/>
        <v>2045.1000000000001</v>
      </c>
      <c r="L858" s="66">
        <f t="shared" si="282"/>
        <v>2018.34</v>
      </c>
      <c r="M858" s="66">
        <f t="shared" si="282"/>
        <v>2036.3999999999999</v>
      </c>
      <c r="N858" s="66">
        <f t="shared" si="282"/>
        <v>2018.7300000000002</v>
      </c>
      <c r="O858" s="88"/>
      <c r="P858" s="88"/>
      <c r="Q858" s="89"/>
      <c r="R858" s="89"/>
      <c r="S858" s="210"/>
      <c r="T858" s="23"/>
      <c r="U858" s="211"/>
      <c r="V858" s="33"/>
      <c r="X858" s="186"/>
      <c r="Y858" s="186"/>
      <c r="Z858" s="186"/>
      <c r="AA858" s="186"/>
    </row>
    <row r="859" spans="1:29" x14ac:dyDescent="0.25">
      <c r="A859" s="271">
        <v>43503</v>
      </c>
      <c r="B859" s="47" t="s">
        <v>191</v>
      </c>
      <c r="C859" s="24" t="s">
        <v>176</v>
      </c>
      <c r="D859" s="24" t="s">
        <v>175</v>
      </c>
      <c r="E859" s="88" t="s">
        <v>192</v>
      </c>
      <c r="F859" s="33">
        <v>29173.66</v>
      </c>
      <c r="G859" s="33">
        <v>29092.11</v>
      </c>
      <c r="H859" s="33">
        <v>29091.13</v>
      </c>
      <c r="I859" s="33">
        <v>29094.62</v>
      </c>
      <c r="J859" s="33">
        <v>29190.21</v>
      </c>
      <c r="K859" s="33">
        <v>29172.45</v>
      </c>
      <c r="L859" s="33">
        <v>29079.79</v>
      </c>
      <c r="M859" s="33">
        <v>29083.22</v>
      </c>
      <c r="N859" s="33">
        <v>29162.14</v>
      </c>
      <c r="O859" s="88">
        <f>IF((N860=""),"",MAX(F861:N861))</f>
        <v>4485</v>
      </c>
      <c r="P859" s="88">
        <f>IF(N860="","",MIN(F861:N861))</f>
        <v>3989.4900000000052</v>
      </c>
      <c r="Q859" s="89">
        <f>IF((N861=""),"",AVERAGE(F861:N861))</f>
        <v>4202.8633333333337</v>
      </c>
      <c r="R859" s="89">
        <f>IF((N860=""),"",(O859-P859)/(O859+P859)*100)</f>
        <v>5.847077523249121</v>
      </c>
      <c r="S859" s="210">
        <f>STDEV(F861:N861)</f>
        <v>194.75707548122526</v>
      </c>
      <c r="T859" s="23" t="str">
        <f>IF(N860="","",IF(R859&lt;16,IF(Q859&gt;3200,IF(R859,IF(Q859&lt;5240,"Pass","Fail"),"Fail"),"Fail")))</f>
        <v>Pass</v>
      </c>
      <c r="U859" s="220">
        <v>1340</v>
      </c>
      <c r="V859" s="33" t="s">
        <v>228</v>
      </c>
      <c r="X859" s="184">
        <v>4200</v>
      </c>
      <c r="Y859" s="184">
        <v>5500</v>
      </c>
      <c r="Z859" s="184">
        <v>3200</v>
      </c>
      <c r="AA859" s="184">
        <v>5240</v>
      </c>
      <c r="AB859" s="57">
        <v>16</v>
      </c>
    </row>
    <row r="860" spans="1:29" x14ac:dyDescent="0.25">
      <c r="A860" s="272"/>
      <c r="B860" s="47"/>
      <c r="C860" s="24"/>
      <c r="D860" s="24"/>
      <c r="E860" s="88" t="s">
        <v>193</v>
      </c>
      <c r="F860" s="33">
        <v>27725.93</v>
      </c>
      <c r="G860" s="33">
        <v>27740.38</v>
      </c>
      <c r="H860" s="33">
        <v>27761.3</v>
      </c>
      <c r="I860" s="33">
        <v>27740.2</v>
      </c>
      <c r="J860" s="33">
        <v>27705.59</v>
      </c>
      <c r="K860" s="33">
        <v>27734.84</v>
      </c>
      <c r="L860" s="33">
        <v>27737.15</v>
      </c>
      <c r="M860" s="33">
        <v>27718.21</v>
      </c>
      <c r="N860" s="33">
        <v>27667.14</v>
      </c>
      <c r="O860" s="88"/>
      <c r="P860" s="88"/>
      <c r="Q860" s="89"/>
      <c r="R860" s="89"/>
      <c r="S860" s="210"/>
      <c r="T860" s="23"/>
      <c r="U860" s="211"/>
      <c r="V860" s="33"/>
      <c r="X860" s="186"/>
      <c r="Y860" s="186"/>
      <c r="Z860" s="186"/>
      <c r="AA860" s="186"/>
    </row>
    <row r="861" spans="1:29" ht="22.75" thickBot="1" x14ac:dyDescent="0.3">
      <c r="A861" s="272"/>
      <c r="B861" s="90"/>
      <c r="C861" s="91"/>
      <c r="D861" s="91"/>
      <c r="E861" s="92" t="s">
        <v>194</v>
      </c>
      <c r="F861" s="79">
        <f t="shared" ref="F861:N861" si="283">IF(((F859="")*AND(F860="")),"",(F859-F860)*3)</f>
        <v>4343.1899999999987</v>
      </c>
      <c r="G861" s="79">
        <f t="shared" si="283"/>
        <v>4055.1899999999987</v>
      </c>
      <c r="H861" s="79">
        <f t="shared" si="283"/>
        <v>3989.4900000000052</v>
      </c>
      <c r="I861" s="79">
        <f t="shared" si="283"/>
        <v>4063.2599999999948</v>
      </c>
      <c r="J861" s="79">
        <f t="shared" si="283"/>
        <v>4453.8599999999969</v>
      </c>
      <c r="K861" s="79">
        <f t="shared" si="283"/>
        <v>4312.8300000000017</v>
      </c>
      <c r="L861" s="79">
        <f t="shared" si="283"/>
        <v>4027.9199999999983</v>
      </c>
      <c r="M861" s="79">
        <f t="shared" si="283"/>
        <v>4095.0300000000061</v>
      </c>
      <c r="N861" s="79">
        <f t="shared" si="283"/>
        <v>4485</v>
      </c>
      <c r="O861" s="92"/>
      <c r="P861" s="92"/>
      <c r="Q861" s="93"/>
      <c r="R861" s="93"/>
      <c r="S861" s="213"/>
      <c r="T861" s="214"/>
      <c r="U861" s="215"/>
      <c r="V861" s="33"/>
      <c r="X861" s="186"/>
      <c r="Y861" s="186"/>
      <c r="Z861" s="186"/>
      <c r="AA861" s="186"/>
    </row>
    <row r="862" spans="1:29" x14ac:dyDescent="0.25">
      <c r="A862" s="271">
        <v>43507</v>
      </c>
      <c r="B862" s="63" t="s">
        <v>177</v>
      </c>
      <c r="C862" s="65" t="s">
        <v>179</v>
      </c>
      <c r="D862" s="65" t="s">
        <v>178</v>
      </c>
      <c r="E862" s="67" t="s">
        <v>192</v>
      </c>
      <c r="F862" s="33">
        <v>5027.67</v>
      </c>
      <c r="G862" s="33">
        <v>4952.79</v>
      </c>
      <c r="H862" s="33">
        <v>4979</v>
      </c>
      <c r="I862" s="33">
        <v>4953.25</v>
      </c>
      <c r="J862" s="33">
        <v>5068.3599999999997</v>
      </c>
      <c r="K862" s="33">
        <v>5084.84</v>
      </c>
      <c r="L862" s="33">
        <v>4979.67</v>
      </c>
      <c r="M862" s="33">
        <v>4971.6499999999996</v>
      </c>
      <c r="N862" s="33">
        <v>5089.3999999999996</v>
      </c>
      <c r="O862" s="86">
        <f>IF((N863=""),"",MAX(F864:N864))</f>
        <v>3912.5199999999995</v>
      </c>
      <c r="P862" s="86">
        <f>IF(N863="","",MIN(F864:N864))</f>
        <v>3645.16</v>
      </c>
      <c r="Q862" s="87">
        <f>IF((N864=""),"",AVERAGE(F864:N864))</f>
        <v>3817.6022222222218</v>
      </c>
      <c r="R862" s="87">
        <f>IF((N863=""),"",(O862-P862)/(O862+P862)*100)</f>
        <v>3.5375935472261291</v>
      </c>
      <c r="S862" s="181">
        <f>STDEV(F864:N864)</f>
        <v>91.919321388076156</v>
      </c>
      <c r="T862" s="208" t="str">
        <f>IF(N863="","",IF(Q862&gt;3650,IF(R862&lt;7,IF(Q862&lt;4450,"Pass","Fail"),"Fail"),"Fail"))</f>
        <v>Pass</v>
      </c>
      <c r="U862" s="220">
        <v>1159</v>
      </c>
      <c r="V862" s="33" t="s">
        <v>229</v>
      </c>
      <c r="X862" s="184">
        <v>3650</v>
      </c>
      <c r="Y862" s="184">
        <v>4450</v>
      </c>
      <c r="Z862" s="184">
        <v>3700</v>
      </c>
      <c r="AA862" s="184">
        <v>4100</v>
      </c>
      <c r="AB862" s="57">
        <v>6.5</v>
      </c>
      <c r="AC862" s="57">
        <v>7</v>
      </c>
    </row>
    <row r="863" spans="1:29" x14ac:dyDescent="0.25">
      <c r="A863" s="272"/>
      <c r="B863" s="47"/>
      <c r="C863" s="24"/>
      <c r="D863" s="24"/>
      <c r="E863" s="88" t="s">
        <v>193</v>
      </c>
      <c r="F863" s="33">
        <v>3167.62</v>
      </c>
      <c r="G863" s="33">
        <v>3022</v>
      </c>
      <c r="H863" s="33">
        <v>3032.09</v>
      </c>
      <c r="I863" s="33">
        <v>3015.38</v>
      </c>
      <c r="J863" s="33">
        <v>3196.82</v>
      </c>
      <c r="K863" s="33">
        <v>3262.26</v>
      </c>
      <c r="L863" s="33">
        <v>3049.06</v>
      </c>
      <c r="M863" s="33">
        <v>3015.39</v>
      </c>
      <c r="N863" s="33">
        <v>3166.8</v>
      </c>
      <c r="O863" s="88"/>
      <c r="P863" s="88"/>
      <c r="Q863" s="89"/>
      <c r="R863" s="89"/>
      <c r="S863" s="210"/>
      <c r="T863" s="28"/>
      <c r="U863" s="217"/>
      <c r="V863" s="33"/>
      <c r="X863" s="186"/>
      <c r="Y863" s="186"/>
      <c r="Z863" s="186"/>
      <c r="AA863" s="186"/>
    </row>
    <row r="864" spans="1:29" ht="22.75" thickBot="1" x14ac:dyDescent="0.3">
      <c r="A864" s="272"/>
      <c r="B864" s="47"/>
      <c r="C864" s="24"/>
      <c r="D864" s="24"/>
      <c r="E864" s="88" t="s">
        <v>194</v>
      </c>
      <c r="F864" s="66">
        <f t="shared" ref="F864:N864" si="284">IF(((F862="")*AND(F863="")),"",(F862-F863)*2)</f>
        <v>3720.1000000000004</v>
      </c>
      <c r="G864" s="66">
        <f t="shared" si="284"/>
        <v>3861.58</v>
      </c>
      <c r="H864" s="66">
        <f t="shared" si="284"/>
        <v>3893.8199999999997</v>
      </c>
      <c r="I864" s="66">
        <f t="shared" si="284"/>
        <v>3875.74</v>
      </c>
      <c r="J864" s="66">
        <f t="shared" si="284"/>
        <v>3743.079999999999</v>
      </c>
      <c r="K864" s="66">
        <f t="shared" si="284"/>
        <v>3645.16</v>
      </c>
      <c r="L864" s="66">
        <f t="shared" si="284"/>
        <v>3861.2200000000003</v>
      </c>
      <c r="M864" s="66">
        <f t="shared" si="284"/>
        <v>3912.5199999999995</v>
      </c>
      <c r="N864" s="66">
        <f t="shared" si="284"/>
        <v>3845.1999999999989</v>
      </c>
      <c r="O864" s="88"/>
      <c r="P864" s="88"/>
      <c r="Q864" s="89"/>
      <c r="R864" s="89"/>
      <c r="S864" s="210"/>
      <c r="T864" s="28"/>
      <c r="U864" s="217"/>
      <c r="V864" s="33"/>
      <c r="X864" s="186"/>
      <c r="Y864" s="186"/>
      <c r="Z864" s="186"/>
      <c r="AA864" s="186"/>
    </row>
    <row r="865" spans="1:29" x14ac:dyDescent="0.25">
      <c r="A865" s="271">
        <v>43507</v>
      </c>
      <c r="B865" s="24" t="s">
        <v>172</v>
      </c>
      <c r="C865" s="24" t="s">
        <v>174</v>
      </c>
      <c r="D865" s="24" t="s">
        <v>195</v>
      </c>
      <c r="E865" s="88" t="s">
        <v>192</v>
      </c>
      <c r="F865" s="33">
        <v>1294.07</v>
      </c>
      <c r="G865" s="33">
        <v>1295.48</v>
      </c>
      <c r="H865" s="33">
        <v>1295.4100000000001</v>
      </c>
      <c r="I865" s="33">
        <v>1299.94</v>
      </c>
      <c r="J865" s="33">
        <v>1310.5899999999999</v>
      </c>
      <c r="K865" s="33">
        <v>1302.56</v>
      </c>
      <c r="L865" s="33">
        <v>1299.6199999999999</v>
      </c>
      <c r="M865" s="33">
        <v>1295.02</v>
      </c>
      <c r="N865" s="33">
        <v>1307.79</v>
      </c>
      <c r="O865" s="88">
        <f>IF((N866=""),"",MAX(F867:N867))</f>
        <v>2036.9699999999998</v>
      </c>
      <c r="P865" s="88">
        <f>IF(N866="","",MIN(F867:N867))</f>
        <v>1955.79</v>
      </c>
      <c r="Q865" s="89">
        <f>IF((N867=""),"",AVERAGE(F867:N867))</f>
        <v>1995.5899999999997</v>
      </c>
      <c r="R865" s="89">
        <f>IF((N866=""),"",(O865-P865)/(O865+P865)*100)</f>
        <v>2.0331800559011772</v>
      </c>
      <c r="S865" s="210">
        <f>STDEV(F867:N867)</f>
        <v>24.255255100699273</v>
      </c>
      <c r="T865" s="23" t="str">
        <f>IF(N866="","",IF(Q865&gt;1940,IF(R865&lt;8.3,IF(Q865&lt;2180,"Pass","Fail"),"Fail"),"Fail"))</f>
        <v>Pass</v>
      </c>
      <c r="U865" s="220">
        <v>1159</v>
      </c>
      <c r="V865" s="33" t="s">
        <v>229</v>
      </c>
      <c r="X865" s="184">
        <v>2000</v>
      </c>
      <c r="Y865" s="184">
        <v>3000</v>
      </c>
      <c r="Z865" s="184">
        <v>1940</v>
      </c>
      <c r="AA865" s="184">
        <v>2180</v>
      </c>
      <c r="AB865" s="57">
        <v>5.2</v>
      </c>
    </row>
    <row r="866" spans="1:29" x14ac:dyDescent="0.25">
      <c r="A866" s="272"/>
      <c r="B866" s="47"/>
      <c r="C866" s="24"/>
      <c r="D866" s="24"/>
      <c r="E866" s="88" t="s">
        <v>193</v>
      </c>
      <c r="F866" s="33">
        <v>615.08000000000004</v>
      </c>
      <c r="G866" s="33">
        <v>625.34</v>
      </c>
      <c r="H866" s="33">
        <v>636.08000000000004</v>
      </c>
      <c r="I866" s="33">
        <v>633.91</v>
      </c>
      <c r="J866" s="33">
        <v>658.66</v>
      </c>
      <c r="K866" s="33">
        <v>642.9</v>
      </c>
      <c r="L866" s="33">
        <v>636.79999999999995</v>
      </c>
      <c r="M866" s="33">
        <v>622.03</v>
      </c>
      <c r="N866" s="33">
        <v>642.91</v>
      </c>
      <c r="O866" s="88"/>
      <c r="P866" s="88"/>
      <c r="Q866" s="89"/>
      <c r="R866" s="89"/>
      <c r="S866" s="210"/>
      <c r="T866" s="23"/>
      <c r="U866" s="211"/>
      <c r="V866" s="33"/>
      <c r="X866" s="186"/>
      <c r="Y866" s="186"/>
      <c r="Z866" s="186"/>
      <c r="AA866" s="186"/>
    </row>
    <row r="867" spans="1:29" ht="13.3" thickBot="1" x14ac:dyDescent="0.3">
      <c r="A867" s="272"/>
      <c r="B867" s="47"/>
      <c r="C867" s="24"/>
      <c r="D867" s="24"/>
      <c r="E867" s="88" t="s">
        <v>196</v>
      </c>
      <c r="F867" s="66">
        <f t="shared" ref="F867:N867" si="285">IF(((F865="")*AND(F866="")),"",(F865-F866)*3)</f>
        <v>2036.9699999999998</v>
      </c>
      <c r="G867" s="66">
        <f t="shared" si="285"/>
        <v>2010.42</v>
      </c>
      <c r="H867" s="66">
        <f t="shared" si="285"/>
        <v>1977.9900000000002</v>
      </c>
      <c r="I867" s="66">
        <f t="shared" si="285"/>
        <v>1998.0900000000001</v>
      </c>
      <c r="J867" s="66">
        <f t="shared" si="285"/>
        <v>1955.79</v>
      </c>
      <c r="K867" s="66">
        <f t="shared" si="285"/>
        <v>1978.98</v>
      </c>
      <c r="L867" s="66">
        <f t="shared" si="285"/>
        <v>1988.4599999999998</v>
      </c>
      <c r="M867" s="66">
        <f t="shared" si="285"/>
        <v>2018.97</v>
      </c>
      <c r="N867" s="66">
        <f t="shared" si="285"/>
        <v>1994.6399999999999</v>
      </c>
      <c r="O867" s="88"/>
      <c r="P867" s="88"/>
      <c r="Q867" s="89"/>
      <c r="R867" s="89"/>
      <c r="S867" s="210"/>
      <c r="T867" s="23"/>
      <c r="U867" s="211"/>
      <c r="V867" s="33"/>
      <c r="X867" s="186"/>
      <c r="Y867" s="186"/>
      <c r="Z867" s="186"/>
      <c r="AA867" s="186"/>
    </row>
    <row r="868" spans="1:29" x14ac:dyDescent="0.25">
      <c r="A868" s="271">
        <v>43507</v>
      </c>
      <c r="B868" s="47" t="s">
        <v>191</v>
      </c>
      <c r="C868" s="24" t="s">
        <v>176</v>
      </c>
      <c r="D868" s="24" t="s">
        <v>175</v>
      </c>
      <c r="E868" s="88" t="s">
        <v>192</v>
      </c>
      <c r="F868" s="33">
        <v>27655.01</v>
      </c>
      <c r="G868" s="33">
        <v>27670.59</v>
      </c>
      <c r="H868" s="33">
        <v>27695.48</v>
      </c>
      <c r="I868" s="33">
        <v>27668.33</v>
      </c>
      <c r="J868" s="33">
        <v>27627.08</v>
      </c>
      <c r="K868" s="33">
        <v>27663.439999999999</v>
      </c>
      <c r="L868" s="33">
        <v>27665.19</v>
      </c>
      <c r="M868" s="33">
        <v>27652.080000000002</v>
      </c>
      <c r="N868" s="33">
        <v>27609.51</v>
      </c>
      <c r="O868" s="88">
        <f>IF((N869=""),"",MAX(F870:N870))</f>
        <v>4590.8699999999917</v>
      </c>
      <c r="P868" s="88">
        <f>IF(N869="","",MIN(F870:N870))</f>
        <v>4059.7799999999952</v>
      </c>
      <c r="Q868" s="89">
        <f>IF((N870=""),"",AVERAGE(F870:N870))</f>
        <v>4263.2099999999982</v>
      </c>
      <c r="R868" s="89">
        <f>IF((N869=""),"",(O868-P868)/(O868+P868)*100)</f>
        <v>6.1393074508851626</v>
      </c>
      <c r="S868" s="210">
        <f>STDEV(F870:N870)</f>
        <v>186.75119577930201</v>
      </c>
      <c r="T868" s="23" t="str">
        <f>IF(N869="","",IF(R868&lt;16,IF(Q868&gt;3200,IF(R868,IF(Q868&lt;5240,"Pass","Fail"),"Fail"),"Fail")))</f>
        <v>Pass</v>
      </c>
      <c r="U868" s="220">
        <v>1159</v>
      </c>
      <c r="V868" s="33" t="s">
        <v>229</v>
      </c>
      <c r="X868" s="184">
        <v>4200</v>
      </c>
      <c r="Y868" s="184">
        <v>5500</v>
      </c>
      <c r="Z868" s="184">
        <v>3200</v>
      </c>
      <c r="AA868" s="184">
        <v>5240</v>
      </c>
      <c r="AB868" s="57">
        <v>16</v>
      </c>
    </row>
    <row r="869" spans="1:29" x14ac:dyDescent="0.25">
      <c r="A869" s="272"/>
      <c r="B869" s="47"/>
      <c r="C869" s="24"/>
      <c r="D869" s="24"/>
      <c r="E869" s="88" t="s">
        <v>193</v>
      </c>
      <c r="F869" s="33">
        <v>26171.79</v>
      </c>
      <c r="G869" s="33">
        <v>26293.61</v>
      </c>
      <c r="H869" s="33">
        <v>26342.22</v>
      </c>
      <c r="I869" s="33">
        <v>26294.81</v>
      </c>
      <c r="J869" s="33">
        <v>26158.02</v>
      </c>
      <c r="K869" s="33">
        <v>26222.13</v>
      </c>
      <c r="L869" s="33">
        <v>26299.71</v>
      </c>
      <c r="M869" s="33">
        <v>26255.57</v>
      </c>
      <c r="N869" s="33">
        <v>26079.22</v>
      </c>
      <c r="O869" s="88"/>
      <c r="P869" s="88"/>
      <c r="Q869" s="89"/>
      <c r="R869" s="89"/>
      <c r="S869" s="210"/>
      <c r="T869" s="23"/>
      <c r="U869" s="211"/>
      <c r="V869" s="33"/>
      <c r="X869" s="186"/>
      <c r="Y869" s="186"/>
      <c r="Z869" s="186"/>
      <c r="AA869" s="186"/>
    </row>
    <row r="870" spans="1:29" ht="22.75" thickBot="1" x14ac:dyDescent="0.3">
      <c r="A870" s="272"/>
      <c r="B870" s="90"/>
      <c r="C870" s="91"/>
      <c r="D870" s="91"/>
      <c r="E870" s="92" t="s">
        <v>194</v>
      </c>
      <c r="F870" s="79">
        <f t="shared" ref="F870:N870" si="286">IF(((F868="")*AND(F869="")),"",(F868-F869)*3)</f>
        <v>4449.6599999999926</v>
      </c>
      <c r="G870" s="79">
        <f t="shared" si="286"/>
        <v>4130.9399999999987</v>
      </c>
      <c r="H870" s="79">
        <f t="shared" si="286"/>
        <v>4059.7799999999952</v>
      </c>
      <c r="I870" s="79">
        <f t="shared" si="286"/>
        <v>4120.5600000000013</v>
      </c>
      <c r="J870" s="79">
        <f t="shared" si="286"/>
        <v>4407.1800000000039</v>
      </c>
      <c r="K870" s="79">
        <f t="shared" si="286"/>
        <v>4323.929999999993</v>
      </c>
      <c r="L870" s="79">
        <f t="shared" si="286"/>
        <v>4096.4399999999987</v>
      </c>
      <c r="M870" s="79">
        <f t="shared" si="286"/>
        <v>4189.5300000000061</v>
      </c>
      <c r="N870" s="79">
        <f t="shared" si="286"/>
        <v>4590.8699999999917</v>
      </c>
      <c r="O870" s="92"/>
      <c r="P870" s="92"/>
      <c r="Q870" s="93"/>
      <c r="R870" s="93"/>
      <c r="S870" s="213"/>
      <c r="T870" s="214"/>
      <c r="U870" s="215"/>
      <c r="V870" s="33"/>
      <c r="X870" s="186"/>
      <c r="Y870" s="186"/>
      <c r="Z870" s="186"/>
      <c r="AA870" s="186"/>
    </row>
    <row r="871" spans="1:29" x14ac:dyDescent="0.25">
      <c r="A871" s="271">
        <v>43510</v>
      </c>
      <c r="B871" s="63" t="s">
        <v>177</v>
      </c>
      <c r="C871" s="65" t="s">
        <v>179</v>
      </c>
      <c r="D871" s="65" t="s">
        <v>178</v>
      </c>
      <c r="E871" s="67" t="s">
        <v>192</v>
      </c>
      <c r="F871" s="33">
        <v>3167.62</v>
      </c>
      <c r="G871" s="33">
        <v>3022</v>
      </c>
      <c r="H871" s="33">
        <v>3032.09</v>
      </c>
      <c r="I871" s="33">
        <v>3015.38</v>
      </c>
      <c r="J871" s="33">
        <v>3196.82</v>
      </c>
      <c r="K871" s="33">
        <v>3262.26</v>
      </c>
      <c r="L871" s="33">
        <v>3049.06</v>
      </c>
      <c r="M871" s="33">
        <v>3015.39</v>
      </c>
      <c r="N871" s="33">
        <v>3166.8</v>
      </c>
      <c r="O871" s="86">
        <f>IF((N872=""),"",MAX(F873:N873))</f>
        <v>3810.56</v>
      </c>
      <c r="P871" s="86">
        <f>IF(N872="","",MIN(F873:N873))</f>
        <v>3611.5600000000004</v>
      </c>
      <c r="Q871" s="87">
        <f>IF((N873=""),"",AVERAGE(F873:N873))</f>
        <v>3748.0133333333338</v>
      </c>
      <c r="R871" s="87">
        <f>IF((N872=""),"",(O871-P871)/(O871+P871)*100)</f>
        <v>2.6811746509083596</v>
      </c>
      <c r="S871" s="181">
        <f>STDEV(F873:N873)</f>
        <v>66.797431088328537</v>
      </c>
      <c r="T871" s="208" t="str">
        <f>IF(N872="","",IF(Q871&gt;3650,IF(R871&lt;7,IF(Q871&lt;4450,"Pass","Fail"),"Fail"),"Fail"))</f>
        <v>Pass</v>
      </c>
      <c r="U871" s="220">
        <v>121</v>
      </c>
      <c r="V871" s="33"/>
      <c r="X871" s="184">
        <v>3650</v>
      </c>
      <c r="Y871" s="184">
        <v>4450</v>
      </c>
      <c r="Z871" s="184">
        <v>3700</v>
      </c>
      <c r="AA871" s="184">
        <v>4100</v>
      </c>
      <c r="AB871" s="57">
        <v>6.5</v>
      </c>
      <c r="AC871" s="57">
        <v>7</v>
      </c>
    </row>
    <row r="872" spans="1:29" x14ac:dyDescent="0.25">
      <c r="A872" s="272"/>
      <c r="B872" s="47"/>
      <c r="C872" s="24"/>
      <c r="D872" s="24"/>
      <c r="E872" s="88" t="s">
        <v>193</v>
      </c>
      <c r="F872" s="33">
        <v>1328.67</v>
      </c>
      <c r="G872" s="33">
        <v>1139.4100000000001</v>
      </c>
      <c r="H872" s="33">
        <v>1130.22</v>
      </c>
      <c r="I872" s="33">
        <v>1125.1199999999999</v>
      </c>
      <c r="J872" s="33">
        <v>1339.13</v>
      </c>
      <c r="K872" s="33">
        <v>1456.48</v>
      </c>
      <c r="L872" s="33">
        <v>1162.08</v>
      </c>
      <c r="M872" s="33">
        <v>1110.1099999999999</v>
      </c>
      <c r="N872" s="33">
        <v>1270.1400000000001</v>
      </c>
      <c r="O872" s="88"/>
      <c r="P872" s="88"/>
      <c r="Q872" s="89"/>
      <c r="R872" s="89"/>
      <c r="S872" s="210"/>
      <c r="T872" s="28"/>
      <c r="U872" s="217"/>
      <c r="V872" s="33"/>
      <c r="X872" s="186"/>
      <c r="Y872" s="186"/>
      <c r="Z872" s="186"/>
      <c r="AA872" s="186"/>
    </row>
    <row r="873" spans="1:29" ht="22.75" thickBot="1" x14ac:dyDescent="0.3">
      <c r="A873" s="272"/>
      <c r="B873" s="47"/>
      <c r="C873" s="24"/>
      <c r="D873" s="24"/>
      <c r="E873" s="88" t="s">
        <v>194</v>
      </c>
      <c r="F873" s="66">
        <f t="shared" ref="F873:N873" si="287">IF(((F871="")*AND(F872="")),"",(F871-F872)*2)</f>
        <v>3677.8999999999996</v>
      </c>
      <c r="G873" s="66">
        <f t="shared" si="287"/>
        <v>3765.18</v>
      </c>
      <c r="H873" s="66">
        <f t="shared" si="287"/>
        <v>3803.7400000000002</v>
      </c>
      <c r="I873" s="66">
        <f t="shared" si="287"/>
        <v>3780.5200000000004</v>
      </c>
      <c r="J873" s="66">
        <f t="shared" si="287"/>
        <v>3715.38</v>
      </c>
      <c r="K873" s="66">
        <f t="shared" si="287"/>
        <v>3611.5600000000004</v>
      </c>
      <c r="L873" s="66">
        <f t="shared" si="287"/>
        <v>3773.96</v>
      </c>
      <c r="M873" s="66">
        <f t="shared" si="287"/>
        <v>3810.56</v>
      </c>
      <c r="N873" s="66">
        <f t="shared" si="287"/>
        <v>3793.32</v>
      </c>
      <c r="O873" s="88"/>
      <c r="P873" s="88"/>
      <c r="Q873" s="89"/>
      <c r="R873" s="89"/>
      <c r="S873" s="210"/>
      <c r="T873" s="28"/>
      <c r="U873" s="217"/>
      <c r="V873" s="33"/>
      <c r="X873" s="186"/>
      <c r="Y873" s="186"/>
      <c r="Z873" s="186"/>
      <c r="AA873" s="186"/>
    </row>
    <row r="874" spans="1:29" x14ac:dyDescent="0.25">
      <c r="A874" s="271">
        <v>43510</v>
      </c>
      <c r="B874" s="24" t="s">
        <v>172</v>
      </c>
      <c r="C874" s="24" t="s">
        <v>174</v>
      </c>
      <c r="D874" s="24" t="s">
        <v>195</v>
      </c>
      <c r="E874" s="88" t="s">
        <v>192</v>
      </c>
      <c r="F874" s="33">
        <v>1930.41</v>
      </c>
      <c r="G874" s="33">
        <v>1928.62</v>
      </c>
      <c r="H874" s="33">
        <v>1923.58</v>
      </c>
      <c r="I874" s="33">
        <v>1924.63</v>
      </c>
      <c r="J874" s="33">
        <v>1928.55</v>
      </c>
      <c r="K874" s="33">
        <v>1932.74</v>
      </c>
      <c r="L874" s="33">
        <v>1927.92</v>
      </c>
      <c r="M874" s="33">
        <v>1923.6</v>
      </c>
      <c r="N874" s="33">
        <v>1932.51</v>
      </c>
      <c r="O874" s="88">
        <f>IF((N875=""),"",MAX(F876:N876))</f>
        <v>2003.1000000000001</v>
      </c>
      <c r="P874" s="88">
        <f>IF(N875="","",MIN(F876:N876))</f>
        <v>1938.09</v>
      </c>
      <c r="Q874" s="89">
        <f>IF((N876=""),"",AVERAGE(F876:N876))</f>
        <v>1967.0133333333333</v>
      </c>
      <c r="R874" s="89">
        <f>IF((N875=""),"",(O874-P874)/(O874+P874)*100)</f>
        <v>1.6495018002177064</v>
      </c>
      <c r="S874" s="210">
        <f>STDEV(F876:N876)</f>
        <v>18.466312571815735</v>
      </c>
      <c r="T874" s="23" t="str">
        <f>IF(N875="","",IF(Q874&gt;1940,IF(R874&lt;8.3,IF(Q874&lt;2180,"Pass","Fail"),"Fail"),"Fail"))</f>
        <v>Pass</v>
      </c>
      <c r="U874" s="220">
        <v>121</v>
      </c>
      <c r="V874" s="33"/>
      <c r="X874" s="184">
        <v>2000</v>
      </c>
      <c r="Y874" s="184">
        <v>3000</v>
      </c>
      <c r="Z874" s="184">
        <v>1940</v>
      </c>
      <c r="AA874" s="184">
        <v>2180</v>
      </c>
      <c r="AB874" s="57">
        <v>5.2</v>
      </c>
    </row>
    <row r="875" spans="1:29" x14ac:dyDescent="0.25">
      <c r="A875" s="272"/>
      <c r="B875" s="47"/>
      <c r="C875" s="24"/>
      <c r="D875" s="24"/>
      <c r="E875" s="88" t="s">
        <v>193</v>
      </c>
      <c r="F875" s="33">
        <v>1262.71</v>
      </c>
      <c r="G875" s="33">
        <v>1269.8599999999999</v>
      </c>
      <c r="H875" s="33">
        <v>1270.83</v>
      </c>
      <c r="I875" s="33">
        <v>1274.6099999999999</v>
      </c>
      <c r="J875" s="33">
        <v>1282.52</v>
      </c>
      <c r="K875" s="33">
        <v>1273.8499999999999</v>
      </c>
      <c r="L875" s="33">
        <v>1274.1300000000001</v>
      </c>
      <c r="M875" s="33">
        <v>1267.1400000000001</v>
      </c>
      <c r="N875" s="33">
        <v>1275.8699999999999</v>
      </c>
      <c r="O875" s="88"/>
      <c r="P875" s="88"/>
      <c r="Q875" s="89"/>
      <c r="R875" s="89"/>
      <c r="S875" s="210"/>
      <c r="T875" s="23"/>
      <c r="U875" s="211"/>
      <c r="V875" s="33"/>
      <c r="X875" s="186"/>
      <c r="Y875" s="186"/>
      <c r="Z875" s="186"/>
      <c r="AA875" s="186"/>
    </row>
    <row r="876" spans="1:29" ht="13.3" thickBot="1" x14ac:dyDescent="0.3">
      <c r="A876" s="272"/>
      <c r="B876" s="47"/>
      <c r="C876" s="24"/>
      <c r="D876" s="24"/>
      <c r="E876" s="88" t="s">
        <v>196</v>
      </c>
      <c r="F876" s="66">
        <f t="shared" ref="F876:N876" si="288">IF(((F874="")*AND(F875="")),"",(F874-F875)*3)</f>
        <v>2003.1000000000001</v>
      </c>
      <c r="G876" s="66">
        <f t="shared" si="288"/>
        <v>1976.28</v>
      </c>
      <c r="H876" s="66">
        <f t="shared" si="288"/>
        <v>1958.25</v>
      </c>
      <c r="I876" s="66">
        <f t="shared" si="288"/>
        <v>1950.0600000000006</v>
      </c>
      <c r="J876" s="66">
        <f t="shared" si="288"/>
        <v>1938.09</v>
      </c>
      <c r="K876" s="66">
        <f t="shared" si="288"/>
        <v>1976.6700000000003</v>
      </c>
      <c r="L876" s="66">
        <f t="shared" si="288"/>
        <v>1961.37</v>
      </c>
      <c r="M876" s="66">
        <f t="shared" si="288"/>
        <v>1969.3799999999994</v>
      </c>
      <c r="N876" s="66">
        <f t="shared" si="288"/>
        <v>1969.9200000000003</v>
      </c>
      <c r="O876" s="88"/>
      <c r="P876" s="88"/>
      <c r="Q876" s="89"/>
      <c r="R876" s="89"/>
      <c r="S876" s="210"/>
      <c r="T876" s="23"/>
      <c r="U876" s="211"/>
      <c r="V876" s="33"/>
      <c r="X876" s="186"/>
      <c r="Y876" s="186"/>
      <c r="Z876" s="186"/>
      <c r="AA876" s="186"/>
    </row>
    <row r="877" spans="1:29" x14ac:dyDescent="0.25">
      <c r="A877" s="271">
        <v>43510</v>
      </c>
      <c r="B877" s="47" t="s">
        <v>191</v>
      </c>
      <c r="C877" s="24" t="s">
        <v>176</v>
      </c>
      <c r="D877" s="24" t="s">
        <v>175</v>
      </c>
      <c r="E877" s="88" t="s">
        <v>192</v>
      </c>
      <c r="F877" s="33">
        <v>26171.79</v>
      </c>
      <c r="G877" s="33">
        <v>26293.61</v>
      </c>
      <c r="H877" s="33">
        <v>26342.22</v>
      </c>
      <c r="I877" s="33">
        <v>26294.81</v>
      </c>
      <c r="J877" s="33">
        <v>26158.02</v>
      </c>
      <c r="K877" s="33">
        <v>26222.13</v>
      </c>
      <c r="L877" s="33">
        <v>26299.71</v>
      </c>
      <c r="M877" s="33">
        <v>26255.57</v>
      </c>
      <c r="N877" s="33">
        <v>26079.22</v>
      </c>
      <c r="O877" s="88">
        <f>IF((N878=""),"",MAX(F879:N879))</f>
        <v>4543.7400000000052</v>
      </c>
      <c r="P877" s="88">
        <f>IF(N878="","",MIN(F879:N879))</f>
        <v>4064.7000000000044</v>
      </c>
      <c r="Q877" s="89">
        <f>IF((N879=""),"",AVERAGE(F879:N879))</f>
        <v>4279.5766666666686</v>
      </c>
      <c r="R877" s="89">
        <f>IF((N878=""),"",(O877-P877)/(O877+P877)*100)</f>
        <v>5.5647713174512496</v>
      </c>
      <c r="S877" s="210">
        <f>STDEV(F879:N879)</f>
        <v>196.7513349382919</v>
      </c>
      <c r="T877" s="23" t="str">
        <f>IF(N878="","",IF(R877&lt;16,IF(Q877&gt;3200,IF(R877,IF(Q877&lt;5240,"Pass","Fail"),"Fail"),"Fail")))</f>
        <v>Pass</v>
      </c>
      <c r="U877" s="220">
        <v>121</v>
      </c>
      <c r="V877" s="33"/>
      <c r="X877" s="184">
        <v>4200</v>
      </c>
      <c r="Y877" s="184">
        <v>5500</v>
      </c>
      <c r="Z877" s="184">
        <v>3200</v>
      </c>
      <c r="AA877" s="184">
        <v>5240</v>
      </c>
      <c r="AB877" s="57">
        <v>16</v>
      </c>
    </row>
    <row r="878" spans="1:29" x14ac:dyDescent="0.25">
      <c r="A878" s="272"/>
      <c r="B878" s="47"/>
      <c r="C878" s="24"/>
      <c r="D878" s="24"/>
      <c r="E878" s="88" t="s">
        <v>193</v>
      </c>
      <c r="F878" s="33">
        <v>24666.240000000002</v>
      </c>
      <c r="G878" s="33">
        <v>24914.84</v>
      </c>
      <c r="H878" s="33">
        <v>24987.32</v>
      </c>
      <c r="I878" s="33">
        <v>24920.09</v>
      </c>
      <c r="J878" s="33">
        <v>24668.29</v>
      </c>
      <c r="K878" s="33">
        <v>24756.67</v>
      </c>
      <c r="L878" s="33">
        <v>24921.48</v>
      </c>
      <c r="M878" s="33">
        <v>24878.78</v>
      </c>
      <c r="N878" s="33">
        <v>24564.639999999999</v>
      </c>
      <c r="O878" s="88"/>
      <c r="P878" s="88"/>
      <c r="Q878" s="89"/>
      <c r="R878" s="89"/>
      <c r="S878" s="210"/>
      <c r="T878" s="23"/>
      <c r="U878" s="211"/>
      <c r="V878" s="33"/>
      <c r="X878" s="186"/>
      <c r="Y878" s="186"/>
      <c r="Z878" s="186"/>
      <c r="AA878" s="186"/>
    </row>
    <row r="879" spans="1:29" ht="22.75" thickBot="1" x14ac:dyDescent="0.3">
      <c r="A879" s="272"/>
      <c r="B879" s="90"/>
      <c r="C879" s="91"/>
      <c r="D879" s="91"/>
      <c r="E879" s="92" t="s">
        <v>194</v>
      </c>
      <c r="F879" s="79">
        <f t="shared" ref="F879:N879" si="289">IF(((F877="")*AND(F878="")),"",(F877-F878)*3)</f>
        <v>4516.6499999999978</v>
      </c>
      <c r="G879" s="79">
        <f t="shared" si="289"/>
        <v>4136.3100000000013</v>
      </c>
      <c r="H879" s="79">
        <f t="shared" si="289"/>
        <v>4064.7000000000044</v>
      </c>
      <c r="I879" s="79">
        <f t="shared" si="289"/>
        <v>4124.1600000000035</v>
      </c>
      <c r="J879" s="79">
        <f t="shared" si="289"/>
        <v>4469.1899999999987</v>
      </c>
      <c r="K879" s="79">
        <f t="shared" si="289"/>
        <v>4396.3800000000083</v>
      </c>
      <c r="L879" s="79">
        <f t="shared" si="289"/>
        <v>4134.6899999999987</v>
      </c>
      <c r="M879" s="79">
        <f t="shared" si="289"/>
        <v>4130.3700000000026</v>
      </c>
      <c r="N879" s="79">
        <f t="shared" si="289"/>
        <v>4543.7400000000052</v>
      </c>
      <c r="O879" s="92"/>
      <c r="P879" s="92"/>
      <c r="Q879" s="93"/>
      <c r="R879" s="93"/>
      <c r="S879" s="213"/>
      <c r="T879" s="214"/>
      <c r="U879" s="215"/>
      <c r="V879" s="33"/>
      <c r="X879" s="186"/>
      <c r="Y879" s="186"/>
      <c r="Z879" s="186"/>
      <c r="AA879" s="186"/>
    </row>
    <row r="880" spans="1:29" x14ac:dyDescent="0.25">
      <c r="A880" s="271">
        <v>43514</v>
      </c>
      <c r="B880" s="63" t="s">
        <v>177</v>
      </c>
      <c r="C880" s="65" t="s">
        <v>179</v>
      </c>
      <c r="D880" s="65" t="s">
        <v>178</v>
      </c>
      <c r="E880" s="67" t="s">
        <v>192</v>
      </c>
      <c r="F880" s="33">
        <v>6831.48</v>
      </c>
      <c r="G880" s="33">
        <v>6810.46</v>
      </c>
      <c r="H880" s="33">
        <v>6822.97</v>
      </c>
      <c r="I880" s="33">
        <v>6777.55</v>
      </c>
      <c r="J880" s="33">
        <v>6717.69</v>
      </c>
      <c r="K880" s="33">
        <v>6773.31</v>
      </c>
      <c r="L880" s="33">
        <v>6797.6</v>
      </c>
      <c r="M880" s="33">
        <v>6844.34</v>
      </c>
      <c r="N880" s="33">
        <v>6871.12</v>
      </c>
      <c r="O880" s="86">
        <f>IF((N881=""),"",MAX(F882:N882))</f>
        <v>3890.2800000000007</v>
      </c>
      <c r="P880" s="86">
        <f>IF(N881="","",MIN(F882:N882))</f>
        <v>3617.3000000000011</v>
      </c>
      <c r="Q880" s="87">
        <f>IF((N882=""),"",AVERAGE(F882:N882))</f>
        <v>3792.1311111111113</v>
      </c>
      <c r="R880" s="87">
        <f>IF((N881=""),"",(O880-P880)/(O880+P880)*100)</f>
        <v>3.6360584902192121</v>
      </c>
      <c r="S880" s="181">
        <f>STDEV(F882:N882)</f>
        <v>102.28929959243575</v>
      </c>
      <c r="T880" s="208" t="str">
        <f>IF(N881="","",IF(Q880&gt;3650,IF(R880&lt;7,IF(Q880&lt;4450,"Pass","Fail"),"Fail"),"Fail"))</f>
        <v>Pass</v>
      </c>
      <c r="U880" s="220">
        <v>1428</v>
      </c>
      <c r="V880" s="33"/>
      <c r="X880" s="184">
        <v>3650</v>
      </c>
      <c r="Y880" s="184">
        <v>4450</v>
      </c>
      <c r="Z880" s="184">
        <v>3700</v>
      </c>
      <c r="AA880" s="184">
        <v>4100</v>
      </c>
      <c r="AB880" s="57">
        <v>6.5</v>
      </c>
      <c r="AC880" s="57">
        <v>7</v>
      </c>
    </row>
    <row r="881" spans="1:29" x14ac:dyDescent="0.25">
      <c r="A881" s="272"/>
      <c r="B881" s="47"/>
      <c r="C881" s="24"/>
      <c r="D881" s="24"/>
      <c r="E881" s="88" t="s">
        <v>193</v>
      </c>
      <c r="F881" s="33">
        <v>4979.1099999999997</v>
      </c>
      <c r="G881" s="33">
        <v>4880.13</v>
      </c>
      <c r="H881" s="33">
        <v>4879.97</v>
      </c>
      <c r="I881" s="33">
        <v>4851.43</v>
      </c>
      <c r="J881" s="33">
        <v>4882.7299999999996</v>
      </c>
      <c r="K881" s="33">
        <v>4964.66</v>
      </c>
      <c r="L881" s="33">
        <v>4870.68</v>
      </c>
      <c r="M881" s="33">
        <v>4899.2</v>
      </c>
      <c r="N881" s="33">
        <v>4974.0200000000004</v>
      </c>
      <c r="O881" s="88"/>
      <c r="P881" s="88"/>
      <c r="Q881" s="89"/>
      <c r="R881" s="89"/>
      <c r="S881" s="210"/>
      <c r="T881" s="28"/>
      <c r="U881" s="217"/>
      <c r="V881" s="33"/>
      <c r="X881" s="186"/>
      <c r="Y881" s="186"/>
      <c r="Z881" s="186"/>
      <c r="AA881" s="186"/>
    </row>
    <row r="882" spans="1:29" ht="22.75" thickBot="1" x14ac:dyDescent="0.3">
      <c r="A882" s="272"/>
      <c r="B882" s="47"/>
      <c r="C882" s="24"/>
      <c r="D882" s="24"/>
      <c r="E882" s="88" t="s">
        <v>194</v>
      </c>
      <c r="F882" s="66">
        <f t="shared" ref="F882:N882" si="290">IF(((F880="")*AND(F881="")),"",(F880-F881)*2)</f>
        <v>3704.74</v>
      </c>
      <c r="G882" s="66">
        <f t="shared" si="290"/>
        <v>3860.66</v>
      </c>
      <c r="H882" s="66">
        <f t="shared" si="290"/>
        <v>3886</v>
      </c>
      <c r="I882" s="66">
        <f t="shared" si="290"/>
        <v>3852.24</v>
      </c>
      <c r="J882" s="66">
        <f t="shared" si="290"/>
        <v>3669.92</v>
      </c>
      <c r="K882" s="66">
        <f t="shared" si="290"/>
        <v>3617.3000000000011</v>
      </c>
      <c r="L882" s="66">
        <f t="shared" si="290"/>
        <v>3853.84</v>
      </c>
      <c r="M882" s="66">
        <f t="shared" si="290"/>
        <v>3890.2800000000007</v>
      </c>
      <c r="N882" s="66">
        <f t="shared" si="290"/>
        <v>3794.1999999999989</v>
      </c>
      <c r="O882" s="88"/>
      <c r="P882" s="88"/>
      <c r="Q882" s="89"/>
      <c r="R882" s="89"/>
      <c r="S882" s="210"/>
      <c r="T882" s="28"/>
      <c r="U882" s="217"/>
      <c r="V882" s="33"/>
      <c r="X882" s="186"/>
      <c r="Y882" s="186"/>
      <c r="Z882" s="186"/>
      <c r="AA882" s="186"/>
    </row>
    <row r="883" spans="1:29" x14ac:dyDescent="0.25">
      <c r="A883" s="271">
        <v>43514</v>
      </c>
      <c r="B883" s="24" t="s">
        <v>172</v>
      </c>
      <c r="C883" s="24" t="s">
        <v>174</v>
      </c>
      <c r="D883" s="24" t="s">
        <v>195</v>
      </c>
      <c r="E883" s="88" t="s">
        <v>192</v>
      </c>
      <c r="F883" s="33">
        <v>1933.9</v>
      </c>
      <c r="G883" s="33">
        <v>1928.16</v>
      </c>
      <c r="H883" s="33">
        <v>1923.04</v>
      </c>
      <c r="I883" s="33">
        <v>1931.92</v>
      </c>
      <c r="J883" s="33">
        <v>1937.51</v>
      </c>
      <c r="K883" s="33">
        <v>1934.59</v>
      </c>
      <c r="L883" s="33">
        <v>1930.76</v>
      </c>
      <c r="M883" s="33">
        <v>1929.56</v>
      </c>
      <c r="N883" s="33">
        <v>1937.25</v>
      </c>
      <c r="O883" s="88">
        <f>IF((N884=""),"",MAX(F885:N885))</f>
        <v>1987.7100000000005</v>
      </c>
      <c r="P883" s="88">
        <f>IF(N884="","",MIN(F885:N885))</f>
        <v>1943.5499999999997</v>
      </c>
      <c r="Q883" s="89">
        <f>IF((N885=""),"",AVERAGE(F885:N885))</f>
        <v>1968.3000000000002</v>
      </c>
      <c r="R883" s="89">
        <f>IF((N884=""),"",(O883-P883)/(O883+P883)*100)</f>
        <v>1.1233039788770205</v>
      </c>
      <c r="S883" s="210">
        <f>STDEV(F885:N885)</f>
        <v>13.449572483912071</v>
      </c>
      <c r="T883" s="23" t="str">
        <f>IF(N884="","",IF(Q883&gt;1940,IF(R883&lt;8.3,IF(Q883&lt;2180,"Pass","Fail"),"Fail"),"Fail"))</f>
        <v>Pass</v>
      </c>
      <c r="U883" s="220">
        <v>1428</v>
      </c>
      <c r="V883" s="33"/>
      <c r="X883" s="184">
        <v>2000</v>
      </c>
      <c r="Y883" s="184">
        <v>3000</v>
      </c>
      <c r="Z883" s="184">
        <v>1940</v>
      </c>
      <c r="AA883" s="184">
        <v>2180</v>
      </c>
      <c r="AB883" s="57">
        <v>5.2</v>
      </c>
    </row>
    <row r="884" spans="1:29" x14ac:dyDescent="0.25">
      <c r="A884" s="272"/>
      <c r="B884" s="47"/>
      <c r="C884" s="24"/>
      <c r="D884" s="24"/>
      <c r="E884" s="88" t="s">
        <v>193</v>
      </c>
      <c r="F884" s="33">
        <v>1271.33</v>
      </c>
      <c r="G884" s="33">
        <v>1269.24</v>
      </c>
      <c r="H884" s="33">
        <v>1267.4000000000001</v>
      </c>
      <c r="I884" s="33">
        <v>1276.44</v>
      </c>
      <c r="J884" s="33">
        <v>1289.6600000000001</v>
      </c>
      <c r="K884" s="33">
        <v>1278.96</v>
      </c>
      <c r="L884" s="33">
        <v>1273.58</v>
      </c>
      <c r="M884" s="33">
        <v>1269.23</v>
      </c>
      <c r="N884" s="33">
        <v>1285.95</v>
      </c>
      <c r="O884" s="88"/>
      <c r="P884" s="88"/>
      <c r="Q884" s="89"/>
      <c r="R884" s="89"/>
      <c r="S884" s="210"/>
      <c r="T884" s="23"/>
      <c r="U884" s="211"/>
      <c r="V884" s="33"/>
      <c r="X884" s="186"/>
      <c r="Y884" s="186"/>
      <c r="Z884" s="186"/>
      <c r="AA884" s="186"/>
    </row>
    <row r="885" spans="1:29" ht="13.3" thickBot="1" x14ac:dyDescent="0.3">
      <c r="A885" s="272"/>
      <c r="B885" s="47"/>
      <c r="C885" s="24"/>
      <c r="D885" s="24"/>
      <c r="E885" s="88" t="s">
        <v>196</v>
      </c>
      <c r="F885" s="66">
        <f t="shared" ref="F885:N885" si="291">IF(((F883="")*AND(F884="")),"",(F883-F884)*3)</f>
        <v>1987.7100000000005</v>
      </c>
      <c r="G885" s="66">
        <f t="shared" si="291"/>
        <v>1976.7600000000002</v>
      </c>
      <c r="H885" s="66">
        <f t="shared" si="291"/>
        <v>1966.9199999999996</v>
      </c>
      <c r="I885" s="66">
        <f t="shared" si="291"/>
        <v>1966.44</v>
      </c>
      <c r="J885" s="66">
        <f t="shared" si="291"/>
        <v>1943.5499999999997</v>
      </c>
      <c r="K885" s="66">
        <f t="shared" si="291"/>
        <v>1966.8899999999996</v>
      </c>
      <c r="L885" s="66">
        <f t="shared" si="291"/>
        <v>1971.5400000000002</v>
      </c>
      <c r="M885" s="66">
        <f t="shared" si="291"/>
        <v>1980.9899999999998</v>
      </c>
      <c r="N885" s="66">
        <f t="shared" si="291"/>
        <v>1953.8999999999999</v>
      </c>
      <c r="O885" s="88"/>
      <c r="P885" s="88"/>
      <c r="Q885" s="89"/>
      <c r="R885" s="89"/>
      <c r="S885" s="210"/>
      <c r="T885" s="23"/>
      <c r="U885" s="211"/>
      <c r="V885" s="33"/>
      <c r="X885" s="186"/>
      <c r="Y885" s="186"/>
      <c r="Z885" s="186"/>
      <c r="AA885" s="186"/>
    </row>
    <row r="886" spans="1:29" x14ac:dyDescent="0.25">
      <c r="A886" s="271">
        <v>43514</v>
      </c>
      <c r="B886" s="47" t="s">
        <v>191</v>
      </c>
      <c r="C886" s="24" t="s">
        <v>176</v>
      </c>
      <c r="D886" s="24" t="s">
        <v>175</v>
      </c>
      <c r="E886" s="88" t="s">
        <v>192</v>
      </c>
      <c r="F886" s="33">
        <v>29126.880000000001</v>
      </c>
      <c r="G886" s="33">
        <v>29058.02</v>
      </c>
      <c r="H886" s="33">
        <v>29088.14</v>
      </c>
      <c r="I886" s="33">
        <v>29064.51</v>
      </c>
      <c r="J886" s="33">
        <v>29159.599999999999</v>
      </c>
      <c r="K886" s="33">
        <v>29102.89</v>
      </c>
      <c r="L886" s="33">
        <v>29071.16</v>
      </c>
      <c r="M886" s="33">
        <v>29076.28</v>
      </c>
      <c r="N886" s="33">
        <v>29122.34</v>
      </c>
      <c r="O886" s="88">
        <f>IF((N887=""),"",MAX(F888:N888))</f>
        <v>4428.6899999999987</v>
      </c>
      <c r="P886" s="88">
        <f>IF(N887="","",MIN(F888:N888))</f>
        <v>3937.5300000000061</v>
      </c>
      <c r="Q886" s="89">
        <f>IF((N888=""),"",AVERAGE(F888:N888))</f>
        <v>4148.126666666667</v>
      </c>
      <c r="R886" s="89">
        <f>IF((N887=""),"",(O886-P886)/(O886+P886)*100)</f>
        <v>5.8707516656266785</v>
      </c>
      <c r="S886" s="210">
        <f>STDEV(F888:N888)</f>
        <v>187.93563179982473</v>
      </c>
      <c r="T886" s="23" t="str">
        <f>IF(N887="","",IF(R886&lt;16,IF(Q886&gt;3200,IF(R886,IF(Q886&lt;5240,"Pass","Fail"),"Fail"),"Fail")))</f>
        <v>Pass</v>
      </c>
      <c r="U886" s="220">
        <v>1428</v>
      </c>
      <c r="V886" s="33"/>
      <c r="X886" s="184">
        <v>4200</v>
      </c>
      <c r="Y886" s="184">
        <v>5500</v>
      </c>
      <c r="Z886" s="184">
        <v>3200</v>
      </c>
      <c r="AA886" s="184">
        <v>5240</v>
      </c>
      <c r="AB886" s="57">
        <v>16</v>
      </c>
    </row>
    <row r="887" spans="1:29" x14ac:dyDescent="0.25">
      <c r="A887" s="272"/>
      <c r="B887" s="47"/>
      <c r="C887" s="24"/>
      <c r="D887" s="24"/>
      <c r="E887" s="88" t="s">
        <v>193</v>
      </c>
      <c r="F887" s="33">
        <v>27709.08</v>
      </c>
      <c r="G887" s="33">
        <v>27745.51</v>
      </c>
      <c r="H887" s="33">
        <v>27766.5</v>
      </c>
      <c r="I887" s="33">
        <v>27735.1</v>
      </c>
      <c r="J887" s="33">
        <v>27692.880000000001</v>
      </c>
      <c r="K887" s="33">
        <v>27689.78</v>
      </c>
      <c r="L887" s="33">
        <v>27728.38</v>
      </c>
      <c r="M887" s="33">
        <v>27712.1</v>
      </c>
      <c r="N887" s="33">
        <v>27646.11</v>
      </c>
      <c r="O887" s="88"/>
      <c r="P887" s="88"/>
      <c r="Q887" s="89"/>
      <c r="R887" s="89"/>
      <c r="S887" s="210"/>
      <c r="T887" s="23"/>
      <c r="U887" s="211"/>
      <c r="V887" s="33"/>
      <c r="X887" s="186"/>
      <c r="Y887" s="186"/>
      <c r="Z887" s="186"/>
      <c r="AA887" s="186"/>
    </row>
    <row r="888" spans="1:29" ht="22.75" thickBot="1" x14ac:dyDescent="0.3">
      <c r="A888" s="272"/>
      <c r="B888" s="90"/>
      <c r="C888" s="91"/>
      <c r="D888" s="91"/>
      <c r="E888" s="92" t="s">
        <v>194</v>
      </c>
      <c r="F888" s="79">
        <f t="shared" ref="F888:N888" si="292">IF(((F886="")*AND(F887="")),"",(F886-F887)*3)</f>
        <v>4253.3999999999978</v>
      </c>
      <c r="G888" s="79">
        <f t="shared" si="292"/>
        <v>3937.5300000000061</v>
      </c>
      <c r="H888" s="79">
        <f t="shared" si="292"/>
        <v>3964.9199999999983</v>
      </c>
      <c r="I888" s="79">
        <f t="shared" si="292"/>
        <v>3988.2299999999996</v>
      </c>
      <c r="J888" s="79">
        <f t="shared" si="292"/>
        <v>4400.1599999999926</v>
      </c>
      <c r="K888" s="79">
        <f t="shared" si="292"/>
        <v>4239.3300000000017</v>
      </c>
      <c r="L888" s="79">
        <f t="shared" si="292"/>
        <v>4028.3399999999965</v>
      </c>
      <c r="M888" s="79">
        <f t="shared" si="292"/>
        <v>4092.5400000000009</v>
      </c>
      <c r="N888" s="79">
        <f t="shared" si="292"/>
        <v>4428.6899999999987</v>
      </c>
      <c r="O888" s="92"/>
      <c r="P888" s="92"/>
      <c r="Q888" s="93"/>
      <c r="R888" s="93"/>
      <c r="S888" s="213"/>
      <c r="T888" s="214"/>
      <c r="U888" s="215"/>
      <c r="V888" s="33"/>
      <c r="X888" s="186"/>
      <c r="Y888" s="186"/>
      <c r="Z888" s="186"/>
      <c r="AA888" s="186"/>
    </row>
    <row r="889" spans="1:29" x14ac:dyDescent="0.25">
      <c r="A889" s="271">
        <v>43517</v>
      </c>
      <c r="B889" s="63" t="s">
        <v>177</v>
      </c>
      <c r="C889" s="65" t="s">
        <v>179</v>
      </c>
      <c r="D889" s="65" t="s">
        <v>178</v>
      </c>
      <c r="E889" s="67" t="s">
        <v>192</v>
      </c>
      <c r="F889" s="33">
        <v>4984.8599999999997</v>
      </c>
      <c r="G889" s="33">
        <v>4889.7</v>
      </c>
      <c r="H889" s="33">
        <v>4889.24</v>
      </c>
      <c r="I889" s="33">
        <v>4861.38</v>
      </c>
      <c r="J889" s="33">
        <v>4890.8500000000004</v>
      </c>
      <c r="K889" s="33">
        <v>4970.7299999999996</v>
      </c>
      <c r="L889" s="33">
        <v>4880.1400000000003</v>
      </c>
      <c r="M889" s="33">
        <v>4907.9399999999996</v>
      </c>
      <c r="N889" s="33">
        <v>4981.17</v>
      </c>
      <c r="O889" s="86">
        <f>IF((N890=""),"",MAX(F891:N891))</f>
        <v>3918.7599999999993</v>
      </c>
      <c r="P889" s="86">
        <f>IF(N890="","",MIN(F891:N891))</f>
        <v>3642.6999999999989</v>
      </c>
      <c r="Q889" s="87">
        <f>IF((N891=""),"",AVERAGE(F891:N891))</f>
        <v>3823.2688888888888</v>
      </c>
      <c r="R889" s="87">
        <f>IF((N890=""),"",(O889-P889)/(O889+P889)*100)</f>
        <v>3.6508822370283052</v>
      </c>
      <c r="S889" s="181">
        <f>STDEV(F891:N891)</f>
        <v>102.82517693206826</v>
      </c>
      <c r="T889" s="208" t="str">
        <f>IF(N890="","",IF(Q889&gt;3650,IF(R889&lt;7,IF(Q889&lt;4450,"Pass","Fail"),"Fail"),"Fail"))</f>
        <v>Pass</v>
      </c>
      <c r="U889" s="220">
        <v>1428</v>
      </c>
      <c r="V889" s="33"/>
      <c r="X889" s="184">
        <v>3650</v>
      </c>
      <c r="Y889" s="184">
        <v>4450</v>
      </c>
      <c r="Z889" s="184">
        <v>3700</v>
      </c>
      <c r="AA889" s="184">
        <v>4100</v>
      </c>
      <c r="AB889" s="57">
        <v>6.5</v>
      </c>
      <c r="AC889" s="57">
        <v>7</v>
      </c>
    </row>
    <row r="890" spans="1:29" x14ac:dyDescent="0.25">
      <c r="A890" s="272"/>
      <c r="B890" s="47"/>
      <c r="C890" s="24"/>
      <c r="D890" s="24"/>
      <c r="E890" s="88" t="s">
        <v>193</v>
      </c>
      <c r="F890" s="33">
        <v>3121.23</v>
      </c>
      <c r="G890" s="33">
        <v>2940.37</v>
      </c>
      <c r="H890" s="33">
        <v>2932.23</v>
      </c>
      <c r="I890" s="33">
        <v>2915.83</v>
      </c>
      <c r="J890" s="33">
        <v>3032.02</v>
      </c>
      <c r="K890" s="33">
        <v>3149.38</v>
      </c>
      <c r="L890" s="33">
        <v>2937.37</v>
      </c>
      <c r="M890" s="33">
        <v>2948.56</v>
      </c>
      <c r="N890" s="33">
        <v>3074.31</v>
      </c>
      <c r="O890" s="88"/>
      <c r="P890" s="88"/>
      <c r="Q890" s="89"/>
      <c r="R890" s="89"/>
      <c r="S890" s="210"/>
      <c r="T890" s="28"/>
      <c r="U890" s="217"/>
      <c r="V890" s="33"/>
      <c r="X890" s="186"/>
      <c r="Y890" s="186"/>
      <c r="Z890" s="186"/>
      <c r="AA890" s="186"/>
    </row>
    <row r="891" spans="1:29" ht="22.75" thickBot="1" x14ac:dyDescent="0.3">
      <c r="A891" s="272"/>
      <c r="B891" s="47"/>
      <c r="C891" s="24"/>
      <c r="D891" s="24"/>
      <c r="E891" s="88" t="s">
        <v>194</v>
      </c>
      <c r="F891" s="66">
        <f t="shared" ref="F891:N891" si="293">IF(((F889="")*AND(F890="")),"",(F889-F890)*2)</f>
        <v>3727.2599999999993</v>
      </c>
      <c r="G891" s="66">
        <f t="shared" si="293"/>
        <v>3898.66</v>
      </c>
      <c r="H891" s="66">
        <f t="shared" si="293"/>
        <v>3914.0199999999995</v>
      </c>
      <c r="I891" s="66">
        <f t="shared" si="293"/>
        <v>3891.1000000000004</v>
      </c>
      <c r="J891" s="66">
        <f t="shared" si="293"/>
        <v>3717.6600000000008</v>
      </c>
      <c r="K891" s="66">
        <f t="shared" si="293"/>
        <v>3642.6999999999989</v>
      </c>
      <c r="L891" s="66">
        <f t="shared" si="293"/>
        <v>3885.5400000000009</v>
      </c>
      <c r="M891" s="66">
        <f t="shared" si="293"/>
        <v>3918.7599999999993</v>
      </c>
      <c r="N891" s="66">
        <f t="shared" si="293"/>
        <v>3813.7200000000003</v>
      </c>
      <c r="O891" s="88"/>
      <c r="P891" s="88"/>
      <c r="Q891" s="89"/>
      <c r="R891" s="89"/>
      <c r="S891" s="210"/>
      <c r="T891" s="28"/>
      <c r="U891" s="217"/>
      <c r="V891" s="33"/>
      <c r="X891" s="186"/>
      <c r="Y891" s="186"/>
      <c r="Z891" s="186"/>
      <c r="AA891" s="186"/>
    </row>
    <row r="892" spans="1:29" x14ac:dyDescent="0.25">
      <c r="A892" s="271">
        <v>43517</v>
      </c>
      <c r="B892" s="24" t="s">
        <v>172</v>
      </c>
      <c r="C892" s="24" t="s">
        <v>174</v>
      </c>
      <c r="D892" s="24" t="s">
        <v>195</v>
      </c>
      <c r="E892" s="88" t="s">
        <v>192</v>
      </c>
      <c r="F892" s="33">
        <v>1273.5999999999999</v>
      </c>
      <c r="G892" s="33">
        <v>1268.7</v>
      </c>
      <c r="H892" s="33">
        <v>1264.7</v>
      </c>
      <c r="I892" s="33">
        <v>1278.45</v>
      </c>
      <c r="J892" s="33">
        <v>1288.94</v>
      </c>
      <c r="K892" s="33">
        <v>1278.6400000000001</v>
      </c>
      <c r="L892" s="33">
        <v>1276.1400000000001</v>
      </c>
      <c r="M892" s="33">
        <v>1269.68</v>
      </c>
      <c r="N892" s="33">
        <v>1288.4000000000001</v>
      </c>
      <c r="O892" s="88">
        <f>IF((N893=""),"",MAX(F894:N894))</f>
        <v>2038.3199999999997</v>
      </c>
      <c r="P892" s="88">
        <f>IF(N893="","",MIN(F894:N894))</f>
        <v>1955.8200000000002</v>
      </c>
      <c r="Q892" s="89">
        <f>IF((N894=""),"",AVERAGE(F894:N894))</f>
        <v>2003.98</v>
      </c>
      <c r="R892" s="89">
        <f>IF((N893=""),"",(O892-P892)/(O892+P892)*100)</f>
        <v>2.0655259955835183</v>
      </c>
      <c r="S892" s="210">
        <f>STDEV(F894:N894)</f>
        <v>22.938482404030022</v>
      </c>
      <c r="T892" s="23" t="str">
        <f>IF(N893="","",IF(Q892&gt;1940,IF(R892&lt;8.3,IF(Q892&lt;2180,"Pass","Fail"),"Fail"),"Fail"))</f>
        <v>Pass</v>
      </c>
      <c r="U892" s="220">
        <v>1428</v>
      </c>
      <c r="V892" s="33"/>
      <c r="X892" s="184">
        <v>2000</v>
      </c>
      <c r="Y892" s="184">
        <v>3000</v>
      </c>
      <c r="Z892" s="184">
        <v>1940</v>
      </c>
      <c r="AA892" s="184">
        <v>2180</v>
      </c>
      <c r="AB892" s="57">
        <v>5.2</v>
      </c>
    </row>
    <row r="893" spans="1:29" x14ac:dyDescent="0.25">
      <c r="A893" s="272"/>
      <c r="B893" s="47"/>
      <c r="C893" s="24"/>
      <c r="D893" s="24"/>
      <c r="E893" s="88" t="s">
        <v>193</v>
      </c>
      <c r="F893" s="33">
        <v>594.16</v>
      </c>
      <c r="G893" s="33">
        <v>594.58000000000004</v>
      </c>
      <c r="H893" s="33">
        <v>599.42999999999995</v>
      </c>
      <c r="I893" s="33">
        <v>610.59</v>
      </c>
      <c r="J893" s="33">
        <v>637</v>
      </c>
      <c r="K893" s="33">
        <v>610.1</v>
      </c>
      <c r="L893" s="33">
        <v>608.32000000000005</v>
      </c>
      <c r="M893" s="33">
        <v>597.13</v>
      </c>
      <c r="N893" s="33">
        <v>624</v>
      </c>
      <c r="O893" s="88"/>
      <c r="P893" s="88"/>
      <c r="Q893" s="89"/>
      <c r="R893" s="89"/>
      <c r="S893" s="210"/>
      <c r="T893" s="23"/>
      <c r="U893" s="211"/>
      <c r="V893" s="33"/>
      <c r="X893" s="186"/>
      <c r="Y893" s="186"/>
      <c r="Z893" s="186"/>
      <c r="AA893" s="186"/>
    </row>
    <row r="894" spans="1:29" ht="13.3" thickBot="1" x14ac:dyDescent="0.3">
      <c r="A894" s="272"/>
      <c r="B894" s="47"/>
      <c r="C894" s="24"/>
      <c r="D894" s="24"/>
      <c r="E894" s="88" t="s">
        <v>196</v>
      </c>
      <c r="F894" s="66">
        <f t="shared" ref="F894:N894" si="294">IF(((F892="")*AND(F893="")),"",(F892-F893)*3)</f>
        <v>2038.3199999999997</v>
      </c>
      <c r="G894" s="66">
        <f t="shared" si="294"/>
        <v>2022.3600000000001</v>
      </c>
      <c r="H894" s="66">
        <f t="shared" si="294"/>
        <v>1995.8100000000004</v>
      </c>
      <c r="I894" s="66">
        <f t="shared" si="294"/>
        <v>2003.58</v>
      </c>
      <c r="J894" s="66">
        <f t="shared" si="294"/>
        <v>1955.8200000000002</v>
      </c>
      <c r="K894" s="66">
        <f t="shared" si="294"/>
        <v>2005.6200000000003</v>
      </c>
      <c r="L894" s="66">
        <f t="shared" si="294"/>
        <v>2003.46</v>
      </c>
      <c r="M894" s="66">
        <f t="shared" si="294"/>
        <v>2017.65</v>
      </c>
      <c r="N894" s="66">
        <f t="shared" si="294"/>
        <v>1993.2000000000003</v>
      </c>
      <c r="O894" s="88"/>
      <c r="P894" s="88"/>
      <c r="Q894" s="89"/>
      <c r="R894" s="89"/>
      <c r="S894" s="210"/>
      <c r="T894" s="23"/>
      <c r="U894" s="211"/>
      <c r="V894" s="33"/>
      <c r="X894" s="186"/>
      <c r="Y894" s="186"/>
      <c r="Z894" s="186"/>
      <c r="AA894" s="186"/>
    </row>
    <row r="895" spans="1:29" x14ac:dyDescent="0.25">
      <c r="A895" s="271">
        <v>43517</v>
      </c>
      <c r="B895" s="47" t="s">
        <v>191</v>
      </c>
      <c r="C895" s="24" t="s">
        <v>176</v>
      </c>
      <c r="D895" s="24" t="s">
        <v>175</v>
      </c>
      <c r="E895" s="88" t="s">
        <v>192</v>
      </c>
      <c r="F895" s="33">
        <v>27647.17</v>
      </c>
      <c r="G895" s="33">
        <v>27703.62</v>
      </c>
      <c r="H895" s="33">
        <v>27724</v>
      </c>
      <c r="I895" s="33">
        <v>27682.32</v>
      </c>
      <c r="J895" s="33">
        <v>27634.66</v>
      </c>
      <c r="K895" s="33">
        <v>27617.360000000001</v>
      </c>
      <c r="L895" s="33">
        <v>27709.3</v>
      </c>
      <c r="M895" s="33">
        <v>27637.09</v>
      </c>
      <c r="N895" s="33">
        <v>27603.66</v>
      </c>
      <c r="O895" s="88">
        <f>IF((N896=""),"",MAX(F897:N897))</f>
        <v>4525.8599999999969</v>
      </c>
      <c r="P895" s="88">
        <f>IF(N896="","",MIN(F897:N897))</f>
        <v>3950.0699999999961</v>
      </c>
      <c r="Q895" s="89">
        <f>IF((N897=""),"",AVERAGE(F897:N897))</f>
        <v>4200.7499999999982</v>
      </c>
      <c r="R895" s="89">
        <f>IF((N896=""),"",(O895-P895)/(O895+P895)*100)</f>
        <v>6.7932368483458614</v>
      </c>
      <c r="S895" s="210">
        <f>STDEV(F897:N897)</f>
        <v>197.72572594379369</v>
      </c>
      <c r="T895" s="23" t="str">
        <f>IF(N896="","",IF(R895&lt;16,IF(Q895&gt;3200,IF(R895,IF(Q895&lt;5240,"Pass","Fail"),"Fail"),"Fail")))</f>
        <v>Pass</v>
      </c>
      <c r="U895" s="220">
        <v>1428</v>
      </c>
      <c r="V895" s="33"/>
      <c r="X895" s="184">
        <v>4200</v>
      </c>
      <c r="Y895" s="184">
        <v>5500</v>
      </c>
      <c r="Z895" s="184">
        <v>3200</v>
      </c>
      <c r="AA895" s="184">
        <v>5240</v>
      </c>
      <c r="AB895" s="57">
        <v>16</v>
      </c>
    </row>
    <row r="896" spans="1:29" x14ac:dyDescent="0.25">
      <c r="A896" s="272"/>
      <c r="B896" s="47"/>
      <c r="C896" s="24"/>
      <c r="D896" s="24"/>
      <c r="E896" s="88" t="s">
        <v>193</v>
      </c>
      <c r="F896" s="33">
        <v>26179</v>
      </c>
      <c r="G896" s="33">
        <v>26334.58</v>
      </c>
      <c r="H896" s="33">
        <v>26407.31</v>
      </c>
      <c r="I896" s="33">
        <v>26326.07</v>
      </c>
      <c r="J896" s="33">
        <v>26164.959999999999</v>
      </c>
      <c r="K896" s="33">
        <v>26218.41</v>
      </c>
      <c r="L896" s="33">
        <v>26349.97</v>
      </c>
      <c r="M896" s="33">
        <v>26281.59</v>
      </c>
      <c r="N896" s="33">
        <v>26095.040000000001</v>
      </c>
      <c r="O896" s="88"/>
      <c r="P896" s="88"/>
      <c r="Q896" s="89"/>
      <c r="R896" s="89"/>
      <c r="S896" s="210"/>
      <c r="T896" s="23"/>
      <c r="U896" s="211"/>
      <c r="V896" s="33"/>
      <c r="X896" s="186"/>
      <c r="Y896" s="186"/>
      <c r="Z896" s="186"/>
      <c r="AA896" s="186"/>
    </row>
    <row r="897" spans="1:29" ht="22.75" thickBot="1" x14ac:dyDescent="0.3">
      <c r="A897" s="272"/>
      <c r="B897" s="90"/>
      <c r="C897" s="91"/>
      <c r="D897" s="91"/>
      <c r="E897" s="92" t="s">
        <v>194</v>
      </c>
      <c r="F897" s="79">
        <f t="shared" ref="F897:N897" si="295">IF(((F895="")*AND(F896="")),"",(F895-F896)*3)</f>
        <v>4404.5099999999948</v>
      </c>
      <c r="G897" s="79">
        <f t="shared" si="295"/>
        <v>4107.1199999999917</v>
      </c>
      <c r="H897" s="79">
        <f t="shared" si="295"/>
        <v>3950.0699999999961</v>
      </c>
      <c r="I897" s="79">
        <f t="shared" si="295"/>
        <v>4068.75</v>
      </c>
      <c r="J897" s="79">
        <f t="shared" si="295"/>
        <v>4409.1000000000022</v>
      </c>
      <c r="K897" s="79">
        <f t="shared" si="295"/>
        <v>4196.8500000000022</v>
      </c>
      <c r="L897" s="79">
        <f t="shared" si="295"/>
        <v>4077.9899999999943</v>
      </c>
      <c r="M897" s="79">
        <f t="shared" si="295"/>
        <v>4066.5</v>
      </c>
      <c r="N897" s="79">
        <f t="shared" si="295"/>
        <v>4525.8599999999969</v>
      </c>
      <c r="O897" s="92"/>
      <c r="P897" s="92"/>
      <c r="Q897" s="93"/>
      <c r="R897" s="93"/>
      <c r="S897" s="213"/>
      <c r="T897" s="214"/>
      <c r="U897" s="215"/>
      <c r="V897" s="33"/>
      <c r="X897" s="186"/>
      <c r="Y897" s="186"/>
      <c r="Z897" s="186"/>
      <c r="AA897" s="186"/>
    </row>
    <row r="898" spans="1:29" x14ac:dyDescent="0.25">
      <c r="A898" s="271">
        <v>43521</v>
      </c>
      <c r="B898" s="63" t="s">
        <v>177</v>
      </c>
      <c r="C898" s="65" t="s">
        <v>179</v>
      </c>
      <c r="D898" s="65" t="s">
        <v>178</v>
      </c>
      <c r="E898" s="67" t="s">
        <v>192</v>
      </c>
      <c r="F898" s="33">
        <v>3134.87</v>
      </c>
      <c r="G898" s="33">
        <v>2954.5</v>
      </c>
      <c r="H898" s="33">
        <v>2944.49</v>
      </c>
      <c r="I898" s="33">
        <v>2925.52</v>
      </c>
      <c r="J898" s="33">
        <v>3040.59</v>
      </c>
      <c r="K898" s="33">
        <v>3160.65</v>
      </c>
      <c r="L898" s="33">
        <v>2948.81</v>
      </c>
      <c r="M898" s="33">
        <v>2960.1</v>
      </c>
      <c r="N898" s="33">
        <v>3087.13</v>
      </c>
      <c r="O898" s="86">
        <f>IF((N899=""),"",MAX(F900:N900))</f>
        <v>3909.8999999999996</v>
      </c>
      <c r="P898" s="86">
        <f>IF(N899="","",MIN(F900:N900))</f>
        <v>3627.36</v>
      </c>
      <c r="Q898" s="87">
        <f>IF((N900=""),"",AVERAGE(F900:N900))</f>
        <v>3812.255555555555</v>
      </c>
      <c r="R898" s="87">
        <f>IF((N899=""),"",(O898-P898)/(O898+P898)*100)</f>
        <v>3.7485770691206026</v>
      </c>
      <c r="S898" s="181">
        <f>STDEV(F900:N900)</f>
        <v>100.93238171061721</v>
      </c>
      <c r="T898" s="208" t="str">
        <f>IF(N899="","",IF(Q898&gt;3650,IF(R898&lt;7,IF(Q898&lt;4450,"Pass","Fail"),"Fail"),"Fail"))</f>
        <v>Pass</v>
      </c>
      <c r="U898" s="220"/>
      <c r="V898" s="251" t="s">
        <v>230</v>
      </c>
      <c r="X898" s="184">
        <v>3650</v>
      </c>
      <c r="Y898" s="184">
        <v>4450</v>
      </c>
      <c r="Z898" s="184">
        <v>3700</v>
      </c>
      <c r="AA898" s="184">
        <v>4100</v>
      </c>
      <c r="AB898" s="57">
        <v>6.5</v>
      </c>
      <c r="AC898" s="57">
        <v>7</v>
      </c>
    </row>
    <row r="899" spans="1:29" x14ac:dyDescent="0.25">
      <c r="A899" s="272"/>
      <c r="B899" s="47"/>
      <c r="C899" s="24"/>
      <c r="D899" s="24"/>
      <c r="E899" s="88" t="s">
        <v>193</v>
      </c>
      <c r="F899" s="33">
        <v>1281.1099999999999</v>
      </c>
      <c r="G899" s="33">
        <v>1019.99</v>
      </c>
      <c r="H899" s="33">
        <v>994.32</v>
      </c>
      <c r="I899" s="33">
        <v>987.19</v>
      </c>
      <c r="J899" s="33">
        <v>1179.06</v>
      </c>
      <c r="K899" s="33">
        <v>1346.97</v>
      </c>
      <c r="L899" s="33">
        <v>1012.78</v>
      </c>
      <c r="M899" s="33">
        <v>1005.15</v>
      </c>
      <c r="N899" s="33">
        <v>1174.94</v>
      </c>
      <c r="O899" s="88"/>
      <c r="P899" s="88"/>
      <c r="Q899" s="89"/>
      <c r="R899" s="89"/>
      <c r="S899" s="210"/>
      <c r="T899" s="28"/>
      <c r="U899" s="217"/>
      <c r="V899" s="251"/>
      <c r="X899" s="186"/>
      <c r="Y899" s="186"/>
      <c r="Z899" s="186"/>
      <c r="AA899" s="186"/>
    </row>
    <row r="900" spans="1:29" ht="22.75" thickBot="1" x14ac:dyDescent="0.3">
      <c r="A900" s="272"/>
      <c r="B900" s="47"/>
      <c r="C900" s="24"/>
      <c r="D900" s="24"/>
      <c r="E900" s="88" t="s">
        <v>194</v>
      </c>
      <c r="F900" s="66">
        <f t="shared" ref="F900:N900" si="296">IF(((F898="")*AND(F899="")),"",(F898-F899)*2)</f>
        <v>3707.52</v>
      </c>
      <c r="G900" s="66">
        <f t="shared" si="296"/>
        <v>3869.02</v>
      </c>
      <c r="H900" s="66">
        <f t="shared" si="296"/>
        <v>3900.3399999999992</v>
      </c>
      <c r="I900" s="66">
        <f t="shared" si="296"/>
        <v>3876.66</v>
      </c>
      <c r="J900" s="66">
        <f t="shared" si="296"/>
        <v>3723.0600000000004</v>
      </c>
      <c r="K900" s="66">
        <f t="shared" si="296"/>
        <v>3627.36</v>
      </c>
      <c r="L900" s="66">
        <f t="shared" si="296"/>
        <v>3872.06</v>
      </c>
      <c r="M900" s="66">
        <f t="shared" si="296"/>
        <v>3909.8999999999996</v>
      </c>
      <c r="N900" s="66">
        <f t="shared" si="296"/>
        <v>3824.38</v>
      </c>
      <c r="O900" s="88"/>
      <c r="P900" s="88"/>
      <c r="Q900" s="89"/>
      <c r="R900" s="89"/>
      <c r="S900" s="210"/>
      <c r="T900" s="28"/>
      <c r="U900" s="217"/>
      <c r="V900" s="251"/>
      <c r="X900" s="186"/>
      <c r="Y900" s="186"/>
      <c r="Z900" s="186"/>
      <c r="AA900" s="186"/>
    </row>
    <row r="901" spans="1:29" x14ac:dyDescent="0.25">
      <c r="A901" s="271">
        <v>43521</v>
      </c>
      <c r="B901" s="24" t="s">
        <v>172</v>
      </c>
      <c r="C901" s="24" t="s">
        <v>174</v>
      </c>
      <c r="D901" s="24" t="s">
        <v>195</v>
      </c>
      <c r="E901" s="88" t="s">
        <v>192</v>
      </c>
      <c r="F901" s="33">
        <v>1950.16</v>
      </c>
      <c r="G901" s="33">
        <v>1942.9</v>
      </c>
      <c r="H901" s="33">
        <v>1943.48</v>
      </c>
      <c r="I901" s="33">
        <v>1946.06</v>
      </c>
      <c r="J901" s="33">
        <v>1950.68</v>
      </c>
      <c r="K901" s="33">
        <v>1950.59</v>
      </c>
      <c r="L901" s="33">
        <v>1941.85</v>
      </c>
      <c r="M901" s="33">
        <v>1942.18</v>
      </c>
      <c r="N901" s="33">
        <v>1948.12</v>
      </c>
      <c r="O901" s="88">
        <f>IF((N902=""),"",MAX(F903:N903))</f>
        <v>2010.2700000000004</v>
      </c>
      <c r="P901" s="88">
        <f>IF(N902="","",MIN(F903:N903))</f>
        <v>1956.5400000000002</v>
      </c>
      <c r="Q901" s="89">
        <f>IF((N903=""),"",AVERAGE(F903:N903))</f>
        <v>1979.04</v>
      </c>
      <c r="R901" s="89">
        <f>IF((N902=""),"",(O901-P901)/(O901+P901)*100)</f>
        <v>1.354488871410535</v>
      </c>
      <c r="S901" s="210">
        <f>STDEV(F903:N903)</f>
        <v>15.742548237182094</v>
      </c>
      <c r="T901" s="23" t="str">
        <f>IF(N902="","",IF(Q901&gt;1940,IF(R901&lt;8.3,IF(Q901&lt;2180,"Pass","Fail"),"Fail"),"Fail"))</f>
        <v>Pass</v>
      </c>
      <c r="U901" s="220"/>
      <c r="V901" s="251" t="s">
        <v>230</v>
      </c>
      <c r="X901" s="184">
        <v>2000</v>
      </c>
      <c r="Y901" s="184">
        <v>3000</v>
      </c>
      <c r="Z901" s="184">
        <v>1940</v>
      </c>
      <c r="AA901" s="184">
        <v>2180</v>
      </c>
      <c r="AB901" s="57">
        <v>5.2</v>
      </c>
    </row>
    <row r="902" spans="1:29" x14ac:dyDescent="0.25">
      <c r="A902" s="272"/>
      <c r="B902" s="47"/>
      <c r="C902" s="24"/>
      <c r="D902" s="24"/>
      <c r="E902" s="88" t="s">
        <v>193</v>
      </c>
      <c r="F902" s="33">
        <v>1280.07</v>
      </c>
      <c r="G902" s="33">
        <v>1282.32</v>
      </c>
      <c r="H902" s="33">
        <v>1284.55</v>
      </c>
      <c r="I902" s="33">
        <v>1285.72</v>
      </c>
      <c r="J902" s="33">
        <v>1298.5</v>
      </c>
      <c r="K902" s="33">
        <v>1287.42</v>
      </c>
      <c r="L902" s="33">
        <v>1287.42</v>
      </c>
      <c r="M902" s="33">
        <v>1281.01</v>
      </c>
      <c r="N902" s="33">
        <v>1291.8900000000001</v>
      </c>
      <c r="O902" s="88"/>
      <c r="P902" s="88"/>
      <c r="Q902" s="89"/>
      <c r="R902" s="89"/>
      <c r="S902" s="210"/>
      <c r="T902" s="23"/>
      <c r="U902" s="211"/>
      <c r="V902" s="251"/>
      <c r="X902" s="186"/>
      <c r="Y902" s="186"/>
      <c r="Z902" s="186"/>
      <c r="AA902" s="186"/>
    </row>
    <row r="903" spans="1:29" ht="13.3" thickBot="1" x14ac:dyDescent="0.3">
      <c r="A903" s="272"/>
      <c r="B903" s="47"/>
      <c r="C903" s="24"/>
      <c r="D903" s="24"/>
      <c r="E903" s="88" t="s">
        <v>196</v>
      </c>
      <c r="F903" s="66">
        <f t="shared" ref="F903:N903" si="297">IF(((F901="")*AND(F902="")),"",(F901-F902)*3)</f>
        <v>2010.2700000000004</v>
      </c>
      <c r="G903" s="66">
        <f t="shared" si="297"/>
        <v>1981.7400000000005</v>
      </c>
      <c r="H903" s="66">
        <f t="shared" si="297"/>
        <v>1976.7900000000002</v>
      </c>
      <c r="I903" s="66">
        <f t="shared" si="297"/>
        <v>1981.0199999999998</v>
      </c>
      <c r="J903" s="66">
        <f t="shared" si="297"/>
        <v>1956.5400000000002</v>
      </c>
      <c r="K903" s="66">
        <f t="shared" si="297"/>
        <v>1989.5099999999995</v>
      </c>
      <c r="L903" s="66">
        <f t="shared" si="297"/>
        <v>1963.2899999999995</v>
      </c>
      <c r="M903" s="66">
        <f t="shared" si="297"/>
        <v>1983.5100000000002</v>
      </c>
      <c r="N903" s="66">
        <f t="shared" si="297"/>
        <v>1968.6899999999994</v>
      </c>
      <c r="O903" s="88"/>
      <c r="P903" s="88"/>
      <c r="Q903" s="89"/>
      <c r="R903" s="89"/>
      <c r="S903" s="210"/>
      <c r="T903" s="23"/>
      <c r="U903" s="211"/>
      <c r="V903" s="251"/>
      <c r="X903" s="186"/>
      <c r="Y903" s="186"/>
      <c r="Z903" s="186"/>
      <c r="AA903" s="186"/>
    </row>
    <row r="904" spans="1:29" x14ac:dyDescent="0.25">
      <c r="A904" s="271">
        <v>43521</v>
      </c>
      <c r="B904" s="47" t="s">
        <v>191</v>
      </c>
      <c r="C904" s="24" t="s">
        <v>176</v>
      </c>
      <c r="D904" s="24" t="s">
        <v>175</v>
      </c>
      <c r="E904" s="88" t="s">
        <v>192</v>
      </c>
      <c r="F904" s="33">
        <v>26151.34</v>
      </c>
      <c r="G904" s="33">
        <v>26265.5</v>
      </c>
      <c r="H904" s="33">
        <v>26343.1</v>
      </c>
      <c r="I904" s="33">
        <v>26279.200000000001</v>
      </c>
      <c r="J904" s="33">
        <v>26130.95</v>
      </c>
      <c r="K904" s="33">
        <v>26164.61</v>
      </c>
      <c r="L904" s="33">
        <v>26287.84</v>
      </c>
      <c r="M904" s="33">
        <v>26242.33</v>
      </c>
      <c r="N904" s="33">
        <v>26058.080000000002</v>
      </c>
      <c r="O904" s="88">
        <f>IF((N905=""),"",MAX(F906:N906))</f>
        <v>4632.4200000000092</v>
      </c>
      <c r="P904" s="88">
        <f>IF(N905="","",MIN(F906:N906))</f>
        <v>4175.8799999999974</v>
      </c>
      <c r="Q904" s="89">
        <f>IF((N906=""),"",AVERAGE(F906:N906))</f>
        <v>4404.2400000000016</v>
      </c>
      <c r="R904" s="89">
        <f>IF((N905=""),"",(O904-P904)/(O904+P904)*100)</f>
        <v>5.1830659718675731</v>
      </c>
      <c r="S904" s="210">
        <f>STDEV(F906:N906)</f>
        <v>204.54803995638858</v>
      </c>
      <c r="T904" s="23" t="str">
        <f>IF(N905="","",IF(R904&lt;16,IF(Q904&gt;3200,IF(R904,IF(Q904&lt;5240,"Pass","Fail"),"Fail"),"Fail")))</f>
        <v>Pass</v>
      </c>
      <c r="U904" s="220"/>
      <c r="V904" s="251" t="s">
        <v>230</v>
      </c>
      <c r="X904" s="184">
        <v>4200</v>
      </c>
      <c r="Y904" s="184">
        <v>5500</v>
      </c>
      <c r="Z904" s="184">
        <v>3200</v>
      </c>
      <c r="AA904" s="184">
        <v>5240</v>
      </c>
      <c r="AB904" s="57">
        <v>16</v>
      </c>
    </row>
    <row r="905" spans="1:29" x14ac:dyDescent="0.25">
      <c r="A905" s="272"/>
      <c r="B905" s="47"/>
      <c r="C905" s="24"/>
      <c r="D905" s="24"/>
      <c r="E905" s="88" t="s">
        <v>193</v>
      </c>
      <c r="F905" s="33">
        <v>24609.61</v>
      </c>
      <c r="G905" s="33">
        <v>24869.79</v>
      </c>
      <c r="H905" s="33">
        <v>24893.86</v>
      </c>
      <c r="I905" s="33">
        <v>24887.24</v>
      </c>
      <c r="J905" s="33">
        <v>24589.53</v>
      </c>
      <c r="K905" s="33">
        <v>24643.49</v>
      </c>
      <c r="L905" s="33">
        <v>24858.51</v>
      </c>
      <c r="M905" s="33">
        <v>24844.26</v>
      </c>
      <c r="N905" s="33">
        <v>24513.94</v>
      </c>
      <c r="O905" s="88"/>
      <c r="P905" s="88"/>
      <c r="Q905" s="89"/>
      <c r="R905" s="89"/>
      <c r="S905" s="210"/>
      <c r="T905" s="23"/>
      <c r="U905" s="211"/>
      <c r="V905" s="251"/>
      <c r="X905" s="186"/>
      <c r="Y905" s="186"/>
      <c r="Z905" s="186"/>
      <c r="AA905" s="186"/>
    </row>
    <row r="906" spans="1:29" ht="22.75" thickBot="1" x14ac:dyDescent="0.3">
      <c r="A906" s="272"/>
      <c r="B906" s="90"/>
      <c r="C906" s="91"/>
      <c r="D906" s="91"/>
      <c r="E906" s="92" t="s">
        <v>194</v>
      </c>
      <c r="F906" s="79">
        <f t="shared" ref="F906:N906" si="298">IF(((F904="")*AND(F905="")),"",(F904-F905)*3)</f>
        <v>4625.1899999999987</v>
      </c>
      <c r="G906" s="79">
        <f t="shared" si="298"/>
        <v>4187.1299999999974</v>
      </c>
      <c r="H906" s="79">
        <f t="shared" si="298"/>
        <v>4347.7199999999939</v>
      </c>
      <c r="I906" s="79">
        <f t="shared" si="298"/>
        <v>4175.8799999999974</v>
      </c>
      <c r="J906" s="79">
        <f t="shared" si="298"/>
        <v>4624.2600000000057</v>
      </c>
      <c r="K906" s="79">
        <f t="shared" si="298"/>
        <v>4563.3599999999969</v>
      </c>
      <c r="L906" s="79">
        <f t="shared" si="298"/>
        <v>4287.9900000000052</v>
      </c>
      <c r="M906" s="79">
        <f t="shared" si="298"/>
        <v>4194.21000000001</v>
      </c>
      <c r="N906" s="79">
        <f t="shared" si="298"/>
        <v>4632.4200000000092</v>
      </c>
      <c r="O906" s="92"/>
      <c r="P906" s="92"/>
      <c r="Q906" s="93"/>
      <c r="R906" s="93"/>
      <c r="S906" s="213"/>
      <c r="T906" s="214"/>
      <c r="U906" s="215"/>
      <c r="V906" s="251"/>
      <c r="X906" s="186"/>
      <c r="Y906" s="186"/>
      <c r="Z906" s="186"/>
      <c r="AA906" s="186"/>
    </row>
    <row r="907" spans="1:29" x14ac:dyDescent="0.25">
      <c r="A907" s="271">
        <v>43524</v>
      </c>
      <c r="B907" s="63" t="s">
        <v>177</v>
      </c>
      <c r="C907" s="65" t="s">
        <v>179</v>
      </c>
      <c r="D907" s="65" t="s">
        <v>178</v>
      </c>
      <c r="E907" s="67" t="s">
        <v>192</v>
      </c>
      <c r="F907" s="33">
        <v>6899.66</v>
      </c>
      <c r="G907" s="33">
        <v>6867.25</v>
      </c>
      <c r="H907" s="33">
        <v>6889.77</v>
      </c>
      <c r="I907" s="33">
        <v>6846.95</v>
      </c>
      <c r="J907" s="33">
        <v>6808.74</v>
      </c>
      <c r="K907" s="33">
        <v>6878.9</v>
      </c>
      <c r="L907" s="33">
        <v>6869.11</v>
      </c>
      <c r="M907" s="33">
        <v>6903.36</v>
      </c>
      <c r="N907" s="33">
        <v>6937.64</v>
      </c>
      <c r="O907" s="86">
        <f>IF((N908=""),"",MAX(F909:N909))</f>
        <v>3907.34</v>
      </c>
      <c r="P907" s="86">
        <f>IF(N908="","",MIN(F909:N909))</f>
        <v>3640.4399999999987</v>
      </c>
      <c r="Q907" s="87">
        <f>IF((N909=""),"",AVERAGE(F909:N909))</f>
        <v>3809.9444444444434</v>
      </c>
      <c r="R907" s="87">
        <f>IF((N908=""),"",(O907-P907)/(O907+P907)*100)</f>
        <v>3.5361391031535301</v>
      </c>
      <c r="S907" s="181">
        <f>STDEV(F909:N909)</f>
        <v>96.754457663602722</v>
      </c>
      <c r="T907" s="208" t="str">
        <f>IF(N908="","",IF(Q907&gt;3650,IF(R907&lt;7,IF(Q907&lt;4450,"Pass","Fail"),"Fail"),"Fail"))</f>
        <v>Pass</v>
      </c>
      <c r="U907" s="220" t="s">
        <v>99</v>
      </c>
      <c r="V907" s="251" t="s">
        <v>231</v>
      </c>
      <c r="X907" s="184">
        <v>3650</v>
      </c>
      <c r="Y907" s="184">
        <v>4450</v>
      </c>
      <c r="Z907" s="184">
        <v>3700</v>
      </c>
      <c r="AA907" s="184">
        <v>4100</v>
      </c>
      <c r="AB907" s="57">
        <v>6.5</v>
      </c>
      <c r="AC907" s="57">
        <v>7</v>
      </c>
    </row>
    <row r="908" spans="1:29" x14ac:dyDescent="0.25">
      <c r="A908" s="272"/>
      <c r="B908" s="47"/>
      <c r="C908" s="24"/>
      <c r="D908" s="24"/>
      <c r="E908" s="88" t="s">
        <v>193</v>
      </c>
      <c r="F908" s="33">
        <v>5034.5200000000004</v>
      </c>
      <c r="G908" s="33">
        <v>4929.45</v>
      </c>
      <c r="H908" s="33">
        <v>4940.93</v>
      </c>
      <c r="I908" s="33">
        <v>4914.3900000000003</v>
      </c>
      <c r="J908" s="33">
        <v>4958.8900000000003</v>
      </c>
      <c r="K908" s="33">
        <v>5058.68</v>
      </c>
      <c r="L908" s="33">
        <v>4936.2299999999996</v>
      </c>
      <c r="M908" s="33">
        <v>4949.6899999999996</v>
      </c>
      <c r="N908" s="33">
        <v>5033.8500000000004</v>
      </c>
      <c r="O908" s="88"/>
      <c r="P908" s="88"/>
      <c r="Q908" s="89"/>
      <c r="R908" s="89"/>
      <c r="S908" s="210"/>
      <c r="T908" s="28"/>
      <c r="U908" s="217"/>
      <c r="V908" s="251"/>
      <c r="X908" s="186"/>
      <c r="Y908" s="186"/>
      <c r="Z908" s="186"/>
      <c r="AA908" s="186"/>
    </row>
    <row r="909" spans="1:29" ht="22.75" thickBot="1" x14ac:dyDescent="0.3">
      <c r="A909" s="272"/>
      <c r="B909" s="47"/>
      <c r="C909" s="24"/>
      <c r="D909" s="24"/>
      <c r="E909" s="88" t="s">
        <v>194</v>
      </c>
      <c r="F909" s="66">
        <f t="shared" ref="F909:N909" si="299">IF(((F907="")*AND(F908="")),"",(F907-F908)*2)</f>
        <v>3730.2799999999988</v>
      </c>
      <c r="G909" s="66">
        <f t="shared" si="299"/>
        <v>3875.6000000000004</v>
      </c>
      <c r="H909" s="66">
        <f t="shared" si="299"/>
        <v>3897.6800000000003</v>
      </c>
      <c r="I909" s="66">
        <f t="shared" si="299"/>
        <v>3865.119999999999</v>
      </c>
      <c r="J909" s="66">
        <f t="shared" si="299"/>
        <v>3699.6999999999989</v>
      </c>
      <c r="K909" s="66">
        <f t="shared" si="299"/>
        <v>3640.4399999999987</v>
      </c>
      <c r="L909" s="66">
        <f t="shared" si="299"/>
        <v>3865.76</v>
      </c>
      <c r="M909" s="66">
        <f t="shared" si="299"/>
        <v>3907.34</v>
      </c>
      <c r="N909" s="66">
        <f t="shared" si="299"/>
        <v>3807.58</v>
      </c>
      <c r="O909" s="88"/>
      <c r="P909" s="88"/>
      <c r="Q909" s="89"/>
      <c r="R909" s="89"/>
      <c r="S909" s="210"/>
      <c r="T909" s="28"/>
      <c r="U909" s="217"/>
      <c r="V909" s="251"/>
      <c r="X909" s="186"/>
      <c r="Y909" s="186"/>
      <c r="Z909" s="186"/>
      <c r="AA909" s="186"/>
    </row>
    <row r="910" spans="1:29" x14ac:dyDescent="0.25">
      <c r="A910" s="271">
        <v>43524</v>
      </c>
      <c r="B910" s="24" t="s">
        <v>172</v>
      </c>
      <c r="C910" s="24" t="s">
        <v>174</v>
      </c>
      <c r="D910" s="24" t="s">
        <v>195</v>
      </c>
      <c r="E910" s="88" t="s">
        <v>192</v>
      </c>
      <c r="F910" s="33">
        <v>1281.19</v>
      </c>
      <c r="G910" s="33">
        <v>1284.1400000000001</v>
      </c>
      <c r="H910" s="33">
        <v>1290.67</v>
      </c>
      <c r="I910" s="33">
        <v>1287.79</v>
      </c>
      <c r="J910" s="33">
        <v>1301.1099999999999</v>
      </c>
      <c r="K910" s="33">
        <v>1288.4100000000001</v>
      </c>
      <c r="L910" s="33">
        <v>1289.07</v>
      </c>
      <c r="M910" s="33">
        <v>1284.05</v>
      </c>
      <c r="N910" s="33">
        <v>1293.94</v>
      </c>
      <c r="O910" s="88">
        <f>IF((N911=""),"",MAX(F912:N912))</f>
        <v>2026.41</v>
      </c>
      <c r="P910" s="88">
        <f>IF(N911="","",MIN(F912:N912))</f>
        <v>1985.6699999999996</v>
      </c>
      <c r="Q910" s="89">
        <f>IF((N912=""),"",AVERAGE(F912:N912))</f>
        <v>2011.6666666666667</v>
      </c>
      <c r="R910" s="89">
        <f>IF((N911=""),"",(O910-P910)/(O910+P910)*100)</f>
        <v>1.0154333911587123</v>
      </c>
      <c r="S910" s="210">
        <f>STDEV(F912:N912)</f>
        <v>13.526874176985757</v>
      </c>
      <c r="T910" s="23" t="str">
        <f>IF(N911="","",IF(Q910&gt;1940,IF(R910&lt;8.3,IF(Q910&lt;2180,"Pass","Fail"),"Fail"),"Fail"))</f>
        <v>Pass</v>
      </c>
      <c r="U910" s="220" t="s">
        <v>99</v>
      </c>
      <c r="V910" s="251" t="s">
        <v>231</v>
      </c>
      <c r="X910" s="184">
        <v>2000</v>
      </c>
      <c r="Y910" s="184">
        <v>3000</v>
      </c>
      <c r="Z910" s="184">
        <v>1940</v>
      </c>
      <c r="AA910" s="184">
        <v>2180</v>
      </c>
      <c r="AB910" s="57">
        <v>5.2</v>
      </c>
    </row>
    <row r="911" spans="1:29" x14ac:dyDescent="0.25">
      <c r="A911" s="272"/>
      <c r="B911" s="47"/>
      <c r="C911" s="24"/>
      <c r="D911" s="24"/>
      <c r="E911" s="88" t="s">
        <v>193</v>
      </c>
      <c r="F911" s="33">
        <v>605.72</v>
      </c>
      <c r="G911" s="33">
        <v>611</v>
      </c>
      <c r="H911" s="33">
        <v>619.54999999999995</v>
      </c>
      <c r="I911" s="33">
        <v>620.30999999999995</v>
      </c>
      <c r="J911" s="33">
        <v>639.22</v>
      </c>
      <c r="K911" s="33">
        <v>614.41999999999996</v>
      </c>
      <c r="L911" s="33">
        <v>619.54</v>
      </c>
      <c r="M911" s="33">
        <v>608.78</v>
      </c>
      <c r="N911" s="33">
        <v>626.83000000000004</v>
      </c>
      <c r="O911" s="88"/>
      <c r="P911" s="88"/>
      <c r="Q911" s="89"/>
      <c r="R911" s="89"/>
      <c r="S911" s="210"/>
      <c r="T911" s="23"/>
      <c r="U911" s="211"/>
      <c r="V911" s="251"/>
      <c r="X911" s="186"/>
      <c r="Y911" s="186"/>
      <c r="Z911" s="186"/>
      <c r="AA911" s="186"/>
    </row>
    <row r="912" spans="1:29" ht="13.3" thickBot="1" x14ac:dyDescent="0.3">
      <c r="A912" s="272"/>
      <c r="B912" s="47"/>
      <c r="C912" s="24"/>
      <c r="D912" s="24"/>
      <c r="E912" s="88" t="s">
        <v>196</v>
      </c>
      <c r="F912" s="66">
        <f t="shared" ref="F912:N912" si="300">IF(((F910="")*AND(F911="")),"",(F910-F911)*3)</f>
        <v>2026.41</v>
      </c>
      <c r="G912" s="66">
        <f t="shared" si="300"/>
        <v>2019.4200000000003</v>
      </c>
      <c r="H912" s="66">
        <f t="shared" si="300"/>
        <v>2013.3600000000004</v>
      </c>
      <c r="I912" s="66">
        <f t="shared" si="300"/>
        <v>2002.44</v>
      </c>
      <c r="J912" s="66">
        <f t="shared" si="300"/>
        <v>1985.6699999999996</v>
      </c>
      <c r="K912" s="66">
        <f t="shared" si="300"/>
        <v>2021.9700000000003</v>
      </c>
      <c r="L912" s="66">
        <f t="shared" si="300"/>
        <v>2008.59</v>
      </c>
      <c r="M912" s="66">
        <f t="shared" si="300"/>
        <v>2025.81</v>
      </c>
      <c r="N912" s="66">
        <f t="shared" si="300"/>
        <v>2001.33</v>
      </c>
      <c r="O912" s="88"/>
      <c r="P912" s="88"/>
      <c r="Q912" s="89"/>
      <c r="R912" s="89"/>
      <c r="S912" s="210"/>
      <c r="T912" s="23"/>
      <c r="U912" s="211"/>
      <c r="V912" s="251"/>
      <c r="X912" s="186"/>
      <c r="Y912" s="186"/>
      <c r="Z912" s="186"/>
      <c r="AA912" s="186"/>
    </row>
    <row r="913" spans="1:29" x14ac:dyDescent="0.25">
      <c r="A913" s="271">
        <v>43524</v>
      </c>
      <c r="B913" s="47" t="s">
        <v>191</v>
      </c>
      <c r="C913" s="24" t="s">
        <v>176</v>
      </c>
      <c r="D913" s="24" t="s">
        <v>175</v>
      </c>
      <c r="E913" s="88" t="s">
        <v>192</v>
      </c>
      <c r="F913" s="33">
        <v>24531.32</v>
      </c>
      <c r="G913" s="33">
        <v>24793.599999999999</v>
      </c>
      <c r="H913" s="33">
        <v>24896.32</v>
      </c>
      <c r="I913" s="33">
        <v>24844.31</v>
      </c>
      <c r="J913" s="33">
        <v>24555.31</v>
      </c>
      <c r="K913" s="33">
        <v>24585.13</v>
      </c>
      <c r="L913" s="33">
        <v>24834.71</v>
      </c>
      <c r="M913" s="33">
        <v>24799.86</v>
      </c>
      <c r="N913" s="33">
        <v>24447.53</v>
      </c>
      <c r="O913" s="88">
        <f>IF((N914=""),"",MAX(F915:N915))</f>
        <v>5003.0999999999913</v>
      </c>
      <c r="P913" s="88">
        <f>IF(N914="","",MIN(F915:N915))</f>
        <v>4010.4599999999991</v>
      </c>
      <c r="Q913" s="89">
        <f>IF((N915=""),"",AVERAGE(F915:N915))</f>
        <v>4453.3933333333343</v>
      </c>
      <c r="R913" s="89">
        <f>IF((N914=""),"",(O913-P913)/(O913+P913)*100)</f>
        <v>11.012740803855449</v>
      </c>
      <c r="S913" s="210">
        <f>STDEV(F915:N915)</f>
        <v>340.68986527338848</v>
      </c>
      <c r="T913" s="23" t="str">
        <f>IF(N914="","",IF(R913&lt;16,IF(Q913&gt;3200,IF(R913,IF(Q913&lt;5240,"Pass","Fail"),"Fail"),"Fail")))</f>
        <v>Pass</v>
      </c>
      <c r="U913" s="220" t="s">
        <v>99</v>
      </c>
      <c r="V913" s="251" t="s">
        <v>231</v>
      </c>
      <c r="X913" s="184">
        <v>4200</v>
      </c>
      <c r="Y913" s="184">
        <v>5500</v>
      </c>
      <c r="Z913" s="184">
        <v>3200</v>
      </c>
      <c r="AA913" s="184">
        <v>5240</v>
      </c>
      <c r="AB913" s="57">
        <v>16</v>
      </c>
    </row>
    <row r="914" spans="1:29" x14ac:dyDescent="0.25">
      <c r="A914" s="272"/>
      <c r="B914" s="47"/>
      <c r="C914" s="24"/>
      <c r="D914" s="24"/>
      <c r="E914" s="88" t="s">
        <v>193</v>
      </c>
      <c r="F914" s="33">
        <v>22945.35</v>
      </c>
      <c r="G914" s="33">
        <v>23416.14</v>
      </c>
      <c r="H914" s="33">
        <v>23559.5</v>
      </c>
      <c r="I914" s="33">
        <v>23424.19</v>
      </c>
      <c r="J914" s="33">
        <v>22976.98</v>
      </c>
      <c r="K914" s="33">
        <v>23033.78</v>
      </c>
      <c r="L914" s="33">
        <v>23431.1</v>
      </c>
      <c r="M914" s="33">
        <v>23361.040000000001</v>
      </c>
      <c r="N914" s="33">
        <v>22779.83</v>
      </c>
      <c r="O914" s="88"/>
      <c r="P914" s="88"/>
      <c r="Q914" s="89"/>
      <c r="R914" s="89"/>
      <c r="S914" s="210"/>
      <c r="T914" s="23"/>
      <c r="U914" s="211"/>
      <c r="V914" s="251"/>
      <c r="X914" s="186"/>
      <c r="Y914" s="186"/>
      <c r="Z914" s="186"/>
      <c r="AA914" s="186"/>
    </row>
    <row r="915" spans="1:29" ht="22.75" thickBot="1" x14ac:dyDescent="0.3">
      <c r="A915" s="272"/>
      <c r="B915" s="90"/>
      <c r="C915" s="91"/>
      <c r="D915" s="91"/>
      <c r="E915" s="92" t="s">
        <v>194</v>
      </c>
      <c r="F915" s="79">
        <f t="shared" ref="F915:N915" si="301">IF(((F913="")*AND(F914="")),"",(F913-F914)*3)</f>
        <v>4757.9100000000035</v>
      </c>
      <c r="G915" s="79">
        <f t="shared" si="301"/>
        <v>4132.3799999999974</v>
      </c>
      <c r="H915" s="79">
        <f t="shared" si="301"/>
        <v>4010.4599999999991</v>
      </c>
      <c r="I915" s="79">
        <f t="shared" si="301"/>
        <v>4260.3600000000079</v>
      </c>
      <c r="J915" s="79">
        <f t="shared" si="301"/>
        <v>4734.9900000000052</v>
      </c>
      <c r="K915" s="79">
        <f t="shared" si="301"/>
        <v>4654.0500000000065</v>
      </c>
      <c r="L915" s="79">
        <f t="shared" si="301"/>
        <v>4210.8300000000017</v>
      </c>
      <c r="M915" s="79">
        <f t="shared" si="301"/>
        <v>4316.4599999999991</v>
      </c>
      <c r="N915" s="79">
        <f t="shared" si="301"/>
        <v>5003.0999999999913</v>
      </c>
      <c r="O915" s="92"/>
      <c r="P915" s="92"/>
      <c r="Q915" s="93"/>
      <c r="R915" s="93"/>
      <c r="S915" s="213"/>
      <c r="T915" s="214"/>
      <c r="U915" s="215"/>
      <c r="V915" s="251"/>
      <c r="X915" s="186"/>
      <c r="Y915" s="186"/>
      <c r="Z915" s="186"/>
      <c r="AA915" s="186"/>
    </row>
    <row r="916" spans="1:29" x14ac:dyDescent="0.25">
      <c r="A916" s="271">
        <v>43528</v>
      </c>
      <c r="B916" s="63" t="s">
        <v>177</v>
      </c>
      <c r="C916" s="65" t="s">
        <v>179</v>
      </c>
      <c r="D916" s="65" t="s">
        <v>178</v>
      </c>
      <c r="E916" s="67" t="s">
        <v>192</v>
      </c>
      <c r="F916" s="33">
        <v>5041.7299999999996</v>
      </c>
      <c r="G916" s="33">
        <v>4938.58</v>
      </c>
      <c r="H916" s="33">
        <v>4949.63</v>
      </c>
      <c r="I916" s="33">
        <v>4923.26</v>
      </c>
      <c r="J916" s="33">
        <v>4965.93</v>
      </c>
      <c r="K916" s="33">
        <v>5065.49</v>
      </c>
      <c r="L916" s="33">
        <v>4945.03</v>
      </c>
      <c r="M916" s="33">
        <v>4957.7299999999996</v>
      </c>
      <c r="N916" s="33">
        <v>5041.1899999999996</v>
      </c>
      <c r="O916" s="86">
        <f>IF((N917=""),"",MAX(F918:N918))</f>
        <v>3965.4399999999987</v>
      </c>
      <c r="P916" s="86">
        <f>IF(N917="","",MIN(F918:N918))</f>
        <v>3701.8999999999996</v>
      </c>
      <c r="Q916" s="87">
        <f>IF((N918=""),"",AVERAGE(F918:N918))</f>
        <v>3873.0933333333328</v>
      </c>
      <c r="R916" s="87">
        <f>IF((N917=""),"",(O916-P916)/(O916+P916)*100)</f>
        <v>3.4371763871172938</v>
      </c>
      <c r="S916" s="181">
        <f>STDEV(F918:N918)</f>
        <v>96.315950911570297</v>
      </c>
      <c r="T916" s="208" t="str">
        <f>IF(N917="","",IF(Q916&gt;3650,IF(R916&lt;7,IF(Q916&lt;4450,"Pass","Fail"),"Fail"),"Fail"))</f>
        <v>Pass</v>
      </c>
      <c r="U916" s="220">
        <v>74</v>
      </c>
      <c r="V916" s="251" t="s">
        <v>232</v>
      </c>
      <c r="X916" s="184">
        <v>3650</v>
      </c>
      <c r="Y916" s="184">
        <v>4450</v>
      </c>
      <c r="Z916" s="184">
        <v>3700</v>
      </c>
      <c r="AA916" s="184">
        <v>4100</v>
      </c>
      <c r="AB916" s="57">
        <v>6.5</v>
      </c>
      <c r="AC916" s="57">
        <v>7</v>
      </c>
    </row>
    <row r="917" spans="1:29" x14ac:dyDescent="0.25">
      <c r="A917" s="272"/>
      <c r="B917" s="47"/>
      <c r="C917" s="24"/>
      <c r="D917" s="24"/>
      <c r="E917" s="88" t="s">
        <v>193</v>
      </c>
      <c r="F917" s="33">
        <v>3156.5</v>
      </c>
      <c r="G917" s="33">
        <v>2974.1</v>
      </c>
      <c r="H917" s="33">
        <v>2970.22</v>
      </c>
      <c r="I917" s="33">
        <v>2952.18</v>
      </c>
      <c r="J917" s="33">
        <v>3071.42</v>
      </c>
      <c r="K917" s="33">
        <v>3214.54</v>
      </c>
      <c r="L917" s="33">
        <v>2978.83</v>
      </c>
      <c r="M917" s="33">
        <v>2975.01</v>
      </c>
      <c r="N917" s="33">
        <v>3106.85</v>
      </c>
      <c r="O917" s="88"/>
      <c r="P917" s="88"/>
      <c r="Q917" s="89"/>
      <c r="R917" s="89"/>
      <c r="S917" s="210"/>
      <c r="T917" s="28"/>
      <c r="U917" s="217"/>
      <c r="V917" s="251"/>
      <c r="X917" s="186"/>
      <c r="Y917" s="186"/>
      <c r="Z917" s="186"/>
      <c r="AA917" s="186"/>
    </row>
    <row r="918" spans="1:29" ht="22.75" thickBot="1" x14ac:dyDescent="0.3">
      <c r="A918" s="272"/>
      <c r="B918" s="47"/>
      <c r="C918" s="24"/>
      <c r="D918" s="24"/>
      <c r="E918" s="88" t="s">
        <v>194</v>
      </c>
      <c r="F918" s="66">
        <f t="shared" ref="F918:N918" si="302">IF(((F916="")*AND(F917="")),"",(F916-F917)*2)</f>
        <v>3770.4599999999991</v>
      </c>
      <c r="G918" s="66">
        <f t="shared" si="302"/>
        <v>3928.96</v>
      </c>
      <c r="H918" s="66">
        <f t="shared" si="302"/>
        <v>3958.8200000000006</v>
      </c>
      <c r="I918" s="66">
        <f t="shared" si="302"/>
        <v>3942.1600000000008</v>
      </c>
      <c r="J918" s="66">
        <f t="shared" si="302"/>
        <v>3789.0200000000004</v>
      </c>
      <c r="K918" s="66">
        <f t="shared" si="302"/>
        <v>3701.8999999999996</v>
      </c>
      <c r="L918" s="66">
        <f t="shared" si="302"/>
        <v>3932.3999999999996</v>
      </c>
      <c r="M918" s="66">
        <f t="shared" si="302"/>
        <v>3965.4399999999987</v>
      </c>
      <c r="N918" s="66">
        <f t="shared" si="302"/>
        <v>3868.6799999999994</v>
      </c>
      <c r="O918" s="88"/>
      <c r="P918" s="88"/>
      <c r="Q918" s="89"/>
      <c r="R918" s="89"/>
      <c r="S918" s="210"/>
      <c r="T918" s="28"/>
      <c r="U918" s="217"/>
      <c r="V918" s="251"/>
      <c r="X918" s="186"/>
      <c r="Y918" s="186"/>
      <c r="Z918" s="186"/>
      <c r="AA918" s="186"/>
    </row>
    <row r="919" spans="1:29" x14ac:dyDescent="0.25">
      <c r="A919" s="271">
        <v>43528</v>
      </c>
      <c r="B919" s="24" t="s">
        <v>172</v>
      </c>
      <c r="C919" s="24" t="s">
        <v>174</v>
      </c>
      <c r="D919" s="24" t="s">
        <v>195</v>
      </c>
      <c r="E919" s="88" t="s">
        <v>192</v>
      </c>
      <c r="F919" s="33">
        <v>1306.44</v>
      </c>
      <c r="G919" s="33">
        <v>1295.1199999999999</v>
      </c>
      <c r="H919" s="33">
        <v>1294.72</v>
      </c>
      <c r="I919" s="33">
        <v>1285.74</v>
      </c>
      <c r="J919" s="33">
        <v>1280.18</v>
      </c>
      <c r="K919" s="33">
        <v>1300.6199999999999</v>
      </c>
      <c r="L919" s="33">
        <v>1289.79</v>
      </c>
      <c r="M919" s="33">
        <v>1292.97</v>
      </c>
      <c r="N919" s="33">
        <v>1289.8599999999999</v>
      </c>
      <c r="O919" s="88">
        <f>IF((N920=""),"",MAX(F921:N921))</f>
        <v>2135.16</v>
      </c>
      <c r="P919" s="88">
        <f>IF(N920="","",MIN(F921:N921))</f>
        <v>1925.0700000000002</v>
      </c>
      <c r="Q919" s="89">
        <f>IF((N921=""),"",AVERAGE(F921:N921))</f>
        <v>2025.8799999999999</v>
      </c>
      <c r="R919" s="89">
        <f>IF((N920=""),"",(O919-P919)/(O919+P919)*100)</f>
        <v>5.1743374143829213</v>
      </c>
      <c r="S919" s="210">
        <f>STDEV(F921:N921)</f>
        <v>59.580821368960564</v>
      </c>
      <c r="T919" s="23" t="str">
        <f>IF(N920="","",IF(Q919&gt;1940,IF(R919&lt;8.3,IF(Q919&lt;2180,"Pass","Fail"),"Fail"),"Fail"))</f>
        <v>Pass</v>
      </c>
      <c r="U919" s="220">
        <v>74</v>
      </c>
      <c r="V919" s="251" t="s">
        <v>232</v>
      </c>
      <c r="X919" s="184">
        <v>2000</v>
      </c>
      <c r="Y919" s="184">
        <v>3000</v>
      </c>
      <c r="Z919" s="184">
        <v>1940</v>
      </c>
      <c r="AA919" s="184">
        <v>2180</v>
      </c>
      <c r="AB919" s="57">
        <v>5.2</v>
      </c>
    </row>
    <row r="920" spans="1:29" x14ac:dyDescent="0.25">
      <c r="A920" s="272"/>
      <c r="B920" s="47"/>
      <c r="C920" s="24"/>
      <c r="D920" s="24"/>
      <c r="E920" s="88" t="s">
        <v>193</v>
      </c>
      <c r="F920" s="33">
        <v>594.72</v>
      </c>
      <c r="G920" s="33">
        <v>607.62</v>
      </c>
      <c r="H920" s="33">
        <v>617.33000000000004</v>
      </c>
      <c r="I920" s="33">
        <v>622.77</v>
      </c>
      <c r="J920" s="33">
        <v>638.49</v>
      </c>
      <c r="K920" s="33">
        <v>616.91</v>
      </c>
      <c r="L920" s="33">
        <v>621.58000000000004</v>
      </c>
      <c r="M920" s="33">
        <v>609.47</v>
      </c>
      <c r="N920" s="33">
        <v>628.91</v>
      </c>
      <c r="O920" s="88"/>
      <c r="P920" s="88"/>
      <c r="Q920" s="89"/>
      <c r="R920" s="89"/>
      <c r="S920" s="210"/>
      <c r="T920" s="23"/>
      <c r="U920" s="211"/>
      <c r="V920" s="251"/>
      <c r="X920" s="186"/>
      <c r="Y920" s="186"/>
      <c r="Z920" s="186"/>
      <c r="AA920" s="186"/>
    </row>
    <row r="921" spans="1:29" ht="24.4" customHeight="1" thickBot="1" x14ac:dyDescent="0.3">
      <c r="A921" s="272"/>
      <c r="B921" s="47"/>
      <c r="C921" s="24"/>
      <c r="D921" s="24"/>
      <c r="E921" s="88" t="s">
        <v>196</v>
      </c>
      <c r="F921" s="66">
        <f t="shared" ref="F921:N921" si="303">IF(((F919="")*AND(F920="")),"",(F919-F920)*3)</f>
        <v>2135.16</v>
      </c>
      <c r="G921" s="66">
        <f t="shared" si="303"/>
        <v>2062.4999999999995</v>
      </c>
      <c r="H921" s="66">
        <f t="shared" si="303"/>
        <v>2032.17</v>
      </c>
      <c r="I921" s="66">
        <f t="shared" si="303"/>
        <v>1988.91</v>
      </c>
      <c r="J921" s="66">
        <f t="shared" si="303"/>
        <v>1925.0700000000002</v>
      </c>
      <c r="K921" s="66">
        <f t="shared" si="303"/>
        <v>2051.1299999999997</v>
      </c>
      <c r="L921" s="66">
        <f t="shared" si="303"/>
        <v>2004.6299999999997</v>
      </c>
      <c r="M921" s="66">
        <f t="shared" si="303"/>
        <v>2050.5</v>
      </c>
      <c r="N921" s="66">
        <f t="shared" si="303"/>
        <v>1982.85</v>
      </c>
      <c r="O921" s="88"/>
      <c r="P921" s="88"/>
      <c r="Q921" s="89"/>
      <c r="R921" s="89"/>
      <c r="S921" s="210"/>
      <c r="T921" s="23"/>
      <c r="U921" s="211"/>
      <c r="V921" s="251"/>
      <c r="X921" s="186"/>
      <c r="Y921" s="186"/>
      <c r="Z921" s="186"/>
      <c r="AA921" s="186"/>
    </row>
    <row r="922" spans="1:29" x14ac:dyDescent="0.25">
      <c r="A922" s="271">
        <v>43528</v>
      </c>
      <c r="B922" s="47" t="s">
        <v>191</v>
      </c>
      <c r="C922" s="24" t="s">
        <v>176</v>
      </c>
      <c r="D922" s="24" t="s">
        <v>175</v>
      </c>
      <c r="E922" s="88" t="s">
        <v>192</v>
      </c>
      <c r="F922" s="33">
        <v>22877.63</v>
      </c>
      <c r="G922" s="33">
        <v>23370.69</v>
      </c>
      <c r="H922" s="33">
        <v>23501.88</v>
      </c>
      <c r="I922" s="33">
        <v>23376.61</v>
      </c>
      <c r="J922" s="33">
        <v>23376.61</v>
      </c>
      <c r="K922" s="33">
        <v>22980.68</v>
      </c>
      <c r="L922" s="33">
        <v>23410.06</v>
      </c>
      <c r="M922" s="33">
        <v>23314.49</v>
      </c>
      <c r="N922" s="33">
        <v>22696.46</v>
      </c>
      <c r="O922" s="88">
        <f>IF((N923=""),"",MAX(F924:N924))</f>
        <v>4837.8300000000017</v>
      </c>
      <c r="P922" s="88">
        <f>IF(N923="","",MIN(F924:N924))</f>
        <v>4089.6300000000083</v>
      </c>
      <c r="Q922" s="89">
        <f>IF((N924=""),"",AVERAGE(F924:N924))</f>
        <v>4340.5366666666687</v>
      </c>
      <c r="R922" s="89">
        <f>IF((N923=""),"",(O922-P922)/(O922+P922)*100)</f>
        <v>8.3808832523471697</v>
      </c>
      <c r="S922" s="210">
        <f>STDEV(F924:N924)</f>
        <v>249.03472805012535</v>
      </c>
      <c r="T922" s="23" t="str">
        <f>IF(N923="","",IF(R922&lt;16,IF(Q922&gt;3200,IF(R922,IF(Q922&lt;5240,"Pass","Fail"),"Fail"),"Fail")))</f>
        <v>Pass</v>
      </c>
      <c r="U922" s="220">
        <v>74</v>
      </c>
      <c r="V922" s="251" t="s">
        <v>232</v>
      </c>
      <c r="X922" s="184">
        <v>4200</v>
      </c>
      <c r="Y922" s="184">
        <v>5500</v>
      </c>
      <c r="Z922" s="184">
        <v>3200</v>
      </c>
      <c r="AA922" s="184">
        <v>5240</v>
      </c>
      <c r="AB922" s="57">
        <v>16</v>
      </c>
    </row>
    <row r="923" spans="1:29" x14ac:dyDescent="0.25">
      <c r="A923" s="272"/>
      <c r="B923" s="47"/>
      <c r="C923" s="24"/>
      <c r="D923" s="24"/>
      <c r="E923" s="88" t="s">
        <v>193</v>
      </c>
      <c r="F923" s="33">
        <v>21360.19</v>
      </c>
      <c r="G923" s="33">
        <v>21981.72</v>
      </c>
      <c r="H923" s="33">
        <v>22138.67</v>
      </c>
      <c r="I923" s="33">
        <v>21977.77</v>
      </c>
      <c r="J923" s="33">
        <v>21764</v>
      </c>
      <c r="K923" s="33">
        <v>21487.34</v>
      </c>
      <c r="L923" s="33">
        <v>22029.96</v>
      </c>
      <c r="M923" s="33">
        <v>21919.97</v>
      </c>
      <c r="N923" s="33">
        <v>21223.88</v>
      </c>
      <c r="O923" s="88"/>
      <c r="P923" s="88"/>
      <c r="Q923" s="89"/>
      <c r="R923" s="89"/>
      <c r="S923" s="210"/>
      <c r="T923" s="23"/>
      <c r="U923" s="211"/>
      <c r="V923" s="251"/>
      <c r="X923" s="186"/>
      <c r="Y923" s="186"/>
      <c r="Z923" s="186"/>
      <c r="AA923" s="186"/>
    </row>
    <row r="924" spans="1:29" ht="22.75" thickBot="1" x14ac:dyDescent="0.3">
      <c r="A924" s="272"/>
      <c r="B924" s="90"/>
      <c r="C924" s="91"/>
      <c r="D924" s="91"/>
      <c r="E924" s="92" t="s">
        <v>194</v>
      </c>
      <c r="F924" s="79">
        <f t="shared" ref="F924:N924" si="304">IF(((F922="")*AND(F923="")),"",(F922-F923)*3)</f>
        <v>4552.320000000007</v>
      </c>
      <c r="G924" s="79">
        <f t="shared" si="304"/>
        <v>4166.9099999999926</v>
      </c>
      <c r="H924" s="79">
        <f t="shared" si="304"/>
        <v>4089.6300000000083</v>
      </c>
      <c r="I924" s="79">
        <f t="shared" si="304"/>
        <v>4196.5200000000004</v>
      </c>
      <c r="J924" s="79">
        <f t="shared" si="304"/>
        <v>4837.8300000000017</v>
      </c>
      <c r="K924" s="79">
        <f t="shared" si="304"/>
        <v>4480.0200000000004</v>
      </c>
      <c r="L924" s="79">
        <f t="shared" si="304"/>
        <v>4140.3000000000065</v>
      </c>
      <c r="M924" s="79">
        <f t="shared" si="304"/>
        <v>4183.5600000000013</v>
      </c>
      <c r="N924" s="79">
        <f t="shared" si="304"/>
        <v>4417.7399999999943</v>
      </c>
      <c r="O924" s="92"/>
      <c r="P924" s="92"/>
      <c r="Q924" s="93"/>
      <c r="R924" s="93"/>
      <c r="S924" s="213"/>
      <c r="T924" s="214"/>
      <c r="U924" s="215"/>
      <c r="V924" s="251"/>
      <c r="X924" s="186"/>
      <c r="Y924" s="186"/>
      <c r="Z924" s="186"/>
      <c r="AA924" s="186"/>
    </row>
    <row r="925" spans="1:29" x14ac:dyDescent="0.25">
      <c r="A925" s="271">
        <v>43531</v>
      </c>
      <c r="B925" s="63" t="s">
        <v>177</v>
      </c>
      <c r="C925" s="65" t="s">
        <v>179</v>
      </c>
      <c r="D925" s="65" t="s">
        <v>178</v>
      </c>
      <c r="E925" s="67" t="s">
        <v>192</v>
      </c>
      <c r="F925" s="33">
        <v>3165.93</v>
      </c>
      <c r="G925" s="33">
        <v>2983.92</v>
      </c>
      <c r="H925" s="33">
        <v>2978.56</v>
      </c>
      <c r="I925" s="33">
        <v>2958.13</v>
      </c>
      <c r="J925" s="33">
        <v>3076.09</v>
      </c>
      <c r="K925" s="33">
        <v>3221.3</v>
      </c>
      <c r="L925" s="33">
        <v>2986.34</v>
      </c>
      <c r="M925" s="33">
        <v>2982.86</v>
      </c>
      <c r="N925" s="33">
        <v>3115.68</v>
      </c>
      <c r="O925" s="86">
        <f>IF((N926=""),"",MAX(F927:N927))</f>
        <v>3917.8600000000006</v>
      </c>
      <c r="P925" s="86">
        <f>IF(N926="","",MIN(F927:N927))</f>
        <v>3620.76</v>
      </c>
      <c r="Q925" s="87">
        <f>IF((N927=""),"",AVERAGE(F927:N927))</f>
        <v>3814.3311111111107</v>
      </c>
      <c r="R925" s="87">
        <f>IF((N926=""),"",(O925-P925)/(O925+P925)*100)</f>
        <v>3.941039606718475</v>
      </c>
      <c r="S925" s="181">
        <f>STDEV(F927:N927)</f>
        <v>100.9878503143379</v>
      </c>
      <c r="T925" s="208" t="str">
        <f>IF(N926="","",IF(Q925&gt;3650,IF(R925&lt;7,IF(Q925&lt;4450,"Pass","Fail"),"Fail"),"Fail"))</f>
        <v>Pass</v>
      </c>
      <c r="U925" s="220" t="s">
        <v>223</v>
      </c>
      <c r="V925" s="251" t="s">
        <v>233</v>
      </c>
      <c r="X925" s="184">
        <v>3650</v>
      </c>
      <c r="Y925" s="184">
        <v>4450</v>
      </c>
      <c r="Z925" s="184">
        <v>3700</v>
      </c>
      <c r="AA925" s="184">
        <v>4100</v>
      </c>
      <c r="AB925" s="57">
        <v>6.5</v>
      </c>
      <c r="AC925" s="57">
        <v>7</v>
      </c>
    </row>
    <row r="926" spans="1:29" x14ac:dyDescent="0.25">
      <c r="A926" s="272"/>
      <c r="B926" s="47"/>
      <c r="C926" s="24"/>
      <c r="D926" s="24"/>
      <c r="E926" s="88" t="s">
        <v>193</v>
      </c>
      <c r="F926" s="33">
        <v>1301.3</v>
      </c>
      <c r="G926" s="33">
        <v>1046.22</v>
      </c>
      <c r="H926" s="33">
        <v>1029.17</v>
      </c>
      <c r="I926" s="33">
        <v>1023.37</v>
      </c>
      <c r="J926" s="33">
        <v>1217.47</v>
      </c>
      <c r="K926" s="33">
        <v>1410.92</v>
      </c>
      <c r="L926" s="33">
        <v>1055.45</v>
      </c>
      <c r="M926" s="33">
        <v>1023.93</v>
      </c>
      <c r="N926" s="33">
        <v>1196.49</v>
      </c>
      <c r="O926" s="88"/>
      <c r="P926" s="88"/>
      <c r="Q926" s="89"/>
      <c r="R926" s="89"/>
      <c r="S926" s="210"/>
      <c r="T926" s="28"/>
      <c r="U926" s="217"/>
      <c r="V926" s="251"/>
      <c r="X926" s="186"/>
      <c r="Y926" s="186"/>
      <c r="Z926" s="186"/>
      <c r="AA926" s="186"/>
    </row>
    <row r="927" spans="1:29" ht="22.75" thickBot="1" x14ac:dyDescent="0.3">
      <c r="A927" s="272"/>
      <c r="B927" s="47"/>
      <c r="C927" s="24"/>
      <c r="D927" s="24"/>
      <c r="E927" s="88" t="s">
        <v>194</v>
      </c>
      <c r="F927" s="66">
        <f t="shared" ref="F927:N927" si="305">IF(((F925="")*AND(F926="")),"",(F925-F926)*2)</f>
        <v>3729.2599999999998</v>
      </c>
      <c r="G927" s="66">
        <f t="shared" si="305"/>
        <v>3875.4</v>
      </c>
      <c r="H927" s="66">
        <f t="shared" si="305"/>
        <v>3898.7799999999997</v>
      </c>
      <c r="I927" s="66">
        <f t="shared" si="305"/>
        <v>3869.5200000000004</v>
      </c>
      <c r="J927" s="66">
        <f t="shared" si="305"/>
        <v>3717.2400000000002</v>
      </c>
      <c r="K927" s="66">
        <f t="shared" si="305"/>
        <v>3620.76</v>
      </c>
      <c r="L927" s="66">
        <f t="shared" si="305"/>
        <v>3861.78</v>
      </c>
      <c r="M927" s="66">
        <f t="shared" si="305"/>
        <v>3917.8600000000006</v>
      </c>
      <c r="N927" s="66">
        <f t="shared" si="305"/>
        <v>3838.3799999999997</v>
      </c>
      <c r="O927" s="88"/>
      <c r="P927" s="88"/>
      <c r="Q927" s="89"/>
      <c r="R927" s="89"/>
      <c r="S927" s="210"/>
      <c r="T927" s="28"/>
      <c r="U927" s="217"/>
      <c r="V927" s="251"/>
      <c r="X927" s="186"/>
      <c r="Y927" s="186"/>
      <c r="Z927" s="186"/>
      <c r="AA927" s="186"/>
    </row>
    <row r="928" spans="1:29" x14ac:dyDescent="0.25">
      <c r="A928" s="271">
        <v>43531</v>
      </c>
      <c r="B928" s="24" t="s">
        <v>172</v>
      </c>
      <c r="C928" s="24" t="s">
        <v>174</v>
      </c>
      <c r="D928" s="24" t="s">
        <v>195</v>
      </c>
      <c r="E928" s="88" t="s">
        <v>192</v>
      </c>
      <c r="F928" s="33">
        <v>1929.32</v>
      </c>
      <c r="G928" s="33">
        <v>1927.02</v>
      </c>
      <c r="H928" s="33">
        <v>1923.41</v>
      </c>
      <c r="I928" s="33">
        <v>1929.46</v>
      </c>
      <c r="J928" s="33">
        <v>1928.46</v>
      </c>
      <c r="K928" s="33">
        <v>1933.56</v>
      </c>
      <c r="L928" s="33">
        <v>1924.44</v>
      </c>
      <c r="M928" s="33">
        <v>1926.96</v>
      </c>
      <c r="N928" s="33">
        <v>1936.05</v>
      </c>
      <c r="O928" s="88">
        <f>IF((N929=""),"",MAX(F930:N930))</f>
        <v>2006.91</v>
      </c>
      <c r="P928" s="88">
        <f>IF(N929="","",MIN(F930:N930))</f>
        <v>1957.1400000000003</v>
      </c>
      <c r="Q928" s="89">
        <f>IF((N930=""),"",AVERAGE(F930:N930))</f>
        <v>1993.4400000000003</v>
      </c>
      <c r="R928" s="89">
        <f>IF((N929=""),"",(O928-P928)/(O928+P928)*100)</f>
        <v>1.2555341128391355</v>
      </c>
      <c r="S928" s="210">
        <f>STDEV(F930:N930)</f>
        <v>16.570635171893642</v>
      </c>
      <c r="T928" s="23" t="str">
        <f>IF(N929="","",IF(Q928&gt;1940,IF(R928&lt;8.3,IF(Q928&lt;2180,"Pass","Fail"),"Fail"),"Fail"))</f>
        <v>Pass</v>
      </c>
      <c r="U928" s="220" t="s">
        <v>223</v>
      </c>
      <c r="V928" s="251" t="s">
        <v>233</v>
      </c>
      <c r="X928" s="184">
        <v>2000</v>
      </c>
      <c r="Y928" s="184">
        <v>3000</v>
      </c>
      <c r="Z928" s="184">
        <v>1940</v>
      </c>
      <c r="AA928" s="184">
        <v>2180</v>
      </c>
      <c r="AB928" s="57">
        <v>5.2</v>
      </c>
    </row>
    <row r="929" spans="1:29" x14ac:dyDescent="0.25">
      <c r="A929" s="272"/>
      <c r="B929" s="47"/>
      <c r="C929" s="24"/>
      <c r="D929" s="24"/>
      <c r="E929" s="88" t="s">
        <v>193</v>
      </c>
      <c r="F929" s="33">
        <v>1265.75</v>
      </c>
      <c r="G929" s="33">
        <v>1258.28</v>
      </c>
      <c r="H929" s="33">
        <v>1254.44</v>
      </c>
      <c r="I929" s="33">
        <v>1262.0999999999999</v>
      </c>
      <c r="J929" s="33">
        <v>1276.08</v>
      </c>
      <c r="K929" s="33">
        <v>1265.3499999999999</v>
      </c>
      <c r="L929" s="33">
        <v>1261.18</v>
      </c>
      <c r="M929" s="33">
        <v>1258.9100000000001</v>
      </c>
      <c r="N929" s="33">
        <v>1276.27</v>
      </c>
      <c r="O929" s="88"/>
      <c r="P929" s="88"/>
      <c r="Q929" s="89"/>
      <c r="R929" s="89"/>
      <c r="S929" s="210"/>
      <c r="T929" s="23"/>
      <c r="U929" s="211"/>
      <c r="V929" s="251"/>
      <c r="X929" s="186"/>
      <c r="Y929" s="186"/>
      <c r="Z929" s="186"/>
      <c r="AA929" s="186"/>
    </row>
    <row r="930" spans="1:29" ht="24.95" customHeight="1" thickBot="1" x14ac:dyDescent="0.3">
      <c r="A930" s="272"/>
      <c r="B930" s="47"/>
      <c r="C930" s="24"/>
      <c r="D930" s="24"/>
      <c r="E930" s="88" t="s">
        <v>196</v>
      </c>
      <c r="F930" s="66">
        <f t="shared" ref="F930:N930" si="306">IF(((F928="")*AND(F929="")),"",(F928-F929)*3)</f>
        <v>1990.7099999999998</v>
      </c>
      <c r="G930" s="66">
        <f t="shared" si="306"/>
        <v>2006.22</v>
      </c>
      <c r="H930" s="66">
        <f t="shared" si="306"/>
        <v>2006.91</v>
      </c>
      <c r="I930" s="66">
        <f t="shared" si="306"/>
        <v>2002.0800000000004</v>
      </c>
      <c r="J930" s="66">
        <f t="shared" si="306"/>
        <v>1957.1400000000003</v>
      </c>
      <c r="K930" s="66">
        <f t="shared" si="306"/>
        <v>2004.63</v>
      </c>
      <c r="L930" s="66">
        <f t="shared" si="306"/>
        <v>1989.78</v>
      </c>
      <c r="M930" s="66">
        <f t="shared" si="306"/>
        <v>2004.1499999999999</v>
      </c>
      <c r="N930" s="66">
        <f t="shared" si="306"/>
        <v>1979.34</v>
      </c>
      <c r="O930" s="88"/>
      <c r="P930" s="88"/>
      <c r="Q930" s="89"/>
      <c r="R930" s="89"/>
      <c r="S930" s="210"/>
      <c r="T930" s="23"/>
      <c r="U930" s="211"/>
      <c r="V930" s="251"/>
      <c r="X930" s="186"/>
      <c r="Y930" s="186"/>
      <c r="Z930" s="186"/>
      <c r="AA930" s="186"/>
    </row>
    <row r="931" spans="1:29" x14ac:dyDescent="0.25">
      <c r="A931" s="271">
        <v>43531</v>
      </c>
      <c r="B931" s="47" t="s">
        <v>191</v>
      </c>
      <c r="C931" s="24" t="s">
        <v>176</v>
      </c>
      <c r="D931" s="24" t="s">
        <v>175</v>
      </c>
      <c r="E931" s="88" t="s">
        <v>192</v>
      </c>
      <c r="F931" s="33">
        <v>26873.55</v>
      </c>
      <c r="G931" s="33">
        <v>26845.3</v>
      </c>
      <c r="H931" s="33">
        <v>26908.77</v>
      </c>
      <c r="I931" s="33">
        <v>26790.18</v>
      </c>
      <c r="J931" s="33">
        <v>26831.55</v>
      </c>
      <c r="K931" s="33">
        <v>26795.98</v>
      </c>
      <c r="L931" s="33">
        <v>26851.86</v>
      </c>
      <c r="M931" s="33">
        <v>26809.35</v>
      </c>
      <c r="N931" s="33">
        <v>26821.32</v>
      </c>
      <c r="O931" s="88">
        <f>IF((N932=""),"",MAX(F933:N933))</f>
        <v>5050.9500000000044</v>
      </c>
      <c r="P931" s="88">
        <f>IF(N932="","",MIN(F933:N933))</f>
        <v>4193.6099999999969</v>
      </c>
      <c r="Q931" s="89">
        <f>IF((N933=""),"",AVERAGE(F933:N933))</f>
        <v>4521.9533333333311</v>
      </c>
      <c r="R931" s="89">
        <f>IF((N932=""),"",(O931-P931)/(O931+P931)*100)</f>
        <v>9.2739946519900052</v>
      </c>
      <c r="S931" s="210">
        <f>STDEV(F933:N933)</f>
        <v>284.17195555684413</v>
      </c>
      <c r="T931" s="23" t="str">
        <f>IF(N932="","",IF(R931&lt;16,IF(Q931&gt;3200,IF(R931,IF(Q931&lt;5240,"Pass","Fail"),"Fail"),"Fail")))</f>
        <v>Pass</v>
      </c>
      <c r="U931" s="220" t="s">
        <v>223</v>
      </c>
      <c r="V931" s="251" t="s">
        <v>233</v>
      </c>
      <c r="X931" s="184">
        <v>4200</v>
      </c>
      <c r="Y931" s="184">
        <v>5500</v>
      </c>
      <c r="Z931" s="184">
        <v>3200</v>
      </c>
      <c r="AA931" s="184">
        <v>5240</v>
      </c>
      <c r="AB931" s="57">
        <v>16</v>
      </c>
    </row>
    <row r="932" spans="1:29" x14ac:dyDescent="0.25">
      <c r="A932" s="272"/>
      <c r="B932" s="47"/>
      <c r="C932" s="24"/>
      <c r="D932" s="24"/>
      <c r="E932" s="88" t="s">
        <v>193</v>
      </c>
      <c r="F932" s="33">
        <v>25286.74</v>
      </c>
      <c r="G932" s="33">
        <v>25385.63</v>
      </c>
      <c r="H932" s="33">
        <v>25510.9</v>
      </c>
      <c r="I932" s="33">
        <v>25362.86</v>
      </c>
      <c r="J932" s="33">
        <v>25257.42</v>
      </c>
      <c r="K932" s="33">
        <v>25250.54</v>
      </c>
      <c r="L932" s="33">
        <v>25415.22</v>
      </c>
      <c r="M932" s="33">
        <v>25355.02</v>
      </c>
      <c r="N932" s="33">
        <v>25137.67</v>
      </c>
      <c r="O932" s="88"/>
      <c r="P932" s="88"/>
      <c r="Q932" s="89"/>
      <c r="R932" s="89"/>
      <c r="S932" s="210"/>
      <c r="T932" s="23"/>
      <c r="U932" s="211"/>
      <c r="V932" s="251"/>
      <c r="X932" s="186"/>
      <c r="Y932" s="186"/>
      <c r="Z932" s="186"/>
      <c r="AA932" s="186"/>
    </row>
    <row r="933" spans="1:29" ht="22.75" thickBot="1" x14ac:dyDescent="0.3">
      <c r="A933" s="272"/>
      <c r="B933" s="90"/>
      <c r="C933" s="91"/>
      <c r="D933" s="91"/>
      <c r="E933" s="92" t="s">
        <v>194</v>
      </c>
      <c r="F933" s="79">
        <f t="shared" ref="F933:N933" si="307">IF(((F931="")*AND(F932="")),"",(F931-F932)*3)</f>
        <v>4760.429999999993</v>
      </c>
      <c r="G933" s="79">
        <f t="shared" si="307"/>
        <v>4379.0099999999948</v>
      </c>
      <c r="H933" s="79">
        <f t="shared" si="307"/>
        <v>4193.6099999999969</v>
      </c>
      <c r="I933" s="79">
        <f t="shared" si="307"/>
        <v>4281.9599999999991</v>
      </c>
      <c r="J933" s="79">
        <f t="shared" si="307"/>
        <v>4722.3900000000031</v>
      </c>
      <c r="K933" s="79">
        <f t="shared" si="307"/>
        <v>4636.3199999999961</v>
      </c>
      <c r="L933" s="79">
        <f t="shared" si="307"/>
        <v>4309.9199999999983</v>
      </c>
      <c r="M933" s="79">
        <f t="shared" si="307"/>
        <v>4362.9899999999943</v>
      </c>
      <c r="N933" s="79">
        <f t="shared" si="307"/>
        <v>5050.9500000000044</v>
      </c>
      <c r="O933" s="92"/>
      <c r="P933" s="92"/>
      <c r="Q933" s="93"/>
      <c r="R933" s="93"/>
      <c r="S933" s="213"/>
      <c r="T933" s="214"/>
      <c r="U933" s="215"/>
      <c r="V933" s="251"/>
      <c r="X933" s="186"/>
      <c r="Y933" s="186"/>
      <c r="Z933" s="186"/>
      <c r="AA933" s="186"/>
    </row>
    <row r="934" spans="1:29" x14ac:dyDescent="0.25">
      <c r="A934" s="271">
        <v>43535</v>
      </c>
      <c r="B934" s="63" t="s">
        <v>177</v>
      </c>
      <c r="C934" s="65" t="s">
        <v>179</v>
      </c>
      <c r="D934" s="65" t="s">
        <v>178</v>
      </c>
      <c r="E934" s="67" t="s">
        <v>192</v>
      </c>
      <c r="F934" s="33">
        <v>6911.39</v>
      </c>
      <c r="G934" s="33">
        <v>6874.94</v>
      </c>
      <c r="H934" s="33">
        <v>6888.93</v>
      </c>
      <c r="I934" s="33">
        <v>6843.16</v>
      </c>
      <c r="J934" s="33">
        <v>6807.85</v>
      </c>
      <c r="K934" s="33">
        <v>6871.49</v>
      </c>
      <c r="L934" s="33">
        <v>6864.56</v>
      </c>
      <c r="M934" s="33">
        <v>6908.57</v>
      </c>
      <c r="N934" s="33">
        <v>6957.81</v>
      </c>
      <c r="O934" s="86">
        <f>IF((N935=""),"",MAX(F936:N936))</f>
        <v>3954.0399999999991</v>
      </c>
      <c r="P934" s="86">
        <f>IF(N935="","",MIN(F936:N936))</f>
        <v>3692.9599999999991</v>
      </c>
      <c r="Q934" s="87">
        <f>IF((N936=""),"",AVERAGE(F936:N936))</f>
        <v>3860.9022222222225</v>
      </c>
      <c r="R934" s="87">
        <f>IF((N935=""),"",(O934-P934)/(O934+P934)*100)</f>
        <v>3.4141493396103049</v>
      </c>
      <c r="S934" s="181">
        <f>STDEV(F936:N936)</f>
        <v>94.170383053508232</v>
      </c>
      <c r="T934" s="208" t="str">
        <f>IF(N935="","",IF(Q934&gt;3650,IF(R934&lt;7,IF(Q934&lt;4450,"Pass","Fail"),"Fail"),"Fail"))</f>
        <v>Pass</v>
      </c>
      <c r="U934" s="220">
        <v>74</v>
      </c>
      <c r="V934" s="198"/>
      <c r="W934" s="33"/>
      <c r="X934" s="184">
        <v>3650</v>
      </c>
      <c r="Y934" s="184">
        <v>4450</v>
      </c>
      <c r="Z934" s="184">
        <v>3700</v>
      </c>
      <c r="AA934" s="184">
        <v>4100</v>
      </c>
      <c r="AB934" s="57">
        <v>6.5</v>
      </c>
      <c r="AC934" s="57">
        <v>7</v>
      </c>
    </row>
    <row r="935" spans="1:29" x14ac:dyDescent="0.25">
      <c r="A935" s="272"/>
      <c r="B935" s="47"/>
      <c r="C935" s="24"/>
      <c r="D935" s="24"/>
      <c r="E935" s="88" t="s">
        <v>193</v>
      </c>
      <c r="F935" s="33">
        <v>5021.43</v>
      </c>
      <c r="G935" s="33">
        <v>4913.83</v>
      </c>
      <c r="H935" s="33">
        <v>4915.3999999999996</v>
      </c>
      <c r="I935" s="33">
        <v>4885.05</v>
      </c>
      <c r="J935" s="33">
        <v>4927.51</v>
      </c>
      <c r="K935" s="33">
        <v>5025.01</v>
      </c>
      <c r="L935" s="33">
        <v>4905.79</v>
      </c>
      <c r="M935" s="33">
        <v>4931.55</v>
      </c>
      <c r="N935" s="33">
        <v>5029.07</v>
      </c>
      <c r="O935" s="88"/>
      <c r="P935" s="88"/>
      <c r="Q935" s="89"/>
      <c r="R935" s="89"/>
      <c r="S935" s="210"/>
      <c r="T935" s="28"/>
      <c r="U935" s="217"/>
      <c r="V935" s="198"/>
      <c r="W935" s="33"/>
      <c r="X935" s="186"/>
      <c r="Y935" s="186"/>
      <c r="Z935" s="186"/>
      <c r="AA935" s="186"/>
    </row>
    <row r="936" spans="1:29" ht="22.75" thickBot="1" x14ac:dyDescent="0.3">
      <c r="A936" s="272"/>
      <c r="B936" s="47"/>
      <c r="C936" s="24"/>
      <c r="D936" s="24"/>
      <c r="E936" s="88" t="s">
        <v>194</v>
      </c>
      <c r="F936" s="66">
        <f t="shared" ref="F936:N936" si="308">IF(((F934="")*AND(F935="")),"",(F934-F935)*2)</f>
        <v>3779.92</v>
      </c>
      <c r="G936" s="66">
        <f t="shared" si="308"/>
        <v>3922.2199999999993</v>
      </c>
      <c r="H936" s="66">
        <f t="shared" si="308"/>
        <v>3947.0600000000013</v>
      </c>
      <c r="I936" s="66">
        <f t="shared" si="308"/>
        <v>3916.2199999999993</v>
      </c>
      <c r="J936" s="66">
        <f t="shared" si="308"/>
        <v>3760.6800000000003</v>
      </c>
      <c r="K936" s="66">
        <f t="shared" si="308"/>
        <v>3692.9599999999991</v>
      </c>
      <c r="L936" s="66">
        <f t="shared" si="308"/>
        <v>3917.5400000000009</v>
      </c>
      <c r="M936" s="66">
        <f t="shared" si="308"/>
        <v>3954.0399999999991</v>
      </c>
      <c r="N936" s="66">
        <f t="shared" si="308"/>
        <v>3857.4800000000014</v>
      </c>
      <c r="O936" s="88"/>
      <c r="P936" s="88"/>
      <c r="Q936" s="89"/>
      <c r="R936" s="89"/>
      <c r="S936" s="210"/>
      <c r="T936" s="28"/>
      <c r="U936" s="217"/>
      <c r="V936" s="198"/>
      <c r="W936" s="33"/>
      <c r="X936" s="186"/>
      <c r="Y936" s="186"/>
      <c r="Z936" s="186"/>
      <c r="AA936" s="186"/>
    </row>
    <row r="937" spans="1:29" x14ac:dyDescent="0.25">
      <c r="A937" s="271">
        <v>43535</v>
      </c>
      <c r="B937" s="24" t="s">
        <v>172</v>
      </c>
      <c r="C937" s="24" t="s">
        <v>174</v>
      </c>
      <c r="D937" s="24" t="s">
        <v>195</v>
      </c>
      <c r="E937" s="88" t="s">
        <v>192</v>
      </c>
      <c r="F937" s="33">
        <v>1950.17</v>
      </c>
      <c r="G937" s="33">
        <v>1943.46</v>
      </c>
      <c r="H937" s="33">
        <v>1941.35</v>
      </c>
      <c r="I937" s="33">
        <v>1937.41</v>
      </c>
      <c r="J937" s="33">
        <v>1946.79</v>
      </c>
      <c r="K937" s="33">
        <v>1949.47</v>
      </c>
      <c r="L937" s="33">
        <v>1940.85</v>
      </c>
      <c r="M937" s="33">
        <v>1941.49</v>
      </c>
      <c r="N937" s="33">
        <v>1948.58</v>
      </c>
      <c r="O937" s="88">
        <f>IF((N938=""),"",MAX(F939:N939))</f>
        <v>2065.5</v>
      </c>
      <c r="P937" s="88">
        <f>IF(N938="","",MIN(F939:N939))</f>
        <v>2032.53</v>
      </c>
      <c r="Q937" s="89">
        <f>IF((N939=""),"",AVERAGE(F939:N939))</f>
        <v>2046.9066666666668</v>
      </c>
      <c r="R937" s="89">
        <f>IF((N938=""),"",(O937-P937)/(O937+P937)*100)</f>
        <v>0.80453290971515645</v>
      </c>
      <c r="S937" s="210">
        <f>STDEV(F939:N939)</f>
        <v>13.655280114300355</v>
      </c>
      <c r="T937" s="23" t="str">
        <f>IF(N938="","",IF(Q937&gt;1940,IF(R937&lt;8.3,IF(Q937&lt;2180,"Pass","Fail"),"Fail"),"Fail"))</f>
        <v>Pass</v>
      </c>
      <c r="U937" s="220">
        <v>74</v>
      </c>
      <c r="V937" s="198"/>
      <c r="W937" s="33"/>
      <c r="X937" s="184">
        <v>2000</v>
      </c>
      <c r="Y937" s="184">
        <v>3000</v>
      </c>
      <c r="Z937" s="184">
        <v>1940</v>
      </c>
      <c r="AA937" s="184">
        <v>2180</v>
      </c>
      <c r="AB937" s="57">
        <v>5.2</v>
      </c>
    </row>
    <row r="938" spans="1:29" x14ac:dyDescent="0.25">
      <c r="A938" s="272"/>
      <c r="B938" s="47"/>
      <c r="C938" s="24"/>
      <c r="D938" s="24"/>
      <c r="E938" s="88" t="s">
        <v>193</v>
      </c>
      <c r="F938" s="33">
        <v>1262.3499999999999</v>
      </c>
      <c r="G938" s="33">
        <v>1255.0999999999999</v>
      </c>
      <c r="H938" s="33">
        <v>1262.98</v>
      </c>
      <c r="I938" s="33">
        <v>1259.9000000000001</v>
      </c>
      <c r="J938" s="33">
        <v>1267.2</v>
      </c>
      <c r="K938" s="33">
        <v>1268.96</v>
      </c>
      <c r="L938" s="33">
        <v>1261.48</v>
      </c>
      <c r="M938" s="33">
        <v>1252.99</v>
      </c>
      <c r="N938" s="33">
        <v>1267.8900000000001</v>
      </c>
      <c r="O938" s="88"/>
      <c r="P938" s="88"/>
      <c r="Q938" s="89"/>
      <c r="R938" s="89"/>
      <c r="S938" s="210"/>
      <c r="T938" s="23"/>
      <c r="U938" s="211"/>
      <c r="V938" s="246"/>
      <c r="W938" s="33"/>
      <c r="X938" s="186"/>
      <c r="Y938" s="186"/>
      <c r="Z938" s="186"/>
      <c r="AA938" s="186"/>
    </row>
    <row r="939" spans="1:29" ht="13.3" thickBot="1" x14ac:dyDescent="0.3">
      <c r="A939" s="272"/>
      <c r="B939" s="47"/>
      <c r="C939" s="24"/>
      <c r="D939" s="24"/>
      <c r="E939" s="88" t="s">
        <v>196</v>
      </c>
      <c r="F939" s="66">
        <f t="shared" ref="F939:N939" si="309">IF(((F937="")*AND(F938="")),"",(F937-F938)*3)</f>
        <v>2063.4600000000005</v>
      </c>
      <c r="G939" s="66">
        <f t="shared" si="309"/>
        <v>2065.0800000000004</v>
      </c>
      <c r="H939" s="66">
        <f t="shared" si="309"/>
        <v>2035.1099999999997</v>
      </c>
      <c r="I939" s="66">
        <f t="shared" si="309"/>
        <v>2032.53</v>
      </c>
      <c r="J939" s="66">
        <f t="shared" si="309"/>
        <v>2038.7699999999998</v>
      </c>
      <c r="K939" s="66">
        <f t="shared" si="309"/>
        <v>2041.53</v>
      </c>
      <c r="L939" s="66">
        <f t="shared" si="309"/>
        <v>2038.1099999999997</v>
      </c>
      <c r="M939" s="66">
        <f t="shared" si="309"/>
        <v>2065.5</v>
      </c>
      <c r="N939" s="66">
        <f t="shared" si="309"/>
        <v>2042.0699999999995</v>
      </c>
      <c r="O939" s="88"/>
      <c r="P939" s="88"/>
      <c r="Q939" s="89"/>
      <c r="R939" s="89"/>
      <c r="S939" s="210"/>
      <c r="T939" s="23"/>
      <c r="U939" s="211"/>
      <c r="V939" s="246"/>
      <c r="W939" s="33"/>
      <c r="X939" s="186"/>
      <c r="Y939" s="186"/>
      <c r="Z939" s="186"/>
      <c r="AA939" s="186"/>
    </row>
    <row r="940" spans="1:29" x14ac:dyDescent="0.25">
      <c r="A940" s="271">
        <v>43535</v>
      </c>
      <c r="B940" s="47" t="s">
        <v>191</v>
      </c>
      <c r="C940" s="24" t="s">
        <v>176</v>
      </c>
      <c r="D940" s="24" t="s">
        <v>175</v>
      </c>
      <c r="E940" s="88" t="s">
        <v>192</v>
      </c>
      <c r="F940" s="33">
        <v>25249.62</v>
      </c>
      <c r="G940" s="33">
        <v>25342.58</v>
      </c>
      <c r="H940" s="33">
        <v>25462.38</v>
      </c>
      <c r="I940" s="33">
        <v>25351.66</v>
      </c>
      <c r="J940" s="33">
        <v>25198.57</v>
      </c>
      <c r="K940" s="33">
        <v>25233.57</v>
      </c>
      <c r="L940" s="33">
        <v>25396.13</v>
      </c>
      <c r="M940" s="33">
        <v>25290.53</v>
      </c>
      <c r="N940" s="33">
        <v>25315</v>
      </c>
      <c r="O940" s="88">
        <f>IF((N941=""),"",MAX(F942:N942))</f>
        <v>4819.5899999999965</v>
      </c>
      <c r="P940" s="88">
        <f>IF(N941="","",MIN(F942:N942))</f>
        <v>4319.9700000000048</v>
      </c>
      <c r="Q940" s="89">
        <f>IF((N942=""),"",AVERAGE(F942:N942))</f>
        <v>4555.5333333333338</v>
      </c>
      <c r="R940" s="89">
        <f>IF((N941=""),"",(O940-P940)/(O940+P940)*100)</f>
        <v>5.4665651300499327</v>
      </c>
      <c r="S940" s="210">
        <f>STDEV(F942:N942)</f>
        <v>187.82500858511767</v>
      </c>
      <c r="T940" s="23" t="str">
        <f>IF(N941="","",IF(R940&lt;16,IF(Q940&gt;3200,IF(R940,IF(Q940&lt;5240,"Pass","Fail"),"Fail"),"Fail")))</f>
        <v>Pass</v>
      </c>
      <c r="U940" s="220">
        <v>74</v>
      </c>
      <c r="V940" s="198"/>
      <c r="W940" s="33"/>
      <c r="X940" s="184">
        <v>4200</v>
      </c>
      <c r="Y940" s="184">
        <v>5500</v>
      </c>
      <c r="Z940" s="184">
        <v>3200</v>
      </c>
      <c r="AA940" s="184">
        <v>5240</v>
      </c>
      <c r="AB940" s="57">
        <v>16</v>
      </c>
    </row>
    <row r="941" spans="1:29" x14ac:dyDescent="0.25">
      <c r="A941" s="272"/>
      <c r="B941" s="47"/>
      <c r="C941" s="24"/>
      <c r="D941" s="24"/>
      <c r="E941" s="88" t="s">
        <v>193</v>
      </c>
      <c r="F941" s="33">
        <v>23643.09</v>
      </c>
      <c r="G941" s="33">
        <v>23873.42</v>
      </c>
      <c r="H941" s="33">
        <v>24022.39</v>
      </c>
      <c r="I941" s="33">
        <v>23871.34</v>
      </c>
      <c r="J941" s="33">
        <v>23593.919999999998</v>
      </c>
      <c r="K941" s="33">
        <v>23662.27</v>
      </c>
      <c r="L941" s="33">
        <v>23909.99</v>
      </c>
      <c r="M941" s="33">
        <v>23817.02</v>
      </c>
      <c r="N941" s="33">
        <v>23780</v>
      </c>
      <c r="O941" s="88"/>
      <c r="P941" s="88"/>
      <c r="Q941" s="89"/>
      <c r="R941" s="89"/>
      <c r="S941" s="210"/>
      <c r="T941" s="23"/>
      <c r="U941" s="211"/>
      <c r="V941" s="246"/>
      <c r="W941" s="33"/>
      <c r="X941" s="186"/>
      <c r="Y941" s="186"/>
      <c r="Z941" s="186"/>
      <c r="AA941" s="186"/>
    </row>
    <row r="942" spans="1:29" ht="22.75" thickBot="1" x14ac:dyDescent="0.3">
      <c r="A942" s="272"/>
      <c r="B942" s="90"/>
      <c r="C942" s="91"/>
      <c r="D942" s="91"/>
      <c r="E942" s="92" t="s">
        <v>194</v>
      </c>
      <c r="F942" s="79">
        <f t="shared" ref="F942:N942" si="310">IF(((F940="")*AND(F941="")),"",(F940-F941)*3)</f>
        <v>4819.5899999999965</v>
      </c>
      <c r="G942" s="79">
        <f t="shared" si="310"/>
        <v>4407.4800000000105</v>
      </c>
      <c r="H942" s="79">
        <f t="shared" si="310"/>
        <v>4319.9700000000048</v>
      </c>
      <c r="I942" s="79">
        <f t="shared" si="310"/>
        <v>4440.9599999999991</v>
      </c>
      <c r="J942" s="79">
        <f t="shared" si="310"/>
        <v>4813.9500000000044</v>
      </c>
      <c r="K942" s="79">
        <f t="shared" si="310"/>
        <v>4713.8999999999978</v>
      </c>
      <c r="L942" s="79">
        <f t="shared" si="310"/>
        <v>4458.4199999999983</v>
      </c>
      <c r="M942" s="79">
        <f t="shared" si="310"/>
        <v>4420.5299999999952</v>
      </c>
      <c r="N942" s="79">
        <f t="shared" si="310"/>
        <v>4605</v>
      </c>
      <c r="O942" s="92"/>
      <c r="P942" s="92"/>
      <c r="Q942" s="93"/>
      <c r="R942" s="93"/>
      <c r="S942" s="213"/>
      <c r="T942" s="214"/>
      <c r="U942" s="215"/>
      <c r="V942" s="246"/>
      <c r="W942" s="33"/>
      <c r="X942" s="186"/>
      <c r="Y942" s="186"/>
      <c r="Z942" s="186"/>
      <c r="AA942" s="186"/>
    </row>
    <row r="943" spans="1:29" x14ac:dyDescent="0.25">
      <c r="A943" s="271">
        <v>43538</v>
      </c>
      <c r="B943" s="63" t="s">
        <v>177</v>
      </c>
      <c r="C943" s="65" t="s">
        <v>179</v>
      </c>
      <c r="D943" s="65" t="s">
        <v>178</v>
      </c>
      <c r="E943" s="67" t="s">
        <v>192</v>
      </c>
      <c r="F943" s="33">
        <v>5021.43</v>
      </c>
      <c r="G943" s="33">
        <v>4913.83</v>
      </c>
      <c r="H943" s="33">
        <v>4915.3999999999996</v>
      </c>
      <c r="I943" s="33">
        <v>4885.05</v>
      </c>
      <c r="J943" s="33">
        <v>4927.51</v>
      </c>
      <c r="K943" s="33">
        <v>5025.01</v>
      </c>
      <c r="L943" s="33">
        <v>4905.79</v>
      </c>
      <c r="M943" s="33">
        <v>4931.55</v>
      </c>
      <c r="N943" s="33">
        <v>5029.07</v>
      </c>
      <c r="O943" s="86">
        <f>IF((N944=""),"",MAX(F945:N945))</f>
        <v>4052.1399999999994</v>
      </c>
      <c r="P943" s="86">
        <f>IF(N944="","",MIN(F945:N945))</f>
        <v>3687.46</v>
      </c>
      <c r="Q943" s="87">
        <f>IF((N945=""),"",AVERAGE(F945:N945))</f>
        <v>3893.9688888888891</v>
      </c>
      <c r="R943" s="87">
        <f>IF((N944=""),"",(O943-P943)/(O943+P943)*100)</f>
        <v>4.7118714145433795</v>
      </c>
      <c r="S943" s="181">
        <f>STDEV(F945:N945)</f>
        <v>110.04607585512102</v>
      </c>
      <c r="T943" s="208" t="str">
        <f>IF(N944="","",IF(Q943&gt;3650,IF(R943&lt;7,IF(Q943&lt;4450,"Pass","Fail"),"Fail"),"Fail"))</f>
        <v>Pass</v>
      </c>
      <c r="U943" s="220">
        <v>121</v>
      </c>
      <c r="V943" s="251" t="s">
        <v>234</v>
      </c>
      <c r="X943" s="184">
        <v>3650</v>
      </c>
      <c r="Y943" s="184">
        <v>4450</v>
      </c>
      <c r="Z943" s="184">
        <v>3700</v>
      </c>
      <c r="AA943" s="184">
        <v>4100</v>
      </c>
      <c r="AB943" s="57">
        <v>6.5</v>
      </c>
      <c r="AC943" s="57">
        <v>7</v>
      </c>
    </row>
    <row r="944" spans="1:29" x14ac:dyDescent="0.25">
      <c r="A944" s="272"/>
      <c r="B944" s="47"/>
      <c r="C944" s="24"/>
      <c r="D944" s="24"/>
      <c r="E944" s="88" t="s">
        <v>193</v>
      </c>
      <c r="F944" s="33">
        <v>3137.81</v>
      </c>
      <c r="G944" s="33">
        <v>2954.78</v>
      </c>
      <c r="H944" s="33">
        <v>2940.64</v>
      </c>
      <c r="I944" s="33">
        <v>2916.07</v>
      </c>
      <c r="J944" s="33">
        <v>3003</v>
      </c>
      <c r="K944" s="33">
        <v>3181.28</v>
      </c>
      <c r="L944" s="33">
        <v>2945.28</v>
      </c>
      <c r="M944" s="33">
        <v>2949.92</v>
      </c>
      <c r="N944" s="33">
        <v>3003</v>
      </c>
      <c r="O944" s="88"/>
      <c r="P944" s="88"/>
      <c r="Q944" s="89"/>
      <c r="R944" s="89"/>
      <c r="S944" s="210"/>
      <c r="T944" s="28"/>
      <c r="U944" s="217"/>
      <c r="V944" s="251"/>
      <c r="X944" s="186"/>
      <c r="Y944" s="186"/>
      <c r="Z944" s="186"/>
      <c r="AA944" s="186"/>
    </row>
    <row r="945" spans="1:29" ht="22.75" thickBot="1" x14ac:dyDescent="0.3">
      <c r="A945" s="272"/>
      <c r="B945" s="47"/>
      <c r="C945" s="24"/>
      <c r="D945" s="24"/>
      <c r="E945" s="88" t="s">
        <v>194</v>
      </c>
      <c r="F945" s="66">
        <f t="shared" ref="F945:N945" si="311">IF(((F943="")*AND(F944="")),"",(F943-F944)*2)</f>
        <v>3767.2400000000007</v>
      </c>
      <c r="G945" s="66">
        <f t="shared" si="311"/>
        <v>3918.0999999999995</v>
      </c>
      <c r="H945" s="66">
        <f t="shared" si="311"/>
        <v>3949.5199999999995</v>
      </c>
      <c r="I945" s="66">
        <f t="shared" si="311"/>
        <v>3937.96</v>
      </c>
      <c r="J945" s="66">
        <f t="shared" si="311"/>
        <v>3849.0200000000004</v>
      </c>
      <c r="K945" s="66">
        <f t="shared" si="311"/>
        <v>3687.46</v>
      </c>
      <c r="L945" s="66">
        <f t="shared" si="311"/>
        <v>3921.0199999999995</v>
      </c>
      <c r="M945" s="66">
        <f t="shared" si="311"/>
        <v>3963.26</v>
      </c>
      <c r="N945" s="66">
        <f t="shared" si="311"/>
        <v>4052.1399999999994</v>
      </c>
      <c r="O945" s="88"/>
      <c r="P945" s="88"/>
      <c r="Q945" s="89"/>
      <c r="R945" s="89"/>
      <c r="S945" s="210"/>
      <c r="T945" s="28"/>
      <c r="U945" s="217"/>
      <c r="V945" s="251"/>
      <c r="X945" s="186"/>
      <c r="Y945" s="186"/>
      <c r="Z945" s="186"/>
      <c r="AA945" s="186"/>
    </row>
    <row r="946" spans="1:29" x14ac:dyDescent="0.25">
      <c r="A946" s="271">
        <v>43538</v>
      </c>
      <c r="B946" s="24" t="s">
        <v>172</v>
      </c>
      <c r="C946" s="24" t="s">
        <v>174</v>
      </c>
      <c r="D946" s="24" t="s">
        <v>195</v>
      </c>
      <c r="E946" s="88" t="s">
        <v>192</v>
      </c>
      <c r="F946" s="33">
        <v>1262.3499999999999</v>
      </c>
      <c r="G946" s="33">
        <v>1255.0999999999999</v>
      </c>
      <c r="H946" s="33">
        <v>1262.98</v>
      </c>
      <c r="I946" s="33">
        <v>1259.9000000000001</v>
      </c>
      <c r="J946" s="33">
        <v>1267.2</v>
      </c>
      <c r="K946" s="33">
        <v>1268.96</v>
      </c>
      <c r="L946" s="33">
        <v>1261.48</v>
      </c>
      <c r="M946" s="33">
        <v>1252.99</v>
      </c>
      <c r="N946" s="33">
        <v>1267.8900000000001</v>
      </c>
      <c r="O946" s="88">
        <f>IF((N947=""),"",MAX(F948:N948))</f>
        <v>2043.9599999999998</v>
      </c>
      <c r="P946" s="88">
        <f>IF(N947="","",MIN(F948:N948))</f>
        <v>1978.9800000000002</v>
      </c>
      <c r="Q946" s="89">
        <f>IF((N948=""),"",AVERAGE(F948:N948))</f>
        <v>2014.8733333333334</v>
      </c>
      <c r="R946" s="89">
        <f>IF((N947=""),"",(O946-P946)/(O946+P946)*100)</f>
        <v>1.6152366179957831</v>
      </c>
      <c r="S946" s="210">
        <f>STDEV(F948:N948)</f>
        <v>21.418960642383936</v>
      </c>
      <c r="T946" s="23" t="str">
        <f>IF(N947="","",IF(Q946&gt;1940,IF(R946&lt;8.3,IF(Q946&lt;2180,"Pass","Fail"),"Fail"),"Fail"))</f>
        <v>Pass</v>
      </c>
      <c r="U946" s="220">
        <v>121</v>
      </c>
      <c r="V946" s="251" t="s">
        <v>234</v>
      </c>
      <c r="X946" s="184">
        <v>2000</v>
      </c>
      <c r="Y946" s="184">
        <v>3000</v>
      </c>
      <c r="Z946" s="184">
        <v>1940</v>
      </c>
      <c r="AA946" s="184">
        <v>2180</v>
      </c>
      <c r="AB946" s="57">
        <v>5.2</v>
      </c>
    </row>
    <row r="947" spans="1:29" x14ac:dyDescent="0.25">
      <c r="A947" s="272"/>
      <c r="B947" s="47"/>
      <c r="C947" s="24"/>
      <c r="D947" s="24"/>
      <c r="E947" s="88" t="s">
        <v>193</v>
      </c>
      <c r="F947" s="33">
        <v>581.03</v>
      </c>
      <c r="G947" s="33">
        <v>579.45000000000005</v>
      </c>
      <c r="H947" s="33">
        <v>588.04999999999995</v>
      </c>
      <c r="I947" s="33">
        <v>590.09</v>
      </c>
      <c r="J947" s="33">
        <v>607.54</v>
      </c>
      <c r="K947" s="33">
        <v>591.69000000000005</v>
      </c>
      <c r="L947" s="33">
        <v>591.19000000000005</v>
      </c>
      <c r="M947" s="33">
        <v>578.9</v>
      </c>
      <c r="N947" s="33">
        <v>606.29</v>
      </c>
      <c r="O947" s="88"/>
      <c r="P947" s="88"/>
      <c r="Q947" s="89"/>
      <c r="R947" s="89"/>
      <c r="S947" s="210"/>
      <c r="T947" s="23"/>
      <c r="U947" s="211"/>
      <c r="V947" s="251"/>
      <c r="X947" s="186"/>
      <c r="Y947" s="186"/>
      <c r="Z947" s="186"/>
      <c r="AA947" s="186"/>
    </row>
    <row r="948" spans="1:29" ht="13.3" thickBot="1" x14ac:dyDescent="0.3">
      <c r="A948" s="272"/>
      <c r="B948" s="47"/>
      <c r="C948" s="24"/>
      <c r="D948" s="24"/>
      <c r="E948" s="88" t="s">
        <v>196</v>
      </c>
      <c r="F948" s="66">
        <f t="shared" ref="F948:N948" si="312">IF(((F946="")*AND(F947="")),"",(F946-F947)*3)</f>
        <v>2043.9599999999998</v>
      </c>
      <c r="G948" s="66">
        <f t="shared" si="312"/>
        <v>2026.9499999999996</v>
      </c>
      <c r="H948" s="66">
        <f t="shared" si="312"/>
        <v>2024.7900000000002</v>
      </c>
      <c r="I948" s="66">
        <f t="shared" si="312"/>
        <v>2009.4300000000003</v>
      </c>
      <c r="J948" s="66">
        <f t="shared" si="312"/>
        <v>1978.9800000000002</v>
      </c>
      <c r="K948" s="66">
        <f t="shared" si="312"/>
        <v>2031.81</v>
      </c>
      <c r="L948" s="66">
        <f t="shared" si="312"/>
        <v>2010.87</v>
      </c>
      <c r="M948" s="66">
        <f t="shared" si="312"/>
        <v>2022.27</v>
      </c>
      <c r="N948" s="66">
        <f t="shared" si="312"/>
        <v>1984.8000000000004</v>
      </c>
      <c r="O948" s="88"/>
      <c r="P948" s="88"/>
      <c r="Q948" s="89"/>
      <c r="R948" s="89"/>
      <c r="S948" s="210"/>
      <c r="T948" s="23"/>
      <c r="U948" s="211"/>
      <c r="V948" s="251"/>
      <c r="X948" s="186"/>
      <c r="Y948" s="186"/>
      <c r="Z948" s="186"/>
      <c r="AA948" s="186"/>
    </row>
    <row r="949" spans="1:29" x14ac:dyDescent="0.25">
      <c r="A949" s="271">
        <v>43538</v>
      </c>
      <c r="B949" s="47" t="s">
        <v>191</v>
      </c>
      <c r="C949" s="24" t="s">
        <v>176</v>
      </c>
      <c r="D949" s="24" t="s">
        <v>175</v>
      </c>
      <c r="E949" s="88" t="s">
        <v>192</v>
      </c>
      <c r="F949" s="33">
        <v>23643.09</v>
      </c>
      <c r="G949" s="33">
        <v>23873.42</v>
      </c>
      <c r="H949" s="33">
        <v>24022.39</v>
      </c>
      <c r="I949" s="33">
        <v>23871.34</v>
      </c>
      <c r="J949" s="33">
        <v>23593.919999999998</v>
      </c>
      <c r="K949" s="33">
        <v>23662.27</v>
      </c>
      <c r="L949" s="33">
        <v>23909.99</v>
      </c>
      <c r="M949" s="33">
        <v>23817.02</v>
      </c>
      <c r="N949" s="33">
        <v>23699</v>
      </c>
      <c r="O949" s="88">
        <f>IF((N950=""),"",MAX(F951:N951))</f>
        <v>5715.9900000000052</v>
      </c>
      <c r="P949" s="88">
        <f>IF(N950="","",MIN(F951:N951))</f>
        <v>4239</v>
      </c>
      <c r="Q949" s="89">
        <f>IF((N951=""),"",AVERAGE(F951:N951))</f>
        <v>4674.9599999999991</v>
      </c>
      <c r="R949" s="89">
        <f>IF((N950=""),"",(O949-P949)/(O949+P949)*100)</f>
        <v>14.836679896212898</v>
      </c>
      <c r="S949" s="210">
        <f>STDEV(F951:N951)</f>
        <v>469.02956583247601</v>
      </c>
      <c r="T949" s="23" t="str">
        <f>IF(N950="","",IF(R949&lt;16,IF(Q949&gt;3200,IF(R949,IF(Q949&lt;5240,"Pass","Fail"),"Fail"),"Fail")))</f>
        <v>Pass</v>
      </c>
      <c r="U949" s="220">
        <v>121</v>
      </c>
      <c r="V949" s="251" t="s">
        <v>234</v>
      </c>
      <c r="X949" s="184">
        <v>4200</v>
      </c>
      <c r="Y949" s="184">
        <v>5500</v>
      </c>
      <c r="Z949" s="184">
        <v>3200</v>
      </c>
      <c r="AA949" s="184">
        <v>5240</v>
      </c>
      <c r="AB949" s="57">
        <v>16</v>
      </c>
    </row>
    <row r="950" spans="1:29" x14ac:dyDescent="0.25">
      <c r="A950" s="272"/>
      <c r="B950" s="47"/>
      <c r="C950" s="24"/>
      <c r="D950" s="24"/>
      <c r="E950" s="88" t="s">
        <v>193</v>
      </c>
      <c r="F950" s="33">
        <v>21967.79</v>
      </c>
      <c r="G950" s="33">
        <v>22399.29</v>
      </c>
      <c r="H950" s="33">
        <v>22609.39</v>
      </c>
      <c r="I950" s="33">
        <v>22411.86</v>
      </c>
      <c r="J950" s="33">
        <v>21995.77</v>
      </c>
      <c r="K950" s="33">
        <v>22082.7</v>
      </c>
      <c r="L950" s="33">
        <v>22482.3</v>
      </c>
      <c r="M950" s="33">
        <v>22324.79</v>
      </c>
      <c r="N950" s="33">
        <v>21793.67</v>
      </c>
      <c r="O950" s="88"/>
      <c r="P950" s="88"/>
      <c r="Q950" s="89"/>
      <c r="R950" s="89"/>
      <c r="S950" s="210"/>
      <c r="T950" s="23"/>
      <c r="U950" s="211"/>
      <c r="V950" s="251"/>
      <c r="X950" s="186"/>
      <c r="Y950" s="186"/>
      <c r="Z950" s="186"/>
      <c r="AA950" s="186"/>
    </row>
    <row r="951" spans="1:29" ht="22.75" thickBot="1" x14ac:dyDescent="0.3">
      <c r="A951" s="272"/>
      <c r="B951" s="90"/>
      <c r="C951" s="91"/>
      <c r="D951" s="91"/>
      <c r="E951" s="92" t="s">
        <v>194</v>
      </c>
      <c r="F951" s="79">
        <f t="shared" ref="F951:N951" si="313">IF(((F949="")*AND(F950="")),"",(F949-F950)*3)</f>
        <v>5025.8999999999978</v>
      </c>
      <c r="G951" s="79">
        <f t="shared" si="313"/>
        <v>4422.3899999999921</v>
      </c>
      <c r="H951" s="79">
        <f t="shared" si="313"/>
        <v>4239</v>
      </c>
      <c r="I951" s="79">
        <f t="shared" si="313"/>
        <v>4378.4399999999987</v>
      </c>
      <c r="J951" s="79">
        <f t="shared" si="313"/>
        <v>4794.4499999999935</v>
      </c>
      <c r="K951" s="79">
        <f t="shared" si="313"/>
        <v>4738.7099999999991</v>
      </c>
      <c r="L951" s="79">
        <f t="shared" si="313"/>
        <v>4283.070000000007</v>
      </c>
      <c r="M951" s="79">
        <f t="shared" si="313"/>
        <v>4476.6899999999987</v>
      </c>
      <c r="N951" s="79">
        <f t="shared" si="313"/>
        <v>5715.9900000000052</v>
      </c>
      <c r="O951" s="92"/>
      <c r="P951" s="92"/>
      <c r="Q951" s="93"/>
      <c r="R951" s="93"/>
      <c r="S951" s="213"/>
      <c r="T951" s="214"/>
      <c r="U951" s="215"/>
      <c r="V951" s="251"/>
      <c r="X951" s="186"/>
      <c r="Y951" s="186"/>
      <c r="Z951" s="186"/>
      <c r="AA951" s="186"/>
    </row>
    <row r="952" spans="1:29" x14ac:dyDescent="0.25">
      <c r="A952" s="271">
        <v>43542</v>
      </c>
      <c r="B952" s="63" t="s">
        <v>177</v>
      </c>
      <c r="C952" s="65" t="s">
        <v>179</v>
      </c>
      <c r="D952" s="65" t="s">
        <v>178</v>
      </c>
      <c r="E952" s="67" t="s">
        <v>192</v>
      </c>
      <c r="F952" s="33">
        <v>6959.52</v>
      </c>
      <c r="G952" s="33">
        <v>6936.07</v>
      </c>
      <c r="H952" s="33">
        <v>6959.36</v>
      </c>
      <c r="I952" s="33">
        <v>6905.43</v>
      </c>
      <c r="J952" s="33">
        <v>6842.86</v>
      </c>
      <c r="K952" s="33">
        <v>6906.74</v>
      </c>
      <c r="L952" s="33">
        <v>6921.74</v>
      </c>
      <c r="M952" s="33">
        <v>6979.01</v>
      </c>
      <c r="N952" s="33">
        <v>6913.47</v>
      </c>
      <c r="O952" s="86">
        <f>IF((N953=""),"",MAX(F954:N954))</f>
        <v>3987.1800000000003</v>
      </c>
      <c r="P952" s="86">
        <f>IF(N953="","",MIN(F954:N954))</f>
        <v>3717.76</v>
      </c>
      <c r="Q952" s="87">
        <f>IF((N954=""),"",AVERAGE(F954:N954))</f>
        <v>3892.3488888888887</v>
      </c>
      <c r="R952" s="87">
        <f>IF((N953=""),"",(O952-P952)/(O952+P952)*100)</f>
        <v>3.496717690209139</v>
      </c>
      <c r="S952" s="181">
        <f>STDEV(F954:N954)</f>
        <v>96.548252242653746</v>
      </c>
      <c r="T952" s="208" t="str">
        <f>IF(N953="","",IF(Q952&gt;3650,IF(R952&lt;7,IF(Q952&lt;4450,"Pass","Fail"),"Fail"),"Fail"))</f>
        <v>Pass</v>
      </c>
      <c r="U952" s="220">
        <v>1428</v>
      </c>
      <c r="V952" s="198"/>
      <c r="W952" s="276"/>
      <c r="X952" s="184">
        <v>3650</v>
      </c>
      <c r="Y952" s="184">
        <v>4450</v>
      </c>
      <c r="Z952" s="184">
        <v>3700</v>
      </c>
      <c r="AA952" s="184">
        <v>4100</v>
      </c>
      <c r="AB952" s="57">
        <v>6.5</v>
      </c>
      <c r="AC952" s="57">
        <v>7</v>
      </c>
    </row>
    <row r="953" spans="1:29" x14ac:dyDescent="0.25">
      <c r="A953" s="272"/>
      <c r="B953" s="47"/>
      <c r="C953" s="24"/>
      <c r="D953" s="24"/>
      <c r="E953" s="88" t="s">
        <v>193</v>
      </c>
      <c r="F953" s="33">
        <v>5064.68</v>
      </c>
      <c r="G953" s="33">
        <v>4964.33</v>
      </c>
      <c r="H953" s="33">
        <v>4971</v>
      </c>
      <c r="I953" s="33">
        <v>4925.88</v>
      </c>
      <c r="J953" s="33">
        <v>4939.6099999999997</v>
      </c>
      <c r="K953" s="33">
        <v>5047.8599999999997</v>
      </c>
      <c r="L953" s="33">
        <v>4948.9399999999996</v>
      </c>
      <c r="M953" s="33">
        <v>4985.42</v>
      </c>
      <c r="N953" s="33">
        <v>4960.91</v>
      </c>
      <c r="O953" s="88"/>
      <c r="P953" s="88"/>
      <c r="Q953" s="89"/>
      <c r="R953" s="89"/>
      <c r="S953" s="210"/>
      <c r="T953" s="28"/>
      <c r="U953" s="217"/>
      <c r="V953" s="198"/>
      <c r="W953" s="276"/>
      <c r="X953" s="186"/>
      <c r="Y953" s="186"/>
      <c r="Z953" s="186"/>
      <c r="AA953" s="186"/>
    </row>
    <row r="954" spans="1:29" ht="22.75" thickBot="1" x14ac:dyDescent="0.3">
      <c r="A954" s="272"/>
      <c r="B954" s="47"/>
      <c r="C954" s="24"/>
      <c r="D954" s="24"/>
      <c r="E954" s="88" t="s">
        <v>194</v>
      </c>
      <c r="F954" s="66">
        <f t="shared" ref="F954:N954" si="314">IF(((F952="")*AND(F953="")),"",(F952-F953)*2)</f>
        <v>3789.6800000000003</v>
      </c>
      <c r="G954" s="66">
        <f t="shared" si="314"/>
        <v>3943.4799999999996</v>
      </c>
      <c r="H954" s="66">
        <f t="shared" si="314"/>
        <v>3976.7199999999993</v>
      </c>
      <c r="I954" s="66">
        <f t="shared" si="314"/>
        <v>3959.1000000000004</v>
      </c>
      <c r="J954" s="66">
        <f t="shared" si="314"/>
        <v>3806.5</v>
      </c>
      <c r="K954" s="66">
        <f t="shared" si="314"/>
        <v>3717.76</v>
      </c>
      <c r="L954" s="66">
        <f t="shared" si="314"/>
        <v>3945.6000000000004</v>
      </c>
      <c r="M954" s="66">
        <f t="shared" si="314"/>
        <v>3987.1800000000003</v>
      </c>
      <c r="N954" s="66">
        <f t="shared" si="314"/>
        <v>3905.1200000000008</v>
      </c>
      <c r="O954" s="88"/>
      <c r="P954" s="88"/>
      <c r="Q954" s="89"/>
      <c r="R954" s="89"/>
      <c r="S954" s="210"/>
      <c r="T954" s="28"/>
      <c r="U954" s="217"/>
      <c r="V954" s="198"/>
      <c r="W954" s="276"/>
      <c r="X954" s="186"/>
      <c r="Y954" s="186"/>
      <c r="Z954" s="186"/>
      <c r="AA954" s="186"/>
    </row>
    <row r="955" spans="1:29" x14ac:dyDescent="0.25">
      <c r="A955" s="271">
        <v>43542</v>
      </c>
      <c r="B955" s="24" t="s">
        <v>172</v>
      </c>
      <c r="C955" s="24" t="s">
        <v>174</v>
      </c>
      <c r="D955" s="24" t="s">
        <v>195</v>
      </c>
      <c r="E955" s="88" t="s">
        <v>192</v>
      </c>
      <c r="F955" s="33">
        <v>1866.56</v>
      </c>
      <c r="G955" s="33">
        <v>1818.2</v>
      </c>
      <c r="H955" s="33">
        <v>1846.8</v>
      </c>
      <c r="I955" s="33">
        <v>1837.15</v>
      </c>
      <c r="J955" s="33">
        <v>1824.71</v>
      </c>
      <c r="K955" s="33">
        <v>1844.45</v>
      </c>
      <c r="L955" s="33">
        <v>1832.25</v>
      </c>
      <c r="M955" s="33">
        <v>1875.4</v>
      </c>
      <c r="N955" s="33">
        <v>1832.64</v>
      </c>
      <c r="O955" s="88">
        <f>IF((N956=""),"",MAX(F957:N957))</f>
        <v>1905.0900000000006</v>
      </c>
      <c r="P955" s="88">
        <f>IF(N956="","",MIN(F957:N957))</f>
        <v>1671.72</v>
      </c>
      <c r="Q955" s="89">
        <f>IF((N957=""),"",AVERAGE(F957:N957))</f>
        <v>1771.3766666666666</v>
      </c>
      <c r="R955" s="89">
        <f>IF((N956=""),"",(O955-P955)/(O955+P955)*100)</f>
        <v>6.5245288399439882</v>
      </c>
      <c r="S955" s="210">
        <f>STDEV(F957:N957)</f>
        <v>75.478341761064144</v>
      </c>
      <c r="T955" s="23" t="str">
        <f>IF(N956="","",IF(Q955&gt;1940,IF(R955&lt;8.3,IF(Q955&lt;2180,"Pass","Fail"),"Fail"),"Fail"))</f>
        <v>Fail</v>
      </c>
      <c r="U955" s="220">
        <v>1428</v>
      </c>
      <c r="V955" s="198"/>
      <c r="W955" s="276"/>
      <c r="X955" s="184">
        <v>2000</v>
      </c>
      <c r="Y955" s="184">
        <v>3000</v>
      </c>
      <c r="Z955" s="184">
        <v>1940</v>
      </c>
      <c r="AA955" s="184">
        <v>2180</v>
      </c>
      <c r="AB955" s="57">
        <v>5.2</v>
      </c>
    </row>
    <row r="956" spans="1:29" x14ac:dyDescent="0.25">
      <c r="A956" s="272"/>
      <c r="B956" s="47"/>
      <c r="C956" s="24"/>
      <c r="D956" s="24"/>
      <c r="E956" s="88" t="s">
        <v>193</v>
      </c>
      <c r="F956" s="33">
        <v>1243.99</v>
      </c>
      <c r="G956" s="33">
        <v>1249.5999999999999</v>
      </c>
      <c r="H956" s="33">
        <v>1246.4100000000001</v>
      </c>
      <c r="I956" s="33">
        <v>1251.22</v>
      </c>
      <c r="J956" s="33">
        <v>1267.47</v>
      </c>
      <c r="K956" s="33">
        <v>1255.18</v>
      </c>
      <c r="L956" s="33">
        <v>1257.06</v>
      </c>
      <c r="M956" s="33">
        <v>1240.3699999999999</v>
      </c>
      <c r="N956" s="33">
        <v>1252.73</v>
      </c>
      <c r="O956" s="88"/>
      <c r="P956" s="88"/>
      <c r="Q956" s="89"/>
      <c r="R956" s="89"/>
      <c r="S956" s="210"/>
      <c r="T956" s="23"/>
      <c r="U956" s="211"/>
      <c r="V956" s="246"/>
      <c r="W956" s="276"/>
      <c r="X956" s="186"/>
      <c r="Y956" s="186"/>
      <c r="Z956" s="186"/>
      <c r="AA956" s="186"/>
    </row>
    <row r="957" spans="1:29" ht="13.3" thickBot="1" x14ac:dyDescent="0.3">
      <c r="A957" s="272"/>
      <c r="B957" s="47"/>
      <c r="C957" s="24"/>
      <c r="D957" s="24"/>
      <c r="E957" s="88" t="s">
        <v>196</v>
      </c>
      <c r="F957" s="66">
        <f t="shared" ref="F957:N957" si="315">IF(((F955="")*AND(F956="")),"",(F955-F956)*3)</f>
        <v>1867.7099999999998</v>
      </c>
      <c r="G957" s="66">
        <f t="shared" si="315"/>
        <v>1705.8000000000004</v>
      </c>
      <c r="H957" s="66">
        <f t="shared" si="315"/>
        <v>1801.1699999999996</v>
      </c>
      <c r="I957" s="66">
        <f t="shared" si="315"/>
        <v>1757.7900000000002</v>
      </c>
      <c r="J957" s="66">
        <f t="shared" si="315"/>
        <v>1671.72</v>
      </c>
      <c r="K957" s="66">
        <f t="shared" si="315"/>
        <v>1767.81</v>
      </c>
      <c r="L957" s="66">
        <f t="shared" si="315"/>
        <v>1725.5700000000002</v>
      </c>
      <c r="M957" s="66">
        <f t="shared" si="315"/>
        <v>1905.0900000000006</v>
      </c>
      <c r="N957" s="66">
        <f t="shared" si="315"/>
        <v>1739.7300000000002</v>
      </c>
      <c r="O957" s="88"/>
      <c r="P957" s="88"/>
      <c r="Q957" s="89"/>
      <c r="R957" s="89"/>
      <c r="S957" s="210"/>
      <c r="T957" s="23"/>
      <c r="U957" s="211"/>
      <c r="V957" s="246"/>
      <c r="W957" s="276"/>
      <c r="X957" s="186"/>
      <c r="Y957" s="186"/>
      <c r="Z957" s="186"/>
      <c r="AA957" s="186"/>
    </row>
    <row r="958" spans="1:29" x14ac:dyDescent="0.25">
      <c r="A958" s="271">
        <v>43542</v>
      </c>
      <c r="B958" s="47" t="s">
        <v>191</v>
      </c>
      <c r="C958" s="24" t="s">
        <v>176</v>
      </c>
      <c r="D958" s="24" t="s">
        <v>175</v>
      </c>
      <c r="E958" s="88" t="s">
        <v>192</v>
      </c>
      <c r="F958" s="33">
        <v>29320.66</v>
      </c>
      <c r="G958" s="33">
        <v>29210.94</v>
      </c>
      <c r="H958" s="33">
        <v>29218.36</v>
      </c>
      <c r="I958" s="33">
        <v>29196.26</v>
      </c>
      <c r="J958" s="33">
        <v>29308.9</v>
      </c>
      <c r="K958" s="33">
        <v>29285.5</v>
      </c>
      <c r="L958" s="33">
        <v>29203.82</v>
      </c>
      <c r="M958" s="33">
        <v>29159.9</v>
      </c>
      <c r="N958" s="33">
        <v>29270.16</v>
      </c>
      <c r="O958" s="88">
        <f>IF((N959=""),"",MAX(F960:N960))</f>
        <v>4818.6000000000022</v>
      </c>
      <c r="P958" s="88">
        <f>IF(N959="","",MIN(F960:N960))</f>
        <v>4205.7000000000044</v>
      </c>
      <c r="Q958" s="89">
        <f>IF((N960=""),"",AVERAGE(F960:N960))</f>
        <v>4463.4700000000012</v>
      </c>
      <c r="R958" s="89">
        <f>IF((N959=""),"",(O958-P958)/(O958+P958)*100)</f>
        <v>6.7916625112196778</v>
      </c>
      <c r="S958" s="210">
        <f>STDEV(F960:N960)</f>
        <v>223.33790296320151</v>
      </c>
      <c r="T958" s="23" t="str">
        <f>IF(N959="","",IF(R958&lt;16,IF(Q958&gt;3200,IF(R958,IF(Q958&lt;5240,"Pass","Fail"),"Fail"),"Fail")))</f>
        <v>Pass</v>
      </c>
      <c r="U958" s="220">
        <v>1428</v>
      </c>
      <c r="V958" s="198"/>
      <c r="W958" s="276"/>
      <c r="X958" s="184">
        <v>4200</v>
      </c>
      <c r="Y958" s="184">
        <v>5500</v>
      </c>
      <c r="Z958" s="184">
        <v>3200</v>
      </c>
      <c r="AA958" s="184">
        <v>5240</v>
      </c>
      <c r="AB958" s="57">
        <v>16</v>
      </c>
    </row>
    <row r="959" spans="1:29" x14ac:dyDescent="0.25">
      <c r="A959" s="272"/>
      <c r="B959" s="47"/>
      <c r="C959" s="24"/>
      <c r="D959" s="24"/>
      <c r="E959" s="88" t="s">
        <v>193</v>
      </c>
      <c r="F959" s="33">
        <v>27714.46</v>
      </c>
      <c r="G959" s="33">
        <v>27755.79</v>
      </c>
      <c r="H959" s="33">
        <v>27798.94</v>
      </c>
      <c r="I959" s="33">
        <v>27751.51</v>
      </c>
      <c r="J959" s="33">
        <v>27783.87</v>
      </c>
      <c r="K959" s="33">
        <v>27729.279999999999</v>
      </c>
      <c r="L959" s="33">
        <v>27780.99</v>
      </c>
      <c r="M959" s="33">
        <v>27758</v>
      </c>
      <c r="N959" s="33">
        <v>27711.25</v>
      </c>
      <c r="O959" s="88"/>
      <c r="P959" s="88"/>
      <c r="Q959" s="89"/>
      <c r="R959" s="89"/>
      <c r="S959" s="210"/>
      <c r="T959" s="23"/>
      <c r="U959" s="211"/>
      <c r="V959" s="246"/>
      <c r="W959" s="276"/>
      <c r="X959" s="186"/>
      <c r="Y959" s="186"/>
      <c r="Z959" s="186"/>
      <c r="AA959" s="186"/>
    </row>
    <row r="960" spans="1:29" ht="22.75" thickBot="1" x14ac:dyDescent="0.3">
      <c r="A960" s="272"/>
      <c r="B960" s="90"/>
      <c r="C960" s="91"/>
      <c r="D960" s="91"/>
      <c r="E960" s="92" t="s">
        <v>194</v>
      </c>
      <c r="F960" s="79">
        <f t="shared" ref="F960:N960" si="316">IF(((F958="")*AND(F959="")),"",(F958-F959)*3)</f>
        <v>4818.6000000000022</v>
      </c>
      <c r="G960" s="79">
        <f t="shared" si="316"/>
        <v>4365.4499999999935</v>
      </c>
      <c r="H960" s="79">
        <f t="shared" si="316"/>
        <v>4258.2600000000057</v>
      </c>
      <c r="I960" s="79">
        <f t="shared" si="316"/>
        <v>4334.25</v>
      </c>
      <c r="J960" s="79">
        <f t="shared" si="316"/>
        <v>4575.0900000000074</v>
      </c>
      <c r="K960" s="79">
        <f t="shared" si="316"/>
        <v>4668.6600000000035</v>
      </c>
      <c r="L960" s="79">
        <f t="shared" si="316"/>
        <v>4268.4899999999943</v>
      </c>
      <c r="M960" s="79">
        <f t="shared" si="316"/>
        <v>4205.7000000000044</v>
      </c>
      <c r="N960" s="79">
        <f t="shared" si="316"/>
        <v>4676.7299999999996</v>
      </c>
      <c r="O960" s="92"/>
      <c r="P960" s="92"/>
      <c r="Q960" s="93"/>
      <c r="R960" s="93"/>
      <c r="S960" s="213"/>
      <c r="T960" s="214"/>
      <c r="U960" s="215"/>
      <c r="V960" s="246"/>
      <c r="W960" s="276"/>
      <c r="X960" s="186"/>
      <c r="Y960" s="186"/>
      <c r="Z960" s="186"/>
      <c r="AA960" s="186"/>
    </row>
    <row r="961" spans="1:29" x14ac:dyDescent="0.25">
      <c r="A961" s="271">
        <v>43542</v>
      </c>
      <c r="B961" s="24" t="s">
        <v>172</v>
      </c>
      <c r="C961" s="24" t="s">
        <v>174</v>
      </c>
      <c r="D961" s="24" t="s">
        <v>195</v>
      </c>
      <c r="E961" s="88" t="s">
        <v>192</v>
      </c>
      <c r="F961" s="33">
        <v>1243.99</v>
      </c>
      <c r="G961" s="33">
        <v>1249.5999999999999</v>
      </c>
      <c r="H961" s="33">
        <v>1246.4100000000001</v>
      </c>
      <c r="I961" s="33">
        <v>1251.22</v>
      </c>
      <c r="J961" s="33">
        <v>1267.47</v>
      </c>
      <c r="K961" s="33">
        <v>1255.18</v>
      </c>
      <c r="L961" s="33">
        <v>1257.06</v>
      </c>
      <c r="M961" s="33">
        <v>1240.3699999999999</v>
      </c>
      <c r="N961" s="33">
        <v>1252.73</v>
      </c>
      <c r="O961" s="88">
        <f>IF((N962=""),"",MAX(F963:N963))</f>
        <v>2098.8000000000002</v>
      </c>
      <c r="P961" s="88">
        <f>IF(N962="","",MIN(F963:N963))</f>
        <v>1994.19</v>
      </c>
      <c r="Q961" s="89">
        <f>IF((N963=""),"",AVERAGE(F963:N963))</f>
        <v>2039.3166666666668</v>
      </c>
      <c r="R961" s="89">
        <f>IF((N962=""),"",(O961-P961)/(O961+P961)*100)</f>
        <v>2.5558332661452901</v>
      </c>
      <c r="S961" s="210">
        <f>STDEV(F963:N963)</f>
        <v>41.867272719870364</v>
      </c>
      <c r="T961" s="23" t="str">
        <f>IF(N962="","",IF(Q961&gt;1940,IF(R961&lt;8.3,IF(Q961&lt;2180,"Pass","Fail"),"Fail"),"Fail"))</f>
        <v>Pass</v>
      </c>
      <c r="U961" s="220">
        <v>1428</v>
      </c>
      <c r="V961" s="198"/>
      <c r="W961" s="33"/>
      <c r="X961" s="184">
        <v>2000</v>
      </c>
      <c r="Y961" s="184">
        <v>3000</v>
      </c>
      <c r="Z961" s="184">
        <v>1940</v>
      </c>
      <c r="AA961" s="184">
        <v>2180</v>
      </c>
      <c r="AB961" s="57">
        <v>5.2</v>
      </c>
    </row>
    <row r="962" spans="1:29" x14ac:dyDescent="0.25">
      <c r="A962" s="272"/>
      <c r="B962" s="47"/>
      <c r="C962" s="24"/>
      <c r="D962" s="24"/>
      <c r="E962" s="88" t="s">
        <v>193</v>
      </c>
      <c r="F962" s="33">
        <v>546.57000000000005</v>
      </c>
      <c r="G962" s="33">
        <v>571.66999999999996</v>
      </c>
      <c r="H962" s="33">
        <v>580.55999999999995</v>
      </c>
      <c r="I962" s="33">
        <v>586.49</v>
      </c>
      <c r="J962" s="33">
        <v>574.6</v>
      </c>
      <c r="K962" s="33">
        <v>555.58000000000004</v>
      </c>
      <c r="L962" s="33">
        <v>587.97</v>
      </c>
      <c r="M962" s="33">
        <v>572.32000000000005</v>
      </c>
      <c r="N962" s="33">
        <v>570.32000000000005</v>
      </c>
      <c r="O962" s="88"/>
      <c r="P962" s="88"/>
      <c r="Q962" s="89"/>
      <c r="R962" s="89"/>
      <c r="S962" s="210"/>
      <c r="T962" s="23"/>
      <c r="U962" s="211"/>
      <c r="V962" s="246"/>
      <c r="W962" s="33"/>
      <c r="X962" s="186"/>
      <c r="Y962" s="186"/>
      <c r="Z962" s="186"/>
      <c r="AA962" s="186"/>
    </row>
    <row r="963" spans="1:29" ht="13.3" thickBot="1" x14ac:dyDescent="0.3">
      <c r="A963" s="272"/>
      <c r="B963" s="47"/>
      <c r="C963" s="24"/>
      <c r="D963" s="24"/>
      <c r="E963" s="88" t="s">
        <v>196</v>
      </c>
      <c r="F963" s="66">
        <f t="shared" ref="F963:N963" si="317">IF(((F961="")*AND(F962="")),"",(F961-F962)*3)</f>
        <v>2092.2599999999998</v>
      </c>
      <c r="G963" s="66">
        <f t="shared" si="317"/>
        <v>2033.79</v>
      </c>
      <c r="H963" s="66">
        <f t="shared" si="317"/>
        <v>1997.5500000000004</v>
      </c>
      <c r="I963" s="66">
        <f t="shared" si="317"/>
        <v>1994.19</v>
      </c>
      <c r="J963" s="66">
        <f t="shared" si="317"/>
        <v>2078.61</v>
      </c>
      <c r="K963" s="66">
        <f t="shared" si="317"/>
        <v>2098.8000000000002</v>
      </c>
      <c r="L963" s="66">
        <f t="shared" si="317"/>
        <v>2007.2699999999998</v>
      </c>
      <c r="M963" s="66">
        <f t="shared" si="317"/>
        <v>2004.1499999999996</v>
      </c>
      <c r="N963" s="66">
        <f t="shared" si="317"/>
        <v>2047.23</v>
      </c>
      <c r="O963" s="88"/>
      <c r="P963" s="88"/>
      <c r="Q963" s="89"/>
      <c r="R963" s="89"/>
      <c r="S963" s="210"/>
      <c r="T963" s="23"/>
      <c r="U963" s="211"/>
      <c r="V963" s="246"/>
      <c r="W963" s="33"/>
      <c r="X963" s="186"/>
      <c r="Y963" s="186"/>
      <c r="Z963" s="186"/>
      <c r="AA963" s="186"/>
    </row>
    <row r="964" spans="1:29" x14ac:dyDescent="0.25">
      <c r="A964" s="271">
        <v>43546</v>
      </c>
      <c r="B964" s="63" t="s">
        <v>177</v>
      </c>
      <c r="C964" s="65" t="s">
        <v>179</v>
      </c>
      <c r="D964" s="65" t="s">
        <v>178</v>
      </c>
      <c r="E964" s="67" t="s">
        <v>192</v>
      </c>
      <c r="F964" s="33">
        <v>5064.68</v>
      </c>
      <c r="G964" s="33">
        <v>4964.33</v>
      </c>
      <c r="H964" s="33">
        <v>4971</v>
      </c>
      <c r="I964" s="33">
        <v>4925.88</v>
      </c>
      <c r="J964" s="33">
        <v>4939.6099999999997</v>
      </c>
      <c r="K964" s="33">
        <v>5047.8599999999997</v>
      </c>
      <c r="L964" s="33">
        <v>4948.9399999999996</v>
      </c>
      <c r="M964" s="33">
        <v>4985.42</v>
      </c>
      <c r="N964" s="33">
        <v>4960.91</v>
      </c>
      <c r="O964" s="86">
        <f>IF((N965=""),"",MAX(F966:N966))</f>
        <v>3959.08</v>
      </c>
      <c r="P964" s="86">
        <f>IF(N965="","",MIN(F966:N966))</f>
        <v>3668.38</v>
      </c>
      <c r="Q964" s="87">
        <f>IF((N966=""),"",AVERAGE(F966:N966))</f>
        <v>3851.6000000000004</v>
      </c>
      <c r="R964" s="87">
        <f>IF((N965=""),"",(O964-P964)/(O964+P964)*100)</f>
        <v>3.8112294263096738</v>
      </c>
      <c r="S964" s="181">
        <f>STDEV(F966:N966)</f>
        <v>117.70309596607919</v>
      </c>
      <c r="T964" s="208" t="str">
        <f>IF(N965="","",IF(Q964&gt;3650,IF(R964&lt;7,IF(Q964&lt;4450,"Pass","Fail"),"Fail"),"Fail"))</f>
        <v>Pass</v>
      </c>
      <c r="U964" s="220">
        <v>1428</v>
      </c>
      <c r="V964" s="198"/>
      <c r="W964" s="33"/>
      <c r="X964" s="184">
        <v>3650</v>
      </c>
      <c r="Y964" s="184">
        <v>4450</v>
      </c>
      <c r="Z964" s="184">
        <v>3700</v>
      </c>
      <c r="AA964" s="184">
        <v>4100</v>
      </c>
      <c r="AB964" s="57">
        <v>6.5</v>
      </c>
      <c r="AC964" s="57">
        <v>7</v>
      </c>
    </row>
    <row r="965" spans="1:29" x14ac:dyDescent="0.25">
      <c r="A965" s="272"/>
      <c r="B965" s="47"/>
      <c r="C965" s="24"/>
      <c r="D965" s="24"/>
      <c r="E965" s="88" t="s">
        <v>193</v>
      </c>
      <c r="F965" s="33">
        <v>3173.33</v>
      </c>
      <c r="G965" s="33">
        <v>2995.97</v>
      </c>
      <c r="H965" s="33">
        <v>2991.46</v>
      </c>
      <c r="I965" s="33">
        <v>2956.62</v>
      </c>
      <c r="J965" s="33">
        <v>3044.36</v>
      </c>
      <c r="K965" s="33">
        <v>3199.86</v>
      </c>
      <c r="L965" s="33">
        <v>2981.95</v>
      </c>
      <c r="M965" s="33">
        <v>3006.16</v>
      </c>
      <c r="N965" s="33">
        <v>3126.72</v>
      </c>
      <c r="O965" s="88"/>
      <c r="P965" s="88"/>
      <c r="Q965" s="89"/>
      <c r="R965" s="89"/>
      <c r="S965" s="210"/>
      <c r="T965" s="28"/>
      <c r="U965" s="217"/>
      <c r="V965" s="198"/>
      <c r="W965" s="33"/>
      <c r="X965" s="186"/>
      <c r="Y965" s="186"/>
      <c r="Z965" s="186"/>
      <c r="AA965" s="186"/>
    </row>
    <row r="966" spans="1:29" ht="22.75" thickBot="1" x14ac:dyDescent="0.3">
      <c r="A966" s="272"/>
      <c r="B966" s="47"/>
      <c r="C966" s="24"/>
      <c r="D966" s="24"/>
      <c r="E966" s="88" t="s">
        <v>194</v>
      </c>
      <c r="F966" s="66">
        <f t="shared" ref="F966:N966" si="318">IF(((F964="")*AND(F965="")),"",(F964-F965)*2)</f>
        <v>3782.7000000000007</v>
      </c>
      <c r="G966" s="66">
        <f t="shared" si="318"/>
        <v>3936.7200000000003</v>
      </c>
      <c r="H966" s="66">
        <f t="shared" si="318"/>
        <v>3959.08</v>
      </c>
      <c r="I966" s="66">
        <f t="shared" si="318"/>
        <v>3938.5200000000004</v>
      </c>
      <c r="J966" s="66">
        <f t="shared" si="318"/>
        <v>3790.4999999999991</v>
      </c>
      <c r="K966" s="66">
        <f t="shared" si="318"/>
        <v>3695.9999999999991</v>
      </c>
      <c r="L966" s="66">
        <f t="shared" si="318"/>
        <v>3933.9799999999996</v>
      </c>
      <c r="M966" s="66">
        <f t="shared" si="318"/>
        <v>3958.5200000000004</v>
      </c>
      <c r="N966" s="66">
        <f t="shared" si="318"/>
        <v>3668.38</v>
      </c>
      <c r="O966" s="88"/>
      <c r="P966" s="88"/>
      <c r="Q966" s="89"/>
      <c r="R966" s="89"/>
      <c r="S966" s="210"/>
      <c r="T966" s="28"/>
      <c r="U966" s="217"/>
      <c r="V966" s="198"/>
      <c r="W966" s="33"/>
      <c r="X966" s="186"/>
      <c r="Y966" s="186"/>
      <c r="Z966" s="186"/>
      <c r="AA966" s="186"/>
    </row>
    <row r="967" spans="1:29" x14ac:dyDescent="0.25">
      <c r="A967" s="271">
        <v>43546</v>
      </c>
      <c r="B967" s="24" t="s">
        <v>172</v>
      </c>
      <c r="C967" s="24" t="s">
        <v>174</v>
      </c>
      <c r="D967" s="24" t="s">
        <v>195</v>
      </c>
      <c r="E967" s="88" t="s">
        <v>192</v>
      </c>
      <c r="F967" s="33">
        <v>1981.98</v>
      </c>
      <c r="G967" s="33">
        <v>1978.12</v>
      </c>
      <c r="H967" s="33">
        <v>1975.4</v>
      </c>
      <c r="I967" s="33">
        <v>1976.25</v>
      </c>
      <c r="J967" s="33">
        <v>1975.39</v>
      </c>
      <c r="K967" s="33">
        <v>1977.61</v>
      </c>
      <c r="L967" s="33">
        <v>1972.4</v>
      </c>
      <c r="M967" s="33">
        <v>1976.36</v>
      </c>
      <c r="N967" s="33">
        <v>1986.83</v>
      </c>
      <c r="O967" s="88">
        <f>IF((N968=""),"",MAX(F969:N969))</f>
        <v>2073.54</v>
      </c>
      <c r="P967" s="88">
        <f>IF(N968="","",MIN(F969:N969))</f>
        <v>2028.3000000000004</v>
      </c>
      <c r="Q967" s="89">
        <f>IF((N969=""),"",AVERAGE(F969:N969))</f>
        <v>2054.0166666666669</v>
      </c>
      <c r="R967" s="89">
        <f>IF((N968=""),"",(O967-P967)/(O967+P967)*100)</f>
        <v>1.1029196653209183</v>
      </c>
      <c r="S967" s="210">
        <f>STDEV(F969:N969)</f>
        <v>16.683586245169156</v>
      </c>
      <c r="T967" s="23" t="str">
        <f>IF(N968="","",IF(Q967&gt;1940,IF(R967&lt;8.3,IF(Q967&lt;2180,"Pass","Fail"),"Fail"),"Fail"))</f>
        <v>Pass</v>
      </c>
      <c r="U967" s="220">
        <v>1428</v>
      </c>
      <c r="V967" s="198"/>
      <c r="W967" s="33"/>
      <c r="X967" s="184">
        <v>2000</v>
      </c>
      <c r="Y967" s="184">
        <v>3000</v>
      </c>
      <c r="Z967" s="184">
        <v>1940</v>
      </c>
      <c r="AA967" s="184">
        <v>2180</v>
      </c>
      <c r="AB967" s="57">
        <v>5.2</v>
      </c>
    </row>
    <row r="968" spans="1:29" x14ac:dyDescent="0.25">
      <c r="A968" s="272"/>
      <c r="B968" s="47"/>
      <c r="C968" s="24"/>
      <c r="D968" s="24"/>
      <c r="E968" s="88" t="s">
        <v>193</v>
      </c>
      <c r="F968" s="33">
        <v>1290.8</v>
      </c>
      <c r="G968" s="33">
        <v>1287.58</v>
      </c>
      <c r="H968" s="33">
        <v>1293.5</v>
      </c>
      <c r="I968" s="33">
        <v>1292.1600000000001</v>
      </c>
      <c r="J968" s="33">
        <v>1299.29</v>
      </c>
      <c r="K968" s="33">
        <v>1298.96</v>
      </c>
      <c r="L968" s="33">
        <v>1291.19</v>
      </c>
      <c r="M968" s="33">
        <v>1287.33</v>
      </c>
      <c r="N968" s="33">
        <v>1297.48</v>
      </c>
      <c r="O968" s="88"/>
      <c r="P968" s="88"/>
      <c r="Q968" s="89"/>
      <c r="R968" s="89"/>
      <c r="S968" s="210"/>
      <c r="T968" s="23"/>
      <c r="U968" s="211"/>
      <c r="V968" s="246"/>
      <c r="W968" s="33"/>
      <c r="X968" s="186"/>
      <c r="Y968" s="186"/>
      <c r="Z968" s="186"/>
      <c r="AA968" s="186"/>
    </row>
    <row r="969" spans="1:29" ht="13.3" thickBot="1" x14ac:dyDescent="0.3">
      <c r="A969" s="272"/>
      <c r="B969" s="47"/>
      <c r="C969" s="24"/>
      <c r="D969" s="24"/>
      <c r="E969" s="88" t="s">
        <v>196</v>
      </c>
      <c r="F969" s="66">
        <f t="shared" ref="F969:N969" si="319">IF(((F967="")*AND(F968="")),"",(F967-F968)*3)</f>
        <v>2073.54</v>
      </c>
      <c r="G969" s="66">
        <f t="shared" si="319"/>
        <v>2071.62</v>
      </c>
      <c r="H969" s="66">
        <f t="shared" si="319"/>
        <v>2045.7000000000003</v>
      </c>
      <c r="I969" s="66">
        <f t="shared" si="319"/>
        <v>2052.2699999999995</v>
      </c>
      <c r="J969" s="66">
        <f t="shared" si="319"/>
        <v>2028.3000000000004</v>
      </c>
      <c r="K969" s="66">
        <f t="shared" si="319"/>
        <v>2035.9499999999996</v>
      </c>
      <c r="L969" s="66">
        <f t="shared" si="319"/>
        <v>2043.63</v>
      </c>
      <c r="M969" s="66">
        <f t="shared" si="319"/>
        <v>2067.09</v>
      </c>
      <c r="N969" s="66">
        <f t="shared" si="319"/>
        <v>2068.0499999999997</v>
      </c>
      <c r="O969" s="88"/>
      <c r="P969" s="88"/>
      <c r="Q969" s="89"/>
      <c r="R969" s="89"/>
      <c r="S969" s="210"/>
      <c r="T969" s="23"/>
      <c r="U969" s="211"/>
      <c r="V969" s="246"/>
      <c r="W969" s="33"/>
      <c r="X969" s="186"/>
      <c r="Y969" s="186"/>
      <c r="Z969" s="186"/>
      <c r="AA969" s="186"/>
    </row>
    <row r="970" spans="1:29" x14ac:dyDescent="0.25">
      <c r="A970" s="271">
        <v>43546</v>
      </c>
      <c r="B970" s="47" t="s">
        <v>191</v>
      </c>
      <c r="C970" s="24" t="s">
        <v>176</v>
      </c>
      <c r="D970" s="24" t="s">
        <v>175</v>
      </c>
      <c r="E970" s="88" t="s">
        <v>192</v>
      </c>
      <c r="F970" s="33">
        <v>27640.98</v>
      </c>
      <c r="G970" s="33">
        <v>27679.78</v>
      </c>
      <c r="H970" s="33">
        <v>27688.44</v>
      </c>
      <c r="I970" s="33">
        <v>27691.31</v>
      </c>
      <c r="J970" s="33">
        <v>27664.3</v>
      </c>
      <c r="K970" s="33">
        <v>27665.38</v>
      </c>
      <c r="L970" s="33">
        <v>27698.27</v>
      </c>
      <c r="M970" s="33">
        <v>27648.09</v>
      </c>
      <c r="N970" s="33">
        <v>27623.43</v>
      </c>
      <c r="O970" s="88">
        <f>IF((N971=""),"",MAX(F972:N972))</f>
        <v>4659.6299999999974</v>
      </c>
      <c r="P970" s="88">
        <f>IF(N971="","",MIN(F972:N972))</f>
        <v>3964.0499999999956</v>
      </c>
      <c r="Q970" s="89">
        <f>IF((N972=""),"",AVERAGE(F972:N972))</f>
        <v>4320.2633333333351</v>
      </c>
      <c r="R970" s="89">
        <f>IF((N971=""),"",(O970-P970)/(O970+P970)*100)</f>
        <v>8.0659300901703475</v>
      </c>
      <c r="S970" s="210">
        <f>STDEV(F972:N972)</f>
        <v>243.04051966698819</v>
      </c>
      <c r="T970" s="23" t="str">
        <f>IF(N971="","",IF(R970&lt;16,IF(Q970&gt;3200,IF(R970,IF(Q970&lt;5240,"Pass","Fail"),"Fail"),"Fail")))</f>
        <v>Pass</v>
      </c>
      <c r="U970" s="220">
        <v>1428</v>
      </c>
      <c r="V970" s="198"/>
      <c r="W970" s="33"/>
      <c r="X970" s="184">
        <v>4200</v>
      </c>
      <c r="Y970" s="184">
        <v>5500</v>
      </c>
      <c r="Z970" s="184">
        <v>3200</v>
      </c>
      <c r="AA970" s="184">
        <v>5240</v>
      </c>
      <c r="AB970" s="57">
        <v>16</v>
      </c>
    </row>
    <row r="971" spans="1:29" x14ac:dyDescent="0.25">
      <c r="A971" s="272"/>
      <c r="B971" s="47"/>
      <c r="C971" s="24"/>
      <c r="D971" s="24"/>
      <c r="E971" s="88" t="s">
        <v>193</v>
      </c>
      <c r="F971" s="33">
        <v>26140.75</v>
      </c>
      <c r="G971" s="33">
        <v>26301.439999999999</v>
      </c>
      <c r="H971" s="33">
        <v>26367.09</v>
      </c>
      <c r="I971" s="33">
        <v>26313.19</v>
      </c>
      <c r="J971" s="33">
        <v>26132.48</v>
      </c>
      <c r="K971" s="33">
        <v>26170.87</v>
      </c>
      <c r="L971" s="33">
        <v>26297.64</v>
      </c>
      <c r="M971" s="33">
        <v>26245.51</v>
      </c>
      <c r="N971" s="33">
        <v>26070.22</v>
      </c>
      <c r="O971" s="88"/>
      <c r="P971" s="88"/>
      <c r="Q971" s="89"/>
      <c r="R971" s="89"/>
      <c r="S971" s="210"/>
      <c r="T971" s="23"/>
      <c r="U971" s="211"/>
      <c r="V971" s="246"/>
      <c r="W971" s="33"/>
      <c r="X971" s="186"/>
      <c r="Y971" s="186"/>
      <c r="Z971" s="186"/>
      <c r="AA971" s="186"/>
    </row>
    <row r="972" spans="1:29" ht="22.75" thickBot="1" x14ac:dyDescent="0.3">
      <c r="A972" s="272"/>
      <c r="B972" s="90"/>
      <c r="C972" s="91"/>
      <c r="D972" s="91"/>
      <c r="E972" s="92" t="s">
        <v>194</v>
      </c>
      <c r="F972" s="79">
        <f t="shared" ref="F972:N972" si="320">IF(((F970="")*AND(F971="")),"",(F970-F971)*3)</f>
        <v>4500.6899999999987</v>
      </c>
      <c r="G972" s="79">
        <f t="shared" si="320"/>
        <v>4135.0200000000004</v>
      </c>
      <c r="H972" s="79">
        <f t="shared" si="320"/>
        <v>3964.0499999999956</v>
      </c>
      <c r="I972" s="79">
        <f t="shared" si="320"/>
        <v>4134.3600000000079</v>
      </c>
      <c r="J972" s="79">
        <f t="shared" si="320"/>
        <v>4595.4599999999991</v>
      </c>
      <c r="K972" s="79">
        <f t="shared" si="320"/>
        <v>4483.5300000000061</v>
      </c>
      <c r="L972" s="79">
        <f t="shared" si="320"/>
        <v>4201.8900000000031</v>
      </c>
      <c r="M972" s="79">
        <f t="shared" si="320"/>
        <v>4207.7400000000052</v>
      </c>
      <c r="N972" s="79">
        <f t="shared" si="320"/>
        <v>4659.6299999999974</v>
      </c>
      <c r="O972" s="92"/>
      <c r="P972" s="92"/>
      <c r="Q972" s="93"/>
      <c r="R972" s="93"/>
      <c r="S972" s="213"/>
      <c r="T972" s="214"/>
      <c r="U972" s="215"/>
      <c r="V972" s="246"/>
      <c r="W972" s="33"/>
      <c r="X972" s="186"/>
      <c r="Y972" s="186"/>
      <c r="Z972" s="186"/>
      <c r="AA972" s="186"/>
    </row>
    <row r="973" spans="1:29" x14ac:dyDescent="0.25">
      <c r="A973" s="271">
        <v>43549</v>
      </c>
      <c r="B973" s="63" t="s">
        <v>177</v>
      </c>
      <c r="C973" s="65" t="s">
        <v>179</v>
      </c>
      <c r="D973" s="65" t="s">
        <v>178</v>
      </c>
      <c r="E973" s="67" t="s">
        <v>192</v>
      </c>
      <c r="F973" s="33">
        <v>3185.74</v>
      </c>
      <c r="G973" s="33">
        <v>3008.39</v>
      </c>
      <c r="H973" s="33">
        <v>3003.78</v>
      </c>
      <c r="I973" s="33">
        <v>2966.22</v>
      </c>
      <c r="J973" s="33">
        <v>3053.3</v>
      </c>
      <c r="K973" s="33">
        <v>3208.26</v>
      </c>
      <c r="L973" s="33">
        <v>2993.3</v>
      </c>
      <c r="M973" s="33">
        <v>3017.06</v>
      </c>
      <c r="N973" s="33">
        <v>3135.22</v>
      </c>
      <c r="O973" s="86">
        <f>IF((N974=""),"",MAX(F975:N975))</f>
        <v>3976.2</v>
      </c>
      <c r="P973" s="86">
        <f>IF(N974="","",MIN(F975:N975))</f>
        <v>3719.1400000000003</v>
      </c>
      <c r="Q973" s="87">
        <f>IF((N975=""),"",AVERAGE(F975:N975))</f>
        <v>3889.6022222222218</v>
      </c>
      <c r="R973" s="87">
        <f>IF((N974=""),"",(O973-P973)/(O973+P973)*100)</f>
        <v>3.3404631894107277</v>
      </c>
      <c r="S973" s="181">
        <f>STDEV(F975:N975)</f>
        <v>91.843680481807951</v>
      </c>
      <c r="T973" s="208" t="str">
        <f>IF(N974="","",IF(Q973&gt;3650,IF(R973&lt;7,IF(Q973&lt;4450,"Pass","Fail"),"Fail"),"Fail"))</f>
        <v>Pass</v>
      </c>
      <c r="U973" s="220">
        <v>102</v>
      </c>
      <c r="V973" s="198"/>
      <c r="W973" s="253" t="s">
        <v>161</v>
      </c>
      <c r="X973" s="184">
        <v>3650</v>
      </c>
      <c r="Y973" s="184">
        <v>4450</v>
      </c>
      <c r="Z973" s="184">
        <v>3700</v>
      </c>
      <c r="AA973" s="184">
        <v>4100</v>
      </c>
      <c r="AB973" s="57">
        <v>6.5</v>
      </c>
      <c r="AC973" s="57">
        <v>7</v>
      </c>
    </row>
    <row r="974" spans="1:29" x14ac:dyDescent="0.25">
      <c r="A974" s="272"/>
      <c r="B974" s="47"/>
      <c r="C974" s="24"/>
      <c r="D974" s="24"/>
      <c r="E974" s="88" t="s">
        <v>193</v>
      </c>
      <c r="F974" s="33">
        <v>1273.6400000000001</v>
      </c>
      <c r="G974" s="33">
        <v>1030.3900000000001</v>
      </c>
      <c r="H974" s="33">
        <v>1017.48</v>
      </c>
      <c r="I974" s="33">
        <v>993.83</v>
      </c>
      <c r="J974" s="33">
        <v>1158.23</v>
      </c>
      <c r="K974" s="33">
        <v>1348.69</v>
      </c>
      <c r="L974" s="33">
        <v>1024.05</v>
      </c>
      <c r="M974" s="33">
        <v>1028.96</v>
      </c>
      <c r="N974" s="33">
        <v>1192.79</v>
      </c>
      <c r="O974" s="88"/>
      <c r="P974" s="88"/>
      <c r="Q974" s="89"/>
      <c r="R974" s="89"/>
      <c r="S974" s="210"/>
      <c r="T974" s="28"/>
      <c r="U974" s="217"/>
      <c r="V974" s="198"/>
      <c r="W974" s="253"/>
      <c r="X974" s="186"/>
      <c r="Y974" s="186"/>
      <c r="Z974" s="186"/>
      <c r="AA974" s="186"/>
    </row>
    <row r="975" spans="1:29" ht="22.75" thickBot="1" x14ac:dyDescent="0.3">
      <c r="A975" s="272"/>
      <c r="B975" s="47"/>
      <c r="C975" s="24"/>
      <c r="D975" s="24"/>
      <c r="E975" s="88" t="s">
        <v>194</v>
      </c>
      <c r="F975" s="66">
        <f t="shared" ref="F975:N975" si="321">IF(((F973="")*AND(F974="")),"",(F973-F974)*2)</f>
        <v>3824.1999999999994</v>
      </c>
      <c r="G975" s="66">
        <f t="shared" si="321"/>
        <v>3955.9999999999995</v>
      </c>
      <c r="H975" s="66">
        <f t="shared" si="321"/>
        <v>3972.6000000000004</v>
      </c>
      <c r="I975" s="66">
        <f t="shared" si="321"/>
        <v>3944.7799999999997</v>
      </c>
      <c r="J975" s="66">
        <f t="shared" si="321"/>
        <v>3790.1400000000003</v>
      </c>
      <c r="K975" s="66">
        <f t="shared" si="321"/>
        <v>3719.1400000000003</v>
      </c>
      <c r="L975" s="66">
        <f t="shared" si="321"/>
        <v>3938.5000000000005</v>
      </c>
      <c r="M975" s="66">
        <f t="shared" si="321"/>
        <v>3976.2</v>
      </c>
      <c r="N975" s="66">
        <f t="shared" si="321"/>
        <v>3884.8599999999997</v>
      </c>
      <c r="O975" s="88"/>
      <c r="P975" s="88"/>
      <c r="Q975" s="89"/>
      <c r="R975" s="89"/>
      <c r="S975" s="210"/>
      <c r="T975" s="28"/>
      <c r="U975" s="217"/>
      <c r="V975" s="198"/>
      <c r="W975" s="253"/>
      <c r="X975" s="186"/>
      <c r="Y975" s="186"/>
      <c r="Z975" s="186"/>
      <c r="AA975" s="186"/>
    </row>
    <row r="976" spans="1:29" x14ac:dyDescent="0.25">
      <c r="A976" s="271">
        <v>43549</v>
      </c>
      <c r="B976" s="24" t="s">
        <v>172</v>
      </c>
      <c r="C976" s="24" t="s">
        <v>174</v>
      </c>
      <c r="D976" s="24" t="s">
        <v>195</v>
      </c>
      <c r="E976" s="88" t="s">
        <v>192</v>
      </c>
      <c r="F976" s="33">
        <v>1293.55</v>
      </c>
      <c r="G976" s="33">
        <v>1289.58</v>
      </c>
      <c r="H976" s="33">
        <v>1295.52</v>
      </c>
      <c r="I976" s="33">
        <v>1293.23</v>
      </c>
      <c r="J976" s="33">
        <v>1299.3699999999999</v>
      </c>
      <c r="K976" s="33">
        <v>1299.7</v>
      </c>
      <c r="L976" s="33">
        <v>1292.26</v>
      </c>
      <c r="M976" s="33">
        <v>1290.6400000000001</v>
      </c>
      <c r="N976" s="33">
        <v>1302.33</v>
      </c>
      <c r="O976" s="88">
        <f>IF((N977=""),"",MAX(F978:N978))</f>
        <v>2038.3800000000006</v>
      </c>
      <c r="P976" s="88">
        <f>IF(N977="","",MIN(F978:N978))</f>
        <v>1993.7399999999998</v>
      </c>
      <c r="Q976" s="89">
        <f>IF((N978=""),"",AVERAGE(F978:N978))</f>
        <v>2019.49</v>
      </c>
      <c r="R976" s="89">
        <f>IF((N977=""),"",(O976-P976)/(O976+P976)*100)</f>
        <v>1.10710990744325</v>
      </c>
      <c r="S976" s="210">
        <f>STDEV(F978:N978)</f>
        <v>15.576913205125297</v>
      </c>
      <c r="T976" s="23" t="str">
        <f>IF(N977="","",IF(Q976&gt;1940,IF(R976&lt;8.3,IF(Q976&lt;2180,"Pass","Fail"),"Fail"),"Fail"))</f>
        <v>Pass</v>
      </c>
      <c r="U976" s="220">
        <v>102</v>
      </c>
      <c r="V976" s="198"/>
      <c r="W976" s="253" t="s">
        <v>161</v>
      </c>
      <c r="X976" s="184">
        <v>2000</v>
      </c>
      <c r="Y976" s="184">
        <v>3000</v>
      </c>
      <c r="Z976" s="184">
        <v>1940</v>
      </c>
      <c r="AA976" s="184">
        <v>2180</v>
      </c>
      <c r="AB976" s="57">
        <v>5.2</v>
      </c>
    </row>
    <row r="977" spans="1:29" x14ac:dyDescent="0.25">
      <c r="A977" s="272"/>
      <c r="B977" s="47"/>
      <c r="C977" s="24"/>
      <c r="D977" s="24"/>
      <c r="E977" s="88" t="s">
        <v>193</v>
      </c>
      <c r="F977" s="33">
        <v>618.62</v>
      </c>
      <c r="G977" s="33">
        <v>613.91999999999996</v>
      </c>
      <c r="H977" s="33">
        <v>619.54</v>
      </c>
      <c r="I977" s="33">
        <v>616</v>
      </c>
      <c r="J977" s="33">
        <v>634.46</v>
      </c>
      <c r="K977" s="33">
        <v>627.17999999999995</v>
      </c>
      <c r="L977" s="33">
        <v>619.05999999999995</v>
      </c>
      <c r="M977" s="33">
        <v>611.17999999999995</v>
      </c>
      <c r="N977" s="33">
        <v>637.75</v>
      </c>
      <c r="O977" s="88"/>
      <c r="P977" s="88"/>
      <c r="Q977" s="89"/>
      <c r="R977" s="89"/>
      <c r="S977" s="210"/>
      <c r="T977" s="23"/>
      <c r="U977" s="211"/>
      <c r="V977" s="246"/>
      <c r="W977" s="253"/>
      <c r="X977" s="186"/>
      <c r="Y977" s="186"/>
      <c r="Z977" s="186"/>
      <c r="AA977" s="186"/>
    </row>
    <row r="978" spans="1:29" ht="13.3" thickBot="1" x14ac:dyDescent="0.3">
      <c r="A978" s="272"/>
      <c r="B978" s="47"/>
      <c r="C978" s="24"/>
      <c r="D978" s="24"/>
      <c r="E978" s="88" t="s">
        <v>196</v>
      </c>
      <c r="F978" s="66">
        <f t="shared" ref="F978:N978" si="322">IF(((F976="")*AND(F977="")),"",(F976-F977)*3)</f>
        <v>2024.79</v>
      </c>
      <c r="G978" s="66">
        <f t="shared" si="322"/>
        <v>2026.98</v>
      </c>
      <c r="H978" s="66">
        <f t="shared" si="322"/>
        <v>2027.94</v>
      </c>
      <c r="I978" s="66">
        <f t="shared" si="322"/>
        <v>2031.69</v>
      </c>
      <c r="J978" s="66">
        <f t="shared" si="322"/>
        <v>1994.7299999999996</v>
      </c>
      <c r="K978" s="66">
        <f t="shared" si="322"/>
        <v>2017.5600000000004</v>
      </c>
      <c r="L978" s="66">
        <f t="shared" si="322"/>
        <v>2019.6000000000001</v>
      </c>
      <c r="M978" s="66">
        <f t="shared" si="322"/>
        <v>2038.3800000000006</v>
      </c>
      <c r="N978" s="66">
        <f t="shared" si="322"/>
        <v>1993.7399999999998</v>
      </c>
      <c r="O978" s="88"/>
      <c r="P978" s="88"/>
      <c r="Q978" s="89"/>
      <c r="R978" s="89"/>
      <c r="S978" s="210"/>
      <c r="T978" s="23"/>
      <c r="U978" s="211"/>
      <c r="V978" s="246"/>
      <c r="W978" s="253"/>
      <c r="X978" s="186"/>
      <c r="Y978" s="186"/>
      <c r="Z978" s="186"/>
      <c r="AA978" s="186"/>
    </row>
    <row r="979" spans="1:29" x14ac:dyDescent="0.25">
      <c r="A979" s="271">
        <v>43549</v>
      </c>
      <c r="B979" s="47" t="s">
        <v>191</v>
      </c>
      <c r="C979" s="24" t="s">
        <v>176</v>
      </c>
      <c r="D979" s="24" t="s">
        <v>175</v>
      </c>
      <c r="E979" s="88" t="s">
        <v>192</v>
      </c>
      <c r="F979" s="33">
        <v>26073.18</v>
      </c>
      <c r="G979" s="33">
        <v>26212.59</v>
      </c>
      <c r="H979" s="33">
        <v>26300.21</v>
      </c>
      <c r="I979" s="33">
        <v>26233.040000000001</v>
      </c>
      <c r="J979" s="33">
        <v>26063.62</v>
      </c>
      <c r="K979" s="33">
        <v>26102.5</v>
      </c>
      <c r="L979" s="33">
        <v>26238.04</v>
      </c>
      <c r="M979" s="33">
        <v>26195.11</v>
      </c>
      <c r="N979" s="33">
        <v>26031.26</v>
      </c>
      <c r="O979" s="88">
        <f>IF((N980=""),"",MAX(F981:N981))</f>
        <v>4901.7299999999996</v>
      </c>
      <c r="P979" s="88">
        <f>IF(N980="","",MIN(F981:N981))</f>
        <v>4202.0400000000009</v>
      </c>
      <c r="Q979" s="89">
        <f>IF((N981=""),"",AVERAGE(F981:N981))</f>
        <v>4519.6266666666652</v>
      </c>
      <c r="R979" s="89">
        <f>IF((N980=""),"",(O979-P979)/(O979+P979)*100)</f>
        <v>7.6857170161372554</v>
      </c>
      <c r="S979" s="210">
        <f>STDEV(F981:N981)</f>
        <v>226.24944226450572</v>
      </c>
      <c r="T979" s="23" t="str">
        <f>IF(N980="","",IF(R979&lt;16,IF(Q979&gt;3200,IF(R979,IF(Q979&lt;5240,"Pass","Fail"),"Fail"),"Fail")))</f>
        <v>Pass</v>
      </c>
      <c r="U979" s="220">
        <v>102</v>
      </c>
      <c r="V979" s="198"/>
      <c r="W979" s="253" t="s">
        <v>161</v>
      </c>
      <c r="X979" s="184">
        <v>4200</v>
      </c>
      <c r="Y979" s="184">
        <v>5500</v>
      </c>
      <c r="Z979" s="184">
        <v>3200</v>
      </c>
      <c r="AA979" s="184">
        <v>5240</v>
      </c>
      <c r="AB979" s="57">
        <v>16</v>
      </c>
    </row>
    <row r="980" spans="1:29" x14ac:dyDescent="0.25">
      <c r="A980" s="272"/>
      <c r="B980" s="47"/>
      <c r="C980" s="24"/>
      <c r="D980" s="24"/>
      <c r="E980" s="88" t="s">
        <v>193</v>
      </c>
      <c r="F980" s="33">
        <v>24496.73</v>
      </c>
      <c r="G980" s="33">
        <v>24737.360000000001</v>
      </c>
      <c r="H980" s="33">
        <v>24846.54</v>
      </c>
      <c r="I980" s="33">
        <v>24782.95</v>
      </c>
      <c r="J980" s="33">
        <v>24488.720000000001</v>
      </c>
      <c r="K980" s="33">
        <v>24579.39</v>
      </c>
      <c r="L980" s="33">
        <v>24837.360000000001</v>
      </c>
      <c r="M980" s="33">
        <v>24724.27</v>
      </c>
      <c r="N980" s="33">
        <v>24397.35</v>
      </c>
      <c r="O980" s="33"/>
      <c r="P980" s="88"/>
      <c r="Q980" s="89"/>
      <c r="R980" s="89"/>
      <c r="S980" s="210"/>
      <c r="T980" s="23"/>
      <c r="U980" s="211"/>
      <c r="V980" s="246"/>
      <c r="W980" s="253"/>
      <c r="X980" s="186"/>
      <c r="Y980" s="186"/>
      <c r="Z980" s="186"/>
      <c r="AA980" s="186"/>
    </row>
    <row r="981" spans="1:29" ht="22.75" thickBot="1" x14ac:dyDescent="0.3">
      <c r="A981" s="272"/>
      <c r="B981" s="90"/>
      <c r="C981" s="91"/>
      <c r="D981" s="91"/>
      <c r="E981" s="92" t="s">
        <v>194</v>
      </c>
      <c r="F981" s="79">
        <f t="shared" ref="F981:N981" si="323">IF(((F979="")*AND(F980="")),"",(F979-F980)*3)</f>
        <v>4729.3500000000022</v>
      </c>
      <c r="G981" s="79">
        <f t="shared" si="323"/>
        <v>4425.6899999999987</v>
      </c>
      <c r="H981" s="79">
        <f t="shared" si="323"/>
        <v>4361.0099999999948</v>
      </c>
      <c r="I981" s="79">
        <f t="shared" si="323"/>
        <v>4350.2700000000004</v>
      </c>
      <c r="J981" s="79">
        <f t="shared" si="323"/>
        <v>4724.6999999999935</v>
      </c>
      <c r="K981" s="79">
        <f t="shared" si="323"/>
        <v>4569.3300000000017</v>
      </c>
      <c r="L981" s="79">
        <f t="shared" si="323"/>
        <v>4202.0400000000009</v>
      </c>
      <c r="M981" s="79">
        <f t="shared" si="323"/>
        <v>4412.5200000000004</v>
      </c>
      <c r="N981" s="79">
        <f t="shared" si="323"/>
        <v>4901.7299999999996</v>
      </c>
      <c r="O981" s="92"/>
      <c r="P981" s="92"/>
      <c r="Q981" s="93"/>
      <c r="R981" s="93"/>
      <c r="S981" s="213"/>
      <c r="T981" s="214"/>
      <c r="U981" s="215"/>
      <c r="V981" s="246"/>
      <c r="W981" s="253"/>
      <c r="X981" s="186"/>
      <c r="Y981" s="186"/>
      <c r="Z981" s="186"/>
      <c r="AA981" s="186"/>
    </row>
    <row r="982" spans="1:29" x14ac:dyDescent="0.25">
      <c r="A982" s="271">
        <v>43552</v>
      </c>
      <c r="B982" s="63" t="s">
        <v>177</v>
      </c>
      <c r="C982" s="65" t="s">
        <v>179</v>
      </c>
      <c r="D982" s="65" t="s">
        <v>178</v>
      </c>
      <c r="E982" s="67" t="s">
        <v>192</v>
      </c>
      <c r="F982" s="33">
        <v>6955.91</v>
      </c>
      <c r="G982" s="33">
        <v>6914.94</v>
      </c>
      <c r="H982" s="33">
        <v>6932.83</v>
      </c>
      <c r="I982" s="33">
        <v>6887.4</v>
      </c>
      <c r="J982" s="33">
        <v>6853.48</v>
      </c>
      <c r="K982" s="33">
        <v>6929.08</v>
      </c>
      <c r="L982" s="33">
        <v>6910.03</v>
      </c>
      <c r="M982" s="33">
        <v>6945.56</v>
      </c>
      <c r="N982" s="33">
        <v>6984.13</v>
      </c>
      <c r="O982" s="86">
        <f>IF((N983=""),"",MAX(F984:N984))</f>
        <v>3916.3200000000015</v>
      </c>
      <c r="P982" s="86">
        <f>IF(N983="","",MIN(F984:N984))</f>
        <v>3645.42</v>
      </c>
      <c r="Q982" s="87">
        <f>IF((N984=""),"",AVERAGE(F984:N984))</f>
        <v>3822.2533333333331</v>
      </c>
      <c r="R982" s="87">
        <f>IF((N983=""),"",(O982-P982)/(O982+P982)*100)</f>
        <v>3.5825087876600015</v>
      </c>
      <c r="S982" s="181">
        <f>STDEV(F984:N984)</f>
        <v>97.834542468394019</v>
      </c>
      <c r="T982" s="208" t="str">
        <f>IF(N983="","",IF(Q982&gt;3650,IF(R982&lt;7,IF(Q982&lt;4450,"Pass","Fail"),"Fail"),"Fail"))</f>
        <v>Pass</v>
      </c>
      <c r="U982" s="220">
        <v>121</v>
      </c>
      <c r="V982" s="198"/>
      <c r="W982" s="33"/>
      <c r="X982" s="184">
        <v>3650</v>
      </c>
      <c r="Y982" s="184">
        <v>4450</v>
      </c>
      <c r="Z982" s="184">
        <v>3700</v>
      </c>
      <c r="AA982" s="184">
        <v>4100</v>
      </c>
      <c r="AB982" s="57">
        <v>6.5</v>
      </c>
      <c r="AC982" s="57">
        <v>7</v>
      </c>
    </row>
    <row r="983" spans="1:29" x14ac:dyDescent="0.25">
      <c r="A983" s="272"/>
      <c r="B983" s="47"/>
      <c r="C983" s="24"/>
      <c r="D983" s="24"/>
      <c r="E983" s="88" t="s">
        <v>193</v>
      </c>
      <c r="F983" s="33">
        <v>5095.32</v>
      </c>
      <c r="G983" s="33">
        <v>4974.83</v>
      </c>
      <c r="H983" s="33">
        <v>4977.04</v>
      </c>
      <c r="I983" s="33">
        <v>4943.42</v>
      </c>
      <c r="J983" s="33">
        <v>4985.07</v>
      </c>
      <c r="K983" s="33">
        <v>5106.37</v>
      </c>
      <c r="L983" s="33">
        <v>4970.26</v>
      </c>
      <c r="M983" s="33">
        <v>4987.3999999999996</v>
      </c>
      <c r="N983" s="33">
        <v>5073.51</v>
      </c>
      <c r="O983" s="88"/>
      <c r="P983" s="88"/>
      <c r="Q983" s="89"/>
      <c r="R983" s="89"/>
      <c r="S983" s="210"/>
      <c r="T983" s="28"/>
      <c r="U983" s="217"/>
      <c r="V983" s="198"/>
      <c r="W983" s="33"/>
      <c r="X983" s="186"/>
      <c r="Y983" s="186"/>
      <c r="Z983" s="186"/>
      <c r="AA983" s="186"/>
    </row>
    <row r="984" spans="1:29" ht="22.75" thickBot="1" x14ac:dyDescent="0.3">
      <c r="A984" s="272"/>
      <c r="B984" s="47"/>
      <c r="C984" s="24"/>
      <c r="D984" s="24"/>
      <c r="E984" s="88" t="s">
        <v>194</v>
      </c>
      <c r="F984" s="66">
        <f t="shared" ref="F984:N984" si="324">IF(((F982="")*AND(F983="")),"",(F982-F983)*2)</f>
        <v>3721.1800000000003</v>
      </c>
      <c r="G984" s="66">
        <f t="shared" si="324"/>
        <v>3880.2199999999993</v>
      </c>
      <c r="H984" s="66">
        <f t="shared" si="324"/>
        <v>3911.58</v>
      </c>
      <c r="I984" s="66">
        <f t="shared" si="324"/>
        <v>3887.9599999999991</v>
      </c>
      <c r="J984" s="66">
        <f t="shared" si="324"/>
        <v>3736.8199999999997</v>
      </c>
      <c r="K984" s="66">
        <f t="shared" si="324"/>
        <v>3645.42</v>
      </c>
      <c r="L984" s="66">
        <f t="shared" si="324"/>
        <v>3879.5399999999991</v>
      </c>
      <c r="M984" s="66">
        <f t="shared" si="324"/>
        <v>3916.3200000000015</v>
      </c>
      <c r="N984" s="66">
        <f t="shared" si="324"/>
        <v>3821.24</v>
      </c>
      <c r="O984" s="88"/>
      <c r="P984" s="88"/>
      <c r="Q984" s="89"/>
      <c r="R984" s="89"/>
      <c r="S984" s="210"/>
      <c r="T984" s="28"/>
      <c r="U984" s="217"/>
      <c r="V984" s="198"/>
      <c r="W984" s="33"/>
      <c r="X984" s="186"/>
      <c r="Y984" s="186"/>
      <c r="Z984" s="186"/>
      <c r="AA984" s="186"/>
    </row>
    <row r="985" spans="1:29" x14ac:dyDescent="0.25">
      <c r="A985" s="271">
        <v>43552</v>
      </c>
      <c r="B985" s="24" t="s">
        <v>172</v>
      </c>
      <c r="C985" s="24" t="s">
        <v>174</v>
      </c>
      <c r="D985" s="24" t="s">
        <v>195</v>
      </c>
      <c r="E985" s="88" t="s">
        <v>192</v>
      </c>
      <c r="F985" s="33">
        <v>2016.99</v>
      </c>
      <c r="G985" s="33">
        <v>2013.65</v>
      </c>
      <c r="H985" s="33">
        <v>2000.25</v>
      </c>
      <c r="I985" s="33">
        <v>2008.73</v>
      </c>
      <c r="J985" s="33">
        <v>2016.28</v>
      </c>
      <c r="K985" s="33">
        <v>2019.05</v>
      </c>
      <c r="L985" s="33">
        <v>2003.13</v>
      </c>
      <c r="M985" s="33">
        <v>2006.5</v>
      </c>
      <c r="N985" s="33">
        <v>2024.56</v>
      </c>
      <c r="O985" s="88">
        <f>IF((N986=""),"",MAX(F987:N987))</f>
        <v>2130.2400000000007</v>
      </c>
      <c r="P985" s="88">
        <f>IF(N986="","",MIN(F987:N987))</f>
        <v>2080.2600000000002</v>
      </c>
      <c r="Q985" s="89">
        <f>IF((N987=""),"",AVERAGE(F987:N987))</f>
        <v>2103.8166666666671</v>
      </c>
      <c r="R985" s="89">
        <f>IF((N986=""),"",(O985-P985)/(O985+P985)*100)</f>
        <v>1.1870324189526293</v>
      </c>
      <c r="S985" s="210">
        <f>STDEV(F987:N987)</f>
        <v>17.091878188192211</v>
      </c>
      <c r="T985" s="23" t="str">
        <f>IF(N986="","",IF(Q985&gt;1940,IF(R985&lt;8.3,IF(Q985&lt;2180,"Pass","Fail"),"Fail"),"Fail"))</f>
        <v>Pass</v>
      </c>
      <c r="U985" s="220">
        <v>121</v>
      </c>
      <c r="V985" s="198"/>
      <c r="W985" s="33"/>
      <c r="X985" s="184">
        <v>2000</v>
      </c>
      <c r="Y985" s="184">
        <v>3000</v>
      </c>
      <c r="Z985" s="184">
        <v>1940</v>
      </c>
      <c r="AA985" s="184">
        <v>2180</v>
      </c>
      <c r="AB985" s="57">
        <v>5.2</v>
      </c>
    </row>
    <row r="986" spans="1:29" x14ac:dyDescent="0.25">
      <c r="A986" s="272"/>
      <c r="B986" s="47"/>
      <c r="C986" s="24"/>
      <c r="D986" s="24"/>
      <c r="E986" s="88" t="s">
        <v>193</v>
      </c>
      <c r="F986" s="33">
        <v>1313.24</v>
      </c>
      <c r="G986" s="33">
        <v>1303.57</v>
      </c>
      <c r="H986" s="33">
        <v>1299.48</v>
      </c>
      <c r="I986" s="33">
        <v>1308.1600000000001</v>
      </c>
      <c r="J986" s="33">
        <v>1322.86</v>
      </c>
      <c r="K986" s="33">
        <v>1321.63</v>
      </c>
      <c r="L986" s="33">
        <v>1309.18</v>
      </c>
      <c r="M986" s="33">
        <v>1299.1600000000001</v>
      </c>
      <c r="N986" s="33">
        <v>1320.41</v>
      </c>
      <c r="O986" s="88"/>
      <c r="P986" s="88"/>
      <c r="Q986" s="89"/>
      <c r="R986" s="89"/>
      <c r="S986" s="210"/>
      <c r="T986" s="23"/>
      <c r="U986" s="211"/>
      <c r="V986" s="246"/>
      <c r="W986" s="33"/>
      <c r="X986" s="186"/>
      <c r="Y986" s="186"/>
      <c r="Z986" s="186"/>
      <c r="AA986" s="186"/>
    </row>
    <row r="987" spans="1:29" ht="13.3" thickBot="1" x14ac:dyDescent="0.3">
      <c r="A987" s="272"/>
      <c r="B987" s="47"/>
      <c r="C987" s="24"/>
      <c r="D987" s="24"/>
      <c r="E987" s="88" t="s">
        <v>196</v>
      </c>
      <c r="F987" s="66">
        <f t="shared" ref="F987:N987" si="325">IF(((F985="")*AND(F986="")),"",(F985-F986)*3)</f>
        <v>2111.25</v>
      </c>
      <c r="G987" s="66">
        <f t="shared" si="325"/>
        <v>2130.2400000000007</v>
      </c>
      <c r="H987" s="66">
        <f t="shared" si="325"/>
        <v>2102.31</v>
      </c>
      <c r="I987" s="66">
        <f t="shared" si="325"/>
        <v>2101.71</v>
      </c>
      <c r="J987" s="66">
        <f t="shared" si="325"/>
        <v>2080.2600000000002</v>
      </c>
      <c r="K987" s="66">
        <f t="shared" si="325"/>
        <v>2092.2599999999993</v>
      </c>
      <c r="L987" s="66">
        <f t="shared" si="325"/>
        <v>2081.8500000000004</v>
      </c>
      <c r="M987" s="66">
        <f t="shared" si="325"/>
        <v>2122.0199999999995</v>
      </c>
      <c r="N987" s="66">
        <f t="shared" si="325"/>
        <v>2112.4499999999998</v>
      </c>
      <c r="O987" s="88"/>
      <c r="P987" s="88"/>
      <c r="Q987" s="89"/>
      <c r="R987" s="89"/>
      <c r="S987" s="210"/>
      <c r="T987" s="23"/>
      <c r="U987" s="211"/>
      <c r="V987" s="246"/>
      <c r="W987" s="33"/>
      <c r="X987" s="186"/>
      <c r="Y987" s="186"/>
      <c r="Z987" s="186"/>
      <c r="AA987" s="186"/>
    </row>
    <row r="988" spans="1:29" x14ac:dyDescent="0.25">
      <c r="A988" s="271">
        <v>43552</v>
      </c>
      <c r="B988" s="47" t="s">
        <v>191</v>
      </c>
      <c r="C988" s="24" t="s">
        <v>176</v>
      </c>
      <c r="D988" s="24" t="s">
        <v>175</v>
      </c>
      <c r="E988" s="88" t="s">
        <v>192</v>
      </c>
      <c r="F988" s="33">
        <v>24416.3</v>
      </c>
      <c r="G988" s="33">
        <v>24682.66</v>
      </c>
      <c r="H988" s="33">
        <v>24818.03</v>
      </c>
      <c r="I988" s="33">
        <v>24720.61</v>
      </c>
      <c r="J988" s="33">
        <v>24418.87</v>
      </c>
      <c r="K988" s="33">
        <v>24492.03</v>
      </c>
      <c r="L988" s="33">
        <v>24745.56</v>
      </c>
      <c r="M988" s="33">
        <v>24685.74</v>
      </c>
      <c r="N988" s="33">
        <v>24347.29</v>
      </c>
      <c r="O988" s="88">
        <f>IF((N989=""),"",MAX(F990:N990))</f>
        <v>5149.5600000000013</v>
      </c>
      <c r="P988" s="88">
        <f>IF(N989="","",MIN(F990:N990))</f>
        <v>4201.3500000000022</v>
      </c>
      <c r="Q988" s="89">
        <f>IF((N990=""),"",AVERAGE(F990:N990))</f>
        <v>4547.7533333333331</v>
      </c>
      <c r="R988" s="89">
        <f>IF((N989=""),"",(O988-P988)/(O988+P988)*100)</f>
        <v>10.140296505901551</v>
      </c>
      <c r="S988" s="210">
        <f>STDEV(F990:N990)</f>
        <v>301.57438999358044</v>
      </c>
      <c r="T988" s="23" t="str">
        <f>IF(N989="","",IF(R988&lt;16,IF(Q988&gt;3200,IF(R988,IF(Q988&lt;5240,"Pass","Fail"),"Fail"),"Fail")))</f>
        <v>Pass</v>
      </c>
      <c r="U988" s="220">
        <v>121</v>
      </c>
      <c r="V988" s="198"/>
      <c r="W988" s="33"/>
      <c r="X988" s="184">
        <v>4200</v>
      </c>
      <c r="Y988" s="184">
        <v>5500</v>
      </c>
      <c r="Z988" s="184">
        <v>3200</v>
      </c>
      <c r="AA988" s="184">
        <v>5240</v>
      </c>
      <c r="AB988" s="57">
        <v>16</v>
      </c>
    </row>
    <row r="989" spans="1:29" x14ac:dyDescent="0.25">
      <c r="A989" s="272"/>
      <c r="B989" s="47"/>
      <c r="C989" s="24"/>
      <c r="D989" s="24"/>
      <c r="E989" s="88" t="s">
        <v>193</v>
      </c>
      <c r="F989" s="33">
        <v>22806.639999999999</v>
      </c>
      <c r="G989" s="33">
        <v>23282.21</v>
      </c>
      <c r="H989" s="33">
        <v>23359.9</v>
      </c>
      <c r="I989" s="33">
        <v>23283.52</v>
      </c>
      <c r="J989" s="33">
        <v>22862.44</v>
      </c>
      <c r="K989" s="33">
        <v>22947.93</v>
      </c>
      <c r="L989" s="33">
        <v>23298.080000000002</v>
      </c>
      <c r="M989" s="33">
        <v>23212.34</v>
      </c>
      <c r="N989" s="33">
        <v>22630.77</v>
      </c>
      <c r="O989" s="33"/>
      <c r="P989" s="88"/>
      <c r="Q989" s="89"/>
      <c r="R989" s="89"/>
      <c r="S989" s="210"/>
      <c r="T989" s="23"/>
      <c r="U989" s="211"/>
      <c r="V989" s="246"/>
      <c r="W989" s="33"/>
      <c r="X989" s="186"/>
      <c r="Y989" s="186"/>
      <c r="Z989" s="186"/>
      <c r="AA989" s="186"/>
    </row>
    <row r="990" spans="1:29" ht="22.75" thickBot="1" x14ac:dyDescent="0.3">
      <c r="A990" s="272"/>
      <c r="B990" s="90"/>
      <c r="C990" s="91"/>
      <c r="D990" s="91"/>
      <c r="E990" s="92" t="s">
        <v>194</v>
      </c>
      <c r="F990" s="79">
        <f t="shared" ref="F990:N990" si="326">IF(((F988="")*AND(F989="")),"",(F988-F989)*3)</f>
        <v>4828.9799999999996</v>
      </c>
      <c r="G990" s="79">
        <f t="shared" si="326"/>
        <v>4201.3500000000022</v>
      </c>
      <c r="H990" s="79">
        <f t="shared" si="326"/>
        <v>4374.3899999999921</v>
      </c>
      <c r="I990" s="79">
        <f t="shared" si="326"/>
        <v>4311.2700000000004</v>
      </c>
      <c r="J990" s="79">
        <f t="shared" si="326"/>
        <v>4669.2900000000009</v>
      </c>
      <c r="K990" s="79">
        <f t="shared" si="326"/>
        <v>4632.2999999999956</v>
      </c>
      <c r="L990" s="79">
        <f t="shared" si="326"/>
        <v>4342.4399999999987</v>
      </c>
      <c r="M990" s="79">
        <f t="shared" si="326"/>
        <v>4420.2000000000044</v>
      </c>
      <c r="N990" s="79">
        <f t="shared" si="326"/>
        <v>5149.5600000000013</v>
      </c>
      <c r="O990" s="92"/>
      <c r="P990" s="92"/>
      <c r="Q990" s="93"/>
      <c r="R990" s="93"/>
      <c r="S990" s="213"/>
      <c r="T990" s="214"/>
      <c r="U990" s="215"/>
      <c r="V990" s="246"/>
      <c r="W990" s="33"/>
      <c r="X990" s="186"/>
      <c r="Y990" s="186"/>
      <c r="Z990" s="186"/>
      <c r="AA990" s="186"/>
    </row>
    <row r="991" spans="1:29" x14ac:dyDescent="0.25">
      <c r="A991" s="271">
        <v>43556</v>
      </c>
      <c r="B991" s="63" t="s">
        <v>177</v>
      </c>
      <c r="C991" s="65" t="s">
        <v>179</v>
      </c>
      <c r="D991" s="65" t="s">
        <v>178</v>
      </c>
      <c r="E991" s="67" t="s">
        <v>192</v>
      </c>
      <c r="F991" s="33">
        <v>5095.32</v>
      </c>
      <c r="G991" s="33">
        <v>4974.83</v>
      </c>
      <c r="H991" s="33">
        <v>4977.04</v>
      </c>
      <c r="I991" s="33">
        <v>4943.42</v>
      </c>
      <c r="J991" s="33">
        <v>4985.07</v>
      </c>
      <c r="K991" s="33">
        <v>5106.37</v>
      </c>
      <c r="L991" s="33">
        <v>4970.26</v>
      </c>
      <c r="M991" s="33">
        <v>4987.3999999999996</v>
      </c>
      <c r="N991" s="33">
        <v>5073.51</v>
      </c>
      <c r="O991" s="86">
        <f>IF((N992=""),"",MAX(F993:N993))</f>
        <v>3950.579999999999</v>
      </c>
      <c r="P991" s="86">
        <f>IF(N992="","",MIN(F993:N993))</f>
        <v>3660.3999999999996</v>
      </c>
      <c r="Q991" s="87">
        <f>IF((N993=""),"",AVERAGE(F993:N993))</f>
        <v>3853.6977777777774</v>
      </c>
      <c r="R991" s="87">
        <f>IF((N992=""),"",(O991-P991)/(O991+P991)*100)</f>
        <v>3.8126496193656982</v>
      </c>
      <c r="S991" s="181">
        <f>STDEV(F993:N993)</f>
        <v>103.34393472499717</v>
      </c>
      <c r="T991" s="208" t="str">
        <f>IF(N992="","",IF(Q991&gt;3650,IF(R991&lt;7,IF(Q991&lt;4450,"Pass","Fail"),"Fail"),"Fail"))</f>
        <v>Pass</v>
      </c>
      <c r="U991" s="220">
        <v>1340</v>
      </c>
      <c r="V991" s="198"/>
      <c r="W991" s="33"/>
      <c r="X991" s="184">
        <v>3650</v>
      </c>
      <c r="Y991" s="184">
        <v>4450</v>
      </c>
      <c r="Z991" s="184">
        <v>3700</v>
      </c>
      <c r="AA991" s="184">
        <v>4100</v>
      </c>
      <c r="AB991" s="57">
        <v>6.5</v>
      </c>
      <c r="AC991" s="57">
        <v>7</v>
      </c>
    </row>
    <row r="992" spans="1:29" x14ac:dyDescent="0.25">
      <c r="A992" s="272"/>
      <c r="B992" s="47"/>
      <c r="C992" s="24"/>
      <c r="D992" s="24"/>
      <c r="E992" s="88" t="s">
        <v>193</v>
      </c>
      <c r="F992" s="33">
        <v>3223.5</v>
      </c>
      <c r="G992" s="33">
        <v>3021.11</v>
      </c>
      <c r="H992" s="33">
        <v>3004.71</v>
      </c>
      <c r="I992" s="33">
        <v>2977.85</v>
      </c>
      <c r="J992" s="33">
        <v>3095.65</v>
      </c>
      <c r="K992" s="33">
        <v>3276.17</v>
      </c>
      <c r="L992" s="33">
        <v>3012.56</v>
      </c>
      <c r="M992" s="33">
        <v>3012.11</v>
      </c>
      <c r="N992" s="33">
        <v>3147.92</v>
      </c>
      <c r="O992" s="88"/>
      <c r="P992" s="88"/>
      <c r="Q992" s="89"/>
      <c r="R992" s="89"/>
      <c r="S992" s="210"/>
      <c r="T992" s="28"/>
      <c r="U992" s="217"/>
      <c r="V992" s="198"/>
      <c r="W992" s="33"/>
      <c r="X992" s="186"/>
      <c r="Y992" s="186"/>
      <c r="Z992" s="186"/>
      <c r="AA992" s="186"/>
    </row>
    <row r="993" spans="1:30" ht="22.75" thickBot="1" x14ac:dyDescent="0.3">
      <c r="A993" s="272"/>
      <c r="B993" s="47"/>
      <c r="C993" s="24"/>
      <c r="D993" s="24"/>
      <c r="E993" s="88" t="s">
        <v>194</v>
      </c>
      <c r="F993" s="66">
        <f t="shared" ref="F993:N993" si="327">IF(((F991="")*AND(F992="")),"",(F991-F992)*2)</f>
        <v>3743.6399999999994</v>
      </c>
      <c r="G993" s="66">
        <f t="shared" si="327"/>
        <v>3907.4399999999996</v>
      </c>
      <c r="H993" s="66">
        <f t="shared" si="327"/>
        <v>3944.66</v>
      </c>
      <c r="I993" s="66">
        <f t="shared" si="327"/>
        <v>3931.1400000000003</v>
      </c>
      <c r="J993" s="66">
        <f t="shared" si="327"/>
        <v>3778.8399999999992</v>
      </c>
      <c r="K993" s="66">
        <f t="shared" si="327"/>
        <v>3660.3999999999996</v>
      </c>
      <c r="L993" s="66">
        <f t="shared" si="327"/>
        <v>3915.4000000000005</v>
      </c>
      <c r="M993" s="66">
        <f t="shared" si="327"/>
        <v>3950.579999999999</v>
      </c>
      <c r="N993" s="66">
        <f t="shared" si="327"/>
        <v>3851.1800000000003</v>
      </c>
      <c r="O993" s="88"/>
      <c r="P993" s="88"/>
      <c r="Q993" s="89"/>
      <c r="R993" s="89"/>
      <c r="S993" s="210"/>
      <c r="T993" s="28"/>
      <c r="U993" s="217"/>
      <c r="V993" s="198"/>
      <c r="W993" s="33"/>
      <c r="X993" s="186"/>
      <c r="Y993" s="186"/>
      <c r="Z993" s="186"/>
      <c r="AA993" s="186"/>
    </row>
    <row r="994" spans="1:30" s="40" customFormat="1" x14ac:dyDescent="0.25">
      <c r="A994" s="271">
        <v>43556</v>
      </c>
      <c r="B994" s="24" t="s">
        <v>172</v>
      </c>
      <c r="C994" s="24" t="s">
        <v>174</v>
      </c>
      <c r="D994" s="24" t="s">
        <v>195</v>
      </c>
      <c r="E994" s="88" t="s">
        <v>192</v>
      </c>
      <c r="F994" s="33">
        <v>1955.66</v>
      </c>
      <c r="G994" s="33">
        <v>1954.47</v>
      </c>
      <c r="H994" s="33">
        <v>1949.4</v>
      </c>
      <c r="I994" s="33">
        <v>1947.01</v>
      </c>
      <c r="J994" s="33">
        <v>1953.23</v>
      </c>
      <c r="K994" s="33">
        <v>1958.07</v>
      </c>
      <c r="L994" s="33">
        <v>1946.31</v>
      </c>
      <c r="M994" s="33">
        <v>1949.97</v>
      </c>
      <c r="N994" s="33">
        <v>1953.87</v>
      </c>
      <c r="O994" s="88">
        <f>IF((N995=""),"",MAX(F996:N996))</f>
        <v>2034.84</v>
      </c>
      <c r="P994" s="88">
        <f>IF(N995="","",MIN(F996:N996))</f>
        <v>1966.1100000000004</v>
      </c>
      <c r="Q994" s="89">
        <f>IF((N996=""),"",AVERAGE(F996:N996))</f>
        <v>2003.7333333333331</v>
      </c>
      <c r="R994" s="89">
        <f>IF((N995=""),"",(O994-P994)/(O994+P994)*100)</f>
        <v>1.7178420125220151</v>
      </c>
      <c r="S994" s="210">
        <f>STDEV(F996:N996)</f>
        <v>24.313132768115299</v>
      </c>
      <c r="T994" s="23" t="str">
        <f>IF(N995="","",IF(Q994&gt;1940,IF(R994&lt;8.3,IF(Q994&lt;2180,"Pass","Fail"),"Fail"),"Fail"))</f>
        <v>Pass</v>
      </c>
      <c r="U994" s="220">
        <v>1340</v>
      </c>
      <c r="V994" s="198"/>
      <c r="W994" s="33"/>
      <c r="X994" s="184">
        <v>2000</v>
      </c>
      <c r="Y994" s="184">
        <v>3000</v>
      </c>
      <c r="Z994" s="184">
        <v>1940</v>
      </c>
      <c r="AA994" s="184">
        <v>2180</v>
      </c>
      <c r="AB994" s="57">
        <v>5.2</v>
      </c>
      <c r="AC994" s="33"/>
      <c r="AD994" s="10"/>
    </row>
    <row r="995" spans="1:30" s="40" customFormat="1" x14ac:dyDescent="0.25">
      <c r="A995" s="272"/>
      <c r="B995" s="47"/>
      <c r="C995" s="24"/>
      <c r="D995" s="24"/>
      <c r="E995" s="88" t="s">
        <v>193</v>
      </c>
      <c r="F995" s="33">
        <v>1285.76</v>
      </c>
      <c r="G995" s="33">
        <v>1276.19</v>
      </c>
      <c r="H995" s="33">
        <v>1273.92</v>
      </c>
      <c r="I995" s="33">
        <v>1280.22</v>
      </c>
      <c r="J995" s="33">
        <v>1297.8599999999999</v>
      </c>
      <c r="K995" s="33">
        <v>1295.29</v>
      </c>
      <c r="L995" s="33">
        <v>1282.93</v>
      </c>
      <c r="M995" s="33">
        <v>1271.83</v>
      </c>
      <c r="N995" s="33">
        <v>1292.79</v>
      </c>
      <c r="O995" s="88"/>
      <c r="P995" s="88"/>
      <c r="Q995" s="89"/>
      <c r="R995" s="89"/>
      <c r="S995" s="210"/>
      <c r="T995" s="23"/>
      <c r="U995" s="211"/>
      <c r="V995" s="246"/>
      <c r="W995" s="33"/>
      <c r="X995" s="186"/>
      <c r="Y995" s="186"/>
      <c r="Z995" s="186"/>
      <c r="AA995" s="186"/>
      <c r="AB995" s="33"/>
      <c r="AC995" s="33"/>
      <c r="AD995" s="10"/>
    </row>
    <row r="996" spans="1:30" s="40" customFormat="1" ht="13.3" thickBot="1" x14ac:dyDescent="0.3">
      <c r="A996" s="272"/>
      <c r="B996" s="47"/>
      <c r="C996" s="24"/>
      <c r="D996" s="24"/>
      <c r="E996" s="88" t="s">
        <v>196</v>
      </c>
      <c r="F996" s="66">
        <f t="shared" ref="F996:N996" si="328">IF(((F994="")*AND(F995="")),"",(F994-F995)*3)</f>
        <v>2009.7000000000003</v>
      </c>
      <c r="G996" s="66">
        <f t="shared" si="328"/>
        <v>2034.84</v>
      </c>
      <c r="H996" s="66">
        <f t="shared" si="328"/>
        <v>2026.44</v>
      </c>
      <c r="I996" s="66">
        <f t="shared" si="328"/>
        <v>2000.37</v>
      </c>
      <c r="J996" s="66">
        <f t="shared" si="328"/>
        <v>1966.1100000000004</v>
      </c>
      <c r="K996" s="66">
        <f t="shared" si="328"/>
        <v>1988.34</v>
      </c>
      <c r="L996" s="66">
        <f t="shared" si="328"/>
        <v>1990.1399999999996</v>
      </c>
      <c r="M996" s="66">
        <f t="shared" si="328"/>
        <v>2034.4200000000003</v>
      </c>
      <c r="N996" s="66">
        <f t="shared" si="328"/>
        <v>1983.2399999999998</v>
      </c>
      <c r="O996" s="88"/>
      <c r="P996" s="88"/>
      <c r="Q996" s="89"/>
      <c r="R996" s="89"/>
      <c r="S996" s="210"/>
      <c r="T996" s="23"/>
      <c r="U996" s="211"/>
      <c r="V996" s="246"/>
      <c r="W996" s="33"/>
      <c r="X996" s="186"/>
      <c r="Y996" s="186"/>
      <c r="Z996" s="186"/>
      <c r="AA996" s="186"/>
      <c r="AB996" s="33"/>
      <c r="AC996" s="33"/>
      <c r="AD996" s="10"/>
    </row>
    <row r="997" spans="1:30" s="40" customFormat="1" x14ac:dyDescent="0.25">
      <c r="A997" s="271">
        <v>43556</v>
      </c>
      <c r="B997" s="47" t="s">
        <v>191</v>
      </c>
      <c r="C997" s="24" t="s">
        <v>176</v>
      </c>
      <c r="D997" s="24" t="s">
        <v>175</v>
      </c>
      <c r="E997" s="88" t="s">
        <v>192</v>
      </c>
      <c r="F997" s="33">
        <v>29250.91</v>
      </c>
      <c r="G997" s="33">
        <v>29139.78</v>
      </c>
      <c r="H997" s="33">
        <v>29115.360000000001</v>
      </c>
      <c r="I997" s="33">
        <v>29156.240000000002</v>
      </c>
      <c r="J997" s="33">
        <v>29203.64</v>
      </c>
      <c r="K997" s="33">
        <v>29221.06</v>
      </c>
      <c r="L997" s="33">
        <v>29138.95</v>
      </c>
      <c r="M997" s="33">
        <v>29121.06</v>
      </c>
      <c r="N997" s="33">
        <v>29250.58</v>
      </c>
      <c r="O997" s="88">
        <f>IF((N998=""),"",MAX(F999:N999))</f>
        <v>4770.1200000000026</v>
      </c>
      <c r="P997" s="88">
        <f>IF(N998="","",MIN(F999:N999))</f>
        <v>4110.6600000000035</v>
      </c>
      <c r="Q997" s="89">
        <f>IF((N999=""),"",AVERAGE(F999:N999))</f>
        <v>4401.4133333333339</v>
      </c>
      <c r="R997" s="89">
        <f>IF((N998=""),"",(O997-P997)/(O997+P997)*100)</f>
        <v>7.4256990939984853</v>
      </c>
      <c r="S997" s="210">
        <f>STDEV(F999:N999)</f>
        <v>228.33768206321301</v>
      </c>
      <c r="T997" s="23" t="str">
        <f>IF(N998="","",IF(R997&lt;16,IF(Q997&gt;3200,IF(R997,IF(Q997&lt;5240,"Pass","Fail"),"Fail"),"Fail")))</f>
        <v>Pass</v>
      </c>
      <c r="U997" s="220">
        <v>1340</v>
      </c>
      <c r="V997" s="198"/>
      <c r="W997" s="33"/>
      <c r="X997" s="184">
        <v>4200</v>
      </c>
      <c r="Y997" s="184">
        <v>5500</v>
      </c>
      <c r="Z997" s="184">
        <v>3200</v>
      </c>
      <c r="AA997" s="184">
        <v>5240</v>
      </c>
      <c r="AB997" s="57">
        <v>16</v>
      </c>
      <c r="AC997" s="33"/>
      <c r="AD997" s="10"/>
    </row>
    <row r="998" spans="1:30" s="40" customFormat="1" x14ac:dyDescent="0.25">
      <c r="A998" s="272"/>
      <c r="B998" s="47"/>
      <c r="C998" s="24"/>
      <c r="D998" s="24"/>
      <c r="E998" s="88" t="s">
        <v>193</v>
      </c>
      <c r="F998" s="33">
        <v>27749.040000000001</v>
      </c>
      <c r="G998" s="33">
        <v>27736.13</v>
      </c>
      <c r="H998" s="33">
        <v>27697.73</v>
      </c>
      <c r="I998" s="33">
        <v>27687.4</v>
      </c>
      <c r="J998" s="33">
        <v>27710.18</v>
      </c>
      <c r="K998" s="33">
        <v>27631.02</v>
      </c>
      <c r="L998" s="33">
        <v>27740.83</v>
      </c>
      <c r="M998" s="33">
        <v>27750.84</v>
      </c>
      <c r="N998" s="33">
        <v>27690.17</v>
      </c>
      <c r="O998" s="33"/>
      <c r="P998" s="88"/>
      <c r="Q998" s="89"/>
      <c r="R998" s="89"/>
      <c r="S998" s="210"/>
      <c r="T998" s="23"/>
      <c r="U998" s="211"/>
      <c r="V998" s="246"/>
      <c r="W998" s="33"/>
      <c r="X998" s="186"/>
      <c r="Y998" s="186"/>
      <c r="Z998" s="186"/>
      <c r="AA998" s="186"/>
      <c r="AB998" s="33"/>
      <c r="AC998" s="33"/>
      <c r="AD998" s="10"/>
    </row>
    <row r="999" spans="1:30" s="40" customFormat="1" ht="22.75" thickBot="1" x14ac:dyDescent="0.3">
      <c r="A999" s="272"/>
      <c r="B999" s="90"/>
      <c r="C999" s="91"/>
      <c r="D999" s="91"/>
      <c r="E999" s="92" t="s">
        <v>194</v>
      </c>
      <c r="F999" s="79">
        <f t="shared" ref="F999:N999" si="329">IF(((F997="")*AND(F998="")),"",(F997-F998)*3)</f>
        <v>4505.6099999999969</v>
      </c>
      <c r="G999" s="79">
        <f t="shared" si="329"/>
        <v>4210.9499999999935</v>
      </c>
      <c r="H999" s="79">
        <f t="shared" si="329"/>
        <v>4252.8900000000031</v>
      </c>
      <c r="I999" s="79">
        <f t="shared" si="329"/>
        <v>4406.5200000000004</v>
      </c>
      <c r="J999" s="79">
        <f t="shared" si="329"/>
        <v>4480.3799999999974</v>
      </c>
      <c r="K999" s="79">
        <f t="shared" si="329"/>
        <v>4770.1200000000026</v>
      </c>
      <c r="L999" s="79">
        <f t="shared" si="329"/>
        <v>4194.3599999999969</v>
      </c>
      <c r="M999" s="79">
        <f t="shared" si="329"/>
        <v>4110.6600000000035</v>
      </c>
      <c r="N999" s="79">
        <f t="shared" si="329"/>
        <v>4681.2300000000105</v>
      </c>
      <c r="O999" s="92"/>
      <c r="P999" s="92"/>
      <c r="Q999" s="93"/>
      <c r="R999" s="93"/>
      <c r="S999" s="213"/>
      <c r="T999" s="214"/>
      <c r="U999" s="215"/>
      <c r="V999" s="246"/>
      <c r="W999" s="33"/>
      <c r="X999" s="186"/>
      <c r="Y999" s="186"/>
      <c r="Z999" s="186"/>
      <c r="AA999" s="186"/>
      <c r="AB999" s="33"/>
      <c r="AC999" s="33"/>
      <c r="AD999" s="10"/>
    </row>
    <row r="1000" spans="1:30" s="40" customFormat="1" x14ac:dyDescent="0.25">
      <c r="A1000" s="271">
        <v>43559</v>
      </c>
      <c r="B1000" s="63" t="s">
        <v>177</v>
      </c>
      <c r="C1000" s="65" t="s">
        <v>179</v>
      </c>
      <c r="D1000" s="65" t="s">
        <v>178</v>
      </c>
      <c r="E1000" s="67" t="s">
        <v>192</v>
      </c>
      <c r="F1000" s="33">
        <v>3223.5</v>
      </c>
      <c r="G1000" s="33">
        <v>3021.11</v>
      </c>
      <c r="H1000" s="33">
        <v>3004.71</v>
      </c>
      <c r="I1000" s="33">
        <v>2977.85</v>
      </c>
      <c r="J1000" s="33">
        <v>3095.65</v>
      </c>
      <c r="K1000" s="33">
        <v>3276.17</v>
      </c>
      <c r="L1000" s="33">
        <v>3012.56</v>
      </c>
      <c r="M1000" s="33">
        <v>3012.11</v>
      </c>
      <c r="N1000" s="33">
        <v>3147.92</v>
      </c>
      <c r="O1000" s="86">
        <f>IF((N1001=""),"",MAX(F1002:N1002))</f>
        <v>3903.2400000000002</v>
      </c>
      <c r="P1000" s="86">
        <f>IF(N1001="","",MIN(F1002:N1002))</f>
        <v>3528.5200000000004</v>
      </c>
      <c r="Q1000" s="87">
        <f>IF((N1002=""),"",AVERAGE(F1002:N1002))</f>
        <v>3783.3111111111116</v>
      </c>
      <c r="R1000" s="87">
        <f>IF((N1001=""),"",(O1000-P1000)/(O1000+P1000)*100)</f>
        <v>5.042143449196419</v>
      </c>
      <c r="S1000" s="181">
        <f>STDEV(F1002:N1002)</f>
        <v>122.49340068391879</v>
      </c>
      <c r="T1000" s="208" t="str">
        <f>IF(N1001="","",IF(Q1000&gt;3650,IF(R1000&lt;7,IF(Q1000&lt;4450,"Pass","Fail"),"Fail"),"Fail"))</f>
        <v>Pass</v>
      </c>
      <c r="U1000" s="220">
        <v>1340</v>
      </c>
      <c r="V1000" s="198"/>
      <c r="W1000" s="33"/>
      <c r="X1000" s="184">
        <v>3650</v>
      </c>
      <c r="Y1000" s="184">
        <v>4450</v>
      </c>
      <c r="Z1000" s="184">
        <v>3700</v>
      </c>
      <c r="AA1000" s="184">
        <v>4100</v>
      </c>
      <c r="AB1000" s="57">
        <v>6.5</v>
      </c>
      <c r="AC1000" s="57">
        <v>7</v>
      </c>
      <c r="AD1000" s="10"/>
    </row>
    <row r="1001" spans="1:30" s="40" customFormat="1" x14ac:dyDescent="0.25">
      <c r="A1001" s="272"/>
      <c r="B1001" s="47"/>
      <c r="C1001" s="24"/>
      <c r="D1001" s="24"/>
      <c r="E1001" s="88" t="s">
        <v>193</v>
      </c>
      <c r="F1001" s="33">
        <v>1337.31</v>
      </c>
      <c r="G1001" s="33">
        <v>1134.49</v>
      </c>
      <c r="H1001" s="33">
        <v>1053.0899999999999</v>
      </c>
      <c r="I1001" s="33">
        <v>1031.17</v>
      </c>
      <c r="J1001" s="33">
        <v>1212.43</v>
      </c>
      <c r="K1001" s="33">
        <v>1440.91</v>
      </c>
      <c r="L1001" s="33">
        <v>1077.43</v>
      </c>
      <c r="M1001" s="33">
        <v>1247.8499999999999</v>
      </c>
      <c r="N1001" s="33">
        <v>1212</v>
      </c>
      <c r="O1001" s="88"/>
      <c r="P1001" s="88"/>
      <c r="Q1001" s="89"/>
      <c r="R1001" s="89"/>
      <c r="S1001" s="210"/>
      <c r="T1001" s="28"/>
      <c r="U1001" s="217"/>
      <c r="V1001" s="198"/>
      <c r="W1001" s="33"/>
      <c r="X1001" s="186"/>
      <c r="Y1001" s="186"/>
      <c r="Z1001" s="186"/>
      <c r="AA1001" s="186"/>
      <c r="AB1001" s="33"/>
      <c r="AC1001" s="33"/>
      <c r="AD1001" s="10"/>
    </row>
    <row r="1002" spans="1:30" s="40" customFormat="1" ht="22.75" thickBot="1" x14ac:dyDescent="0.3">
      <c r="A1002" s="272"/>
      <c r="B1002" s="47"/>
      <c r="C1002" s="24"/>
      <c r="D1002" s="24"/>
      <c r="E1002" s="88" t="s">
        <v>194</v>
      </c>
      <c r="F1002" s="66">
        <f t="shared" ref="F1002:N1002" si="330">IF(((F1000="")*AND(F1001="")),"",(F1000-F1001)*2)</f>
        <v>3772.38</v>
      </c>
      <c r="G1002" s="66">
        <f t="shared" si="330"/>
        <v>3773.2400000000002</v>
      </c>
      <c r="H1002" s="66">
        <f t="shared" si="330"/>
        <v>3903.2400000000002</v>
      </c>
      <c r="I1002" s="66">
        <f t="shared" si="330"/>
        <v>3893.3599999999997</v>
      </c>
      <c r="J1002" s="66">
        <f t="shared" si="330"/>
        <v>3766.44</v>
      </c>
      <c r="K1002" s="66">
        <f t="shared" si="330"/>
        <v>3670.52</v>
      </c>
      <c r="L1002" s="66">
        <f t="shared" si="330"/>
        <v>3870.2599999999998</v>
      </c>
      <c r="M1002" s="66">
        <f t="shared" si="330"/>
        <v>3528.5200000000004</v>
      </c>
      <c r="N1002" s="66">
        <f t="shared" si="330"/>
        <v>3871.84</v>
      </c>
      <c r="O1002" s="88"/>
      <c r="P1002" s="88"/>
      <c r="Q1002" s="89"/>
      <c r="R1002" s="89"/>
      <c r="S1002" s="210"/>
      <c r="T1002" s="28"/>
      <c r="U1002" s="217"/>
      <c r="V1002" s="198"/>
      <c r="W1002" s="33"/>
      <c r="X1002" s="186"/>
      <c r="Y1002" s="186"/>
      <c r="Z1002" s="186"/>
      <c r="AA1002" s="186"/>
      <c r="AB1002" s="33"/>
      <c r="AC1002" s="33"/>
      <c r="AD1002" s="10"/>
    </row>
    <row r="1003" spans="1:30" s="40" customFormat="1" x14ac:dyDescent="0.25">
      <c r="A1003" s="271">
        <v>43559</v>
      </c>
      <c r="B1003" s="24" t="s">
        <v>172</v>
      </c>
      <c r="C1003" s="24" t="s">
        <v>174</v>
      </c>
      <c r="D1003" s="24" t="s">
        <v>195</v>
      </c>
      <c r="E1003" s="88" t="s">
        <v>192</v>
      </c>
      <c r="F1003" s="33">
        <v>1285.76</v>
      </c>
      <c r="G1003" s="33">
        <v>1276.19</v>
      </c>
      <c r="H1003" s="33">
        <v>1273.92</v>
      </c>
      <c r="I1003" s="33">
        <v>1280.22</v>
      </c>
      <c r="J1003" s="33">
        <v>1297.8599999999999</v>
      </c>
      <c r="K1003" s="33">
        <v>1295.29</v>
      </c>
      <c r="L1003" s="33">
        <v>1282.93</v>
      </c>
      <c r="M1003" s="33">
        <v>1271.83</v>
      </c>
      <c r="N1003" s="33">
        <v>1292.79</v>
      </c>
      <c r="O1003" s="88">
        <f>IF((N1004=""),"",MAX(F1005:N1005))</f>
        <v>2038.7399999999998</v>
      </c>
      <c r="P1003" s="88">
        <f>IF(N1004="","",MIN(F1005:N1005))</f>
        <v>1969.2299999999996</v>
      </c>
      <c r="Q1003" s="89">
        <f>IF((N1005=""),"",AVERAGE(F1005:N1005))</f>
        <v>2006.78</v>
      </c>
      <c r="R1003" s="89">
        <f>IF((N1004=""),"",(O1003-P1003)/(O1003+P1003)*100)</f>
        <v>1.7342944183714009</v>
      </c>
      <c r="S1003" s="210">
        <f>STDEV(F1005:N1005)</f>
        <v>24.195106943347145</v>
      </c>
      <c r="T1003" s="23" t="str">
        <f>IF(N1004="","",IF(Q1003&gt;1940,IF(R1003&lt;8.3,IF(Q1003&lt;2180,"Pass","Fail"),"Fail"),"Fail"))</f>
        <v>Pass</v>
      </c>
      <c r="U1003" s="220">
        <v>1340</v>
      </c>
      <c r="V1003" s="198"/>
      <c r="W1003" s="33"/>
      <c r="X1003" s="184">
        <v>2000</v>
      </c>
      <c r="Y1003" s="184">
        <v>3000</v>
      </c>
      <c r="Z1003" s="184">
        <v>1940</v>
      </c>
      <c r="AA1003" s="184">
        <v>2180</v>
      </c>
      <c r="AB1003" s="57">
        <v>5.2</v>
      </c>
      <c r="AC1003" s="33"/>
      <c r="AD1003" s="10"/>
    </row>
    <row r="1004" spans="1:30" s="40" customFormat="1" x14ac:dyDescent="0.25">
      <c r="A1004" s="272"/>
      <c r="B1004" s="47"/>
      <c r="C1004" s="24"/>
      <c r="D1004" s="24"/>
      <c r="E1004" s="88" t="s">
        <v>193</v>
      </c>
      <c r="F1004" s="33">
        <v>616.32000000000005</v>
      </c>
      <c r="G1004" s="33">
        <v>597.66999999999996</v>
      </c>
      <c r="H1004" s="33">
        <v>607.16</v>
      </c>
      <c r="I1004" s="33">
        <v>607.04999999999995</v>
      </c>
      <c r="J1004" s="33">
        <v>641.45000000000005</v>
      </c>
      <c r="K1004" s="33">
        <v>627.17999999999995</v>
      </c>
      <c r="L1004" s="33">
        <v>612.07000000000005</v>
      </c>
      <c r="M1004" s="33">
        <v>592.25</v>
      </c>
      <c r="N1004" s="33">
        <v>635.29999999999995</v>
      </c>
      <c r="O1004" s="88"/>
      <c r="P1004" s="88"/>
      <c r="Q1004" s="89"/>
      <c r="R1004" s="89"/>
      <c r="S1004" s="210"/>
      <c r="T1004" s="23"/>
      <c r="U1004" s="211"/>
      <c r="V1004" s="246"/>
      <c r="W1004" s="33"/>
      <c r="X1004" s="186"/>
      <c r="Y1004" s="186"/>
      <c r="Z1004" s="186"/>
      <c r="AA1004" s="186"/>
      <c r="AB1004" s="33"/>
      <c r="AC1004" s="33"/>
      <c r="AD1004" s="10"/>
    </row>
    <row r="1005" spans="1:30" s="40" customFormat="1" ht="13.3" thickBot="1" x14ac:dyDescent="0.3">
      <c r="A1005" s="272"/>
      <c r="B1005" s="47"/>
      <c r="C1005" s="24"/>
      <c r="D1005" s="24"/>
      <c r="E1005" s="88" t="s">
        <v>196</v>
      </c>
      <c r="F1005" s="66">
        <f t="shared" ref="F1005:N1005" si="331">IF(((F1003="")*AND(F1004="")),"",(F1003-F1004)*3)</f>
        <v>2008.3199999999997</v>
      </c>
      <c r="G1005" s="66">
        <f t="shared" si="331"/>
        <v>2035.5600000000004</v>
      </c>
      <c r="H1005" s="66">
        <f t="shared" si="331"/>
        <v>2000.2800000000002</v>
      </c>
      <c r="I1005" s="66">
        <f t="shared" si="331"/>
        <v>2019.5100000000002</v>
      </c>
      <c r="J1005" s="66">
        <f t="shared" si="331"/>
        <v>1969.2299999999996</v>
      </c>
      <c r="K1005" s="66">
        <f t="shared" si="331"/>
        <v>2004.33</v>
      </c>
      <c r="L1005" s="66">
        <f t="shared" si="331"/>
        <v>2012.58</v>
      </c>
      <c r="M1005" s="66">
        <f t="shared" si="331"/>
        <v>2038.7399999999998</v>
      </c>
      <c r="N1005" s="66">
        <f t="shared" si="331"/>
        <v>1972.47</v>
      </c>
      <c r="O1005" s="88"/>
      <c r="P1005" s="88"/>
      <c r="Q1005" s="89"/>
      <c r="R1005" s="89"/>
      <c r="S1005" s="210"/>
      <c r="T1005" s="23"/>
      <c r="U1005" s="211"/>
      <c r="V1005" s="246"/>
      <c r="W1005" s="33"/>
      <c r="X1005" s="186"/>
      <c r="Y1005" s="186"/>
      <c r="Z1005" s="186"/>
      <c r="AA1005" s="186"/>
      <c r="AB1005" s="33"/>
      <c r="AC1005" s="33"/>
      <c r="AD1005" s="10"/>
    </row>
    <row r="1006" spans="1:30" s="40" customFormat="1" x14ac:dyDescent="0.25">
      <c r="A1006" s="271">
        <v>43559</v>
      </c>
      <c r="B1006" s="47" t="s">
        <v>191</v>
      </c>
      <c r="C1006" s="24" t="s">
        <v>176</v>
      </c>
      <c r="D1006" s="24" t="s">
        <v>175</v>
      </c>
      <c r="E1006" s="88" t="s">
        <v>192</v>
      </c>
      <c r="F1006" s="33">
        <v>27749.040000000001</v>
      </c>
      <c r="G1006" s="33">
        <v>27736.13</v>
      </c>
      <c r="H1006" s="33">
        <v>27697.73</v>
      </c>
      <c r="I1006" s="33">
        <v>27687.4</v>
      </c>
      <c r="J1006" s="33">
        <v>27710.18</v>
      </c>
      <c r="K1006" s="33">
        <v>27631.02</v>
      </c>
      <c r="L1006" s="33">
        <v>27740.83</v>
      </c>
      <c r="M1006" s="33">
        <v>27750.84</v>
      </c>
      <c r="N1006" s="33">
        <v>27690.17</v>
      </c>
      <c r="O1006" s="88">
        <f>IF((N1007=""),"",MAX(F1008:N1008))</f>
        <v>5017.7700000000004</v>
      </c>
      <c r="P1006" s="88">
        <f>IF(N1007="","",MIN(F1008:N1008))</f>
        <v>4320.7199999999939</v>
      </c>
      <c r="Q1006" s="89">
        <f>IF((N1008=""),"",AVERAGE(F1008:N1008))</f>
        <v>4630.5733333333337</v>
      </c>
      <c r="R1006" s="89">
        <f>IF((N1007=""),"",(O1006-P1006)/(O1006+P1006)*100)</f>
        <v>7.4642688486040774</v>
      </c>
      <c r="S1006" s="210">
        <f>STDEV(F1008:N1008)</f>
        <v>257.69353634695563</v>
      </c>
      <c r="T1006" s="23" t="str">
        <f>IF(N1007="","",IF(R1006&lt;16,IF(Q1006&gt;3200,IF(R1006,IF(Q1006&lt;5240,"Pass","Fail"),"Fail"),"Fail")))</f>
        <v>Pass</v>
      </c>
      <c r="U1006" s="220">
        <v>1340</v>
      </c>
      <c r="V1006" s="198"/>
      <c r="W1006" s="33"/>
      <c r="X1006" s="184">
        <v>4200</v>
      </c>
      <c r="Y1006" s="184">
        <v>5500</v>
      </c>
      <c r="Z1006" s="184">
        <v>3200</v>
      </c>
      <c r="AA1006" s="184">
        <v>5240</v>
      </c>
      <c r="AB1006" s="57">
        <v>16</v>
      </c>
      <c r="AC1006" s="33"/>
      <c r="AD1006" s="10"/>
    </row>
    <row r="1007" spans="1:30" s="40" customFormat="1" x14ac:dyDescent="0.25">
      <c r="A1007" s="272"/>
      <c r="B1007" s="47"/>
      <c r="C1007" s="24"/>
      <c r="D1007" s="24"/>
      <c r="E1007" s="88" t="s">
        <v>193</v>
      </c>
      <c r="F1007" s="33">
        <v>26085.25</v>
      </c>
      <c r="G1007" s="33">
        <v>26227.77</v>
      </c>
      <c r="H1007" s="33">
        <v>26257.49</v>
      </c>
      <c r="I1007" s="33">
        <v>26241.48</v>
      </c>
      <c r="J1007" s="33">
        <v>26037.59</v>
      </c>
      <c r="K1007" s="33">
        <v>26082.11</v>
      </c>
      <c r="L1007" s="33">
        <v>26242.42</v>
      </c>
      <c r="M1007" s="33">
        <v>26239.15</v>
      </c>
      <c r="N1007" s="33">
        <v>26088.36</v>
      </c>
      <c r="O1007" s="33"/>
      <c r="P1007" s="88"/>
      <c r="Q1007" s="89"/>
      <c r="R1007" s="89"/>
      <c r="S1007" s="210"/>
      <c r="T1007" s="23"/>
      <c r="U1007" s="211"/>
      <c r="V1007" s="246"/>
      <c r="W1007" s="33"/>
      <c r="X1007" s="186"/>
      <c r="Y1007" s="186"/>
      <c r="Z1007" s="186"/>
      <c r="AA1007" s="186"/>
      <c r="AB1007" s="33"/>
      <c r="AC1007" s="33"/>
      <c r="AD1007" s="10"/>
    </row>
    <row r="1008" spans="1:30" s="40" customFormat="1" ht="22.75" thickBot="1" x14ac:dyDescent="0.3">
      <c r="A1008" s="272"/>
      <c r="B1008" s="90"/>
      <c r="C1008" s="91"/>
      <c r="D1008" s="91"/>
      <c r="E1008" s="92" t="s">
        <v>194</v>
      </c>
      <c r="F1008" s="79">
        <f t="shared" ref="F1008:N1008" si="332">IF(((F1006="")*AND(F1007="")),"",(F1006-F1007)*3)</f>
        <v>4991.3700000000026</v>
      </c>
      <c r="G1008" s="79">
        <f t="shared" si="332"/>
        <v>4525.0800000000017</v>
      </c>
      <c r="H1008" s="79">
        <f t="shared" si="332"/>
        <v>4320.7199999999939</v>
      </c>
      <c r="I1008" s="79">
        <f t="shared" si="332"/>
        <v>4337.7600000000057</v>
      </c>
      <c r="J1008" s="79">
        <f t="shared" si="332"/>
        <v>5017.7700000000004</v>
      </c>
      <c r="K1008" s="79">
        <f t="shared" si="332"/>
        <v>4646.7299999999996</v>
      </c>
      <c r="L1008" s="79">
        <f t="shared" si="332"/>
        <v>4495.2300000000105</v>
      </c>
      <c r="M1008" s="79">
        <f t="shared" si="332"/>
        <v>4535.0699999999961</v>
      </c>
      <c r="N1008" s="79">
        <f t="shared" si="332"/>
        <v>4805.429999999993</v>
      </c>
      <c r="O1008" s="92"/>
      <c r="P1008" s="92"/>
      <c r="Q1008" s="93"/>
      <c r="R1008" s="93"/>
      <c r="S1008" s="213"/>
      <c r="T1008" s="214"/>
      <c r="U1008" s="215"/>
      <c r="V1008" s="246"/>
      <c r="W1008" s="33"/>
      <c r="X1008" s="186"/>
      <c r="Y1008" s="186"/>
      <c r="Z1008" s="186"/>
      <c r="AA1008" s="186"/>
      <c r="AB1008" s="33"/>
      <c r="AC1008" s="33"/>
      <c r="AD1008" s="10"/>
    </row>
    <row r="1009" spans="1:30" s="40" customFormat="1" x14ac:dyDescent="0.25">
      <c r="A1009" s="271">
        <v>43565</v>
      </c>
      <c r="B1009" s="63" t="s">
        <v>177</v>
      </c>
      <c r="C1009" s="65" t="s">
        <v>179</v>
      </c>
      <c r="D1009" s="65" t="s">
        <v>178</v>
      </c>
      <c r="E1009" s="67" t="s">
        <v>192</v>
      </c>
      <c r="F1009" s="33">
        <v>7047.1</v>
      </c>
      <c r="G1009" s="33">
        <v>7013.85</v>
      </c>
      <c r="H1009" s="33">
        <v>7042.53</v>
      </c>
      <c r="I1009" s="33">
        <v>6996.14</v>
      </c>
      <c r="J1009" s="33">
        <v>6944.66</v>
      </c>
      <c r="K1009" s="33">
        <v>7005.13</v>
      </c>
      <c r="L1009" s="33">
        <v>7002.94</v>
      </c>
      <c r="M1009" s="33">
        <v>7061.08</v>
      </c>
      <c r="N1009" s="33">
        <v>7087.6</v>
      </c>
      <c r="O1009" s="86">
        <f>IF((N1010=""),"",MAX(F1011:N1011))</f>
        <v>4010.9599999999991</v>
      </c>
      <c r="P1009" s="86">
        <f>IF(N1010="","",MIN(F1011:N1011))</f>
        <v>3649.6200000000008</v>
      </c>
      <c r="Q1009" s="87">
        <f>IF((N1011=""),"",AVERAGE(F1011:N1011))</f>
        <v>3898.4933333333342</v>
      </c>
      <c r="R1009" s="87">
        <f>IF((N1010=""),"",(O1009-P1009)/(O1009+P1009)*100)</f>
        <v>4.7168752235470199</v>
      </c>
      <c r="S1009" s="181">
        <f>STDEV(F1011:N1011)</f>
        <v>119.77308796219599</v>
      </c>
      <c r="T1009" s="208" t="str">
        <f>IF(N1010="","",IF(Q1009&gt;3650,IF(R1009&lt;7,IF(Q1009&lt;4450,"Pass","Fail"),"Fail"),"Fail"))</f>
        <v>Pass</v>
      </c>
      <c r="U1009" s="220">
        <v>1159</v>
      </c>
      <c r="V1009" s="33" t="s">
        <v>235</v>
      </c>
      <c r="X1009" s="184">
        <v>3650</v>
      </c>
      <c r="Y1009" s="184">
        <v>4450</v>
      </c>
      <c r="Z1009" s="184">
        <v>3700</v>
      </c>
      <c r="AA1009" s="184">
        <v>4100</v>
      </c>
      <c r="AB1009" s="57">
        <v>6.5</v>
      </c>
      <c r="AC1009" s="57">
        <v>7</v>
      </c>
      <c r="AD1009" s="10"/>
    </row>
    <row r="1010" spans="1:30" s="40" customFormat="1" x14ac:dyDescent="0.25">
      <c r="A1010" s="272"/>
      <c r="B1010" s="47"/>
      <c r="C1010" s="24"/>
      <c r="D1010" s="24"/>
      <c r="E1010" s="88" t="s">
        <v>193</v>
      </c>
      <c r="F1010" s="33">
        <v>5153.8999999999996</v>
      </c>
      <c r="G1010" s="33">
        <v>5035.7299999999996</v>
      </c>
      <c r="H1010" s="33">
        <v>5045.49</v>
      </c>
      <c r="I1010" s="33">
        <v>5008.29</v>
      </c>
      <c r="J1010" s="33">
        <v>5029.7700000000004</v>
      </c>
      <c r="K1010" s="33">
        <v>5180.32</v>
      </c>
      <c r="L1010" s="33">
        <v>5022.6499999999996</v>
      </c>
      <c r="M1010" s="33">
        <v>5055.6000000000004</v>
      </c>
      <c r="N1010" s="33">
        <v>5126.0600000000004</v>
      </c>
      <c r="O1010" s="88"/>
      <c r="P1010" s="88"/>
      <c r="Q1010" s="89"/>
      <c r="R1010" s="89"/>
      <c r="S1010" s="210"/>
      <c r="T1010" s="28"/>
      <c r="U1010" s="217"/>
      <c r="V1010" s="33"/>
      <c r="X1010" s="186"/>
      <c r="Y1010" s="186"/>
      <c r="Z1010" s="186"/>
      <c r="AA1010" s="186"/>
      <c r="AB1010" s="33"/>
      <c r="AC1010" s="33"/>
      <c r="AD1010" s="10"/>
    </row>
    <row r="1011" spans="1:30" s="40" customFormat="1" ht="22.75" thickBot="1" x14ac:dyDescent="0.3">
      <c r="A1011" s="272"/>
      <c r="B1011" s="47"/>
      <c r="C1011" s="24"/>
      <c r="D1011" s="24"/>
      <c r="E1011" s="88" t="s">
        <v>194</v>
      </c>
      <c r="F1011" s="66">
        <f t="shared" ref="F1011:N1011" si="333">IF(((F1009="")*AND(F1010="")),"",(F1009-F1010)*2)</f>
        <v>3786.4000000000015</v>
      </c>
      <c r="G1011" s="66">
        <f t="shared" si="333"/>
        <v>3956.2400000000016</v>
      </c>
      <c r="H1011" s="66">
        <f t="shared" si="333"/>
        <v>3994.08</v>
      </c>
      <c r="I1011" s="66">
        <f t="shared" si="333"/>
        <v>3975.7000000000007</v>
      </c>
      <c r="J1011" s="66">
        <f t="shared" si="333"/>
        <v>3829.7799999999988</v>
      </c>
      <c r="K1011" s="66">
        <f t="shared" si="333"/>
        <v>3649.6200000000008</v>
      </c>
      <c r="L1011" s="66">
        <f t="shared" si="333"/>
        <v>3960.58</v>
      </c>
      <c r="M1011" s="66">
        <f t="shared" si="333"/>
        <v>4010.9599999999991</v>
      </c>
      <c r="N1011" s="66">
        <f t="shared" si="333"/>
        <v>3923.08</v>
      </c>
      <c r="O1011" s="88"/>
      <c r="P1011" s="88"/>
      <c r="Q1011" s="89"/>
      <c r="R1011" s="89"/>
      <c r="S1011" s="210"/>
      <c r="T1011" s="28"/>
      <c r="U1011" s="217"/>
      <c r="V1011" s="33"/>
      <c r="X1011" s="186"/>
      <c r="Y1011" s="186"/>
      <c r="Z1011" s="186"/>
      <c r="AA1011" s="186"/>
      <c r="AB1011" s="33"/>
      <c r="AC1011" s="33"/>
      <c r="AD1011" s="10"/>
    </row>
    <row r="1012" spans="1:30" s="40" customFormat="1" x14ac:dyDescent="0.25">
      <c r="A1012" s="271">
        <v>43565</v>
      </c>
      <c r="B1012" s="24" t="s">
        <v>172</v>
      </c>
      <c r="C1012" s="24" t="s">
        <v>174</v>
      </c>
      <c r="D1012" s="24" t="s">
        <v>195</v>
      </c>
      <c r="E1012" s="88" t="s">
        <v>192</v>
      </c>
      <c r="F1012" s="33">
        <v>1930.42</v>
      </c>
      <c r="G1012" s="33">
        <v>1926.41</v>
      </c>
      <c r="H1012" s="33">
        <v>1926.41</v>
      </c>
      <c r="I1012" s="33">
        <v>1932.38</v>
      </c>
      <c r="J1012" s="33">
        <v>1939.19</v>
      </c>
      <c r="K1012" s="33">
        <v>1935.73</v>
      </c>
      <c r="L1012" s="33">
        <v>1932.55</v>
      </c>
      <c r="M1012" s="33">
        <v>1924.3</v>
      </c>
      <c r="N1012" s="33">
        <v>1932.48</v>
      </c>
      <c r="O1012" s="88">
        <f>IF((N1013=""),"",MAX(F1014:N1014))</f>
        <v>2027.28</v>
      </c>
      <c r="P1012" s="88">
        <f>IF(N1013="","",MIN(F1014:N1014))</f>
        <v>1994.6700000000003</v>
      </c>
      <c r="Q1012" s="89">
        <f>IF((N1014=""),"",AVERAGE(F1014:N1014))</f>
        <v>2013.3600000000001</v>
      </c>
      <c r="R1012" s="89">
        <f>IF((N1013=""),"",(O1012-P1012)/(O1012+P1012)*100)</f>
        <v>0.81080073098869132</v>
      </c>
      <c r="S1012" s="210">
        <f>STDEV(F1014:N1014)</f>
        <v>12.033730718276791</v>
      </c>
      <c r="T1012" s="23" t="str">
        <f>IF(N1013="","",IF(Q1012&gt;1940,IF(R1012&lt;8.3,IF(Q1012&lt;2180,"Pass","Fail"),"Fail"),"Fail"))</f>
        <v>Pass</v>
      </c>
      <c r="U1012" s="220">
        <v>1159</v>
      </c>
      <c r="V1012" s="33" t="s">
        <v>235</v>
      </c>
      <c r="X1012" s="184">
        <v>2000</v>
      </c>
      <c r="Y1012" s="184">
        <v>3000</v>
      </c>
      <c r="Z1012" s="184">
        <v>1940</v>
      </c>
      <c r="AA1012" s="184">
        <v>2180</v>
      </c>
      <c r="AB1012" s="57">
        <v>5.2</v>
      </c>
      <c r="AC1012" s="33"/>
      <c r="AD1012" s="10"/>
    </row>
    <row r="1013" spans="1:30" s="40" customFormat="1" x14ac:dyDescent="0.25">
      <c r="A1013" s="272"/>
      <c r="B1013" s="47"/>
      <c r="C1013" s="24"/>
      <c r="D1013" s="24"/>
      <c r="E1013" s="88" t="s">
        <v>193</v>
      </c>
      <c r="F1013" s="33">
        <v>1258.8900000000001</v>
      </c>
      <c r="G1013" s="33">
        <v>1252.6199999999999</v>
      </c>
      <c r="H1013" s="33">
        <v>1253.1400000000001</v>
      </c>
      <c r="I1013" s="33">
        <v>1257.8900000000001</v>
      </c>
      <c r="J1013" s="33">
        <v>1273.99</v>
      </c>
      <c r="K1013" s="33">
        <v>1267.33</v>
      </c>
      <c r="L1013" s="33">
        <v>1256.79</v>
      </c>
      <c r="M1013" s="33">
        <v>1251.55</v>
      </c>
      <c r="N1013" s="33">
        <v>1267.5899999999999</v>
      </c>
      <c r="O1013" s="88"/>
      <c r="P1013" s="88"/>
      <c r="Q1013" s="89"/>
      <c r="R1013" s="89"/>
      <c r="S1013" s="210"/>
      <c r="T1013" s="23"/>
      <c r="U1013" s="211"/>
      <c r="V1013" s="33"/>
      <c r="X1013" s="186"/>
      <c r="Y1013" s="186"/>
      <c r="Z1013" s="186"/>
      <c r="AA1013" s="186"/>
      <c r="AB1013" s="33"/>
      <c r="AC1013" s="33"/>
      <c r="AD1013" s="10"/>
    </row>
    <row r="1014" spans="1:30" s="40" customFormat="1" ht="13.3" thickBot="1" x14ac:dyDescent="0.3">
      <c r="A1014" s="272"/>
      <c r="B1014" s="47"/>
      <c r="C1014" s="24"/>
      <c r="D1014" s="24"/>
      <c r="E1014" s="88" t="s">
        <v>196</v>
      </c>
      <c r="F1014" s="66">
        <f t="shared" ref="F1014:N1014" si="334">IF(((F1012="")*AND(F1013="")),"",(F1012-F1013)*3)</f>
        <v>2014.59</v>
      </c>
      <c r="G1014" s="66">
        <f t="shared" si="334"/>
        <v>2021.3700000000006</v>
      </c>
      <c r="H1014" s="66">
        <f t="shared" si="334"/>
        <v>2019.81</v>
      </c>
      <c r="I1014" s="66">
        <f t="shared" si="334"/>
        <v>2023.47</v>
      </c>
      <c r="J1014" s="66">
        <f t="shared" si="334"/>
        <v>1995.6000000000001</v>
      </c>
      <c r="K1014" s="66">
        <f t="shared" si="334"/>
        <v>2005.2000000000003</v>
      </c>
      <c r="L1014" s="66">
        <f t="shared" si="334"/>
        <v>2027.28</v>
      </c>
      <c r="M1014" s="66">
        <f t="shared" si="334"/>
        <v>2018.25</v>
      </c>
      <c r="N1014" s="66">
        <f t="shared" si="334"/>
        <v>1994.6700000000003</v>
      </c>
      <c r="O1014" s="88"/>
      <c r="P1014" s="88"/>
      <c r="Q1014" s="89"/>
      <c r="R1014" s="89"/>
      <c r="S1014" s="210"/>
      <c r="T1014" s="23"/>
      <c r="U1014" s="211"/>
      <c r="V1014" s="33"/>
      <c r="X1014" s="186"/>
      <c r="Y1014" s="186"/>
      <c r="Z1014" s="186"/>
      <c r="AA1014" s="186"/>
      <c r="AB1014" s="33"/>
      <c r="AC1014" s="33"/>
      <c r="AD1014" s="10"/>
    </row>
    <row r="1015" spans="1:30" s="40" customFormat="1" x14ac:dyDescent="0.25">
      <c r="A1015" s="271">
        <v>43565</v>
      </c>
      <c r="B1015" s="47" t="s">
        <v>191</v>
      </c>
      <c r="C1015" s="24" t="s">
        <v>176</v>
      </c>
      <c r="D1015" s="24" t="s">
        <v>175</v>
      </c>
      <c r="E1015" s="88" t="s">
        <v>192</v>
      </c>
      <c r="F1015" s="33">
        <v>25983.01</v>
      </c>
      <c r="G1015" s="33">
        <v>26158.89</v>
      </c>
      <c r="H1015" s="33">
        <v>26168.31</v>
      </c>
      <c r="I1015" s="33">
        <v>26140.03</v>
      </c>
      <c r="J1015" s="33">
        <v>25953.34</v>
      </c>
      <c r="K1015" s="33">
        <v>25989.21</v>
      </c>
      <c r="L1015" s="33">
        <v>26126.95</v>
      </c>
      <c r="M1015" s="33">
        <v>26123.39</v>
      </c>
      <c r="N1015" s="33">
        <v>26006.82</v>
      </c>
      <c r="O1015" s="88">
        <f>IF((N1016=""),"",MAX(F1017:N1017))</f>
        <v>4732.5299999999952</v>
      </c>
      <c r="P1015" s="88">
        <f>IF(N1016="","",MIN(F1017:N1017))</f>
        <v>4071.6600000000035</v>
      </c>
      <c r="Q1015" s="89">
        <f>IF((N1017=""),"",AVERAGE(F1017:N1017))</f>
        <v>4363.7999999999984</v>
      </c>
      <c r="R1015" s="89">
        <f>IF((N1016=""),"",(O1015-P1015)/(O1015+P1015)*100)</f>
        <v>7.5063123353765864</v>
      </c>
      <c r="S1015" s="210">
        <f>STDEV(F1017:N1017)</f>
        <v>238.94732060644316</v>
      </c>
      <c r="T1015" s="23" t="str">
        <f>IF(N1016="","",IF(R1015&lt;16,IF(Q1015&gt;3200,IF(R1015,IF(Q1015&lt;5240,"Pass","Fail"),"Fail"),"Fail")))</f>
        <v>Pass</v>
      </c>
      <c r="U1015" s="220">
        <v>1159</v>
      </c>
      <c r="V1015" s="33" t="s">
        <v>235</v>
      </c>
      <c r="X1015" s="184">
        <v>4200</v>
      </c>
      <c r="Y1015" s="184">
        <v>5500</v>
      </c>
      <c r="Z1015" s="184">
        <v>3200</v>
      </c>
      <c r="AA1015" s="184">
        <v>5240</v>
      </c>
      <c r="AB1015" s="57">
        <v>16</v>
      </c>
      <c r="AC1015" s="33"/>
      <c r="AD1015" s="10"/>
    </row>
    <row r="1016" spans="1:30" s="40" customFormat="1" x14ac:dyDescent="0.25">
      <c r="A1016" s="272"/>
      <c r="B1016" s="47"/>
      <c r="C1016" s="24"/>
      <c r="D1016" s="24"/>
      <c r="E1016" s="88" t="s">
        <v>193</v>
      </c>
      <c r="F1016" s="33">
        <v>24462.22</v>
      </c>
      <c r="G1016" s="33">
        <v>24757.34</v>
      </c>
      <c r="H1016" s="33">
        <v>24811.09</v>
      </c>
      <c r="I1016" s="33">
        <v>24751.48</v>
      </c>
      <c r="J1016" s="33">
        <v>24425.15</v>
      </c>
      <c r="K1016" s="33">
        <v>24478.74</v>
      </c>
      <c r="L1016" s="33">
        <v>24702.69</v>
      </c>
      <c r="M1016" s="33">
        <v>24740.53</v>
      </c>
      <c r="N1016" s="33">
        <v>24429.31</v>
      </c>
      <c r="O1016" s="33"/>
      <c r="P1016" s="88"/>
      <c r="Q1016" s="89"/>
      <c r="R1016" s="89"/>
      <c r="S1016" s="210"/>
      <c r="T1016" s="23"/>
      <c r="U1016" s="211"/>
      <c r="V1016" s="33"/>
      <c r="X1016" s="186"/>
      <c r="Y1016" s="186"/>
      <c r="Z1016" s="186"/>
      <c r="AA1016" s="186"/>
      <c r="AB1016" s="33"/>
      <c r="AC1016" s="33"/>
      <c r="AD1016" s="10"/>
    </row>
    <row r="1017" spans="1:30" s="40" customFormat="1" ht="22.75" thickBot="1" x14ac:dyDescent="0.3">
      <c r="A1017" s="272"/>
      <c r="B1017" s="90"/>
      <c r="C1017" s="91"/>
      <c r="D1017" s="91"/>
      <c r="E1017" s="92" t="s">
        <v>194</v>
      </c>
      <c r="F1017" s="79">
        <f t="shared" ref="F1017:N1017" si="335">IF(((F1015="")*AND(F1016="")),"",(F1015-F1016)*3)</f>
        <v>4562.3699999999917</v>
      </c>
      <c r="G1017" s="79">
        <f t="shared" si="335"/>
        <v>4204.6499999999978</v>
      </c>
      <c r="H1017" s="79">
        <f t="shared" si="335"/>
        <v>4071.6600000000035</v>
      </c>
      <c r="I1017" s="79">
        <f t="shared" si="335"/>
        <v>4165.6499999999978</v>
      </c>
      <c r="J1017" s="79">
        <f t="shared" si="335"/>
        <v>4584.5699999999961</v>
      </c>
      <c r="K1017" s="79">
        <f t="shared" si="335"/>
        <v>4531.4099999999926</v>
      </c>
      <c r="L1017" s="79">
        <f t="shared" si="335"/>
        <v>4272.7800000000061</v>
      </c>
      <c r="M1017" s="79">
        <f t="shared" si="335"/>
        <v>4148.5800000000017</v>
      </c>
      <c r="N1017" s="79">
        <f t="shared" si="335"/>
        <v>4732.5299999999952</v>
      </c>
      <c r="O1017" s="92"/>
      <c r="P1017" s="92"/>
      <c r="Q1017" s="93"/>
      <c r="R1017" s="93"/>
      <c r="S1017" s="213"/>
      <c r="T1017" s="214"/>
      <c r="U1017" s="215"/>
      <c r="V1017" s="33"/>
      <c r="X1017" s="186"/>
      <c r="Y1017" s="186"/>
      <c r="Z1017" s="186"/>
      <c r="AA1017" s="186"/>
      <c r="AB1017" s="33"/>
      <c r="AC1017" s="33"/>
      <c r="AD1017" s="10"/>
    </row>
    <row r="1018" spans="1:30" s="40" customFormat="1" x14ac:dyDescent="0.25">
      <c r="A1018" s="271">
        <v>43568</v>
      </c>
      <c r="B1018" s="63" t="s">
        <v>177</v>
      </c>
      <c r="C1018" s="65" t="s">
        <v>179</v>
      </c>
      <c r="D1018" s="65" t="s">
        <v>178</v>
      </c>
      <c r="E1018" s="67" t="s">
        <v>192</v>
      </c>
      <c r="F1018" s="33">
        <v>5162.29</v>
      </c>
      <c r="G1018" s="33">
        <v>5043.22</v>
      </c>
      <c r="H1018" s="33">
        <v>5052.78</v>
      </c>
      <c r="I1018" s="33">
        <v>5015.88</v>
      </c>
      <c r="J1018" s="33">
        <v>5037.63</v>
      </c>
      <c r="K1018" s="33">
        <v>5188.75</v>
      </c>
      <c r="L1018" s="33">
        <v>5030.34</v>
      </c>
      <c r="M1018" s="33">
        <v>5062.71</v>
      </c>
      <c r="N1018" s="33">
        <v>5133.8999999999996</v>
      </c>
      <c r="O1018" s="86">
        <f>IF((N1019=""),"",MAX(F1020:N1020))</f>
        <v>4069.34</v>
      </c>
      <c r="P1018" s="86">
        <f>IF(N1019="","",MIN(F1020:N1020))</f>
        <v>3767.1000000000004</v>
      </c>
      <c r="Q1018" s="87">
        <f>IF((N1020=""),"",AVERAGE(F1020:N1020))</f>
        <v>3910.2555555555559</v>
      </c>
      <c r="R1018" s="87">
        <f>IF((N1019=""),"",(O1018-P1018)/(O1018+P1018)*100)</f>
        <v>3.8568533670901552</v>
      </c>
      <c r="S1018" s="181">
        <f>STDEV(F1020:N1020)</f>
        <v>94.928268591488546</v>
      </c>
      <c r="T1018" s="208" t="str">
        <f>IF(N1019="","",IF(Q1018&gt;3650,IF(R1018&lt;7,IF(Q1018&lt;4450,"Pass","Fail"),"Fail"),"Fail"))</f>
        <v>Pass</v>
      </c>
      <c r="U1018" s="220">
        <v>1159</v>
      </c>
      <c r="V1018" s="198"/>
      <c r="W1018" s="275"/>
      <c r="X1018" s="184">
        <v>3650</v>
      </c>
      <c r="Y1018" s="184">
        <v>4450</v>
      </c>
      <c r="Z1018" s="184">
        <v>3700</v>
      </c>
      <c r="AA1018" s="184">
        <v>4100</v>
      </c>
      <c r="AB1018" s="57">
        <v>6.5</v>
      </c>
      <c r="AC1018" s="57">
        <v>7</v>
      </c>
      <c r="AD1018" s="10"/>
    </row>
    <row r="1019" spans="1:30" s="40" customFormat="1" x14ac:dyDescent="0.25">
      <c r="A1019" s="272"/>
      <c r="B1019" s="47"/>
      <c r="C1019" s="24"/>
      <c r="D1019" s="24"/>
      <c r="E1019" s="88" t="s">
        <v>193</v>
      </c>
      <c r="F1019" s="33">
        <v>3273.38</v>
      </c>
      <c r="G1019" s="33">
        <v>3075.52</v>
      </c>
      <c r="H1019" s="33">
        <v>3074.54</v>
      </c>
      <c r="I1019" s="33">
        <v>3050.66</v>
      </c>
      <c r="J1019" s="33">
        <v>3154.08</v>
      </c>
      <c r="K1019" s="33">
        <v>3154.08</v>
      </c>
      <c r="L1019" s="33">
        <v>3068.56</v>
      </c>
      <c r="M1019" s="33">
        <v>3078.86</v>
      </c>
      <c r="N1019" s="33">
        <v>3201.67</v>
      </c>
      <c r="O1019" s="88"/>
      <c r="P1019" s="88"/>
      <c r="Q1019" s="89"/>
      <c r="R1019" s="89"/>
      <c r="S1019" s="210"/>
      <c r="T1019" s="28"/>
      <c r="U1019" s="217"/>
      <c r="V1019" s="198"/>
      <c r="W1019" s="275"/>
      <c r="X1019" s="186"/>
      <c r="Y1019" s="186"/>
      <c r="Z1019" s="186"/>
      <c r="AA1019" s="186"/>
      <c r="AB1019" s="33"/>
      <c r="AC1019" s="33"/>
      <c r="AD1019" s="10"/>
    </row>
    <row r="1020" spans="1:30" s="40" customFormat="1" ht="22.75" thickBot="1" x14ac:dyDescent="0.3">
      <c r="A1020" s="272"/>
      <c r="B1020" s="47"/>
      <c r="C1020" s="24"/>
      <c r="D1020" s="24"/>
      <c r="E1020" s="88" t="s">
        <v>194</v>
      </c>
      <c r="F1020" s="66">
        <f t="shared" ref="F1020:N1020" si="336">IF(((F1018="")*AND(F1019="")),"",(F1018-F1019)*2)</f>
        <v>3777.8199999999997</v>
      </c>
      <c r="G1020" s="66">
        <f t="shared" si="336"/>
        <v>3935.4000000000005</v>
      </c>
      <c r="H1020" s="66">
        <f t="shared" si="336"/>
        <v>3956.4799999999996</v>
      </c>
      <c r="I1020" s="66">
        <f t="shared" si="336"/>
        <v>3930.4400000000005</v>
      </c>
      <c r="J1020" s="66">
        <f t="shared" si="336"/>
        <v>3767.1000000000004</v>
      </c>
      <c r="K1020" s="66">
        <f t="shared" si="336"/>
        <v>4069.34</v>
      </c>
      <c r="L1020" s="66">
        <f t="shared" si="336"/>
        <v>3923.5600000000004</v>
      </c>
      <c r="M1020" s="66">
        <f t="shared" si="336"/>
        <v>3967.7</v>
      </c>
      <c r="N1020" s="66">
        <f t="shared" si="336"/>
        <v>3864.4599999999991</v>
      </c>
      <c r="O1020" s="88"/>
      <c r="P1020" s="88"/>
      <c r="Q1020" s="89"/>
      <c r="R1020" s="89"/>
      <c r="S1020" s="210"/>
      <c r="T1020" s="28"/>
      <c r="U1020" s="217"/>
      <c r="V1020" s="198"/>
      <c r="W1020" s="275"/>
      <c r="X1020" s="186"/>
      <c r="Y1020" s="186"/>
      <c r="Z1020" s="186"/>
      <c r="AA1020" s="186"/>
      <c r="AB1020" s="33"/>
      <c r="AC1020" s="33"/>
      <c r="AD1020" s="10"/>
    </row>
    <row r="1021" spans="1:30" s="40" customFormat="1" x14ac:dyDescent="0.25">
      <c r="A1021" s="271">
        <v>43568</v>
      </c>
      <c r="B1021" s="24" t="s">
        <v>172</v>
      </c>
      <c r="C1021" s="24" t="s">
        <v>174</v>
      </c>
      <c r="D1021" s="24" t="s">
        <v>195</v>
      </c>
      <c r="E1021" s="88" t="s">
        <v>192</v>
      </c>
      <c r="F1021" s="33">
        <v>1265.31</v>
      </c>
      <c r="G1021" s="33">
        <v>1255.78</v>
      </c>
      <c r="H1021" s="33">
        <v>1258.3699999999999</v>
      </c>
      <c r="I1021" s="33">
        <v>1262.32</v>
      </c>
      <c r="J1021" s="33">
        <v>1278.3800000000001</v>
      </c>
      <c r="K1021" s="33">
        <v>1270.97</v>
      </c>
      <c r="L1021" s="33">
        <v>1259.47</v>
      </c>
      <c r="M1021" s="33">
        <v>1255.24</v>
      </c>
      <c r="N1021" s="33">
        <v>1271.29</v>
      </c>
      <c r="O1021" s="88">
        <f>IF((N1022=""),"",MAX(F1023:N1023))</f>
        <v>2055.2999999999997</v>
      </c>
      <c r="P1021" s="88">
        <f>IF(N1022="","",MIN(F1023:N1023))</f>
        <v>2003.1</v>
      </c>
      <c r="Q1021" s="89">
        <f>IF((N1023=""),"",AVERAGE(F1023:N1023))</f>
        <v>2035.0033333333331</v>
      </c>
      <c r="R1021" s="89">
        <f>IF((N1022=""),"",(O1021-P1021)/(O1021+P1021)*100)</f>
        <v>1.2862211709047857</v>
      </c>
      <c r="S1021" s="210">
        <f>STDEV(F1023:N1023)</f>
        <v>17.03034570993783</v>
      </c>
      <c r="T1021" s="23" t="str">
        <f>IF(N1022="","",IF(Q1021&gt;1940,IF(R1021&lt;8.3,IF(Q1021&lt;2180,"Pass","Fail"),"Fail"),"Fail"))</f>
        <v>Pass</v>
      </c>
      <c r="U1021" s="220">
        <v>1428</v>
      </c>
      <c r="V1021" s="198"/>
      <c r="W1021" s="275"/>
      <c r="X1021" s="184">
        <v>2000</v>
      </c>
      <c r="Y1021" s="184">
        <v>3000</v>
      </c>
      <c r="Z1021" s="184">
        <v>1940</v>
      </c>
      <c r="AA1021" s="184">
        <v>2180</v>
      </c>
      <c r="AB1021" s="57">
        <v>5.2</v>
      </c>
      <c r="AC1021" s="33"/>
      <c r="AD1021" s="10"/>
    </row>
    <row r="1022" spans="1:30" s="40" customFormat="1" x14ac:dyDescent="0.25">
      <c r="A1022" s="272"/>
      <c r="B1022" s="47"/>
      <c r="C1022" s="24"/>
      <c r="D1022" s="24"/>
      <c r="E1022" s="88" t="s">
        <v>193</v>
      </c>
      <c r="F1022" s="33">
        <v>590.33000000000004</v>
      </c>
      <c r="G1022" s="33">
        <v>573.82000000000005</v>
      </c>
      <c r="H1022" s="33">
        <v>578.91999999999996</v>
      </c>
      <c r="I1022" s="33">
        <v>577.22</v>
      </c>
      <c r="J1022" s="33">
        <v>602.41</v>
      </c>
      <c r="K1022" s="33">
        <v>597.29</v>
      </c>
      <c r="L1022" s="33">
        <v>577.05999999999995</v>
      </c>
      <c r="M1022" s="33">
        <v>571.48</v>
      </c>
      <c r="N1022" s="33">
        <v>603.59</v>
      </c>
      <c r="O1022" s="88"/>
      <c r="P1022" s="88"/>
      <c r="Q1022" s="89"/>
      <c r="R1022" s="89"/>
      <c r="S1022" s="210"/>
      <c r="T1022" s="23"/>
      <c r="U1022" s="211"/>
      <c r="V1022" s="246"/>
      <c r="W1022" s="275"/>
      <c r="X1022" s="186"/>
      <c r="Y1022" s="186"/>
      <c r="Z1022" s="186"/>
      <c r="AA1022" s="186"/>
      <c r="AB1022" s="33"/>
      <c r="AC1022" s="33"/>
      <c r="AD1022" s="10"/>
    </row>
    <row r="1023" spans="1:30" s="40" customFormat="1" ht="13.3" thickBot="1" x14ac:dyDescent="0.3">
      <c r="A1023" s="272"/>
      <c r="B1023" s="47"/>
      <c r="C1023" s="24"/>
      <c r="D1023" s="24"/>
      <c r="E1023" s="88" t="s">
        <v>196</v>
      </c>
      <c r="F1023" s="66">
        <f t="shared" ref="F1023:N1023" si="337">IF(((F1021="")*AND(F1022="")),"",(F1021-F1022)*3)</f>
        <v>2024.9399999999996</v>
      </c>
      <c r="G1023" s="66">
        <f t="shared" si="337"/>
        <v>2045.8799999999997</v>
      </c>
      <c r="H1023" s="66">
        <f t="shared" si="337"/>
        <v>2038.35</v>
      </c>
      <c r="I1023" s="66">
        <f t="shared" si="337"/>
        <v>2055.2999999999997</v>
      </c>
      <c r="J1023" s="66">
        <f t="shared" si="337"/>
        <v>2027.9100000000003</v>
      </c>
      <c r="K1023" s="66">
        <f t="shared" si="337"/>
        <v>2021.0400000000002</v>
      </c>
      <c r="L1023" s="66">
        <f t="shared" si="337"/>
        <v>2047.2300000000002</v>
      </c>
      <c r="M1023" s="66">
        <f t="shared" si="337"/>
        <v>2051.2799999999997</v>
      </c>
      <c r="N1023" s="66">
        <f t="shared" si="337"/>
        <v>2003.1</v>
      </c>
      <c r="O1023" s="88"/>
      <c r="P1023" s="88"/>
      <c r="Q1023" s="89"/>
      <c r="R1023" s="89"/>
      <c r="S1023" s="210"/>
      <c r="T1023" s="23"/>
      <c r="U1023" s="211"/>
      <c r="V1023" s="246"/>
      <c r="W1023" s="275"/>
      <c r="X1023" s="186"/>
      <c r="Y1023" s="186"/>
      <c r="Z1023" s="186"/>
      <c r="AA1023" s="186"/>
      <c r="AB1023" s="33"/>
      <c r="AC1023" s="33"/>
      <c r="AD1023" s="10"/>
    </row>
    <row r="1024" spans="1:30" s="40" customFormat="1" x14ac:dyDescent="0.25">
      <c r="A1024" s="271">
        <v>43568</v>
      </c>
      <c r="B1024" s="47" t="s">
        <v>191</v>
      </c>
      <c r="C1024" s="24" t="s">
        <v>176</v>
      </c>
      <c r="D1024" s="24" t="s">
        <v>175</v>
      </c>
      <c r="E1024" s="88" t="s">
        <v>192</v>
      </c>
      <c r="F1024" s="33">
        <v>25983.01</v>
      </c>
      <c r="G1024" s="33">
        <v>26158.89</v>
      </c>
      <c r="H1024" s="33">
        <v>26168.31</v>
      </c>
      <c r="I1024" s="33">
        <v>26140.03</v>
      </c>
      <c r="J1024" s="33">
        <v>25953.34</v>
      </c>
      <c r="K1024" s="33">
        <v>25989.21</v>
      </c>
      <c r="L1024" s="33">
        <v>26126.95</v>
      </c>
      <c r="M1024" s="33">
        <v>26123.39</v>
      </c>
      <c r="N1024" s="33">
        <v>26006.82</v>
      </c>
      <c r="O1024" s="88">
        <f>IF((N1025=""),"",MAX(F1026:N1026))</f>
        <v>9298.5599999999904</v>
      </c>
      <c r="P1024" s="88">
        <f>IF(N1025="","",MIN(F1026:N1026))</f>
        <v>8017.5600000000013</v>
      </c>
      <c r="Q1024" s="89">
        <f>IF((N1026=""),"",AVERAGE(F1026:N1026))</f>
        <v>8729.9066666666677</v>
      </c>
      <c r="R1024" s="89">
        <f>IF((N1025=""),"",(O1024-P1024)/(O1024+P1024)*100)</f>
        <v>7.3977311314543313</v>
      </c>
      <c r="S1024" s="210">
        <f>STDEV(F1026:N1026)</f>
        <v>479.90423992709123</v>
      </c>
      <c r="T1024" s="23" t="str">
        <f>IF(N1025="","",IF(R1024&lt;16,IF(Q1024&gt;3200,IF(R1024,IF(Q1024&lt;5240,"Pass","Fail"),"Fail"),"Fail")))</f>
        <v>Fail</v>
      </c>
      <c r="U1024" s="220">
        <v>1428</v>
      </c>
      <c r="V1024" s="198"/>
      <c r="W1024" s="275"/>
      <c r="X1024" s="184">
        <v>4200</v>
      </c>
      <c r="Y1024" s="184">
        <v>5500</v>
      </c>
      <c r="Z1024" s="184">
        <v>3200</v>
      </c>
      <c r="AA1024" s="184">
        <v>5240</v>
      </c>
      <c r="AB1024" s="57">
        <v>16</v>
      </c>
      <c r="AC1024" s="33"/>
      <c r="AD1024" s="10"/>
    </row>
    <row r="1025" spans="1:30" s="40" customFormat="1" x14ac:dyDescent="0.25">
      <c r="A1025" s="272"/>
      <c r="B1025" s="47"/>
      <c r="C1025" s="24"/>
      <c r="D1025" s="24"/>
      <c r="E1025" s="88" t="s">
        <v>193</v>
      </c>
      <c r="F1025" s="33">
        <v>22883.49</v>
      </c>
      <c r="G1025" s="33">
        <v>23329.3</v>
      </c>
      <c r="H1025" s="33">
        <v>23495.79</v>
      </c>
      <c r="I1025" s="33">
        <v>23314.7</v>
      </c>
      <c r="J1025" s="33">
        <v>22905.8</v>
      </c>
      <c r="K1025" s="33">
        <v>22950.6</v>
      </c>
      <c r="L1025" s="33">
        <v>23334.91</v>
      </c>
      <c r="M1025" s="33">
        <v>23334.91</v>
      </c>
      <c r="N1025" s="33">
        <v>22910.73</v>
      </c>
      <c r="O1025" s="33"/>
      <c r="P1025" s="88"/>
      <c r="Q1025" s="89"/>
      <c r="R1025" s="89"/>
      <c r="S1025" s="210"/>
      <c r="T1025" s="23"/>
      <c r="U1025" s="211"/>
      <c r="V1025" s="246"/>
      <c r="W1025" s="275"/>
      <c r="X1025" s="186"/>
      <c r="Y1025" s="186"/>
      <c r="Z1025" s="186"/>
      <c r="AA1025" s="186"/>
      <c r="AB1025" s="33"/>
      <c r="AC1025" s="33"/>
      <c r="AD1025" s="10"/>
    </row>
    <row r="1026" spans="1:30" s="40" customFormat="1" ht="22.75" thickBot="1" x14ac:dyDescent="0.3">
      <c r="A1026" s="272"/>
      <c r="B1026" s="90"/>
      <c r="C1026" s="91"/>
      <c r="D1026" s="91"/>
      <c r="E1026" s="92" t="s">
        <v>194</v>
      </c>
      <c r="F1026" s="79">
        <f t="shared" ref="F1026:N1026" si="338">IF(((F1024="")*AND(F1025="")),"",(F1024-F1025)*3)</f>
        <v>9298.5599999999904</v>
      </c>
      <c r="G1026" s="79">
        <f t="shared" si="338"/>
        <v>8488.77</v>
      </c>
      <c r="H1026" s="79">
        <f t="shared" si="338"/>
        <v>8017.5600000000013</v>
      </c>
      <c r="I1026" s="79">
        <f t="shared" si="338"/>
        <v>8475.9899999999943</v>
      </c>
      <c r="J1026" s="79">
        <f t="shared" si="338"/>
        <v>9142.6200000000026</v>
      </c>
      <c r="K1026" s="79">
        <f t="shared" si="338"/>
        <v>9115.8300000000017</v>
      </c>
      <c r="L1026" s="79">
        <f t="shared" si="338"/>
        <v>8376.1200000000026</v>
      </c>
      <c r="M1026" s="79">
        <f t="shared" si="338"/>
        <v>8365.4399999999987</v>
      </c>
      <c r="N1026" s="79">
        <f t="shared" si="338"/>
        <v>9288.27</v>
      </c>
      <c r="O1026" s="92"/>
      <c r="P1026" s="92"/>
      <c r="Q1026" s="93"/>
      <c r="R1026" s="93"/>
      <c r="S1026" s="213"/>
      <c r="T1026" s="214"/>
      <c r="U1026" s="215"/>
      <c r="V1026" s="246"/>
      <c r="W1026" s="275"/>
      <c r="X1026" s="186"/>
      <c r="Y1026" s="186"/>
      <c r="Z1026" s="186"/>
      <c r="AA1026" s="186"/>
      <c r="AB1026" s="33"/>
      <c r="AC1026" s="33"/>
      <c r="AD1026" s="10"/>
    </row>
    <row r="1027" spans="1:30" s="40" customFormat="1" x14ac:dyDescent="0.25">
      <c r="A1027" s="271">
        <v>43568</v>
      </c>
      <c r="B1027" s="47" t="s">
        <v>191</v>
      </c>
      <c r="C1027" s="24" t="s">
        <v>176</v>
      </c>
      <c r="D1027" s="24" t="s">
        <v>175</v>
      </c>
      <c r="E1027" s="88" t="s">
        <v>192</v>
      </c>
      <c r="F1027" s="33">
        <v>29370.55</v>
      </c>
      <c r="G1027" s="33">
        <v>29279.26</v>
      </c>
      <c r="H1027" s="33">
        <v>29267.54</v>
      </c>
      <c r="I1027" s="33">
        <v>29267.14</v>
      </c>
      <c r="J1027" s="33">
        <v>29383.05</v>
      </c>
      <c r="K1027" s="33">
        <v>29340.73</v>
      </c>
      <c r="L1027" s="33">
        <v>29258.91</v>
      </c>
      <c r="M1027" s="33">
        <v>29258.59</v>
      </c>
      <c r="N1027" s="33">
        <v>29391.52</v>
      </c>
      <c r="O1027" s="88">
        <f>IF((N1028=""),"",MAX(F1029:N1029))</f>
        <v>4564.8300000000017</v>
      </c>
      <c r="P1027" s="88">
        <f>IF(N1028="","",MIN(F1029:N1029))</f>
        <v>4031.5800000000017</v>
      </c>
      <c r="Q1027" s="89">
        <f>IF((N1029=""),"",AVERAGE(F1029:N1029))</f>
        <v>4248.3033333333324</v>
      </c>
      <c r="R1027" s="89">
        <f>IF((N1028=""),"",(O1027-P1027)/(O1027+P1027)*100)</f>
        <v>6.2031708585328031</v>
      </c>
      <c r="S1027" s="210">
        <f>STDEV(F1029:N1029)</f>
        <v>192.64980515173247</v>
      </c>
      <c r="T1027" s="23" t="str">
        <f>IF(N1028="","",IF(R1027&lt;16,IF(Q1027&gt;3200,IF(R1027,IF(Q1027&lt;5240,"Pass","Fail"),"Fail"),"Fail")))</f>
        <v>Pass</v>
      </c>
      <c r="U1027" s="220">
        <v>1428</v>
      </c>
      <c r="V1027" s="198"/>
      <c r="W1027" s="33"/>
      <c r="X1027" s="184">
        <v>4200</v>
      </c>
      <c r="Y1027" s="184">
        <v>5500</v>
      </c>
      <c r="Z1027" s="184">
        <v>3200</v>
      </c>
      <c r="AA1027" s="184">
        <v>5240</v>
      </c>
      <c r="AB1027" s="57">
        <v>16</v>
      </c>
      <c r="AC1027" s="33"/>
      <c r="AD1027" s="10"/>
    </row>
    <row r="1028" spans="1:30" s="40" customFormat="1" x14ac:dyDescent="0.25">
      <c r="A1028" s="272"/>
      <c r="B1028" s="47"/>
      <c r="C1028" s="24"/>
      <c r="D1028" s="24"/>
      <c r="E1028" s="88" t="s">
        <v>193</v>
      </c>
      <c r="F1028" s="33">
        <v>27903.38</v>
      </c>
      <c r="G1028" s="33">
        <v>27907.33</v>
      </c>
      <c r="H1028" s="33">
        <v>27923.68</v>
      </c>
      <c r="I1028" s="33">
        <v>27898.75</v>
      </c>
      <c r="J1028" s="33">
        <v>27895.759999999998</v>
      </c>
      <c r="K1028" s="33">
        <v>27900.05</v>
      </c>
      <c r="L1028" s="33">
        <v>27897.88</v>
      </c>
      <c r="M1028" s="33">
        <v>27875.64</v>
      </c>
      <c r="N1028" s="33">
        <v>27869.91</v>
      </c>
      <c r="O1028" s="33"/>
      <c r="P1028" s="88"/>
      <c r="Q1028" s="89"/>
      <c r="R1028" s="89"/>
      <c r="S1028" s="210"/>
      <c r="T1028" s="23"/>
      <c r="U1028" s="211"/>
      <c r="V1028" s="246"/>
      <c r="W1028" s="33"/>
      <c r="X1028" s="186"/>
      <c r="Y1028" s="186"/>
      <c r="Z1028" s="186"/>
      <c r="AA1028" s="186"/>
      <c r="AB1028" s="33"/>
      <c r="AC1028" s="33"/>
      <c r="AD1028" s="10"/>
    </row>
    <row r="1029" spans="1:30" s="40" customFormat="1" ht="22.75" thickBot="1" x14ac:dyDescent="0.3">
      <c r="A1029" s="272"/>
      <c r="B1029" s="90"/>
      <c r="C1029" s="91"/>
      <c r="D1029" s="91"/>
      <c r="E1029" s="92" t="s">
        <v>194</v>
      </c>
      <c r="F1029" s="79">
        <f t="shared" ref="F1029:N1029" si="339">IF(((F1027="")*AND(F1028="")),"",(F1027-F1028)*3)</f>
        <v>4401.5099999999948</v>
      </c>
      <c r="G1029" s="79">
        <f t="shared" si="339"/>
        <v>4115.78999999999</v>
      </c>
      <c r="H1029" s="79">
        <f t="shared" si="339"/>
        <v>4031.5800000000017</v>
      </c>
      <c r="I1029" s="79">
        <f t="shared" si="339"/>
        <v>4105.1699999999983</v>
      </c>
      <c r="J1029" s="79">
        <f t="shared" si="339"/>
        <v>4461.8700000000026</v>
      </c>
      <c r="K1029" s="79">
        <f t="shared" si="339"/>
        <v>4322.0400000000009</v>
      </c>
      <c r="L1029" s="79">
        <f t="shared" si="339"/>
        <v>4083.0899999999965</v>
      </c>
      <c r="M1029" s="79">
        <f t="shared" si="339"/>
        <v>4148.8500000000022</v>
      </c>
      <c r="N1029" s="79">
        <f t="shared" si="339"/>
        <v>4564.8300000000017</v>
      </c>
      <c r="O1029" s="92"/>
      <c r="P1029" s="92"/>
      <c r="Q1029" s="93"/>
      <c r="R1029" s="93"/>
      <c r="S1029" s="213"/>
      <c r="T1029" s="214"/>
      <c r="U1029" s="215"/>
      <c r="V1029" s="246"/>
      <c r="W1029" s="33"/>
      <c r="X1029" s="186"/>
      <c r="Y1029" s="186"/>
      <c r="Z1029" s="186"/>
      <c r="AA1029" s="186"/>
      <c r="AB1029" s="33"/>
      <c r="AC1029" s="33"/>
      <c r="AD1029" s="10"/>
    </row>
    <row r="1030" spans="1:30" s="40" customFormat="1" x14ac:dyDescent="0.25">
      <c r="A1030" s="271">
        <v>43577</v>
      </c>
      <c r="B1030" s="63" t="s">
        <v>177</v>
      </c>
      <c r="C1030" s="65" t="s">
        <v>179</v>
      </c>
      <c r="D1030" s="65" t="s">
        <v>178</v>
      </c>
      <c r="E1030" s="67" t="s">
        <v>192</v>
      </c>
      <c r="F1030" s="33">
        <v>3277.2</v>
      </c>
      <c r="G1030" s="33">
        <v>3176.7</v>
      </c>
      <c r="H1030" s="33">
        <v>3189.2</v>
      </c>
      <c r="I1030" s="33">
        <v>3181.2</v>
      </c>
      <c r="J1030" s="33">
        <v>3279.8</v>
      </c>
      <c r="K1030" s="33">
        <v>3272.8</v>
      </c>
      <c r="L1030" s="33">
        <v>3212.3</v>
      </c>
      <c r="M1030" s="33">
        <v>3230</v>
      </c>
      <c r="N1030" s="33">
        <v>3512.8</v>
      </c>
      <c r="O1030" s="86">
        <f>IF((N1031=""),"",MAX(F1032:N1032))</f>
        <v>4252.2</v>
      </c>
      <c r="P1030" s="86">
        <f>IF(N1031="","",MIN(F1032:N1032))</f>
        <v>3720.6000000000004</v>
      </c>
      <c r="Q1030" s="87">
        <f>IF((N1032=""),"",AVERAGE(F1032:N1032))</f>
        <v>4088.7777777777778</v>
      </c>
      <c r="R1030" s="87">
        <f>IF((N1031=""),"",(O1030-P1030)/(O1030+P1030)*100)</f>
        <v>6.6676700782660987</v>
      </c>
      <c r="S1030" s="181">
        <f>STDEV(F1032:N1032)</f>
        <v>187.42319612162311</v>
      </c>
      <c r="T1030" s="208" t="str">
        <f>IF(N1031="","",IF(Q1030&gt;3650,IF(R1030&lt;7,IF(Q1030&lt;4450,"Pass","Fail"),"Fail"),"Fail"))</f>
        <v>Pass</v>
      </c>
      <c r="U1030" s="220">
        <v>1159</v>
      </c>
      <c r="V1030" s="198"/>
      <c r="W1030" s="275"/>
      <c r="X1030" s="184">
        <v>3650</v>
      </c>
      <c r="Y1030" s="184">
        <v>4450</v>
      </c>
      <c r="Z1030" s="184">
        <v>3700</v>
      </c>
      <c r="AA1030" s="184">
        <v>4100</v>
      </c>
      <c r="AB1030" s="57">
        <v>6.5</v>
      </c>
      <c r="AC1030" s="57">
        <v>7</v>
      </c>
      <c r="AD1030" s="10"/>
    </row>
    <row r="1031" spans="1:30" s="40" customFormat="1" x14ac:dyDescent="0.25">
      <c r="A1031" s="272"/>
      <c r="B1031" s="47"/>
      <c r="C1031" s="24"/>
      <c r="D1031" s="24"/>
      <c r="E1031" s="88" t="s">
        <v>193</v>
      </c>
      <c r="F1031" s="33">
        <v>1286.2</v>
      </c>
      <c r="G1031" s="33">
        <v>1057.2</v>
      </c>
      <c r="H1031" s="33">
        <v>1063.0999999999999</v>
      </c>
      <c r="I1031" s="33">
        <v>1068.5999999999999</v>
      </c>
      <c r="J1031" s="33">
        <v>1329.2</v>
      </c>
      <c r="K1031" s="33">
        <v>1243.8</v>
      </c>
      <c r="L1031" s="33">
        <v>1099.5</v>
      </c>
      <c r="M1031" s="33">
        <v>1132.4000000000001</v>
      </c>
      <c r="N1031" s="33">
        <v>1652.5</v>
      </c>
      <c r="O1031" s="88"/>
      <c r="P1031" s="88"/>
      <c r="Q1031" s="89"/>
      <c r="R1031" s="89"/>
      <c r="S1031" s="210"/>
      <c r="T1031" s="28"/>
      <c r="U1031" s="217"/>
      <c r="V1031" s="198"/>
      <c r="W1031" s="275"/>
      <c r="X1031" s="186"/>
      <c r="Y1031" s="186"/>
      <c r="Z1031" s="186"/>
      <c r="AA1031" s="186"/>
      <c r="AB1031" s="33"/>
      <c r="AC1031" s="33"/>
      <c r="AD1031" s="10"/>
    </row>
    <row r="1032" spans="1:30" s="40" customFormat="1" ht="22.75" thickBot="1" x14ac:dyDescent="0.3">
      <c r="A1032" s="272"/>
      <c r="B1032" s="47"/>
      <c r="C1032" s="24"/>
      <c r="D1032" s="24"/>
      <c r="E1032" s="88" t="s">
        <v>194</v>
      </c>
      <c r="F1032" s="66">
        <f t="shared" ref="F1032:N1032" si="340">IF(((F1030="")*AND(F1031="")),"",(F1030-F1031)*2)</f>
        <v>3981.9999999999995</v>
      </c>
      <c r="G1032" s="66">
        <f t="shared" si="340"/>
        <v>4239</v>
      </c>
      <c r="H1032" s="66">
        <f t="shared" si="340"/>
        <v>4252.2</v>
      </c>
      <c r="I1032" s="66">
        <f t="shared" si="340"/>
        <v>4225.2</v>
      </c>
      <c r="J1032" s="66">
        <f t="shared" si="340"/>
        <v>3901.2000000000003</v>
      </c>
      <c r="K1032" s="66">
        <f t="shared" si="340"/>
        <v>4058.0000000000005</v>
      </c>
      <c r="L1032" s="66">
        <f t="shared" si="340"/>
        <v>4225.6000000000004</v>
      </c>
      <c r="M1032" s="66">
        <f t="shared" si="340"/>
        <v>4195.2</v>
      </c>
      <c r="N1032" s="66">
        <f t="shared" si="340"/>
        <v>3720.6000000000004</v>
      </c>
      <c r="O1032" s="88"/>
      <c r="P1032" s="88"/>
      <c r="Q1032" s="89"/>
      <c r="R1032" s="89"/>
      <c r="S1032" s="210"/>
      <c r="T1032" s="28"/>
      <c r="U1032" s="217"/>
      <c r="V1032" s="198"/>
      <c r="W1032" s="275"/>
      <c r="X1032" s="186"/>
      <c r="Y1032" s="186"/>
      <c r="Z1032" s="186"/>
      <c r="AA1032" s="186"/>
      <c r="AB1032" s="33"/>
      <c r="AC1032" s="33"/>
      <c r="AD1032" s="10"/>
    </row>
    <row r="1033" spans="1:30" s="40" customFormat="1" x14ac:dyDescent="0.25">
      <c r="A1033" s="271">
        <v>43577</v>
      </c>
      <c r="B1033" s="24" t="s">
        <v>172</v>
      </c>
      <c r="C1033" s="24" t="s">
        <v>174</v>
      </c>
      <c r="D1033" s="24" t="s">
        <v>195</v>
      </c>
      <c r="E1033" s="88" t="s">
        <v>192</v>
      </c>
      <c r="F1033" s="33">
        <v>2012.6</v>
      </c>
      <c r="G1033" s="33">
        <v>2009.4</v>
      </c>
      <c r="H1033" s="33">
        <v>1998.2</v>
      </c>
      <c r="I1033" s="33">
        <v>2011.4</v>
      </c>
      <c r="J1033" s="33">
        <v>2016.2</v>
      </c>
      <c r="K1033" s="33">
        <v>2015.5</v>
      </c>
      <c r="L1033" s="33">
        <v>2007.4</v>
      </c>
      <c r="M1033" s="33">
        <v>2013.6</v>
      </c>
      <c r="N1033" s="33">
        <v>2018.8</v>
      </c>
      <c r="O1033" s="88">
        <f>IF((N1034=""),"",MAX(F1035:N1035))</f>
        <v>2204.7000000000003</v>
      </c>
      <c r="P1033" s="88">
        <f>IF(N1034="","",MIN(F1035:N1035))</f>
        <v>2121.8999999999996</v>
      </c>
      <c r="Q1033" s="89">
        <f>IF((N1035=""),"",AVERAGE(F1035:N1035))</f>
        <v>2171.3366666666666</v>
      </c>
      <c r="R1033" s="89">
        <f>IF((N1034=""),"",(O1033-P1033)/(O1033+P1033)*100)</f>
        <v>1.9137428928026772</v>
      </c>
      <c r="S1033" s="210">
        <f>STDEV(F1035:N1035)</f>
        <v>26.070562901479629</v>
      </c>
      <c r="T1033" s="23" t="str">
        <f>IF(N1034="","",IF(Q1033&gt;1940,IF(R1033&lt;8.3,IF(Q1033&lt;2180,"Pass","Fail"),"Fail"),"Fail"))</f>
        <v>Pass</v>
      </c>
      <c r="U1033" s="220">
        <v>1428</v>
      </c>
      <c r="V1033" s="198"/>
      <c r="W1033" s="275"/>
      <c r="X1033" s="184">
        <v>2000</v>
      </c>
      <c r="Y1033" s="184">
        <v>3000</v>
      </c>
      <c r="Z1033" s="184">
        <v>1940</v>
      </c>
      <c r="AA1033" s="184">
        <v>2180</v>
      </c>
      <c r="AB1033" s="57">
        <v>5.2</v>
      </c>
      <c r="AC1033" s="33"/>
      <c r="AD1033" s="10"/>
    </row>
    <row r="1034" spans="1:30" s="40" customFormat="1" x14ac:dyDescent="0.25">
      <c r="A1034" s="272"/>
      <c r="B1034" s="47"/>
      <c r="C1034" s="24"/>
      <c r="D1034" s="24"/>
      <c r="E1034" s="88" t="s">
        <v>193</v>
      </c>
      <c r="F1034" s="33">
        <v>1283.0899999999999</v>
      </c>
      <c r="G1034" s="33">
        <v>1274.5</v>
      </c>
      <c r="H1034" s="33">
        <v>1275.78</v>
      </c>
      <c r="I1034" s="33">
        <v>1285.1199999999999</v>
      </c>
      <c r="J1034" s="33">
        <v>1308.9000000000001</v>
      </c>
      <c r="K1034" s="33">
        <v>1295.4000000000001</v>
      </c>
      <c r="L1034" s="33">
        <v>1281.9000000000001</v>
      </c>
      <c r="M1034" s="33">
        <v>1280.9000000000001</v>
      </c>
      <c r="N1034" s="33">
        <v>1303.5</v>
      </c>
      <c r="O1034" s="88"/>
      <c r="P1034" s="88"/>
      <c r="Q1034" s="89"/>
      <c r="R1034" s="89"/>
      <c r="S1034" s="210"/>
      <c r="T1034" s="23"/>
      <c r="U1034" s="211"/>
      <c r="V1034" s="246"/>
      <c r="W1034" s="275"/>
      <c r="X1034" s="186"/>
      <c r="Y1034" s="186"/>
      <c r="Z1034" s="186"/>
      <c r="AA1034" s="186"/>
      <c r="AB1034" s="33"/>
      <c r="AC1034" s="33"/>
      <c r="AD1034" s="10"/>
    </row>
    <row r="1035" spans="1:30" s="40" customFormat="1" ht="13.3" thickBot="1" x14ac:dyDescent="0.3">
      <c r="A1035" s="272"/>
      <c r="B1035" s="47"/>
      <c r="C1035" s="24"/>
      <c r="D1035" s="24"/>
      <c r="E1035" s="88" t="s">
        <v>196</v>
      </c>
      <c r="F1035" s="66">
        <f t="shared" ref="F1035:N1035" si="341">IF(((F1033="")*AND(F1034="")),"",(F1033-F1034)*3)</f>
        <v>2188.5299999999997</v>
      </c>
      <c r="G1035" s="66">
        <f t="shared" si="341"/>
        <v>2204.7000000000003</v>
      </c>
      <c r="H1035" s="66">
        <f t="shared" si="341"/>
        <v>2167.2600000000002</v>
      </c>
      <c r="I1035" s="66">
        <f t="shared" si="341"/>
        <v>2178.8400000000006</v>
      </c>
      <c r="J1035" s="66">
        <f t="shared" si="341"/>
        <v>2121.8999999999996</v>
      </c>
      <c r="K1035" s="66">
        <f t="shared" si="341"/>
        <v>2160.2999999999997</v>
      </c>
      <c r="L1035" s="66">
        <f t="shared" si="341"/>
        <v>2176.5</v>
      </c>
      <c r="M1035" s="66">
        <f t="shared" si="341"/>
        <v>2198.0999999999995</v>
      </c>
      <c r="N1035" s="66">
        <f t="shared" si="341"/>
        <v>2145.8999999999996</v>
      </c>
      <c r="O1035" s="88"/>
      <c r="P1035" s="88"/>
      <c r="Q1035" s="89"/>
      <c r="R1035" s="89"/>
      <c r="S1035" s="210"/>
      <c r="T1035" s="23"/>
      <c r="U1035" s="211"/>
      <c r="V1035" s="246"/>
      <c r="W1035" s="275"/>
      <c r="X1035" s="186"/>
      <c r="Y1035" s="186"/>
      <c r="Z1035" s="186"/>
      <c r="AA1035" s="186"/>
      <c r="AB1035" s="33"/>
      <c r="AC1035" s="33"/>
      <c r="AD1035" s="10"/>
    </row>
    <row r="1036" spans="1:30" s="40" customFormat="1" x14ac:dyDescent="0.25">
      <c r="A1036" s="271">
        <v>43577</v>
      </c>
      <c r="B1036" s="47" t="s">
        <v>191</v>
      </c>
      <c r="C1036" s="24" t="s">
        <v>176</v>
      </c>
      <c r="D1036" s="24" t="s">
        <v>175</v>
      </c>
      <c r="E1036" s="88" t="s">
        <v>192</v>
      </c>
      <c r="F1036" s="33">
        <v>27771.5</v>
      </c>
      <c r="G1036" s="33">
        <v>27773.599999999999</v>
      </c>
      <c r="H1036" s="33">
        <v>27807.7</v>
      </c>
      <c r="I1036" s="33">
        <v>27773.5</v>
      </c>
      <c r="J1036" s="33">
        <v>27768.7</v>
      </c>
      <c r="K1036" s="33">
        <v>27784.400000000001</v>
      </c>
      <c r="L1036" s="33">
        <v>27781.9</v>
      </c>
      <c r="M1036" s="33">
        <v>27754.2</v>
      </c>
      <c r="N1036" s="33">
        <v>27741.8</v>
      </c>
      <c r="O1036" s="88">
        <f>IF((N1037=""),"",MAX(F1038:N1038))</f>
        <v>4934.7000000000044</v>
      </c>
      <c r="P1036" s="88">
        <f>IF(N1037="","",MIN(F1038:N1038))</f>
        <v>4148.3999999999978</v>
      </c>
      <c r="Q1036" s="89">
        <f>IF((N1038=""),"",AVERAGE(F1038:N1038))</f>
        <v>4531.0666666666675</v>
      </c>
      <c r="R1036" s="89">
        <f>IF((N1037=""),"",(O1036-P1036)/(O1036+P1036)*100)</f>
        <v>8.6567361363411859</v>
      </c>
      <c r="S1036" s="210">
        <f>STDEV(F1038:N1038)</f>
        <v>364.20723153172059</v>
      </c>
      <c r="T1036" s="23" t="str">
        <f>IF(N1037="","",IF(R1036&lt;16,IF(Q1036&gt;3200,IF(R1036,IF(Q1036&lt;5240,"Pass","Fail"),"Fail"),"Fail")))</f>
        <v>Pass</v>
      </c>
      <c r="U1036" s="220">
        <v>1428</v>
      </c>
      <c r="V1036" s="198"/>
      <c r="W1036" s="275"/>
      <c r="X1036" s="184">
        <v>4200</v>
      </c>
      <c r="Y1036" s="184">
        <v>5500</v>
      </c>
      <c r="Z1036" s="184">
        <v>3200</v>
      </c>
      <c r="AA1036" s="184">
        <v>5240</v>
      </c>
      <c r="AB1036" s="57">
        <v>16</v>
      </c>
      <c r="AC1036" s="33"/>
      <c r="AD1036" s="10"/>
    </row>
    <row r="1037" spans="1:30" s="40" customFormat="1" x14ac:dyDescent="0.25">
      <c r="A1037" s="272"/>
      <c r="B1037" s="47"/>
      <c r="C1037" s="24"/>
      <c r="D1037" s="24"/>
      <c r="E1037" s="88" t="s">
        <v>193</v>
      </c>
      <c r="F1037" s="33">
        <v>26126.6</v>
      </c>
      <c r="G1037" s="33">
        <v>26362.400000000001</v>
      </c>
      <c r="H1037" s="33">
        <v>26424.9</v>
      </c>
      <c r="I1037" s="33">
        <v>26359.5</v>
      </c>
      <c r="J1037" s="33">
        <v>26131.4</v>
      </c>
      <c r="K1037" s="33">
        <v>26153.4</v>
      </c>
      <c r="L1037" s="33">
        <v>26368.5</v>
      </c>
      <c r="M1037" s="33">
        <v>26333.599999999999</v>
      </c>
      <c r="N1037" s="33">
        <v>26103.8</v>
      </c>
      <c r="O1037" s="33"/>
      <c r="P1037" s="88"/>
      <c r="Q1037" s="89"/>
      <c r="R1037" s="89"/>
      <c r="S1037" s="210"/>
      <c r="T1037" s="23"/>
      <c r="U1037" s="211"/>
      <c r="V1037" s="246"/>
      <c r="W1037" s="275"/>
      <c r="X1037" s="186"/>
      <c r="Y1037" s="186"/>
      <c r="Z1037" s="186"/>
      <c r="AA1037" s="186"/>
      <c r="AB1037" s="33"/>
      <c r="AC1037" s="33"/>
      <c r="AD1037" s="10"/>
    </row>
    <row r="1038" spans="1:30" s="40" customFormat="1" ht="22.75" thickBot="1" x14ac:dyDescent="0.3">
      <c r="A1038" s="272"/>
      <c r="B1038" s="90"/>
      <c r="C1038" s="91"/>
      <c r="D1038" s="91"/>
      <c r="E1038" s="92" t="s">
        <v>194</v>
      </c>
      <c r="F1038" s="79">
        <f t="shared" ref="F1038:N1038" si="342">IF(((F1036="")*AND(F1037="")),"",(F1036-F1037)*3)</f>
        <v>4934.7000000000044</v>
      </c>
      <c r="G1038" s="79">
        <f t="shared" si="342"/>
        <v>4233.5999999999913</v>
      </c>
      <c r="H1038" s="79">
        <f t="shared" si="342"/>
        <v>4148.3999999999978</v>
      </c>
      <c r="I1038" s="79">
        <f t="shared" si="342"/>
        <v>4242</v>
      </c>
      <c r="J1038" s="79">
        <f t="shared" si="342"/>
        <v>4911.8999999999978</v>
      </c>
      <c r="K1038" s="79">
        <f t="shared" si="342"/>
        <v>4893</v>
      </c>
      <c r="L1038" s="79">
        <f t="shared" si="342"/>
        <v>4240.2000000000044</v>
      </c>
      <c r="M1038" s="79">
        <f t="shared" si="342"/>
        <v>4261.8000000000065</v>
      </c>
      <c r="N1038" s="79">
        <f t="shared" si="342"/>
        <v>4914</v>
      </c>
      <c r="O1038" s="92"/>
      <c r="P1038" s="92"/>
      <c r="Q1038" s="93"/>
      <c r="R1038" s="93"/>
      <c r="S1038" s="213"/>
      <c r="T1038" s="214"/>
      <c r="U1038" s="215"/>
      <c r="V1038" s="246"/>
      <c r="W1038" s="275"/>
      <c r="X1038" s="186"/>
      <c r="Y1038" s="186"/>
      <c r="Z1038" s="186"/>
      <c r="AA1038" s="186"/>
      <c r="AB1038" s="33"/>
      <c r="AC1038" s="33"/>
      <c r="AD1038" s="10"/>
    </row>
    <row r="1039" spans="1:30" s="40" customFormat="1" x14ac:dyDescent="0.25">
      <c r="A1039" s="271">
        <v>43581</v>
      </c>
      <c r="B1039" s="63" t="s">
        <v>177</v>
      </c>
      <c r="C1039" s="65" t="s">
        <v>179</v>
      </c>
      <c r="D1039" s="65" t="s">
        <v>178</v>
      </c>
      <c r="E1039" s="67" t="s">
        <v>192</v>
      </c>
      <c r="F1039" s="33">
        <v>6971.21</v>
      </c>
      <c r="G1039" s="33">
        <v>6953.23</v>
      </c>
      <c r="H1039" s="33">
        <v>6970.1</v>
      </c>
      <c r="I1039" s="33">
        <v>6913.28</v>
      </c>
      <c r="J1039" s="33">
        <v>6831.42</v>
      </c>
      <c r="K1039" s="33">
        <v>6902.73</v>
      </c>
      <c r="L1039" s="33">
        <v>6925.35</v>
      </c>
      <c r="M1039" s="33">
        <v>6986.35</v>
      </c>
      <c r="N1039" s="33">
        <v>6998.53</v>
      </c>
      <c r="O1039" s="86">
        <f>IF((N1040=""),"",MAX(F1041:N1041))</f>
        <v>3932.3000000000011</v>
      </c>
      <c r="P1039" s="86">
        <f>IF(N1040="","",MIN(F1041:N1041))</f>
        <v>3572.7999999999993</v>
      </c>
      <c r="Q1039" s="87">
        <f>IF((N1041=""),"",AVERAGE(F1041:N1041))</f>
        <v>3824.1777777777775</v>
      </c>
      <c r="R1039" s="87">
        <f>IF((N1040=""),"",(O1039-P1039)/(O1039+P1039)*100)</f>
        <v>4.7900760815978707</v>
      </c>
      <c r="S1039" s="181">
        <f>STDEV(F1041:N1041)</f>
        <v>120.23788938784857</v>
      </c>
      <c r="T1039" s="208" t="str">
        <f>IF(N1040="","",IF(Q1039&gt;3650,IF(R1039&lt;7,IF(Q1039&lt;4450,"Pass","Fail"),"Fail"),"Fail"))</f>
        <v>Pass</v>
      </c>
      <c r="U1039" s="220">
        <v>74</v>
      </c>
      <c r="V1039" s="198"/>
      <c r="W1039" s="33"/>
      <c r="X1039" s="184">
        <v>3650</v>
      </c>
      <c r="Y1039" s="184">
        <v>4450</v>
      </c>
      <c r="Z1039" s="184">
        <v>3700</v>
      </c>
      <c r="AA1039" s="184">
        <v>4100</v>
      </c>
      <c r="AB1039" s="57">
        <v>6.5</v>
      </c>
      <c r="AC1039" s="57">
        <v>7</v>
      </c>
      <c r="AD1039" s="10"/>
    </row>
    <row r="1040" spans="1:30" s="40" customFormat="1" x14ac:dyDescent="0.25">
      <c r="A1040" s="272"/>
      <c r="B1040" s="47"/>
      <c r="C1040" s="24"/>
      <c r="D1040" s="24"/>
      <c r="E1040" s="88" t="s">
        <v>193</v>
      </c>
      <c r="F1040" s="33">
        <v>5100.32</v>
      </c>
      <c r="G1040" s="33">
        <v>5003.17</v>
      </c>
      <c r="H1040" s="33">
        <v>5009.54</v>
      </c>
      <c r="I1040" s="33">
        <v>4967.3900000000003</v>
      </c>
      <c r="J1040" s="33">
        <v>4968.1000000000004</v>
      </c>
      <c r="K1040" s="33">
        <v>5116.33</v>
      </c>
      <c r="L1040" s="33">
        <v>4979.75</v>
      </c>
      <c r="M1040" s="33">
        <v>5020.2</v>
      </c>
      <c r="N1040" s="33">
        <v>5078.6000000000004</v>
      </c>
      <c r="O1040" s="88"/>
      <c r="P1040" s="88"/>
      <c r="Q1040" s="89"/>
      <c r="R1040" s="89"/>
      <c r="S1040" s="210"/>
      <c r="T1040" s="28"/>
      <c r="U1040" s="217"/>
      <c r="V1040" s="198"/>
      <c r="W1040" s="33"/>
      <c r="X1040" s="186"/>
      <c r="Y1040" s="186"/>
      <c r="Z1040" s="186"/>
      <c r="AA1040" s="186"/>
      <c r="AB1040" s="33"/>
      <c r="AC1040" s="33"/>
      <c r="AD1040" s="10"/>
    </row>
    <row r="1041" spans="1:30" s="40" customFormat="1" ht="22.75" thickBot="1" x14ac:dyDescent="0.3">
      <c r="A1041" s="272"/>
      <c r="B1041" s="47"/>
      <c r="C1041" s="24"/>
      <c r="D1041" s="24"/>
      <c r="E1041" s="88" t="s">
        <v>194</v>
      </c>
      <c r="F1041" s="66">
        <f t="shared" ref="F1041:N1041" si="343">IF(((F1039="")*AND(F1040="")),"",(F1039-F1040)*2)</f>
        <v>3741.7800000000007</v>
      </c>
      <c r="G1041" s="66">
        <f t="shared" si="343"/>
        <v>3900.119999999999</v>
      </c>
      <c r="H1041" s="66">
        <f t="shared" si="343"/>
        <v>3921.1200000000008</v>
      </c>
      <c r="I1041" s="66">
        <f t="shared" si="343"/>
        <v>3891.7799999999988</v>
      </c>
      <c r="J1041" s="66">
        <f t="shared" si="343"/>
        <v>3726.6399999999994</v>
      </c>
      <c r="K1041" s="66">
        <f t="shared" si="343"/>
        <v>3572.7999999999993</v>
      </c>
      <c r="L1041" s="66">
        <f t="shared" si="343"/>
        <v>3891.2000000000007</v>
      </c>
      <c r="M1041" s="66">
        <f t="shared" si="343"/>
        <v>3932.3000000000011</v>
      </c>
      <c r="N1041" s="66">
        <f t="shared" si="343"/>
        <v>3839.8599999999988</v>
      </c>
      <c r="O1041" s="88"/>
      <c r="P1041" s="88"/>
      <c r="Q1041" s="89"/>
      <c r="R1041" s="89"/>
      <c r="S1041" s="210"/>
      <c r="T1041" s="28"/>
      <c r="U1041" s="217"/>
      <c r="V1041" s="198"/>
      <c r="W1041" s="33"/>
      <c r="X1041" s="186"/>
      <c r="Y1041" s="186"/>
      <c r="Z1041" s="186"/>
      <c r="AA1041" s="186"/>
      <c r="AB1041" s="33"/>
      <c r="AC1041" s="33"/>
      <c r="AD1041" s="10"/>
    </row>
    <row r="1042" spans="1:30" x14ac:dyDescent="0.25">
      <c r="A1042" s="271">
        <v>43581</v>
      </c>
      <c r="B1042" s="24" t="s">
        <v>172</v>
      </c>
      <c r="C1042" s="24" t="s">
        <v>174</v>
      </c>
      <c r="D1042" s="24" t="s">
        <v>195</v>
      </c>
      <c r="E1042" s="88" t="s">
        <v>192</v>
      </c>
      <c r="F1042" s="33">
        <v>1957.03</v>
      </c>
      <c r="G1042" s="33">
        <v>1952.41</v>
      </c>
      <c r="H1042" s="33">
        <v>1952.66</v>
      </c>
      <c r="I1042" s="33">
        <v>1952.94</v>
      </c>
      <c r="J1042" s="33">
        <v>1956.39</v>
      </c>
      <c r="K1042" s="33">
        <v>1957.09</v>
      </c>
      <c r="L1042" s="33">
        <v>1954.16</v>
      </c>
      <c r="M1042" s="33">
        <v>1949.49</v>
      </c>
      <c r="N1042" s="33">
        <v>1958.18</v>
      </c>
      <c r="O1042" s="88">
        <f>IF((N1043=""),"",MAX(F1044:N1044))</f>
        <v>2044.5</v>
      </c>
      <c r="P1042" s="88">
        <f>IF(N1043="","",MIN(F1044:N1044))</f>
        <v>2002.6800000000005</v>
      </c>
      <c r="Q1042" s="89">
        <f>IF((N1044=""),"",AVERAGE(F1044:N1044))</f>
        <v>2024.25</v>
      </c>
      <c r="R1042" s="89">
        <f>IF((N1043=""),"",(O1042-P1042)/(O1042+P1042)*100)</f>
        <v>1.033312083969566</v>
      </c>
      <c r="S1042" s="210">
        <f>STDEV(F1044:N1044)</f>
        <v>14.496077917836894</v>
      </c>
      <c r="T1042" s="23" t="str">
        <f>IF(N1043="","",IF(Q1042&gt;1940,IF(R1042&lt;8.3,IF(Q1042&lt;2180,"Pass","Fail"),"Fail"),"Fail"))</f>
        <v>Pass</v>
      </c>
      <c r="U1042" s="220">
        <v>74</v>
      </c>
      <c r="V1042" s="198"/>
      <c r="W1042" s="33"/>
      <c r="X1042" s="184">
        <v>2000</v>
      </c>
      <c r="Y1042" s="184">
        <v>3000</v>
      </c>
      <c r="Z1042" s="184">
        <v>1940</v>
      </c>
      <c r="AA1042" s="184">
        <v>2180</v>
      </c>
      <c r="AB1042" s="57">
        <v>5.2</v>
      </c>
    </row>
    <row r="1043" spans="1:30" x14ac:dyDescent="0.25">
      <c r="A1043" s="272"/>
      <c r="B1043" s="47"/>
      <c r="C1043" s="24"/>
      <c r="D1043" s="24"/>
      <c r="E1043" s="88" t="s">
        <v>193</v>
      </c>
      <c r="F1043" s="33">
        <v>1287.54</v>
      </c>
      <c r="G1043" s="33">
        <v>1273.04</v>
      </c>
      <c r="H1043" s="33">
        <v>1274.46</v>
      </c>
      <c r="I1043" s="33">
        <v>1275.92</v>
      </c>
      <c r="J1043" s="33">
        <v>1285.71</v>
      </c>
      <c r="K1043" s="33">
        <v>1284.46</v>
      </c>
      <c r="L1043" s="33">
        <v>1272.6600000000001</v>
      </c>
      <c r="M1043" s="33">
        <v>1273.19</v>
      </c>
      <c r="N1043" s="33">
        <v>1290.6199999999999</v>
      </c>
      <c r="O1043" s="88"/>
      <c r="P1043" s="88"/>
      <c r="Q1043" s="89"/>
      <c r="R1043" s="89"/>
      <c r="S1043" s="210"/>
      <c r="T1043" s="23"/>
      <c r="U1043" s="211"/>
      <c r="V1043" s="246"/>
      <c r="W1043" s="33"/>
      <c r="X1043" s="186"/>
      <c r="Y1043" s="186"/>
      <c r="Z1043" s="186"/>
      <c r="AA1043" s="186"/>
    </row>
    <row r="1044" spans="1:30" ht="13.3" thickBot="1" x14ac:dyDescent="0.3">
      <c r="A1044" s="272"/>
      <c r="B1044" s="47"/>
      <c r="C1044" s="24"/>
      <c r="D1044" s="24"/>
      <c r="E1044" s="88" t="s">
        <v>196</v>
      </c>
      <c r="F1044" s="66">
        <f t="shared" ref="F1044:N1044" si="344">IF(((F1042="")*AND(F1043="")),"",(F1042-F1043)*3)</f>
        <v>2008.47</v>
      </c>
      <c r="G1044" s="66">
        <f t="shared" si="344"/>
        <v>2038.1100000000004</v>
      </c>
      <c r="H1044" s="66">
        <f t="shared" si="344"/>
        <v>2034.6000000000001</v>
      </c>
      <c r="I1044" s="66">
        <f t="shared" si="344"/>
        <v>2031.06</v>
      </c>
      <c r="J1044" s="66">
        <f t="shared" si="344"/>
        <v>2012.0400000000002</v>
      </c>
      <c r="K1044" s="66">
        <f t="shared" si="344"/>
        <v>2017.8899999999996</v>
      </c>
      <c r="L1044" s="66">
        <f t="shared" si="344"/>
        <v>2044.5</v>
      </c>
      <c r="M1044" s="66">
        <f t="shared" si="344"/>
        <v>2028.8999999999999</v>
      </c>
      <c r="N1044" s="66">
        <f t="shared" si="344"/>
        <v>2002.6800000000005</v>
      </c>
      <c r="O1044" s="88"/>
      <c r="P1044" s="88"/>
      <c r="Q1044" s="89"/>
      <c r="R1044" s="89"/>
      <c r="S1044" s="210"/>
      <c r="T1044" s="23"/>
      <c r="U1044" s="211"/>
      <c r="V1044" s="246"/>
      <c r="W1044" s="33"/>
      <c r="X1044" s="186"/>
      <c r="Y1044" s="186"/>
      <c r="Z1044" s="186"/>
      <c r="AA1044" s="186"/>
    </row>
    <row r="1045" spans="1:30" x14ac:dyDescent="0.25">
      <c r="A1045" s="271">
        <v>43581</v>
      </c>
      <c r="B1045" s="47" t="s">
        <v>191</v>
      </c>
      <c r="C1045" s="24" t="s">
        <v>176</v>
      </c>
      <c r="D1045" s="24" t="s">
        <v>175</v>
      </c>
      <c r="E1045" s="88" t="s">
        <v>192</v>
      </c>
      <c r="F1045" s="33">
        <v>20760.099999999999</v>
      </c>
      <c r="G1045" s="33">
        <v>20538.080000000002</v>
      </c>
      <c r="H1045" s="33">
        <v>20527.27</v>
      </c>
      <c r="I1045" s="33">
        <v>20446.2</v>
      </c>
      <c r="J1045" s="33">
        <v>20522.68</v>
      </c>
      <c r="K1045" s="33">
        <v>20481.07</v>
      </c>
      <c r="L1045" s="33">
        <v>20476.16</v>
      </c>
      <c r="M1045" s="33">
        <v>20562.62</v>
      </c>
      <c r="N1045" s="33">
        <v>20674.13</v>
      </c>
      <c r="O1045" s="88">
        <f>IF((N1046=""),"",MAX(F1047:N1047))</f>
        <v>5016.3900000000031</v>
      </c>
      <c r="P1045" s="88">
        <f>IF(N1046="","",MIN(F1047:N1047))</f>
        <v>4301.0400000000009</v>
      </c>
      <c r="Q1045" s="89">
        <f>IF((N1047=""),"",AVERAGE(F1047:N1047))</f>
        <v>4656.0266666666676</v>
      </c>
      <c r="R1045" s="89">
        <f>IF((N1046=""),"",(O1045-P1045)/(O1045+P1045)*100)</f>
        <v>7.677546276172742</v>
      </c>
      <c r="S1045" s="210">
        <f>STDEV(F1047:N1047)</f>
        <v>247.72843659943334</v>
      </c>
      <c r="T1045" s="23" t="str">
        <f>IF(N1046="","",IF(R1045&lt;16,IF(Q1045&gt;3200,IF(R1045,IF(Q1045&lt;5240,"Pass","Fail"),"Fail"),"Fail")))</f>
        <v>Pass</v>
      </c>
      <c r="U1045" s="220">
        <v>74</v>
      </c>
      <c r="V1045" s="198"/>
      <c r="W1045" s="33"/>
      <c r="X1045" s="184">
        <v>4200</v>
      </c>
      <c r="Y1045" s="184">
        <v>5500</v>
      </c>
      <c r="Z1045" s="184">
        <v>3200</v>
      </c>
      <c r="AA1045" s="184">
        <v>5240</v>
      </c>
      <c r="AB1045" s="57">
        <v>16</v>
      </c>
    </row>
    <row r="1046" spans="1:30" x14ac:dyDescent="0.25">
      <c r="A1046" s="272"/>
      <c r="B1046" s="47"/>
      <c r="C1046" s="24"/>
      <c r="D1046" s="24"/>
      <c r="E1046" s="88" t="s">
        <v>193</v>
      </c>
      <c r="F1046" s="33">
        <v>19150.38</v>
      </c>
      <c r="G1046" s="33">
        <v>19104.400000000001</v>
      </c>
      <c r="H1046" s="33">
        <v>19065.93</v>
      </c>
      <c r="I1046" s="33">
        <v>18957.71</v>
      </c>
      <c r="J1046" s="33">
        <v>18902.91</v>
      </c>
      <c r="K1046" s="33">
        <v>18863.36</v>
      </c>
      <c r="L1046" s="33">
        <v>18964.439999999999</v>
      </c>
      <c r="M1046" s="33">
        <v>19009.099999999999</v>
      </c>
      <c r="N1046" s="33">
        <v>19002</v>
      </c>
      <c r="O1046" s="33"/>
      <c r="P1046" s="88"/>
      <c r="Q1046" s="89"/>
      <c r="R1046" s="89"/>
      <c r="S1046" s="210"/>
      <c r="T1046" s="23"/>
      <c r="U1046" s="211"/>
      <c r="V1046" s="246"/>
      <c r="W1046" s="33"/>
      <c r="X1046" s="186"/>
      <c r="Y1046" s="186"/>
      <c r="Z1046" s="186"/>
      <c r="AA1046" s="186"/>
    </row>
    <row r="1047" spans="1:30" ht="22.75" thickBot="1" x14ac:dyDescent="0.3">
      <c r="A1047" s="272"/>
      <c r="B1047" s="90"/>
      <c r="C1047" s="91"/>
      <c r="D1047" s="91"/>
      <c r="E1047" s="92" t="s">
        <v>194</v>
      </c>
      <c r="F1047" s="79">
        <f t="shared" ref="F1047:N1047" si="345">IF(((F1045="")*AND(F1046="")),"",(F1045-F1046)*3)</f>
        <v>4829.1599999999926</v>
      </c>
      <c r="G1047" s="79">
        <f t="shared" si="345"/>
        <v>4301.0400000000009</v>
      </c>
      <c r="H1047" s="79">
        <f t="shared" si="345"/>
        <v>4384.0200000000004</v>
      </c>
      <c r="I1047" s="79">
        <f t="shared" si="345"/>
        <v>4465.4700000000048</v>
      </c>
      <c r="J1047" s="79">
        <f t="shared" si="345"/>
        <v>4859.3100000000013</v>
      </c>
      <c r="K1047" s="79">
        <f t="shared" si="345"/>
        <v>4853.1299999999974</v>
      </c>
      <c r="L1047" s="79">
        <f t="shared" si="345"/>
        <v>4535.1600000000035</v>
      </c>
      <c r="M1047" s="79">
        <f t="shared" si="345"/>
        <v>4660.5600000000013</v>
      </c>
      <c r="N1047" s="79">
        <f t="shared" si="345"/>
        <v>5016.3900000000031</v>
      </c>
      <c r="O1047" s="92"/>
      <c r="P1047" s="92"/>
      <c r="Q1047" s="93"/>
      <c r="R1047" s="93"/>
      <c r="S1047" s="213"/>
      <c r="T1047" s="214"/>
      <c r="U1047" s="215"/>
      <c r="V1047" s="246"/>
      <c r="W1047" s="33"/>
      <c r="X1047" s="186"/>
      <c r="Y1047" s="186"/>
      <c r="Z1047" s="186"/>
      <c r="AA1047" s="186"/>
    </row>
    <row r="1048" spans="1:30" x14ac:dyDescent="0.25">
      <c r="A1048" s="271">
        <v>43585</v>
      </c>
      <c r="B1048" s="63" t="s">
        <v>177</v>
      </c>
      <c r="C1048" s="65" t="s">
        <v>179</v>
      </c>
      <c r="D1048" s="65" t="s">
        <v>178</v>
      </c>
      <c r="E1048" s="67" t="s">
        <v>192</v>
      </c>
      <c r="F1048" s="33">
        <v>3264</v>
      </c>
      <c r="G1048" s="33">
        <v>3145</v>
      </c>
      <c r="H1048" s="33">
        <v>3153</v>
      </c>
      <c r="I1048" s="33">
        <v>3137</v>
      </c>
      <c r="J1048" s="33">
        <v>3252</v>
      </c>
      <c r="K1048" s="33">
        <v>3241</v>
      </c>
      <c r="L1048" s="33">
        <v>3173</v>
      </c>
      <c r="M1048" s="33">
        <v>3190</v>
      </c>
      <c r="N1048" s="33">
        <v>3457</v>
      </c>
      <c r="O1048" s="86">
        <f>IF((N1049=""),"",MAX(F1050:N1050))</f>
        <v>4206</v>
      </c>
      <c r="P1048" s="86">
        <f>IF(N1049="","",MIN(F1050:N1050))</f>
        <v>3864</v>
      </c>
      <c r="Q1048" s="87">
        <f>IF((N1050=""),"",AVERAGE(F1050:N1050))</f>
        <v>4086</v>
      </c>
      <c r="R1048" s="87">
        <f>IF((N1049=""),"",(O1048-P1048)/(O1048+P1048)*100)</f>
        <v>4.2379182156133828</v>
      </c>
      <c r="S1048" s="181">
        <f>STDEV(F1050:N1050)</f>
        <v>109.80892495603443</v>
      </c>
      <c r="T1048" s="208" t="str">
        <f>IF(N1049="","",IF(Q1048&gt;3650,IF(R1048&lt;7,IF(Q1048&lt;4450,"Pass","Fail"),"Fail"),"Fail"))</f>
        <v>Pass</v>
      </c>
      <c r="U1048" s="220">
        <v>1340</v>
      </c>
      <c r="V1048" s="198"/>
      <c r="W1048" s="33"/>
      <c r="X1048" s="184">
        <v>3650</v>
      </c>
      <c r="Y1048" s="184">
        <v>4450</v>
      </c>
      <c r="Z1048" s="184">
        <v>3700</v>
      </c>
      <c r="AA1048" s="184">
        <v>4100</v>
      </c>
      <c r="AB1048" s="57">
        <v>6.5</v>
      </c>
      <c r="AC1048" s="57">
        <v>7</v>
      </c>
    </row>
    <row r="1049" spans="1:30" x14ac:dyDescent="0.25">
      <c r="A1049" s="272"/>
      <c r="B1049" s="47"/>
      <c r="C1049" s="24"/>
      <c r="D1049" s="24"/>
      <c r="E1049" s="88" t="s">
        <v>193</v>
      </c>
      <c r="F1049" s="33">
        <v>1269</v>
      </c>
      <c r="G1049" s="33">
        <v>1069</v>
      </c>
      <c r="H1049" s="33">
        <v>1074</v>
      </c>
      <c r="I1049" s="33">
        <v>1073</v>
      </c>
      <c r="J1049" s="33">
        <v>1320</v>
      </c>
      <c r="K1049" s="33">
        <v>1240</v>
      </c>
      <c r="L1049" s="33">
        <v>1104</v>
      </c>
      <c r="M1049" s="33">
        <v>1122</v>
      </c>
      <c r="N1049" s="33">
        <v>1354</v>
      </c>
      <c r="O1049" s="88"/>
      <c r="P1049" s="88"/>
      <c r="Q1049" s="89"/>
      <c r="R1049" s="89"/>
      <c r="S1049" s="210"/>
      <c r="T1049" s="28"/>
      <c r="U1049" s="217"/>
      <c r="V1049" s="198"/>
      <c r="W1049" s="33"/>
      <c r="X1049" s="186"/>
      <c r="Y1049" s="186"/>
      <c r="Z1049" s="186"/>
      <c r="AA1049" s="186"/>
    </row>
    <row r="1050" spans="1:30" ht="22.75" thickBot="1" x14ac:dyDescent="0.3">
      <c r="A1050" s="272"/>
      <c r="B1050" s="47"/>
      <c r="C1050" s="24"/>
      <c r="D1050" s="24"/>
      <c r="E1050" s="88" t="s">
        <v>194</v>
      </c>
      <c r="F1050" s="66">
        <f t="shared" ref="F1050:N1050" si="346">IF(((F1048="")*AND(F1049="")),"",(F1048-F1049)*2)</f>
        <v>3990</v>
      </c>
      <c r="G1050" s="66">
        <f t="shared" si="346"/>
        <v>4152</v>
      </c>
      <c r="H1050" s="66">
        <f t="shared" si="346"/>
        <v>4158</v>
      </c>
      <c r="I1050" s="66">
        <f t="shared" si="346"/>
        <v>4128</v>
      </c>
      <c r="J1050" s="66">
        <f t="shared" si="346"/>
        <v>3864</v>
      </c>
      <c r="K1050" s="66">
        <f t="shared" si="346"/>
        <v>4002</v>
      </c>
      <c r="L1050" s="66">
        <f t="shared" si="346"/>
        <v>4138</v>
      </c>
      <c r="M1050" s="66">
        <f t="shared" si="346"/>
        <v>4136</v>
      </c>
      <c r="N1050" s="66">
        <f t="shared" si="346"/>
        <v>4206</v>
      </c>
      <c r="O1050" s="88"/>
      <c r="P1050" s="88"/>
      <c r="Q1050" s="89"/>
      <c r="R1050" s="89"/>
      <c r="S1050" s="210"/>
      <c r="T1050" s="28"/>
      <c r="U1050" s="217"/>
      <c r="V1050" s="198"/>
      <c r="W1050" s="33"/>
      <c r="X1050" s="186"/>
      <c r="Y1050" s="186"/>
      <c r="Z1050" s="186"/>
      <c r="AA1050" s="186"/>
    </row>
    <row r="1051" spans="1:30" x14ac:dyDescent="0.25">
      <c r="A1051" s="271">
        <v>43585</v>
      </c>
      <c r="B1051" s="24" t="s">
        <v>172</v>
      </c>
      <c r="C1051" s="24" t="s">
        <v>174</v>
      </c>
      <c r="D1051" s="24" t="s">
        <v>195</v>
      </c>
      <c r="E1051" s="88" t="s">
        <v>192</v>
      </c>
      <c r="F1051" s="33">
        <v>1997</v>
      </c>
      <c r="G1051" s="33">
        <v>1992</v>
      </c>
      <c r="H1051" s="33">
        <v>1983</v>
      </c>
      <c r="I1051" s="33">
        <v>1999</v>
      </c>
      <c r="J1051" s="33">
        <v>1998</v>
      </c>
      <c r="K1051" s="33">
        <v>2000</v>
      </c>
      <c r="L1051" s="33">
        <v>1994</v>
      </c>
      <c r="M1051" s="33">
        <v>1993</v>
      </c>
      <c r="N1051" s="33">
        <v>2003</v>
      </c>
      <c r="O1051" s="88">
        <f>IF((N1052=""),"",MAX(F1053:N1053))</f>
        <v>2196</v>
      </c>
      <c r="P1051" s="88">
        <f>IF(N1052="","",MIN(F1053:N1053))</f>
        <v>2121</v>
      </c>
      <c r="Q1051" s="89">
        <f>IF((N1053=""),"",AVERAGE(F1053:N1053))</f>
        <v>2171</v>
      </c>
      <c r="R1051" s="89">
        <f>IF((N1052=""),"",(O1051-P1051)/(O1051+P1051)*100)</f>
        <v>1.7373175816539264</v>
      </c>
      <c r="S1051" s="210">
        <f>STDEV(F1053:N1053)</f>
        <v>26.196373794859472</v>
      </c>
      <c r="T1051" s="23" t="str">
        <f>IF(N1052="","",IF(Q1051&gt;1940,IF(R1051&lt;8.3,IF(Q1051&lt;2180,"Pass","Fail"),"Fail"),"Fail"))</f>
        <v>Pass</v>
      </c>
      <c r="U1051" s="220">
        <v>1340</v>
      </c>
      <c r="V1051" s="198"/>
      <c r="W1051" s="33"/>
      <c r="X1051" s="184">
        <v>2000</v>
      </c>
      <c r="Y1051" s="184">
        <v>3000</v>
      </c>
      <c r="Z1051" s="184">
        <v>1940</v>
      </c>
      <c r="AA1051" s="184">
        <v>2180</v>
      </c>
      <c r="AB1051" s="57">
        <v>5.2</v>
      </c>
    </row>
    <row r="1052" spans="1:30" x14ac:dyDescent="0.25">
      <c r="A1052" s="272"/>
      <c r="B1052" s="47"/>
      <c r="C1052" s="24"/>
      <c r="D1052" s="24"/>
      <c r="E1052" s="88" t="s">
        <v>193</v>
      </c>
      <c r="F1052" s="33">
        <v>1277</v>
      </c>
      <c r="G1052" s="33">
        <v>1260</v>
      </c>
      <c r="H1052" s="33">
        <v>1255</v>
      </c>
      <c r="I1052" s="199">
        <v>1271</v>
      </c>
      <c r="J1052" s="199">
        <v>1291</v>
      </c>
      <c r="K1052" s="199">
        <v>1272</v>
      </c>
      <c r="L1052" s="33">
        <v>1265</v>
      </c>
      <c r="M1052" s="33">
        <v>1264</v>
      </c>
      <c r="N1052" s="33">
        <v>1291</v>
      </c>
      <c r="O1052" s="88"/>
      <c r="P1052" s="88"/>
      <c r="Q1052" s="89"/>
      <c r="R1052" s="89"/>
      <c r="S1052" s="210"/>
      <c r="T1052" s="23"/>
      <c r="U1052" s="211"/>
      <c r="V1052" s="246"/>
      <c r="W1052" s="33"/>
      <c r="X1052" s="186"/>
      <c r="Y1052" s="186"/>
      <c r="Z1052" s="186"/>
      <c r="AA1052" s="186"/>
    </row>
    <row r="1053" spans="1:30" ht="13.3" thickBot="1" x14ac:dyDescent="0.3">
      <c r="A1053" s="272"/>
      <c r="B1053" s="47"/>
      <c r="C1053" s="24"/>
      <c r="D1053" s="24"/>
      <c r="E1053" s="88" t="s">
        <v>196</v>
      </c>
      <c r="F1053" s="66">
        <f t="shared" ref="F1053:N1053" si="347">IF(((F1051="")*AND(F1052="")),"",(F1051-F1052)*3)</f>
        <v>2160</v>
      </c>
      <c r="G1053" s="66">
        <f t="shared" si="347"/>
        <v>2196</v>
      </c>
      <c r="H1053" s="66">
        <f t="shared" si="347"/>
        <v>2184</v>
      </c>
      <c r="I1053" s="66">
        <f t="shared" si="347"/>
        <v>2184</v>
      </c>
      <c r="J1053" s="66">
        <f t="shared" si="347"/>
        <v>2121</v>
      </c>
      <c r="K1053" s="66">
        <f t="shared" si="347"/>
        <v>2184</v>
      </c>
      <c r="L1053" s="66">
        <f t="shared" si="347"/>
        <v>2187</v>
      </c>
      <c r="M1053" s="66">
        <f t="shared" si="347"/>
        <v>2187</v>
      </c>
      <c r="N1053" s="66">
        <f t="shared" si="347"/>
        <v>2136</v>
      </c>
      <c r="O1053" s="88"/>
      <c r="P1053" s="88"/>
      <c r="Q1053" s="89"/>
      <c r="R1053" s="89"/>
      <c r="S1053" s="210"/>
      <c r="T1053" s="23"/>
      <c r="U1053" s="211"/>
      <c r="V1053" s="246"/>
      <c r="W1053" s="33"/>
      <c r="X1053" s="186"/>
      <c r="Y1053" s="186"/>
      <c r="Z1053" s="186"/>
      <c r="AA1053" s="186"/>
    </row>
    <row r="1054" spans="1:30" x14ac:dyDescent="0.25">
      <c r="A1054" s="271">
        <v>43585</v>
      </c>
      <c r="B1054" s="47" t="s">
        <v>191</v>
      </c>
      <c r="C1054" s="24" t="s">
        <v>176</v>
      </c>
      <c r="D1054" s="24" t="s">
        <v>175</v>
      </c>
      <c r="E1054" s="88" t="s">
        <v>192</v>
      </c>
      <c r="F1054" s="33">
        <v>29103</v>
      </c>
      <c r="G1054" s="33">
        <v>29086</v>
      </c>
      <c r="H1054" s="33">
        <v>29068</v>
      </c>
      <c r="I1054" s="33">
        <v>29136</v>
      </c>
      <c r="J1054" s="33">
        <v>29051</v>
      </c>
      <c r="K1054" s="199">
        <v>29369</v>
      </c>
      <c r="L1054" s="199">
        <v>29151</v>
      </c>
      <c r="M1054" s="199">
        <v>29105</v>
      </c>
      <c r="N1054" s="199">
        <v>29364</v>
      </c>
      <c r="O1054" s="88">
        <f>IF((N1055=""),"",MAX(F1056:N1056))</f>
        <v>4833</v>
      </c>
      <c r="P1054" s="88">
        <f>IF(N1055="","",MIN(F1056:N1056))</f>
        <v>3951</v>
      </c>
      <c r="Q1054" s="89">
        <f>IF((N1056=""),"",AVERAGE(F1056:N1056))</f>
        <v>4244.333333333333</v>
      </c>
      <c r="R1054" s="89">
        <f>IF((N1055=""),"",(O1054-P1054)/(O1054+P1054)*100)</f>
        <v>10.040983606557377</v>
      </c>
      <c r="S1054" s="210">
        <f>STDEV(F1056:N1056)</f>
        <v>344.14059626844374</v>
      </c>
      <c r="T1054" s="23" t="str">
        <f>IF(N1055="","",IF(R1054&lt;16,IF(Q1054&gt;3200,IF(R1054,IF(Q1054&lt;5240,"Pass","Fail"),"Fail"),"Fail")))</f>
        <v>Pass</v>
      </c>
      <c r="U1054" s="220">
        <v>1340</v>
      </c>
      <c r="V1054" s="198"/>
      <c r="W1054" s="33"/>
      <c r="X1054" s="184">
        <v>4200</v>
      </c>
      <c r="Y1054" s="184">
        <v>5500</v>
      </c>
      <c r="Z1054" s="184">
        <v>3200</v>
      </c>
      <c r="AA1054" s="184">
        <v>5240</v>
      </c>
      <c r="AB1054" s="57">
        <v>16</v>
      </c>
    </row>
    <row r="1055" spans="1:30" x14ac:dyDescent="0.25">
      <c r="A1055" s="272"/>
      <c r="B1055" s="47"/>
      <c r="C1055" s="24"/>
      <c r="D1055" s="24"/>
      <c r="E1055" s="88" t="s">
        <v>193</v>
      </c>
      <c r="F1055" s="33">
        <v>27692</v>
      </c>
      <c r="G1055" s="33">
        <v>27769</v>
      </c>
      <c r="H1055" s="33">
        <v>27733</v>
      </c>
      <c r="I1055" s="199">
        <v>27713</v>
      </c>
      <c r="J1055" s="199">
        <v>27719</v>
      </c>
      <c r="K1055" s="199">
        <v>27758</v>
      </c>
      <c r="L1055" s="199">
        <v>27790</v>
      </c>
      <c r="M1055" s="199">
        <v>27765</v>
      </c>
      <c r="N1055" s="199">
        <v>27761</v>
      </c>
      <c r="O1055" s="33"/>
      <c r="P1055" s="88"/>
      <c r="Q1055" s="89"/>
      <c r="R1055" s="89"/>
      <c r="S1055" s="210"/>
      <c r="T1055" s="23"/>
      <c r="U1055" s="211"/>
      <c r="V1055" s="246"/>
      <c r="W1055" s="33"/>
      <c r="X1055" s="186"/>
      <c r="Y1055" s="186"/>
      <c r="Z1055" s="186"/>
      <c r="AA1055" s="186"/>
    </row>
    <row r="1056" spans="1:30" ht="22.75" thickBot="1" x14ac:dyDescent="0.3">
      <c r="A1056" s="272"/>
      <c r="B1056" s="90"/>
      <c r="C1056" s="91"/>
      <c r="D1056" s="91"/>
      <c r="E1056" s="92" t="s">
        <v>194</v>
      </c>
      <c r="F1056" s="79">
        <f t="shared" ref="F1056:N1056" si="348">IF(((F1054="")*AND(F1055="")),"",(F1054-F1055)*3)</f>
        <v>4233</v>
      </c>
      <c r="G1056" s="79">
        <f t="shared" si="348"/>
        <v>3951</v>
      </c>
      <c r="H1056" s="79">
        <f t="shared" si="348"/>
        <v>4005</v>
      </c>
      <c r="I1056" s="79">
        <f t="shared" si="348"/>
        <v>4269</v>
      </c>
      <c r="J1056" s="79">
        <f t="shared" si="348"/>
        <v>3996</v>
      </c>
      <c r="K1056" s="79">
        <f t="shared" si="348"/>
        <v>4833</v>
      </c>
      <c r="L1056" s="79">
        <f t="shared" si="348"/>
        <v>4083</v>
      </c>
      <c r="M1056" s="79">
        <f t="shared" si="348"/>
        <v>4020</v>
      </c>
      <c r="N1056" s="79">
        <f t="shared" si="348"/>
        <v>4809</v>
      </c>
      <c r="O1056" s="92"/>
      <c r="P1056" s="92"/>
      <c r="Q1056" s="93"/>
      <c r="R1056" s="93"/>
      <c r="S1056" s="213"/>
      <c r="T1056" s="214"/>
      <c r="U1056" s="215"/>
      <c r="V1056" s="246"/>
      <c r="W1056" s="33"/>
      <c r="X1056" s="186"/>
      <c r="Y1056" s="186"/>
      <c r="Z1056" s="186"/>
      <c r="AA1056" s="186"/>
    </row>
    <row r="1057" spans="1:29" x14ac:dyDescent="0.25">
      <c r="A1057" s="271">
        <v>43588</v>
      </c>
      <c r="B1057" s="63" t="s">
        <v>177</v>
      </c>
      <c r="C1057" s="65" t="s">
        <v>179</v>
      </c>
      <c r="D1057" s="65" t="s">
        <v>178</v>
      </c>
      <c r="E1057" s="67" t="s">
        <v>192</v>
      </c>
      <c r="F1057" s="33">
        <v>3264</v>
      </c>
      <c r="G1057" s="33">
        <v>3145</v>
      </c>
      <c r="H1057" s="33">
        <v>3153</v>
      </c>
      <c r="I1057" s="33">
        <v>3137</v>
      </c>
      <c r="J1057" s="33">
        <v>3252</v>
      </c>
      <c r="K1057" s="33">
        <v>3241</v>
      </c>
      <c r="L1057" s="33">
        <v>3173</v>
      </c>
      <c r="M1057" s="33">
        <v>3190</v>
      </c>
      <c r="N1057" s="33">
        <v>3457</v>
      </c>
      <c r="O1057" s="86">
        <f>IF((N1058=""),"",MAX(F1059:N1059))</f>
        <v>4206</v>
      </c>
      <c r="P1057" s="86">
        <f>IF(N1058="","",MIN(F1059:N1059))</f>
        <v>3864</v>
      </c>
      <c r="Q1057" s="87">
        <f>IF((N1059=""),"",AVERAGE(F1059:N1059))</f>
        <v>4086</v>
      </c>
      <c r="R1057" s="87">
        <f>IF((N1058=""),"",(O1057-P1057)/(O1057+P1057)*100)</f>
        <v>4.2379182156133828</v>
      </c>
      <c r="S1057" s="181">
        <f>STDEV(F1059:N1059)</f>
        <v>109.80892495603443</v>
      </c>
      <c r="T1057" s="208" t="str">
        <f>IF(N1058="","",IF(Q1057&gt;3650,IF(R1057&lt;7,IF(Q1057&lt;4450,"Pass","Fail"),"Fail"),"Fail"))</f>
        <v>Pass</v>
      </c>
      <c r="U1057" s="220">
        <v>1340</v>
      </c>
      <c r="V1057" s="198"/>
      <c r="W1057" s="33"/>
      <c r="X1057" s="184">
        <v>3650</v>
      </c>
      <c r="Y1057" s="184">
        <v>4450</v>
      </c>
      <c r="Z1057" s="184">
        <v>3700</v>
      </c>
      <c r="AA1057" s="184">
        <v>4100</v>
      </c>
      <c r="AB1057" s="57">
        <v>6.5</v>
      </c>
      <c r="AC1057" s="57">
        <v>7</v>
      </c>
    </row>
    <row r="1058" spans="1:29" x14ac:dyDescent="0.25">
      <c r="A1058" s="272"/>
      <c r="B1058" s="47"/>
      <c r="C1058" s="24"/>
      <c r="D1058" s="24"/>
      <c r="E1058" s="88" t="s">
        <v>193</v>
      </c>
      <c r="F1058" s="33">
        <v>1269</v>
      </c>
      <c r="G1058" s="33">
        <v>1069</v>
      </c>
      <c r="H1058" s="33">
        <v>1074</v>
      </c>
      <c r="I1058" s="33">
        <v>1073</v>
      </c>
      <c r="J1058" s="33">
        <v>1320</v>
      </c>
      <c r="K1058" s="33">
        <v>1240</v>
      </c>
      <c r="L1058" s="33">
        <v>1104</v>
      </c>
      <c r="M1058" s="33">
        <v>1122</v>
      </c>
      <c r="N1058" s="33">
        <v>1354</v>
      </c>
      <c r="O1058" s="88"/>
      <c r="P1058" s="88"/>
      <c r="Q1058" s="89"/>
      <c r="R1058" s="89"/>
      <c r="S1058" s="210"/>
      <c r="T1058" s="28"/>
      <c r="U1058" s="217"/>
      <c r="V1058" s="198"/>
      <c r="W1058" s="33"/>
      <c r="X1058" s="186"/>
      <c r="Y1058" s="186"/>
      <c r="Z1058" s="186"/>
      <c r="AA1058" s="186"/>
    </row>
    <row r="1059" spans="1:29" ht="22.75" thickBot="1" x14ac:dyDescent="0.3">
      <c r="A1059" s="272"/>
      <c r="B1059" s="47"/>
      <c r="C1059" s="24"/>
      <c r="D1059" s="24"/>
      <c r="E1059" s="88" t="s">
        <v>194</v>
      </c>
      <c r="F1059" s="66">
        <f t="shared" ref="F1059:N1059" si="349">IF(((F1057="")*AND(F1058="")),"",(F1057-F1058)*2)</f>
        <v>3990</v>
      </c>
      <c r="G1059" s="66">
        <f t="shared" si="349"/>
        <v>4152</v>
      </c>
      <c r="H1059" s="66">
        <f t="shared" si="349"/>
        <v>4158</v>
      </c>
      <c r="I1059" s="66">
        <f t="shared" si="349"/>
        <v>4128</v>
      </c>
      <c r="J1059" s="66">
        <f t="shared" si="349"/>
        <v>3864</v>
      </c>
      <c r="K1059" s="66">
        <f t="shared" si="349"/>
        <v>4002</v>
      </c>
      <c r="L1059" s="66">
        <f t="shared" si="349"/>
        <v>4138</v>
      </c>
      <c r="M1059" s="66">
        <f t="shared" si="349"/>
        <v>4136</v>
      </c>
      <c r="N1059" s="66">
        <f t="shared" si="349"/>
        <v>4206</v>
      </c>
      <c r="O1059" s="88"/>
      <c r="P1059" s="88"/>
      <c r="Q1059" s="89"/>
      <c r="R1059" s="89"/>
      <c r="S1059" s="210"/>
      <c r="T1059" s="28"/>
      <c r="U1059" s="217"/>
      <c r="V1059" s="198"/>
      <c r="W1059" s="33"/>
      <c r="X1059" s="186"/>
      <c r="Y1059" s="186"/>
      <c r="Z1059" s="186"/>
      <c r="AA1059" s="186"/>
    </row>
    <row r="1060" spans="1:29" x14ac:dyDescent="0.25">
      <c r="A1060" s="271">
        <v>43588</v>
      </c>
      <c r="B1060" s="24" t="s">
        <v>172</v>
      </c>
      <c r="C1060" s="24" t="s">
        <v>174</v>
      </c>
      <c r="D1060" s="24" t="s">
        <v>195</v>
      </c>
      <c r="E1060" s="88" t="s">
        <v>192</v>
      </c>
      <c r="F1060" s="33">
        <v>1964.26</v>
      </c>
      <c r="G1060" s="33">
        <v>1969.48</v>
      </c>
      <c r="H1060" s="33">
        <v>1964.81</v>
      </c>
      <c r="I1060" s="33">
        <v>1967.28</v>
      </c>
      <c r="J1060" s="33">
        <v>1969.39</v>
      </c>
      <c r="K1060" s="33">
        <v>1965.98</v>
      </c>
      <c r="L1060" s="33">
        <v>1970.58</v>
      </c>
      <c r="M1060" s="33">
        <v>1968.79</v>
      </c>
      <c r="N1060" s="33">
        <v>1966.36</v>
      </c>
      <c r="O1060" s="88">
        <f>IF((N1061=""),"",MAX(F1062:N1062))</f>
        <v>2059.6799999999998</v>
      </c>
      <c r="P1060" s="88">
        <f>IF(N1061="","",MIN(F1062:N1062))</f>
        <v>2012.8199999999995</v>
      </c>
      <c r="Q1060" s="89">
        <f>IF((N1062=""),"",AVERAGE(F1062:N1062))</f>
        <v>2045.0633333333333</v>
      </c>
      <c r="R1060" s="89">
        <f>IF((N1061=""),"",(O1060-P1060)/(O1060+P1060)*100)</f>
        <v>1.1506445672191619</v>
      </c>
      <c r="S1060" s="210">
        <f>STDEV(F1062:N1062)</f>
        <v>17.807209916210859</v>
      </c>
      <c r="T1060" s="23" t="str">
        <f>IF(N1061="","",IF(Q1060&gt;1940,IF(R1060&lt;8.3,IF(Q1060&lt;2180,"Pass","Fail"),"Fail"),"Fail"))</f>
        <v>Pass</v>
      </c>
      <c r="U1060" s="220">
        <v>1340</v>
      </c>
      <c r="V1060" s="198"/>
      <c r="W1060" s="33"/>
      <c r="X1060" s="184">
        <v>2000</v>
      </c>
      <c r="Y1060" s="184">
        <v>3000</v>
      </c>
      <c r="Z1060" s="184">
        <v>1940</v>
      </c>
      <c r="AA1060" s="184">
        <v>2180</v>
      </c>
      <c r="AB1060" s="57">
        <v>5.2</v>
      </c>
    </row>
    <row r="1061" spans="1:29" x14ac:dyDescent="0.25">
      <c r="A1061" s="272"/>
      <c r="B1061" s="47"/>
      <c r="C1061" s="24"/>
      <c r="D1061" s="24"/>
      <c r="E1061" s="88" t="s">
        <v>193</v>
      </c>
      <c r="F1061" s="33">
        <v>1292.0999999999999</v>
      </c>
      <c r="G1061" s="33">
        <v>1284.1600000000001</v>
      </c>
      <c r="H1061" s="33">
        <v>1281.67</v>
      </c>
      <c r="I1061" s="33">
        <v>1281.3900000000001</v>
      </c>
      <c r="J1061" s="33">
        <v>1285.92</v>
      </c>
      <c r="K1061" s="33">
        <v>1283.9000000000001</v>
      </c>
      <c r="L1061" s="33">
        <v>1284.95</v>
      </c>
      <c r="M1061" s="33">
        <v>1282.23</v>
      </c>
      <c r="N1061" s="33">
        <v>1295.42</v>
      </c>
      <c r="O1061" s="88"/>
      <c r="P1061" s="88"/>
      <c r="Q1061" s="89"/>
      <c r="R1061" s="89"/>
      <c r="S1061" s="210"/>
      <c r="T1061" s="23"/>
      <c r="U1061" s="211"/>
      <c r="V1061" s="246"/>
      <c r="W1061" s="33"/>
      <c r="X1061" s="186"/>
      <c r="Y1061" s="186"/>
      <c r="Z1061" s="186"/>
      <c r="AA1061" s="186"/>
    </row>
    <row r="1062" spans="1:29" ht="13.3" thickBot="1" x14ac:dyDescent="0.3">
      <c r="A1062" s="272"/>
      <c r="B1062" s="47"/>
      <c r="C1062" s="24"/>
      <c r="D1062" s="24"/>
      <c r="E1062" s="88" t="s">
        <v>196</v>
      </c>
      <c r="F1062" s="66">
        <f t="shared" ref="F1062:N1062" si="350">IF(((F1060="")*AND(F1061="")),"",(F1060-F1061)*3)</f>
        <v>2016.4800000000002</v>
      </c>
      <c r="G1062" s="66">
        <f t="shared" si="350"/>
        <v>2055.96</v>
      </c>
      <c r="H1062" s="66">
        <f t="shared" si="350"/>
        <v>2049.4199999999996</v>
      </c>
      <c r="I1062" s="66">
        <f t="shared" si="350"/>
        <v>2057.6699999999996</v>
      </c>
      <c r="J1062" s="66">
        <f t="shared" si="350"/>
        <v>2050.41</v>
      </c>
      <c r="K1062" s="66">
        <f t="shared" si="350"/>
        <v>2046.2399999999998</v>
      </c>
      <c r="L1062" s="66">
        <f t="shared" si="350"/>
        <v>2056.8899999999994</v>
      </c>
      <c r="M1062" s="66">
        <f t="shared" si="350"/>
        <v>2059.6799999999998</v>
      </c>
      <c r="N1062" s="66">
        <f t="shared" si="350"/>
        <v>2012.8199999999995</v>
      </c>
      <c r="O1062" s="88"/>
      <c r="P1062" s="88"/>
      <c r="Q1062" s="89"/>
      <c r="R1062" s="89"/>
      <c r="S1062" s="210"/>
      <c r="T1062" s="23"/>
      <c r="U1062" s="211"/>
      <c r="V1062" s="246"/>
      <c r="W1062" s="33"/>
      <c r="X1062" s="186"/>
      <c r="Y1062" s="186"/>
      <c r="Z1062" s="186"/>
      <c r="AA1062" s="186"/>
    </row>
    <row r="1063" spans="1:29" x14ac:dyDescent="0.25">
      <c r="A1063" s="271">
        <v>43588</v>
      </c>
      <c r="B1063" s="47" t="s">
        <v>191</v>
      </c>
      <c r="C1063" s="24" t="s">
        <v>176</v>
      </c>
      <c r="D1063" s="24" t="s">
        <v>175</v>
      </c>
      <c r="E1063" s="88" t="s">
        <v>192</v>
      </c>
      <c r="F1063" s="33">
        <v>28987.5</v>
      </c>
      <c r="G1063" s="33">
        <v>28920.44</v>
      </c>
      <c r="H1063" s="33">
        <v>28948.17</v>
      </c>
      <c r="I1063" s="33">
        <v>28918.13</v>
      </c>
      <c r="J1063" s="33">
        <v>29030.97</v>
      </c>
      <c r="K1063" s="33">
        <v>29043</v>
      </c>
      <c r="L1063" s="33">
        <v>28914.52</v>
      </c>
      <c r="M1063" s="33">
        <v>28912.21</v>
      </c>
      <c r="N1063" s="33">
        <v>29035.66</v>
      </c>
      <c r="O1063" s="88">
        <f>IF((N1064=""),"",MAX(F1065:N1065))</f>
        <v>4749.2399999999943</v>
      </c>
      <c r="P1063" s="88">
        <f>IF(N1064="","",MIN(F1065:N1065))</f>
        <v>4106.8500000000022</v>
      </c>
      <c r="Q1063" s="89">
        <f>IF((N1065=""),"",AVERAGE(F1065:N1065))</f>
        <v>4344.5066666666644</v>
      </c>
      <c r="R1063" s="89">
        <f>IF((N1064=""),"",(O1063-P1063)/(O1063+P1063)*100)</f>
        <v>7.2536525712813713</v>
      </c>
      <c r="S1063" s="210">
        <f>STDEV(F1065:N1065)</f>
        <v>223.33280799067603</v>
      </c>
      <c r="T1063" s="23" t="str">
        <f>IF(N1064="","",IF(R1063&lt;16,IF(Q1063&gt;3200,IF(R1063,IF(Q1063&lt;5240,"Pass","Fail"),"Fail"),"Fail")))</f>
        <v>Pass</v>
      </c>
      <c r="U1063" s="220">
        <v>1340</v>
      </c>
      <c r="V1063" s="198"/>
      <c r="W1063" s="33"/>
      <c r="X1063" s="184">
        <v>4200</v>
      </c>
      <c r="Y1063" s="184">
        <v>5500</v>
      </c>
      <c r="Z1063" s="184">
        <v>3200</v>
      </c>
      <c r="AA1063" s="184">
        <v>5240</v>
      </c>
      <c r="AB1063" s="57">
        <v>16</v>
      </c>
    </row>
    <row r="1064" spans="1:29" x14ac:dyDescent="0.25">
      <c r="A1064" s="272"/>
      <c r="B1064" s="47"/>
      <c r="C1064" s="24"/>
      <c r="D1064" s="24"/>
      <c r="E1064" s="88" t="s">
        <v>193</v>
      </c>
      <c r="F1064" s="33">
        <v>27491.84</v>
      </c>
      <c r="G1064" s="33">
        <v>27512.63</v>
      </c>
      <c r="H1064" s="33">
        <v>27576.27</v>
      </c>
      <c r="I1064" s="33">
        <v>27517.23</v>
      </c>
      <c r="J1064" s="33">
        <v>27513.89</v>
      </c>
      <c r="K1064" s="33">
        <v>27559.3</v>
      </c>
      <c r="L1064" s="33">
        <v>27545.57</v>
      </c>
      <c r="M1064" s="33">
        <v>27507.77</v>
      </c>
      <c r="N1064" s="33">
        <v>27452.58</v>
      </c>
      <c r="O1064" s="33"/>
      <c r="P1064" s="88"/>
      <c r="Q1064" s="89"/>
      <c r="R1064" s="89"/>
      <c r="S1064" s="210"/>
      <c r="T1064" s="23"/>
      <c r="U1064" s="211"/>
      <c r="V1064" s="246"/>
      <c r="W1064" s="33"/>
      <c r="X1064" s="186"/>
      <c r="Y1064" s="186"/>
      <c r="Z1064" s="186"/>
      <c r="AA1064" s="186"/>
    </row>
    <row r="1065" spans="1:29" ht="22.75" thickBot="1" x14ac:dyDescent="0.3">
      <c r="A1065" s="272"/>
      <c r="B1065" s="90"/>
      <c r="C1065" s="91"/>
      <c r="D1065" s="91"/>
      <c r="E1065" s="92" t="s">
        <v>194</v>
      </c>
      <c r="F1065" s="79">
        <f t="shared" ref="F1065:N1065" si="351">IF(((F1063="")*AND(F1064="")),"",(F1063-F1064)*3)</f>
        <v>4486.9799999999996</v>
      </c>
      <c r="G1065" s="79">
        <f t="shared" si="351"/>
        <v>4223.429999999993</v>
      </c>
      <c r="H1065" s="79">
        <f t="shared" si="351"/>
        <v>4115.6999999999935</v>
      </c>
      <c r="I1065" s="79">
        <f t="shared" si="351"/>
        <v>4202.7000000000044</v>
      </c>
      <c r="J1065" s="79">
        <f t="shared" si="351"/>
        <v>4551.2400000000052</v>
      </c>
      <c r="K1065" s="79">
        <f t="shared" si="351"/>
        <v>4451.1000000000022</v>
      </c>
      <c r="L1065" s="79">
        <f t="shared" si="351"/>
        <v>4106.8500000000022</v>
      </c>
      <c r="M1065" s="79">
        <f t="shared" si="351"/>
        <v>4213.3199999999961</v>
      </c>
      <c r="N1065" s="79">
        <f t="shared" si="351"/>
        <v>4749.2399999999943</v>
      </c>
      <c r="O1065" s="92"/>
      <c r="P1065" s="92"/>
      <c r="Q1065" s="93"/>
      <c r="R1065" s="93"/>
      <c r="S1065" s="213"/>
      <c r="T1065" s="214"/>
      <c r="U1065" s="215"/>
      <c r="V1065" s="246"/>
      <c r="W1065" s="33"/>
      <c r="X1065" s="186"/>
      <c r="Y1065" s="186"/>
      <c r="Z1065" s="186"/>
      <c r="AA1065" s="186"/>
    </row>
  </sheetData>
  <mergeCells count="356">
    <mergeCell ref="A28:A30"/>
    <mergeCell ref="A31:A33"/>
    <mergeCell ref="A34:A36"/>
    <mergeCell ref="A37:A39"/>
    <mergeCell ref="A40:A42"/>
    <mergeCell ref="A43:A45"/>
    <mergeCell ref="A10:A12"/>
    <mergeCell ref="A13:A15"/>
    <mergeCell ref="A16:A18"/>
    <mergeCell ref="A19:A21"/>
    <mergeCell ref="A22:A24"/>
    <mergeCell ref="A25:A27"/>
    <mergeCell ref="A64:A66"/>
    <mergeCell ref="A67:A69"/>
    <mergeCell ref="A70:A72"/>
    <mergeCell ref="A85:A87"/>
    <mergeCell ref="A88:A90"/>
    <mergeCell ref="A91:A93"/>
    <mergeCell ref="A46:A48"/>
    <mergeCell ref="A49:A51"/>
    <mergeCell ref="A52:A54"/>
    <mergeCell ref="A55:A57"/>
    <mergeCell ref="A58:A60"/>
    <mergeCell ref="A61:A63"/>
    <mergeCell ref="A112:A114"/>
    <mergeCell ref="A115:A117"/>
    <mergeCell ref="A118:A120"/>
    <mergeCell ref="A121:A123"/>
    <mergeCell ref="A124:A126"/>
    <mergeCell ref="A127:A129"/>
    <mergeCell ref="A94:A96"/>
    <mergeCell ref="A97:A99"/>
    <mergeCell ref="A100:A102"/>
    <mergeCell ref="A103:A105"/>
    <mergeCell ref="A106:A108"/>
    <mergeCell ref="A109:A111"/>
    <mergeCell ref="A148:A150"/>
    <mergeCell ref="A151:A153"/>
    <mergeCell ref="A154:A156"/>
    <mergeCell ref="A157:A159"/>
    <mergeCell ref="A160:A162"/>
    <mergeCell ref="A163:A165"/>
    <mergeCell ref="A130:A132"/>
    <mergeCell ref="A133:A135"/>
    <mergeCell ref="A136:A138"/>
    <mergeCell ref="A139:A141"/>
    <mergeCell ref="A142:A144"/>
    <mergeCell ref="A145:A147"/>
    <mergeCell ref="A184:A186"/>
    <mergeCell ref="A187:A189"/>
    <mergeCell ref="A190:A192"/>
    <mergeCell ref="A193:A195"/>
    <mergeCell ref="A196:A198"/>
    <mergeCell ref="A199:A201"/>
    <mergeCell ref="A166:A168"/>
    <mergeCell ref="A169:A171"/>
    <mergeCell ref="A172:A174"/>
    <mergeCell ref="A175:A177"/>
    <mergeCell ref="A178:A180"/>
    <mergeCell ref="A181:A183"/>
    <mergeCell ref="A229:A231"/>
    <mergeCell ref="A232:A234"/>
    <mergeCell ref="A235:A237"/>
    <mergeCell ref="A238:A240"/>
    <mergeCell ref="A241:A243"/>
    <mergeCell ref="A244:A246"/>
    <mergeCell ref="A202:A204"/>
    <mergeCell ref="A205:A207"/>
    <mergeCell ref="A208:A210"/>
    <mergeCell ref="A211:A213"/>
    <mergeCell ref="A214:A216"/>
    <mergeCell ref="A217:A219"/>
    <mergeCell ref="A265:A267"/>
    <mergeCell ref="A268:A270"/>
    <mergeCell ref="A271:A273"/>
    <mergeCell ref="A274:A276"/>
    <mergeCell ref="A277:A279"/>
    <mergeCell ref="A280:A282"/>
    <mergeCell ref="A247:A249"/>
    <mergeCell ref="A250:A252"/>
    <mergeCell ref="A253:A255"/>
    <mergeCell ref="A256:A258"/>
    <mergeCell ref="A259:A261"/>
    <mergeCell ref="A262:A264"/>
    <mergeCell ref="A301:A303"/>
    <mergeCell ref="A304:A306"/>
    <mergeCell ref="A307:A309"/>
    <mergeCell ref="A310:A312"/>
    <mergeCell ref="A313:A315"/>
    <mergeCell ref="A316:A318"/>
    <mergeCell ref="A283:A285"/>
    <mergeCell ref="A286:A288"/>
    <mergeCell ref="A289:A291"/>
    <mergeCell ref="A292:A294"/>
    <mergeCell ref="A295:A297"/>
    <mergeCell ref="A298:A300"/>
    <mergeCell ref="A337:A339"/>
    <mergeCell ref="A340:A342"/>
    <mergeCell ref="A343:A345"/>
    <mergeCell ref="A346:A348"/>
    <mergeCell ref="A349:A351"/>
    <mergeCell ref="A352:A354"/>
    <mergeCell ref="A319:A321"/>
    <mergeCell ref="A322:A324"/>
    <mergeCell ref="A325:A327"/>
    <mergeCell ref="A328:A330"/>
    <mergeCell ref="A331:A333"/>
    <mergeCell ref="A334:A336"/>
    <mergeCell ref="A364:A366"/>
    <mergeCell ref="A367:A369"/>
    <mergeCell ref="A370:A372"/>
    <mergeCell ref="A373:A375"/>
    <mergeCell ref="A376:A378"/>
    <mergeCell ref="A379:A381"/>
    <mergeCell ref="A355:A357"/>
    <mergeCell ref="V355:V357"/>
    <mergeCell ref="A358:A360"/>
    <mergeCell ref="V358:V360"/>
    <mergeCell ref="A361:A363"/>
    <mergeCell ref="V361:V363"/>
    <mergeCell ref="A400:A402"/>
    <mergeCell ref="A403:A405"/>
    <mergeCell ref="A406:A408"/>
    <mergeCell ref="A409:A411"/>
    <mergeCell ref="A412:A414"/>
    <mergeCell ref="A415:A417"/>
    <mergeCell ref="A382:A384"/>
    <mergeCell ref="A385:A387"/>
    <mergeCell ref="A388:A390"/>
    <mergeCell ref="A391:A393"/>
    <mergeCell ref="A394:A396"/>
    <mergeCell ref="A397:A399"/>
    <mergeCell ref="A436:A438"/>
    <mergeCell ref="A439:A441"/>
    <mergeCell ref="A442:A444"/>
    <mergeCell ref="A445:A447"/>
    <mergeCell ref="A448:A450"/>
    <mergeCell ref="A451:A453"/>
    <mergeCell ref="A418:A420"/>
    <mergeCell ref="A421:A423"/>
    <mergeCell ref="A424:A426"/>
    <mergeCell ref="A427:A429"/>
    <mergeCell ref="A430:A432"/>
    <mergeCell ref="A433:A435"/>
    <mergeCell ref="A472:A474"/>
    <mergeCell ref="A475:A477"/>
    <mergeCell ref="A478:A480"/>
    <mergeCell ref="A481:A483"/>
    <mergeCell ref="A484:A486"/>
    <mergeCell ref="A487:A489"/>
    <mergeCell ref="A454:A456"/>
    <mergeCell ref="A457:A459"/>
    <mergeCell ref="A460:A462"/>
    <mergeCell ref="A463:A465"/>
    <mergeCell ref="A466:A468"/>
    <mergeCell ref="A469:A471"/>
    <mergeCell ref="A508:A510"/>
    <mergeCell ref="A511:A513"/>
    <mergeCell ref="A514:A516"/>
    <mergeCell ref="A517:A519"/>
    <mergeCell ref="A520:A522"/>
    <mergeCell ref="A523:A525"/>
    <mergeCell ref="A490:A492"/>
    <mergeCell ref="A493:A495"/>
    <mergeCell ref="A496:A498"/>
    <mergeCell ref="A499:A501"/>
    <mergeCell ref="A502:A504"/>
    <mergeCell ref="A505:A507"/>
    <mergeCell ref="A544:A546"/>
    <mergeCell ref="A547:A549"/>
    <mergeCell ref="A550:A552"/>
    <mergeCell ref="A553:A555"/>
    <mergeCell ref="A556:A558"/>
    <mergeCell ref="A559:A561"/>
    <mergeCell ref="A526:A528"/>
    <mergeCell ref="A529:A531"/>
    <mergeCell ref="A532:A534"/>
    <mergeCell ref="A535:A537"/>
    <mergeCell ref="A538:A540"/>
    <mergeCell ref="A541:A543"/>
    <mergeCell ref="A580:A582"/>
    <mergeCell ref="A583:A585"/>
    <mergeCell ref="A586:A588"/>
    <mergeCell ref="A589:A591"/>
    <mergeCell ref="A592:A594"/>
    <mergeCell ref="A595:A597"/>
    <mergeCell ref="A562:A564"/>
    <mergeCell ref="A565:A567"/>
    <mergeCell ref="A568:A570"/>
    <mergeCell ref="A571:A573"/>
    <mergeCell ref="A574:A576"/>
    <mergeCell ref="A577:A579"/>
    <mergeCell ref="A616:A618"/>
    <mergeCell ref="A619:A621"/>
    <mergeCell ref="A622:A624"/>
    <mergeCell ref="A625:A627"/>
    <mergeCell ref="A628:A630"/>
    <mergeCell ref="A631:A633"/>
    <mergeCell ref="A634:A636"/>
    <mergeCell ref="A598:A600"/>
    <mergeCell ref="A601:A603"/>
    <mergeCell ref="A604:A606"/>
    <mergeCell ref="A607:A609"/>
    <mergeCell ref="A610:A612"/>
    <mergeCell ref="A613:A615"/>
    <mergeCell ref="A655:A657"/>
    <mergeCell ref="A658:A660"/>
    <mergeCell ref="A661:A663"/>
    <mergeCell ref="A664:A666"/>
    <mergeCell ref="A667:A669"/>
    <mergeCell ref="A670:A672"/>
    <mergeCell ref="A637:A639"/>
    <mergeCell ref="A640:A642"/>
    <mergeCell ref="A643:A645"/>
    <mergeCell ref="A646:A648"/>
    <mergeCell ref="A649:A651"/>
    <mergeCell ref="A652:A654"/>
    <mergeCell ref="A691:A693"/>
    <mergeCell ref="A694:A696"/>
    <mergeCell ref="A697:A699"/>
    <mergeCell ref="A700:A702"/>
    <mergeCell ref="A703:A705"/>
    <mergeCell ref="A706:A708"/>
    <mergeCell ref="A673:A675"/>
    <mergeCell ref="A676:A678"/>
    <mergeCell ref="A679:A681"/>
    <mergeCell ref="A682:A684"/>
    <mergeCell ref="A685:A687"/>
    <mergeCell ref="A688:A690"/>
    <mergeCell ref="A727:A729"/>
    <mergeCell ref="A730:A732"/>
    <mergeCell ref="A733:A735"/>
    <mergeCell ref="A736:A738"/>
    <mergeCell ref="A739:A741"/>
    <mergeCell ref="A742:A744"/>
    <mergeCell ref="A709:A711"/>
    <mergeCell ref="A712:A714"/>
    <mergeCell ref="A715:A717"/>
    <mergeCell ref="A718:A720"/>
    <mergeCell ref="A721:A723"/>
    <mergeCell ref="A724:A726"/>
    <mergeCell ref="A763:A765"/>
    <mergeCell ref="V763:V771"/>
    <mergeCell ref="A766:A768"/>
    <mergeCell ref="A769:A771"/>
    <mergeCell ref="A772:A774"/>
    <mergeCell ref="V772:V780"/>
    <mergeCell ref="A775:A777"/>
    <mergeCell ref="A778:A780"/>
    <mergeCell ref="A745:A747"/>
    <mergeCell ref="V745:V753"/>
    <mergeCell ref="A748:A750"/>
    <mergeCell ref="A751:A753"/>
    <mergeCell ref="A754:A756"/>
    <mergeCell ref="V754:V762"/>
    <mergeCell ref="A757:A759"/>
    <mergeCell ref="A760:A762"/>
    <mergeCell ref="A799:A801"/>
    <mergeCell ref="A802:A804"/>
    <mergeCell ref="A805:A807"/>
    <mergeCell ref="A808:A810"/>
    <mergeCell ref="A811:A813"/>
    <mergeCell ref="A814:A816"/>
    <mergeCell ref="A781:A783"/>
    <mergeCell ref="A784:A786"/>
    <mergeCell ref="A787:A789"/>
    <mergeCell ref="A790:A792"/>
    <mergeCell ref="A793:A795"/>
    <mergeCell ref="A796:A798"/>
    <mergeCell ref="A835:A837"/>
    <mergeCell ref="A838:A840"/>
    <mergeCell ref="A841:A843"/>
    <mergeCell ref="A844:A846"/>
    <mergeCell ref="A847:A849"/>
    <mergeCell ref="A850:A852"/>
    <mergeCell ref="A817:A819"/>
    <mergeCell ref="A820:A822"/>
    <mergeCell ref="A823:A825"/>
    <mergeCell ref="A826:A828"/>
    <mergeCell ref="A829:A831"/>
    <mergeCell ref="A832:A834"/>
    <mergeCell ref="A871:A873"/>
    <mergeCell ref="A874:A876"/>
    <mergeCell ref="A877:A879"/>
    <mergeCell ref="A880:A882"/>
    <mergeCell ref="A883:A885"/>
    <mergeCell ref="A886:A888"/>
    <mergeCell ref="A853:A855"/>
    <mergeCell ref="A856:A858"/>
    <mergeCell ref="A859:A861"/>
    <mergeCell ref="A862:A864"/>
    <mergeCell ref="A865:A867"/>
    <mergeCell ref="A868:A870"/>
    <mergeCell ref="A907:A909"/>
    <mergeCell ref="A910:A912"/>
    <mergeCell ref="A913:A915"/>
    <mergeCell ref="A916:A918"/>
    <mergeCell ref="A919:A921"/>
    <mergeCell ref="A922:A924"/>
    <mergeCell ref="A889:A891"/>
    <mergeCell ref="A892:A894"/>
    <mergeCell ref="A895:A897"/>
    <mergeCell ref="A898:A900"/>
    <mergeCell ref="A901:A903"/>
    <mergeCell ref="A904:A906"/>
    <mergeCell ref="A940:A942"/>
    <mergeCell ref="A943:A945"/>
    <mergeCell ref="A946:A948"/>
    <mergeCell ref="A949:A951"/>
    <mergeCell ref="A952:A954"/>
    <mergeCell ref="W952:W960"/>
    <mergeCell ref="A955:A957"/>
    <mergeCell ref="A958:A960"/>
    <mergeCell ref="A925:A927"/>
    <mergeCell ref="A928:A930"/>
    <mergeCell ref="A931:A933"/>
    <mergeCell ref="A934:A936"/>
    <mergeCell ref="A937:A939"/>
    <mergeCell ref="W1018:W1026"/>
    <mergeCell ref="A1021:A1023"/>
    <mergeCell ref="A1024:A1026"/>
    <mergeCell ref="A1027:A1029"/>
    <mergeCell ref="A1030:A1032"/>
    <mergeCell ref="W1030:W1038"/>
    <mergeCell ref="A1033:A1035"/>
    <mergeCell ref="A1036:A1038"/>
    <mergeCell ref="A1000:A1002"/>
    <mergeCell ref="A1003:A1005"/>
    <mergeCell ref="A1006:A1008"/>
    <mergeCell ref="A1009:A1011"/>
    <mergeCell ref="A1012:A1014"/>
    <mergeCell ref="A1015:A1017"/>
    <mergeCell ref="A1057:A1059"/>
    <mergeCell ref="A1060:A1062"/>
    <mergeCell ref="A1063:A1065"/>
    <mergeCell ref="E8:N8"/>
    <mergeCell ref="A1039:A1041"/>
    <mergeCell ref="A1042:A1044"/>
    <mergeCell ref="A1045:A1047"/>
    <mergeCell ref="A1048:A1050"/>
    <mergeCell ref="A1051:A1053"/>
    <mergeCell ref="A1054:A1056"/>
    <mergeCell ref="A1018:A1020"/>
    <mergeCell ref="A982:A984"/>
    <mergeCell ref="A985:A987"/>
    <mergeCell ref="A988:A990"/>
    <mergeCell ref="A991:A993"/>
    <mergeCell ref="A994:A996"/>
    <mergeCell ref="A997:A999"/>
    <mergeCell ref="A961:A963"/>
    <mergeCell ref="A964:A966"/>
    <mergeCell ref="A967:A969"/>
    <mergeCell ref="A970:A972"/>
    <mergeCell ref="A973:A975"/>
    <mergeCell ref="A976:A978"/>
    <mergeCell ref="A979:A981"/>
  </mergeCells>
  <conditionalFormatting sqref="F10:G10 K10:N11 K16:N17 F12:G16 K13:N14 F19:G19 K19:N20 F22:G22 K22:N23 K25:N26 F24:G28 K28:N29 F31:G31 K31:N32 K34:N35 F33:G37 K37:N38 F40:G40 K40:N41 K43:N44 F42:G46 K46:N47 F49:G49 K49:N50 K52:N53 F51:G55 K55:N56 F58:G58 K58:N59 K61:N62 F60:G64 K64:N65 F67:G67 K67:N68 K70:N71 F69:G73 K73:N74 F76:G76 K76:N77 K79:N80 F78:G82 K82:N83 F85:G85 K85:N86 K88:N89 F87:G91 K91:N92 K97:N98 F96:G100 K100:N101 K103:N104 K106:N107 F103:G103 F105:G109 K109:N110 F112:G112 K112:N113 K115:N116 F114:G118 K118:N119 F121:G121 K121:N122 K124:N125 F123:G127 K127:N128 F130:G130 K130:N131 K133:N134 F132:G136 K136:N137 F139:G139 K139:N140 K142:N143 F141:G145 K145:N146 F148:G148 K148:N149 K151:N152 F150:G154 K154:N155 F157:G157 K157:N158 K160:N161 F159:G163 K163:N164 F94:G94 K94:N95 F166:G166 K166:N167 K170 L169:M170 N170 K172:N173 F175:G175 K175:N176 K178:N179 F177:G181 K181:N182 F184:G184 K184:N185 K187:N188 F186:G190 K190:N191 F193:G193 F202:G202 F211:G211 F220:G220 F229:G229 F238:G238 F247:G247 K193:N194 K202:N203 K211:N212 K220:N221 K229:N230 K238:N239 K247:N248 K196:N197 K205:N206 K214:N215 K223:N224 K232:N233 K241:N242 K250:N251 F195:G199 F204:G208 F213:G217 F222:G226 F231:G235 F240:G244 F249:G253 K199:N200 K208:N209 K217:N218 K226:N227 K235:N236 K253:N254 K244:L245 N244:N245 M245 F256:G256 K256:N257 K259:N260 F258:G262 K262:N263 F168:G172 F265:G265 K265:N266 K268:N269 F267:G272 K271:N272 F274:G274 K274:N275 K277:N278 F276:G280 K280:N281 F283:G283 K283:N284 K286:N287 F285:G289 K289:N290 F292:G292 K292:N293 K295:N296 F294:G298 K298:N299 F301:G301 F310:G310 K310:N311 K313:N314 F312:G316 K316:N317 F319:G319 K319:N320 K322:N323 F321:G325 K325:N326 F328:G328 K328:N329 K331:N332 F330:G334 K334:N335 K301:N302 F303:G307 K304:N305 K307:N308 F337:G337 K337:N338 K340:N341 F339:G343 K343:N344 F346:G346 K346:N347 K349:N350 F348:G352 K352:N353 F355:G355 K355:N356 F357:G361 F364:G364 K367:N368 F366:G370 K370:N371 J358:N359 J361:N362 J364:N365 F373:G373 K376:N377 F375:G379 K379:N380 J373:N374 F382:G382 K385:N386 F384:G388 K388:N389 J382:N383 F391:G391 K394:N395 F393:G397 K397:N398 J391:N392 F409:G409 K412:N413 F411:G415 K415:N416 J409:N410 F418:G418 J418:N419 F427:G427 K430:N431 F429:G433 K433:N434 J427:N428 F400:G400 K403:N404 F402:G406 K406:N407 J400:N401 K421:N422 F420:G424 K424:N425 F436:G436 J436:N437 K439:N440 F438:G442 K442:N443 K445:N446 F445:G448 F451:G451 J451:N452 K448:N449 K454:O455 F459 F454:H456 F453:G453 F457:G457 K457:N458 F460:G460 J460:N461 K463:O464 F468 F463:H465 F462:G462 F466:G466 K466:N467 A474:A475 A478:B480 C474:C475 F469:G469 J469:N470 K472:O473 F477 F472:H474 F471:G471 F475:G475 K475:N476 F478:G478 J478:N479 F480:G480 A477">
    <cfRule type="cellIs" dxfId="30371" priority="30209" stopIfTrue="1" operator="equal">
      <formula>"Pass"</formula>
    </cfRule>
    <cfRule type="cellIs" dxfId="30370" priority="30210" stopIfTrue="1" operator="equal">
      <formula>"Fail"</formula>
    </cfRule>
  </conditionalFormatting>
  <conditionalFormatting sqref="U429:V430 U432:V433 U17:V18 U11:V12 U14:V15 U20:V21 U23:V24 U26:V27 U29:V30 U32:V33 U35:V36 U38:V39 U41:V42 U44:V45 U47:V48 U50:V51 U53:V54 U56:V57 U59:V60 U62:V63 U65:V66 U68:V69 U71:V72 U74:V75 U77:V78 U80:V81 U83:V84 U86:V87 U89:V90 U92:V93 U95:V96 U98:V99 U101:V102 U104:V105 U107:V108 U110:V111 U113:V114 U116:V117 U119:V120 U122:V123 U125:V126 U128:V129 U131:V132 U134:V135 U137:V138 U140:V141 U143:V144 U146:V147 U149:V150 U152:V153 U155:V156 U158:V159 U161:V162 U164:V165 U167:V168 U170:V171 U173:V174 U176:V177 U179:V180 U182:V183 U185:V186 U188:V189 U191:V192 U194:V195 U203:V204 U212:V213 U221:V222 U230:U231 U239:V240 U248:V249 U197:V198 U206:V207 U215:V216 U224:V225 U233:U234 U242:V243 U251:V252 U200:V201 U209:V210 U218:V219 U227:V228 U236:U237 U245:V246 U254:V255 U257:V258 U260:V261 U263:V264 U266:V267 U269:V270 U272:V273 U275:V276 U278:V279 U281:V282 U284:U285 U287:U288 U290:U291 U293:V294 U296:V297 U299:V300 U302:V303 U305:V306 U308:V309 U311:V312 U314:V315 U317:V318 U320:V321 U323:V324 U326:V327 U329:U330 U332:U333 U335:U336 U338:V339 U341:V342 U344:V345 U347:U348 U350:U351 U353:U354 U356:U357 U365:V366 U368:V369 U371:V372 S479:S480 U359:U363 U374:V375 U377:V378 U380:V381 S365:S366 U383:V384 U386:V387 U389:V390 S374:S375 U392:V393 U395:V396 S383:S384 U398:V417 U435:V444 S392:S393 S401:S402 S410:S411 S419:S420 S428:S429 U453:V453 U448:V451 S437:S438 T457:U459 U462 U460 S452:S453 T448:T454 T460:T463 T466:V468 U471:V471 U469:V469 S461:S462 T469:T472 U480 S470:S471 S359:S360 S362:S363 T475:T480 U475:U478 T10:T445 U427:V427 U418:U426">
    <cfRule type="cellIs" dxfId="30369" priority="30207" stopIfTrue="1" operator="equal">
      <formula>"Fail"</formula>
    </cfRule>
    <cfRule type="cellIs" dxfId="30368" priority="30208" stopIfTrue="1" operator="equal">
      <formula>"Pass"</formula>
    </cfRule>
  </conditionalFormatting>
  <conditionalFormatting sqref="A483:A484 A487:B489 C483:C484 G481:H483 K481:O482 F486 G484 F481:F484 K484:N485 F487:G487 J487:N488 F489:G489 A486">
    <cfRule type="cellIs" dxfId="30367" priority="30205" stopIfTrue="1" operator="equal">
      <formula>"Pass"</formula>
    </cfRule>
    <cfRule type="cellIs" dxfId="30366" priority="30206" stopIfTrue="1" operator="equal">
      <formula>"Fail"</formula>
    </cfRule>
  </conditionalFormatting>
  <conditionalFormatting sqref="T481 T484:U486 U489 U487 T487:T489 S488:S489">
    <cfRule type="cellIs" dxfId="30365" priority="30203" stopIfTrue="1" operator="equal">
      <formula>"Fail"</formula>
    </cfRule>
    <cfRule type="cellIs" dxfId="30364" priority="30204" stopIfTrue="1" operator="equal">
      <formula>"Pass"</formula>
    </cfRule>
  </conditionalFormatting>
  <conditionalFormatting sqref="A492:A493 C492:C493 G490:H492 K490:O491 F495 G493 F490:F493 K493:N494 F496:G496 J496:N497 F498:G498 A495 A496:B498">
    <cfRule type="cellIs" dxfId="30363" priority="30201" stopIfTrue="1" operator="equal">
      <formula>"Pass"</formula>
    </cfRule>
    <cfRule type="cellIs" dxfId="30362" priority="30202" stopIfTrue="1" operator="equal">
      <formula>"Fail"</formula>
    </cfRule>
  </conditionalFormatting>
  <conditionalFormatting sqref="T490 T493:U495 U498 U496 T496:T498 S497:S498">
    <cfRule type="cellIs" dxfId="30361" priority="30199" stopIfTrue="1" operator="equal">
      <formula>"Fail"</formula>
    </cfRule>
    <cfRule type="cellIs" dxfId="30360" priority="30200" stopIfTrue="1" operator="equal">
      <formula>"Pass"</formula>
    </cfRule>
  </conditionalFormatting>
  <conditionalFormatting sqref="A501:A502 A505:B507 C501:C502 G499:H501 K499:O500 F504 G502 F499:F502 K502:N503 F505:G505 J505:N506 F507:G507 A504">
    <cfRule type="cellIs" dxfId="30359" priority="30197" stopIfTrue="1" operator="equal">
      <formula>"Pass"</formula>
    </cfRule>
    <cfRule type="cellIs" dxfId="30358" priority="30198" stopIfTrue="1" operator="equal">
      <formula>"Fail"</formula>
    </cfRule>
  </conditionalFormatting>
  <conditionalFormatting sqref="T499 T502:U504 U507 U505 T505:T507 S506:S507">
    <cfRule type="cellIs" dxfId="30357" priority="30195" stopIfTrue="1" operator="equal">
      <formula>"Fail"</formula>
    </cfRule>
    <cfRule type="cellIs" dxfId="30356" priority="30196" stopIfTrue="1" operator="equal">
      <formula>"Pass"</formula>
    </cfRule>
  </conditionalFormatting>
  <conditionalFormatting sqref="A510:A511 C510:C511 G508:H510 K508:O509 F513 G511 F508:F511 K511:N512 F514:G514 J514:N515 F516:G516 A513 A514:B516">
    <cfRule type="cellIs" dxfId="30355" priority="30193" stopIfTrue="1" operator="equal">
      <formula>"Pass"</formula>
    </cfRule>
    <cfRule type="cellIs" dxfId="30354" priority="30194" stopIfTrue="1" operator="equal">
      <formula>"Fail"</formula>
    </cfRule>
  </conditionalFormatting>
  <conditionalFormatting sqref="T508 T511:U513 U516 U514 T514:T516 S515:S516">
    <cfRule type="cellIs" dxfId="30353" priority="30191" stopIfTrue="1" operator="equal">
      <formula>"Fail"</formula>
    </cfRule>
    <cfRule type="cellIs" dxfId="30352" priority="30192" stopIfTrue="1" operator="equal">
      <formula>"Pass"</formula>
    </cfRule>
  </conditionalFormatting>
  <conditionalFormatting sqref="A490:A492">
    <cfRule type="cellIs" dxfId="30351" priority="30189" stopIfTrue="1" operator="equal">
      <formula>"Pass"</formula>
    </cfRule>
    <cfRule type="cellIs" dxfId="30350" priority="30190" stopIfTrue="1" operator="equal">
      <formula>"Fail"</formula>
    </cfRule>
  </conditionalFormatting>
  <conditionalFormatting sqref="A493:A495">
    <cfRule type="cellIs" dxfId="30349" priority="30187" stopIfTrue="1" operator="equal">
      <formula>"Pass"</formula>
    </cfRule>
    <cfRule type="cellIs" dxfId="30348" priority="30188" stopIfTrue="1" operator="equal">
      <formula>"Fail"</formula>
    </cfRule>
  </conditionalFormatting>
  <conditionalFormatting sqref="A496:A498">
    <cfRule type="cellIs" dxfId="30347" priority="30185" stopIfTrue="1" operator="equal">
      <formula>"Pass"</formula>
    </cfRule>
    <cfRule type="cellIs" dxfId="30346" priority="30186" stopIfTrue="1" operator="equal">
      <formula>"Fail"</formula>
    </cfRule>
  </conditionalFormatting>
  <conditionalFormatting sqref="K499:O500 F499:H501">
    <cfRule type="cellIs" dxfId="30345" priority="30183" stopIfTrue="1" operator="equal">
      <formula>"Pass"</formula>
    </cfRule>
    <cfRule type="cellIs" dxfId="30344" priority="30184" stopIfTrue="1" operator="equal">
      <formula>"Fail"</formula>
    </cfRule>
  </conditionalFormatting>
  <conditionalFormatting sqref="T499">
    <cfRule type="cellIs" dxfId="30343" priority="30181" stopIfTrue="1" operator="equal">
      <formula>"Fail"</formula>
    </cfRule>
    <cfRule type="cellIs" dxfId="30342" priority="30182" stopIfTrue="1" operator="equal">
      <formula>"Pass"</formula>
    </cfRule>
  </conditionalFormatting>
  <conditionalFormatting sqref="K499:N499 F499:H499">
    <cfRule type="cellIs" dxfId="30341" priority="30179" stopIfTrue="1" operator="equal">
      <formula>"Pass"</formula>
    </cfRule>
    <cfRule type="cellIs" dxfId="30340" priority="30180" stopIfTrue="1" operator="equal">
      <formula>"Fail"</formula>
    </cfRule>
  </conditionalFormatting>
  <conditionalFormatting sqref="F504 F502:G502 K502:N503">
    <cfRule type="cellIs" dxfId="30339" priority="30177" stopIfTrue="1" operator="equal">
      <formula>"Pass"</formula>
    </cfRule>
    <cfRule type="cellIs" dxfId="30338" priority="30178" stopIfTrue="1" operator="equal">
      <formula>"Fail"</formula>
    </cfRule>
  </conditionalFormatting>
  <conditionalFormatting sqref="T502:U504">
    <cfRule type="cellIs" dxfId="30337" priority="30175" stopIfTrue="1" operator="equal">
      <formula>"Fail"</formula>
    </cfRule>
    <cfRule type="cellIs" dxfId="30336" priority="30176" stopIfTrue="1" operator="equal">
      <formula>"Pass"</formula>
    </cfRule>
  </conditionalFormatting>
  <conditionalFormatting sqref="K502:N502">
    <cfRule type="cellIs" dxfId="30335" priority="30173" stopIfTrue="1" operator="equal">
      <formula>"Pass"</formula>
    </cfRule>
    <cfRule type="cellIs" dxfId="30334" priority="30174" stopIfTrue="1" operator="equal">
      <formula>"Fail"</formula>
    </cfRule>
  </conditionalFormatting>
  <conditionalFormatting sqref="F505:G505 J505:N506 F507:G507">
    <cfRule type="cellIs" dxfId="30333" priority="30171" stopIfTrue="1" operator="equal">
      <formula>"Pass"</formula>
    </cfRule>
    <cfRule type="cellIs" dxfId="30332" priority="30172" stopIfTrue="1" operator="equal">
      <formula>"Fail"</formula>
    </cfRule>
  </conditionalFormatting>
  <conditionalFormatting sqref="U507 U505 T505:T507 S506:S507">
    <cfRule type="cellIs" dxfId="30331" priority="30169" stopIfTrue="1" operator="equal">
      <formula>"Fail"</formula>
    </cfRule>
    <cfRule type="cellIs" dxfId="30330" priority="30170" stopIfTrue="1" operator="equal">
      <formula>"Pass"</formula>
    </cfRule>
  </conditionalFormatting>
  <conditionalFormatting sqref="J505:N505">
    <cfRule type="cellIs" dxfId="30329" priority="30167" stopIfTrue="1" operator="equal">
      <formula>"Pass"</formula>
    </cfRule>
    <cfRule type="cellIs" dxfId="30328" priority="30168" stopIfTrue="1" operator="equal">
      <formula>"Fail"</formula>
    </cfRule>
  </conditionalFormatting>
  <conditionalFormatting sqref="A519:A520 C519:C520 G517:H519 K517:O518 F522 G520 F517:F520 K520:N521 F523:G523 J523:N524 F525:G525 A522 A523:B525">
    <cfRule type="cellIs" dxfId="30327" priority="30165" stopIfTrue="1" operator="equal">
      <formula>"Pass"</formula>
    </cfRule>
    <cfRule type="cellIs" dxfId="30326" priority="30166" stopIfTrue="1" operator="equal">
      <formula>"Fail"</formula>
    </cfRule>
  </conditionalFormatting>
  <conditionalFormatting sqref="T517 T520:U522 U525 U523 T523:T525 S524:S525">
    <cfRule type="cellIs" dxfId="30325" priority="30163" stopIfTrue="1" operator="equal">
      <formula>"Fail"</formula>
    </cfRule>
    <cfRule type="cellIs" dxfId="30324" priority="30164" stopIfTrue="1" operator="equal">
      <formula>"Pass"</formula>
    </cfRule>
  </conditionalFormatting>
  <conditionalFormatting sqref="A517:A519">
    <cfRule type="cellIs" dxfId="30323" priority="30161" stopIfTrue="1" operator="equal">
      <formula>"Pass"</formula>
    </cfRule>
    <cfRule type="cellIs" dxfId="30322" priority="30162" stopIfTrue="1" operator="equal">
      <formula>"Fail"</formula>
    </cfRule>
  </conditionalFormatting>
  <conditionalFormatting sqref="A520:A522">
    <cfRule type="cellIs" dxfId="30321" priority="30159" stopIfTrue="1" operator="equal">
      <formula>"Pass"</formula>
    </cfRule>
    <cfRule type="cellIs" dxfId="30320" priority="30160" stopIfTrue="1" operator="equal">
      <formula>"Fail"</formula>
    </cfRule>
  </conditionalFormatting>
  <conditionalFormatting sqref="A523:A525">
    <cfRule type="cellIs" dxfId="30319" priority="30157" stopIfTrue="1" operator="equal">
      <formula>"Pass"</formula>
    </cfRule>
    <cfRule type="cellIs" dxfId="30318" priority="30158" stopIfTrue="1" operator="equal">
      <formula>"Fail"</formula>
    </cfRule>
  </conditionalFormatting>
  <conditionalFormatting sqref="A520:A522">
    <cfRule type="cellIs" dxfId="30317" priority="30155" stopIfTrue="1" operator="equal">
      <formula>"Pass"</formula>
    </cfRule>
    <cfRule type="cellIs" dxfId="30316" priority="30156" stopIfTrue="1" operator="equal">
      <formula>"Fail"</formula>
    </cfRule>
  </conditionalFormatting>
  <conditionalFormatting sqref="A523:A525">
    <cfRule type="cellIs" dxfId="30315" priority="30153" stopIfTrue="1" operator="equal">
      <formula>"Pass"</formula>
    </cfRule>
    <cfRule type="cellIs" dxfId="30314" priority="30154" stopIfTrue="1" operator="equal">
      <formula>"Fail"</formula>
    </cfRule>
  </conditionalFormatting>
  <conditionalFormatting sqref="A528:A529 C528:C529 G526:H528 K526:O527 F531 G529 F526:F529 K529:N530 F532:G532 J532:N533 F534:G534 A531 A532:B534">
    <cfRule type="cellIs" dxfId="30313" priority="30151" stopIfTrue="1" operator="equal">
      <formula>"Pass"</formula>
    </cfRule>
    <cfRule type="cellIs" dxfId="30312" priority="30152" stopIfTrue="1" operator="equal">
      <formula>"Fail"</formula>
    </cfRule>
  </conditionalFormatting>
  <conditionalFormatting sqref="T526 T529:U531 U534 U532 T532:T534 S533:S534">
    <cfRule type="cellIs" dxfId="30311" priority="30149" stopIfTrue="1" operator="equal">
      <formula>"Fail"</formula>
    </cfRule>
    <cfRule type="cellIs" dxfId="30310" priority="30150" stopIfTrue="1" operator="equal">
      <formula>"Pass"</formula>
    </cfRule>
  </conditionalFormatting>
  <conditionalFormatting sqref="A526:A528">
    <cfRule type="cellIs" dxfId="30309" priority="30147" stopIfTrue="1" operator="equal">
      <formula>"Pass"</formula>
    </cfRule>
    <cfRule type="cellIs" dxfId="30308" priority="30148" stopIfTrue="1" operator="equal">
      <formula>"Fail"</formula>
    </cfRule>
  </conditionalFormatting>
  <conditionalFormatting sqref="A529:A531">
    <cfRule type="cellIs" dxfId="30307" priority="30145" stopIfTrue="1" operator="equal">
      <formula>"Pass"</formula>
    </cfRule>
    <cfRule type="cellIs" dxfId="30306" priority="30146" stopIfTrue="1" operator="equal">
      <formula>"Fail"</formula>
    </cfRule>
  </conditionalFormatting>
  <conditionalFormatting sqref="A532:A534">
    <cfRule type="cellIs" dxfId="30305" priority="30143" stopIfTrue="1" operator="equal">
      <formula>"Pass"</formula>
    </cfRule>
    <cfRule type="cellIs" dxfId="30304" priority="30144" stopIfTrue="1" operator="equal">
      <formula>"Fail"</formula>
    </cfRule>
  </conditionalFormatting>
  <conditionalFormatting sqref="A529:A531">
    <cfRule type="cellIs" dxfId="30303" priority="30141" stopIfTrue="1" operator="equal">
      <formula>"Pass"</formula>
    </cfRule>
    <cfRule type="cellIs" dxfId="30302" priority="30142" stopIfTrue="1" operator="equal">
      <formula>"Fail"</formula>
    </cfRule>
  </conditionalFormatting>
  <conditionalFormatting sqref="A532:A534">
    <cfRule type="cellIs" dxfId="30301" priority="30139" stopIfTrue="1" operator="equal">
      <formula>"Pass"</formula>
    </cfRule>
    <cfRule type="cellIs" dxfId="30300" priority="30140" stopIfTrue="1" operator="equal">
      <formula>"Fail"</formula>
    </cfRule>
  </conditionalFormatting>
  <conditionalFormatting sqref="A537:A538 C537:C538 G535:H537 K535:O536 F540 G538 F535:F538 K538:N539 F541:G541 J541:N542 F543:G543 A540 A541:B543">
    <cfRule type="cellIs" dxfId="30299" priority="30137" stopIfTrue="1" operator="equal">
      <formula>"Pass"</formula>
    </cfRule>
    <cfRule type="cellIs" dxfId="30298" priority="30138" stopIfTrue="1" operator="equal">
      <formula>"Fail"</formula>
    </cfRule>
  </conditionalFormatting>
  <conditionalFormatting sqref="T535 T538:U540 U543 U541 T541:T543 S542:S543">
    <cfRule type="cellIs" dxfId="30297" priority="30135" stopIfTrue="1" operator="equal">
      <formula>"Fail"</formula>
    </cfRule>
    <cfRule type="cellIs" dxfId="30296" priority="30136" stopIfTrue="1" operator="equal">
      <formula>"Pass"</formula>
    </cfRule>
  </conditionalFormatting>
  <conditionalFormatting sqref="A535:A537">
    <cfRule type="cellIs" dxfId="30295" priority="30133" stopIfTrue="1" operator="equal">
      <formula>"Pass"</formula>
    </cfRule>
    <cfRule type="cellIs" dxfId="30294" priority="30134" stopIfTrue="1" operator="equal">
      <formula>"Fail"</formula>
    </cfRule>
  </conditionalFormatting>
  <conditionalFormatting sqref="A538:A540">
    <cfRule type="cellIs" dxfId="30293" priority="30131" stopIfTrue="1" operator="equal">
      <formula>"Pass"</formula>
    </cfRule>
    <cfRule type="cellIs" dxfId="30292" priority="30132" stopIfTrue="1" operator="equal">
      <formula>"Fail"</formula>
    </cfRule>
  </conditionalFormatting>
  <conditionalFormatting sqref="A541:A543">
    <cfRule type="cellIs" dxfId="30291" priority="30129" stopIfTrue="1" operator="equal">
      <formula>"Pass"</formula>
    </cfRule>
    <cfRule type="cellIs" dxfId="30290" priority="30130" stopIfTrue="1" operator="equal">
      <formula>"Fail"</formula>
    </cfRule>
  </conditionalFormatting>
  <conditionalFormatting sqref="A538:A540">
    <cfRule type="cellIs" dxfId="30289" priority="30127" stopIfTrue="1" operator="equal">
      <formula>"Pass"</formula>
    </cfRule>
    <cfRule type="cellIs" dxfId="30288" priority="30128" stopIfTrue="1" operator="equal">
      <formula>"Fail"</formula>
    </cfRule>
  </conditionalFormatting>
  <conditionalFormatting sqref="A541:A543">
    <cfRule type="cellIs" dxfId="30287" priority="30125" stopIfTrue="1" operator="equal">
      <formula>"Pass"</formula>
    </cfRule>
    <cfRule type="cellIs" dxfId="30286" priority="30126" stopIfTrue="1" operator="equal">
      <formula>"Fail"</formula>
    </cfRule>
  </conditionalFormatting>
  <conditionalFormatting sqref="A538:A540">
    <cfRule type="cellIs" dxfId="30285" priority="30123" stopIfTrue="1" operator="equal">
      <formula>"Pass"</formula>
    </cfRule>
    <cfRule type="cellIs" dxfId="30284" priority="30124" stopIfTrue="1" operator="equal">
      <formula>"Fail"</formula>
    </cfRule>
  </conditionalFormatting>
  <conditionalFormatting sqref="A541:A543">
    <cfRule type="cellIs" dxfId="30283" priority="30121" stopIfTrue="1" operator="equal">
      <formula>"Pass"</formula>
    </cfRule>
    <cfRule type="cellIs" dxfId="30282" priority="30122" stopIfTrue="1" operator="equal">
      <formula>"Fail"</formula>
    </cfRule>
  </conditionalFormatting>
  <conditionalFormatting sqref="A546:A547 C546:C547 G544:H546 K544:O545 F549 G547 F544:F547 K547:N548 F550:G550 J550:N551 F552:G552 A549 A550:B552">
    <cfRule type="cellIs" dxfId="30281" priority="30119" stopIfTrue="1" operator="equal">
      <formula>"Pass"</formula>
    </cfRule>
    <cfRule type="cellIs" dxfId="30280" priority="30120" stopIfTrue="1" operator="equal">
      <formula>"Fail"</formula>
    </cfRule>
  </conditionalFormatting>
  <conditionalFormatting sqref="T544 T547:U549 U552 U550 T550:T552 S551:S552">
    <cfRule type="cellIs" dxfId="30279" priority="30117" stopIfTrue="1" operator="equal">
      <formula>"Fail"</formula>
    </cfRule>
    <cfRule type="cellIs" dxfId="30278" priority="30118" stopIfTrue="1" operator="equal">
      <formula>"Pass"</formula>
    </cfRule>
  </conditionalFormatting>
  <conditionalFormatting sqref="A544:A546">
    <cfRule type="cellIs" dxfId="30277" priority="30115" stopIfTrue="1" operator="equal">
      <formula>"Pass"</formula>
    </cfRule>
    <cfRule type="cellIs" dxfId="30276" priority="30116" stopIfTrue="1" operator="equal">
      <formula>"Fail"</formula>
    </cfRule>
  </conditionalFormatting>
  <conditionalFormatting sqref="A547:A549">
    <cfRule type="cellIs" dxfId="30275" priority="30113" stopIfTrue="1" operator="equal">
      <formula>"Pass"</formula>
    </cfRule>
    <cfRule type="cellIs" dxfId="30274" priority="30114" stopIfTrue="1" operator="equal">
      <formula>"Fail"</formula>
    </cfRule>
  </conditionalFormatting>
  <conditionalFormatting sqref="A550:A552">
    <cfRule type="cellIs" dxfId="30273" priority="30111" stopIfTrue="1" operator="equal">
      <formula>"Pass"</formula>
    </cfRule>
    <cfRule type="cellIs" dxfId="30272" priority="30112" stopIfTrue="1" operator="equal">
      <formula>"Fail"</formula>
    </cfRule>
  </conditionalFormatting>
  <conditionalFormatting sqref="A547:A549">
    <cfRule type="cellIs" dxfId="30271" priority="30109" stopIfTrue="1" operator="equal">
      <formula>"Pass"</formula>
    </cfRule>
    <cfRule type="cellIs" dxfId="30270" priority="30110" stopIfTrue="1" operator="equal">
      <formula>"Fail"</formula>
    </cfRule>
  </conditionalFormatting>
  <conditionalFormatting sqref="A550:A552">
    <cfRule type="cellIs" dxfId="30269" priority="30107" stopIfTrue="1" operator="equal">
      <formula>"Pass"</formula>
    </cfRule>
    <cfRule type="cellIs" dxfId="30268" priority="30108" stopIfTrue="1" operator="equal">
      <formula>"Fail"</formula>
    </cfRule>
  </conditionalFormatting>
  <conditionalFormatting sqref="A547:A549">
    <cfRule type="cellIs" dxfId="30267" priority="30105" stopIfTrue="1" operator="equal">
      <formula>"Pass"</formula>
    </cfRule>
    <cfRule type="cellIs" dxfId="30266" priority="30106" stopIfTrue="1" operator="equal">
      <formula>"Fail"</formula>
    </cfRule>
  </conditionalFormatting>
  <conditionalFormatting sqref="A550:A552">
    <cfRule type="cellIs" dxfId="30265" priority="30103" stopIfTrue="1" operator="equal">
      <formula>"Pass"</formula>
    </cfRule>
    <cfRule type="cellIs" dxfId="30264" priority="30104" stopIfTrue="1" operator="equal">
      <formula>"Fail"</formula>
    </cfRule>
  </conditionalFormatting>
  <conditionalFormatting sqref="F553:G553 J553:N554 F555:G555 A553:B555">
    <cfRule type="cellIs" dxfId="30263" priority="30101" stopIfTrue="1" operator="equal">
      <formula>"Pass"</formula>
    </cfRule>
    <cfRule type="cellIs" dxfId="30262" priority="30102" stopIfTrue="1" operator="equal">
      <formula>"Fail"</formula>
    </cfRule>
  </conditionalFormatting>
  <conditionalFormatting sqref="U555 U553 T553:T555 S554:S555">
    <cfRule type="cellIs" dxfId="30261" priority="30099" stopIfTrue="1" operator="equal">
      <formula>"Fail"</formula>
    </cfRule>
    <cfRule type="cellIs" dxfId="30260" priority="30100" stopIfTrue="1" operator="equal">
      <formula>"Pass"</formula>
    </cfRule>
  </conditionalFormatting>
  <conditionalFormatting sqref="A553:A555">
    <cfRule type="cellIs" dxfId="30259" priority="30097" stopIfTrue="1" operator="equal">
      <formula>"Pass"</formula>
    </cfRule>
    <cfRule type="cellIs" dxfId="30258" priority="30098" stopIfTrue="1" operator="equal">
      <formula>"Fail"</formula>
    </cfRule>
  </conditionalFormatting>
  <conditionalFormatting sqref="A553:A555">
    <cfRule type="cellIs" dxfId="30257" priority="30095" stopIfTrue="1" operator="equal">
      <formula>"Pass"</formula>
    </cfRule>
    <cfRule type="cellIs" dxfId="30256" priority="30096" stopIfTrue="1" operator="equal">
      <formula>"Fail"</formula>
    </cfRule>
  </conditionalFormatting>
  <conditionalFormatting sqref="A553:A555">
    <cfRule type="cellIs" dxfId="30255" priority="30093" stopIfTrue="1" operator="equal">
      <formula>"Pass"</formula>
    </cfRule>
    <cfRule type="cellIs" dxfId="30254" priority="30094" stopIfTrue="1" operator="equal">
      <formula>"Fail"</formula>
    </cfRule>
  </conditionalFormatting>
  <conditionalFormatting sqref="A558:A559 C558:C559 G556:H558 K556:O557 F561 G559 F556:F559 K559:N560 A561">
    <cfRule type="cellIs" dxfId="30253" priority="30091" stopIfTrue="1" operator="equal">
      <formula>"Pass"</formula>
    </cfRule>
    <cfRule type="cellIs" dxfId="30252" priority="30092" stopIfTrue="1" operator="equal">
      <formula>"Fail"</formula>
    </cfRule>
  </conditionalFormatting>
  <conditionalFormatting sqref="T556 T559:U561">
    <cfRule type="cellIs" dxfId="30251" priority="30089" stopIfTrue="1" operator="equal">
      <formula>"Fail"</formula>
    </cfRule>
    <cfRule type="cellIs" dxfId="30250" priority="30090" stopIfTrue="1" operator="equal">
      <formula>"Pass"</formula>
    </cfRule>
  </conditionalFormatting>
  <conditionalFormatting sqref="A556:A558">
    <cfRule type="cellIs" dxfId="30249" priority="30087" stopIfTrue="1" operator="equal">
      <formula>"Pass"</formula>
    </cfRule>
    <cfRule type="cellIs" dxfId="30248" priority="30088" stopIfTrue="1" operator="equal">
      <formula>"Fail"</formula>
    </cfRule>
  </conditionalFormatting>
  <conditionalFormatting sqref="A559:A561">
    <cfRule type="cellIs" dxfId="30247" priority="30085" stopIfTrue="1" operator="equal">
      <formula>"Pass"</formula>
    </cfRule>
    <cfRule type="cellIs" dxfId="30246" priority="30086" stopIfTrue="1" operator="equal">
      <formula>"Fail"</formula>
    </cfRule>
  </conditionalFormatting>
  <conditionalFormatting sqref="A559:A561">
    <cfRule type="cellIs" dxfId="30245" priority="30083" stopIfTrue="1" operator="equal">
      <formula>"Pass"</formula>
    </cfRule>
    <cfRule type="cellIs" dxfId="30244" priority="30084" stopIfTrue="1" operator="equal">
      <formula>"Fail"</formula>
    </cfRule>
  </conditionalFormatting>
  <conditionalFormatting sqref="A559:A561">
    <cfRule type="cellIs" dxfId="30243" priority="30081" stopIfTrue="1" operator="equal">
      <formula>"Pass"</formula>
    </cfRule>
    <cfRule type="cellIs" dxfId="30242" priority="30082" stopIfTrue="1" operator="equal">
      <formula>"Fail"</formula>
    </cfRule>
  </conditionalFormatting>
  <conditionalFormatting sqref="J562:N563 E562:G564 J565:J566">
    <cfRule type="cellIs" dxfId="30241" priority="30079" stopIfTrue="1" operator="equal">
      <formula>"Pass"</formula>
    </cfRule>
    <cfRule type="cellIs" dxfId="30240" priority="30080" stopIfTrue="1" operator="equal">
      <formula>"Fail"</formula>
    </cfRule>
  </conditionalFormatting>
  <conditionalFormatting sqref="A564 C564 K562:O563 F562:H564 H565:H566 I566 H568:H569">
    <cfRule type="cellIs" dxfId="30239" priority="30077" stopIfTrue="1" operator="equal">
      <formula>"Pass"</formula>
    </cfRule>
    <cfRule type="cellIs" dxfId="30238" priority="30078" stopIfTrue="1" operator="equal">
      <formula>"Fail"</formula>
    </cfRule>
  </conditionalFormatting>
  <conditionalFormatting sqref="T562">
    <cfRule type="cellIs" dxfId="30237" priority="30075" stopIfTrue="1" operator="equal">
      <formula>"Fail"</formula>
    </cfRule>
    <cfRule type="cellIs" dxfId="30236" priority="30076" stopIfTrue="1" operator="equal">
      <formula>"Pass"</formula>
    </cfRule>
  </conditionalFormatting>
  <conditionalFormatting sqref="A562:A564">
    <cfRule type="cellIs" dxfId="30235" priority="30073" stopIfTrue="1" operator="equal">
      <formula>"Pass"</formula>
    </cfRule>
    <cfRule type="cellIs" dxfId="30234" priority="30074" stopIfTrue="1" operator="equal">
      <formula>"Fail"</formula>
    </cfRule>
  </conditionalFormatting>
  <conditionalFormatting sqref="A565 C565 F567 F565:G565 K565:N566 A567">
    <cfRule type="cellIs" dxfId="30233" priority="30071" stopIfTrue="1" operator="equal">
      <formula>"Pass"</formula>
    </cfRule>
    <cfRule type="cellIs" dxfId="30232" priority="30072" stopIfTrue="1" operator="equal">
      <formula>"Fail"</formula>
    </cfRule>
  </conditionalFormatting>
  <conditionalFormatting sqref="T565:U567">
    <cfRule type="cellIs" dxfId="30231" priority="30069" stopIfTrue="1" operator="equal">
      <formula>"Fail"</formula>
    </cfRule>
    <cfRule type="cellIs" dxfId="30230" priority="30070" stopIfTrue="1" operator="equal">
      <formula>"Pass"</formula>
    </cfRule>
  </conditionalFormatting>
  <conditionalFormatting sqref="A565:A567">
    <cfRule type="cellIs" dxfId="30229" priority="30067" stopIfTrue="1" operator="equal">
      <formula>"Pass"</formula>
    </cfRule>
    <cfRule type="cellIs" dxfId="30228" priority="30068" stopIfTrue="1" operator="equal">
      <formula>"Fail"</formula>
    </cfRule>
  </conditionalFormatting>
  <conditionalFormatting sqref="A565:A567">
    <cfRule type="cellIs" dxfId="30227" priority="30065" stopIfTrue="1" operator="equal">
      <formula>"Pass"</formula>
    </cfRule>
    <cfRule type="cellIs" dxfId="30226" priority="30066" stopIfTrue="1" operator="equal">
      <formula>"Fail"</formula>
    </cfRule>
  </conditionalFormatting>
  <conditionalFormatting sqref="A565:A567">
    <cfRule type="cellIs" dxfId="30225" priority="30063" stopIfTrue="1" operator="equal">
      <formula>"Pass"</formula>
    </cfRule>
    <cfRule type="cellIs" dxfId="30224" priority="30064" stopIfTrue="1" operator="equal">
      <formula>"Fail"</formula>
    </cfRule>
  </conditionalFormatting>
  <conditionalFormatting sqref="E568:F568 I568:M569 E570:F570 A568:A570">
    <cfRule type="cellIs" dxfId="30223" priority="30061" stopIfTrue="1" operator="equal">
      <formula>"Pass"</formula>
    </cfRule>
    <cfRule type="cellIs" dxfId="30222" priority="30062" stopIfTrue="1" operator="equal">
      <formula>"Fail"</formula>
    </cfRule>
  </conditionalFormatting>
  <conditionalFormatting sqref="T570 T568 R568:R570 S569:S570">
    <cfRule type="cellIs" dxfId="30221" priority="30059" stopIfTrue="1" operator="equal">
      <formula>"Fail"</formula>
    </cfRule>
    <cfRule type="cellIs" dxfId="30220" priority="30060" stopIfTrue="1" operator="equal">
      <formula>"Pass"</formula>
    </cfRule>
  </conditionalFormatting>
  <conditionalFormatting sqref="F568:G568 J568:N569 F570:G570 A568:B570">
    <cfRule type="cellIs" dxfId="30219" priority="30057" stopIfTrue="1" operator="equal">
      <formula>"Pass"</formula>
    </cfRule>
    <cfRule type="cellIs" dxfId="30218" priority="30058" stopIfTrue="1" operator="equal">
      <formula>"Fail"</formula>
    </cfRule>
  </conditionalFormatting>
  <conditionalFormatting sqref="U570 U568 T568:T570 S569:S570">
    <cfRule type="cellIs" dxfId="30217" priority="30055" stopIfTrue="1" operator="equal">
      <formula>"Fail"</formula>
    </cfRule>
    <cfRule type="cellIs" dxfId="30216" priority="30056" stopIfTrue="1" operator="equal">
      <formula>"Pass"</formula>
    </cfRule>
  </conditionalFormatting>
  <conditionalFormatting sqref="A568:A570">
    <cfRule type="cellIs" dxfId="30215" priority="30053" stopIfTrue="1" operator="equal">
      <formula>"Pass"</formula>
    </cfRule>
    <cfRule type="cellIs" dxfId="30214" priority="30054" stopIfTrue="1" operator="equal">
      <formula>"Fail"</formula>
    </cfRule>
  </conditionalFormatting>
  <conditionalFormatting sqref="A568:A570">
    <cfRule type="cellIs" dxfId="30213" priority="30051" stopIfTrue="1" operator="equal">
      <formula>"Pass"</formula>
    </cfRule>
    <cfRule type="cellIs" dxfId="30212" priority="30052" stopIfTrue="1" operator="equal">
      <formula>"Fail"</formula>
    </cfRule>
  </conditionalFormatting>
  <conditionalFormatting sqref="A568:A570">
    <cfRule type="cellIs" dxfId="30211" priority="30049" stopIfTrue="1" operator="equal">
      <formula>"Pass"</formula>
    </cfRule>
    <cfRule type="cellIs" dxfId="30210" priority="30050" stopIfTrue="1" operator="equal">
      <formula>"Fail"</formula>
    </cfRule>
  </conditionalFormatting>
  <conditionalFormatting sqref="J571:N572 E571:G573 J574:J575">
    <cfRule type="cellIs" dxfId="30209" priority="30047" stopIfTrue="1" operator="equal">
      <formula>"Pass"</formula>
    </cfRule>
    <cfRule type="cellIs" dxfId="30208" priority="30048" stopIfTrue="1" operator="equal">
      <formula>"Fail"</formula>
    </cfRule>
  </conditionalFormatting>
  <conditionalFormatting sqref="A573 C573 K571:O572 F571:H573 H574:H575 I575 H577:H578">
    <cfRule type="cellIs" dxfId="30207" priority="30045" stopIfTrue="1" operator="equal">
      <formula>"Pass"</formula>
    </cfRule>
    <cfRule type="cellIs" dxfId="30206" priority="30046" stopIfTrue="1" operator="equal">
      <formula>"Fail"</formula>
    </cfRule>
  </conditionalFormatting>
  <conditionalFormatting sqref="T571">
    <cfRule type="cellIs" dxfId="30205" priority="30043" stopIfTrue="1" operator="equal">
      <formula>"Fail"</formula>
    </cfRule>
    <cfRule type="cellIs" dxfId="30204" priority="30044" stopIfTrue="1" operator="equal">
      <formula>"Pass"</formula>
    </cfRule>
  </conditionalFormatting>
  <conditionalFormatting sqref="A571:A573">
    <cfRule type="cellIs" dxfId="30203" priority="30041" stopIfTrue="1" operator="equal">
      <formula>"Pass"</formula>
    </cfRule>
    <cfRule type="cellIs" dxfId="30202" priority="30042" stopIfTrue="1" operator="equal">
      <formula>"Fail"</formula>
    </cfRule>
  </conditionalFormatting>
  <conditionalFormatting sqref="A574 C574 F576 F574:G574 K574:N575 A576">
    <cfRule type="cellIs" dxfId="30201" priority="30039" stopIfTrue="1" operator="equal">
      <formula>"Pass"</formula>
    </cfRule>
    <cfRule type="cellIs" dxfId="30200" priority="30040" stopIfTrue="1" operator="equal">
      <formula>"Fail"</formula>
    </cfRule>
  </conditionalFormatting>
  <conditionalFormatting sqref="T574:T576 U575:U576">
    <cfRule type="cellIs" dxfId="30199" priority="30037" stopIfTrue="1" operator="equal">
      <formula>"Fail"</formula>
    </cfRule>
    <cfRule type="cellIs" dxfId="30198" priority="30038" stopIfTrue="1" operator="equal">
      <formula>"Pass"</formula>
    </cfRule>
  </conditionalFormatting>
  <conditionalFormatting sqref="A574:A576">
    <cfRule type="cellIs" dxfId="30197" priority="30035" stopIfTrue="1" operator="equal">
      <formula>"Pass"</formula>
    </cfRule>
    <cfRule type="cellIs" dxfId="30196" priority="30036" stopIfTrue="1" operator="equal">
      <formula>"Fail"</formula>
    </cfRule>
  </conditionalFormatting>
  <conditionalFormatting sqref="A574:A576">
    <cfRule type="cellIs" dxfId="30195" priority="30033" stopIfTrue="1" operator="equal">
      <formula>"Pass"</formula>
    </cfRule>
    <cfRule type="cellIs" dxfId="30194" priority="30034" stopIfTrue="1" operator="equal">
      <formula>"Fail"</formula>
    </cfRule>
  </conditionalFormatting>
  <conditionalFormatting sqref="A574:A576">
    <cfRule type="cellIs" dxfId="30193" priority="30031" stopIfTrue="1" operator="equal">
      <formula>"Pass"</formula>
    </cfRule>
    <cfRule type="cellIs" dxfId="30192" priority="30032" stopIfTrue="1" operator="equal">
      <formula>"Fail"</formula>
    </cfRule>
  </conditionalFormatting>
  <conditionalFormatting sqref="E577:F577 I577:M578 E579:F579 A577:A579">
    <cfRule type="cellIs" dxfId="30191" priority="30029" stopIfTrue="1" operator="equal">
      <formula>"Pass"</formula>
    </cfRule>
    <cfRule type="cellIs" dxfId="30190" priority="30030" stopIfTrue="1" operator="equal">
      <formula>"Fail"</formula>
    </cfRule>
  </conditionalFormatting>
  <conditionalFormatting sqref="T579 T577 R577:R579 S578:S579">
    <cfRule type="cellIs" dxfId="30189" priority="30027" stopIfTrue="1" operator="equal">
      <formula>"Fail"</formula>
    </cfRule>
    <cfRule type="cellIs" dxfId="30188" priority="30028" stopIfTrue="1" operator="equal">
      <formula>"Pass"</formula>
    </cfRule>
  </conditionalFormatting>
  <conditionalFormatting sqref="F577:G577 J577:N578 F579:G579 A577:B579">
    <cfRule type="cellIs" dxfId="30187" priority="30025" stopIfTrue="1" operator="equal">
      <formula>"Pass"</formula>
    </cfRule>
    <cfRule type="cellIs" dxfId="30186" priority="30026" stopIfTrue="1" operator="equal">
      <formula>"Fail"</formula>
    </cfRule>
  </conditionalFormatting>
  <conditionalFormatting sqref="U579 T577:T579 S578:S579">
    <cfRule type="cellIs" dxfId="30185" priority="30023" stopIfTrue="1" operator="equal">
      <formula>"Fail"</formula>
    </cfRule>
    <cfRule type="cellIs" dxfId="30184" priority="30024" stopIfTrue="1" operator="equal">
      <formula>"Pass"</formula>
    </cfRule>
  </conditionalFormatting>
  <conditionalFormatting sqref="A577:A579">
    <cfRule type="cellIs" dxfId="30183" priority="30021" stopIfTrue="1" operator="equal">
      <formula>"Pass"</formula>
    </cfRule>
    <cfRule type="cellIs" dxfId="30182" priority="30022" stopIfTrue="1" operator="equal">
      <formula>"Fail"</formula>
    </cfRule>
  </conditionalFormatting>
  <conditionalFormatting sqref="A577:A579">
    <cfRule type="cellIs" dxfId="30181" priority="30019" stopIfTrue="1" operator="equal">
      <formula>"Pass"</formula>
    </cfRule>
    <cfRule type="cellIs" dxfId="30180" priority="30020" stopIfTrue="1" operator="equal">
      <formula>"Fail"</formula>
    </cfRule>
  </conditionalFormatting>
  <conditionalFormatting sqref="A577:A579">
    <cfRule type="cellIs" dxfId="30179" priority="30017" stopIfTrue="1" operator="equal">
      <formula>"Pass"</formula>
    </cfRule>
    <cfRule type="cellIs" dxfId="30178" priority="30018" stopIfTrue="1" operator="equal">
      <formula>"Fail"</formula>
    </cfRule>
  </conditionalFormatting>
  <conditionalFormatting sqref="A576">
    <cfRule type="cellIs" dxfId="30177" priority="30015" stopIfTrue="1" operator="equal">
      <formula>"Pass"</formula>
    </cfRule>
    <cfRule type="cellIs" dxfId="30176" priority="30016" stopIfTrue="1" operator="equal">
      <formula>"Fail"</formula>
    </cfRule>
  </conditionalFormatting>
  <conditionalFormatting sqref="A574:A576">
    <cfRule type="cellIs" dxfId="30175" priority="30013" stopIfTrue="1" operator="equal">
      <formula>"Pass"</formula>
    </cfRule>
    <cfRule type="cellIs" dxfId="30174" priority="30014" stopIfTrue="1" operator="equal">
      <formula>"Fail"</formula>
    </cfRule>
  </conditionalFormatting>
  <conditionalFormatting sqref="A579">
    <cfRule type="cellIs" dxfId="30173" priority="30011" stopIfTrue="1" operator="equal">
      <formula>"Pass"</formula>
    </cfRule>
    <cfRule type="cellIs" dxfId="30172" priority="30012" stopIfTrue="1" operator="equal">
      <formula>"Fail"</formula>
    </cfRule>
  </conditionalFormatting>
  <conditionalFormatting sqref="A577:A579">
    <cfRule type="cellIs" dxfId="30171" priority="30009" stopIfTrue="1" operator="equal">
      <formula>"Pass"</formula>
    </cfRule>
    <cfRule type="cellIs" dxfId="30170" priority="30010" stopIfTrue="1" operator="equal">
      <formula>"Fail"</formula>
    </cfRule>
  </conditionalFormatting>
  <conditionalFormatting sqref="J580:N581 E580:G582">
    <cfRule type="cellIs" dxfId="30169" priority="30007" stopIfTrue="1" operator="equal">
      <formula>"Pass"</formula>
    </cfRule>
    <cfRule type="cellIs" dxfId="30168" priority="30008" stopIfTrue="1" operator="equal">
      <formula>"Fail"</formula>
    </cfRule>
  </conditionalFormatting>
  <conditionalFormatting sqref="A582 C582 K580:O581 F580:H582">
    <cfRule type="cellIs" dxfId="30167" priority="30005" stopIfTrue="1" operator="equal">
      <formula>"Pass"</formula>
    </cfRule>
    <cfRule type="cellIs" dxfId="30166" priority="30006" stopIfTrue="1" operator="equal">
      <formula>"Fail"</formula>
    </cfRule>
  </conditionalFormatting>
  <conditionalFormatting sqref="T580">
    <cfRule type="cellIs" dxfId="30165" priority="30003" stopIfTrue="1" operator="equal">
      <formula>"Fail"</formula>
    </cfRule>
    <cfRule type="cellIs" dxfId="30164" priority="30004" stopIfTrue="1" operator="equal">
      <formula>"Pass"</formula>
    </cfRule>
  </conditionalFormatting>
  <conditionalFormatting sqref="A580:A582">
    <cfRule type="cellIs" dxfId="30163" priority="30001" stopIfTrue="1" operator="equal">
      <formula>"Pass"</formula>
    </cfRule>
    <cfRule type="cellIs" dxfId="30162" priority="30002" stopIfTrue="1" operator="equal">
      <formula>"Fail"</formula>
    </cfRule>
  </conditionalFormatting>
  <conditionalFormatting sqref="J583:J584">
    <cfRule type="cellIs" dxfId="30161" priority="29999" stopIfTrue="1" operator="equal">
      <formula>"Pass"</formula>
    </cfRule>
    <cfRule type="cellIs" dxfId="30160" priority="30000" stopIfTrue="1" operator="equal">
      <formula>"Fail"</formula>
    </cfRule>
  </conditionalFormatting>
  <conditionalFormatting sqref="H583:H584 I584">
    <cfRule type="cellIs" dxfId="30159" priority="29997" stopIfTrue="1" operator="equal">
      <formula>"Pass"</formula>
    </cfRule>
    <cfRule type="cellIs" dxfId="30158" priority="29998" stopIfTrue="1" operator="equal">
      <formula>"Fail"</formula>
    </cfRule>
  </conditionalFormatting>
  <conditionalFormatting sqref="A583 C583 F585 F583:G583 K583:N584 A585">
    <cfRule type="cellIs" dxfId="30157" priority="29995" stopIfTrue="1" operator="equal">
      <formula>"Pass"</formula>
    </cfRule>
    <cfRule type="cellIs" dxfId="30156" priority="29996" stopIfTrue="1" operator="equal">
      <formula>"Fail"</formula>
    </cfRule>
  </conditionalFormatting>
  <conditionalFormatting sqref="T583:T585 U584:U585">
    <cfRule type="cellIs" dxfId="30155" priority="29993" stopIfTrue="1" operator="equal">
      <formula>"Fail"</formula>
    </cfRule>
    <cfRule type="cellIs" dxfId="30154" priority="29994" stopIfTrue="1" operator="equal">
      <formula>"Pass"</formula>
    </cfRule>
  </conditionalFormatting>
  <conditionalFormatting sqref="A583:A585">
    <cfRule type="cellIs" dxfId="30153" priority="29991" stopIfTrue="1" operator="equal">
      <formula>"Pass"</formula>
    </cfRule>
    <cfRule type="cellIs" dxfId="30152" priority="29992" stopIfTrue="1" operator="equal">
      <formula>"Fail"</formula>
    </cfRule>
  </conditionalFormatting>
  <conditionalFormatting sqref="A583:A585">
    <cfRule type="cellIs" dxfId="30151" priority="29989" stopIfTrue="1" operator="equal">
      <formula>"Pass"</formula>
    </cfRule>
    <cfRule type="cellIs" dxfId="30150" priority="29990" stopIfTrue="1" operator="equal">
      <formula>"Fail"</formula>
    </cfRule>
  </conditionalFormatting>
  <conditionalFormatting sqref="A583:A585">
    <cfRule type="cellIs" dxfId="30149" priority="29987" stopIfTrue="1" operator="equal">
      <formula>"Pass"</formula>
    </cfRule>
    <cfRule type="cellIs" dxfId="30148" priority="29988" stopIfTrue="1" operator="equal">
      <formula>"Fail"</formula>
    </cfRule>
  </conditionalFormatting>
  <conditionalFormatting sqref="A585">
    <cfRule type="cellIs" dxfId="30147" priority="29985" stopIfTrue="1" operator="equal">
      <formula>"Pass"</formula>
    </cfRule>
    <cfRule type="cellIs" dxfId="30146" priority="29986" stopIfTrue="1" operator="equal">
      <formula>"Fail"</formula>
    </cfRule>
  </conditionalFormatting>
  <conditionalFormatting sqref="A583:A585">
    <cfRule type="cellIs" dxfId="30145" priority="29983" stopIfTrue="1" operator="equal">
      <formula>"Pass"</formula>
    </cfRule>
    <cfRule type="cellIs" dxfId="30144" priority="29984" stopIfTrue="1" operator="equal">
      <formula>"Fail"</formula>
    </cfRule>
  </conditionalFormatting>
  <conditionalFormatting sqref="H586:H587">
    <cfRule type="cellIs" dxfId="30143" priority="29981" stopIfTrue="1" operator="equal">
      <formula>"Pass"</formula>
    </cfRule>
    <cfRule type="cellIs" dxfId="30142" priority="29982" stopIfTrue="1" operator="equal">
      <formula>"Fail"</formula>
    </cfRule>
  </conditionalFormatting>
  <conditionalFormatting sqref="E586:F586 I586:M587 E588:F588 A586:A588">
    <cfRule type="cellIs" dxfId="30141" priority="29979" stopIfTrue="1" operator="equal">
      <formula>"Pass"</formula>
    </cfRule>
    <cfRule type="cellIs" dxfId="30140" priority="29980" stopIfTrue="1" operator="equal">
      <formula>"Fail"</formula>
    </cfRule>
  </conditionalFormatting>
  <conditionalFormatting sqref="T588 T586 R586:R588 S587:S588">
    <cfRule type="cellIs" dxfId="30139" priority="29977" stopIfTrue="1" operator="equal">
      <formula>"Fail"</formula>
    </cfRule>
    <cfRule type="cellIs" dxfId="30138" priority="29978" stopIfTrue="1" operator="equal">
      <formula>"Pass"</formula>
    </cfRule>
  </conditionalFormatting>
  <conditionalFormatting sqref="F586:G586 J586:N587 F588:G588 A586:B588">
    <cfRule type="cellIs" dxfId="30137" priority="29975" stopIfTrue="1" operator="equal">
      <formula>"Pass"</formula>
    </cfRule>
    <cfRule type="cellIs" dxfId="30136" priority="29976" stopIfTrue="1" operator="equal">
      <formula>"Fail"</formula>
    </cfRule>
  </conditionalFormatting>
  <conditionalFormatting sqref="U588 T586:T588 S587:S588">
    <cfRule type="cellIs" dxfId="30135" priority="29973" stopIfTrue="1" operator="equal">
      <formula>"Fail"</formula>
    </cfRule>
    <cfRule type="cellIs" dxfId="30134" priority="29974" stopIfTrue="1" operator="equal">
      <formula>"Pass"</formula>
    </cfRule>
  </conditionalFormatting>
  <conditionalFormatting sqref="A586:A588">
    <cfRule type="cellIs" dxfId="30133" priority="29971" stopIfTrue="1" operator="equal">
      <formula>"Pass"</formula>
    </cfRule>
    <cfRule type="cellIs" dxfId="30132" priority="29972" stopIfTrue="1" operator="equal">
      <formula>"Fail"</formula>
    </cfRule>
  </conditionalFormatting>
  <conditionalFormatting sqref="A586:A588">
    <cfRule type="cellIs" dxfId="30131" priority="29969" stopIfTrue="1" operator="equal">
      <formula>"Pass"</formula>
    </cfRule>
    <cfRule type="cellIs" dxfId="30130" priority="29970" stopIfTrue="1" operator="equal">
      <formula>"Fail"</formula>
    </cfRule>
  </conditionalFormatting>
  <conditionalFormatting sqref="A586:A588">
    <cfRule type="cellIs" dxfId="30129" priority="29967" stopIfTrue="1" operator="equal">
      <formula>"Pass"</formula>
    </cfRule>
    <cfRule type="cellIs" dxfId="30128" priority="29968" stopIfTrue="1" operator="equal">
      <formula>"Fail"</formula>
    </cfRule>
  </conditionalFormatting>
  <conditionalFormatting sqref="A588">
    <cfRule type="cellIs" dxfId="30127" priority="29965" stopIfTrue="1" operator="equal">
      <formula>"Pass"</formula>
    </cfRule>
    <cfRule type="cellIs" dxfId="30126" priority="29966" stopIfTrue="1" operator="equal">
      <formula>"Fail"</formula>
    </cfRule>
  </conditionalFormatting>
  <conditionalFormatting sqref="A586:A588">
    <cfRule type="cellIs" dxfId="30125" priority="29963" stopIfTrue="1" operator="equal">
      <formula>"Pass"</formula>
    </cfRule>
    <cfRule type="cellIs" dxfId="30124" priority="29964" stopIfTrue="1" operator="equal">
      <formula>"Fail"</formula>
    </cfRule>
  </conditionalFormatting>
  <conditionalFormatting sqref="H589:H590">
    <cfRule type="cellIs" dxfId="30123" priority="29961" stopIfTrue="1" operator="equal">
      <formula>"Pass"</formula>
    </cfRule>
    <cfRule type="cellIs" dxfId="30122" priority="29962" stopIfTrue="1" operator="equal">
      <formula>"Fail"</formula>
    </cfRule>
  </conditionalFormatting>
  <conditionalFormatting sqref="E589:F589 I589:M590 E591:F591 A589:A591">
    <cfRule type="cellIs" dxfId="30121" priority="29959" stopIfTrue="1" operator="equal">
      <formula>"Pass"</formula>
    </cfRule>
    <cfRule type="cellIs" dxfId="30120" priority="29960" stopIfTrue="1" operator="equal">
      <formula>"Fail"</formula>
    </cfRule>
  </conditionalFormatting>
  <conditionalFormatting sqref="T591 T589 R589:R591 S590:S591">
    <cfRule type="cellIs" dxfId="30119" priority="29957" stopIfTrue="1" operator="equal">
      <formula>"Fail"</formula>
    </cfRule>
    <cfRule type="cellIs" dxfId="30118" priority="29958" stopIfTrue="1" operator="equal">
      <formula>"Pass"</formula>
    </cfRule>
  </conditionalFormatting>
  <conditionalFormatting sqref="F589:G589 J589:N590 F591:G591 A589:B591">
    <cfRule type="cellIs" dxfId="30117" priority="29955" stopIfTrue="1" operator="equal">
      <formula>"Pass"</formula>
    </cfRule>
    <cfRule type="cellIs" dxfId="30116" priority="29956" stopIfTrue="1" operator="equal">
      <formula>"Fail"</formula>
    </cfRule>
  </conditionalFormatting>
  <conditionalFormatting sqref="U591:V591 U589:V589 T589:T591 S590:S591">
    <cfRule type="cellIs" dxfId="30115" priority="29953" stopIfTrue="1" operator="equal">
      <formula>"Fail"</formula>
    </cfRule>
    <cfRule type="cellIs" dxfId="30114" priority="29954" stopIfTrue="1" operator="equal">
      <formula>"Pass"</formula>
    </cfRule>
  </conditionalFormatting>
  <conditionalFormatting sqref="A589:A591">
    <cfRule type="cellIs" dxfId="30113" priority="29951" stopIfTrue="1" operator="equal">
      <formula>"Pass"</formula>
    </cfRule>
    <cfRule type="cellIs" dxfId="30112" priority="29952" stopIfTrue="1" operator="equal">
      <formula>"Fail"</formula>
    </cfRule>
  </conditionalFormatting>
  <conditionalFormatting sqref="A589:A591">
    <cfRule type="cellIs" dxfId="30111" priority="29949" stopIfTrue="1" operator="equal">
      <formula>"Pass"</formula>
    </cfRule>
    <cfRule type="cellIs" dxfId="30110" priority="29950" stopIfTrue="1" operator="equal">
      <formula>"Fail"</formula>
    </cfRule>
  </conditionalFormatting>
  <conditionalFormatting sqref="A589:A591">
    <cfRule type="cellIs" dxfId="30109" priority="29947" stopIfTrue="1" operator="equal">
      <formula>"Pass"</formula>
    </cfRule>
    <cfRule type="cellIs" dxfId="30108" priority="29948" stopIfTrue="1" operator="equal">
      <formula>"Fail"</formula>
    </cfRule>
  </conditionalFormatting>
  <conditionalFormatting sqref="J589:N590 E589:G591 J592:J593">
    <cfRule type="cellIs" dxfId="30107" priority="29945" stopIfTrue="1" operator="equal">
      <formula>"Pass"</formula>
    </cfRule>
    <cfRule type="cellIs" dxfId="30106" priority="29946" stopIfTrue="1" operator="equal">
      <formula>"Fail"</formula>
    </cfRule>
  </conditionalFormatting>
  <conditionalFormatting sqref="A591 C591 K589:O590 F589:H591 H592:H593 I593 H595:H596">
    <cfRule type="cellIs" dxfId="30105" priority="29943" stopIfTrue="1" operator="equal">
      <formula>"Pass"</formula>
    </cfRule>
    <cfRule type="cellIs" dxfId="30104" priority="29944" stopIfTrue="1" operator="equal">
      <formula>"Fail"</formula>
    </cfRule>
  </conditionalFormatting>
  <conditionalFormatting sqref="T589">
    <cfRule type="cellIs" dxfId="30103" priority="29941" stopIfTrue="1" operator="equal">
      <formula>"Fail"</formula>
    </cfRule>
    <cfRule type="cellIs" dxfId="30102" priority="29942" stopIfTrue="1" operator="equal">
      <formula>"Pass"</formula>
    </cfRule>
  </conditionalFormatting>
  <conditionalFormatting sqref="A589:A591">
    <cfRule type="cellIs" dxfId="30101" priority="29939" stopIfTrue="1" operator="equal">
      <formula>"Pass"</formula>
    </cfRule>
    <cfRule type="cellIs" dxfId="30100" priority="29940" stopIfTrue="1" operator="equal">
      <formula>"Fail"</formula>
    </cfRule>
  </conditionalFormatting>
  <conditionalFormatting sqref="A592 C592 F594 F592:G592 K592:N593 A594">
    <cfRule type="cellIs" dxfId="30099" priority="29937" stopIfTrue="1" operator="equal">
      <formula>"Pass"</formula>
    </cfRule>
    <cfRule type="cellIs" dxfId="30098" priority="29938" stopIfTrue="1" operator="equal">
      <formula>"Fail"</formula>
    </cfRule>
  </conditionalFormatting>
  <conditionalFormatting sqref="T592:T594 U593:V594">
    <cfRule type="cellIs" dxfId="30097" priority="29935" stopIfTrue="1" operator="equal">
      <formula>"Fail"</formula>
    </cfRule>
    <cfRule type="cellIs" dxfId="30096" priority="29936" stopIfTrue="1" operator="equal">
      <formula>"Pass"</formula>
    </cfRule>
  </conditionalFormatting>
  <conditionalFormatting sqref="A592:A594">
    <cfRule type="cellIs" dxfId="30095" priority="29933" stopIfTrue="1" operator="equal">
      <formula>"Pass"</formula>
    </cfRule>
    <cfRule type="cellIs" dxfId="30094" priority="29934" stopIfTrue="1" operator="equal">
      <formula>"Fail"</formula>
    </cfRule>
  </conditionalFormatting>
  <conditionalFormatting sqref="A592:A594">
    <cfRule type="cellIs" dxfId="30093" priority="29931" stopIfTrue="1" operator="equal">
      <formula>"Pass"</formula>
    </cfRule>
    <cfRule type="cellIs" dxfId="30092" priority="29932" stopIfTrue="1" operator="equal">
      <formula>"Fail"</formula>
    </cfRule>
  </conditionalFormatting>
  <conditionalFormatting sqref="A592:A594">
    <cfRule type="cellIs" dxfId="30091" priority="29929" stopIfTrue="1" operator="equal">
      <formula>"Pass"</formula>
    </cfRule>
    <cfRule type="cellIs" dxfId="30090" priority="29930" stopIfTrue="1" operator="equal">
      <formula>"Fail"</formula>
    </cfRule>
  </conditionalFormatting>
  <conditionalFormatting sqref="E595:F595 I595:M596 E597:F597 A595:A597">
    <cfRule type="cellIs" dxfId="30089" priority="29927" stopIfTrue="1" operator="equal">
      <formula>"Pass"</formula>
    </cfRule>
    <cfRule type="cellIs" dxfId="30088" priority="29928" stopIfTrue="1" operator="equal">
      <formula>"Fail"</formula>
    </cfRule>
  </conditionalFormatting>
  <conditionalFormatting sqref="T597 T595 R595:R597 S596:S597">
    <cfRule type="cellIs" dxfId="30087" priority="29925" stopIfTrue="1" operator="equal">
      <formula>"Fail"</formula>
    </cfRule>
    <cfRule type="cellIs" dxfId="30086" priority="29926" stopIfTrue="1" operator="equal">
      <formula>"Pass"</formula>
    </cfRule>
  </conditionalFormatting>
  <conditionalFormatting sqref="F595:G595 J595:N596 F597:G597 A595:B597">
    <cfRule type="cellIs" dxfId="30085" priority="29923" stopIfTrue="1" operator="equal">
      <formula>"Pass"</formula>
    </cfRule>
    <cfRule type="cellIs" dxfId="30084" priority="29924" stopIfTrue="1" operator="equal">
      <formula>"Fail"</formula>
    </cfRule>
  </conditionalFormatting>
  <conditionalFormatting sqref="U597:V597 T595:T597 S596:S597">
    <cfRule type="cellIs" dxfId="30083" priority="29921" stopIfTrue="1" operator="equal">
      <formula>"Fail"</formula>
    </cfRule>
    <cfRule type="cellIs" dxfId="30082" priority="29922" stopIfTrue="1" operator="equal">
      <formula>"Pass"</formula>
    </cfRule>
  </conditionalFormatting>
  <conditionalFormatting sqref="A595:A597">
    <cfRule type="cellIs" dxfId="30081" priority="29919" stopIfTrue="1" operator="equal">
      <formula>"Pass"</formula>
    </cfRule>
    <cfRule type="cellIs" dxfId="30080" priority="29920" stopIfTrue="1" operator="equal">
      <formula>"Fail"</formula>
    </cfRule>
  </conditionalFormatting>
  <conditionalFormatting sqref="A595:A597">
    <cfRule type="cellIs" dxfId="30079" priority="29917" stopIfTrue="1" operator="equal">
      <formula>"Pass"</formula>
    </cfRule>
    <cfRule type="cellIs" dxfId="30078" priority="29918" stopIfTrue="1" operator="equal">
      <formula>"Fail"</formula>
    </cfRule>
  </conditionalFormatting>
  <conditionalFormatting sqref="A595:A597">
    <cfRule type="cellIs" dxfId="30077" priority="29915" stopIfTrue="1" operator="equal">
      <formula>"Pass"</formula>
    </cfRule>
    <cfRule type="cellIs" dxfId="30076" priority="29916" stopIfTrue="1" operator="equal">
      <formula>"Fail"</formula>
    </cfRule>
  </conditionalFormatting>
  <conditionalFormatting sqref="A594">
    <cfRule type="cellIs" dxfId="30075" priority="29913" stopIfTrue="1" operator="equal">
      <formula>"Pass"</formula>
    </cfRule>
    <cfRule type="cellIs" dxfId="30074" priority="29914" stopIfTrue="1" operator="equal">
      <formula>"Fail"</formula>
    </cfRule>
  </conditionalFormatting>
  <conditionalFormatting sqref="A592:A594">
    <cfRule type="cellIs" dxfId="30073" priority="29911" stopIfTrue="1" operator="equal">
      <formula>"Pass"</formula>
    </cfRule>
    <cfRule type="cellIs" dxfId="30072" priority="29912" stopIfTrue="1" operator="equal">
      <formula>"Fail"</formula>
    </cfRule>
  </conditionalFormatting>
  <conditionalFormatting sqref="A597">
    <cfRule type="cellIs" dxfId="30071" priority="29909" stopIfTrue="1" operator="equal">
      <formula>"Pass"</formula>
    </cfRule>
    <cfRule type="cellIs" dxfId="30070" priority="29910" stopIfTrue="1" operator="equal">
      <formula>"Fail"</formula>
    </cfRule>
  </conditionalFormatting>
  <conditionalFormatting sqref="A595:A597">
    <cfRule type="cellIs" dxfId="30069" priority="29907" stopIfTrue="1" operator="equal">
      <formula>"Pass"</formula>
    </cfRule>
    <cfRule type="cellIs" dxfId="30068" priority="29908" stopIfTrue="1" operator="equal">
      <formula>"Fail"</formula>
    </cfRule>
  </conditionalFormatting>
  <conditionalFormatting sqref="A592:A594">
    <cfRule type="cellIs" dxfId="30067" priority="29905" stopIfTrue="1" operator="equal">
      <formula>"Pass"</formula>
    </cfRule>
    <cfRule type="cellIs" dxfId="30066" priority="29906" stopIfTrue="1" operator="equal">
      <formula>"Fail"</formula>
    </cfRule>
  </conditionalFormatting>
  <conditionalFormatting sqref="A592:A594">
    <cfRule type="cellIs" dxfId="30065" priority="29903" stopIfTrue="1" operator="equal">
      <formula>"Pass"</formula>
    </cfRule>
    <cfRule type="cellIs" dxfId="30064" priority="29904" stopIfTrue="1" operator="equal">
      <formula>"Fail"</formula>
    </cfRule>
  </conditionalFormatting>
  <conditionalFormatting sqref="A592:A594">
    <cfRule type="cellIs" dxfId="30063" priority="29901" stopIfTrue="1" operator="equal">
      <formula>"Pass"</formula>
    </cfRule>
    <cfRule type="cellIs" dxfId="30062" priority="29902" stopIfTrue="1" operator="equal">
      <formula>"Fail"</formula>
    </cfRule>
  </conditionalFormatting>
  <conditionalFormatting sqref="A592:A594">
    <cfRule type="cellIs" dxfId="30061" priority="29899" stopIfTrue="1" operator="equal">
      <formula>"Pass"</formula>
    </cfRule>
    <cfRule type="cellIs" dxfId="30060" priority="29900" stopIfTrue="1" operator="equal">
      <formula>"Fail"</formula>
    </cfRule>
  </conditionalFormatting>
  <conditionalFormatting sqref="A592:A594">
    <cfRule type="cellIs" dxfId="30059" priority="29897" stopIfTrue="1" operator="equal">
      <formula>"Pass"</formula>
    </cfRule>
    <cfRule type="cellIs" dxfId="30058" priority="29898" stopIfTrue="1" operator="equal">
      <formula>"Fail"</formula>
    </cfRule>
  </conditionalFormatting>
  <conditionalFormatting sqref="A594">
    <cfRule type="cellIs" dxfId="30057" priority="29895" stopIfTrue="1" operator="equal">
      <formula>"Pass"</formula>
    </cfRule>
    <cfRule type="cellIs" dxfId="30056" priority="29896" stopIfTrue="1" operator="equal">
      <formula>"Fail"</formula>
    </cfRule>
  </conditionalFormatting>
  <conditionalFormatting sqref="A592:A594">
    <cfRule type="cellIs" dxfId="30055" priority="29893" stopIfTrue="1" operator="equal">
      <formula>"Pass"</formula>
    </cfRule>
    <cfRule type="cellIs" dxfId="30054" priority="29894" stopIfTrue="1" operator="equal">
      <formula>"Fail"</formula>
    </cfRule>
  </conditionalFormatting>
  <conditionalFormatting sqref="A592:A597">
    <cfRule type="cellIs" dxfId="30053" priority="29891" stopIfTrue="1" operator="equal">
      <formula>"Pass"</formula>
    </cfRule>
    <cfRule type="cellIs" dxfId="30052" priority="29892" stopIfTrue="1" operator="equal">
      <formula>"Fail"</formula>
    </cfRule>
  </conditionalFormatting>
  <conditionalFormatting sqref="A592:A597">
    <cfRule type="cellIs" dxfId="30051" priority="29889" stopIfTrue="1" operator="equal">
      <formula>"Pass"</formula>
    </cfRule>
    <cfRule type="cellIs" dxfId="30050" priority="29890" stopIfTrue="1" operator="equal">
      <formula>"Fail"</formula>
    </cfRule>
  </conditionalFormatting>
  <conditionalFormatting sqref="A592:A597">
    <cfRule type="cellIs" dxfId="30049" priority="29887" stopIfTrue="1" operator="equal">
      <formula>"Pass"</formula>
    </cfRule>
    <cfRule type="cellIs" dxfId="30048" priority="29888" stopIfTrue="1" operator="equal">
      <formula>"Fail"</formula>
    </cfRule>
  </conditionalFormatting>
  <conditionalFormatting sqref="A592:A597">
    <cfRule type="cellIs" dxfId="30047" priority="29885" stopIfTrue="1" operator="equal">
      <formula>"Pass"</formula>
    </cfRule>
    <cfRule type="cellIs" dxfId="30046" priority="29886" stopIfTrue="1" operator="equal">
      <formula>"Fail"</formula>
    </cfRule>
  </conditionalFormatting>
  <conditionalFormatting sqref="A592:A597">
    <cfRule type="cellIs" dxfId="30045" priority="29883" stopIfTrue="1" operator="equal">
      <formula>"Pass"</formula>
    </cfRule>
    <cfRule type="cellIs" dxfId="30044" priority="29884" stopIfTrue="1" operator="equal">
      <formula>"Fail"</formula>
    </cfRule>
  </conditionalFormatting>
  <conditionalFormatting sqref="A594 A597">
    <cfRule type="cellIs" dxfId="30043" priority="29881" stopIfTrue="1" operator="equal">
      <formula>"Pass"</formula>
    </cfRule>
    <cfRule type="cellIs" dxfId="30042" priority="29882" stopIfTrue="1" operator="equal">
      <formula>"Fail"</formula>
    </cfRule>
  </conditionalFormatting>
  <conditionalFormatting sqref="A592:A597">
    <cfRule type="cellIs" dxfId="30041" priority="29879" stopIfTrue="1" operator="equal">
      <formula>"Pass"</formula>
    </cfRule>
    <cfRule type="cellIs" dxfId="30040" priority="29880" stopIfTrue="1" operator="equal">
      <formula>"Fail"</formula>
    </cfRule>
  </conditionalFormatting>
  <conditionalFormatting sqref="U592:V592">
    <cfRule type="cellIs" dxfId="30039" priority="29877" stopIfTrue="1" operator="equal">
      <formula>"Fail"</formula>
    </cfRule>
    <cfRule type="cellIs" dxfId="30038" priority="29878" stopIfTrue="1" operator="equal">
      <formula>"Pass"</formula>
    </cfRule>
  </conditionalFormatting>
  <conditionalFormatting sqref="U592:V592 U595:V595">
    <cfRule type="cellIs" dxfId="30037" priority="29875" stopIfTrue="1" operator="equal">
      <formula>"Fail"</formula>
    </cfRule>
    <cfRule type="cellIs" dxfId="30036" priority="29876" stopIfTrue="1" operator="equal">
      <formula>"Pass"</formula>
    </cfRule>
  </conditionalFormatting>
  <conditionalFormatting sqref="H598:H599">
    <cfRule type="cellIs" dxfId="30035" priority="29873" stopIfTrue="1" operator="equal">
      <formula>"Pass"</formula>
    </cfRule>
    <cfRule type="cellIs" dxfId="30034" priority="29874" stopIfTrue="1" operator="equal">
      <formula>"Fail"</formula>
    </cfRule>
  </conditionalFormatting>
  <conditionalFormatting sqref="E598:F598 E600:F600 A598:A600 I598:M599">
    <cfRule type="cellIs" dxfId="30033" priority="29871" stopIfTrue="1" operator="equal">
      <formula>"Pass"</formula>
    </cfRule>
    <cfRule type="cellIs" dxfId="30032" priority="29872" stopIfTrue="1" operator="equal">
      <formula>"Fail"</formula>
    </cfRule>
  </conditionalFormatting>
  <conditionalFormatting sqref="T600 T598 R598:R600 S599:S600">
    <cfRule type="cellIs" dxfId="30031" priority="29869" stopIfTrue="1" operator="equal">
      <formula>"Fail"</formula>
    </cfRule>
    <cfRule type="cellIs" dxfId="30030" priority="29870" stopIfTrue="1" operator="equal">
      <formula>"Pass"</formula>
    </cfRule>
  </conditionalFormatting>
  <conditionalFormatting sqref="F598:G598 F600:G600 A598:B600 J598:N599">
    <cfRule type="cellIs" dxfId="30029" priority="29867" stopIfTrue="1" operator="equal">
      <formula>"Pass"</formula>
    </cfRule>
    <cfRule type="cellIs" dxfId="30028" priority="29868" stopIfTrue="1" operator="equal">
      <formula>"Fail"</formula>
    </cfRule>
  </conditionalFormatting>
  <conditionalFormatting sqref="U600:V600 U598:V598 T598:T600 S599:S600">
    <cfRule type="cellIs" dxfId="30027" priority="29865" stopIfTrue="1" operator="equal">
      <formula>"Fail"</formula>
    </cfRule>
    <cfRule type="cellIs" dxfId="30026" priority="29866" stopIfTrue="1" operator="equal">
      <formula>"Pass"</formula>
    </cfRule>
  </conditionalFormatting>
  <conditionalFormatting sqref="A598:A600">
    <cfRule type="cellIs" dxfId="30025" priority="29863" stopIfTrue="1" operator="equal">
      <formula>"Pass"</formula>
    </cfRule>
    <cfRule type="cellIs" dxfId="30024" priority="29864" stopIfTrue="1" operator="equal">
      <formula>"Fail"</formula>
    </cfRule>
  </conditionalFormatting>
  <conditionalFormatting sqref="A598:A600">
    <cfRule type="cellIs" dxfId="30023" priority="29861" stopIfTrue="1" operator="equal">
      <formula>"Pass"</formula>
    </cfRule>
    <cfRule type="cellIs" dxfId="30022" priority="29862" stopIfTrue="1" operator="equal">
      <formula>"Fail"</formula>
    </cfRule>
  </conditionalFormatting>
  <conditionalFormatting sqref="A598:A600">
    <cfRule type="cellIs" dxfId="30021" priority="29859" stopIfTrue="1" operator="equal">
      <formula>"Pass"</formula>
    </cfRule>
    <cfRule type="cellIs" dxfId="30020" priority="29860" stopIfTrue="1" operator="equal">
      <formula>"Fail"</formula>
    </cfRule>
  </conditionalFormatting>
  <conditionalFormatting sqref="J601:J602 J598:N599 E598:G600">
    <cfRule type="cellIs" dxfId="30019" priority="29857" stopIfTrue="1" operator="equal">
      <formula>"Pass"</formula>
    </cfRule>
    <cfRule type="cellIs" dxfId="30018" priority="29858" stopIfTrue="1" operator="equal">
      <formula>"Fail"</formula>
    </cfRule>
  </conditionalFormatting>
  <conditionalFormatting sqref="A600 C600 H601:H602 I602 H604:H605 K598:O599 F598:H600">
    <cfRule type="cellIs" dxfId="30017" priority="29855" stopIfTrue="1" operator="equal">
      <formula>"Pass"</formula>
    </cfRule>
    <cfRule type="cellIs" dxfId="30016" priority="29856" stopIfTrue="1" operator="equal">
      <formula>"Fail"</formula>
    </cfRule>
  </conditionalFormatting>
  <conditionalFormatting sqref="T598">
    <cfRule type="cellIs" dxfId="30015" priority="29853" stopIfTrue="1" operator="equal">
      <formula>"Fail"</formula>
    </cfRule>
    <cfRule type="cellIs" dxfId="30014" priority="29854" stopIfTrue="1" operator="equal">
      <formula>"Pass"</formula>
    </cfRule>
  </conditionalFormatting>
  <conditionalFormatting sqref="A598:A600">
    <cfRule type="cellIs" dxfId="30013" priority="29851" stopIfTrue="1" operator="equal">
      <formula>"Pass"</formula>
    </cfRule>
    <cfRule type="cellIs" dxfId="30012" priority="29852" stopIfTrue="1" operator="equal">
      <formula>"Fail"</formula>
    </cfRule>
  </conditionalFormatting>
  <conditionalFormatting sqref="A601 C601 F603 F601:G601 K601:N602 A603">
    <cfRule type="cellIs" dxfId="30011" priority="29849" stopIfTrue="1" operator="equal">
      <formula>"Pass"</formula>
    </cfRule>
    <cfRule type="cellIs" dxfId="30010" priority="29850" stopIfTrue="1" operator="equal">
      <formula>"Fail"</formula>
    </cfRule>
  </conditionalFormatting>
  <conditionalFormatting sqref="T601:T603 U602:V603">
    <cfRule type="cellIs" dxfId="30009" priority="29847" stopIfTrue="1" operator="equal">
      <formula>"Fail"</formula>
    </cfRule>
    <cfRule type="cellIs" dxfId="30008" priority="29848" stopIfTrue="1" operator="equal">
      <formula>"Pass"</formula>
    </cfRule>
  </conditionalFormatting>
  <conditionalFormatting sqref="A601:A603">
    <cfRule type="cellIs" dxfId="30007" priority="29845" stopIfTrue="1" operator="equal">
      <formula>"Pass"</formula>
    </cfRule>
    <cfRule type="cellIs" dxfId="30006" priority="29846" stopIfTrue="1" operator="equal">
      <formula>"Fail"</formula>
    </cfRule>
  </conditionalFormatting>
  <conditionalFormatting sqref="A601:A603">
    <cfRule type="cellIs" dxfId="30005" priority="29843" stopIfTrue="1" operator="equal">
      <formula>"Pass"</formula>
    </cfRule>
    <cfRule type="cellIs" dxfId="30004" priority="29844" stopIfTrue="1" operator="equal">
      <formula>"Fail"</formula>
    </cfRule>
  </conditionalFormatting>
  <conditionalFormatting sqref="A601:A603">
    <cfRule type="cellIs" dxfId="30003" priority="29841" stopIfTrue="1" operator="equal">
      <formula>"Pass"</formula>
    </cfRule>
    <cfRule type="cellIs" dxfId="30002" priority="29842" stopIfTrue="1" operator="equal">
      <formula>"Fail"</formula>
    </cfRule>
  </conditionalFormatting>
  <conditionalFormatting sqref="E604:F604 I604:M605 E606:F606 A604:A606">
    <cfRule type="cellIs" dxfId="30001" priority="29839" stopIfTrue="1" operator="equal">
      <formula>"Pass"</formula>
    </cfRule>
    <cfRule type="cellIs" dxfId="30000" priority="29840" stopIfTrue="1" operator="equal">
      <formula>"Fail"</formula>
    </cfRule>
  </conditionalFormatting>
  <conditionalFormatting sqref="T606 T604 R604:R606 S605:S606">
    <cfRule type="cellIs" dxfId="29999" priority="29837" stopIfTrue="1" operator="equal">
      <formula>"Fail"</formula>
    </cfRule>
    <cfRule type="cellIs" dxfId="29998" priority="29838" stopIfTrue="1" operator="equal">
      <formula>"Pass"</formula>
    </cfRule>
  </conditionalFormatting>
  <conditionalFormatting sqref="F604:G604 J604:N605 F606:G606 A604:B606">
    <cfRule type="cellIs" dxfId="29997" priority="29835" stopIfTrue="1" operator="equal">
      <formula>"Pass"</formula>
    </cfRule>
    <cfRule type="cellIs" dxfId="29996" priority="29836" stopIfTrue="1" operator="equal">
      <formula>"Fail"</formula>
    </cfRule>
  </conditionalFormatting>
  <conditionalFormatting sqref="U606:V606 T604:T606 S605:S606">
    <cfRule type="cellIs" dxfId="29995" priority="29833" stopIfTrue="1" operator="equal">
      <formula>"Fail"</formula>
    </cfRule>
    <cfRule type="cellIs" dxfId="29994" priority="29834" stopIfTrue="1" operator="equal">
      <formula>"Pass"</formula>
    </cfRule>
  </conditionalFormatting>
  <conditionalFormatting sqref="A604:A606">
    <cfRule type="cellIs" dxfId="29993" priority="29831" stopIfTrue="1" operator="equal">
      <formula>"Pass"</formula>
    </cfRule>
    <cfRule type="cellIs" dxfId="29992" priority="29832" stopIfTrue="1" operator="equal">
      <formula>"Fail"</formula>
    </cfRule>
  </conditionalFormatting>
  <conditionalFormatting sqref="A604:A606">
    <cfRule type="cellIs" dxfId="29991" priority="29829" stopIfTrue="1" operator="equal">
      <formula>"Pass"</formula>
    </cfRule>
    <cfRule type="cellIs" dxfId="29990" priority="29830" stopIfTrue="1" operator="equal">
      <formula>"Fail"</formula>
    </cfRule>
  </conditionalFormatting>
  <conditionalFormatting sqref="A604:A606">
    <cfRule type="cellIs" dxfId="29989" priority="29827" stopIfTrue="1" operator="equal">
      <formula>"Pass"</formula>
    </cfRule>
    <cfRule type="cellIs" dxfId="29988" priority="29828" stopIfTrue="1" operator="equal">
      <formula>"Fail"</formula>
    </cfRule>
  </conditionalFormatting>
  <conditionalFormatting sqref="A603">
    <cfRule type="cellIs" dxfId="29987" priority="29825" stopIfTrue="1" operator="equal">
      <formula>"Pass"</formula>
    </cfRule>
    <cfRule type="cellIs" dxfId="29986" priority="29826" stopIfTrue="1" operator="equal">
      <formula>"Fail"</formula>
    </cfRule>
  </conditionalFormatting>
  <conditionalFormatting sqref="A601:A603">
    <cfRule type="cellIs" dxfId="29985" priority="29823" stopIfTrue="1" operator="equal">
      <formula>"Pass"</formula>
    </cfRule>
    <cfRule type="cellIs" dxfId="29984" priority="29824" stopIfTrue="1" operator="equal">
      <formula>"Fail"</formula>
    </cfRule>
  </conditionalFormatting>
  <conditionalFormatting sqref="A606">
    <cfRule type="cellIs" dxfId="29983" priority="29821" stopIfTrue="1" operator="equal">
      <formula>"Pass"</formula>
    </cfRule>
    <cfRule type="cellIs" dxfId="29982" priority="29822" stopIfTrue="1" operator="equal">
      <formula>"Fail"</formula>
    </cfRule>
  </conditionalFormatting>
  <conditionalFormatting sqref="A604:A606">
    <cfRule type="cellIs" dxfId="29981" priority="29819" stopIfTrue="1" operator="equal">
      <formula>"Pass"</formula>
    </cfRule>
    <cfRule type="cellIs" dxfId="29980" priority="29820" stopIfTrue="1" operator="equal">
      <formula>"Fail"</formula>
    </cfRule>
  </conditionalFormatting>
  <conditionalFormatting sqref="A601:A603">
    <cfRule type="cellIs" dxfId="29979" priority="29817" stopIfTrue="1" operator="equal">
      <formula>"Pass"</formula>
    </cfRule>
    <cfRule type="cellIs" dxfId="29978" priority="29818" stopIfTrue="1" operator="equal">
      <formula>"Fail"</formula>
    </cfRule>
  </conditionalFormatting>
  <conditionalFormatting sqref="A601:A603">
    <cfRule type="cellIs" dxfId="29977" priority="29815" stopIfTrue="1" operator="equal">
      <formula>"Pass"</formula>
    </cfRule>
    <cfRule type="cellIs" dxfId="29976" priority="29816" stopIfTrue="1" operator="equal">
      <formula>"Fail"</formula>
    </cfRule>
  </conditionalFormatting>
  <conditionalFormatting sqref="A601:A603">
    <cfRule type="cellIs" dxfId="29975" priority="29813" stopIfTrue="1" operator="equal">
      <formula>"Pass"</formula>
    </cfRule>
    <cfRule type="cellIs" dxfId="29974" priority="29814" stopIfTrue="1" operator="equal">
      <formula>"Fail"</formula>
    </cfRule>
  </conditionalFormatting>
  <conditionalFormatting sqref="A601:A603">
    <cfRule type="cellIs" dxfId="29973" priority="29811" stopIfTrue="1" operator="equal">
      <formula>"Pass"</formula>
    </cfRule>
    <cfRule type="cellIs" dxfId="29972" priority="29812" stopIfTrue="1" operator="equal">
      <formula>"Fail"</formula>
    </cfRule>
  </conditionalFormatting>
  <conditionalFormatting sqref="A601:A603">
    <cfRule type="cellIs" dxfId="29971" priority="29809" stopIfTrue="1" operator="equal">
      <formula>"Pass"</formula>
    </cfRule>
    <cfRule type="cellIs" dxfId="29970" priority="29810" stopIfTrue="1" operator="equal">
      <formula>"Fail"</formula>
    </cfRule>
  </conditionalFormatting>
  <conditionalFormatting sqref="A603">
    <cfRule type="cellIs" dxfId="29969" priority="29807" stopIfTrue="1" operator="equal">
      <formula>"Pass"</formula>
    </cfRule>
    <cfRule type="cellIs" dxfId="29968" priority="29808" stopIfTrue="1" operator="equal">
      <formula>"Fail"</formula>
    </cfRule>
  </conditionalFormatting>
  <conditionalFormatting sqref="A601:A603">
    <cfRule type="cellIs" dxfId="29967" priority="29805" stopIfTrue="1" operator="equal">
      <formula>"Pass"</formula>
    </cfRule>
    <cfRule type="cellIs" dxfId="29966" priority="29806" stopIfTrue="1" operator="equal">
      <formula>"Fail"</formula>
    </cfRule>
  </conditionalFormatting>
  <conditionalFormatting sqref="A601:A606">
    <cfRule type="cellIs" dxfId="29965" priority="29803" stopIfTrue="1" operator="equal">
      <formula>"Pass"</formula>
    </cfRule>
    <cfRule type="cellIs" dxfId="29964" priority="29804" stopIfTrue="1" operator="equal">
      <formula>"Fail"</formula>
    </cfRule>
  </conditionalFormatting>
  <conditionalFormatting sqref="A601:A606">
    <cfRule type="cellIs" dxfId="29963" priority="29801" stopIfTrue="1" operator="equal">
      <formula>"Pass"</formula>
    </cfRule>
    <cfRule type="cellIs" dxfId="29962" priority="29802" stopIfTrue="1" operator="equal">
      <formula>"Fail"</formula>
    </cfRule>
  </conditionalFormatting>
  <conditionalFormatting sqref="A601:A606">
    <cfRule type="cellIs" dxfId="29961" priority="29799" stopIfTrue="1" operator="equal">
      <formula>"Pass"</formula>
    </cfRule>
    <cfRule type="cellIs" dxfId="29960" priority="29800" stopIfTrue="1" operator="equal">
      <formula>"Fail"</formula>
    </cfRule>
  </conditionalFormatting>
  <conditionalFormatting sqref="A601:A606">
    <cfRule type="cellIs" dxfId="29959" priority="29797" stopIfTrue="1" operator="equal">
      <formula>"Pass"</formula>
    </cfRule>
    <cfRule type="cellIs" dxfId="29958" priority="29798" stopIfTrue="1" operator="equal">
      <formula>"Fail"</formula>
    </cfRule>
  </conditionalFormatting>
  <conditionalFormatting sqref="A601:A606">
    <cfRule type="cellIs" dxfId="29957" priority="29795" stopIfTrue="1" operator="equal">
      <formula>"Pass"</formula>
    </cfRule>
    <cfRule type="cellIs" dxfId="29956" priority="29796" stopIfTrue="1" operator="equal">
      <formula>"Fail"</formula>
    </cfRule>
  </conditionalFormatting>
  <conditionalFormatting sqref="A603 A606">
    <cfRule type="cellIs" dxfId="29955" priority="29793" stopIfTrue="1" operator="equal">
      <formula>"Pass"</formula>
    </cfRule>
    <cfRule type="cellIs" dxfId="29954" priority="29794" stopIfTrue="1" operator="equal">
      <formula>"Fail"</formula>
    </cfRule>
  </conditionalFormatting>
  <conditionalFormatting sqref="A601:A606">
    <cfRule type="cellIs" dxfId="29953" priority="29791" stopIfTrue="1" operator="equal">
      <formula>"Pass"</formula>
    </cfRule>
    <cfRule type="cellIs" dxfId="29952" priority="29792" stopIfTrue="1" operator="equal">
      <formula>"Fail"</formula>
    </cfRule>
  </conditionalFormatting>
  <conditionalFormatting sqref="U601:V601">
    <cfRule type="cellIs" dxfId="29951" priority="29789" stopIfTrue="1" operator="equal">
      <formula>"Fail"</formula>
    </cfRule>
    <cfRule type="cellIs" dxfId="29950" priority="29790" stopIfTrue="1" operator="equal">
      <formula>"Pass"</formula>
    </cfRule>
  </conditionalFormatting>
  <conditionalFormatting sqref="U601:V601 U604:V604">
    <cfRule type="cellIs" dxfId="29949" priority="29787" stopIfTrue="1" operator="equal">
      <formula>"Fail"</formula>
    </cfRule>
    <cfRule type="cellIs" dxfId="29948" priority="29788" stopIfTrue="1" operator="equal">
      <formula>"Pass"</formula>
    </cfRule>
  </conditionalFormatting>
  <conditionalFormatting sqref="H607:H608">
    <cfRule type="cellIs" dxfId="29947" priority="29785" stopIfTrue="1" operator="equal">
      <formula>"Pass"</formula>
    </cfRule>
    <cfRule type="cellIs" dxfId="29946" priority="29786" stopIfTrue="1" operator="equal">
      <formula>"Fail"</formula>
    </cfRule>
  </conditionalFormatting>
  <conditionalFormatting sqref="E607:F607 E609:F609 A607:A609 I607:M608">
    <cfRule type="cellIs" dxfId="29945" priority="29783" stopIfTrue="1" operator="equal">
      <formula>"Pass"</formula>
    </cfRule>
    <cfRule type="cellIs" dxfId="29944" priority="29784" stopIfTrue="1" operator="equal">
      <formula>"Fail"</formula>
    </cfRule>
  </conditionalFormatting>
  <conditionalFormatting sqref="T609 T607 R607:R609 S608:S609">
    <cfRule type="cellIs" dxfId="29943" priority="29781" stopIfTrue="1" operator="equal">
      <formula>"Fail"</formula>
    </cfRule>
    <cfRule type="cellIs" dxfId="29942" priority="29782" stopIfTrue="1" operator="equal">
      <formula>"Pass"</formula>
    </cfRule>
  </conditionalFormatting>
  <conditionalFormatting sqref="F607:G607 F609:G609 A607:B609 J607:N608">
    <cfRule type="cellIs" dxfId="29941" priority="29779" stopIfTrue="1" operator="equal">
      <formula>"Pass"</formula>
    </cfRule>
    <cfRule type="cellIs" dxfId="29940" priority="29780" stopIfTrue="1" operator="equal">
      <formula>"Fail"</formula>
    </cfRule>
  </conditionalFormatting>
  <conditionalFormatting sqref="U609:V609 U607:V607 T607:T609 S608:S609">
    <cfRule type="cellIs" dxfId="29939" priority="29777" stopIfTrue="1" operator="equal">
      <formula>"Fail"</formula>
    </cfRule>
    <cfRule type="cellIs" dxfId="29938" priority="29778" stopIfTrue="1" operator="equal">
      <formula>"Pass"</formula>
    </cfRule>
  </conditionalFormatting>
  <conditionalFormatting sqref="A607:A609">
    <cfRule type="cellIs" dxfId="29937" priority="29775" stopIfTrue="1" operator="equal">
      <formula>"Pass"</formula>
    </cfRule>
    <cfRule type="cellIs" dxfId="29936" priority="29776" stopIfTrue="1" operator="equal">
      <formula>"Fail"</formula>
    </cfRule>
  </conditionalFormatting>
  <conditionalFormatting sqref="A607:A609">
    <cfRule type="cellIs" dxfId="29935" priority="29773" stopIfTrue="1" operator="equal">
      <formula>"Pass"</formula>
    </cfRule>
    <cfRule type="cellIs" dxfId="29934" priority="29774" stopIfTrue="1" operator="equal">
      <formula>"Fail"</formula>
    </cfRule>
  </conditionalFormatting>
  <conditionalFormatting sqref="A607:A609">
    <cfRule type="cellIs" dxfId="29933" priority="29771" stopIfTrue="1" operator="equal">
      <formula>"Pass"</formula>
    </cfRule>
    <cfRule type="cellIs" dxfId="29932" priority="29772" stopIfTrue="1" operator="equal">
      <formula>"Fail"</formula>
    </cfRule>
  </conditionalFormatting>
  <conditionalFormatting sqref="J610:J611 J607:N608 E607:G609">
    <cfRule type="cellIs" dxfId="29931" priority="29769" stopIfTrue="1" operator="equal">
      <formula>"Pass"</formula>
    </cfRule>
    <cfRule type="cellIs" dxfId="29930" priority="29770" stopIfTrue="1" operator="equal">
      <formula>"Fail"</formula>
    </cfRule>
  </conditionalFormatting>
  <conditionalFormatting sqref="A609 C609 H610:H611 I611 H613:H614 K607:O608 F607:H609">
    <cfRule type="cellIs" dxfId="29929" priority="29767" stopIfTrue="1" operator="equal">
      <formula>"Pass"</formula>
    </cfRule>
    <cfRule type="cellIs" dxfId="29928" priority="29768" stopIfTrue="1" operator="equal">
      <formula>"Fail"</formula>
    </cfRule>
  </conditionalFormatting>
  <conditionalFormatting sqref="T607">
    <cfRule type="cellIs" dxfId="29927" priority="29765" stopIfTrue="1" operator="equal">
      <formula>"Fail"</formula>
    </cfRule>
    <cfRule type="cellIs" dxfId="29926" priority="29766" stopIfTrue="1" operator="equal">
      <formula>"Pass"</formula>
    </cfRule>
  </conditionalFormatting>
  <conditionalFormatting sqref="A607:A609">
    <cfRule type="cellIs" dxfId="29925" priority="29763" stopIfTrue="1" operator="equal">
      <formula>"Pass"</formula>
    </cfRule>
    <cfRule type="cellIs" dxfId="29924" priority="29764" stopIfTrue="1" operator="equal">
      <formula>"Fail"</formula>
    </cfRule>
  </conditionalFormatting>
  <conditionalFormatting sqref="A610 C610 F612 F610:G610 K610:N611 A612">
    <cfRule type="cellIs" dxfId="29923" priority="29761" stopIfTrue="1" operator="equal">
      <formula>"Pass"</formula>
    </cfRule>
    <cfRule type="cellIs" dxfId="29922" priority="29762" stopIfTrue="1" operator="equal">
      <formula>"Fail"</formula>
    </cfRule>
  </conditionalFormatting>
  <conditionalFormatting sqref="T610:T612 U611:V612">
    <cfRule type="cellIs" dxfId="29921" priority="29759" stopIfTrue="1" operator="equal">
      <formula>"Fail"</formula>
    </cfRule>
    <cfRule type="cellIs" dxfId="29920" priority="29760" stopIfTrue="1" operator="equal">
      <formula>"Pass"</formula>
    </cfRule>
  </conditionalFormatting>
  <conditionalFormatting sqref="A610:A612">
    <cfRule type="cellIs" dxfId="29919" priority="29757" stopIfTrue="1" operator="equal">
      <formula>"Pass"</formula>
    </cfRule>
    <cfRule type="cellIs" dxfId="29918" priority="29758" stopIfTrue="1" operator="equal">
      <formula>"Fail"</formula>
    </cfRule>
  </conditionalFormatting>
  <conditionalFormatting sqref="A610:A612">
    <cfRule type="cellIs" dxfId="29917" priority="29755" stopIfTrue="1" operator="equal">
      <formula>"Pass"</formula>
    </cfRule>
    <cfRule type="cellIs" dxfId="29916" priority="29756" stopIfTrue="1" operator="equal">
      <formula>"Fail"</formula>
    </cfRule>
  </conditionalFormatting>
  <conditionalFormatting sqref="A610:A612">
    <cfRule type="cellIs" dxfId="29915" priority="29753" stopIfTrue="1" operator="equal">
      <formula>"Pass"</formula>
    </cfRule>
    <cfRule type="cellIs" dxfId="29914" priority="29754" stopIfTrue="1" operator="equal">
      <formula>"Fail"</formula>
    </cfRule>
  </conditionalFormatting>
  <conditionalFormatting sqref="E613:F613 I613:M614 E615:F615 A613:A615">
    <cfRule type="cellIs" dxfId="29913" priority="29751" stopIfTrue="1" operator="equal">
      <formula>"Pass"</formula>
    </cfRule>
    <cfRule type="cellIs" dxfId="29912" priority="29752" stopIfTrue="1" operator="equal">
      <formula>"Fail"</formula>
    </cfRule>
  </conditionalFormatting>
  <conditionalFormatting sqref="T615 T613 R613:R615 S614:S615">
    <cfRule type="cellIs" dxfId="29911" priority="29749" stopIfTrue="1" operator="equal">
      <formula>"Fail"</formula>
    </cfRule>
    <cfRule type="cellIs" dxfId="29910" priority="29750" stopIfTrue="1" operator="equal">
      <formula>"Pass"</formula>
    </cfRule>
  </conditionalFormatting>
  <conditionalFormatting sqref="F613:G613 J613:N614 F615:G615 A613:B615">
    <cfRule type="cellIs" dxfId="29909" priority="29747" stopIfTrue="1" operator="equal">
      <formula>"Pass"</formula>
    </cfRule>
    <cfRule type="cellIs" dxfId="29908" priority="29748" stopIfTrue="1" operator="equal">
      <formula>"Fail"</formula>
    </cfRule>
  </conditionalFormatting>
  <conditionalFormatting sqref="U615:V615 T613:T615 S614:S615">
    <cfRule type="cellIs" dxfId="29907" priority="29745" stopIfTrue="1" operator="equal">
      <formula>"Fail"</formula>
    </cfRule>
    <cfRule type="cellIs" dxfId="29906" priority="29746" stopIfTrue="1" operator="equal">
      <formula>"Pass"</formula>
    </cfRule>
  </conditionalFormatting>
  <conditionalFormatting sqref="A613:A615">
    <cfRule type="cellIs" dxfId="29905" priority="29743" stopIfTrue="1" operator="equal">
      <formula>"Pass"</formula>
    </cfRule>
    <cfRule type="cellIs" dxfId="29904" priority="29744" stopIfTrue="1" operator="equal">
      <formula>"Fail"</formula>
    </cfRule>
  </conditionalFormatting>
  <conditionalFormatting sqref="A613:A615">
    <cfRule type="cellIs" dxfId="29903" priority="29741" stopIfTrue="1" operator="equal">
      <formula>"Pass"</formula>
    </cfRule>
    <cfRule type="cellIs" dxfId="29902" priority="29742" stopIfTrue="1" operator="equal">
      <formula>"Fail"</formula>
    </cfRule>
  </conditionalFormatting>
  <conditionalFormatting sqref="A613:A615">
    <cfRule type="cellIs" dxfId="29901" priority="29739" stopIfTrue="1" operator="equal">
      <formula>"Pass"</formula>
    </cfRule>
    <cfRule type="cellIs" dxfId="29900" priority="29740" stopIfTrue="1" operator="equal">
      <formula>"Fail"</formula>
    </cfRule>
  </conditionalFormatting>
  <conditionalFormatting sqref="A612">
    <cfRule type="cellIs" dxfId="29899" priority="29737" stopIfTrue="1" operator="equal">
      <formula>"Pass"</formula>
    </cfRule>
    <cfRule type="cellIs" dxfId="29898" priority="29738" stopIfTrue="1" operator="equal">
      <formula>"Fail"</formula>
    </cfRule>
  </conditionalFormatting>
  <conditionalFormatting sqref="A610:A612">
    <cfRule type="cellIs" dxfId="29897" priority="29735" stopIfTrue="1" operator="equal">
      <formula>"Pass"</formula>
    </cfRule>
    <cfRule type="cellIs" dxfId="29896" priority="29736" stopIfTrue="1" operator="equal">
      <formula>"Fail"</formula>
    </cfRule>
  </conditionalFormatting>
  <conditionalFormatting sqref="A615">
    <cfRule type="cellIs" dxfId="29895" priority="29733" stopIfTrue="1" operator="equal">
      <formula>"Pass"</formula>
    </cfRule>
    <cfRule type="cellIs" dxfId="29894" priority="29734" stopIfTrue="1" operator="equal">
      <formula>"Fail"</formula>
    </cfRule>
  </conditionalFormatting>
  <conditionalFormatting sqref="A613:A615">
    <cfRule type="cellIs" dxfId="29893" priority="29731" stopIfTrue="1" operator="equal">
      <formula>"Pass"</formula>
    </cfRule>
    <cfRule type="cellIs" dxfId="29892" priority="29732" stopIfTrue="1" operator="equal">
      <formula>"Fail"</formula>
    </cfRule>
  </conditionalFormatting>
  <conditionalFormatting sqref="A610:A612">
    <cfRule type="cellIs" dxfId="29891" priority="29729" stopIfTrue="1" operator="equal">
      <formula>"Pass"</formula>
    </cfRule>
    <cfRule type="cellIs" dxfId="29890" priority="29730" stopIfTrue="1" operator="equal">
      <formula>"Fail"</formula>
    </cfRule>
  </conditionalFormatting>
  <conditionalFormatting sqref="A610:A612">
    <cfRule type="cellIs" dxfId="29889" priority="29727" stopIfTrue="1" operator="equal">
      <formula>"Pass"</formula>
    </cfRule>
    <cfRule type="cellIs" dxfId="29888" priority="29728" stopIfTrue="1" operator="equal">
      <formula>"Fail"</formula>
    </cfRule>
  </conditionalFormatting>
  <conditionalFormatting sqref="A610:A612">
    <cfRule type="cellIs" dxfId="29887" priority="29725" stopIfTrue="1" operator="equal">
      <formula>"Pass"</formula>
    </cfRule>
    <cfRule type="cellIs" dxfId="29886" priority="29726" stopIfTrue="1" operator="equal">
      <formula>"Fail"</formula>
    </cfRule>
  </conditionalFormatting>
  <conditionalFormatting sqref="A610:A612">
    <cfRule type="cellIs" dxfId="29885" priority="29723" stopIfTrue="1" operator="equal">
      <formula>"Pass"</formula>
    </cfRule>
    <cfRule type="cellIs" dxfId="29884" priority="29724" stopIfTrue="1" operator="equal">
      <formula>"Fail"</formula>
    </cfRule>
  </conditionalFormatting>
  <conditionalFormatting sqref="A610:A612">
    <cfRule type="cellIs" dxfId="29883" priority="29721" stopIfTrue="1" operator="equal">
      <formula>"Pass"</formula>
    </cfRule>
    <cfRule type="cellIs" dxfId="29882" priority="29722" stopIfTrue="1" operator="equal">
      <formula>"Fail"</formula>
    </cfRule>
  </conditionalFormatting>
  <conditionalFormatting sqref="A612">
    <cfRule type="cellIs" dxfId="29881" priority="29719" stopIfTrue="1" operator="equal">
      <formula>"Pass"</formula>
    </cfRule>
    <cfRule type="cellIs" dxfId="29880" priority="29720" stopIfTrue="1" operator="equal">
      <formula>"Fail"</formula>
    </cfRule>
  </conditionalFormatting>
  <conditionalFormatting sqref="A610:A612">
    <cfRule type="cellIs" dxfId="29879" priority="29717" stopIfTrue="1" operator="equal">
      <formula>"Pass"</formula>
    </cfRule>
    <cfRule type="cellIs" dxfId="29878" priority="29718" stopIfTrue="1" operator="equal">
      <formula>"Fail"</formula>
    </cfRule>
  </conditionalFormatting>
  <conditionalFormatting sqref="A610:A615">
    <cfRule type="cellIs" dxfId="29877" priority="29715" stopIfTrue="1" operator="equal">
      <formula>"Pass"</formula>
    </cfRule>
    <cfRule type="cellIs" dxfId="29876" priority="29716" stopIfTrue="1" operator="equal">
      <formula>"Fail"</formula>
    </cfRule>
  </conditionalFormatting>
  <conditionalFormatting sqref="A610:A615">
    <cfRule type="cellIs" dxfId="29875" priority="29713" stopIfTrue="1" operator="equal">
      <formula>"Pass"</formula>
    </cfRule>
    <cfRule type="cellIs" dxfId="29874" priority="29714" stopIfTrue="1" operator="equal">
      <formula>"Fail"</formula>
    </cfRule>
  </conditionalFormatting>
  <conditionalFormatting sqref="A610:A615">
    <cfRule type="cellIs" dxfId="29873" priority="29711" stopIfTrue="1" operator="equal">
      <formula>"Pass"</formula>
    </cfRule>
    <cfRule type="cellIs" dxfId="29872" priority="29712" stopIfTrue="1" operator="equal">
      <formula>"Fail"</formula>
    </cfRule>
  </conditionalFormatting>
  <conditionalFormatting sqref="A610:A615">
    <cfRule type="cellIs" dxfId="29871" priority="29709" stopIfTrue="1" operator="equal">
      <formula>"Pass"</formula>
    </cfRule>
    <cfRule type="cellIs" dxfId="29870" priority="29710" stopIfTrue="1" operator="equal">
      <formula>"Fail"</formula>
    </cfRule>
  </conditionalFormatting>
  <conditionalFormatting sqref="A610:A615">
    <cfRule type="cellIs" dxfId="29869" priority="29707" stopIfTrue="1" operator="equal">
      <formula>"Pass"</formula>
    </cfRule>
    <cfRule type="cellIs" dxfId="29868" priority="29708" stopIfTrue="1" operator="equal">
      <formula>"Fail"</formula>
    </cfRule>
  </conditionalFormatting>
  <conditionalFormatting sqref="A612 A615">
    <cfRule type="cellIs" dxfId="29867" priority="29705" stopIfTrue="1" operator="equal">
      <formula>"Pass"</formula>
    </cfRule>
    <cfRule type="cellIs" dxfId="29866" priority="29706" stopIfTrue="1" operator="equal">
      <formula>"Fail"</formula>
    </cfRule>
  </conditionalFormatting>
  <conditionalFormatting sqref="A610:A615">
    <cfRule type="cellIs" dxfId="29865" priority="29703" stopIfTrue="1" operator="equal">
      <formula>"Pass"</formula>
    </cfRule>
    <cfRule type="cellIs" dxfId="29864" priority="29704" stopIfTrue="1" operator="equal">
      <formula>"Fail"</formula>
    </cfRule>
  </conditionalFormatting>
  <conditionalFormatting sqref="U610:V610">
    <cfRule type="cellIs" dxfId="29863" priority="29701" stopIfTrue="1" operator="equal">
      <formula>"Fail"</formula>
    </cfRule>
    <cfRule type="cellIs" dxfId="29862" priority="29702" stopIfTrue="1" operator="equal">
      <formula>"Pass"</formula>
    </cfRule>
  </conditionalFormatting>
  <conditionalFormatting sqref="U610:V610 U613:V613">
    <cfRule type="cellIs" dxfId="29861" priority="29699" stopIfTrue="1" operator="equal">
      <formula>"Fail"</formula>
    </cfRule>
    <cfRule type="cellIs" dxfId="29860" priority="29700" stopIfTrue="1" operator="equal">
      <formula>"Pass"</formula>
    </cfRule>
  </conditionalFormatting>
  <conditionalFormatting sqref="J616:J617">
    <cfRule type="cellIs" dxfId="29859" priority="29697" stopIfTrue="1" operator="equal">
      <formula>"Pass"</formula>
    </cfRule>
    <cfRule type="cellIs" dxfId="29858" priority="29698" stopIfTrue="1" operator="equal">
      <formula>"Fail"</formula>
    </cfRule>
  </conditionalFormatting>
  <conditionalFormatting sqref="H616:H617 I617">
    <cfRule type="cellIs" dxfId="29857" priority="29695" stopIfTrue="1" operator="equal">
      <formula>"Pass"</formula>
    </cfRule>
    <cfRule type="cellIs" dxfId="29856" priority="29696" stopIfTrue="1" operator="equal">
      <formula>"Fail"</formula>
    </cfRule>
  </conditionalFormatting>
  <conditionalFormatting sqref="A616 C616 F618 F616:G616 K616:N617 A618">
    <cfRule type="cellIs" dxfId="29855" priority="29693" stopIfTrue="1" operator="equal">
      <formula>"Pass"</formula>
    </cfRule>
    <cfRule type="cellIs" dxfId="29854" priority="29694" stopIfTrue="1" operator="equal">
      <formula>"Fail"</formula>
    </cfRule>
  </conditionalFormatting>
  <conditionalFormatting sqref="T616:T618 U617:V618">
    <cfRule type="cellIs" dxfId="29853" priority="29691" stopIfTrue="1" operator="equal">
      <formula>"Fail"</formula>
    </cfRule>
    <cfRule type="cellIs" dxfId="29852" priority="29692" stopIfTrue="1" operator="equal">
      <formula>"Pass"</formula>
    </cfRule>
  </conditionalFormatting>
  <conditionalFormatting sqref="A616:A618">
    <cfRule type="cellIs" dxfId="29851" priority="29689" stopIfTrue="1" operator="equal">
      <formula>"Pass"</formula>
    </cfRule>
    <cfRule type="cellIs" dxfId="29850" priority="29690" stopIfTrue="1" operator="equal">
      <formula>"Fail"</formula>
    </cfRule>
  </conditionalFormatting>
  <conditionalFormatting sqref="A616:A618">
    <cfRule type="cellIs" dxfId="29849" priority="29687" stopIfTrue="1" operator="equal">
      <formula>"Pass"</formula>
    </cfRule>
    <cfRule type="cellIs" dxfId="29848" priority="29688" stopIfTrue="1" operator="equal">
      <formula>"Fail"</formula>
    </cfRule>
  </conditionalFormatting>
  <conditionalFormatting sqref="A616:A618">
    <cfRule type="cellIs" dxfId="29847" priority="29685" stopIfTrue="1" operator="equal">
      <formula>"Pass"</formula>
    </cfRule>
    <cfRule type="cellIs" dxfId="29846" priority="29686" stopIfTrue="1" operator="equal">
      <formula>"Fail"</formula>
    </cfRule>
  </conditionalFormatting>
  <conditionalFormatting sqref="A618">
    <cfRule type="cellIs" dxfId="29845" priority="29683" stopIfTrue="1" operator="equal">
      <formula>"Pass"</formula>
    </cfRule>
    <cfRule type="cellIs" dxfId="29844" priority="29684" stopIfTrue="1" operator="equal">
      <formula>"Fail"</formula>
    </cfRule>
  </conditionalFormatting>
  <conditionalFormatting sqref="A616:A618">
    <cfRule type="cellIs" dxfId="29843" priority="29681" stopIfTrue="1" operator="equal">
      <formula>"Pass"</formula>
    </cfRule>
    <cfRule type="cellIs" dxfId="29842" priority="29682" stopIfTrue="1" operator="equal">
      <formula>"Fail"</formula>
    </cfRule>
  </conditionalFormatting>
  <conditionalFormatting sqref="A616:A618">
    <cfRule type="cellIs" dxfId="29841" priority="29679" stopIfTrue="1" operator="equal">
      <formula>"Pass"</formula>
    </cfRule>
    <cfRule type="cellIs" dxfId="29840" priority="29680" stopIfTrue="1" operator="equal">
      <formula>"Fail"</formula>
    </cfRule>
  </conditionalFormatting>
  <conditionalFormatting sqref="A616:A618">
    <cfRule type="cellIs" dxfId="29839" priority="29677" stopIfTrue="1" operator="equal">
      <formula>"Pass"</formula>
    </cfRule>
    <cfRule type="cellIs" dxfId="29838" priority="29678" stopIfTrue="1" operator="equal">
      <formula>"Fail"</formula>
    </cfRule>
  </conditionalFormatting>
  <conditionalFormatting sqref="A616:A618">
    <cfRule type="cellIs" dxfId="29837" priority="29675" stopIfTrue="1" operator="equal">
      <formula>"Pass"</formula>
    </cfRule>
    <cfRule type="cellIs" dxfId="29836" priority="29676" stopIfTrue="1" operator="equal">
      <formula>"Fail"</formula>
    </cfRule>
  </conditionalFormatting>
  <conditionalFormatting sqref="A616:A618">
    <cfRule type="cellIs" dxfId="29835" priority="29673" stopIfTrue="1" operator="equal">
      <formula>"Pass"</formula>
    </cfRule>
    <cfRule type="cellIs" dxfId="29834" priority="29674" stopIfTrue="1" operator="equal">
      <formula>"Fail"</formula>
    </cfRule>
  </conditionalFormatting>
  <conditionalFormatting sqref="A616:A618">
    <cfRule type="cellIs" dxfId="29833" priority="29671" stopIfTrue="1" operator="equal">
      <formula>"Pass"</formula>
    </cfRule>
    <cfRule type="cellIs" dxfId="29832" priority="29672" stopIfTrue="1" operator="equal">
      <formula>"Fail"</formula>
    </cfRule>
  </conditionalFormatting>
  <conditionalFormatting sqref="A618">
    <cfRule type="cellIs" dxfId="29831" priority="29669" stopIfTrue="1" operator="equal">
      <formula>"Pass"</formula>
    </cfRule>
    <cfRule type="cellIs" dxfId="29830" priority="29670" stopIfTrue="1" operator="equal">
      <formula>"Fail"</formula>
    </cfRule>
  </conditionalFormatting>
  <conditionalFormatting sqref="A616:A618">
    <cfRule type="cellIs" dxfId="29829" priority="29667" stopIfTrue="1" operator="equal">
      <formula>"Pass"</formula>
    </cfRule>
    <cfRule type="cellIs" dxfId="29828" priority="29668" stopIfTrue="1" operator="equal">
      <formula>"Fail"</formula>
    </cfRule>
  </conditionalFormatting>
  <conditionalFormatting sqref="A616:A618">
    <cfRule type="cellIs" dxfId="29827" priority="29665" stopIfTrue="1" operator="equal">
      <formula>"Pass"</formula>
    </cfRule>
    <cfRule type="cellIs" dxfId="29826" priority="29666" stopIfTrue="1" operator="equal">
      <formula>"Fail"</formula>
    </cfRule>
  </conditionalFormatting>
  <conditionalFormatting sqref="A616:A618">
    <cfRule type="cellIs" dxfId="29825" priority="29663" stopIfTrue="1" operator="equal">
      <formula>"Pass"</formula>
    </cfRule>
    <cfRule type="cellIs" dxfId="29824" priority="29664" stopIfTrue="1" operator="equal">
      <formula>"Fail"</formula>
    </cfRule>
  </conditionalFormatting>
  <conditionalFormatting sqref="A616:A618">
    <cfRule type="cellIs" dxfId="29823" priority="29661" stopIfTrue="1" operator="equal">
      <formula>"Pass"</formula>
    </cfRule>
    <cfRule type="cellIs" dxfId="29822" priority="29662" stopIfTrue="1" operator="equal">
      <formula>"Fail"</formula>
    </cfRule>
  </conditionalFormatting>
  <conditionalFormatting sqref="A616:A618">
    <cfRule type="cellIs" dxfId="29821" priority="29659" stopIfTrue="1" operator="equal">
      <formula>"Pass"</formula>
    </cfRule>
    <cfRule type="cellIs" dxfId="29820" priority="29660" stopIfTrue="1" operator="equal">
      <formula>"Fail"</formula>
    </cfRule>
  </conditionalFormatting>
  <conditionalFormatting sqref="A616:A618">
    <cfRule type="cellIs" dxfId="29819" priority="29657" stopIfTrue="1" operator="equal">
      <formula>"Pass"</formula>
    </cfRule>
    <cfRule type="cellIs" dxfId="29818" priority="29658" stopIfTrue="1" operator="equal">
      <formula>"Fail"</formula>
    </cfRule>
  </conditionalFormatting>
  <conditionalFormatting sqref="A618">
    <cfRule type="cellIs" dxfId="29817" priority="29655" stopIfTrue="1" operator="equal">
      <formula>"Pass"</formula>
    </cfRule>
    <cfRule type="cellIs" dxfId="29816" priority="29656" stopIfTrue="1" operator="equal">
      <formula>"Fail"</formula>
    </cfRule>
  </conditionalFormatting>
  <conditionalFormatting sqref="A616:A618">
    <cfRule type="cellIs" dxfId="29815" priority="29653" stopIfTrue="1" operator="equal">
      <formula>"Pass"</formula>
    </cfRule>
    <cfRule type="cellIs" dxfId="29814" priority="29654" stopIfTrue="1" operator="equal">
      <formula>"Fail"</formula>
    </cfRule>
  </conditionalFormatting>
  <conditionalFormatting sqref="U616:V616">
    <cfRule type="cellIs" dxfId="29813" priority="29651" stopIfTrue="1" operator="equal">
      <formula>"Fail"</formula>
    </cfRule>
    <cfRule type="cellIs" dxfId="29812" priority="29652" stopIfTrue="1" operator="equal">
      <formula>"Pass"</formula>
    </cfRule>
  </conditionalFormatting>
  <conditionalFormatting sqref="U616:V616">
    <cfRule type="cellIs" dxfId="29811" priority="29649" stopIfTrue="1" operator="equal">
      <formula>"Fail"</formula>
    </cfRule>
    <cfRule type="cellIs" dxfId="29810" priority="29650" stopIfTrue="1" operator="equal">
      <formula>"Pass"</formula>
    </cfRule>
  </conditionalFormatting>
  <conditionalFormatting sqref="H619:H620">
    <cfRule type="cellIs" dxfId="29809" priority="29647" stopIfTrue="1" operator="equal">
      <formula>"Pass"</formula>
    </cfRule>
    <cfRule type="cellIs" dxfId="29808" priority="29648" stopIfTrue="1" operator="equal">
      <formula>"Fail"</formula>
    </cfRule>
  </conditionalFormatting>
  <conditionalFormatting sqref="E619:F619 I619:M620 E621:F621 A619:A621">
    <cfRule type="cellIs" dxfId="29807" priority="29645" stopIfTrue="1" operator="equal">
      <formula>"Pass"</formula>
    </cfRule>
    <cfRule type="cellIs" dxfId="29806" priority="29646" stopIfTrue="1" operator="equal">
      <formula>"Fail"</formula>
    </cfRule>
  </conditionalFormatting>
  <conditionalFormatting sqref="T621 T619 R619:R621 S620:S621">
    <cfRule type="cellIs" dxfId="29805" priority="29643" stopIfTrue="1" operator="equal">
      <formula>"Fail"</formula>
    </cfRule>
    <cfRule type="cellIs" dxfId="29804" priority="29644" stopIfTrue="1" operator="equal">
      <formula>"Pass"</formula>
    </cfRule>
  </conditionalFormatting>
  <conditionalFormatting sqref="F619:G619 J619:N620 F621:G621 A619:B621">
    <cfRule type="cellIs" dxfId="29803" priority="29641" stopIfTrue="1" operator="equal">
      <formula>"Pass"</formula>
    </cfRule>
    <cfRule type="cellIs" dxfId="29802" priority="29642" stopIfTrue="1" operator="equal">
      <formula>"Fail"</formula>
    </cfRule>
  </conditionalFormatting>
  <conditionalFormatting sqref="U621:V621 T619:T621 S620:S621">
    <cfRule type="cellIs" dxfId="29801" priority="29639" stopIfTrue="1" operator="equal">
      <formula>"Fail"</formula>
    </cfRule>
    <cfRule type="cellIs" dxfId="29800" priority="29640" stopIfTrue="1" operator="equal">
      <formula>"Pass"</formula>
    </cfRule>
  </conditionalFormatting>
  <conditionalFormatting sqref="A619:A621">
    <cfRule type="cellIs" dxfId="29799" priority="29637" stopIfTrue="1" operator="equal">
      <formula>"Pass"</formula>
    </cfRule>
    <cfRule type="cellIs" dxfId="29798" priority="29638" stopIfTrue="1" operator="equal">
      <formula>"Fail"</formula>
    </cfRule>
  </conditionalFormatting>
  <conditionalFormatting sqref="A619:A621">
    <cfRule type="cellIs" dxfId="29797" priority="29635" stopIfTrue="1" operator="equal">
      <formula>"Pass"</formula>
    </cfRule>
    <cfRule type="cellIs" dxfId="29796" priority="29636" stopIfTrue="1" operator="equal">
      <formula>"Fail"</formula>
    </cfRule>
  </conditionalFormatting>
  <conditionalFormatting sqref="A619:A621">
    <cfRule type="cellIs" dxfId="29795" priority="29633" stopIfTrue="1" operator="equal">
      <formula>"Pass"</formula>
    </cfRule>
    <cfRule type="cellIs" dxfId="29794" priority="29634" stopIfTrue="1" operator="equal">
      <formula>"Fail"</formula>
    </cfRule>
  </conditionalFormatting>
  <conditionalFormatting sqref="A621">
    <cfRule type="cellIs" dxfId="29793" priority="29631" stopIfTrue="1" operator="equal">
      <formula>"Pass"</formula>
    </cfRule>
    <cfRule type="cellIs" dxfId="29792" priority="29632" stopIfTrue="1" operator="equal">
      <formula>"Fail"</formula>
    </cfRule>
  </conditionalFormatting>
  <conditionalFormatting sqref="A619:A621">
    <cfRule type="cellIs" dxfId="29791" priority="29629" stopIfTrue="1" operator="equal">
      <formula>"Pass"</formula>
    </cfRule>
    <cfRule type="cellIs" dxfId="29790" priority="29630" stopIfTrue="1" operator="equal">
      <formula>"Fail"</formula>
    </cfRule>
  </conditionalFormatting>
  <conditionalFormatting sqref="A619:A621">
    <cfRule type="cellIs" dxfId="29789" priority="29627" stopIfTrue="1" operator="equal">
      <formula>"Pass"</formula>
    </cfRule>
    <cfRule type="cellIs" dxfId="29788" priority="29628" stopIfTrue="1" operator="equal">
      <formula>"Fail"</formula>
    </cfRule>
  </conditionalFormatting>
  <conditionalFormatting sqref="A619:A621">
    <cfRule type="cellIs" dxfId="29787" priority="29625" stopIfTrue="1" operator="equal">
      <formula>"Pass"</formula>
    </cfRule>
    <cfRule type="cellIs" dxfId="29786" priority="29626" stopIfTrue="1" operator="equal">
      <formula>"Fail"</formula>
    </cfRule>
  </conditionalFormatting>
  <conditionalFormatting sqref="A619:A621">
    <cfRule type="cellIs" dxfId="29785" priority="29623" stopIfTrue="1" operator="equal">
      <formula>"Pass"</formula>
    </cfRule>
    <cfRule type="cellIs" dxfId="29784" priority="29624" stopIfTrue="1" operator="equal">
      <formula>"Fail"</formula>
    </cfRule>
  </conditionalFormatting>
  <conditionalFormatting sqref="A619:A621">
    <cfRule type="cellIs" dxfId="29783" priority="29621" stopIfTrue="1" operator="equal">
      <formula>"Pass"</formula>
    </cfRule>
    <cfRule type="cellIs" dxfId="29782" priority="29622" stopIfTrue="1" operator="equal">
      <formula>"Fail"</formula>
    </cfRule>
  </conditionalFormatting>
  <conditionalFormatting sqref="A619:A621">
    <cfRule type="cellIs" dxfId="29781" priority="29619" stopIfTrue="1" operator="equal">
      <formula>"Pass"</formula>
    </cfRule>
    <cfRule type="cellIs" dxfId="29780" priority="29620" stopIfTrue="1" operator="equal">
      <formula>"Fail"</formula>
    </cfRule>
  </conditionalFormatting>
  <conditionalFormatting sqref="A621">
    <cfRule type="cellIs" dxfId="29779" priority="29617" stopIfTrue="1" operator="equal">
      <formula>"Pass"</formula>
    </cfRule>
    <cfRule type="cellIs" dxfId="29778" priority="29618" stopIfTrue="1" operator="equal">
      <formula>"Fail"</formula>
    </cfRule>
  </conditionalFormatting>
  <conditionalFormatting sqref="A619:A621">
    <cfRule type="cellIs" dxfId="29777" priority="29615" stopIfTrue="1" operator="equal">
      <formula>"Pass"</formula>
    </cfRule>
    <cfRule type="cellIs" dxfId="29776" priority="29616" stopIfTrue="1" operator="equal">
      <formula>"Fail"</formula>
    </cfRule>
  </conditionalFormatting>
  <conditionalFormatting sqref="U619:V619">
    <cfRule type="cellIs" dxfId="29775" priority="29613" stopIfTrue="1" operator="equal">
      <formula>"Fail"</formula>
    </cfRule>
    <cfRule type="cellIs" dxfId="29774" priority="29614" stopIfTrue="1" operator="equal">
      <formula>"Pass"</formula>
    </cfRule>
  </conditionalFormatting>
  <conditionalFormatting sqref="J622:J623">
    <cfRule type="cellIs" dxfId="29773" priority="29611" stopIfTrue="1" operator="equal">
      <formula>"Pass"</formula>
    </cfRule>
    <cfRule type="cellIs" dxfId="29772" priority="29612" stopIfTrue="1" operator="equal">
      <formula>"Fail"</formula>
    </cfRule>
  </conditionalFormatting>
  <conditionalFormatting sqref="H622:H623 I623">
    <cfRule type="cellIs" dxfId="29771" priority="29609" stopIfTrue="1" operator="equal">
      <formula>"Pass"</formula>
    </cfRule>
    <cfRule type="cellIs" dxfId="29770" priority="29610" stopIfTrue="1" operator="equal">
      <formula>"Fail"</formula>
    </cfRule>
  </conditionalFormatting>
  <conditionalFormatting sqref="A622 C622 F624 F622:G622 K622:N623 A624">
    <cfRule type="cellIs" dxfId="29769" priority="29607" stopIfTrue="1" operator="equal">
      <formula>"Pass"</formula>
    </cfRule>
    <cfRule type="cellIs" dxfId="29768" priority="29608" stopIfTrue="1" operator="equal">
      <formula>"Fail"</formula>
    </cfRule>
  </conditionalFormatting>
  <conditionalFormatting sqref="T622:T624 U623:V624">
    <cfRule type="cellIs" dxfId="29767" priority="29605" stopIfTrue="1" operator="equal">
      <formula>"Fail"</formula>
    </cfRule>
    <cfRule type="cellIs" dxfId="29766" priority="29606" stopIfTrue="1" operator="equal">
      <formula>"Pass"</formula>
    </cfRule>
  </conditionalFormatting>
  <conditionalFormatting sqref="A622:A624">
    <cfRule type="cellIs" dxfId="29765" priority="29603" stopIfTrue="1" operator="equal">
      <formula>"Pass"</formula>
    </cfRule>
    <cfRule type="cellIs" dxfId="29764" priority="29604" stopIfTrue="1" operator="equal">
      <formula>"Fail"</formula>
    </cfRule>
  </conditionalFormatting>
  <conditionalFormatting sqref="A622:A624">
    <cfRule type="cellIs" dxfId="29763" priority="29601" stopIfTrue="1" operator="equal">
      <formula>"Pass"</formula>
    </cfRule>
    <cfRule type="cellIs" dxfId="29762" priority="29602" stopIfTrue="1" operator="equal">
      <formula>"Fail"</formula>
    </cfRule>
  </conditionalFormatting>
  <conditionalFormatting sqref="A622:A624">
    <cfRule type="cellIs" dxfId="29761" priority="29599" stopIfTrue="1" operator="equal">
      <formula>"Pass"</formula>
    </cfRule>
    <cfRule type="cellIs" dxfId="29760" priority="29600" stopIfTrue="1" operator="equal">
      <formula>"Fail"</formula>
    </cfRule>
  </conditionalFormatting>
  <conditionalFormatting sqref="A624">
    <cfRule type="cellIs" dxfId="29759" priority="29597" stopIfTrue="1" operator="equal">
      <formula>"Pass"</formula>
    </cfRule>
    <cfRule type="cellIs" dxfId="29758" priority="29598" stopIfTrue="1" operator="equal">
      <formula>"Fail"</formula>
    </cfRule>
  </conditionalFormatting>
  <conditionalFormatting sqref="A622:A624">
    <cfRule type="cellIs" dxfId="29757" priority="29595" stopIfTrue="1" operator="equal">
      <formula>"Pass"</formula>
    </cfRule>
    <cfRule type="cellIs" dxfId="29756" priority="29596" stopIfTrue="1" operator="equal">
      <formula>"Fail"</formula>
    </cfRule>
  </conditionalFormatting>
  <conditionalFormatting sqref="A622:A624">
    <cfRule type="cellIs" dxfId="29755" priority="29593" stopIfTrue="1" operator="equal">
      <formula>"Pass"</formula>
    </cfRule>
    <cfRule type="cellIs" dxfId="29754" priority="29594" stopIfTrue="1" operator="equal">
      <formula>"Fail"</formula>
    </cfRule>
  </conditionalFormatting>
  <conditionalFormatting sqref="A622:A624">
    <cfRule type="cellIs" dxfId="29753" priority="29591" stopIfTrue="1" operator="equal">
      <formula>"Pass"</formula>
    </cfRule>
    <cfRule type="cellIs" dxfId="29752" priority="29592" stopIfTrue="1" operator="equal">
      <formula>"Fail"</formula>
    </cfRule>
  </conditionalFormatting>
  <conditionalFormatting sqref="A622:A624">
    <cfRule type="cellIs" dxfId="29751" priority="29589" stopIfTrue="1" operator="equal">
      <formula>"Pass"</formula>
    </cfRule>
    <cfRule type="cellIs" dxfId="29750" priority="29590" stopIfTrue="1" operator="equal">
      <formula>"Fail"</formula>
    </cfRule>
  </conditionalFormatting>
  <conditionalFormatting sqref="A622:A624">
    <cfRule type="cellIs" dxfId="29749" priority="29587" stopIfTrue="1" operator="equal">
      <formula>"Pass"</formula>
    </cfRule>
    <cfRule type="cellIs" dxfId="29748" priority="29588" stopIfTrue="1" operator="equal">
      <formula>"Fail"</formula>
    </cfRule>
  </conditionalFormatting>
  <conditionalFormatting sqref="A622:A624">
    <cfRule type="cellIs" dxfId="29747" priority="29585" stopIfTrue="1" operator="equal">
      <formula>"Pass"</formula>
    </cfRule>
    <cfRule type="cellIs" dxfId="29746" priority="29586" stopIfTrue="1" operator="equal">
      <formula>"Fail"</formula>
    </cfRule>
  </conditionalFormatting>
  <conditionalFormatting sqref="A624">
    <cfRule type="cellIs" dxfId="29745" priority="29583" stopIfTrue="1" operator="equal">
      <formula>"Pass"</formula>
    </cfRule>
    <cfRule type="cellIs" dxfId="29744" priority="29584" stopIfTrue="1" operator="equal">
      <formula>"Fail"</formula>
    </cfRule>
  </conditionalFormatting>
  <conditionalFormatting sqref="A622:A624">
    <cfRule type="cellIs" dxfId="29743" priority="29581" stopIfTrue="1" operator="equal">
      <formula>"Pass"</formula>
    </cfRule>
    <cfRule type="cellIs" dxfId="29742" priority="29582" stopIfTrue="1" operator="equal">
      <formula>"Fail"</formula>
    </cfRule>
  </conditionalFormatting>
  <conditionalFormatting sqref="A622:A624">
    <cfRule type="cellIs" dxfId="29741" priority="29579" stopIfTrue="1" operator="equal">
      <formula>"Pass"</formula>
    </cfRule>
    <cfRule type="cellIs" dxfId="29740" priority="29580" stopIfTrue="1" operator="equal">
      <formula>"Fail"</formula>
    </cfRule>
  </conditionalFormatting>
  <conditionalFormatting sqref="A622:A624">
    <cfRule type="cellIs" dxfId="29739" priority="29577" stopIfTrue="1" operator="equal">
      <formula>"Pass"</formula>
    </cfRule>
    <cfRule type="cellIs" dxfId="29738" priority="29578" stopIfTrue="1" operator="equal">
      <formula>"Fail"</formula>
    </cfRule>
  </conditionalFormatting>
  <conditionalFormatting sqref="A622:A624">
    <cfRule type="cellIs" dxfId="29737" priority="29575" stopIfTrue="1" operator="equal">
      <formula>"Pass"</formula>
    </cfRule>
    <cfRule type="cellIs" dxfId="29736" priority="29576" stopIfTrue="1" operator="equal">
      <formula>"Fail"</formula>
    </cfRule>
  </conditionalFormatting>
  <conditionalFormatting sqref="A622:A624">
    <cfRule type="cellIs" dxfId="29735" priority="29573" stopIfTrue="1" operator="equal">
      <formula>"Pass"</formula>
    </cfRule>
    <cfRule type="cellIs" dxfId="29734" priority="29574" stopIfTrue="1" operator="equal">
      <formula>"Fail"</formula>
    </cfRule>
  </conditionalFormatting>
  <conditionalFormatting sqref="A622:A624">
    <cfRule type="cellIs" dxfId="29733" priority="29571" stopIfTrue="1" operator="equal">
      <formula>"Pass"</formula>
    </cfRule>
    <cfRule type="cellIs" dxfId="29732" priority="29572" stopIfTrue="1" operator="equal">
      <formula>"Fail"</formula>
    </cfRule>
  </conditionalFormatting>
  <conditionalFormatting sqref="A624">
    <cfRule type="cellIs" dxfId="29731" priority="29569" stopIfTrue="1" operator="equal">
      <formula>"Pass"</formula>
    </cfRule>
    <cfRule type="cellIs" dxfId="29730" priority="29570" stopIfTrue="1" operator="equal">
      <formula>"Fail"</formula>
    </cfRule>
  </conditionalFormatting>
  <conditionalFormatting sqref="A622:A624">
    <cfRule type="cellIs" dxfId="29729" priority="29567" stopIfTrue="1" operator="equal">
      <formula>"Pass"</formula>
    </cfRule>
    <cfRule type="cellIs" dxfId="29728" priority="29568" stopIfTrue="1" operator="equal">
      <formula>"Fail"</formula>
    </cfRule>
  </conditionalFormatting>
  <conditionalFormatting sqref="U622:V622">
    <cfRule type="cellIs" dxfId="29727" priority="29565" stopIfTrue="1" operator="equal">
      <formula>"Fail"</formula>
    </cfRule>
    <cfRule type="cellIs" dxfId="29726" priority="29566" stopIfTrue="1" operator="equal">
      <formula>"Pass"</formula>
    </cfRule>
  </conditionalFormatting>
  <conditionalFormatting sqref="U622:V622">
    <cfRule type="cellIs" dxfId="29725" priority="29563" stopIfTrue="1" operator="equal">
      <formula>"Fail"</formula>
    </cfRule>
    <cfRule type="cellIs" dxfId="29724" priority="29564" stopIfTrue="1" operator="equal">
      <formula>"Pass"</formula>
    </cfRule>
  </conditionalFormatting>
  <conditionalFormatting sqref="H625:H626">
    <cfRule type="cellIs" dxfId="29723" priority="29561" stopIfTrue="1" operator="equal">
      <formula>"Pass"</formula>
    </cfRule>
    <cfRule type="cellIs" dxfId="29722" priority="29562" stopIfTrue="1" operator="equal">
      <formula>"Fail"</formula>
    </cfRule>
  </conditionalFormatting>
  <conditionalFormatting sqref="E625:F625 E627:F627 I625:M626">
    <cfRule type="cellIs" dxfId="29721" priority="29559" stopIfTrue="1" operator="equal">
      <formula>"Pass"</formula>
    </cfRule>
    <cfRule type="cellIs" dxfId="29720" priority="29560" stopIfTrue="1" operator="equal">
      <formula>"Fail"</formula>
    </cfRule>
  </conditionalFormatting>
  <conditionalFormatting sqref="T627 T625 R625:R627 S626:S627">
    <cfRule type="cellIs" dxfId="29719" priority="29557" stopIfTrue="1" operator="equal">
      <formula>"Fail"</formula>
    </cfRule>
    <cfRule type="cellIs" dxfId="29718" priority="29558" stopIfTrue="1" operator="equal">
      <formula>"Pass"</formula>
    </cfRule>
  </conditionalFormatting>
  <conditionalFormatting sqref="F625:G625 F627:G627 B625:B627 J625:N626">
    <cfRule type="cellIs" dxfId="29717" priority="29555" stopIfTrue="1" operator="equal">
      <formula>"Pass"</formula>
    </cfRule>
    <cfRule type="cellIs" dxfId="29716" priority="29556" stopIfTrue="1" operator="equal">
      <formula>"Fail"</formula>
    </cfRule>
  </conditionalFormatting>
  <conditionalFormatting sqref="U627:V627 U625:V625 T625:T627 S626:S627">
    <cfRule type="cellIs" dxfId="29715" priority="29553" stopIfTrue="1" operator="equal">
      <formula>"Fail"</formula>
    </cfRule>
    <cfRule type="cellIs" dxfId="29714" priority="29554" stopIfTrue="1" operator="equal">
      <formula>"Pass"</formula>
    </cfRule>
  </conditionalFormatting>
  <conditionalFormatting sqref="J625:N626 E625:G627">
    <cfRule type="cellIs" dxfId="29713" priority="29551" stopIfTrue="1" operator="equal">
      <formula>"Pass"</formula>
    </cfRule>
    <cfRule type="cellIs" dxfId="29712" priority="29552" stopIfTrue="1" operator="equal">
      <formula>"Fail"</formula>
    </cfRule>
  </conditionalFormatting>
  <conditionalFormatting sqref="C627 K625:O626 F625:H627">
    <cfRule type="cellIs" dxfId="29711" priority="29549" stopIfTrue="1" operator="equal">
      <formula>"Pass"</formula>
    </cfRule>
    <cfRule type="cellIs" dxfId="29710" priority="29550" stopIfTrue="1" operator="equal">
      <formula>"Fail"</formula>
    </cfRule>
  </conditionalFormatting>
  <conditionalFormatting sqref="T625">
    <cfRule type="cellIs" dxfId="29709" priority="29547" stopIfTrue="1" operator="equal">
      <formula>"Fail"</formula>
    </cfRule>
    <cfRule type="cellIs" dxfId="29708" priority="29548" stopIfTrue="1" operator="equal">
      <formula>"Pass"</formula>
    </cfRule>
  </conditionalFormatting>
  <conditionalFormatting sqref="J622:J623">
    <cfRule type="cellIs" dxfId="29707" priority="29545" stopIfTrue="1" operator="equal">
      <formula>"Pass"</formula>
    </cfRule>
    <cfRule type="cellIs" dxfId="29706" priority="29546" stopIfTrue="1" operator="equal">
      <formula>"Fail"</formula>
    </cfRule>
  </conditionalFormatting>
  <conditionalFormatting sqref="H622:H623 I623">
    <cfRule type="cellIs" dxfId="29705" priority="29543" stopIfTrue="1" operator="equal">
      <formula>"Pass"</formula>
    </cfRule>
    <cfRule type="cellIs" dxfId="29704" priority="29544" stopIfTrue="1" operator="equal">
      <formula>"Fail"</formula>
    </cfRule>
  </conditionalFormatting>
  <conditionalFormatting sqref="F624 F622:G622 K622:N623">
    <cfRule type="cellIs" dxfId="29703" priority="29541" stopIfTrue="1" operator="equal">
      <formula>"Pass"</formula>
    </cfRule>
    <cfRule type="cellIs" dxfId="29702" priority="29542" stopIfTrue="1" operator="equal">
      <formula>"Fail"</formula>
    </cfRule>
  </conditionalFormatting>
  <conditionalFormatting sqref="T622:T624 U623:V624">
    <cfRule type="cellIs" dxfId="29701" priority="29539" stopIfTrue="1" operator="equal">
      <formula>"Fail"</formula>
    </cfRule>
    <cfRule type="cellIs" dxfId="29700" priority="29540" stopIfTrue="1" operator="equal">
      <formula>"Pass"</formula>
    </cfRule>
  </conditionalFormatting>
  <conditionalFormatting sqref="U622:V622">
    <cfRule type="cellIs" dxfId="29699" priority="29537" stopIfTrue="1" operator="equal">
      <formula>"Fail"</formula>
    </cfRule>
    <cfRule type="cellIs" dxfId="29698" priority="29538" stopIfTrue="1" operator="equal">
      <formula>"Pass"</formula>
    </cfRule>
  </conditionalFormatting>
  <conditionalFormatting sqref="U622:V622">
    <cfRule type="cellIs" dxfId="29697" priority="29535" stopIfTrue="1" operator="equal">
      <formula>"Fail"</formula>
    </cfRule>
    <cfRule type="cellIs" dxfId="29696" priority="29536" stopIfTrue="1" operator="equal">
      <formula>"Pass"</formula>
    </cfRule>
  </conditionalFormatting>
  <conditionalFormatting sqref="H628:H629">
    <cfRule type="cellIs" dxfId="29695" priority="29533" stopIfTrue="1" operator="equal">
      <formula>"Pass"</formula>
    </cfRule>
    <cfRule type="cellIs" dxfId="29694" priority="29534" stopIfTrue="1" operator="equal">
      <formula>"Fail"</formula>
    </cfRule>
  </conditionalFormatting>
  <conditionalFormatting sqref="E628:F628 I628:M629 E630:F630 A628:A636">
    <cfRule type="cellIs" dxfId="29693" priority="29531" stopIfTrue="1" operator="equal">
      <formula>"Pass"</formula>
    </cfRule>
    <cfRule type="cellIs" dxfId="29692" priority="29532" stopIfTrue="1" operator="equal">
      <formula>"Fail"</formula>
    </cfRule>
  </conditionalFormatting>
  <conditionalFormatting sqref="T630 T628 R628:R630 S629:S630">
    <cfRule type="cellIs" dxfId="29691" priority="29529" stopIfTrue="1" operator="equal">
      <formula>"Fail"</formula>
    </cfRule>
    <cfRule type="cellIs" dxfId="29690" priority="29530" stopIfTrue="1" operator="equal">
      <formula>"Pass"</formula>
    </cfRule>
  </conditionalFormatting>
  <conditionalFormatting sqref="F628:G628 J628:N629 F630:G630 A628:B630 A631:A636">
    <cfRule type="cellIs" dxfId="29689" priority="29527" stopIfTrue="1" operator="equal">
      <formula>"Pass"</formula>
    </cfRule>
    <cfRule type="cellIs" dxfId="29688" priority="29528" stopIfTrue="1" operator="equal">
      <formula>"Fail"</formula>
    </cfRule>
  </conditionalFormatting>
  <conditionalFormatting sqref="U630:V630 T628:T630 S629:S630 V633 V636">
    <cfRule type="cellIs" dxfId="29687" priority="29525" stopIfTrue="1" operator="equal">
      <formula>"Fail"</formula>
    </cfRule>
    <cfRule type="cellIs" dxfId="29686" priority="29526" stopIfTrue="1" operator="equal">
      <formula>"Pass"</formula>
    </cfRule>
  </conditionalFormatting>
  <conditionalFormatting sqref="A628:A636">
    <cfRule type="cellIs" dxfId="29685" priority="29523" stopIfTrue="1" operator="equal">
      <formula>"Pass"</formula>
    </cfRule>
    <cfRule type="cellIs" dxfId="29684" priority="29524" stopIfTrue="1" operator="equal">
      <formula>"Fail"</formula>
    </cfRule>
  </conditionalFormatting>
  <conditionalFormatting sqref="A628:A636">
    <cfRule type="cellIs" dxfId="29683" priority="29521" stopIfTrue="1" operator="equal">
      <formula>"Pass"</formula>
    </cfRule>
    <cfRule type="cellIs" dxfId="29682" priority="29522" stopIfTrue="1" operator="equal">
      <formula>"Fail"</formula>
    </cfRule>
  </conditionalFormatting>
  <conditionalFormatting sqref="A628:A636">
    <cfRule type="cellIs" dxfId="29681" priority="29519" stopIfTrue="1" operator="equal">
      <formula>"Pass"</formula>
    </cfRule>
    <cfRule type="cellIs" dxfId="29680" priority="29520" stopIfTrue="1" operator="equal">
      <formula>"Fail"</formula>
    </cfRule>
  </conditionalFormatting>
  <conditionalFormatting sqref="A630 A633 A636">
    <cfRule type="cellIs" dxfId="29679" priority="29517" stopIfTrue="1" operator="equal">
      <formula>"Pass"</formula>
    </cfRule>
    <cfRule type="cellIs" dxfId="29678" priority="29518" stopIfTrue="1" operator="equal">
      <formula>"Fail"</formula>
    </cfRule>
  </conditionalFormatting>
  <conditionalFormatting sqref="A628:A636">
    <cfRule type="cellIs" dxfId="29677" priority="29515" stopIfTrue="1" operator="equal">
      <formula>"Pass"</formula>
    </cfRule>
    <cfRule type="cellIs" dxfId="29676" priority="29516" stopIfTrue="1" operator="equal">
      <formula>"Fail"</formula>
    </cfRule>
  </conditionalFormatting>
  <conditionalFormatting sqref="A628:A636">
    <cfRule type="cellIs" dxfId="29675" priority="29513" stopIfTrue="1" operator="equal">
      <formula>"Pass"</formula>
    </cfRule>
    <cfRule type="cellIs" dxfId="29674" priority="29514" stopIfTrue="1" operator="equal">
      <formula>"Fail"</formula>
    </cfRule>
  </conditionalFormatting>
  <conditionalFormatting sqref="A628:A636">
    <cfRule type="cellIs" dxfId="29673" priority="29511" stopIfTrue="1" operator="equal">
      <formula>"Pass"</formula>
    </cfRule>
    <cfRule type="cellIs" dxfId="29672" priority="29512" stopIfTrue="1" operator="equal">
      <formula>"Fail"</formula>
    </cfRule>
  </conditionalFormatting>
  <conditionalFormatting sqref="A628:A636">
    <cfRule type="cellIs" dxfId="29671" priority="29509" stopIfTrue="1" operator="equal">
      <formula>"Pass"</formula>
    </cfRule>
    <cfRule type="cellIs" dxfId="29670" priority="29510" stopIfTrue="1" operator="equal">
      <formula>"Fail"</formula>
    </cfRule>
  </conditionalFormatting>
  <conditionalFormatting sqref="A628:A636">
    <cfRule type="cellIs" dxfId="29669" priority="29507" stopIfTrue="1" operator="equal">
      <formula>"Pass"</formula>
    </cfRule>
    <cfRule type="cellIs" dxfId="29668" priority="29508" stopIfTrue="1" operator="equal">
      <formula>"Fail"</formula>
    </cfRule>
  </conditionalFormatting>
  <conditionalFormatting sqref="A628:A636">
    <cfRule type="cellIs" dxfId="29667" priority="29505" stopIfTrue="1" operator="equal">
      <formula>"Pass"</formula>
    </cfRule>
    <cfRule type="cellIs" dxfId="29666" priority="29506" stopIfTrue="1" operator="equal">
      <formula>"Fail"</formula>
    </cfRule>
  </conditionalFormatting>
  <conditionalFormatting sqref="A630 A633 A636">
    <cfRule type="cellIs" dxfId="29665" priority="29503" stopIfTrue="1" operator="equal">
      <formula>"Pass"</formula>
    </cfRule>
    <cfRule type="cellIs" dxfId="29664" priority="29504" stopIfTrue="1" operator="equal">
      <formula>"Fail"</formula>
    </cfRule>
  </conditionalFormatting>
  <conditionalFormatting sqref="A628:A636">
    <cfRule type="cellIs" dxfId="29663" priority="29501" stopIfTrue="1" operator="equal">
      <formula>"Pass"</formula>
    </cfRule>
    <cfRule type="cellIs" dxfId="29662" priority="29502" stopIfTrue="1" operator="equal">
      <formula>"Fail"</formula>
    </cfRule>
  </conditionalFormatting>
  <conditionalFormatting sqref="U628">
    <cfRule type="cellIs" dxfId="29661" priority="29499" stopIfTrue="1" operator="equal">
      <formula>"Fail"</formula>
    </cfRule>
    <cfRule type="cellIs" dxfId="29660" priority="29500" stopIfTrue="1" operator="equal">
      <formula>"Pass"</formula>
    </cfRule>
  </conditionalFormatting>
  <conditionalFormatting sqref="J631:J632">
    <cfRule type="cellIs" dxfId="29659" priority="29497" stopIfTrue="1" operator="equal">
      <formula>"Pass"</formula>
    </cfRule>
    <cfRule type="cellIs" dxfId="29658" priority="29498" stopIfTrue="1" operator="equal">
      <formula>"Fail"</formula>
    </cfRule>
  </conditionalFormatting>
  <conditionalFormatting sqref="H631:H632 I632">
    <cfRule type="cellIs" dxfId="29657" priority="29495" stopIfTrue="1" operator="equal">
      <formula>"Pass"</formula>
    </cfRule>
    <cfRule type="cellIs" dxfId="29656" priority="29496" stopIfTrue="1" operator="equal">
      <formula>"Fail"</formula>
    </cfRule>
  </conditionalFormatting>
  <conditionalFormatting sqref="A631 C631 F633 F631:G631 K631:N632 A633">
    <cfRule type="cellIs" dxfId="29655" priority="29493" stopIfTrue="1" operator="equal">
      <formula>"Pass"</formula>
    </cfRule>
    <cfRule type="cellIs" dxfId="29654" priority="29494" stopIfTrue="1" operator="equal">
      <formula>"Fail"</formula>
    </cfRule>
  </conditionalFormatting>
  <conditionalFormatting sqref="T631:T633 U632:U633">
    <cfRule type="cellIs" dxfId="29653" priority="29491" stopIfTrue="1" operator="equal">
      <formula>"Fail"</formula>
    </cfRule>
    <cfRule type="cellIs" dxfId="29652" priority="29492" stopIfTrue="1" operator="equal">
      <formula>"Pass"</formula>
    </cfRule>
  </conditionalFormatting>
  <conditionalFormatting sqref="A631:A633">
    <cfRule type="cellIs" dxfId="29651" priority="29489" stopIfTrue="1" operator="equal">
      <formula>"Pass"</formula>
    </cfRule>
    <cfRule type="cellIs" dxfId="29650" priority="29490" stopIfTrue="1" operator="equal">
      <formula>"Fail"</formula>
    </cfRule>
  </conditionalFormatting>
  <conditionalFormatting sqref="A631:A633">
    <cfRule type="cellIs" dxfId="29649" priority="29487" stopIfTrue="1" operator="equal">
      <formula>"Pass"</formula>
    </cfRule>
    <cfRule type="cellIs" dxfId="29648" priority="29488" stopIfTrue="1" operator="equal">
      <formula>"Fail"</formula>
    </cfRule>
  </conditionalFormatting>
  <conditionalFormatting sqref="A631:A633">
    <cfRule type="cellIs" dxfId="29647" priority="29485" stopIfTrue="1" operator="equal">
      <formula>"Pass"</formula>
    </cfRule>
    <cfRule type="cellIs" dxfId="29646" priority="29486" stopIfTrue="1" operator="equal">
      <formula>"Fail"</formula>
    </cfRule>
  </conditionalFormatting>
  <conditionalFormatting sqref="A633">
    <cfRule type="cellIs" dxfId="29645" priority="29483" stopIfTrue="1" operator="equal">
      <formula>"Pass"</formula>
    </cfRule>
    <cfRule type="cellIs" dxfId="29644" priority="29484" stopIfTrue="1" operator="equal">
      <formula>"Fail"</formula>
    </cfRule>
  </conditionalFormatting>
  <conditionalFormatting sqref="A631:A633">
    <cfRule type="cellIs" dxfId="29643" priority="29481" stopIfTrue="1" operator="equal">
      <formula>"Pass"</formula>
    </cfRule>
    <cfRule type="cellIs" dxfId="29642" priority="29482" stopIfTrue="1" operator="equal">
      <formula>"Fail"</formula>
    </cfRule>
  </conditionalFormatting>
  <conditionalFormatting sqref="A631:A633">
    <cfRule type="cellIs" dxfId="29641" priority="29479" stopIfTrue="1" operator="equal">
      <formula>"Pass"</formula>
    </cfRule>
    <cfRule type="cellIs" dxfId="29640" priority="29480" stopIfTrue="1" operator="equal">
      <formula>"Fail"</formula>
    </cfRule>
  </conditionalFormatting>
  <conditionalFormatting sqref="A631:A633">
    <cfRule type="cellIs" dxfId="29639" priority="29477" stopIfTrue="1" operator="equal">
      <formula>"Pass"</formula>
    </cfRule>
    <cfRule type="cellIs" dxfId="29638" priority="29478" stopIfTrue="1" operator="equal">
      <formula>"Fail"</formula>
    </cfRule>
  </conditionalFormatting>
  <conditionalFormatting sqref="A631:A633">
    <cfRule type="cellIs" dxfId="29637" priority="29475" stopIfTrue="1" operator="equal">
      <formula>"Pass"</formula>
    </cfRule>
    <cfRule type="cellIs" dxfId="29636" priority="29476" stopIfTrue="1" operator="equal">
      <formula>"Fail"</formula>
    </cfRule>
  </conditionalFormatting>
  <conditionalFormatting sqref="A631:A633">
    <cfRule type="cellIs" dxfId="29635" priority="29473" stopIfTrue="1" operator="equal">
      <formula>"Pass"</formula>
    </cfRule>
    <cfRule type="cellIs" dxfId="29634" priority="29474" stopIfTrue="1" operator="equal">
      <formula>"Fail"</formula>
    </cfRule>
  </conditionalFormatting>
  <conditionalFormatting sqref="A631:A633">
    <cfRule type="cellIs" dxfId="29633" priority="29471" stopIfTrue="1" operator="equal">
      <formula>"Pass"</formula>
    </cfRule>
    <cfRule type="cellIs" dxfId="29632" priority="29472" stopIfTrue="1" operator="equal">
      <formula>"Fail"</formula>
    </cfRule>
  </conditionalFormatting>
  <conditionalFormatting sqref="A633">
    <cfRule type="cellIs" dxfId="29631" priority="29469" stopIfTrue="1" operator="equal">
      <formula>"Pass"</formula>
    </cfRule>
    <cfRule type="cellIs" dxfId="29630" priority="29470" stopIfTrue="1" operator="equal">
      <formula>"Fail"</formula>
    </cfRule>
  </conditionalFormatting>
  <conditionalFormatting sqref="A631:A633">
    <cfRule type="cellIs" dxfId="29629" priority="29467" stopIfTrue="1" operator="equal">
      <formula>"Pass"</formula>
    </cfRule>
    <cfRule type="cellIs" dxfId="29628" priority="29468" stopIfTrue="1" operator="equal">
      <formula>"Fail"</formula>
    </cfRule>
  </conditionalFormatting>
  <conditionalFormatting sqref="A631:A633">
    <cfRule type="cellIs" dxfId="29627" priority="29465" stopIfTrue="1" operator="equal">
      <formula>"Pass"</formula>
    </cfRule>
    <cfRule type="cellIs" dxfId="29626" priority="29466" stopIfTrue="1" operator="equal">
      <formula>"Fail"</formula>
    </cfRule>
  </conditionalFormatting>
  <conditionalFormatting sqref="A631:A633">
    <cfRule type="cellIs" dxfId="29625" priority="29463" stopIfTrue="1" operator="equal">
      <formula>"Pass"</formula>
    </cfRule>
    <cfRule type="cellIs" dxfId="29624" priority="29464" stopIfTrue="1" operator="equal">
      <formula>"Fail"</formula>
    </cfRule>
  </conditionalFormatting>
  <conditionalFormatting sqref="A631:A633">
    <cfRule type="cellIs" dxfId="29623" priority="29461" stopIfTrue="1" operator="equal">
      <formula>"Pass"</formula>
    </cfRule>
    <cfRule type="cellIs" dxfId="29622" priority="29462" stopIfTrue="1" operator="equal">
      <formula>"Fail"</formula>
    </cfRule>
  </conditionalFormatting>
  <conditionalFormatting sqref="A631:A633">
    <cfRule type="cellIs" dxfId="29621" priority="29459" stopIfTrue="1" operator="equal">
      <formula>"Pass"</formula>
    </cfRule>
    <cfRule type="cellIs" dxfId="29620" priority="29460" stopIfTrue="1" operator="equal">
      <formula>"Fail"</formula>
    </cfRule>
  </conditionalFormatting>
  <conditionalFormatting sqref="A631:A633">
    <cfRule type="cellIs" dxfId="29619" priority="29457" stopIfTrue="1" operator="equal">
      <formula>"Pass"</formula>
    </cfRule>
    <cfRule type="cellIs" dxfId="29618" priority="29458" stopIfTrue="1" operator="equal">
      <formula>"Fail"</formula>
    </cfRule>
  </conditionalFormatting>
  <conditionalFormatting sqref="A633">
    <cfRule type="cellIs" dxfId="29617" priority="29455" stopIfTrue="1" operator="equal">
      <formula>"Pass"</formula>
    </cfRule>
    <cfRule type="cellIs" dxfId="29616" priority="29456" stopIfTrue="1" operator="equal">
      <formula>"Fail"</formula>
    </cfRule>
  </conditionalFormatting>
  <conditionalFormatting sqref="A631:A633">
    <cfRule type="cellIs" dxfId="29615" priority="29453" stopIfTrue="1" operator="equal">
      <formula>"Pass"</formula>
    </cfRule>
    <cfRule type="cellIs" dxfId="29614" priority="29454" stopIfTrue="1" operator="equal">
      <formula>"Fail"</formula>
    </cfRule>
  </conditionalFormatting>
  <conditionalFormatting sqref="U631">
    <cfRule type="cellIs" dxfId="29613" priority="29451" stopIfTrue="1" operator="equal">
      <formula>"Fail"</formula>
    </cfRule>
    <cfRule type="cellIs" dxfId="29612" priority="29452" stopIfTrue="1" operator="equal">
      <formula>"Pass"</formula>
    </cfRule>
  </conditionalFormatting>
  <conditionalFormatting sqref="U631">
    <cfRule type="cellIs" dxfId="29611" priority="29449" stopIfTrue="1" operator="equal">
      <formula>"Fail"</formula>
    </cfRule>
    <cfRule type="cellIs" dxfId="29610" priority="29450" stopIfTrue="1" operator="equal">
      <formula>"Pass"</formula>
    </cfRule>
  </conditionalFormatting>
  <conditionalFormatting sqref="H634:H635">
    <cfRule type="cellIs" dxfId="29609" priority="29447" stopIfTrue="1" operator="equal">
      <formula>"Pass"</formula>
    </cfRule>
    <cfRule type="cellIs" dxfId="29608" priority="29448" stopIfTrue="1" operator="equal">
      <formula>"Fail"</formula>
    </cfRule>
  </conditionalFormatting>
  <conditionalFormatting sqref="E634:F634 E636:F636 I634:M635">
    <cfRule type="cellIs" dxfId="29607" priority="29445" stopIfTrue="1" operator="equal">
      <formula>"Pass"</formula>
    </cfRule>
    <cfRule type="cellIs" dxfId="29606" priority="29446" stopIfTrue="1" operator="equal">
      <formula>"Fail"</formula>
    </cfRule>
  </conditionalFormatting>
  <conditionalFormatting sqref="T636 T634 R634:R636 S635:S636">
    <cfRule type="cellIs" dxfId="29605" priority="29443" stopIfTrue="1" operator="equal">
      <formula>"Fail"</formula>
    </cfRule>
    <cfRule type="cellIs" dxfId="29604" priority="29444" stopIfTrue="1" operator="equal">
      <formula>"Pass"</formula>
    </cfRule>
  </conditionalFormatting>
  <conditionalFormatting sqref="F634:G634 F636:G636 B634:B636 J634:N635">
    <cfRule type="cellIs" dxfId="29603" priority="29441" stopIfTrue="1" operator="equal">
      <formula>"Pass"</formula>
    </cfRule>
    <cfRule type="cellIs" dxfId="29602" priority="29442" stopIfTrue="1" operator="equal">
      <formula>"Fail"</formula>
    </cfRule>
  </conditionalFormatting>
  <conditionalFormatting sqref="U636 U634 T634:T636 S635:S636">
    <cfRule type="cellIs" dxfId="29601" priority="29439" stopIfTrue="1" operator="equal">
      <formula>"Fail"</formula>
    </cfRule>
    <cfRule type="cellIs" dxfId="29600" priority="29440" stopIfTrue="1" operator="equal">
      <formula>"Pass"</formula>
    </cfRule>
  </conditionalFormatting>
  <conditionalFormatting sqref="J634:N635 E634:G636">
    <cfRule type="cellIs" dxfId="29599" priority="29437" stopIfTrue="1" operator="equal">
      <formula>"Pass"</formula>
    </cfRule>
    <cfRule type="cellIs" dxfId="29598" priority="29438" stopIfTrue="1" operator="equal">
      <formula>"Fail"</formula>
    </cfRule>
  </conditionalFormatting>
  <conditionalFormatting sqref="C636 K634:O635 F634:H636">
    <cfRule type="cellIs" dxfId="29597" priority="29435" stopIfTrue="1" operator="equal">
      <formula>"Pass"</formula>
    </cfRule>
    <cfRule type="cellIs" dxfId="29596" priority="29436" stopIfTrue="1" operator="equal">
      <formula>"Fail"</formula>
    </cfRule>
  </conditionalFormatting>
  <conditionalFormatting sqref="T634">
    <cfRule type="cellIs" dxfId="29595" priority="29433" stopIfTrue="1" operator="equal">
      <formula>"Fail"</formula>
    </cfRule>
    <cfRule type="cellIs" dxfId="29594" priority="29434" stopIfTrue="1" operator="equal">
      <formula>"Pass"</formula>
    </cfRule>
  </conditionalFormatting>
  <conditionalFormatting sqref="J631:J632">
    <cfRule type="cellIs" dxfId="29593" priority="29431" stopIfTrue="1" operator="equal">
      <formula>"Pass"</formula>
    </cfRule>
    <cfRule type="cellIs" dxfId="29592" priority="29432" stopIfTrue="1" operator="equal">
      <formula>"Fail"</formula>
    </cfRule>
  </conditionalFormatting>
  <conditionalFormatting sqref="H631:H632 I632">
    <cfRule type="cellIs" dxfId="29591" priority="29429" stopIfTrue="1" operator="equal">
      <formula>"Pass"</formula>
    </cfRule>
    <cfRule type="cellIs" dxfId="29590" priority="29430" stopIfTrue="1" operator="equal">
      <formula>"Fail"</formula>
    </cfRule>
  </conditionalFormatting>
  <conditionalFormatting sqref="F633 F631:G631 K631:N632">
    <cfRule type="cellIs" dxfId="29589" priority="29427" stopIfTrue="1" operator="equal">
      <formula>"Pass"</formula>
    </cfRule>
    <cfRule type="cellIs" dxfId="29588" priority="29428" stopIfTrue="1" operator="equal">
      <formula>"Fail"</formula>
    </cfRule>
  </conditionalFormatting>
  <conditionalFormatting sqref="T631:T633 U632:U633">
    <cfRule type="cellIs" dxfId="29587" priority="29425" stopIfTrue="1" operator="equal">
      <formula>"Fail"</formula>
    </cfRule>
    <cfRule type="cellIs" dxfId="29586" priority="29426" stopIfTrue="1" operator="equal">
      <formula>"Pass"</formula>
    </cfRule>
  </conditionalFormatting>
  <conditionalFormatting sqref="U631">
    <cfRule type="cellIs" dxfId="29585" priority="29423" stopIfTrue="1" operator="equal">
      <formula>"Fail"</formula>
    </cfRule>
    <cfRule type="cellIs" dxfId="29584" priority="29424" stopIfTrue="1" operator="equal">
      <formula>"Pass"</formula>
    </cfRule>
  </conditionalFormatting>
  <conditionalFormatting sqref="U631">
    <cfRule type="cellIs" dxfId="29583" priority="29421" stopIfTrue="1" operator="equal">
      <formula>"Fail"</formula>
    </cfRule>
    <cfRule type="cellIs" dxfId="29582" priority="29422" stopIfTrue="1" operator="equal">
      <formula>"Pass"</formula>
    </cfRule>
  </conditionalFormatting>
  <conditionalFormatting sqref="A634 A636">
    <cfRule type="cellIs" dxfId="29581" priority="29419" stopIfTrue="1" operator="equal">
      <formula>"Pass"</formula>
    </cfRule>
    <cfRule type="cellIs" dxfId="29580" priority="29420" stopIfTrue="1" operator="equal">
      <formula>"Fail"</formula>
    </cfRule>
  </conditionalFormatting>
  <conditionalFormatting sqref="A634:A636">
    <cfRule type="cellIs" dxfId="29579" priority="29417" stopIfTrue="1" operator="equal">
      <formula>"Pass"</formula>
    </cfRule>
    <cfRule type="cellIs" dxfId="29578" priority="29418" stopIfTrue="1" operator="equal">
      <formula>"Fail"</formula>
    </cfRule>
  </conditionalFormatting>
  <conditionalFormatting sqref="A634:A636">
    <cfRule type="cellIs" dxfId="29577" priority="29415" stopIfTrue="1" operator="equal">
      <formula>"Pass"</formula>
    </cfRule>
    <cfRule type="cellIs" dxfId="29576" priority="29416" stopIfTrue="1" operator="equal">
      <formula>"Fail"</formula>
    </cfRule>
  </conditionalFormatting>
  <conditionalFormatting sqref="A634:A636">
    <cfRule type="cellIs" dxfId="29575" priority="29413" stopIfTrue="1" operator="equal">
      <formula>"Pass"</formula>
    </cfRule>
    <cfRule type="cellIs" dxfId="29574" priority="29414" stopIfTrue="1" operator="equal">
      <formula>"Fail"</formula>
    </cfRule>
  </conditionalFormatting>
  <conditionalFormatting sqref="A636">
    <cfRule type="cellIs" dxfId="29573" priority="29411" stopIfTrue="1" operator="equal">
      <formula>"Pass"</formula>
    </cfRule>
    <cfRule type="cellIs" dxfId="29572" priority="29412" stopIfTrue="1" operator="equal">
      <formula>"Fail"</formula>
    </cfRule>
  </conditionalFormatting>
  <conditionalFormatting sqref="A634:A636">
    <cfRule type="cellIs" dxfId="29571" priority="29409" stopIfTrue="1" operator="equal">
      <formula>"Pass"</formula>
    </cfRule>
    <cfRule type="cellIs" dxfId="29570" priority="29410" stopIfTrue="1" operator="equal">
      <formula>"Fail"</formula>
    </cfRule>
  </conditionalFormatting>
  <conditionalFormatting sqref="A634:A636">
    <cfRule type="cellIs" dxfId="29569" priority="29407" stopIfTrue="1" operator="equal">
      <formula>"Pass"</formula>
    </cfRule>
    <cfRule type="cellIs" dxfId="29568" priority="29408" stopIfTrue="1" operator="equal">
      <formula>"Fail"</formula>
    </cfRule>
  </conditionalFormatting>
  <conditionalFormatting sqref="A634:A636">
    <cfRule type="cellIs" dxfId="29567" priority="29405" stopIfTrue="1" operator="equal">
      <formula>"Pass"</formula>
    </cfRule>
    <cfRule type="cellIs" dxfId="29566" priority="29406" stopIfTrue="1" operator="equal">
      <formula>"Fail"</formula>
    </cfRule>
  </conditionalFormatting>
  <conditionalFormatting sqref="A634:A636">
    <cfRule type="cellIs" dxfId="29565" priority="29403" stopIfTrue="1" operator="equal">
      <formula>"Pass"</formula>
    </cfRule>
    <cfRule type="cellIs" dxfId="29564" priority="29404" stopIfTrue="1" operator="equal">
      <formula>"Fail"</formula>
    </cfRule>
  </conditionalFormatting>
  <conditionalFormatting sqref="A634:A636">
    <cfRule type="cellIs" dxfId="29563" priority="29401" stopIfTrue="1" operator="equal">
      <formula>"Pass"</formula>
    </cfRule>
    <cfRule type="cellIs" dxfId="29562" priority="29402" stopIfTrue="1" operator="equal">
      <formula>"Fail"</formula>
    </cfRule>
  </conditionalFormatting>
  <conditionalFormatting sqref="A634:A636">
    <cfRule type="cellIs" dxfId="29561" priority="29399" stopIfTrue="1" operator="equal">
      <formula>"Pass"</formula>
    </cfRule>
    <cfRule type="cellIs" dxfId="29560" priority="29400" stopIfTrue="1" operator="equal">
      <formula>"Fail"</formula>
    </cfRule>
  </conditionalFormatting>
  <conditionalFormatting sqref="A636">
    <cfRule type="cellIs" dxfId="29559" priority="29397" stopIfTrue="1" operator="equal">
      <formula>"Pass"</formula>
    </cfRule>
    <cfRule type="cellIs" dxfId="29558" priority="29398" stopIfTrue="1" operator="equal">
      <formula>"Fail"</formula>
    </cfRule>
  </conditionalFormatting>
  <conditionalFormatting sqref="A634:A636">
    <cfRule type="cellIs" dxfId="29557" priority="29395" stopIfTrue="1" operator="equal">
      <formula>"Pass"</formula>
    </cfRule>
    <cfRule type="cellIs" dxfId="29556" priority="29396" stopIfTrue="1" operator="equal">
      <formula>"Fail"</formula>
    </cfRule>
  </conditionalFormatting>
  <conditionalFormatting sqref="A634:A636">
    <cfRule type="cellIs" dxfId="29555" priority="29393" stopIfTrue="1" operator="equal">
      <formula>"Pass"</formula>
    </cfRule>
    <cfRule type="cellIs" dxfId="29554" priority="29394" stopIfTrue="1" operator="equal">
      <formula>"Fail"</formula>
    </cfRule>
  </conditionalFormatting>
  <conditionalFormatting sqref="A634:A636">
    <cfRule type="cellIs" dxfId="29553" priority="29391" stopIfTrue="1" operator="equal">
      <formula>"Pass"</formula>
    </cfRule>
    <cfRule type="cellIs" dxfId="29552" priority="29392" stopIfTrue="1" operator="equal">
      <formula>"Fail"</formula>
    </cfRule>
  </conditionalFormatting>
  <conditionalFormatting sqref="A634:A636">
    <cfRule type="cellIs" dxfId="29551" priority="29389" stopIfTrue="1" operator="equal">
      <formula>"Pass"</formula>
    </cfRule>
    <cfRule type="cellIs" dxfId="29550" priority="29390" stopIfTrue="1" operator="equal">
      <formula>"Fail"</formula>
    </cfRule>
  </conditionalFormatting>
  <conditionalFormatting sqref="A634:A636">
    <cfRule type="cellIs" dxfId="29549" priority="29387" stopIfTrue="1" operator="equal">
      <formula>"Pass"</formula>
    </cfRule>
    <cfRule type="cellIs" dxfId="29548" priority="29388" stopIfTrue="1" operator="equal">
      <formula>"Fail"</formula>
    </cfRule>
  </conditionalFormatting>
  <conditionalFormatting sqref="A634:A636">
    <cfRule type="cellIs" dxfId="29547" priority="29385" stopIfTrue="1" operator="equal">
      <formula>"Pass"</formula>
    </cfRule>
    <cfRule type="cellIs" dxfId="29546" priority="29386" stopIfTrue="1" operator="equal">
      <formula>"Fail"</formula>
    </cfRule>
  </conditionalFormatting>
  <conditionalFormatting sqref="A636">
    <cfRule type="cellIs" dxfId="29545" priority="29383" stopIfTrue="1" operator="equal">
      <formula>"Pass"</formula>
    </cfRule>
    <cfRule type="cellIs" dxfId="29544" priority="29384" stopIfTrue="1" operator="equal">
      <formula>"Fail"</formula>
    </cfRule>
  </conditionalFormatting>
  <conditionalFormatting sqref="A634:A636">
    <cfRule type="cellIs" dxfId="29543" priority="29381" stopIfTrue="1" operator="equal">
      <formula>"Pass"</formula>
    </cfRule>
    <cfRule type="cellIs" dxfId="29542" priority="29382" stopIfTrue="1" operator="equal">
      <formula>"Fail"</formula>
    </cfRule>
  </conditionalFormatting>
  <conditionalFormatting sqref="K634:N634 F634:H634">
    <cfRule type="cellIs" dxfId="29541" priority="29379" stopIfTrue="1" operator="equal">
      <formula>"Pass"</formula>
    </cfRule>
    <cfRule type="cellIs" dxfId="29540" priority="29380" stopIfTrue="1" operator="equal">
      <formula>"Fail"</formula>
    </cfRule>
  </conditionalFormatting>
  <conditionalFormatting sqref="K635:N635 F635:H635">
    <cfRule type="cellIs" dxfId="29539" priority="29377" stopIfTrue="1" operator="equal">
      <formula>"Pass"</formula>
    </cfRule>
    <cfRule type="cellIs" dxfId="29538" priority="29378" stopIfTrue="1" operator="equal">
      <formula>"Fail"</formula>
    </cfRule>
  </conditionalFormatting>
  <conditionalFormatting sqref="F631:G631 K631:N631">
    <cfRule type="cellIs" dxfId="29537" priority="29375" stopIfTrue="1" operator="equal">
      <formula>"Pass"</formula>
    </cfRule>
    <cfRule type="cellIs" dxfId="29536" priority="29376" stopIfTrue="1" operator="equal">
      <formula>"Fail"</formula>
    </cfRule>
  </conditionalFormatting>
  <conditionalFormatting sqref="K632:N632">
    <cfRule type="cellIs" dxfId="29535" priority="29373" stopIfTrue="1" operator="equal">
      <formula>"Pass"</formula>
    </cfRule>
    <cfRule type="cellIs" dxfId="29534" priority="29374" stopIfTrue="1" operator="equal">
      <formula>"Fail"</formula>
    </cfRule>
  </conditionalFormatting>
  <conditionalFormatting sqref="F628:G628 J628:N628">
    <cfRule type="cellIs" dxfId="29533" priority="29371" stopIfTrue="1" operator="equal">
      <formula>"Pass"</formula>
    </cfRule>
    <cfRule type="cellIs" dxfId="29532" priority="29372" stopIfTrue="1" operator="equal">
      <formula>"Fail"</formula>
    </cfRule>
  </conditionalFormatting>
  <conditionalFormatting sqref="J629:N629">
    <cfRule type="cellIs" dxfId="29531" priority="29369" stopIfTrue="1" operator="equal">
      <formula>"Pass"</formula>
    </cfRule>
    <cfRule type="cellIs" dxfId="29530" priority="29370" stopIfTrue="1" operator="equal">
      <formula>"Fail"</formula>
    </cfRule>
  </conditionalFormatting>
  <conditionalFormatting sqref="H637:H638">
    <cfRule type="cellIs" dxfId="29529" priority="29367" stopIfTrue="1" operator="equal">
      <formula>"Pass"</formula>
    </cfRule>
    <cfRule type="cellIs" dxfId="29528" priority="29368" stopIfTrue="1" operator="equal">
      <formula>"Fail"</formula>
    </cfRule>
  </conditionalFormatting>
  <conditionalFormatting sqref="E637:F637 I637:M638 E639:F639 A637:A645">
    <cfRule type="cellIs" dxfId="29527" priority="29365" stopIfTrue="1" operator="equal">
      <formula>"Pass"</formula>
    </cfRule>
    <cfRule type="cellIs" dxfId="29526" priority="29366" stopIfTrue="1" operator="equal">
      <formula>"Fail"</formula>
    </cfRule>
  </conditionalFormatting>
  <conditionalFormatting sqref="T639 T637 R637:R639 S638:S639">
    <cfRule type="cellIs" dxfId="29525" priority="29363" stopIfTrue="1" operator="equal">
      <formula>"Fail"</formula>
    </cfRule>
    <cfRule type="cellIs" dxfId="29524" priority="29364" stopIfTrue="1" operator="equal">
      <formula>"Pass"</formula>
    </cfRule>
  </conditionalFormatting>
  <conditionalFormatting sqref="F637:G637 J637:N638 F639:G639 A637:B639 A640:A645">
    <cfRule type="cellIs" dxfId="29523" priority="29361" stopIfTrue="1" operator="equal">
      <formula>"Pass"</formula>
    </cfRule>
    <cfRule type="cellIs" dxfId="29522" priority="29362" stopIfTrue="1" operator="equal">
      <formula>"Fail"</formula>
    </cfRule>
  </conditionalFormatting>
  <conditionalFormatting sqref="U639 T637:T639 S638:S639">
    <cfRule type="cellIs" dxfId="29521" priority="29359" stopIfTrue="1" operator="equal">
      <formula>"Fail"</formula>
    </cfRule>
    <cfRule type="cellIs" dxfId="29520" priority="29360" stopIfTrue="1" operator="equal">
      <formula>"Pass"</formula>
    </cfRule>
  </conditionalFormatting>
  <conditionalFormatting sqref="A637:A645">
    <cfRule type="cellIs" dxfId="29519" priority="29357" stopIfTrue="1" operator="equal">
      <formula>"Pass"</formula>
    </cfRule>
    <cfRule type="cellIs" dxfId="29518" priority="29358" stopIfTrue="1" operator="equal">
      <formula>"Fail"</formula>
    </cfRule>
  </conditionalFormatting>
  <conditionalFormatting sqref="A637:A645">
    <cfRule type="cellIs" dxfId="29517" priority="29355" stopIfTrue="1" operator="equal">
      <formula>"Pass"</formula>
    </cfRule>
    <cfRule type="cellIs" dxfId="29516" priority="29356" stopIfTrue="1" operator="equal">
      <formula>"Fail"</formula>
    </cfRule>
  </conditionalFormatting>
  <conditionalFormatting sqref="A637:A645">
    <cfRule type="cellIs" dxfId="29515" priority="29353" stopIfTrue="1" operator="equal">
      <formula>"Pass"</formula>
    </cfRule>
    <cfRule type="cellIs" dxfId="29514" priority="29354" stopIfTrue="1" operator="equal">
      <formula>"Fail"</formula>
    </cfRule>
  </conditionalFormatting>
  <conditionalFormatting sqref="A639 A642 A645">
    <cfRule type="cellIs" dxfId="29513" priority="29351" stopIfTrue="1" operator="equal">
      <formula>"Pass"</formula>
    </cfRule>
    <cfRule type="cellIs" dxfId="29512" priority="29352" stopIfTrue="1" operator="equal">
      <formula>"Fail"</formula>
    </cfRule>
  </conditionalFormatting>
  <conditionalFormatting sqref="A637:A645">
    <cfRule type="cellIs" dxfId="29511" priority="29349" stopIfTrue="1" operator="equal">
      <formula>"Pass"</formula>
    </cfRule>
    <cfRule type="cellIs" dxfId="29510" priority="29350" stopIfTrue="1" operator="equal">
      <formula>"Fail"</formula>
    </cfRule>
  </conditionalFormatting>
  <conditionalFormatting sqref="A637:A645">
    <cfRule type="cellIs" dxfId="29509" priority="29347" stopIfTrue="1" operator="equal">
      <formula>"Pass"</formula>
    </cfRule>
    <cfRule type="cellIs" dxfId="29508" priority="29348" stopIfTrue="1" operator="equal">
      <formula>"Fail"</formula>
    </cfRule>
  </conditionalFormatting>
  <conditionalFormatting sqref="A637:A645">
    <cfRule type="cellIs" dxfId="29507" priority="29345" stopIfTrue="1" operator="equal">
      <formula>"Pass"</formula>
    </cfRule>
    <cfRule type="cellIs" dxfId="29506" priority="29346" stopIfTrue="1" operator="equal">
      <formula>"Fail"</formula>
    </cfRule>
  </conditionalFormatting>
  <conditionalFormatting sqref="A637:A645">
    <cfRule type="cellIs" dxfId="29505" priority="29343" stopIfTrue="1" operator="equal">
      <formula>"Pass"</formula>
    </cfRule>
    <cfRule type="cellIs" dxfId="29504" priority="29344" stopIfTrue="1" operator="equal">
      <formula>"Fail"</formula>
    </cfRule>
  </conditionalFormatting>
  <conditionalFormatting sqref="A637:A645">
    <cfRule type="cellIs" dxfId="29503" priority="29341" stopIfTrue="1" operator="equal">
      <formula>"Pass"</formula>
    </cfRule>
    <cfRule type="cellIs" dxfId="29502" priority="29342" stopIfTrue="1" operator="equal">
      <formula>"Fail"</formula>
    </cfRule>
  </conditionalFormatting>
  <conditionalFormatting sqref="A637:A645">
    <cfRule type="cellIs" dxfId="29501" priority="29339" stopIfTrue="1" operator="equal">
      <formula>"Pass"</formula>
    </cfRule>
    <cfRule type="cellIs" dxfId="29500" priority="29340" stopIfTrue="1" operator="equal">
      <formula>"Fail"</formula>
    </cfRule>
  </conditionalFormatting>
  <conditionalFormatting sqref="A639 A642 A645">
    <cfRule type="cellIs" dxfId="29499" priority="29337" stopIfTrue="1" operator="equal">
      <formula>"Pass"</formula>
    </cfRule>
    <cfRule type="cellIs" dxfId="29498" priority="29338" stopIfTrue="1" operator="equal">
      <formula>"Fail"</formula>
    </cfRule>
  </conditionalFormatting>
  <conditionalFormatting sqref="A637:A645">
    <cfRule type="cellIs" dxfId="29497" priority="29335" stopIfTrue="1" operator="equal">
      <formula>"Pass"</formula>
    </cfRule>
    <cfRule type="cellIs" dxfId="29496" priority="29336" stopIfTrue="1" operator="equal">
      <formula>"Fail"</formula>
    </cfRule>
  </conditionalFormatting>
  <conditionalFormatting sqref="U637">
    <cfRule type="cellIs" dxfId="29495" priority="29333" stopIfTrue="1" operator="equal">
      <formula>"Fail"</formula>
    </cfRule>
    <cfRule type="cellIs" dxfId="29494" priority="29334" stopIfTrue="1" operator="equal">
      <formula>"Pass"</formula>
    </cfRule>
  </conditionalFormatting>
  <conditionalFormatting sqref="J640:J641">
    <cfRule type="cellIs" dxfId="29493" priority="29331" stopIfTrue="1" operator="equal">
      <formula>"Pass"</formula>
    </cfRule>
    <cfRule type="cellIs" dxfId="29492" priority="29332" stopIfTrue="1" operator="equal">
      <formula>"Fail"</formula>
    </cfRule>
  </conditionalFormatting>
  <conditionalFormatting sqref="H640:H641 I641">
    <cfRule type="cellIs" dxfId="29491" priority="29329" stopIfTrue="1" operator="equal">
      <formula>"Pass"</formula>
    </cfRule>
    <cfRule type="cellIs" dxfId="29490" priority="29330" stopIfTrue="1" operator="equal">
      <formula>"Fail"</formula>
    </cfRule>
  </conditionalFormatting>
  <conditionalFormatting sqref="A640 C640 F642 F640:G640 K640:N641 A642">
    <cfRule type="cellIs" dxfId="29489" priority="29327" stopIfTrue="1" operator="equal">
      <formula>"Pass"</formula>
    </cfRule>
    <cfRule type="cellIs" dxfId="29488" priority="29328" stopIfTrue="1" operator="equal">
      <formula>"Fail"</formula>
    </cfRule>
  </conditionalFormatting>
  <conditionalFormatting sqref="T640:T642 U641:U642">
    <cfRule type="cellIs" dxfId="29487" priority="29325" stopIfTrue="1" operator="equal">
      <formula>"Fail"</formula>
    </cfRule>
    <cfRule type="cellIs" dxfId="29486" priority="29326" stopIfTrue="1" operator="equal">
      <formula>"Pass"</formula>
    </cfRule>
  </conditionalFormatting>
  <conditionalFormatting sqref="A640:A642">
    <cfRule type="cellIs" dxfId="29485" priority="29323" stopIfTrue="1" operator="equal">
      <formula>"Pass"</formula>
    </cfRule>
    <cfRule type="cellIs" dxfId="29484" priority="29324" stopIfTrue="1" operator="equal">
      <formula>"Fail"</formula>
    </cfRule>
  </conditionalFormatting>
  <conditionalFormatting sqref="A640:A642">
    <cfRule type="cellIs" dxfId="29483" priority="29321" stopIfTrue="1" operator="equal">
      <formula>"Pass"</formula>
    </cfRule>
    <cfRule type="cellIs" dxfId="29482" priority="29322" stopIfTrue="1" operator="equal">
      <formula>"Fail"</formula>
    </cfRule>
  </conditionalFormatting>
  <conditionalFormatting sqref="A640:A642">
    <cfRule type="cellIs" dxfId="29481" priority="29319" stopIfTrue="1" operator="equal">
      <formula>"Pass"</formula>
    </cfRule>
    <cfRule type="cellIs" dxfId="29480" priority="29320" stopIfTrue="1" operator="equal">
      <formula>"Fail"</formula>
    </cfRule>
  </conditionalFormatting>
  <conditionalFormatting sqref="A642">
    <cfRule type="cellIs" dxfId="29479" priority="29317" stopIfTrue="1" operator="equal">
      <formula>"Pass"</formula>
    </cfRule>
    <cfRule type="cellIs" dxfId="29478" priority="29318" stopIfTrue="1" operator="equal">
      <formula>"Fail"</formula>
    </cfRule>
  </conditionalFormatting>
  <conditionalFormatting sqref="A640:A642">
    <cfRule type="cellIs" dxfId="29477" priority="29315" stopIfTrue="1" operator="equal">
      <formula>"Pass"</formula>
    </cfRule>
    <cfRule type="cellIs" dxfId="29476" priority="29316" stopIfTrue="1" operator="equal">
      <formula>"Fail"</formula>
    </cfRule>
  </conditionalFormatting>
  <conditionalFormatting sqref="A640:A642">
    <cfRule type="cellIs" dxfId="29475" priority="29313" stopIfTrue="1" operator="equal">
      <formula>"Pass"</formula>
    </cfRule>
    <cfRule type="cellIs" dxfId="29474" priority="29314" stopIfTrue="1" operator="equal">
      <formula>"Fail"</formula>
    </cfRule>
  </conditionalFormatting>
  <conditionalFormatting sqref="A640:A642">
    <cfRule type="cellIs" dxfId="29473" priority="29311" stopIfTrue="1" operator="equal">
      <formula>"Pass"</formula>
    </cfRule>
    <cfRule type="cellIs" dxfId="29472" priority="29312" stopIfTrue="1" operator="equal">
      <formula>"Fail"</formula>
    </cfRule>
  </conditionalFormatting>
  <conditionalFormatting sqref="A640:A642">
    <cfRule type="cellIs" dxfId="29471" priority="29309" stopIfTrue="1" operator="equal">
      <formula>"Pass"</formula>
    </cfRule>
    <cfRule type="cellIs" dxfId="29470" priority="29310" stopIfTrue="1" operator="equal">
      <formula>"Fail"</formula>
    </cfRule>
  </conditionalFormatting>
  <conditionalFormatting sqref="A640:A642">
    <cfRule type="cellIs" dxfId="29469" priority="29307" stopIfTrue="1" operator="equal">
      <formula>"Pass"</formula>
    </cfRule>
    <cfRule type="cellIs" dxfId="29468" priority="29308" stopIfTrue="1" operator="equal">
      <formula>"Fail"</formula>
    </cfRule>
  </conditionalFormatting>
  <conditionalFormatting sqref="A640:A642">
    <cfRule type="cellIs" dxfId="29467" priority="29305" stopIfTrue="1" operator="equal">
      <formula>"Pass"</formula>
    </cfRule>
    <cfRule type="cellIs" dxfId="29466" priority="29306" stopIfTrue="1" operator="equal">
      <formula>"Fail"</formula>
    </cfRule>
  </conditionalFormatting>
  <conditionalFormatting sqref="A642">
    <cfRule type="cellIs" dxfId="29465" priority="29303" stopIfTrue="1" operator="equal">
      <formula>"Pass"</formula>
    </cfRule>
    <cfRule type="cellIs" dxfId="29464" priority="29304" stopIfTrue="1" operator="equal">
      <formula>"Fail"</formula>
    </cfRule>
  </conditionalFormatting>
  <conditionalFormatting sqref="A640:A642">
    <cfRule type="cellIs" dxfId="29463" priority="29301" stopIfTrue="1" operator="equal">
      <formula>"Pass"</formula>
    </cfRule>
    <cfRule type="cellIs" dxfId="29462" priority="29302" stopIfTrue="1" operator="equal">
      <formula>"Fail"</formula>
    </cfRule>
  </conditionalFormatting>
  <conditionalFormatting sqref="A640:A642">
    <cfRule type="cellIs" dxfId="29461" priority="29299" stopIfTrue="1" operator="equal">
      <formula>"Pass"</formula>
    </cfRule>
    <cfRule type="cellIs" dxfId="29460" priority="29300" stopIfTrue="1" operator="equal">
      <formula>"Fail"</formula>
    </cfRule>
  </conditionalFormatting>
  <conditionalFormatting sqref="A640:A642">
    <cfRule type="cellIs" dxfId="29459" priority="29297" stopIfTrue="1" operator="equal">
      <formula>"Pass"</formula>
    </cfRule>
    <cfRule type="cellIs" dxfId="29458" priority="29298" stopIfTrue="1" operator="equal">
      <formula>"Fail"</formula>
    </cfRule>
  </conditionalFormatting>
  <conditionalFormatting sqref="A640:A642">
    <cfRule type="cellIs" dxfId="29457" priority="29295" stopIfTrue="1" operator="equal">
      <formula>"Pass"</formula>
    </cfRule>
    <cfRule type="cellIs" dxfId="29456" priority="29296" stopIfTrue="1" operator="equal">
      <formula>"Fail"</formula>
    </cfRule>
  </conditionalFormatting>
  <conditionalFormatting sqref="A640:A642">
    <cfRule type="cellIs" dxfId="29455" priority="29293" stopIfTrue="1" operator="equal">
      <formula>"Pass"</formula>
    </cfRule>
    <cfRule type="cellIs" dxfId="29454" priority="29294" stopIfTrue="1" operator="equal">
      <formula>"Fail"</formula>
    </cfRule>
  </conditionalFormatting>
  <conditionalFormatting sqref="A640:A642">
    <cfRule type="cellIs" dxfId="29453" priority="29291" stopIfTrue="1" operator="equal">
      <formula>"Pass"</formula>
    </cfRule>
    <cfRule type="cellIs" dxfId="29452" priority="29292" stopIfTrue="1" operator="equal">
      <formula>"Fail"</formula>
    </cfRule>
  </conditionalFormatting>
  <conditionalFormatting sqref="A642">
    <cfRule type="cellIs" dxfId="29451" priority="29289" stopIfTrue="1" operator="equal">
      <formula>"Pass"</formula>
    </cfRule>
    <cfRule type="cellIs" dxfId="29450" priority="29290" stopIfTrue="1" operator="equal">
      <formula>"Fail"</formula>
    </cfRule>
  </conditionalFormatting>
  <conditionalFormatting sqref="A640:A642">
    <cfRule type="cellIs" dxfId="29449" priority="29287" stopIfTrue="1" operator="equal">
      <formula>"Pass"</formula>
    </cfRule>
    <cfRule type="cellIs" dxfId="29448" priority="29288" stopIfTrue="1" operator="equal">
      <formula>"Fail"</formula>
    </cfRule>
  </conditionalFormatting>
  <conditionalFormatting sqref="U640">
    <cfRule type="cellIs" dxfId="29447" priority="29285" stopIfTrue="1" operator="equal">
      <formula>"Fail"</formula>
    </cfRule>
    <cfRule type="cellIs" dxfId="29446" priority="29286" stopIfTrue="1" operator="equal">
      <formula>"Pass"</formula>
    </cfRule>
  </conditionalFormatting>
  <conditionalFormatting sqref="U640">
    <cfRule type="cellIs" dxfId="29445" priority="29283" stopIfTrue="1" operator="equal">
      <formula>"Fail"</formula>
    </cfRule>
    <cfRule type="cellIs" dxfId="29444" priority="29284" stopIfTrue="1" operator="equal">
      <formula>"Pass"</formula>
    </cfRule>
  </conditionalFormatting>
  <conditionalFormatting sqref="H643:H644">
    <cfRule type="cellIs" dxfId="29443" priority="29281" stopIfTrue="1" operator="equal">
      <formula>"Pass"</formula>
    </cfRule>
    <cfRule type="cellIs" dxfId="29442" priority="29282" stopIfTrue="1" operator="equal">
      <formula>"Fail"</formula>
    </cfRule>
  </conditionalFormatting>
  <conditionalFormatting sqref="E643:F643 E645:F645 I643:M644">
    <cfRule type="cellIs" dxfId="29441" priority="29279" stopIfTrue="1" operator="equal">
      <formula>"Pass"</formula>
    </cfRule>
    <cfRule type="cellIs" dxfId="29440" priority="29280" stopIfTrue="1" operator="equal">
      <formula>"Fail"</formula>
    </cfRule>
  </conditionalFormatting>
  <conditionalFormatting sqref="T645 T643 R643:R645 S644:S645">
    <cfRule type="cellIs" dxfId="29439" priority="29277" stopIfTrue="1" operator="equal">
      <formula>"Fail"</formula>
    </cfRule>
    <cfRule type="cellIs" dxfId="29438" priority="29278" stopIfTrue="1" operator="equal">
      <formula>"Pass"</formula>
    </cfRule>
  </conditionalFormatting>
  <conditionalFormatting sqref="F643:G643 F645:G645 B643:B645 J643:N644">
    <cfRule type="cellIs" dxfId="29437" priority="29275" stopIfTrue="1" operator="equal">
      <formula>"Pass"</formula>
    </cfRule>
    <cfRule type="cellIs" dxfId="29436" priority="29276" stopIfTrue="1" operator="equal">
      <formula>"Fail"</formula>
    </cfRule>
  </conditionalFormatting>
  <conditionalFormatting sqref="U645 U643 T643:T645 S644:S645">
    <cfRule type="cellIs" dxfId="29435" priority="29273" stopIfTrue="1" operator="equal">
      <formula>"Fail"</formula>
    </cfRule>
    <cfRule type="cellIs" dxfId="29434" priority="29274" stopIfTrue="1" operator="equal">
      <formula>"Pass"</formula>
    </cfRule>
  </conditionalFormatting>
  <conditionalFormatting sqref="J643:N644 E643:G645">
    <cfRule type="cellIs" dxfId="29433" priority="29271" stopIfTrue="1" operator="equal">
      <formula>"Pass"</formula>
    </cfRule>
    <cfRule type="cellIs" dxfId="29432" priority="29272" stopIfTrue="1" operator="equal">
      <formula>"Fail"</formula>
    </cfRule>
  </conditionalFormatting>
  <conditionalFormatting sqref="C645 K643:O644 F643:H645">
    <cfRule type="cellIs" dxfId="29431" priority="29269" stopIfTrue="1" operator="equal">
      <formula>"Pass"</formula>
    </cfRule>
    <cfRule type="cellIs" dxfId="29430" priority="29270" stopIfTrue="1" operator="equal">
      <formula>"Fail"</formula>
    </cfRule>
  </conditionalFormatting>
  <conditionalFormatting sqref="T643">
    <cfRule type="cellIs" dxfId="29429" priority="29267" stopIfTrue="1" operator="equal">
      <formula>"Fail"</formula>
    </cfRule>
    <cfRule type="cellIs" dxfId="29428" priority="29268" stopIfTrue="1" operator="equal">
      <formula>"Pass"</formula>
    </cfRule>
  </conditionalFormatting>
  <conditionalFormatting sqref="J640:J641">
    <cfRule type="cellIs" dxfId="29427" priority="29265" stopIfTrue="1" operator="equal">
      <formula>"Pass"</formula>
    </cfRule>
    <cfRule type="cellIs" dxfId="29426" priority="29266" stopIfTrue="1" operator="equal">
      <formula>"Fail"</formula>
    </cfRule>
  </conditionalFormatting>
  <conditionalFormatting sqref="H640:H641 I641">
    <cfRule type="cellIs" dxfId="29425" priority="29263" stopIfTrue="1" operator="equal">
      <formula>"Pass"</formula>
    </cfRule>
    <cfRule type="cellIs" dxfId="29424" priority="29264" stopIfTrue="1" operator="equal">
      <formula>"Fail"</formula>
    </cfRule>
  </conditionalFormatting>
  <conditionalFormatting sqref="F642 F640:G640 K640:N641">
    <cfRule type="cellIs" dxfId="29423" priority="29261" stopIfTrue="1" operator="equal">
      <formula>"Pass"</formula>
    </cfRule>
    <cfRule type="cellIs" dxfId="29422" priority="29262" stopIfTrue="1" operator="equal">
      <formula>"Fail"</formula>
    </cfRule>
  </conditionalFormatting>
  <conditionalFormatting sqref="T640:T642 U641:U642">
    <cfRule type="cellIs" dxfId="29421" priority="29259" stopIfTrue="1" operator="equal">
      <formula>"Fail"</formula>
    </cfRule>
    <cfRule type="cellIs" dxfId="29420" priority="29260" stopIfTrue="1" operator="equal">
      <formula>"Pass"</formula>
    </cfRule>
  </conditionalFormatting>
  <conditionalFormatting sqref="U640">
    <cfRule type="cellIs" dxfId="29419" priority="29257" stopIfTrue="1" operator="equal">
      <formula>"Fail"</formula>
    </cfRule>
    <cfRule type="cellIs" dxfId="29418" priority="29258" stopIfTrue="1" operator="equal">
      <formula>"Pass"</formula>
    </cfRule>
  </conditionalFormatting>
  <conditionalFormatting sqref="U640">
    <cfRule type="cellIs" dxfId="29417" priority="29255" stopIfTrue="1" operator="equal">
      <formula>"Fail"</formula>
    </cfRule>
    <cfRule type="cellIs" dxfId="29416" priority="29256" stopIfTrue="1" operator="equal">
      <formula>"Pass"</formula>
    </cfRule>
  </conditionalFormatting>
  <conditionalFormatting sqref="A643 A645">
    <cfRule type="cellIs" dxfId="29415" priority="29253" stopIfTrue="1" operator="equal">
      <formula>"Pass"</formula>
    </cfRule>
    <cfRule type="cellIs" dxfId="29414" priority="29254" stopIfTrue="1" operator="equal">
      <formula>"Fail"</formula>
    </cfRule>
  </conditionalFormatting>
  <conditionalFormatting sqref="A643:A645">
    <cfRule type="cellIs" dxfId="29413" priority="29251" stopIfTrue="1" operator="equal">
      <formula>"Pass"</formula>
    </cfRule>
    <cfRule type="cellIs" dxfId="29412" priority="29252" stopIfTrue="1" operator="equal">
      <formula>"Fail"</formula>
    </cfRule>
  </conditionalFormatting>
  <conditionalFormatting sqref="A643:A645">
    <cfRule type="cellIs" dxfId="29411" priority="29249" stopIfTrue="1" operator="equal">
      <formula>"Pass"</formula>
    </cfRule>
    <cfRule type="cellIs" dxfId="29410" priority="29250" stopIfTrue="1" operator="equal">
      <formula>"Fail"</formula>
    </cfRule>
  </conditionalFormatting>
  <conditionalFormatting sqref="A643:A645">
    <cfRule type="cellIs" dxfId="29409" priority="29247" stopIfTrue="1" operator="equal">
      <formula>"Pass"</formula>
    </cfRule>
    <cfRule type="cellIs" dxfId="29408" priority="29248" stopIfTrue="1" operator="equal">
      <formula>"Fail"</formula>
    </cfRule>
  </conditionalFormatting>
  <conditionalFormatting sqref="A645">
    <cfRule type="cellIs" dxfId="29407" priority="29245" stopIfTrue="1" operator="equal">
      <formula>"Pass"</formula>
    </cfRule>
    <cfRule type="cellIs" dxfId="29406" priority="29246" stopIfTrue="1" operator="equal">
      <formula>"Fail"</formula>
    </cfRule>
  </conditionalFormatting>
  <conditionalFormatting sqref="A643:A645">
    <cfRule type="cellIs" dxfId="29405" priority="29243" stopIfTrue="1" operator="equal">
      <formula>"Pass"</formula>
    </cfRule>
    <cfRule type="cellIs" dxfId="29404" priority="29244" stopIfTrue="1" operator="equal">
      <formula>"Fail"</formula>
    </cfRule>
  </conditionalFormatting>
  <conditionalFormatting sqref="A643:A645">
    <cfRule type="cellIs" dxfId="29403" priority="29241" stopIfTrue="1" operator="equal">
      <formula>"Pass"</formula>
    </cfRule>
    <cfRule type="cellIs" dxfId="29402" priority="29242" stopIfTrue="1" operator="equal">
      <formula>"Fail"</formula>
    </cfRule>
  </conditionalFormatting>
  <conditionalFormatting sqref="A643:A645">
    <cfRule type="cellIs" dxfId="29401" priority="29239" stopIfTrue="1" operator="equal">
      <formula>"Pass"</formula>
    </cfRule>
    <cfRule type="cellIs" dxfId="29400" priority="29240" stopIfTrue="1" operator="equal">
      <formula>"Fail"</formula>
    </cfRule>
  </conditionalFormatting>
  <conditionalFormatting sqref="A643:A645">
    <cfRule type="cellIs" dxfId="29399" priority="29237" stopIfTrue="1" operator="equal">
      <formula>"Pass"</formula>
    </cfRule>
    <cfRule type="cellIs" dxfId="29398" priority="29238" stopIfTrue="1" operator="equal">
      <formula>"Fail"</formula>
    </cfRule>
  </conditionalFormatting>
  <conditionalFormatting sqref="A643:A645">
    <cfRule type="cellIs" dxfId="29397" priority="29235" stopIfTrue="1" operator="equal">
      <formula>"Pass"</formula>
    </cfRule>
    <cfRule type="cellIs" dxfId="29396" priority="29236" stopIfTrue="1" operator="equal">
      <formula>"Fail"</formula>
    </cfRule>
  </conditionalFormatting>
  <conditionalFormatting sqref="A643:A645">
    <cfRule type="cellIs" dxfId="29395" priority="29233" stopIfTrue="1" operator="equal">
      <formula>"Pass"</formula>
    </cfRule>
    <cfRule type="cellIs" dxfId="29394" priority="29234" stopIfTrue="1" operator="equal">
      <formula>"Fail"</formula>
    </cfRule>
  </conditionalFormatting>
  <conditionalFormatting sqref="A645">
    <cfRule type="cellIs" dxfId="29393" priority="29231" stopIfTrue="1" operator="equal">
      <formula>"Pass"</formula>
    </cfRule>
    <cfRule type="cellIs" dxfId="29392" priority="29232" stopIfTrue="1" operator="equal">
      <formula>"Fail"</formula>
    </cfRule>
  </conditionalFormatting>
  <conditionalFormatting sqref="A643:A645">
    <cfRule type="cellIs" dxfId="29391" priority="29229" stopIfTrue="1" operator="equal">
      <formula>"Pass"</formula>
    </cfRule>
    <cfRule type="cellIs" dxfId="29390" priority="29230" stopIfTrue="1" operator="equal">
      <formula>"Fail"</formula>
    </cfRule>
  </conditionalFormatting>
  <conditionalFormatting sqref="A643:A645">
    <cfRule type="cellIs" dxfId="29389" priority="29227" stopIfTrue="1" operator="equal">
      <formula>"Pass"</formula>
    </cfRule>
    <cfRule type="cellIs" dxfId="29388" priority="29228" stopIfTrue="1" operator="equal">
      <formula>"Fail"</formula>
    </cfRule>
  </conditionalFormatting>
  <conditionalFormatting sqref="A643:A645">
    <cfRule type="cellIs" dxfId="29387" priority="29225" stopIfTrue="1" operator="equal">
      <formula>"Pass"</formula>
    </cfRule>
    <cfRule type="cellIs" dxfId="29386" priority="29226" stopIfTrue="1" operator="equal">
      <formula>"Fail"</formula>
    </cfRule>
  </conditionalFormatting>
  <conditionalFormatting sqref="A643:A645">
    <cfRule type="cellIs" dxfId="29385" priority="29223" stopIfTrue="1" operator="equal">
      <formula>"Pass"</formula>
    </cfRule>
    <cfRule type="cellIs" dxfId="29384" priority="29224" stopIfTrue="1" operator="equal">
      <formula>"Fail"</formula>
    </cfRule>
  </conditionalFormatting>
  <conditionalFormatting sqref="A643:A645">
    <cfRule type="cellIs" dxfId="29383" priority="29221" stopIfTrue="1" operator="equal">
      <formula>"Pass"</formula>
    </cfRule>
    <cfRule type="cellIs" dxfId="29382" priority="29222" stopIfTrue="1" operator="equal">
      <formula>"Fail"</formula>
    </cfRule>
  </conditionalFormatting>
  <conditionalFormatting sqref="A643:A645">
    <cfRule type="cellIs" dxfId="29381" priority="29219" stopIfTrue="1" operator="equal">
      <formula>"Pass"</formula>
    </cfRule>
    <cfRule type="cellIs" dxfId="29380" priority="29220" stopIfTrue="1" operator="equal">
      <formula>"Fail"</formula>
    </cfRule>
  </conditionalFormatting>
  <conditionalFormatting sqref="A645">
    <cfRule type="cellIs" dxfId="29379" priority="29217" stopIfTrue="1" operator="equal">
      <formula>"Pass"</formula>
    </cfRule>
    <cfRule type="cellIs" dxfId="29378" priority="29218" stopIfTrue="1" operator="equal">
      <formula>"Fail"</formula>
    </cfRule>
  </conditionalFormatting>
  <conditionalFormatting sqref="A643:A645">
    <cfRule type="cellIs" dxfId="29377" priority="29215" stopIfTrue="1" operator="equal">
      <formula>"Pass"</formula>
    </cfRule>
    <cfRule type="cellIs" dxfId="29376" priority="29216" stopIfTrue="1" operator="equal">
      <formula>"Fail"</formula>
    </cfRule>
  </conditionalFormatting>
  <conditionalFormatting sqref="K643:N643 F643:H643">
    <cfRule type="cellIs" dxfId="29375" priority="29213" stopIfTrue="1" operator="equal">
      <formula>"Pass"</formula>
    </cfRule>
    <cfRule type="cellIs" dxfId="29374" priority="29214" stopIfTrue="1" operator="equal">
      <formula>"Fail"</formula>
    </cfRule>
  </conditionalFormatting>
  <conditionalFormatting sqref="K644:N644 F644:H644">
    <cfRule type="cellIs" dxfId="29373" priority="29211" stopIfTrue="1" operator="equal">
      <formula>"Pass"</formula>
    </cfRule>
    <cfRule type="cellIs" dxfId="29372" priority="29212" stopIfTrue="1" operator="equal">
      <formula>"Fail"</formula>
    </cfRule>
  </conditionalFormatting>
  <conditionalFormatting sqref="F640:G640 K640:N640">
    <cfRule type="cellIs" dxfId="29371" priority="29209" stopIfTrue="1" operator="equal">
      <formula>"Pass"</formula>
    </cfRule>
    <cfRule type="cellIs" dxfId="29370" priority="29210" stopIfTrue="1" operator="equal">
      <formula>"Fail"</formula>
    </cfRule>
  </conditionalFormatting>
  <conditionalFormatting sqref="K641:N641">
    <cfRule type="cellIs" dxfId="29369" priority="29207" stopIfTrue="1" operator="equal">
      <formula>"Pass"</formula>
    </cfRule>
    <cfRule type="cellIs" dxfId="29368" priority="29208" stopIfTrue="1" operator="equal">
      <formula>"Fail"</formula>
    </cfRule>
  </conditionalFormatting>
  <conditionalFormatting sqref="F637:G637 J637:N637">
    <cfRule type="cellIs" dxfId="29367" priority="29205" stopIfTrue="1" operator="equal">
      <formula>"Pass"</formula>
    </cfRule>
    <cfRule type="cellIs" dxfId="29366" priority="29206" stopIfTrue="1" operator="equal">
      <formula>"Fail"</formula>
    </cfRule>
  </conditionalFormatting>
  <conditionalFormatting sqref="J638:N638">
    <cfRule type="cellIs" dxfId="29365" priority="29203" stopIfTrue="1" operator="equal">
      <formula>"Pass"</formula>
    </cfRule>
    <cfRule type="cellIs" dxfId="29364" priority="29204" stopIfTrue="1" operator="equal">
      <formula>"Fail"</formula>
    </cfRule>
  </conditionalFormatting>
  <conditionalFormatting sqref="H646:H647">
    <cfRule type="cellIs" dxfId="29363" priority="29201" stopIfTrue="1" operator="equal">
      <formula>"Pass"</formula>
    </cfRule>
    <cfRule type="cellIs" dxfId="29362" priority="29202" stopIfTrue="1" operator="equal">
      <formula>"Fail"</formula>
    </cfRule>
  </conditionalFormatting>
  <conditionalFormatting sqref="E646:F646 I646:M647 E648:F648 A646:A654">
    <cfRule type="cellIs" dxfId="29361" priority="29199" stopIfTrue="1" operator="equal">
      <formula>"Pass"</formula>
    </cfRule>
    <cfRule type="cellIs" dxfId="29360" priority="29200" stopIfTrue="1" operator="equal">
      <formula>"Fail"</formula>
    </cfRule>
  </conditionalFormatting>
  <conditionalFormatting sqref="T648 T646 R646:R648 S647:S648">
    <cfRule type="cellIs" dxfId="29359" priority="29197" stopIfTrue="1" operator="equal">
      <formula>"Fail"</formula>
    </cfRule>
    <cfRule type="cellIs" dxfId="29358" priority="29198" stopIfTrue="1" operator="equal">
      <formula>"Pass"</formula>
    </cfRule>
  </conditionalFormatting>
  <conditionalFormatting sqref="F646:G646 J646:N647 F648:G648 A646:B648 A649:A654">
    <cfRule type="cellIs" dxfId="29357" priority="29195" stopIfTrue="1" operator="equal">
      <formula>"Pass"</formula>
    </cfRule>
    <cfRule type="cellIs" dxfId="29356" priority="29196" stopIfTrue="1" operator="equal">
      <formula>"Fail"</formula>
    </cfRule>
  </conditionalFormatting>
  <conditionalFormatting sqref="U648 T646:T648 S647:S648">
    <cfRule type="cellIs" dxfId="29355" priority="29193" stopIfTrue="1" operator="equal">
      <formula>"Fail"</formula>
    </cfRule>
    <cfRule type="cellIs" dxfId="29354" priority="29194" stopIfTrue="1" operator="equal">
      <formula>"Pass"</formula>
    </cfRule>
  </conditionalFormatting>
  <conditionalFormatting sqref="A646:A654">
    <cfRule type="cellIs" dxfId="29353" priority="29191" stopIfTrue="1" operator="equal">
      <formula>"Pass"</formula>
    </cfRule>
    <cfRule type="cellIs" dxfId="29352" priority="29192" stopIfTrue="1" operator="equal">
      <formula>"Fail"</formula>
    </cfRule>
  </conditionalFormatting>
  <conditionalFormatting sqref="A646:A654">
    <cfRule type="cellIs" dxfId="29351" priority="29189" stopIfTrue="1" operator="equal">
      <formula>"Pass"</formula>
    </cfRule>
    <cfRule type="cellIs" dxfId="29350" priority="29190" stopIfTrue="1" operator="equal">
      <formula>"Fail"</formula>
    </cfRule>
  </conditionalFormatting>
  <conditionalFormatting sqref="A646:A654">
    <cfRule type="cellIs" dxfId="29349" priority="29187" stopIfTrue="1" operator="equal">
      <formula>"Pass"</formula>
    </cfRule>
    <cfRule type="cellIs" dxfId="29348" priority="29188" stopIfTrue="1" operator="equal">
      <formula>"Fail"</formula>
    </cfRule>
  </conditionalFormatting>
  <conditionalFormatting sqref="A648 A651 A654">
    <cfRule type="cellIs" dxfId="29347" priority="29185" stopIfTrue="1" operator="equal">
      <formula>"Pass"</formula>
    </cfRule>
    <cfRule type="cellIs" dxfId="29346" priority="29186" stopIfTrue="1" operator="equal">
      <formula>"Fail"</formula>
    </cfRule>
  </conditionalFormatting>
  <conditionalFormatting sqref="A646:A654">
    <cfRule type="cellIs" dxfId="29345" priority="29183" stopIfTrue="1" operator="equal">
      <formula>"Pass"</formula>
    </cfRule>
    <cfRule type="cellIs" dxfId="29344" priority="29184" stopIfTrue="1" operator="equal">
      <formula>"Fail"</formula>
    </cfRule>
  </conditionalFormatting>
  <conditionalFormatting sqref="A646:A654">
    <cfRule type="cellIs" dxfId="29343" priority="29181" stopIfTrue="1" operator="equal">
      <formula>"Pass"</formula>
    </cfRule>
    <cfRule type="cellIs" dxfId="29342" priority="29182" stopIfTrue="1" operator="equal">
      <formula>"Fail"</formula>
    </cfRule>
  </conditionalFormatting>
  <conditionalFormatting sqref="A646:A654">
    <cfRule type="cellIs" dxfId="29341" priority="29179" stopIfTrue="1" operator="equal">
      <formula>"Pass"</formula>
    </cfRule>
    <cfRule type="cellIs" dxfId="29340" priority="29180" stopIfTrue="1" operator="equal">
      <formula>"Fail"</formula>
    </cfRule>
  </conditionalFormatting>
  <conditionalFormatting sqref="A646:A654">
    <cfRule type="cellIs" dxfId="29339" priority="29177" stopIfTrue="1" operator="equal">
      <formula>"Pass"</formula>
    </cfRule>
    <cfRule type="cellIs" dxfId="29338" priority="29178" stopIfTrue="1" operator="equal">
      <formula>"Fail"</formula>
    </cfRule>
  </conditionalFormatting>
  <conditionalFormatting sqref="A646:A654">
    <cfRule type="cellIs" dxfId="29337" priority="29175" stopIfTrue="1" operator="equal">
      <formula>"Pass"</formula>
    </cfRule>
    <cfRule type="cellIs" dxfId="29336" priority="29176" stopIfTrue="1" operator="equal">
      <formula>"Fail"</formula>
    </cfRule>
  </conditionalFormatting>
  <conditionalFormatting sqref="A646:A654">
    <cfRule type="cellIs" dxfId="29335" priority="29173" stopIfTrue="1" operator="equal">
      <formula>"Pass"</formula>
    </cfRule>
    <cfRule type="cellIs" dxfId="29334" priority="29174" stopIfTrue="1" operator="equal">
      <formula>"Fail"</formula>
    </cfRule>
  </conditionalFormatting>
  <conditionalFormatting sqref="A648 A651 A654">
    <cfRule type="cellIs" dxfId="29333" priority="29171" stopIfTrue="1" operator="equal">
      <formula>"Pass"</formula>
    </cfRule>
    <cfRule type="cellIs" dxfId="29332" priority="29172" stopIfTrue="1" operator="equal">
      <formula>"Fail"</formula>
    </cfRule>
  </conditionalFormatting>
  <conditionalFormatting sqref="A646:A654">
    <cfRule type="cellIs" dxfId="29331" priority="29169" stopIfTrue="1" operator="equal">
      <formula>"Pass"</formula>
    </cfRule>
    <cfRule type="cellIs" dxfId="29330" priority="29170" stopIfTrue="1" operator="equal">
      <formula>"Fail"</formula>
    </cfRule>
  </conditionalFormatting>
  <conditionalFormatting sqref="U646">
    <cfRule type="cellIs" dxfId="29329" priority="29167" stopIfTrue="1" operator="equal">
      <formula>"Fail"</formula>
    </cfRule>
    <cfRule type="cellIs" dxfId="29328" priority="29168" stopIfTrue="1" operator="equal">
      <formula>"Pass"</formula>
    </cfRule>
  </conditionalFormatting>
  <conditionalFormatting sqref="J649:J650">
    <cfRule type="cellIs" dxfId="29327" priority="29165" stopIfTrue="1" operator="equal">
      <formula>"Pass"</formula>
    </cfRule>
    <cfRule type="cellIs" dxfId="29326" priority="29166" stopIfTrue="1" operator="equal">
      <formula>"Fail"</formula>
    </cfRule>
  </conditionalFormatting>
  <conditionalFormatting sqref="H649:H650 I650">
    <cfRule type="cellIs" dxfId="29325" priority="29163" stopIfTrue="1" operator="equal">
      <formula>"Pass"</formula>
    </cfRule>
    <cfRule type="cellIs" dxfId="29324" priority="29164" stopIfTrue="1" operator="equal">
      <formula>"Fail"</formula>
    </cfRule>
  </conditionalFormatting>
  <conditionalFormatting sqref="A649 C649 F651 F649:G649 K649:N650 A651">
    <cfRule type="cellIs" dxfId="29323" priority="29161" stopIfTrue="1" operator="equal">
      <formula>"Pass"</formula>
    </cfRule>
    <cfRule type="cellIs" dxfId="29322" priority="29162" stopIfTrue="1" operator="equal">
      <formula>"Fail"</formula>
    </cfRule>
  </conditionalFormatting>
  <conditionalFormatting sqref="T649:T651 U650:U651">
    <cfRule type="cellIs" dxfId="29321" priority="29159" stopIfTrue="1" operator="equal">
      <formula>"Fail"</formula>
    </cfRule>
    <cfRule type="cellIs" dxfId="29320" priority="29160" stopIfTrue="1" operator="equal">
      <formula>"Pass"</formula>
    </cfRule>
  </conditionalFormatting>
  <conditionalFormatting sqref="A649:A651">
    <cfRule type="cellIs" dxfId="29319" priority="29157" stopIfTrue="1" operator="equal">
      <formula>"Pass"</formula>
    </cfRule>
    <cfRule type="cellIs" dxfId="29318" priority="29158" stopIfTrue="1" operator="equal">
      <formula>"Fail"</formula>
    </cfRule>
  </conditionalFormatting>
  <conditionalFormatting sqref="A649:A651">
    <cfRule type="cellIs" dxfId="29317" priority="29155" stopIfTrue="1" operator="equal">
      <formula>"Pass"</formula>
    </cfRule>
    <cfRule type="cellIs" dxfId="29316" priority="29156" stopIfTrue="1" operator="equal">
      <formula>"Fail"</formula>
    </cfRule>
  </conditionalFormatting>
  <conditionalFormatting sqref="A649:A651">
    <cfRule type="cellIs" dxfId="29315" priority="29153" stopIfTrue="1" operator="equal">
      <formula>"Pass"</formula>
    </cfRule>
    <cfRule type="cellIs" dxfId="29314" priority="29154" stopIfTrue="1" operator="equal">
      <formula>"Fail"</formula>
    </cfRule>
  </conditionalFormatting>
  <conditionalFormatting sqref="A651">
    <cfRule type="cellIs" dxfId="29313" priority="29151" stopIfTrue="1" operator="equal">
      <formula>"Pass"</formula>
    </cfRule>
    <cfRule type="cellIs" dxfId="29312" priority="29152" stopIfTrue="1" operator="equal">
      <formula>"Fail"</formula>
    </cfRule>
  </conditionalFormatting>
  <conditionalFormatting sqref="A649:A651">
    <cfRule type="cellIs" dxfId="29311" priority="29149" stopIfTrue="1" operator="equal">
      <formula>"Pass"</formula>
    </cfRule>
    <cfRule type="cellIs" dxfId="29310" priority="29150" stopIfTrue="1" operator="equal">
      <formula>"Fail"</formula>
    </cfRule>
  </conditionalFormatting>
  <conditionalFormatting sqref="A649:A651">
    <cfRule type="cellIs" dxfId="29309" priority="29147" stopIfTrue="1" operator="equal">
      <formula>"Pass"</formula>
    </cfRule>
    <cfRule type="cellIs" dxfId="29308" priority="29148" stopIfTrue="1" operator="equal">
      <formula>"Fail"</formula>
    </cfRule>
  </conditionalFormatting>
  <conditionalFormatting sqref="A649:A651">
    <cfRule type="cellIs" dxfId="29307" priority="29145" stopIfTrue="1" operator="equal">
      <formula>"Pass"</formula>
    </cfRule>
    <cfRule type="cellIs" dxfId="29306" priority="29146" stopIfTrue="1" operator="equal">
      <formula>"Fail"</formula>
    </cfRule>
  </conditionalFormatting>
  <conditionalFormatting sqref="A649:A651">
    <cfRule type="cellIs" dxfId="29305" priority="29143" stopIfTrue="1" operator="equal">
      <formula>"Pass"</formula>
    </cfRule>
    <cfRule type="cellIs" dxfId="29304" priority="29144" stopIfTrue="1" operator="equal">
      <formula>"Fail"</formula>
    </cfRule>
  </conditionalFormatting>
  <conditionalFormatting sqref="A649:A651">
    <cfRule type="cellIs" dxfId="29303" priority="29141" stopIfTrue="1" operator="equal">
      <formula>"Pass"</formula>
    </cfRule>
    <cfRule type="cellIs" dxfId="29302" priority="29142" stopIfTrue="1" operator="equal">
      <formula>"Fail"</formula>
    </cfRule>
  </conditionalFormatting>
  <conditionalFormatting sqref="A649:A651">
    <cfRule type="cellIs" dxfId="29301" priority="29139" stopIfTrue="1" operator="equal">
      <formula>"Pass"</formula>
    </cfRule>
    <cfRule type="cellIs" dxfId="29300" priority="29140" stopIfTrue="1" operator="equal">
      <formula>"Fail"</formula>
    </cfRule>
  </conditionalFormatting>
  <conditionalFormatting sqref="A651">
    <cfRule type="cellIs" dxfId="29299" priority="29137" stopIfTrue="1" operator="equal">
      <formula>"Pass"</formula>
    </cfRule>
    <cfRule type="cellIs" dxfId="29298" priority="29138" stopIfTrue="1" operator="equal">
      <formula>"Fail"</formula>
    </cfRule>
  </conditionalFormatting>
  <conditionalFormatting sqref="A649:A651">
    <cfRule type="cellIs" dxfId="29297" priority="29135" stopIfTrue="1" operator="equal">
      <formula>"Pass"</formula>
    </cfRule>
    <cfRule type="cellIs" dxfId="29296" priority="29136" stopIfTrue="1" operator="equal">
      <formula>"Fail"</formula>
    </cfRule>
  </conditionalFormatting>
  <conditionalFormatting sqref="A649:A651">
    <cfRule type="cellIs" dxfId="29295" priority="29133" stopIfTrue="1" operator="equal">
      <formula>"Pass"</formula>
    </cfRule>
    <cfRule type="cellIs" dxfId="29294" priority="29134" stopIfTrue="1" operator="equal">
      <formula>"Fail"</formula>
    </cfRule>
  </conditionalFormatting>
  <conditionalFormatting sqref="A649:A651">
    <cfRule type="cellIs" dxfId="29293" priority="29131" stopIfTrue="1" operator="equal">
      <formula>"Pass"</formula>
    </cfRule>
    <cfRule type="cellIs" dxfId="29292" priority="29132" stopIfTrue="1" operator="equal">
      <formula>"Fail"</formula>
    </cfRule>
  </conditionalFormatting>
  <conditionalFormatting sqref="A649:A651">
    <cfRule type="cellIs" dxfId="29291" priority="29129" stopIfTrue="1" operator="equal">
      <formula>"Pass"</formula>
    </cfRule>
    <cfRule type="cellIs" dxfId="29290" priority="29130" stopIfTrue="1" operator="equal">
      <formula>"Fail"</formula>
    </cfRule>
  </conditionalFormatting>
  <conditionalFormatting sqref="A649:A651">
    <cfRule type="cellIs" dxfId="29289" priority="29127" stopIfTrue="1" operator="equal">
      <formula>"Pass"</formula>
    </cfRule>
    <cfRule type="cellIs" dxfId="29288" priority="29128" stopIfTrue="1" operator="equal">
      <formula>"Fail"</formula>
    </cfRule>
  </conditionalFormatting>
  <conditionalFormatting sqref="A649:A651">
    <cfRule type="cellIs" dxfId="29287" priority="29125" stopIfTrue="1" operator="equal">
      <formula>"Pass"</formula>
    </cfRule>
    <cfRule type="cellIs" dxfId="29286" priority="29126" stopIfTrue="1" operator="equal">
      <formula>"Fail"</formula>
    </cfRule>
  </conditionalFormatting>
  <conditionalFormatting sqref="A651">
    <cfRule type="cellIs" dxfId="29285" priority="29123" stopIfTrue="1" operator="equal">
      <formula>"Pass"</formula>
    </cfRule>
    <cfRule type="cellIs" dxfId="29284" priority="29124" stopIfTrue="1" operator="equal">
      <formula>"Fail"</formula>
    </cfRule>
  </conditionalFormatting>
  <conditionalFormatting sqref="A649:A651">
    <cfRule type="cellIs" dxfId="29283" priority="29121" stopIfTrue="1" operator="equal">
      <formula>"Pass"</formula>
    </cfRule>
    <cfRule type="cellIs" dxfId="29282" priority="29122" stopIfTrue="1" operator="equal">
      <formula>"Fail"</formula>
    </cfRule>
  </conditionalFormatting>
  <conditionalFormatting sqref="U649">
    <cfRule type="cellIs" dxfId="29281" priority="29119" stopIfTrue="1" operator="equal">
      <formula>"Fail"</formula>
    </cfRule>
    <cfRule type="cellIs" dxfId="29280" priority="29120" stopIfTrue="1" operator="equal">
      <formula>"Pass"</formula>
    </cfRule>
  </conditionalFormatting>
  <conditionalFormatting sqref="U649">
    <cfRule type="cellIs" dxfId="29279" priority="29117" stopIfTrue="1" operator="equal">
      <formula>"Fail"</formula>
    </cfRule>
    <cfRule type="cellIs" dxfId="29278" priority="29118" stopIfTrue="1" operator="equal">
      <formula>"Pass"</formula>
    </cfRule>
  </conditionalFormatting>
  <conditionalFormatting sqref="H652:H653">
    <cfRule type="cellIs" dxfId="29277" priority="29115" stopIfTrue="1" operator="equal">
      <formula>"Pass"</formula>
    </cfRule>
    <cfRule type="cellIs" dxfId="29276" priority="29116" stopIfTrue="1" operator="equal">
      <formula>"Fail"</formula>
    </cfRule>
  </conditionalFormatting>
  <conditionalFormatting sqref="E652:F652 E654:F654 I652:M653">
    <cfRule type="cellIs" dxfId="29275" priority="29113" stopIfTrue="1" operator="equal">
      <formula>"Pass"</formula>
    </cfRule>
    <cfRule type="cellIs" dxfId="29274" priority="29114" stopIfTrue="1" operator="equal">
      <formula>"Fail"</formula>
    </cfRule>
  </conditionalFormatting>
  <conditionalFormatting sqref="T654 T652 R652:R654 S653:S654">
    <cfRule type="cellIs" dxfId="29273" priority="29111" stopIfTrue="1" operator="equal">
      <formula>"Fail"</formula>
    </cfRule>
    <cfRule type="cellIs" dxfId="29272" priority="29112" stopIfTrue="1" operator="equal">
      <formula>"Pass"</formula>
    </cfRule>
  </conditionalFormatting>
  <conditionalFormatting sqref="F652:G652 F654:G654 B652:B654 J652:N653">
    <cfRule type="cellIs" dxfId="29271" priority="29109" stopIfTrue="1" operator="equal">
      <formula>"Pass"</formula>
    </cfRule>
    <cfRule type="cellIs" dxfId="29270" priority="29110" stopIfTrue="1" operator="equal">
      <formula>"Fail"</formula>
    </cfRule>
  </conditionalFormatting>
  <conditionalFormatting sqref="U654 U652 T652:T654 S653:S654">
    <cfRule type="cellIs" dxfId="29269" priority="29107" stopIfTrue="1" operator="equal">
      <formula>"Fail"</formula>
    </cfRule>
    <cfRule type="cellIs" dxfId="29268" priority="29108" stopIfTrue="1" operator="equal">
      <formula>"Pass"</formula>
    </cfRule>
  </conditionalFormatting>
  <conditionalFormatting sqref="J652:N653 E652:G654">
    <cfRule type="cellIs" dxfId="29267" priority="29105" stopIfTrue="1" operator="equal">
      <formula>"Pass"</formula>
    </cfRule>
    <cfRule type="cellIs" dxfId="29266" priority="29106" stopIfTrue="1" operator="equal">
      <formula>"Fail"</formula>
    </cfRule>
  </conditionalFormatting>
  <conditionalFormatting sqref="C654 K652:O653 F652:H654">
    <cfRule type="cellIs" dxfId="29265" priority="29103" stopIfTrue="1" operator="equal">
      <formula>"Pass"</formula>
    </cfRule>
    <cfRule type="cellIs" dxfId="29264" priority="29104" stopIfTrue="1" operator="equal">
      <formula>"Fail"</formula>
    </cfRule>
  </conditionalFormatting>
  <conditionalFormatting sqref="T652">
    <cfRule type="cellIs" dxfId="29263" priority="29101" stopIfTrue="1" operator="equal">
      <formula>"Fail"</formula>
    </cfRule>
    <cfRule type="cellIs" dxfId="29262" priority="29102" stopIfTrue="1" operator="equal">
      <formula>"Pass"</formula>
    </cfRule>
  </conditionalFormatting>
  <conditionalFormatting sqref="J649:J650">
    <cfRule type="cellIs" dxfId="29261" priority="29099" stopIfTrue="1" operator="equal">
      <formula>"Pass"</formula>
    </cfRule>
    <cfRule type="cellIs" dxfId="29260" priority="29100" stopIfTrue="1" operator="equal">
      <formula>"Fail"</formula>
    </cfRule>
  </conditionalFormatting>
  <conditionalFormatting sqref="H649:H650 I650">
    <cfRule type="cellIs" dxfId="29259" priority="29097" stopIfTrue="1" operator="equal">
      <formula>"Pass"</formula>
    </cfRule>
    <cfRule type="cellIs" dxfId="29258" priority="29098" stopIfTrue="1" operator="equal">
      <formula>"Fail"</formula>
    </cfRule>
  </conditionalFormatting>
  <conditionalFormatting sqref="F651 F649:G649 K649:N650">
    <cfRule type="cellIs" dxfId="29257" priority="29095" stopIfTrue="1" operator="equal">
      <formula>"Pass"</formula>
    </cfRule>
    <cfRule type="cellIs" dxfId="29256" priority="29096" stopIfTrue="1" operator="equal">
      <formula>"Fail"</formula>
    </cfRule>
  </conditionalFormatting>
  <conditionalFormatting sqref="T649:T651 U650:U651">
    <cfRule type="cellIs" dxfId="29255" priority="29093" stopIfTrue="1" operator="equal">
      <formula>"Fail"</formula>
    </cfRule>
    <cfRule type="cellIs" dxfId="29254" priority="29094" stopIfTrue="1" operator="equal">
      <formula>"Pass"</formula>
    </cfRule>
  </conditionalFormatting>
  <conditionalFormatting sqref="U649">
    <cfRule type="cellIs" dxfId="29253" priority="29091" stopIfTrue="1" operator="equal">
      <formula>"Fail"</formula>
    </cfRule>
    <cfRule type="cellIs" dxfId="29252" priority="29092" stopIfTrue="1" operator="equal">
      <formula>"Pass"</formula>
    </cfRule>
  </conditionalFormatting>
  <conditionalFormatting sqref="U649">
    <cfRule type="cellIs" dxfId="29251" priority="29089" stopIfTrue="1" operator="equal">
      <formula>"Fail"</formula>
    </cfRule>
    <cfRule type="cellIs" dxfId="29250" priority="29090" stopIfTrue="1" operator="equal">
      <formula>"Pass"</formula>
    </cfRule>
  </conditionalFormatting>
  <conditionalFormatting sqref="A652 A654">
    <cfRule type="cellIs" dxfId="29249" priority="29087" stopIfTrue="1" operator="equal">
      <formula>"Pass"</formula>
    </cfRule>
    <cfRule type="cellIs" dxfId="29248" priority="29088" stopIfTrue="1" operator="equal">
      <formula>"Fail"</formula>
    </cfRule>
  </conditionalFormatting>
  <conditionalFormatting sqref="A652:A654">
    <cfRule type="cellIs" dxfId="29247" priority="29085" stopIfTrue="1" operator="equal">
      <formula>"Pass"</formula>
    </cfRule>
    <cfRule type="cellIs" dxfId="29246" priority="29086" stopIfTrue="1" operator="equal">
      <formula>"Fail"</formula>
    </cfRule>
  </conditionalFormatting>
  <conditionalFormatting sqref="A652:A654">
    <cfRule type="cellIs" dxfId="29245" priority="29083" stopIfTrue="1" operator="equal">
      <formula>"Pass"</formula>
    </cfRule>
    <cfRule type="cellIs" dxfId="29244" priority="29084" stopIfTrue="1" operator="equal">
      <formula>"Fail"</formula>
    </cfRule>
  </conditionalFormatting>
  <conditionalFormatting sqref="A652:A654">
    <cfRule type="cellIs" dxfId="29243" priority="29081" stopIfTrue="1" operator="equal">
      <formula>"Pass"</formula>
    </cfRule>
    <cfRule type="cellIs" dxfId="29242" priority="29082" stopIfTrue="1" operator="equal">
      <formula>"Fail"</formula>
    </cfRule>
  </conditionalFormatting>
  <conditionalFormatting sqref="A654">
    <cfRule type="cellIs" dxfId="29241" priority="29079" stopIfTrue="1" operator="equal">
      <formula>"Pass"</formula>
    </cfRule>
    <cfRule type="cellIs" dxfId="29240" priority="29080" stopIfTrue="1" operator="equal">
      <formula>"Fail"</formula>
    </cfRule>
  </conditionalFormatting>
  <conditionalFormatting sqref="A652:A654">
    <cfRule type="cellIs" dxfId="29239" priority="29077" stopIfTrue="1" operator="equal">
      <formula>"Pass"</formula>
    </cfRule>
    <cfRule type="cellIs" dxfId="29238" priority="29078" stopIfTrue="1" operator="equal">
      <formula>"Fail"</formula>
    </cfRule>
  </conditionalFormatting>
  <conditionalFormatting sqref="A652:A654">
    <cfRule type="cellIs" dxfId="29237" priority="29075" stopIfTrue="1" operator="equal">
      <formula>"Pass"</formula>
    </cfRule>
    <cfRule type="cellIs" dxfId="29236" priority="29076" stopIfTrue="1" operator="equal">
      <formula>"Fail"</formula>
    </cfRule>
  </conditionalFormatting>
  <conditionalFormatting sqref="A652:A654">
    <cfRule type="cellIs" dxfId="29235" priority="29073" stopIfTrue="1" operator="equal">
      <formula>"Pass"</formula>
    </cfRule>
    <cfRule type="cellIs" dxfId="29234" priority="29074" stopIfTrue="1" operator="equal">
      <formula>"Fail"</formula>
    </cfRule>
  </conditionalFormatting>
  <conditionalFormatting sqref="A652:A654">
    <cfRule type="cellIs" dxfId="29233" priority="29071" stopIfTrue="1" operator="equal">
      <formula>"Pass"</formula>
    </cfRule>
    <cfRule type="cellIs" dxfId="29232" priority="29072" stopIfTrue="1" operator="equal">
      <formula>"Fail"</formula>
    </cfRule>
  </conditionalFormatting>
  <conditionalFormatting sqref="A652:A654">
    <cfRule type="cellIs" dxfId="29231" priority="29069" stopIfTrue="1" operator="equal">
      <formula>"Pass"</formula>
    </cfRule>
    <cfRule type="cellIs" dxfId="29230" priority="29070" stopIfTrue="1" operator="equal">
      <formula>"Fail"</formula>
    </cfRule>
  </conditionalFormatting>
  <conditionalFormatting sqref="A652:A654">
    <cfRule type="cellIs" dxfId="29229" priority="29067" stopIfTrue="1" operator="equal">
      <formula>"Pass"</formula>
    </cfRule>
    <cfRule type="cellIs" dxfId="29228" priority="29068" stopIfTrue="1" operator="equal">
      <formula>"Fail"</formula>
    </cfRule>
  </conditionalFormatting>
  <conditionalFormatting sqref="A654">
    <cfRule type="cellIs" dxfId="29227" priority="29065" stopIfTrue="1" operator="equal">
      <formula>"Pass"</formula>
    </cfRule>
    <cfRule type="cellIs" dxfId="29226" priority="29066" stopIfTrue="1" operator="equal">
      <formula>"Fail"</formula>
    </cfRule>
  </conditionalFormatting>
  <conditionalFormatting sqref="A652:A654">
    <cfRule type="cellIs" dxfId="29225" priority="29063" stopIfTrue="1" operator="equal">
      <formula>"Pass"</formula>
    </cfRule>
    <cfRule type="cellIs" dxfId="29224" priority="29064" stopIfTrue="1" operator="equal">
      <formula>"Fail"</formula>
    </cfRule>
  </conditionalFormatting>
  <conditionalFormatting sqref="A652:A654">
    <cfRule type="cellIs" dxfId="29223" priority="29061" stopIfTrue="1" operator="equal">
      <formula>"Pass"</formula>
    </cfRule>
    <cfRule type="cellIs" dxfId="29222" priority="29062" stopIfTrue="1" operator="equal">
      <formula>"Fail"</formula>
    </cfRule>
  </conditionalFormatting>
  <conditionalFormatting sqref="A652:A654">
    <cfRule type="cellIs" dxfId="29221" priority="29059" stopIfTrue="1" operator="equal">
      <formula>"Pass"</formula>
    </cfRule>
    <cfRule type="cellIs" dxfId="29220" priority="29060" stopIfTrue="1" operator="equal">
      <formula>"Fail"</formula>
    </cfRule>
  </conditionalFormatting>
  <conditionalFormatting sqref="A652:A654">
    <cfRule type="cellIs" dxfId="29219" priority="29057" stopIfTrue="1" operator="equal">
      <formula>"Pass"</formula>
    </cfRule>
    <cfRule type="cellIs" dxfId="29218" priority="29058" stopIfTrue="1" operator="equal">
      <formula>"Fail"</formula>
    </cfRule>
  </conditionalFormatting>
  <conditionalFormatting sqref="A652:A654">
    <cfRule type="cellIs" dxfId="29217" priority="29055" stopIfTrue="1" operator="equal">
      <formula>"Pass"</formula>
    </cfRule>
    <cfRule type="cellIs" dxfId="29216" priority="29056" stopIfTrue="1" operator="equal">
      <formula>"Fail"</formula>
    </cfRule>
  </conditionalFormatting>
  <conditionalFormatting sqref="A652:A654">
    <cfRule type="cellIs" dxfId="29215" priority="29053" stopIfTrue="1" operator="equal">
      <formula>"Pass"</formula>
    </cfRule>
    <cfRule type="cellIs" dxfId="29214" priority="29054" stopIfTrue="1" operator="equal">
      <formula>"Fail"</formula>
    </cfRule>
  </conditionalFormatting>
  <conditionalFormatting sqref="A654">
    <cfRule type="cellIs" dxfId="29213" priority="29051" stopIfTrue="1" operator="equal">
      <formula>"Pass"</formula>
    </cfRule>
    <cfRule type="cellIs" dxfId="29212" priority="29052" stopIfTrue="1" operator="equal">
      <formula>"Fail"</formula>
    </cfRule>
  </conditionalFormatting>
  <conditionalFormatting sqref="A652:A654">
    <cfRule type="cellIs" dxfId="29211" priority="29049" stopIfTrue="1" operator="equal">
      <formula>"Pass"</formula>
    </cfRule>
    <cfRule type="cellIs" dxfId="29210" priority="29050" stopIfTrue="1" operator="equal">
      <formula>"Fail"</formula>
    </cfRule>
  </conditionalFormatting>
  <conditionalFormatting sqref="K652:N652 F652:H652">
    <cfRule type="cellIs" dxfId="29209" priority="29047" stopIfTrue="1" operator="equal">
      <formula>"Pass"</formula>
    </cfRule>
    <cfRule type="cellIs" dxfId="29208" priority="29048" stopIfTrue="1" operator="equal">
      <formula>"Fail"</formula>
    </cfRule>
  </conditionalFormatting>
  <conditionalFormatting sqref="K653:N653 F653:H653">
    <cfRule type="cellIs" dxfId="29207" priority="29045" stopIfTrue="1" operator="equal">
      <formula>"Pass"</formula>
    </cfRule>
    <cfRule type="cellIs" dxfId="29206" priority="29046" stopIfTrue="1" operator="equal">
      <formula>"Fail"</formula>
    </cfRule>
  </conditionalFormatting>
  <conditionalFormatting sqref="F649:G649 K649:N649">
    <cfRule type="cellIs" dxfId="29205" priority="29043" stopIfTrue="1" operator="equal">
      <formula>"Pass"</formula>
    </cfRule>
    <cfRule type="cellIs" dxfId="29204" priority="29044" stopIfTrue="1" operator="equal">
      <formula>"Fail"</formula>
    </cfRule>
  </conditionalFormatting>
  <conditionalFormatting sqref="K650:N650">
    <cfRule type="cellIs" dxfId="29203" priority="29041" stopIfTrue="1" operator="equal">
      <formula>"Pass"</formula>
    </cfRule>
    <cfRule type="cellIs" dxfId="29202" priority="29042" stopIfTrue="1" operator="equal">
      <formula>"Fail"</formula>
    </cfRule>
  </conditionalFormatting>
  <conditionalFormatting sqref="F646:G646 J646:N646">
    <cfRule type="cellIs" dxfId="29201" priority="29039" stopIfTrue="1" operator="equal">
      <formula>"Pass"</formula>
    </cfRule>
    <cfRule type="cellIs" dxfId="29200" priority="29040" stopIfTrue="1" operator="equal">
      <formula>"Fail"</formula>
    </cfRule>
  </conditionalFormatting>
  <conditionalFormatting sqref="J647:N647">
    <cfRule type="cellIs" dxfId="29199" priority="29037" stopIfTrue="1" operator="equal">
      <formula>"Pass"</formula>
    </cfRule>
    <cfRule type="cellIs" dxfId="29198" priority="29038" stopIfTrue="1" operator="equal">
      <formula>"Fail"</formula>
    </cfRule>
  </conditionalFormatting>
  <conditionalFormatting sqref="U649">
    <cfRule type="cellIs" dxfId="29197" priority="29035" stopIfTrue="1" operator="equal">
      <formula>"Fail"</formula>
    </cfRule>
    <cfRule type="cellIs" dxfId="29196" priority="29036" stopIfTrue="1" operator="equal">
      <formula>"Pass"</formula>
    </cfRule>
  </conditionalFormatting>
  <conditionalFormatting sqref="U652">
    <cfRule type="cellIs" dxfId="29195" priority="29033" stopIfTrue="1" operator="equal">
      <formula>"Fail"</formula>
    </cfRule>
    <cfRule type="cellIs" dxfId="29194" priority="29034" stopIfTrue="1" operator="equal">
      <formula>"Pass"</formula>
    </cfRule>
  </conditionalFormatting>
  <conditionalFormatting sqref="H655:H656">
    <cfRule type="cellIs" dxfId="29193" priority="29031" stopIfTrue="1" operator="equal">
      <formula>"Pass"</formula>
    </cfRule>
    <cfRule type="cellIs" dxfId="29192" priority="29032" stopIfTrue="1" operator="equal">
      <formula>"Fail"</formula>
    </cfRule>
  </conditionalFormatting>
  <conditionalFormatting sqref="E655:F655 E657:F657 A655:A657 I655:M656">
    <cfRule type="cellIs" dxfId="29191" priority="29029" stopIfTrue="1" operator="equal">
      <formula>"Pass"</formula>
    </cfRule>
    <cfRule type="cellIs" dxfId="29190" priority="29030" stopIfTrue="1" operator="equal">
      <formula>"Fail"</formula>
    </cfRule>
  </conditionalFormatting>
  <conditionalFormatting sqref="T657 T655 R655:R657 S656:S657">
    <cfRule type="cellIs" dxfId="29189" priority="29027" stopIfTrue="1" operator="equal">
      <formula>"Fail"</formula>
    </cfRule>
    <cfRule type="cellIs" dxfId="29188" priority="29028" stopIfTrue="1" operator="equal">
      <formula>"Pass"</formula>
    </cfRule>
  </conditionalFormatting>
  <conditionalFormatting sqref="F655:G655 F657:G657 A655:B657 J655:N656">
    <cfRule type="cellIs" dxfId="29187" priority="29025" stopIfTrue="1" operator="equal">
      <formula>"Pass"</formula>
    </cfRule>
    <cfRule type="cellIs" dxfId="29186" priority="29026" stopIfTrue="1" operator="equal">
      <formula>"Fail"</formula>
    </cfRule>
  </conditionalFormatting>
  <conditionalFormatting sqref="U657 U655 T655:T657 S656:S657">
    <cfRule type="cellIs" dxfId="29185" priority="29023" stopIfTrue="1" operator="equal">
      <formula>"Fail"</formula>
    </cfRule>
    <cfRule type="cellIs" dxfId="29184" priority="29024" stopIfTrue="1" operator="equal">
      <formula>"Pass"</formula>
    </cfRule>
  </conditionalFormatting>
  <conditionalFormatting sqref="A655:A657">
    <cfRule type="cellIs" dxfId="29183" priority="29021" stopIfTrue="1" operator="equal">
      <formula>"Pass"</formula>
    </cfRule>
    <cfRule type="cellIs" dxfId="29182" priority="29022" stopIfTrue="1" operator="equal">
      <formula>"Fail"</formula>
    </cfRule>
  </conditionalFormatting>
  <conditionalFormatting sqref="A655:A657">
    <cfRule type="cellIs" dxfId="29181" priority="29019" stopIfTrue="1" operator="equal">
      <formula>"Pass"</formula>
    </cfRule>
    <cfRule type="cellIs" dxfId="29180" priority="29020" stopIfTrue="1" operator="equal">
      <formula>"Fail"</formula>
    </cfRule>
  </conditionalFormatting>
  <conditionalFormatting sqref="A655:A657">
    <cfRule type="cellIs" dxfId="29179" priority="29017" stopIfTrue="1" operator="equal">
      <formula>"Pass"</formula>
    </cfRule>
    <cfRule type="cellIs" dxfId="29178" priority="29018" stopIfTrue="1" operator="equal">
      <formula>"Fail"</formula>
    </cfRule>
  </conditionalFormatting>
  <conditionalFormatting sqref="J655:N656 E655:G657">
    <cfRule type="cellIs" dxfId="29177" priority="29015" stopIfTrue="1" operator="equal">
      <formula>"Pass"</formula>
    </cfRule>
    <cfRule type="cellIs" dxfId="29176" priority="29016" stopIfTrue="1" operator="equal">
      <formula>"Fail"</formula>
    </cfRule>
  </conditionalFormatting>
  <conditionalFormatting sqref="A657 C657 K655:O656 F655:H657">
    <cfRule type="cellIs" dxfId="29175" priority="29013" stopIfTrue="1" operator="equal">
      <formula>"Pass"</formula>
    </cfRule>
    <cfRule type="cellIs" dxfId="29174" priority="29014" stopIfTrue="1" operator="equal">
      <formula>"Fail"</formula>
    </cfRule>
  </conditionalFormatting>
  <conditionalFormatting sqref="T655">
    <cfRule type="cellIs" dxfId="29173" priority="29011" stopIfTrue="1" operator="equal">
      <formula>"Fail"</formula>
    </cfRule>
    <cfRule type="cellIs" dxfId="29172" priority="29012" stopIfTrue="1" operator="equal">
      <formula>"Pass"</formula>
    </cfRule>
  </conditionalFormatting>
  <conditionalFormatting sqref="A655:A657">
    <cfRule type="cellIs" dxfId="29171" priority="29009" stopIfTrue="1" operator="equal">
      <formula>"Pass"</formula>
    </cfRule>
    <cfRule type="cellIs" dxfId="29170" priority="29010" stopIfTrue="1" operator="equal">
      <formula>"Fail"</formula>
    </cfRule>
  </conditionalFormatting>
  <conditionalFormatting sqref="A658:A660">
    <cfRule type="cellIs" dxfId="29169" priority="29007" stopIfTrue="1" operator="equal">
      <formula>"Pass"</formula>
    </cfRule>
    <cfRule type="cellIs" dxfId="29168" priority="29008" stopIfTrue="1" operator="equal">
      <formula>"Fail"</formula>
    </cfRule>
  </conditionalFormatting>
  <conditionalFormatting sqref="A658:A660">
    <cfRule type="cellIs" dxfId="29167" priority="29005" stopIfTrue="1" operator="equal">
      <formula>"Pass"</formula>
    </cfRule>
    <cfRule type="cellIs" dxfId="29166" priority="29006" stopIfTrue="1" operator="equal">
      <formula>"Fail"</formula>
    </cfRule>
  </conditionalFormatting>
  <conditionalFormatting sqref="A658:A660">
    <cfRule type="cellIs" dxfId="29165" priority="29003" stopIfTrue="1" operator="equal">
      <formula>"Pass"</formula>
    </cfRule>
    <cfRule type="cellIs" dxfId="29164" priority="29004" stopIfTrue="1" operator="equal">
      <formula>"Fail"</formula>
    </cfRule>
  </conditionalFormatting>
  <conditionalFormatting sqref="A658:A660">
    <cfRule type="cellIs" dxfId="29163" priority="29001" stopIfTrue="1" operator="equal">
      <formula>"Pass"</formula>
    </cfRule>
    <cfRule type="cellIs" dxfId="29162" priority="29002" stopIfTrue="1" operator="equal">
      <formula>"Fail"</formula>
    </cfRule>
  </conditionalFormatting>
  <conditionalFormatting sqref="A658:A660">
    <cfRule type="cellIs" dxfId="29161" priority="28999" stopIfTrue="1" operator="equal">
      <formula>"Pass"</formula>
    </cfRule>
    <cfRule type="cellIs" dxfId="29160" priority="29000" stopIfTrue="1" operator="equal">
      <formula>"Fail"</formula>
    </cfRule>
  </conditionalFormatting>
  <conditionalFormatting sqref="A660">
    <cfRule type="cellIs" dxfId="29159" priority="28997" stopIfTrue="1" operator="equal">
      <formula>"Pass"</formula>
    </cfRule>
    <cfRule type="cellIs" dxfId="29158" priority="28998" stopIfTrue="1" operator="equal">
      <formula>"Fail"</formula>
    </cfRule>
  </conditionalFormatting>
  <conditionalFormatting sqref="A658:A660">
    <cfRule type="cellIs" dxfId="29157" priority="28995" stopIfTrue="1" operator="equal">
      <formula>"Pass"</formula>
    </cfRule>
    <cfRule type="cellIs" dxfId="29156" priority="28996" stopIfTrue="1" operator="equal">
      <formula>"Fail"</formula>
    </cfRule>
  </conditionalFormatting>
  <conditionalFormatting sqref="A658:A660">
    <cfRule type="cellIs" dxfId="29155" priority="28993" stopIfTrue="1" operator="equal">
      <formula>"Pass"</formula>
    </cfRule>
    <cfRule type="cellIs" dxfId="29154" priority="28994" stopIfTrue="1" operator="equal">
      <formula>"Fail"</formula>
    </cfRule>
  </conditionalFormatting>
  <conditionalFormatting sqref="A658:A660">
    <cfRule type="cellIs" dxfId="29153" priority="28991" stopIfTrue="1" operator="equal">
      <formula>"Pass"</formula>
    </cfRule>
    <cfRule type="cellIs" dxfId="29152" priority="28992" stopIfTrue="1" operator="equal">
      <formula>"Fail"</formula>
    </cfRule>
  </conditionalFormatting>
  <conditionalFormatting sqref="A658:A660">
    <cfRule type="cellIs" dxfId="29151" priority="28989" stopIfTrue="1" operator="equal">
      <formula>"Pass"</formula>
    </cfRule>
    <cfRule type="cellIs" dxfId="29150" priority="28990" stopIfTrue="1" operator="equal">
      <formula>"Fail"</formula>
    </cfRule>
  </conditionalFormatting>
  <conditionalFormatting sqref="A658:A660">
    <cfRule type="cellIs" dxfId="29149" priority="28987" stopIfTrue="1" operator="equal">
      <formula>"Pass"</formula>
    </cfRule>
    <cfRule type="cellIs" dxfId="29148" priority="28988" stopIfTrue="1" operator="equal">
      <formula>"Fail"</formula>
    </cfRule>
  </conditionalFormatting>
  <conditionalFormatting sqref="A658:A660">
    <cfRule type="cellIs" dxfId="29147" priority="28985" stopIfTrue="1" operator="equal">
      <formula>"Pass"</formula>
    </cfRule>
    <cfRule type="cellIs" dxfId="29146" priority="28986" stopIfTrue="1" operator="equal">
      <formula>"Fail"</formula>
    </cfRule>
  </conditionalFormatting>
  <conditionalFormatting sqref="A660">
    <cfRule type="cellIs" dxfId="29145" priority="28983" stopIfTrue="1" operator="equal">
      <formula>"Pass"</formula>
    </cfRule>
    <cfRule type="cellIs" dxfId="29144" priority="28984" stopIfTrue="1" operator="equal">
      <formula>"Fail"</formula>
    </cfRule>
  </conditionalFormatting>
  <conditionalFormatting sqref="A658:A660">
    <cfRule type="cellIs" dxfId="29143" priority="28981" stopIfTrue="1" operator="equal">
      <formula>"Pass"</formula>
    </cfRule>
    <cfRule type="cellIs" dxfId="29142" priority="28982" stopIfTrue="1" operator="equal">
      <formula>"Fail"</formula>
    </cfRule>
  </conditionalFormatting>
  <conditionalFormatting sqref="J658:J659">
    <cfRule type="cellIs" dxfId="29141" priority="28979" stopIfTrue="1" operator="equal">
      <formula>"Pass"</formula>
    </cfRule>
    <cfRule type="cellIs" dxfId="29140" priority="28980" stopIfTrue="1" operator="equal">
      <formula>"Fail"</formula>
    </cfRule>
  </conditionalFormatting>
  <conditionalFormatting sqref="H658:H659 I659">
    <cfRule type="cellIs" dxfId="29139" priority="28977" stopIfTrue="1" operator="equal">
      <formula>"Pass"</formula>
    </cfRule>
    <cfRule type="cellIs" dxfId="29138" priority="28978" stopIfTrue="1" operator="equal">
      <formula>"Fail"</formula>
    </cfRule>
  </conditionalFormatting>
  <conditionalFormatting sqref="A658 C658 F660 F658:G658 K658:N659 A660">
    <cfRule type="cellIs" dxfId="29137" priority="28975" stopIfTrue="1" operator="equal">
      <formula>"Pass"</formula>
    </cfRule>
    <cfRule type="cellIs" dxfId="29136" priority="28976" stopIfTrue="1" operator="equal">
      <formula>"Fail"</formula>
    </cfRule>
  </conditionalFormatting>
  <conditionalFormatting sqref="T658:T660 U659:U660">
    <cfRule type="cellIs" dxfId="29135" priority="28973" stopIfTrue="1" operator="equal">
      <formula>"Fail"</formula>
    </cfRule>
    <cfRule type="cellIs" dxfId="29134" priority="28974" stopIfTrue="1" operator="equal">
      <formula>"Pass"</formula>
    </cfRule>
  </conditionalFormatting>
  <conditionalFormatting sqref="A658:A660">
    <cfRule type="cellIs" dxfId="29133" priority="28971" stopIfTrue="1" operator="equal">
      <formula>"Pass"</formula>
    </cfRule>
    <cfRule type="cellIs" dxfId="29132" priority="28972" stopIfTrue="1" operator="equal">
      <formula>"Fail"</formula>
    </cfRule>
  </conditionalFormatting>
  <conditionalFormatting sqref="A658:A660">
    <cfRule type="cellIs" dxfId="29131" priority="28969" stopIfTrue="1" operator="equal">
      <formula>"Pass"</formula>
    </cfRule>
    <cfRule type="cellIs" dxfId="29130" priority="28970" stopIfTrue="1" operator="equal">
      <formula>"Fail"</formula>
    </cfRule>
  </conditionalFormatting>
  <conditionalFormatting sqref="A658:A660">
    <cfRule type="cellIs" dxfId="29129" priority="28967" stopIfTrue="1" operator="equal">
      <formula>"Pass"</formula>
    </cfRule>
    <cfRule type="cellIs" dxfId="29128" priority="28968" stopIfTrue="1" operator="equal">
      <formula>"Fail"</formula>
    </cfRule>
  </conditionalFormatting>
  <conditionalFormatting sqref="A660">
    <cfRule type="cellIs" dxfId="29127" priority="28965" stopIfTrue="1" operator="equal">
      <formula>"Pass"</formula>
    </cfRule>
    <cfRule type="cellIs" dxfId="29126" priority="28966" stopIfTrue="1" operator="equal">
      <formula>"Fail"</formula>
    </cfRule>
  </conditionalFormatting>
  <conditionalFormatting sqref="A658:A660">
    <cfRule type="cellIs" dxfId="29125" priority="28963" stopIfTrue="1" operator="equal">
      <formula>"Pass"</formula>
    </cfRule>
    <cfRule type="cellIs" dxfId="29124" priority="28964" stopIfTrue="1" operator="equal">
      <formula>"Fail"</formula>
    </cfRule>
  </conditionalFormatting>
  <conditionalFormatting sqref="A658:A660">
    <cfRule type="cellIs" dxfId="29123" priority="28961" stopIfTrue="1" operator="equal">
      <formula>"Pass"</formula>
    </cfRule>
    <cfRule type="cellIs" dxfId="29122" priority="28962" stopIfTrue="1" operator="equal">
      <formula>"Fail"</formula>
    </cfRule>
  </conditionalFormatting>
  <conditionalFormatting sqref="A658:A660">
    <cfRule type="cellIs" dxfId="29121" priority="28959" stopIfTrue="1" operator="equal">
      <formula>"Pass"</formula>
    </cfRule>
    <cfRule type="cellIs" dxfId="29120" priority="28960" stopIfTrue="1" operator="equal">
      <formula>"Fail"</formula>
    </cfRule>
  </conditionalFormatting>
  <conditionalFormatting sqref="A658:A660">
    <cfRule type="cellIs" dxfId="29119" priority="28957" stopIfTrue="1" operator="equal">
      <formula>"Pass"</formula>
    </cfRule>
    <cfRule type="cellIs" dxfId="29118" priority="28958" stopIfTrue="1" operator="equal">
      <formula>"Fail"</formula>
    </cfRule>
  </conditionalFormatting>
  <conditionalFormatting sqref="A658:A660">
    <cfRule type="cellIs" dxfId="29117" priority="28955" stopIfTrue="1" operator="equal">
      <formula>"Pass"</formula>
    </cfRule>
    <cfRule type="cellIs" dxfId="29116" priority="28956" stopIfTrue="1" operator="equal">
      <formula>"Fail"</formula>
    </cfRule>
  </conditionalFormatting>
  <conditionalFormatting sqref="A658:A660">
    <cfRule type="cellIs" dxfId="29115" priority="28953" stopIfTrue="1" operator="equal">
      <formula>"Pass"</formula>
    </cfRule>
    <cfRule type="cellIs" dxfId="29114" priority="28954" stopIfTrue="1" operator="equal">
      <formula>"Fail"</formula>
    </cfRule>
  </conditionalFormatting>
  <conditionalFormatting sqref="A660">
    <cfRule type="cellIs" dxfId="29113" priority="28951" stopIfTrue="1" operator="equal">
      <formula>"Pass"</formula>
    </cfRule>
    <cfRule type="cellIs" dxfId="29112" priority="28952" stopIfTrue="1" operator="equal">
      <formula>"Fail"</formula>
    </cfRule>
  </conditionalFormatting>
  <conditionalFormatting sqref="A658:A660">
    <cfRule type="cellIs" dxfId="29111" priority="28949" stopIfTrue="1" operator="equal">
      <formula>"Pass"</formula>
    </cfRule>
    <cfRule type="cellIs" dxfId="29110" priority="28950" stopIfTrue="1" operator="equal">
      <formula>"Fail"</formula>
    </cfRule>
  </conditionalFormatting>
  <conditionalFormatting sqref="A658:A660">
    <cfRule type="cellIs" dxfId="29109" priority="28947" stopIfTrue="1" operator="equal">
      <formula>"Pass"</formula>
    </cfRule>
    <cfRule type="cellIs" dxfId="29108" priority="28948" stopIfTrue="1" operator="equal">
      <formula>"Fail"</formula>
    </cfRule>
  </conditionalFormatting>
  <conditionalFormatting sqref="A658:A660">
    <cfRule type="cellIs" dxfId="29107" priority="28945" stopIfTrue="1" operator="equal">
      <formula>"Pass"</formula>
    </cfRule>
    <cfRule type="cellIs" dxfId="29106" priority="28946" stopIfTrue="1" operator="equal">
      <formula>"Fail"</formula>
    </cfRule>
  </conditionalFormatting>
  <conditionalFormatting sqref="A658:A660">
    <cfRule type="cellIs" dxfId="29105" priority="28943" stopIfTrue="1" operator="equal">
      <formula>"Pass"</formula>
    </cfRule>
    <cfRule type="cellIs" dxfId="29104" priority="28944" stopIfTrue="1" operator="equal">
      <formula>"Fail"</formula>
    </cfRule>
  </conditionalFormatting>
  <conditionalFormatting sqref="A658:A660">
    <cfRule type="cellIs" dxfId="29103" priority="28941" stopIfTrue="1" operator="equal">
      <formula>"Pass"</formula>
    </cfRule>
    <cfRule type="cellIs" dxfId="29102" priority="28942" stopIfTrue="1" operator="equal">
      <formula>"Fail"</formula>
    </cfRule>
  </conditionalFormatting>
  <conditionalFormatting sqref="A658:A660">
    <cfRule type="cellIs" dxfId="29101" priority="28939" stopIfTrue="1" operator="equal">
      <formula>"Pass"</formula>
    </cfRule>
    <cfRule type="cellIs" dxfId="29100" priority="28940" stopIfTrue="1" operator="equal">
      <formula>"Fail"</formula>
    </cfRule>
  </conditionalFormatting>
  <conditionalFormatting sqref="A660">
    <cfRule type="cellIs" dxfId="29099" priority="28937" stopIfTrue="1" operator="equal">
      <formula>"Pass"</formula>
    </cfRule>
    <cfRule type="cellIs" dxfId="29098" priority="28938" stopIfTrue="1" operator="equal">
      <formula>"Fail"</formula>
    </cfRule>
  </conditionalFormatting>
  <conditionalFormatting sqref="A658:A660">
    <cfRule type="cellIs" dxfId="29097" priority="28935" stopIfTrue="1" operator="equal">
      <formula>"Pass"</formula>
    </cfRule>
    <cfRule type="cellIs" dxfId="29096" priority="28936" stopIfTrue="1" operator="equal">
      <formula>"Fail"</formula>
    </cfRule>
  </conditionalFormatting>
  <conditionalFormatting sqref="U658">
    <cfRule type="cellIs" dxfId="29095" priority="28933" stopIfTrue="1" operator="equal">
      <formula>"Fail"</formula>
    </cfRule>
    <cfRule type="cellIs" dxfId="29094" priority="28934" stopIfTrue="1" operator="equal">
      <formula>"Pass"</formula>
    </cfRule>
  </conditionalFormatting>
  <conditionalFormatting sqref="U658">
    <cfRule type="cellIs" dxfId="29093" priority="28931" stopIfTrue="1" operator="equal">
      <formula>"Fail"</formula>
    </cfRule>
    <cfRule type="cellIs" dxfId="29092" priority="28932" stopIfTrue="1" operator="equal">
      <formula>"Pass"</formula>
    </cfRule>
  </conditionalFormatting>
  <conditionalFormatting sqref="J658:J659">
    <cfRule type="cellIs" dxfId="29091" priority="28929" stopIfTrue="1" operator="equal">
      <formula>"Pass"</formula>
    </cfRule>
    <cfRule type="cellIs" dxfId="29090" priority="28930" stopIfTrue="1" operator="equal">
      <formula>"Fail"</formula>
    </cfRule>
  </conditionalFormatting>
  <conditionalFormatting sqref="H658:H659 I659">
    <cfRule type="cellIs" dxfId="29089" priority="28927" stopIfTrue="1" operator="equal">
      <formula>"Pass"</formula>
    </cfRule>
    <cfRule type="cellIs" dxfId="29088" priority="28928" stopIfTrue="1" operator="equal">
      <formula>"Fail"</formula>
    </cfRule>
  </conditionalFormatting>
  <conditionalFormatting sqref="F660 F658:G658 K658:N659">
    <cfRule type="cellIs" dxfId="29087" priority="28925" stopIfTrue="1" operator="equal">
      <formula>"Pass"</formula>
    </cfRule>
    <cfRule type="cellIs" dxfId="29086" priority="28926" stopIfTrue="1" operator="equal">
      <formula>"Fail"</formula>
    </cfRule>
  </conditionalFormatting>
  <conditionalFormatting sqref="T658:T660 U659:U660">
    <cfRule type="cellIs" dxfId="29085" priority="28923" stopIfTrue="1" operator="equal">
      <formula>"Fail"</formula>
    </cfRule>
    <cfRule type="cellIs" dxfId="29084" priority="28924" stopIfTrue="1" operator="equal">
      <formula>"Pass"</formula>
    </cfRule>
  </conditionalFormatting>
  <conditionalFormatting sqref="U658">
    <cfRule type="cellIs" dxfId="29083" priority="28921" stopIfTrue="1" operator="equal">
      <formula>"Fail"</formula>
    </cfRule>
    <cfRule type="cellIs" dxfId="29082" priority="28922" stopIfTrue="1" operator="equal">
      <formula>"Pass"</formula>
    </cfRule>
  </conditionalFormatting>
  <conditionalFormatting sqref="U658">
    <cfRule type="cellIs" dxfId="29081" priority="28919" stopIfTrue="1" operator="equal">
      <formula>"Fail"</formula>
    </cfRule>
    <cfRule type="cellIs" dxfId="29080" priority="28920" stopIfTrue="1" operator="equal">
      <formula>"Pass"</formula>
    </cfRule>
  </conditionalFormatting>
  <conditionalFormatting sqref="F658:G658 K658:N658">
    <cfRule type="cellIs" dxfId="29079" priority="28917" stopIfTrue="1" operator="equal">
      <formula>"Pass"</formula>
    </cfRule>
    <cfRule type="cellIs" dxfId="29078" priority="28918" stopIfTrue="1" operator="equal">
      <formula>"Fail"</formula>
    </cfRule>
  </conditionalFormatting>
  <conditionalFormatting sqref="K659:N659">
    <cfRule type="cellIs" dxfId="29077" priority="28915" stopIfTrue="1" operator="equal">
      <formula>"Pass"</formula>
    </cfRule>
    <cfRule type="cellIs" dxfId="29076" priority="28916" stopIfTrue="1" operator="equal">
      <formula>"Fail"</formula>
    </cfRule>
  </conditionalFormatting>
  <conditionalFormatting sqref="U658">
    <cfRule type="cellIs" dxfId="29075" priority="28913" stopIfTrue="1" operator="equal">
      <formula>"Fail"</formula>
    </cfRule>
    <cfRule type="cellIs" dxfId="29074" priority="28914" stopIfTrue="1" operator="equal">
      <formula>"Pass"</formula>
    </cfRule>
  </conditionalFormatting>
  <conditionalFormatting sqref="H661:H662">
    <cfRule type="cellIs" dxfId="29073" priority="28911" stopIfTrue="1" operator="equal">
      <formula>"Pass"</formula>
    </cfRule>
    <cfRule type="cellIs" dxfId="29072" priority="28912" stopIfTrue="1" operator="equal">
      <formula>"Fail"</formula>
    </cfRule>
  </conditionalFormatting>
  <conditionalFormatting sqref="E661:F661 I661:M662 E663:F663 A661:A663">
    <cfRule type="cellIs" dxfId="29071" priority="28909" stopIfTrue="1" operator="equal">
      <formula>"Pass"</formula>
    </cfRule>
    <cfRule type="cellIs" dxfId="29070" priority="28910" stopIfTrue="1" operator="equal">
      <formula>"Fail"</formula>
    </cfRule>
  </conditionalFormatting>
  <conditionalFormatting sqref="T663 T661 R661:R663 S662:S663">
    <cfRule type="cellIs" dxfId="29069" priority="28907" stopIfTrue="1" operator="equal">
      <formula>"Fail"</formula>
    </cfRule>
    <cfRule type="cellIs" dxfId="29068" priority="28908" stopIfTrue="1" operator="equal">
      <formula>"Pass"</formula>
    </cfRule>
  </conditionalFormatting>
  <conditionalFormatting sqref="F661:G661 J661:N662 F663:G663 A661:B663">
    <cfRule type="cellIs" dxfId="29067" priority="28905" stopIfTrue="1" operator="equal">
      <formula>"Pass"</formula>
    </cfRule>
    <cfRule type="cellIs" dxfId="29066" priority="28906" stopIfTrue="1" operator="equal">
      <formula>"Fail"</formula>
    </cfRule>
  </conditionalFormatting>
  <conditionalFormatting sqref="U663 T661:T663 S662:S663">
    <cfRule type="cellIs" dxfId="29065" priority="28903" stopIfTrue="1" operator="equal">
      <formula>"Fail"</formula>
    </cfRule>
    <cfRule type="cellIs" dxfId="29064" priority="28904" stopIfTrue="1" operator="equal">
      <formula>"Pass"</formula>
    </cfRule>
  </conditionalFormatting>
  <conditionalFormatting sqref="A661:A663">
    <cfRule type="cellIs" dxfId="29063" priority="28901" stopIfTrue="1" operator="equal">
      <formula>"Pass"</formula>
    </cfRule>
    <cfRule type="cellIs" dxfId="29062" priority="28902" stopIfTrue="1" operator="equal">
      <formula>"Fail"</formula>
    </cfRule>
  </conditionalFormatting>
  <conditionalFormatting sqref="A661:A663">
    <cfRule type="cellIs" dxfId="29061" priority="28899" stopIfTrue="1" operator="equal">
      <formula>"Pass"</formula>
    </cfRule>
    <cfRule type="cellIs" dxfId="29060" priority="28900" stopIfTrue="1" operator="equal">
      <formula>"Fail"</formula>
    </cfRule>
  </conditionalFormatting>
  <conditionalFormatting sqref="A661:A663">
    <cfRule type="cellIs" dxfId="29059" priority="28897" stopIfTrue="1" operator="equal">
      <formula>"Pass"</formula>
    </cfRule>
    <cfRule type="cellIs" dxfId="29058" priority="28898" stopIfTrue="1" operator="equal">
      <formula>"Fail"</formula>
    </cfRule>
  </conditionalFormatting>
  <conditionalFormatting sqref="A663">
    <cfRule type="cellIs" dxfId="29057" priority="28895" stopIfTrue="1" operator="equal">
      <formula>"Pass"</formula>
    </cfRule>
    <cfRule type="cellIs" dxfId="29056" priority="28896" stopIfTrue="1" operator="equal">
      <formula>"Fail"</formula>
    </cfRule>
  </conditionalFormatting>
  <conditionalFormatting sqref="A661:A663">
    <cfRule type="cellIs" dxfId="29055" priority="28893" stopIfTrue="1" operator="equal">
      <formula>"Pass"</formula>
    </cfRule>
    <cfRule type="cellIs" dxfId="29054" priority="28894" stopIfTrue="1" operator="equal">
      <formula>"Fail"</formula>
    </cfRule>
  </conditionalFormatting>
  <conditionalFormatting sqref="A661:A663">
    <cfRule type="cellIs" dxfId="29053" priority="28891" stopIfTrue="1" operator="equal">
      <formula>"Pass"</formula>
    </cfRule>
    <cfRule type="cellIs" dxfId="29052" priority="28892" stopIfTrue="1" operator="equal">
      <formula>"Fail"</formula>
    </cfRule>
  </conditionalFormatting>
  <conditionalFormatting sqref="A661:A663">
    <cfRule type="cellIs" dxfId="29051" priority="28889" stopIfTrue="1" operator="equal">
      <formula>"Pass"</formula>
    </cfRule>
    <cfRule type="cellIs" dxfId="29050" priority="28890" stopIfTrue="1" operator="equal">
      <formula>"Fail"</formula>
    </cfRule>
  </conditionalFormatting>
  <conditionalFormatting sqref="A661:A663">
    <cfRule type="cellIs" dxfId="29049" priority="28887" stopIfTrue="1" operator="equal">
      <formula>"Pass"</formula>
    </cfRule>
    <cfRule type="cellIs" dxfId="29048" priority="28888" stopIfTrue="1" operator="equal">
      <formula>"Fail"</formula>
    </cfRule>
  </conditionalFormatting>
  <conditionalFormatting sqref="A661:A663">
    <cfRule type="cellIs" dxfId="29047" priority="28885" stopIfTrue="1" operator="equal">
      <formula>"Pass"</formula>
    </cfRule>
    <cfRule type="cellIs" dxfId="29046" priority="28886" stopIfTrue="1" operator="equal">
      <formula>"Fail"</formula>
    </cfRule>
  </conditionalFormatting>
  <conditionalFormatting sqref="A661:A663">
    <cfRule type="cellIs" dxfId="29045" priority="28883" stopIfTrue="1" operator="equal">
      <formula>"Pass"</formula>
    </cfRule>
    <cfRule type="cellIs" dxfId="29044" priority="28884" stopIfTrue="1" operator="equal">
      <formula>"Fail"</formula>
    </cfRule>
  </conditionalFormatting>
  <conditionalFormatting sqref="A663">
    <cfRule type="cellIs" dxfId="29043" priority="28881" stopIfTrue="1" operator="equal">
      <formula>"Pass"</formula>
    </cfRule>
    <cfRule type="cellIs" dxfId="29042" priority="28882" stopIfTrue="1" operator="equal">
      <formula>"Fail"</formula>
    </cfRule>
  </conditionalFormatting>
  <conditionalFormatting sqref="A661:A663">
    <cfRule type="cellIs" dxfId="29041" priority="28879" stopIfTrue="1" operator="equal">
      <formula>"Pass"</formula>
    </cfRule>
    <cfRule type="cellIs" dxfId="29040" priority="28880" stopIfTrue="1" operator="equal">
      <formula>"Fail"</formula>
    </cfRule>
  </conditionalFormatting>
  <conditionalFormatting sqref="U661">
    <cfRule type="cellIs" dxfId="29039" priority="28877" stopIfTrue="1" operator="equal">
      <formula>"Fail"</formula>
    </cfRule>
    <cfRule type="cellIs" dxfId="29038" priority="28878" stopIfTrue="1" operator="equal">
      <formula>"Pass"</formula>
    </cfRule>
  </conditionalFormatting>
  <conditionalFormatting sqref="F661:G661 J661:N661">
    <cfRule type="cellIs" dxfId="29037" priority="28875" stopIfTrue="1" operator="equal">
      <formula>"Pass"</formula>
    </cfRule>
    <cfRule type="cellIs" dxfId="29036" priority="28876" stopIfTrue="1" operator="equal">
      <formula>"Fail"</formula>
    </cfRule>
  </conditionalFormatting>
  <conditionalFormatting sqref="J662:N662">
    <cfRule type="cellIs" dxfId="29035" priority="28873" stopIfTrue="1" operator="equal">
      <formula>"Pass"</formula>
    </cfRule>
    <cfRule type="cellIs" dxfId="29034" priority="28874" stopIfTrue="1" operator="equal">
      <formula>"Fail"</formula>
    </cfRule>
  </conditionalFormatting>
  <conditionalFormatting sqref="H664:H665">
    <cfRule type="cellIs" dxfId="29033" priority="28871" stopIfTrue="1" operator="equal">
      <formula>"Pass"</formula>
    </cfRule>
    <cfRule type="cellIs" dxfId="29032" priority="28872" stopIfTrue="1" operator="equal">
      <formula>"Fail"</formula>
    </cfRule>
  </conditionalFormatting>
  <conditionalFormatting sqref="E664:F664 E666:F666 I664:M665 A664:A672">
    <cfRule type="cellIs" dxfId="29031" priority="28869" stopIfTrue="1" operator="equal">
      <formula>"Pass"</formula>
    </cfRule>
    <cfRule type="cellIs" dxfId="29030" priority="28870" stopIfTrue="1" operator="equal">
      <formula>"Fail"</formula>
    </cfRule>
  </conditionalFormatting>
  <conditionalFormatting sqref="T666 T664 R664:R666 S665:S666">
    <cfRule type="cellIs" dxfId="29029" priority="28867" stopIfTrue="1" operator="equal">
      <formula>"Fail"</formula>
    </cfRule>
    <cfRule type="cellIs" dxfId="29028" priority="28868" stopIfTrue="1" operator="equal">
      <formula>"Pass"</formula>
    </cfRule>
  </conditionalFormatting>
  <conditionalFormatting sqref="F664:G664 F666:G666 A664:B666 J664:N665 A667:A672">
    <cfRule type="cellIs" dxfId="29027" priority="28865" stopIfTrue="1" operator="equal">
      <formula>"Pass"</formula>
    </cfRule>
    <cfRule type="cellIs" dxfId="29026" priority="28866" stopIfTrue="1" operator="equal">
      <formula>"Fail"</formula>
    </cfRule>
  </conditionalFormatting>
  <conditionalFormatting sqref="U666 U664 T664:T666 S665:S666">
    <cfRule type="cellIs" dxfId="29025" priority="28863" stopIfTrue="1" operator="equal">
      <formula>"Fail"</formula>
    </cfRule>
    <cfRule type="cellIs" dxfId="29024" priority="28864" stopIfTrue="1" operator="equal">
      <formula>"Pass"</formula>
    </cfRule>
  </conditionalFormatting>
  <conditionalFormatting sqref="A664:A672">
    <cfRule type="cellIs" dxfId="29023" priority="28861" stopIfTrue="1" operator="equal">
      <formula>"Pass"</formula>
    </cfRule>
    <cfRule type="cellIs" dxfId="29022" priority="28862" stopIfTrue="1" operator="equal">
      <formula>"Fail"</formula>
    </cfRule>
  </conditionalFormatting>
  <conditionalFormatting sqref="A664:A672">
    <cfRule type="cellIs" dxfId="29021" priority="28859" stopIfTrue="1" operator="equal">
      <formula>"Pass"</formula>
    </cfRule>
    <cfRule type="cellIs" dxfId="29020" priority="28860" stopIfTrue="1" operator="equal">
      <formula>"Fail"</formula>
    </cfRule>
  </conditionalFormatting>
  <conditionalFormatting sqref="A664:A672">
    <cfRule type="cellIs" dxfId="29019" priority="28857" stopIfTrue="1" operator="equal">
      <formula>"Pass"</formula>
    </cfRule>
    <cfRule type="cellIs" dxfId="29018" priority="28858" stopIfTrue="1" operator="equal">
      <formula>"Fail"</formula>
    </cfRule>
  </conditionalFormatting>
  <conditionalFormatting sqref="J664:N665 E664:G666">
    <cfRule type="cellIs" dxfId="29017" priority="28855" stopIfTrue="1" operator="equal">
      <formula>"Pass"</formula>
    </cfRule>
    <cfRule type="cellIs" dxfId="29016" priority="28856" stopIfTrue="1" operator="equal">
      <formula>"Fail"</formula>
    </cfRule>
  </conditionalFormatting>
  <conditionalFormatting sqref="A666 C666 K664:O665 F664:H666 A669 A672">
    <cfRule type="cellIs" dxfId="29015" priority="28853" stopIfTrue="1" operator="equal">
      <formula>"Pass"</formula>
    </cfRule>
    <cfRule type="cellIs" dxfId="29014" priority="28854" stopIfTrue="1" operator="equal">
      <formula>"Fail"</formula>
    </cfRule>
  </conditionalFormatting>
  <conditionalFormatting sqref="T664">
    <cfRule type="cellIs" dxfId="29013" priority="28851" stopIfTrue="1" operator="equal">
      <formula>"Fail"</formula>
    </cfRule>
    <cfRule type="cellIs" dxfId="29012" priority="28852" stopIfTrue="1" operator="equal">
      <formula>"Pass"</formula>
    </cfRule>
  </conditionalFormatting>
  <conditionalFormatting sqref="A664:A672">
    <cfRule type="cellIs" dxfId="29011" priority="28849" stopIfTrue="1" operator="equal">
      <formula>"Pass"</formula>
    </cfRule>
    <cfRule type="cellIs" dxfId="29010" priority="28850" stopIfTrue="1" operator="equal">
      <formula>"Fail"</formula>
    </cfRule>
  </conditionalFormatting>
  <conditionalFormatting sqref="A667">
    <cfRule type="cellIs" dxfId="29009" priority="28847" stopIfTrue="1" operator="equal">
      <formula>"Pass"</formula>
    </cfRule>
    <cfRule type="cellIs" dxfId="29008" priority="28848" stopIfTrue="1" operator="equal">
      <formula>"Fail"</formula>
    </cfRule>
  </conditionalFormatting>
  <conditionalFormatting sqref="A667">
    <cfRule type="cellIs" dxfId="29007" priority="28845" stopIfTrue="1" operator="equal">
      <formula>"Pass"</formula>
    </cfRule>
    <cfRule type="cellIs" dxfId="29006" priority="28846" stopIfTrue="1" operator="equal">
      <formula>"Fail"</formula>
    </cfRule>
  </conditionalFormatting>
  <conditionalFormatting sqref="A667">
    <cfRule type="cellIs" dxfId="29005" priority="28843" stopIfTrue="1" operator="equal">
      <formula>"Pass"</formula>
    </cfRule>
    <cfRule type="cellIs" dxfId="29004" priority="28844" stopIfTrue="1" operator="equal">
      <formula>"Fail"</formula>
    </cfRule>
  </conditionalFormatting>
  <conditionalFormatting sqref="A667">
    <cfRule type="cellIs" dxfId="29003" priority="28841" stopIfTrue="1" operator="equal">
      <formula>"Pass"</formula>
    </cfRule>
    <cfRule type="cellIs" dxfId="29002" priority="28842" stopIfTrue="1" operator="equal">
      <formula>"Fail"</formula>
    </cfRule>
  </conditionalFormatting>
  <conditionalFormatting sqref="A667">
    <cfRule type="cellIs" dxfId="29001" priority="28839" stopIfTrue="1" operator="equal">
      <formula>"Pass"</formula>
    </cfRule>
    <cfRule type="cellIs" dxfId="29000" priority="28840" stopIfTrue="1" operator="equal">
      <formula>"Fail"</formula>
    </cfRule>
  </conditionalFormatting>
  <conditionalFormatting sqref="A667">
    <cfRule type="cellIs" dxfId="28999" priority="28837" stopIfTrue="1" operator="equal">
      <formula>"Pass"</formula>
    </cfRule>
    <cfRule type="cellIs" dxfId="28998" priority="28838" stopIfTrue="1" operator="equal">
      <formula>"Fail"</formula>
    </cfRule>
  </conditionalFormatting>
  <conditionalFormatting sqref="A667">
    <cfRule type="cellIs" dxfId="28997" priority="28835" stopIfTrue="1" operator="equal">
      <formula>"Pass"</formula>
    </cfRule>
    <cfRule type="cellIs" dxfId="28996" priority="28836" stopIfTrue="1" operator="equal">
      <formula>"Fail"</formula>
    </cfRule>
  </conditionalFormatting>
  <conditionalFormatting sqref="A667">
    <cfRule type="cellIs" dxfId="28995" priority="28833" stopIfTrue="1" operator="equal">
      <formula>"Pass"</formula>
    </cfRule>
    <cfRule type="cellIs" dxfId="28994" priority="28834" stopIfTrue="1" operator="equal">
      <formula>"Fail"</formula>
    </cfRule>
  </conditionalFormatting>
  <conditionalFormatting sqref="A667">
    <cfRule type="cellIs" dxfId="28993" priority="28831" stopIfTrue="1" operator="equal">
      <formula>"Pass"</formula>
    </cfRule>
    <cfRule type="cellIs" dxfId="28992" priority="28832" stopIfTrue="1" operator="equal">
      <formula>"Fail"</formula>
    </cfRule>
  </conditionalFormatting>
  <conditionalFormatting sqref="A667">
    <cfRule type="cellIs" dxfId="28991" priority="28829" stopIfTrue="1" operator="equal">
      <formula>"Pass"</formula>
    </cfRule>
    <cfRule type="cellIs" dxfId="28990" priority="28830" stopIfTrue="1" operator="equal">
      <formula>"Fail"</formula>
    </cfRule>
  </conditionalFormatting>
  <conditionalFormatting sqref="A667">
    <cfRule type="cellIs" dxfId="28989" priority="28827" stopIfTrue="1" operator="equal">
      <formula>"Pass"</formula>
    </cfRule>
    <cfRule type="cellIs" dxfId="28988" priority="28828" stopIfTrue="1" operator="equal">
      <formula>"Fail"</formula>
    </cfRule>
  </conditionalFormatting>
  <conditionalFormatting sqref="A667">
    <cfRule type="cellIs" dxfId="28987" priority="28825" stopIfTrue="1" operator="equal">
      <formula>"Pass"</formula>
    </cfRule>
    <cfRule type="cellIs" dxfId="28986" priority="28826" stopIfTrue="1" operator="equal">
      <formula>"Fail"</formula>
    </cfRule>
  </conditionalFormatting>
  <conditionalFormatting sqref="J667:J668">
    <cfRule type="cellIs" dxfId="28985" priority="28823" stopIfTrue="1" operator="equal">
      <formula>"Pass"</formula>
    </cfRule>
    <cfRule type="cellIs" dxfId="28984" priority="28824" stopIfTrue="1" operator="equal">
      <formula>"Fail"</formula>
    </cfRule>
  </conditionalFormatting>
  <conditionalFormatting sqref="H667:H668 I668">
    <cfRule type="cellIs" dxfId="28983" priority="28821" stopIfTrue="1" operator="equal">
      <formula>"Pass"</formula>
    </cfRule>
    <cfRule type="cellIs" dxfId="28982" priority="28822" stopIfTrue="1" operator="equal">
      <formula>"Fail"</formula>
    </cfRule>
  </conditionalFormatting>
  <conditionalFormatting sqref="A667 C667 F669 F667:G667 K667:N668">
    <cfRule type="cellIs" dxfId="28981" priority="28819" stopIfTrue="1" operator="equal">
      <formula>"Pass"</formula>
    </cfRule>
    <cfRule type="cellIs" dxfId="28980" priority="28820" stopIfTrue="1" operator="equal">
      <formula>"Fail"</formula>
    </cfRule>
  </conditionalFormatting>
  <conditionalFormatting sqref="T667:T669 U668:U669">
    <cfRule type="cellIs" dxfId="28979" priority="28817" stopIfTrue="1" operator="equal">
      <formula>"Fail"</formula>
    </cfRule>
    <cfRule type="cellIs" dxfId="28978" priority="28818" stopIfTrue="1" operator="equal">
      <formula>"Pass"</formula>
    </cfRule>
  </conditionalFormatting>
  <conditionalFormatting sqref="A667">
    <cfRule type="cellIs" dxfId="28977" priority="28815" stopIfTrue="1" operator="equal">
      <formula>"Pass"</formula>
    </cfRule>
    <cfRule type="cellIs" dxfId="28976" priority="28816" stopIfTrue="1" operator="equal">
      <formula>"Fail"</formula>
    </cfRule>
  </conditionalFormatting>
  <conditionalFormatting sqref="A667">
    <cfRule type="cellIs" dxfId="28975" priority="28813" stopIfTrue="1" operator="equal">
      <formula>"Pass"</formula>
    </cfRule>
    <cfRule type="cellIs" dxfId="28974" priority="28814" stopIfTrue="1" operator="equal">
      <formula>"Fail"</formula>
    </cfRule>
  </conditionalFormatting>
  <conditionalFormatting sqref="A667">
    <cfRule type="cellIs" dxfId="28973" priority="28811" stopIfTrue="1" operator="equal">
      <formula>"Pass"</formula>
    </cfRule>
    <cfRule type="cellIs" dxfId="28972" priority="28812" stopIfTrue="1" operator="equal">
      <formula>"Fail"</formula>
    </cfRule>
  </conditionalFormatting>
  <conditionalFormatting sqref="A667">
    <cfRule type="cellIs" dxfId="28971" priority="28809" stopIfTrue="1" operator="equal">
      <formula>"Pass"</formula>
    </cfRule>
    <cfRule type="cellIs" dxfId="28970" priority="28810" stopIfTrue="1" operator="equal">
      <formula>"Fail"</formula>
    </cfRule>
  </conditionalFormatting>
  <conditionalFormatting sqref="A667">
    <cfRule type="cellIs" dxfId="28969" priority="28807" stopIfTrue="1" operator="equal">
      <formula>"Pass"</formula>
    </cfRule>
    <cfRule type="cellIs" dxfId="28968" priority="28808" stopIfTrue="1" operator="equal">
      <formula>"Fail"</formula>
    </cfRule>
  </conditionalFormatting>
  <conditionalFormatting sqref="A667">
    <cfRule type="cellIs" dxfId="28967" priority="28805" stopIfTrue="1" operator="equal">
      <formula>"Pass"</formula>
    </cfRule>
    <cfRule type="cellIs" dxfId="28966" priority="28806" stopIfTrue="1" operator="equal">
      <formula>"Fail"</formula>
    </cfRule>
  </conditionalFormatting>
  <conditionalFormatting sqref="A667">
    <cfRule type="cellIs" dxfId="28965" priority="28803" stopIfTrue="1" operator="equal">
      <formula>"Pass"</formula>
    </cfRule>
    <cfRule type="cellIs" dxfId="28964" priority="28804" stopIfTrue="1" operator="equal">
      <formula>"Fail"</formula>
    </cfRule>
  </conditionalFormatting>
  <conditionalFormatting sqref="A667">
    <cfRule type="cellIs" dxfId="28963" priority="28801" stopIfTrue="1" operator="equal">
      <formula>"Pass"</formula>
    </cfRule>
    <cfRule type="cellIs" dxfId="28962" priority="28802" stopIfTrue="1" operator="equal">
      <formula>"Fail"</formula>
    </cfRule>
  </conditionalFormatting>
  <conditionalFormatting sqref="A667">
    <cfRule type="cellIs" dxfId="28961" priority="28799" stopIfTrue="1" operator="equal">
      <formula>"Pass"</formula>
    </cfRule>
    <cfRule type="cellIs" dxfId="28960" priority="28800" stopIfTrue="1" operator="equal">
      <formula>"Fail"</formula>
    </cfRule>
  </conditionalFormatting>
  <conditionalFormatting sqref="A667">
    <cfRule type="cellIs" dxfId="28959" priority="28797" stopIfTrue="1" operator="equal">
      <formula>"Pass"</formula>
    </cfRule>
    <cfRule type="cellIs" dxfId="28958" priority="28798" stopIfTrue="1" operator="equal">
      <formula>"Fail"</formula>
    </cfRule>
  </conditionalFormatting>
  <conditionalFormatting sqref="A667">
    <cfRule type="cellIs" dxfId="28957" priority="28795" stopIfTrue="1" operator="equal">
      <formula>"Pass"</formula>
    </cfRule>
    <cfRule type="cellIs" dxfId="28956" priority="28796" stopIfTrue="1" operator="equal">
      <formula>"Fail"</formula>
    </cfRule>
  </conditionalFormatting>
  <conditionalFormatting sqref="A667">
    <cfRule type="cellIs" dxfId="28955" priority="28793" stopIfTrue="1" operator="equal">
      <formula>"Pass"</formula>
    </cfRule>
    <cfRule type="cellIs" dxfId="28954" priority="28794" stopIfTrue="1" operator="equal">
      <formula>"Fail"</formula>
    </cfRule>
  </conditionalFormatting>
  <conditionalFormatting sqref="A667">
    <cfRule type="cellIs" dxfId="28953" priority="28791" stopIfTrue="1" operator="equal">
      <formula>"Pass"</formula>
    </cfRule>
    <cfRule type="cellIs" dxfId="28952" priority="28792" stopIfTrue="1" operator="equal">
      <formula>"Fail"</formula>
    </cfRule>
  </conditionalFormatting>
  <conditionalFormatting sqref="A667">
    <cfRule type="cellIs" dxfId="28951" priority="28789" stopIfTrue="1" operator="equal">
      <formula>"Pass"</formula>
    </cfRule>
    <cfRule type="cellIs" dxfId="28950" priority="28790" stopIfTrue="1" operator="equal">
      <formula>"Fail"</formula>
    </cfRule>
  </conditionalFormatting>
  <conditionalFormatting sqref="A667">
    <cfRule type="cellIs" dxfId="28949" priority="28787" stopIfTrue="1" operator="equal">
      <formula>"Pass"</formula>
    </cfRule>
    <cfRule type="cellIs" dxfId="28948" priority="28788" stopIfTrue="1" operator="equal">
      <formula>"Fail"</formula>
    </cfRule>
  </conditionalFormatting>
  <conditionalFormatting sqref="A667">
    <cfRule type="cellIs" dxfId="28947" priority="28785" stopIfTrue="1" operator="equal">
      <formula>"Pass"</formula>
    </cfRule>
    <cfRule type="cellIs" dxfId="28946" priority="28786" stopIfTrue="1" operator="equal">
      <formula>"Fail"</formula>
    </cfRule>
  </conditionalFormatting>
  <conditionalFormatting sqref="U667">
    <cfRule type="cellIs" dxfId="28945" priority="28783" stopIfTrue="1" operator="equal">
      <formula>"Fail"</formula>
    </cfRule>
    <cfRule type="cellIs" dxfId="28944" priority="28784" stopIfTrue="1" operator="equal">
      <formula>"Pass"</formula>
    </cfRule>
  </conditionalFormatting>
  <conditionalFormatting sqref="U667">
    <cfRule type="cellIs" dxfId="28943" priority="28781" stopIfTrue="1" operator="equal">
      <formula>"Fail"</formula>
    </cfRule>
    <cfRule type="cellIs" dxfId="28942" priority="28782" stopIfTrue="1" operator="equal">
      <formula>"Pass"</formula>
    </cfRule>
  </conditionalFormatting>
  <conditionalFormatting sqref="J667:J668">
    <cfRule type="cellIs" dxfId="28941" priority="28779" stopIfTrue="1" operator="equal">
      <formula>"Pass"</formula>
    </cfRule>
    <cfRule type="cellIs" dxfId="28940" priority="28780" stopIfTrue="1" operator="equal">
      <formula>"Fail"</formula>
    </cfRule>
  </conditionalFormatting>
  <conditionalFormatting sqref="H667:H668 I668">
    <cfRule type="cellIs" dxfId="28939" priority="28777" stopIfTrue="1" operator="equal">
      <formula>"Pass"</formula>
    </cfRule>
    <cfRule type="cellIs" dxfId="28938" priority="28778" stopIfTrue="1" operator="equal">
      <formula>"Fail"</formula>
    </cfRule>
  </conditionalFormatting>
  <conditionalFormatting sqref="F669 F667:G667 K667:N668">
    <cfRule type="cellIs" dxfId="28937" priority="28775" stopIfTrue="1" operator="equal">
      <formula>"Pass"</formula>
    </cfRule>
    <cfRule type="cellIs" dxfId="28936" priority="28776" stopIfTrue="1" operator="equal">
      <formula>"Fail"</formula>
    </cfRule>
  </conditionalFormatting>
  <conditionalFormatting sqref="T667:T669 U668:U669">
    <cfRule type="cellIs" dxfId="28935" priority="28773" stopIfTrue="1" operator="equal">
      <formula>"Fail"</formula>
    </cfRule>
    <cfRule type="cellIs" dxfId="28934" priority="28774" stopIfTrue="1" operator="equal">
      <formula>"Pass"</formula>
    </cfRule>
  </conditionalFormatting>
  <conditionalFormatting sqref="U667">
    <cfRule type="cellIs" dxfId="28933" priority="28771" stopIfTrue="1" operator="equal">
      <formula>"Fail"</formula>
    </cfRule>
    <cfRule type="cellIs" dxfId="28932" priority="28772" stopIfTrue="1" operator="equal">
      <formula>"Pass"</formula>
    </cfRule>
  </conditionalFormatting>
  <conditionalFormatting sqref="U667">
    <cfRule type="cellIs" dxfId="28931" priority="28769" stopIfTrue="1" operator="equal">
      <formula>"Fail"</formula>
    </cfRule>
    <cfRule type="cellIs" dxfId="28930" priority="28770" stopIfTrue="1" operator="equal">
      <formula>"Pass"</formula>
    </cfRule>
  </conditionalFormatting>
  <conditionalFormatting sqref="F667:G667 K667:N667">
    <cfRule type="cellIs" dxfId="28929" priority="28767" stopIfTrue="1" operator="equal">
      <formula>"Pass"</formula>
    </cfRule>
    <cfRule type="cellIs" dxfId="28928" priority="28768" stopIfTrue="1" operator="equal">
      <formula>"Fail"</formula>
    </cfRule>
  </conditionalFormatting>
  <conditionalFormatting sqref="K668:N668">
    <cfRule type="cellIs" dxfId="28927" priority="28765" stopIfTrue="1" operator="equal">
      <formula>"Pass"</formula>
    </cfRule>
    <cfRule type="cellIs" dxfId="28926" priority="28766" stopIfTrue="1" operator="equal">
      <formula>"Fail"</formula>
    </cfRule>
  </conditionalFormatting>
  <conditionalFormatting sqref="U667">
    <cfRule type="cellIs" dxfId="28925" priority="28763" stopIfTrue="1" operator="equal">
      <formula>"Fail"</formula>
    </cfRule>
    <cfRule type="cellIs" dxfId="28924" priority="28764" stopIfTrue="1" operator="equal">
      <formula>"Pass"</formula>
    </cfRule>
  </conditionalFormatting>
  <conditionalFormatting sqref="H670:H671">
    <cfRule type="cellIs" dxfId="28923" priority="28761" stopIfTrue="1" operator="equal">
      <formula>"Pass"</formula>
    </cfRule>
    <cfRule type="cellIs" dxfId="28922" priority="28762" stopIfTrue="1" operator="equal">
      <formula>"Fail"</formula>
    </cfRule>
  </conditionalFormatting>
  <conditionalFormatting sqref="E670:F670 I670:M671 E672:F672 A670">
    <cfRule type="cellIs" dxfId="28921" priority="28759" stopIfTrue="1" operator="equal">
      <formula>"Pass"</formula>
    </cfRule>
    <cfRule type="cellIs" dxfId="28920" priority="28760" stopIfTrue="1" operator="equal">
      <formula>"Fail"</formula>
    </cfRule>
  </conditionalFormatting>
  <conditionalFormatting sqref="T672 T670 R670:R672 S671:S672">
    <cfRule type="cellIs" dxfId="28919" priority="28757" stopIfTrue="1" operator="equal">
      <formula>"Fail"</formula>
    </cfRule>
    <cfRule type="cellIs" dxfId="28918" priority="28758" stopIfTrue="1" operator="equal">
      <formula>"Pass"</formula>
    </cfRule>
  </conditionalFormatting>
  <conditionalFormatting sqref="F670:G670 J670:N671 F672:G672 B670:B672 A670">
    <cfRule type="cellIs" dxfId="28917" priority="28755" stopIfTrue="1" operator="equal">
      <formula>"Pass"</formula>
    </cfRule>
    <cfRule type="cellIs" dxfId="28916" priority="28756" stopIfTrue="1" operator="equal">
      <formula>"Fail"</formula>
    </cfRule>
  </conditionalFormatting>
  <conditionalFormatting sqref="U672 T670:T672 S671:S672">
    <cfRule type="cellIs" dxfId="28915" priority="28753" stopIfTrue="1" operator="equal">
      <formula>"Fail"</formula>
    </cfRule>
    <cfRule type="cellIs" dxfId="28914" priority="28754" stopIfTrue="1" operator="equal">
      <formula>"Pass"</formula>
    </cfRule>
  </conditionalFormatting>
  <conditionalFormatting sqref="A670">
    <cfRule type="cellIs" dxfId="28913" priority="28751" stopIfTrue="1" operator="equal">
      <formula>"Pass"</formula>
    </cfRule>
    <cfRule type="cellIs" dxfId="28912" priority="28752" stopIfTrue="1" operator="equal">
      <formula>"Fail"</formula>
    </cfRule>
  </conditionalFormatting>
  <conditionalFormatting sqref="A670">
    <cfRule type="cellIs" dxfId="28911" priority="28749" stopIfTrue="1" operator="equal">
      <formula>"Pass"</formula>
    </cfRule>
    <cfRule type="cellIs" dxfId="28910" priority="28750" stopIfTrue="1" operator="equal">
      <formula>"Fail"</formula>
    </cfRule>
  </conditionalFormatting>
  <conditionalFormatting sqref="A670">
    <cfRule type="cellIs" dxfId="28909" priority="28747" stopIfTrue="1" operator="equal">
      <formula>"Pass"</formula>
    </cfRule>
    <cfRule type="cellIs" dxfId="28908" priority="28748" stopIfTrue="1" operator="equal">
      <formula>"Fail"</formula>
    </cfRule>
  </conditionalFormatting>
  <conditionalFormatting sqref="A670">
    <cfRule type="cellIs" dxfId="28907" priority="28745" stopIfTrue="1" operator="equal">
      <formula>"Pass"</formula>
    </cfRule>
    <cfRule type="cellIs" dxfId="28906" priority="28746" stopIfTrue="1" operator="equal">
      <formula>"Fail"</formula>
    </cfRule>
  </conditionalFormatting>
  <conditionalFormatting sqref="A670">
    <cfRule type="cellIs" dxfId="28905" priority="28743" stopIfTrue="1" operator="equal">
      <formula>"Pass"</formula>
    </cfRule>
    <cfRule type="cellIs" dxfId="28904" priority="28744" stopIfTrue="1" operator="equal">
      <formula>"Fail"</formula>
    </cfRule>
  </conditionalFormatting>
  <conditionalFormatting sqref="A670">
    <cfRule type="cellIs" dxfId="28903" priority="28741" stopIfTrue="1" operator="equal">
      <formula>"Pass"</formula>
    </cfRule>
    <cfRule type="cellIs" dxfId="28902" priority="28742" stopIfTrue="1" operator="equal">
      <formula>"Fail"</formula>
    </cfRule>
  </conditionalFormatting>
  <conditionalFormatting sqref="A670">
    <cfRule type="cellIs" dxfId="28901" priority="28739" stopIfTrue="1" operator="equal">
      <formula>"Pass"</formula>
    </cfRule>
    <cfRule type="cellIs" dxfId="28900" priority="28740" stopIfTrue="1" operator="equal">
      <formula>"Fail"</formula>
    </cfRule>
  </conditionalFormatting>
  <conditionalFormatting sqref="A670">
    <cfRule type="cellIs" dxfId="28899" priority="28737" stopIfTrue="1" operator="equal">
      <formula>"Pass"</formula>
    </cfRule>
    <cfRule type="cellIs" dxfId="28898" priority="28738" stopIfTrue="1" operator="equal">
      <formula>"Fail"</formula>
    </cfRule>
  </conditionalFormatting>
  <conditionalFormatting sqref="A670">
    <cfRule type="cellIs" dxfId="28897" priority="28735" stopIfTrue="1" operator="equal">
      <formula>"Pass"</formula>
    </cfRule>
    <cfRule type="cellIs" dxfId="28896" priority="28736" stopIfTrue="1" operator="equal">
      <formula>"Fail"</formula>
    </cfRule>
  </conditionalFormatting>
  <conditionalFormatting sqref="A670">
    <cfRule type="cellIs" dxfId="28895" priority="28733" stopIfTrue="1" operator="equal">
      <formula>"Pass"</formula>
    </cfRule>
    <cfRule type="cellIs" dxfId="28894" priority="28734" stopIfTrue="1" operator="equal">
      <formula>"Fail"</formula>
    </cfRule>
  </conditionalFormatting>
  <conditionalFormatting sqref="U670">
    <cfRule type="cellIs" dxfId="28893" priority="28731" stopIfTrue="1" operator="equal">
      <formula>"Fail"</formula>
    </cfRule>
    <cfRule type="cellIs" dxfId="28892" priority="28732" stopIfTrue="1" operator="equal">
      <formula>"Pass"</formula>
    </cfRule>
  </conditionalFormatting>
  <conditionalFormatting sqref="F670:G670 J670:N670">
    <cfRule type="cellIs" dxfId="28891" priority="28729" stopIfTrue="1" operator="equal">
      <formula>"Pass"</formula>
    </cfRule>
    <cfRule type="cellIs" dxfId="28890" priority="28730" stopIfTrue="1" operator="equal">
      <formula>"Fail"</formula>
    </cfRule>
  </conditionalFormatting>
  <conditionalFormatting sqref="J671:N671">
    <cfRule type="cellIs" dxfId="28889" priority="28727" stopIfTrue="1" operator="equal">
      <formula>"Pass"</formula>
    </cfRule>
    <cfRule type="cellIs" dxfId="28888" priority="28728" stopIfTrue="1" operator="equal">
      <formula>"Fail"</formula>
    </cfRule>
  </conditionalFormatting>
  <conditionalFormatting sqref="A664:A672">
    <cfRule type="cellIs" dxfId="28887" priority="28725" stopIfTrue="1" operator="equal">
      <formula>"Pass"</formula>
    </cfRule>
    <cfRule type="cellIs" dxfId="28886" priority="28726" stopIfTrue="1" operator="equal">
      <formula>"Fail"</formula>
    </cfRule>
  </conditionalFormatting>
  <conditionalFormatting sqref="A664:A672">
    <cfRule type="cellIs" dxfId="28885" priority="28723" stopIfTrue="1" operator="equal">
      <formula>"Pass"</formula>
    </cfRule>
    <cfRule type="cellIs" dxfId="28884" priority="28724" stopIfTrue="1" operator="equal">
      <formula>"Fail"</formula>
    </cfRule>
  </conditionalFormatting>
  <conditionalFormatting sqref="A664:A672">
    <cfRule type="cellIs" dxfId="28883" priority="28721" stopIfTrue="1" operator="equal">
      <formula>"Pass"</formula>
    </cfRule>
    <cfRule type="cellIs" dxfId="28882" priority="28722" stopIfTrue="1" operator="equal">
      <formula>"Fail"</formula>
    </cfRule>
  </conditionalFormatting>
  <conditionalFormatting sqref="A664:A672">
    <cfRule type="cellIs" dxfId="28881" priority="28719" stopIfTrue="1" operator="equal">
      <formula>"Pass"</formula>
    </cfRule>
    <cfRule type="cellIs" dxfId="28880" priority="28720" stopIfTrue="1" operator="equal">
      <formula>"Fail"</formula>
    </cfRule>
  </conditionalFormatting>
  <conditionalFormatting sqref="A664:A672">
    <cfRule type="cellIs" dxfId="28879" priority="28717" stopIfTrue="1" operator="equal">
      <formula>"Pass"</formula>
    </cfRule>
    <cfRule type="cellIs" dxfId="28878" priority="28718" stopIfTrue="1" operator="equal">
      <formula>"Fail"</formula>
    </cfRule>
  </conditionalFormatting>
  <conditionalFormatting sqref="A666 A669 A672">
    <cfRule type="cellIs" dxfId="28877" priority="28715" stopIfTrue="1" operator="equal">
      <formula>"Pass"</formula>
    </cfRule>
    <cfRule type="cellIs" dxfId="28876" priority="28716" stopIfTrue="1" operator="equal">
      <formula>"Fail"</formula>
    </cfRule>
  </conditionalFormatting>
  <conditionalFormatting sqref="A664:A672">
    <cfRule type="cellIs" dxfId="28875" priority="28713" stopIfTrue="1" operator="equal">
      <formula>"Pass"</formula>
    </cfRule>
    <cfRule type="cellIs" dxfId="28874" priority="28714" stopIfTrue="1" operator="equal">
      <formula>"Fail"</formula>
    </cfRule>
  </conditionalFormatting>
  <conditionalFormatting sqref="A664:A672">
    <cfRule type="cellIs" dxfId="28873" priority="28711" stopIfTrue="1" operator="equal">
      <formula>"Pass"</formula>
    </cfRule>
    <cfRule type="cellIs" dxfId="28872" priority="28712" stopIfTrue="1" operator="equal">
      <formula>"Fail"</formula>
    </cfRule>
  </conditionalFormatting>
  <conditionalFormatting sqref="A664:A672">
    <cfRule type="cellIs" dxfId="28871" priority="28709" stopIfTrue="1" operator="equal">
      <formula>"Pass"</formula>
    </cfRule>
    <cfRule type="cellIs" dxfId="28870" priority="28710" stopIfTrue="1" operator="equal">
      <formula>"Fail"</formula>
    </cfRule>
  </conditionalFormatting>
  <conditionalFormatting sqref="A664:A672">
    <cfRule type="cellIs" dxfId="28869" priority="28707" stopIfTrue="1" operator="equal">
      <formula>"Pass"</formula>
    </cfRule>
    <cfRule type="cellIs" dxfId="28868" priority="28708" stopIfTrue="1" operator="equal">
      <formula>"Fail"</formula>
    </cfRule>
  </conditionalFormatting>
  <conditionalFormatting sqref="A664:A672">
    <cfRule type="cellIs" dxfId="28867" priority="28705" stopIfTrue="1" operator="equal">
      <formula>"Pass"</formula>
    </cfRule>
    <cfRule type="cellIs" dxfId="28866" priority="28706" stopIfTrue="1" operator="equal">
      <formula>"Fail"</formula>
    </cfRule>
  </conditionalFormatting>
  <conditionalFormatting sqref="A664:A672">
    <cfRule type="cellIs" dxfId="28865" priority="28703" stopIfTrue="1" operator="equal">
      <formula>"Pass"</formula>
    </cfRule>
    <cfRule type="cellIs" dxfId="28864" priority="28704" stopIfTrue="1" operator="equal">
      <formula>"Fail"</formula>
    </cfRule>
  </conditionalFormatting>
  <conditionalFormatting sqref="A666 A669 A672">
    <cfRule type="cellIs" dxfId="28863" priority="28701" stopIfTrue="1" operator="equal">
      <formula>"Pass"</formula>
    </cfRule>
    <cfRule type="cellIs" dxfId="28862" priority="28702" stopIfTrue="1" operator="equal">
      <formula>"Fail"</formula>
    </cfRule>
  </conditionalFormatting>
  <conditionalFormatting sqref="A664:A672">
    <cfRule type="cellIs" dxfId="28861" priority="28699" stopIfTrue="1" operator="equal">
      <formula>"Pass"</formula>
    </cfRule>
    <cfRule type="cellIs" dxfId="28860" priority="28700" stopIfTrue="1" operator="equal">
      <formula>"Fail"</formula>
    </cfRule>
  </conditionalFormatting>
  <conditionalFormatting sqref="H673:H674">
    <cfRule type="cellIs" dxfId="28859" priority="28697" stopIfTrue="1" operator="equal">
      <formula>"Pass"</formula>
    </cfRule>
    <cfRule type="cellIs" dxfId="28858" priority="28698" stopIfTrue="1" operator="equal">
      <formula>"Fail"</formula>
    </cfRule>
  </conditionalFormatting>
  <conditionalFormatting sqref="E673:F673 E675:F675 I673:M674 A673:A681">
    <cfRule type="cellIs" dxfId="28857" priority="28695" stopIfTrue="1" operator="equal">
      <formula>"Pass"</formula>
    </cfRule>
    <cfRule type="cellIs" dxfId="28856" priority="28696" stopIfTrue="1" operator="equal">
      <formula>"Fail"</formula>
    </cfRule>
  </conditionalFormatting>
  <conditionalFormatting sqref="T675 T673 R673:R675 S674:S675">
    <cfRule type="cellIs" dxfId="28855" priority="28693" stopIfTrue="1" operator="equal">
      <formula>"Fail"</formula>
    </cfRule>
    <cfRule type="cellIs" dxfId="28854" priority="28694" stopIfTrue="1" operator="equal">
      <formula>"Pass"</formula>
    </cfRule>
  </conditionalFormatting>
  <conditionalFormatting sqref="F673:G673 F675:G675 A673:B675 J673:N674 A676:A681">
    <cfRule type="cellIs" dxfId="28853" priority="28691" stopIfTrue="1" operator="equal">
      <formula>"Pass"</formula>
    </cfRule>
    <cfRule type="cellIs" dxfId="28852" priority="28692" stopIfTrue="1" operator="equal">
      <formula>"Fail"</formula>
    </cfRule>
  </conditionalFormatting>
  <conditionalFormatting sqref="U675 U673 T673:T675 S674:S675">
    <cfRule type="cellIs" dxfId="28851" priority="28689" stopIfTrue="1" operator="equal">
      <formula>"Fail"</formula>
    </cfRule>
    <cfRule type="cellIs" dxfId="28850" priority="28690" stopIfTrue="1" operator="equal">
      <formula>"Pass"</formula>
    </cfRule>
  </conditionalFormatting>
  <conditionalFormatting sqref="A673:A681">
    <cfRule type="cellIs" dxfId="28849" priority="28687" stopIfTrue="1" operator="equal">
      <formula>"Pass"</formula>
    </cfRule>
    <cfRule type="cellIs" dxfId="28848" priority="28688" stopIfTrue="1" operator="equal">
      <formula>"Fail"</formula>
    </cfRule>
  </conditionalFormatting>
  <conditionalFormatting sqref="A673:A681">
    <cfRule type="cellIs" dxfId="28847" priority="28685" stopIfTrue="1" operator="equal">
      <formula>"Pass"</formula>
    </cfRule>
    <cfRule type="cellIs" dxfId="28846" priority="28686" stopIfTrue="1" operator="equal">
      <formula>"Fail"</formula>
    </cfRule>
  </conditionalFormatting>
  <conditionalFormatting sqref="A673:A681">
    <cfRule type="cellIs" dxfId="28845" priority="28683" stopIfTrue="1" operator="equal">
      <formula>"Pass"</formula>
    </cfRule>
    <cfRule type="cellIs" dxfId="28844" priority="28684" stopIfTrue="1" operator="equal">
      <formula>"Fail"</formula>
    </cfRule>
  </conditionalFormatting>
  <conditionalFormatting sqref="J673:N674 E673:G675">
    <cfRule type="cellIs" dxfId="28843" priority="28681" stopIfTrue="1" operator="equal">
      <formula>"Pass"</formula>
    </cfRule>
    <cfRule type="cellIs" dxfId="28842" priority="28682" stopIfTrue="1" operator="equal">
      <formula>"Fail"</formula>
    </cfRule>
  </conditionalFormatting>
  <conditionalFormatting sqref="A675 C675 K673:O674 F673:H675 A678 A681">
    <cfRule type="cellIs" dxfId="28841" priority="28679" stopIfTrue="1" operator="equal">
      <formula>"Pass"</formula>
    </cfRule>
    <cfRule type="cellIs" dxfId="28840" priority="28680" stopIfTrue="1" operator="equal">
      <formula>"Fail"</formula>
    </cfRule>
  </conditionalFormatting>
  <conditionalFormatting sqref="T673">
    <cfRule type="cellIs" dxfId="28839" priority="28677" stopIfTrue="1" operator="equal">
      <formula>"Fail"</formula>
    </cfRule>
    <cfRule type="cellIs" dxfId="28838" priority="28678" stopIfTrue="1" operator="equal">
      <formula>"Pass"</formula>
    </cfRule>
  </conditionalFormatting>
  <conditionalFormatting sqref="A673:A681">
    <cfRule type="cellIs" dxfId="28837" priority="28675" stopIfTrue="1" operator="equal">
      <formula>"Pass"</formula>
    </cfRule>
    <cfRule type="cellIs" dxfId="28836" priority="28676" stopIfTrue="1" operator="equal">
      <formula>"Fail"</formula>
    </cfRule>
  </conditionalFormatting>
  <conditionalFormatting sqref="A676">
    <cfRule type="cellIs" dxfId="28835" priority="28673" stopIfTrue="1" operator="equal">
      <formula>"Pass"</formula>
    </cfRule>
    <cfRule type="cellIs" dxfId="28834" priority="28674" stopIfTrue="1" operator="equal">
      <formula>"Fail"</formula>
    </cfRule>
  </conditionalFormatting>
  <conditionalFormatting sqref="A676">
    <cfRule type="cellIs" dxfId="28833" priority="28671" stopIfTrue="1" operator="equal">
      <formula>"Pass"</formula>
    </cfRule>
    <cfRule type="cellIs" dxfId="28832" priority="28672" stopIfTrue="1" operator="equal">
      <formula>"Fail"</formula>
    </cfRule>
  </conditionalFormatting>
  <conditionalFormatting sqref="A676">
    <cfRule type="cellIs" dxfId="28831" priority="28669" stopIfTrue="1" operator="equal">
      <formula>"Pass"</formula>
    </cfRule>
    <cfRule type="cellIs" dxfId="28830" priority="28670" stopIfTrue="1" operator="equal">
      <formula>"Fail"</formula>
    </cfRule>
  </conditionalFormatting>
  <conditionalFormatting sqref="A676">
    <cfRule type="cellIs" dxfId="28829" priority="28667" stopIfTrue="1" operator="equal">
      <formula>"Pass"</formula>
    </cfRule>
    <cfRule type="cellIs" dxfId="28828" priority="28668" stopIfTrue="1" operator="equal">
      <formula>"Fail"</formula>
    </cfRule>
  </conditionalFormatting>
  <conditionalFormatting sqref="A676">
    <cfRule type="cellIs" dxfId="28827" priority="28665" stopIfTrue="1" operator="equal">
      <formula>"Pass"</formula>
    </cfRule>
    <cfRule type="cellIs" dxfId="28826" priority="28666" stopIfTrue="1" operator="equal">
      <formula>"Fail"</formula>
    </cfRule>
  </conditionalFormatting>
  <conditionalFormatting sqref="A676">
    <cfRule type="cellIs" dxfId="28825" priority="28663" stopIfTrue="1" operator="equal">
      <formula>"Pass"</formula>
    </cfRule>
    <cfRule type="cellIs" dxfId="28824" priority="28664" stopIfTrue="1" operator="equal">
      <formula>"Fail"</formula>
    </cfRule>
  </conditionalFormatting>
  <conditionalFormatting sqref="A676">
    <cfRule type="cellIs" dxfId="28823" priority="28661" stopIfTrue="1" operator="equal">
      <formula>"Pass"</formula>
    </cfRule>
    <cfRule type="cellIs" dxfId="28822" priority="28662" stopIfTrue="1" operator="equal">
      <formula>"Fail"</formula>
    </cfRule>
  </conditionalFormatting>
  <conditionalFormatting sqref="A676">
    <cfRule type="cellIs" dxfId="28821" priority="28659" stopIfTrue="1" operator="equal">
      <formula>"Pass"</formula>
    </cfRule>
    <cfRule type="cellIs" dxfId="28820" priority="28660" stopIfTrue="1" operator="equal">
      <formula>"Fail"</formula>
    </cfRule>
  </conditionalFormatting>
  <conditionalFormatting sqref="A676">
    <cfRule type="cellIs" dxfId="28819" priority="28657" stopIfTrue="1" operator="equal">
      <formula>"Pass"</formula>
    </cfRule>
    <cfRule type="cellIs" dxfId="28818" priority="28658" stopIfTrue="1" operator="equal">
      <formula>"Fail"</formula>
    </cfRule>
  </conditionalFormatting>
  <conditionalFormatting sqref="A676">
    <cfRule type="cellIs" dxfId="28817" priority="28655" stopIfTrue="1" operator="equal">
      <formula>"Pass"</formula>
    </cfRule>
    <cfRule type="cellIs" dxfId="28816" priority="28656" stopIfTrue="1" operator="equal">
      <formula>"Fail"</formula>
    </cfRule>
  </conditionalFormatting>
  <conditionalFormatting sqref="A676">
    <cfRule type="cellIs" dxfId="28815" priority="28653" stopIfTrue="1" operator="equal">
      <formula>"Pass"</formula>
    </cfRule>
    <cfRule type="cellIs" dxfId="28814" priority="28654" stopIfTrue="1" operator="equal">
      <formula>"Fail"</formula>
    </cfRule>
  </conditionalFormatting>
  <conditionalFormatting sqref="A676">
    <cfRule type="cellIs" dxfId="28813" priority="28651" stopIfTrue="1" operator="equal">
      <formula>"Pass"</formula>
    </cfRule>
    <cfRule type="cellIs" dxfId="28812" priority="28652" stopIfTrue="1" operator="equal">
      <formula>"Fail"</formula>
    </cfRule>
  </conditionalFormatting>
  <conditionalFormatting sqref="J676:J677">
    <cfRule type="cellIs" dxfId="28811" priority="28649" stopIfTrue="1" operator="equal">
      <formula>"Pass"</formula>
    </cfRule>
    <cfRule type="cellIs" dxfId="28810" priority="28650" stopIfTrue="1" operator="equal">
      <formula>"Fail"</formula>
    </cfRule>
  </conditionalFormatting>
  <conditionalFormatting sqref="H676:H677 I677">
    <cfRule type="cellIs" dxfId="28809" priority="28647" stopIfTrue="1" operator="equal">
      <formula>"Pass"</formula>
    </cfRule>
    <cfRule type="cellIs" dxfId="28808" priority="28648" stopIfTrue="1" operator="equal">
      <formula>"Fail"</formula>
    </cfRule>
  </conditionalFormatting>
  <conditionalFormatting sqref="A676 C676 F678 F676:G676 K676:N677">
    <cfRule type="cellIs" dxfId="28807" priority="28645" stopIfTrue="1" operator="equal">
      <formula>"Pass"</formula>
    </cfRule>
    <cfRule type="cellIs" dxfId="28806" priority="28646" stopIfTrue="1" operator="equal">
      <formula>"Fail"</formula>
    </cfRule>
  </conditionalFormatting>
  <conditionalFormatting sqref="T676:T678 U677:U678">
    <cfRule type="cellIs" dxfId="28805" priority="28643" stopIfTrue="1" operator="equal">
      <formula>"Fail"</formula>
    </cfRule>
    <cfRule type="cellIs" dxfId="28804" priority="28644" stopIfTrue="1" operator="equal">
      <formula>"Pass"</formula>
    </cfRule>
  </conditionalFormatting>
  <conditionalFormatting sqref="A676">
    <cfRule type="cellIs" dxfId="28803" priority="28641" stopIfTrue="1" operator="equal">
      <formula>"Pass"</formula>
    </cfRule>
    <cfRule type="cellIs" dxfId="28802" priority="28642" stopIfTrue="1" operator="equal">
      <formula>"Fail"</formula>
    </cfRule>
  </conditionalFormatting>
  <conditionalFormatting sqref="A676">
    <cfRule type="cellIs" dxfId="28801" priority="28639" stopIfTrue="1" operator="equal">
      <formula>"Pass"</formula>
    </cfRule>
    <cfRule type="cellIs" dxfId="28800" priority="28640" stopIfTrue="1" operator="equal">
      <formula>"Fail"</formula>
    </cfRule>
  </conditionalFormatting>
  <conditionalFormatting sqref="A676">
    <cfRule type="cellIs" dxfId="28799" priority="28637" stopIfTrue="1" operator="equal">
      <formula>"Pass"</formula>
    </cfRule>
    <cfRule type="cellIs" dxfId="28798" priority="28638" stopIfTrue="1" operator="equal">
      <formula>"Fail"</formula>
    </cfRule>
  </conditionalFormatting>
  <conditionalFormatting sqref="A676">
    <cfRule type="cellIs" dxfId="28797" priority="28635" stopIfTrue="1" operator="equal">
      <formula>"Pass"</formula>
    </cfRule>
    <cfRule type="cellIs" dxfId="28796" priority="28636" stopIfTrue="1" operator="equal">
      <formula>"Fail"</formula>
    </cfRule>
  </conditionalFormatting>
  <conditionalFormatting sqref="A676">
    <cfRule type="cellIs" dxfId="28795" priority="28633" stopIfTrue="1" operator="equal">
      <formula>"Pass"</formula>
    </cfRule>
    <cfRule type="cellIs" dxfId="28794" priority="28634" stopIfTrue="1" operator="equal">
      <formula>"Fail"</formula>
    </cfRule>
  </conditionalFormatting>
  <conditionalFormatting sqref="A676">
    <cfRule type="cellIs" dxfId="28793" priority="28631" stopIfTrue="1" operator="equal">
      <formula>"Pass"</formula>
    </cfRule>
    <cfRule type="cellIs" dxfId="28792" priority="28632" stopIfTrue="1" operator="equal">
      <formula>"Fail"</formula>
    </cfRule>
  </conditionalFormatting>
  <conditionalFormatting sqref="A676">
    <cfRule type="cellIs" dxfId="28791" priority="28629" stopIfTrue="1" operator="equal">
      <formula>"Pass"</formula>
    </cfRule>
    <cfRule type="cellIs" dxfId="28790" priority="28630" stopIfTrue="1" operator="equal">
      <formula>"Fail"</formula>
    </cfRule>
  </conditionalFormatting>
  <conditionalFormatting sqref="A676">
    <cfRule type="cellIs" dxfId="28789" priority="28627" stopIfTrue="1" operator="equal">
      <formula>"Pass"</formula>
    </cfRule>
    <cfRule type="cellIs" dxfId="28788" priority="28628" stopIfTrue="1" operator="equal">
      <formula>"Fail"</formula>
    </cfRule>
  </conditionalFormatting>
  <conditionalFormatting sqref="A676">
    <cfRule type="cellIs" dxfId="28787" priority="28625" stopIfTrue="1" operator="equal">
      <formula>"Pass"</formula>
    </cfRule>
    <cfRule type="cellIs" dxfId="28786" priority="28626" stopIfTrue="1" operator="equal">
      <formula>"Fail"</formula>
    </cfRule>
  </conditionalFormatting>
  <conditionalFormatting sqref="A676">
    <cfRule type="cellIs" dxfId="28785" priority="28623" stopIfTrue="1" operator="equal">
      <formula>"Pass"</formula>
    </cfRule>
    <cfRule type="cellIs" dxfId="28784" priority="28624" stopIfTrue="1" operator="equal">
      <formula>"Fail"</formula>
    </cfRule>
  </conditionalFormatting>
  <conditionalFormatting sqref="A676">
    <cfRule type="cellIs" dxfId="28783" priority="28621" stopIfTrue="1" operator="equal">
      <formula>"Pass"</formula>
    </cfRule>
    <cfRule type="cellIs" dxfId="28782" priority="28622" stopIfTrue="1" operator="equal">
      <formula>"Fail"</formula>
    </cfRule>
  </conditionalFormatting>
  <conditionalFormatting sqref="A676">
    <cfRule type="cellIs" dxfId="28781" priority="28619" stopIfTrue="1" operator="equal">
      <formula>"Pass"</formula>
    </cfRule>
    <cfRule type="cellIs" dxfId="28780" priority="28620" stopIfTrue="1" operator="equal">
      <formula>"Fail"</formula>
    </cfRule>
  </conditionalFormatting>
  <conditionalFormatting sqref="A676">
    <cfRule type="cellIs" dxfId="28779" priority="28617" stopIfTrue="1" operator="equal">
      <formula>"Pass"</formula>
    </cfRule>
    <cfRule type="cellIs" dxfId="28778" priority="28618" stopIfTrue="1" operator="equal">
      <formula>"Fail"</formula>
    </cfRule>
  </conditionalFormatting>
  <conditionalFormatting sqref="A676">
    <cfRule type="cellIs" dxfId="28777" priority="28615" stopIfTrue="1" operator="equal">
      <formula>"Pass"</formula>
    </cfRule>
    <cfRule type="cellIs" dxfId="28776" priority="28616" stopIfTrue="1" operator="equal">
      <formula>"Fail"</formula>
    </cfRule>
  </conditionalFormatting>
  <conditionalFormatting sqref="A676">
    <cfRule type="cellIs" dxfId="28775" priority="28613" stopIfTrue="1" operator="equal">
      <formula>"Pass"</formula>
    </cfRule>
    <cfRule type="cellIs" dxfId="28774" priority="28614" stopIfTrue="1" operator="equal">
      <formula>"Fail"</formula>
    </cfRule>
  </conditionalFormatting>
  <conditionalFormatting sqref="A676">
    <cfRule type="cellIs" dxfId="28773" priority="28611" stopIfTrue="1" operator="equal">
      <formula>"Pass"</formula>
    </cfRule>
    <cfRule type="cellIs" dxfId="28772" priority="28612" stopIfTrue="1" operator="equal">
      <formula>"Fail"</formula>
    </cfRule>
  </conditionalFormatting>
  <conditionalFormatting sqref="U676">
    <cfRule type="cellIs" dxfId="28771" priority="28609" stopIfTrue="1" operator="equal">
      <formula>"Fail"</formula>
    </cfRule>
    <cfRule type="cellIs" dxfId="28770" priority="28610" stopIfTrue="1" operator="equal">
      <formula>"Pass"</formula>
    </cfRule>
  </conditionalFormatting>
  <conditionalFormatting sqref="U676">
    <cfRule type="cellIs" dxfId="28769" priority="28607" stopIfTrue="1" operator="equal">
      <formula>"Fail"</formula>
    </cfRule>
    <cfRule type="cellIs" dxfId="28768" priority="28608" stopIfTrue="1" operator="equal">
      <formula>"Pass"</formula>
    </cfRule>
  </conditionalFormatting>
  <conditionalFormatting sqref="J676:J677">
    <cfRule type="cellIs" dxfId="28767" priority="28605" stopIfTrue="1" operator="equal">
      <formula>"Pass"</formula>
    </cfRule>
    <cfRule type="cellIs" dxfId="28766" priority="28606" stopIfTrue="1" operator="equal">
      <formula>"Fail"</formula>
    </cfRule>
  </conditionalFormatting>
  <conditionalFormatting sqref="H676:H677 I677">
    <cfRule type="cellIs" dxfId="28765" priority="28603" stopIfTrue="1" operator="equal">
      <formula>"Pass"</formula>
    </cfRule>
    <cfRule type="cellIs" dxfId="28764" priority="28604" stopIfTrue="1" operator="equal">
      <formula>"Fail"</formula>
    </cfRule>
  </conditionalFormatting>
  <conditionalFormatting sqref="F678 F676:G676 K676:N677">
    <cfRule type="cellIs" dxfId="28763" priority="28601" stopIfTrue="1" operator="equal">
      <formula>"Pass"</formula>
    </cfRule>
    <cfRule type="cellIs" dxfId="28762" priority="28602" stopIfTrue="1" operator="equal">
      <formula>"Fail"</formula>
    </cfRule>
  </conditionalFormatting>
  <conditionalFormatting sqref="T676:T678 U677:U678">
    <cfRule type="cellIs" dxfId="28761" priority="28599" stopIfTrue="1" operator="equal">
      <formula>"Fail"</formula>
    </cfRule>
    <cfRule type="cellIs" dxfId="28760" priority="28600" stopIfTrue="1" operator="equal">
      <formula>"Pass"</formula>
    </cfRule>
  </conditionalFormatting>
  <conditionalFormatting sqref="U676">
    <cfRule type="cellIs" dxfId="28759" priority="28597" stopIfTrue="1" operator="equal">
      <formula>"Fail"</formula>
    </cfRule>
    <cfRule type="cellIs" dxfId="28758" priority="28598" stopIfTrue="1" operator="equal">
      <formula>"Pass"</formula>
    </cfRule>
  </conditionalFormatting>
  <conditionalFormatting sqref="U676">
    <cfRule type="cellIs" dxfId="28757" priority="28595" stopIfTrue="1" operator="equal">
      <formula>"Fail"</formula>
    </cfRule>
    <cfRule type="cellIs" dxfId="28756" priority="28596" stopIfTrue="1" operator="equal">
      <formula>"Pass"</formula>
    </cfRule>
  </conditionalFormatting>
  <conditionalFormatting sqref="F676:G676 K676:N676">
    <cfRule type="cellIs" dxfId="28755" priority="28593" stopIfTrue="1" operator="equal">
      <formula>"Pass"</formula>
    </cfRule>
    <cfRule type="cellIs" dxfId="28754" priority="28594" stopIfTrue="1" operator="equal">
      <formula>"Fail"</formula>
    </cfRule>
  </conditionalFormatting>
  <conditionalFormatting sqref="K677:N677">
    <cfRule type="cellIs" dxfId="28753" priority="28591" stopIfTrue="1" operator="equal">
      <formula>"Pass"</formula>
    </cfRule>
    <cfRule type="cellIs" dxfId="28752" priority="28592" stopIfTrue="1" operator="equal">
      <formula>"Fail"</formula>
    </cfRule>
  </conditionalFormatting>
  <conditionalFormatting sqref="U676">
    <cfRule type="cellIs" dxfId="28751" priority="28589" stopIfTrue="1" operator="equal">
      <formula>"Fail"</formula>
    </cfRule>
    <cfRule type="cellIs" dxfId="28750" priority="28590" stopIfTrue="1" operator="equal">
      <formula>"Pass"</formula>
    </cfRule>
  </conditionalFormatting>
  <conditionalFormatting sqref="H679:H680">
    <cfRule type="cellIs" dxfId="28749" priority="28587" stopIfTrue="1" operator="equal">
      <formula>"Pass"</formula>
    </cfRule>
    <cfRule type="cellIs" dxfId="28748" priority="28588" stopIfTrue="1" operator="equal">
      <formula>"Fail"</formula>
    </cfRule>
  </conditionalFormatting>
  <conditionalFormatting sqref="E679:F679 I679:M680 E681:F681 A679">
    <cfRule type="cellIs" dxfId="28747" priority="28585" stopIfTrue="1" operator="equal">
      <formula>"Pass"</formula>
    </cfRule>
    <cfRule type="cellIs" dxfId="28746" priority="28586" stopIfTrue="1" operator="equal">
      <formula>"Fail"</formula>
    </cfRule>
  </conditionalFormatting>
  <conditionalFormatting sqref="T681 T679 R679:R681 S680:S681">
    <cfRule type="cellIs" dxfId="28745" priority="28583" stopIfTrue="1" operator="equal">
      <formula>"Fail"</formula>
    </cfRule>
    <cfRule type="cellIs" dxfId="28744" priority="28584" stopIfTrue="1" operator="equal">
      <formula>"Pass"</formula>
    </cfRule>
  </conditionalFormatting>
  <conditionalFormatting sqref="F679:G679 J679:N680 F681:G681 B679:B681 A679">
    <cfRule type="cellIs" dxfId="28743" priority="28581" stopIfTrue="1" operator="equal">
      <formula>"Pass"</formula>
    </cfRule>
    <cfRule type="cellIs" dxfId="28742" priority="28582" stopIfTrue="1" operator="equal">
      <formula>"Fail"</formula>
    </cfRule>
  </conditionalFormatting>
  <conditionalFormatting sqref="U681 T679:T681 S680:S681">
    <cfRule type="cellIs" dxfId="28741" priority="28579" stopIfTrue="1" operator="equal">
      <formula>"Fail"</formula>
    </cfRule>
    <cfRule type="cellIs" dxfId="28740" priority="28580" stopIfTrue="1" operator="equal">
      <formula>"Pass"</formula>
    </cfRule>
  </conditionalFormatting>
  <conditionalFormatting sqref="A679">
    <cfRule type="cellIs" dxfId="28739" priority="28577" stopIfTrue="1" operator="equal">
      <formula>"Pass"</formula>
    </cfRule>
    <cfRule type="cellIs" dxfId="28738" priority="28578" stopIfTrue="1" operator="equal">
      <formula>"Fail"</formula>
    </cfRule>
  </conditionalFormatting>
  <conditionalFormatting sqref="A679">
    <cfRule type="cellIs" dxfId="28737" priority="28575" stopIfTrue="1" operator="equal">
      <formula>"Pass"</formula>
    </cfRule>
    <cfRule type="cellIs" dxfId="28736" priority="28576" stopIfTrue="1" operator="equal">
      <formula>"Fail"</formula>
    </cfRule>
  </conditionalFormatting>
  <conditionalFormatting sqref="A679">
    <cfRule type="cellIs" dxfId="28735" priority="28573" stopIfTrue="1" operator="equal">
      <formula>"Pass"</formula>
    </cfRule>
    <cfRule type="cellIs" dxfId="28734" priority="28574" stopIfTrue="1" operator="equal">
      <formula>"Fail"</formula>
    </cfRule>
  </conditionalFormatting>
  <conditionalFormatting sqref="A679">
    <cfRule type="cellIs" dxfId="28733" priority="28571" stopIfTrue="1" operator="equal">
      <formula>"Pass"</formula>
    </cfRule>
    <cfRule type="cellIs" dxfId="28732" priority="28572" stopIfTrue="1" operator="equal">
      <formula>"Fail"</formula>
    </cfRule>
  </conditionalFormatting>
  <conditionalFormatting sqref="A679">
    <cfRule type="cellIs" dxfId="28731" priority="28569" stopIfTrue="1" operator="equal">
      <formula>"Pass"</formula>
    </cfRule>
    <cfRule type="cellIs" dxfId="28730" priority="28570" stopIfTrue="1" operator="equal">
      <formula>"Fail"</formula>
    </cfRule>
  </conditionalFormatting>
  <conditionalFormatting sqref="A679">
    <cfRule type="cellIs" dxfId="28729" priority="28567" stopIfTrue="1" operator="equal">
      <formula>"Pass"</formula>
    </cfRule>
    <cfRule type="cellIs" dxfId="28728" priority="28568" stopIfTrue="1" operator="equal">
      <formula>"Fail"</formula>
    </cfRule>
  </conditionalFormatting>
  <conditionalFormatting sqref="A679">
    <cfRule type="cellIs" dxfId="28727" priority="28565" stopIfTrue="1" operator="equal">
      <formula>"Pass"</formula>
    </cfRule>
    <cfRule type="cellIs" dxfId="28726" priority="28566" stopIfTrue="1" operator="equal">
      <formula>"Fail"</formula>
    </cfRule>
  </conditionalFormatting>
  <conditionalFormatting sqref="A679">
    <cfRule type="cellIs" dxfId="28725" priority="28563" stopIfTrue="1" operator="equal">
      <formula>"Pass"</formula>
    </cfRule>
    <cfRule type="cellIs" dxfId="28724" priority="28564" stopIfTrue="1" operator="equal">
      <formula>"Fail"</formula>
    </cfRule>
  </conditionalFormatting>
  <conditionalFormatting sqref="A679">
    <cfRule type="cellIs" dxfId="28723" priority="28561" stopIfTrue="1" operator="equal">
      <formula>"Pass"</formula>
    </cfRule>
    <cfRule type="cellIs" dxfId="28722" priority="28562" stopIfTrue="1" operator="equal">
      <formula>"Fail"</formula>
    </cfRule>
  </conditionalFormatting>
  <conditionalFormatting sqref="A679">
    <cfRule type="cellIs" dxfId="28721" priority="28559" stopIfTrue="1" operator="equal">
      <formula>"Pass"</formula>
    </cfRule>
    <cfRule type="cellIs" dxfId="28720" priority="28560" stopIfTrue="1" operator="equal">
      <formula>"Fail"</formula>
    </cfRule>
  </conditionalFormatting>
  <conditionalFormatting sqref="U679">
    <cfRule type="cellIs" dxfId="28719" priority="28557" stopIfTrue="1" operator="equal">
      <formula>"Fail"</formula>
    </cfRule>
    <cfRule type="cellIs" dxfId="28718" priority="28558" stopIfTrue="1" operator="equal">
      <formula>"Pass"</formula>
    </cfRule>
  </conditionalFormatting>
  <conditionalFormatting sqref="F679:G679 J679:N679">
    <cfRule type="cellIs" dxfId="28717" priority="28555" stopIfTrue="1" operator="equal">
      <formula>"Pass"</formula>
    </cfRule>
    <cfRule type="cellIs" dxfId="28716" priority="28556" stopIfTrue="1" operator="equal">
      <formula>"Fail"</formula>
    </cfRule>
  </conditionalFormatting>
  <conditionalFormatting sqref="J680:N680">
    <cfRule type="cellIs" dxfId="28715" priority="28553" stopIfTrue="1" operator="equal">
      <formula>"Pass"</formula>
    </cfRule>
    <cfRule type="cellIs" dxfId="28714" priority="28554" stopIfTrue="1" operator="equal">
      <formula>"Fail"</formula>
    </cfRule>
  </conditionalFormatting>
  <conditionalFormatting sqref="A673:A681">
    <cfRule type="cellIs" dxfId="28713" priority="28551" stopIfTrue="1" operator="equal">
      <formula>"Pass"</formula>
    </cfRule>
    <cfRule type="cellIs" dxfId="28712" priority="28552" stopIfTrue="1" operator="equal">
      <formula>"Fail"</formula>
    </cfRule>
  </conditionalFormatting>
  <conditionalFormatting sqref="A673:A681">
    <cfRule type="cellIs" dxfId="28711" priority="28549" stopIfTrue="1" operator="equal">
      <formula>"Pass"</formula>
    </cfRule>
    <cfRule type="cellIs" dxfId="28710" priority="28550" stopIfTrue="1" operator="equal">
      <formula>"Fail"</formula>
    </cfRule>
  </conditionalFormatting>
  <conditionalFormatting sqref="A673:A681">
    <cfRule type="cellIs" dxfId="28709" priority="28547" stopIfTrue="1" operator="equal">
      <formula>"Pass"</formula>
    </cfRule>
    <cfRule type="cellIs" dxfId="28708" priority="28548" stopIfTrue="1" operator="equal">
      <formula>"Fail"</formula>
    </cfRule>
  </conditionalFormatting>
  <conditionalFormatting sqref="A673:A681">
    <cfRule type="cellIs" dxfId="28707" priority="28545" stopIfTrue="1" operator="equal">
      <formula>"Pass"</formula>
    </cfRule>
    <cfRule type="cellIs" dxfId="28706" priority="28546" stopIfTrue="1" operator="equal">
      <formula>"Fail"</formula>
    </cfRule>
  </conditionalFormatting>
  <conditionalFormatting sqref="A673:A681">
    <cfRule type="cellIs" dxfId="28705" priority="28543" stopIfTrue="1" operator="equal">
      <formula>"Pass"</formula>
    </cfRule>
    <cfRule type="cellIs" dxfId="28704" priority="28544" stopIfTrue="1" operator="equal">
      <formula>"Fail"</formula>
    </cfRule>
  </conditionalFormatting>
  <conditionalFormatting sqref="A675 A678 A681">
    <cfRule type="cellIs" dxfId="28703" priority="28541" stopIfTrue="1" operator="equal">
      <formula>"Pass"</formula>
    </cfRule>
    <cfRule type="cellIs" dxfId="28702" priority="28542" stopIfTrue="1" operator="equal">
      <formula>"Fail"</formula>
    </cfRule>
  </conditionalFormatting>
  <conditionalFormatting sqref="A673:A681">
    <cfRule type="cellIs" dxfId="28701" priority="28539" stopIfTrue="1" operator="equal">
      <formula>"Pass"</formula>
    </cfRule>
    <cfRule type="cellIs" dxfId="28700" priority="28540" stopIfTrue="1" operator="equal">
      <formula>"Fail"</formula>
    </cfRule>
  </conditionalFormatting>
  <conditionalFormatting sqref="A673:A681">
    <cfRule type="cellIs" dxfId="28699" priority="28537" stopIfTrue="1" operator="equal">
      <formula>"Pass"</formula>
    </cfRule>
    <cfRule type="cellIs" dxfId="28698" priority="28538" stopIfTrue="1" operator="equal">
      <formula>"Fail"</formula>
    </cfRule>
  </conditionalFormatting>
  <conditionalFormatting sqref="A673:A681">
    <cfRule type="cellIs" dxfId="28697" priority="28535" stopIfTrue="1" operator="equal">
      <formula>"Pass"</formula>
    </cfRule>
    <cfRule type="cellIs" dxfId="28696" priority="28536" stopIfTrue="1" operator="equal">
      <formula>"Fail"</formula>
    </cfRule>
  </conditionalFormatting>
  <conditionalFormatting sqref="A673:A681">
    <cfRule type="cellIs" dxfId="28695" priority="28533" stopIfTrue="1" operator="equal">
      <formula>"Pass"</formula>
    </cfRule>
    <cfRule type="cellIs" dxfId="28694" priority="28534" stopIfTrue="1" operator="equal">
      <formula>"Fail"</formula>
    </cfRule>
  </conditionalFormatting>
  <conditionalFormatting sqref="A673:A681">
    <cfRule type="cellIs" dxfId="28693" priority="28531" stopIfTrue="1" operator="equal">
      <formula>"Pass"</formula>
    </cfRule>
    <cfRule type="cellIs" dxfId="28692" priority="28532" stopIfTrue="1" operator="equal">
      <formula>"Fail"</formula>
    </cfRule>
  </conditionalFormatting>
  <conditionalFormatting sqref="A673:A681">
    <cfRule type="cellIs" dxfId="28691" priority="28529" stopIfTrue="1" operator="equal">
      <formula>"Pass"</formula>
    </cfRule>
    <cfRule type="cellIs" dxfId="28690" priority="28530" stopIfTrue="1" operator="equal">
      <formula>"Fail"</formula>
    </cfRule>
  </conditionalFormatting>
  <conditionalFormatting sqref="A675 A678 A681">
    <cfRule type="cellIs" dxfId="28689" priority="28527" stopIfTrue="1" operator="equal">
      <formula>"Pass"</formula>
    </cfRule>
    <cfRule type="cellIs" dxfId="28688" priority="28528" stopIfTrue="1" operator="equal">
      <formula>"Fail"</formula>
    </cfRule>
  </conditionalFormatting>
  <conditionalFormatting sqref="A673:A681">
    <cfRule type="cellIs" dxfId="28687" priority="28525" stopIfTrue="1" operator="equal">
      <formula>"Pass"</formula>
    </cfRule>
    <cfRule type="cellIs" dxfId="28686" priority="28526" stopIfTrue="1" operator="equal">
      <formula>"Fail"</formula>
    </cfRule>
  </conditionalFormatting>
  <conditionalFormatting sqref="H682:H683">
    <cfRule type="cellIs" dxfId="28685" priority="28523" stopIfTrue="1" operator="equal">
      <formula>"Pass"</formula>
    </cfRule>
    <cfRule type="cellIs" dxfId="28684" priority="28524" stopIfTrue="1" operator="equal">
      <formula>"Fail"</formula>
    </cfRule>
  </conditionalFormatting>
  <conditionalFormatting sqref="E682:F682 E684:F684 I682:M683 A682:A690">
    <cfRule type="cellIs" dxfId="28683" priority="28521" stopIfTrue="1" operator="equal">
      <formula>"Pass"</formula>
    </cfRule>
    <cfRule type="cellIs" dxfId="28682" priority="28522" stopIfTrue="1" operator="equal">
      <formula>"Fail"</formula>
    </cfRule>
  </conditionalFormatting>
  <conditionalFormatting sqref="T684 T682 R682:R684 S683:S684">
    <cfRule type="cellIs" dxfId="28681" priority="28519" stopIfTrue="1" operator="equal">
      <formula>"Fail"</formula>
    </cfRule>
    <cfRule type="cellIs" dxfId="28680" priority="28520" stopIfTrue="1" operator="equal">
      <formula>"Pass"</formula>
    </cfRule>
  </conditionalFormatting>
  <conditionalFormatting sqref="F682:G682 F684:G684 A682:B684 J682:N683 A685:A690">
    <cfRule type="cellIs" dxfId="28679" priority="28517" stopIfTrue="1" operator="equal">
      <formula>"Pass"</formula>
    </cfRule>
    <cfRule type="cellIs" dxfId="28678" priority="28518" stopIfTrue="1" operator="equal">
      <formula>"Fail"</formula>
    </cfRule>
  </conditionalFormatting>
  <conditionalFormatting sqref="U684 U682 T682:T684 S683:S684">
    <cfRule type="cellIs" dxfId="28677" priority="28515" stopIfTrue="1" operator="equal">
      <formula>"Fail"</formula>
    </cfRule>
    <cfRule type="cellIs" dxfId="28676" priority="28516" stopIfTrue="1" operator="equal">
      <formula>"Pass"</formula>
    </cfRule>
  </conditionalFormatting>
  <conditionalFormatting sqref="A682:A690">
    <cfRule type="cellIs" dxfId="28675" priority="28513" stopIfTrue="1" operator="equal">
      <formula>"Pass"</formula>
    </cfRule>
    <cfRule type="cellIs" dxfId="28674" priority="28514" stopIfTrue="1" operator="equal">
      <formula>"Fail"</formula>
    </cfRule>
  </conditionalFormatting>
  <conditionalFormatting sqref="A682:A690">
    <cfRule type="cellIs" dxfId="28673" priority="28511" stopIfTrue="1" operator="equal">
      <formula>"Pass"</formula>
    </cfRule>
    <cfRule type="cellIs" dxfId="28672" priority="28512" stopIfTrue="1" operator="equal">
      <formula>"Fail"</formula>
    </cfRule>
  </conditionalFormatting>
  <conditionalFormatting sqref="A682:A690">
    <cfRule type="cellIs" dxfId="28671" priority="28509" stopIfTrue="1" operator="equal">
      <formula>"Pass"</formula>
    </cfRule>
    <cfRule type="cellIs" dxfId="28670" priority="28510" stopIfTrue="1" operator="equal">
      <formula>"Fail"</formula>
    </cfRule>
  </conditionalFormatting>
  <conditionalFormatting sqref="J682:N683 E682:G684">
    <cfRule type="cellIs" dxfId="28669" priority="28507" stopIfTrue="1" operator="equal">
      <formula>"Pass"</formula>
    </cfRule>
    <cfRule type="cellIs" dxfId="28668" priority="28508" stopIfTrue="1" operator="equal">
      <formula>"Fail"</formula>
    </cfRule>
  </conditionalFormatting>
  <conditionalFormatting sqref="A684 C684 K682:O683 F682:H684 A687 A690">
    <cfRule type="cellIs" dxfId="28667" priority="28505" stopIfTrue="1" operator="equal">
      <formula>"Pass"</formula>
    </cfRule>
    <cfRule type="cellIs" dxfId="28666" priority="28506" stopIfTrue="1" operator="equal">
      <formula>"Fail"</formula>
    </cfRule>
  </conditionalFormatting>
  <conditionalFormatting sqref="T682">
    <cfRule type="cellIs" dxfId="28665" priority="28503" stopIfTrue="1" operator="equal">
      <formula>"Fail"</formula>
    </cfRule>
    <cfRule type="cellIs" dxfId="28664" priority="28504" stopIfTrue="1" operator="equal">
      <formula>"Pass"</formula>
    </cfRule>
  </conditionalFormatting>
  <conditionalFormatting sqref="A682:A690">
    <cfRule type="cellIs" dxfId="28663" priority="28501" stopIfTrue="1" operator="equal">
      <formula>"Pass"</formula>
    </cfRule>
    <cfRule type="cellIs" dxfId="28662" priority="28502" stopIfTrue="1" operator="equal">
      <formula>"Fail"</formula>
    </cfRule>
  </conditionalFormatting>
  <conditionalFormatting sqref="A685">
    <cfRule type="cellIs" dxfId="28661" priority="28499" stopIfTrue="1" operator="equal">
      <formula>"Pass"</formula>
    </cfRule>
    <cfRule type="cellIs" dxfId="28660" priority="28500" stopIfTrue="1" operator="equal">
      <formula>"Fail"</formula>
    </cfRule>
  </conditionalFormatting>
  <conditionalFormatting sqref="A685">
    <cfRule type="cellIs" dxfId="28659" priority="28497" stopIfTrue="1" operator="equal">
      <formula>"Pass"</formula>
    </cfRule>
    <cfRule type="cellIs" dxfId="28658" priority="28498" stopIfTrue="1" operator="equal">
      <formula>"Fail"</formula>
    </cfRule>
  </conditionalFormatting>
  <conditionalFormatting sqref="A685">
    <cfRule type="cellIs" dxfId="28657" priority="28495" stopIfTrue="1" operator="equal">
      <formula>"Pass"</formula>
    </cfRule>
    <cfRule type="cellIs" dxfId="28656" priority="28496" stopIfTrue="1" operator="equal">
      <formula>"Fail"</formula>
    </cfRule>
  </conditionalFormatting>
  <conditionalFormatting sqref="A685">
    <cfRule type="cellIs" dxfId="28655" priority="28493" stopIfTrue="1" operator="equal">
      <formula>"Pass"</formula>
    </cfRule>
    <cfRule type="cellIs" dxfId="28654" priority="28494" stopIfTrue="1" operator="equal">
      <formula>"Fail"</formula>
    </cfRule>
  </conditionalFormatting>
  <conditionalFormatting sqref="A685">
    <cfRule type="cellIs" dxfId="28653" priority="28491" stopIfTrue="1" operator="equal">
      <formula>"Pass"</formula>
    </cfRule>
    <cfRule type="cellIs" dxfId="28652" priority="28492" stopIfTrue="1" operator="equal">
      <formula>"Fail"</formula>
    </cfRule>
  </conditionalFormatting>
  <conditionalFormatting sqref="A685">
    <cfRule type="cellIs" dxfId="28651" priority="28489" stopIfTrue="1" operator="equal">
      <formula>"Pass"</formula>
    </cfRule>
    <cfRule type="cellIs" dxfId="28650" priority="28490" stopIfTrue="1" operator="equal">
      <formula>"Fail"</formula>
    </cfRule>
  </conditionalFormatting>
  <conditionalFormatting sqref="A685">
    <cfRule type="cellIs" dxfId="28649" priority="28487" stopIfTrue="1" operator="equal">
      <formula>"Pass"</formula>
    </cfRule>
    <cfRule type="cellIs" dxfId="28648" priority="28488" stopIfTrue="1" operator="equal">
      <formula>"Fail"</formula>
    </cfRule>
  </conditionalFormatting>
  <conditionalFormatting sqref="A685">
    <cfRule type="cellIs" dxfId="28647" priority="28485" stopIfTrue="1" operator="equal">
      <formula>"Pass"</formula>
    </cfRule>
    <cfRule type="cellIs" dxfId="28646" priority="28486" stopIfTrue="1" operator="equal">
      <formula>"Fail"</formula>
    </cfRule>
  </conditionalFormatting>
  <conditionalFormatting sqref="A685">
    <cfRule type="cellIs" dxfId="28645" priority="28483" stopIfTrue="1" operator="equal">
      <formula>"Pass"</formula>
    </cfRule>
    <cfRule type="cellIs" dxfId="28644" priority="28484" stopIfTrue="1" operator="equal">
      <formula>"Fail"</formula>
    </cfRule>
  </conditionalFormatting>
  <conditionalFormatting sqref="A685">
    <cfRule type="cellIs" dxfId="28643" priority="28481" stopIfTrue="1" operator="equal">
      <formula>"Pass"</formula>
    </cfRule>
    <cfRule type="cellIs" dxfId="28642" priority="28482" stopIfTrue="1" operator="equal">
      <formula>"Fail"</formula>
    </cfRule>
  </conditionalFormatting>
  <conditionalFormatting sqref="A685">
    <cfRule type="cellIs" dxfId="28641" priority="28479" stopIfTrue="1" operator="equal">
      <formula>"Pass"</formula>
    </cfRule>
    <cfRule type="cellIs" dxfId="28640" priority="28480" stopIfTrue="1" operator="equal">
      <formula>"Fail"</formula>
    </cfRule>
  </conditionalFormatting>
  <conditionalFormatting sqref="A685">
    <cfRule type="cellIs" dxfId="28639" priority="28477" stopIfTrue="1" operator="equal">
      <formula>"Pass"</formula>
    </cfRule>
    <cfRule type="cellIs" dxfId="28638" priority="28478" stopIfTrue="1" operator="equal">
      <formula>"Fail"</formula>
    </cfRule>
  </conditionalFormatting>
  <conditionalFormatting sqref="J685:J686">
    <cfRule type="cellIs" dxfId="28637" priority="28475" stopIfTrue="1" operator="equal">
      <formula>"Pass"</formula>
    </cfRule>
    <cfRule type="cellIs" dxfId="28636" priority="28476" stopIfTrue="1" operator="equal">
      <formula>"Fail"</formula>
    </cfRule>
  </conditionalFormatting>
  <conditionalFormatting sqref="H685:H686 I686">
    <cfRule type="cellIs" dxfId="28635" priority="28473" stopIfTrue="1" operator="equal">
      <formula>"Pass"</formula>
    </cfRule>
    <cfRule type="cellIs" dxfId="28634" priority="28474" stopIfTrue="1" operator="equal">
      <formula>"Fail"</formula>
    </cfRule>
  </conditionalFormatting>
  <conditionalFormatting sqref="A685 C685 F687 F685:G685 K685:N686">
    <cfRule type="cellIs" dxfId="28633" priority="28471" stopIfTrue="1" operator="equal">
      <formula>"Pass"</formula>
    </cfRule>
    <cfRule type="cellIs" dxfId="28632" priority="28472" stopIfTrue="1" operator="equal">
      <formula>"Fail"</formula>
    </cfRule>
  </conditionalFormatting>
  <conditionalFormatting sqref="T685:T687 U686:U687">
    <cfRule type="cellIs" dxfId="28631" priority="28469" stopIfTrue="1" operator="equal">
      <formula>"Fail"</formula>
    </cfRule>
    <cfRule type="cellIs" dxfId="28630" priority="28470" stopIfTrue="1" operator="equal">
      <formula>"Pass"</formula>
    </cfRule>
  </conditionalFormatting>
  <conditionalFormatting sqref="A685">
    <cfRule type="cellIs" dxfId="28629" priority="28467" stopIfTrue="1" operator="equal">
      <formula>"Pass"</formula>
    </cfRule>
    <cfRule type="cellIs" dxfId="28628" priority="28468" stopIfTrue="1" operator="equal">
      <formula>"Fail"</formula>
    </cfRule>
  </conditionalFormatting>
  <conditionalFormatting sqref="A685">
    <cfRule type="cellIs" dxfId="28627" priority="28465" stopIfTrue="1" operator="equal">
      <formula>"Pass"</formula>
    </cfRule>
    <cfRule type="cellIs" dxfId="28626" priority="28466" stopIfTrue="1" operator="equal">
      <formula>"Fail"</formula>
    </cfRule>
  </conditionalFormatting>
  <conditionalFormatting sqref="A685">
    <cfRule type="cellIs" dxfId="28625" priority="28463" stopIfTrue="1" operator="equal">
      <formula>"Pass"</formula>
    </cfRule>
    <cfRule type="cellIs" dxfId="28624" priority="28464" stopIfTrue="1" operator="equal">
      <formula>"Fail"</formula>
    </cfRule>
  </conditionalFormatting>
  <conditionalFormatting sqref="A685">
    <cfRule type="cellIs" dxfId="28623" priority="28461" stopIfTrue="1" operator="equal">
      <formula>"Pass"</formula>
    </cfRule>
    <cfRule type="cellIs" dxfId="28622" priority="28462" stopIfTrue="1" operator="equal">
      <formula>"Fail"</formula>
    </cfRule>
  </conditionalFormatting>
  <conditionalFormatting sqref="A685">
    <cfRule type="cellIs" dxfId="28621" priority="28459" stopIfTrue="1" operator="equal">
      <formula>"Pass"</formula>
    </cfRule>
    <cfRule type="cellIs" dxfId="28620" priority="28460" stopIfTrue="1" operator="equal">
      <formula>"Fail"</formula>
    </cfRule>
  </conditionalFormatting>
  <conditionalFormatting sqref="A685">
    <cfRule type="cellIs" dxfId="28619" priority="28457" stopIfTrue="1" operator="equal">
      <formula>"Pass"</formula>
    </cfRule>
    <cfRule type="cellIs" dxfId="28618" priority="28458" stopIfTrue="1" operator="equal">
      <formula>"Fail"</formula>
    </cfRule>
  </conditionalFormatting>
  <conditionalFormatting sqref="A685">
    <cfRule type="cellIs" dxfId="28617" priority="28455" stopIfTrue="1" operator="equal">
      <formula>"Pass"</formula>
    </cfRule>
    <cfRule type="cellIs" dxfId="28616" priority="28456" stopIfTrue="1" operator="equal">
      <formula>"Fail"</formula>
    </cfRule>
  </conditionalFormatting>
  <conditionalFormatting sqref="A685">
    <cfRule type="cellIs" dxfId="28615" priority="28453" stopIfTrue="1" operator="equal">
      <formula>"Pass"</formula>
    </cfRule>
    <cfRule type="cellIs" dxfId="28614" priority="28454" stopIfTrue="1" operator="equal">
      <formula>"Fail"</formula>
    </cfRule>
  </conditionalFormatting>
  <conditionalFormatting sqref="A685">
    <cfRule type="cellIs" dxfId="28613" priority="28451" stopIfTrue="1" operator="equal">
      <formula>"Pass"</formula>
    </cfRule>
    <cfRule type="cellIs" dxfId="28612" priority="28452" stopIfTrue="1" operator="equal">
      <formula>"Fail"</formula>
    </cfRule>
  </conditionalFormatting>
  <conditionalFormatting sqref="A685">
    <cfRule type="cellIs" dxfId="28611" priority="28449" stopIfTrue="1" operator="equal">
      <formula>"Pass"</formula>
    </cfRule>
    <cfRule type="cellIs" dxfId="28610" priority="28450" stopIfTrue="1" operator="equal">
      <formula>"Fail"</formula>
    </cfRule>
  </conditionalFormatting>
  <conditionalFormatting sqref="A685">
    <cfRule type="cellIs" dxfId="28609" priority="28447" stopIfTrue="1" operator="equal">
      <formula>"Pass"</formula>
    </cfRule>
    <cfRule type="cellIs" dxfId="28608" priority="28448" stopIfTrue="1" operator="equal">
      <formula>"Fail"</formula>
    </cfRule>
  </conditionalFormatting>
  <conditionalFormatting sqref="A685">
    <cfRule type="cellIs" dxfId="28607" priority="28445" stopIfTrue="1" operator="equal">
      <formula>"Pass"</formula>
    </cfRule>
    <cfRule type="cellIs" dxfId="28606" priority="28446" stopIfTrue="1" operator="equal">
      <formula>"Fail"</formula>
    </cfRule>
  </conditionalFormatting>
  <conditionalFormatting sqref="A685">
    <cfRule type="cellIs" dxfId="28605" priority="28443" stopIfTrue="1" operator="equal">
      <formula>"Pass"</formula>
    </cfRule>
    <cfRule type="cellIs" dxfId="28604" priority="28444" stopIfTrue="1" operator="equal">
      <formula>"Fail"</formula>
    </cfRule>
  </conditionalFormatting>
  <conditionalFormatting sqref="A685">
    <cfRule type="cellIs" dxfId="28603" priority="28441" stopIfTrue="1" operator="equal">
      <formula>"Pass"</formula>
    </cfRule>
    <cfRule type="cellIs" dxfId="28602" priority="28442" stopIfTrue="1" operator="equal">
      <formula>"Fail"</formula>
    </cfRule>
  </conditionalFormatting>
  <conditionalFormatting sqref="A685">
    <cfRule type="cellIs" dxfId="28601" priority="28439" stopIfTrue="1" operator="equal">
      <formula>"Pass"</formula>
    </cfRule>
    <cfRule type="cellIs" dxfId="28600" priority="28440" stopIfTrue="1" operator="equal">
      <formula>"Fail"</formula>
    </cfRule>
  </conditionalFormatting>
  <conditionalFormatting sqref="A685">
    <cfRule type="cellIs" dxfId="28599" priority="28437" stopIfTrue="1" operator="equal">
      <formula>"Pass"</formula>
    </cfRule>
    <cfRule type="cellIs" dxfId="28598" priority="28438" stopIfTrue="1" operator="equal">
      <formula>"Fail"</formula>
    </cfRule>
  </conditionalFormatting>
  <conditionalFormatting sqref="U685">
    <cfRule type="cellIs" dxfId="28597" priority="28435" stopIfTrue="1" operator="equal">
      <formula>"Fail"</formula>
    </cfRule>
    <cfRule type="cellIs" dxfId="28596" priority="28436" stopIfTrue="1" operator="equal">
      <formula>"Pass"</formula>
    </cfRule>
  </conditionalFormatting>
  <conditionalFormatting sqref="U685">
    <cfRule type="cellIs" dxfId="28595" priority="28433" stopIfTrue="1" operator="equal">
      <formula>"Fail"</formula>
    </cfRule>
    <cfRule type="cellIs" dxfId="28594" priority="28434" stopIfTrue="1" operator="equal">
      <formula>"Pass"</formula>
    </cfRule>
  </conditionalFormatting>
  <conditionalFormatting sqref="J685:J686">
    <cfRule type="cellIs" dxfId="28593" priority="28431" stopIfTrue="1" operator="equal">
      <formula>"Pass"</formula>
    </cfRule>
    <cfRule type="cellIs" dxfId="28592" priority="28432" stopIfTrue="1" operator="equal">
      <formula>"Fail"</formula>
    </cfRule>
  </conditionalFormatting>
  <conditionalFormatting sqref="H685:H686 I686">
    <cfRule type="cellIs" dxfId="28591" priority="28429" stopIfTrue="1" operator="equal">
      <formula>"Pass"</formula>
    </cfRule>
    <cfRule type="cellIs" dxfId="28590" priority="28430" stopIfTrue="1" operator="equal">
      <formula>"Fail"</formula>
    </cfRule>
  </conditionalFormatting>
  <conditionalFormatting sqref="F687 F685:G685 K685:N686">
    <cfRule type="cellIs" dxfId="28589" priority="28427" stopIfTrue="1" operator="equal">
      <formula>"Pass"</formula>
    </cfRule>
    <cfRule type="cellIs" dxfId="28588" priority="28428" stopIfTrue="1" operator="equal">
      <formula>"Fail"</formula>
    </cfRule>
  </conditionalFormatting>
  <conditionalFormatting sqref="T685:T687 U686:U687">
    <cfRule type="cellIs" dxfId="28587" priority="28425" stopIfTrue="1" operator="equal">
      <formula>"Fail"</formula>
    </cfRule>
    <cfRule type="cellIs" dxfId="28586" priority="28426" stopIfTrue="1" operator="equal">
      <formula>"Pass"</formula>
    </cfRule>
  </conditionalFormatting>
  <conditionalFormatting sqref="U685">
    <cfRule type="cellIs" dxfId="28585" priority="28423" stopIfTrue="1" operator="equal">
      <formula>"Fail"</formula>
    </cfRule>
    <cfRule type="cellIs" dxfId="28584" priority="28424" stopIfTrue="1" operator="equal">
      <formula>"Pass"</formula>
    </cfRule>
  </conditionalFormatting>
  <conditionalFormatting sqref="U685">
    <cfRule type="cellIs" dxfId="28583" priority="28421" stopIfTrue="1" operator="equal">
      <formula>"Fail"</formula>
    </cfRule>
    <cfRule type="cellIs" dxfId="28582" priority="28422" stopIfTrue="1" operator="equal">
      <formula>"Pass"</formula>
    </cfRule>
  </conditionalFormatting>
  <conditionalFormatting sqref="F685:G685 K685:N685">
    <cfRule type="cellIs" dxfId="28581" priority="28419" stopIfTrue="1" operator="equal">
      <formula>"Pass"</formula>
    </cfRule>
    <cfRule type="cellIs" dxfId="28580" priority="28420" stopIfTrue="1" operator="equal">
      <formula>"Fail"</formula>
    </cfRule>
  </conditionalFormatting>
  <conditionalFormatting sqref="K686:N686">
    <cfRule type="cellIs" dxfId="28579" priority="28417" stopIfTrue="1" operator="equal">
      <formula>"Pass"</formula>
    </cfRule>
    <cfRule type="cellIs" dxfId="28578" priority="28418" stopIfTrue="1" operator="equal">
      <formula>"Fail"</formula>
    </cfRule>
  </conditionalFormatting>
  <conditionalFormatting sqref="U685">
    <cfRule type="cellIs" dxfId="28577" priority="28415" stopIfTrue="1" operator="equal">
      <formula>"Fail"</formula>
    </cfRule>
    <cfRule type="cellIs" dxfId="28576" priority="28416" stopIfTrue="1" operator="equal">
      <formula>"Pass"</formula>
    </cfRule>
  </conditionalFormatting>
  <conditionalFormatting sqref="H688:H689">
    <cfRule type="cellIs" dxfId="28575" priority="28413" stopIfTrue="1" operator="equal">
      <formula>"Pass"</formula>
    </cfRule>
    <cfRule type="cellIs" dxfId="28574" priority="28414" stopIfTrue="1" operator="equal">
      <formula>"Fail"</formula>
    </cfRule>
  </conditionalFormatting>
  <conditionalFormatting sqref="E688:F688 I688:M689 E690:F690 A688">
    <cfRule type="cellIs" dxfId="28573" priority="28411" stopIfTrue="1" operator="equal">
      <formula>"Pass"</formula>
    </cfRule>
    <cfRule type="cellIs" dxfId="28572" priority="28412" stopIfTrue="1" operator="equal">
      <formula>"Fail"</formula>
    </cfRule>
  </conditionalFormatting>
  <conditionalFormatting sqref="T690 T688 R688:R690 S689:S690">
    <cfRule type="cellIs" dxfId="28571" priority="28409" stopIfTrue="1" operator="equal">
      <formula>"Fail"</formula>
    </cfRule>
    <cfRule type="cellIs" dxfId="28570" priority="28410" stopIfTrue="1" operator="equal">
      <formula>"Pass"</formula>
    </cfRule>
  </conditionalFormatting>
  <conditionalFormatting sqref="F688:G688 J688:N689 F690:G690 B688:B690 A688">
    <cfRule type="cellIs" dxfId="28569" priority="28407" stopIfTrue="1" operator="equal">
      <formula>"Pass"</formula>
    </cfRule>
    <cfRule type="cellIs" dxfId="28568" priority="28408" stopIfTrue="1" operator="equal">
      <formula>"Fail"</formula>
    </cfRule>
  </conditionalFormatting>
  <conditionalFormatting sqref="U690 T688:T690 S689:S690">
    <cfRule type="cellIs" dxfId="28567" priority="28405" stopIfTrue="1" operator="equal">
      <formula>"Fail"</formula>
    </cfRule>
    <cfRule type="cellIs" dxfId="28566" priority="28406" stopIfTrue="1" operator="equal">
      <formula>"Pass"</formula>
    </cfRule>
  </conditionalFormatting>
  <conditionalFormatting sqref="A688">
    <cfRule type="cellIs" dxfId="28565" priority="28403" stopIfTrue="1" operator="equal">
      <formula>"Pass"</formula>
    </cfRule>
    <cfRule type="cellIs" dxfId="28564" priority="28404" stopIfTrue="1" operator="equal">
      <formula>"Fail"</formula>
    </cfRule>
  </conditionalFormatting>
  <conditionalFormatting sqref="A688">
    <cfRule type="cellIs" dxfId="28563" priority="28401" stopIfTrue="1" operator="equal">
      <formula>"Pass"</formula>
    </cfRule>
    <cfRule type="cellIs" dxfId="28562" priority="28402" stopIfTrue="1" operator="equal">
      <formula>"Fail"</formula>
    </cfRule>
  </conditionalFormatting>
  <conditionalFormatting sqref="A688">
    <cfRule type="cellIs" dxfId="28561" priority="28399" stopIfTrue="1" operator="equal">
      <formula>"Pass"</formula>
    </cfRule>
    <cfRule type="cellIs" dxfId="28560" priority="28400" stopIfTrue="1" operator="equal">
      <formula>"Fail"</formula>
    </cfRule>
  </conditionalFormatting>
  <conditionalFormatting sqref="A688">
    <cfRule type="cellIs" dxfId="28559" priority="28397" stopIfTrue="1" operator="equal">
      <formula>"Pass"</formula>
    </cfRule>
    <cfRule type="cellIs" dxfId="28558" priority="28398" stopIfTrue="1" operator="equal">
      <formula>"Fail"</formula>
    </cfRule>
  </conditionalFormatting>
  <conditionalFormatting sqref="A688">
    <cfRule type="cellIs" dxfId="28557" priority="28395" stopIfTrue="1" operator="equal">
      <formula>"Pass"</formula>
    </cfRule>
    <cfRule type="cellIs" dxfId="28556" priority="28396" stopIfTrue="1" operator="equal">
      <formula>"Fail"</formula>
    </cfRule>
  </conditionalFormatting>
  <conditionalFormatting sqref="A688">
    <cfRule type="cellIs" dxfId="28555" priority="28393" stopIfTrue="1" operator="equal">
      <formula>"Pass"</formula>
    </cfRule>
    <cfRule type="cellIs" dxfId="28554" priority="28394" stopIfTrue="1" operator="equal">
      <formula>"Fail"</formula>
    </cfRule>
  </conditionalFormatting>
  <conditionalFormatting sqref="A688">
    <cfRule type="cellIs" dxfId="28553" priority="28391" stopIfTrue="1" operator="equal">
      <formula>"Pass"</formula>
    </cfRule>
    <cfRule type="cellIs" dxfId="28552" priority="28392" stopIfTrue="1" operator="equal">
      <formula>"Fail"</formula>
    </cfRule>
  </conditionalFormatting>
  <conditionalFormatting sqref="A688">
    <cfRule type="cellIs" dxfId="28551" priority="28389" stopIfTrue="1" operator="equal">
      <formula>"Pass"</formula>
    </cfRule>
    <cfRule type="cellIs" dxfId="28550" priority="28390" stopIfTrue="1" operator="equal">
      <formula>"Fail"</formula>
    </cfRule>
  </conditionalFormatting>
  <conditionalFormatting sqref="A688">
    <cfRule type="cellIs" dxfId="28549" priority="28387" stopIfTrue="1" operator="equal">
      <formula>"Pass"</formula>
    </cfRule>
    <cfRule type="cellIs" dxfId="28548" priority="28388" stopIfTrue="1" operator="equal">
      <formula>"Fail"</formula>
    </cfRule>
  </conditionalFormatting>
  <conditionalFormatting sqref="A688">
    <cfRule type="cellIs" dxfId="28547" priority="28385" stopIfTrue="1" operator="equal">
      <formula>"Pass"</formula>
    </cfRule>
    <cfRule type="cellIs" dxfId="28546" priority="28386" stopIfTrue="1" operator="equal">
      <formula>"Fail"</formula>
    </cfRule>
  </conditionalFormatting>
  <conditionalFormatting sqref="U688">
    <cfRule type="cellIs" dxfId="28545" priority="28383" stopIfTrue="1" operator="equal">
      <formula>"Fail"</formula>
    </cfRule>
    <cfRule type="cellIs" dxfId="28544" priority="28384" stopIfTrue="1" operator="equal">
      <formula>"Pass"</formula>
    </cfRule>
  </conditionalFormatting>
  <conditionalFormatting sqref="F688:G688 J688:N688">
    <cfRule type="cellIs" dxfId="28543" priority="28381" stopIfTrue="1" operator="equal">
      <formula>"Pass"</formula>
    </cfRule>
    <cfRule type="cellIs" dxfId="28542" priority="28382" stopIfTrue="1" operator="equal">
      <formula>"Fail"</formula>
    </cfRule>
  </conditionalFormatting>
  <conditionalFormatting sqref="J689:N689">
    <cfRule type="cellIs" dxfId="28541" priority="28379" stopIfTrue="1" operator="equal">
      <formula>"Pass"</formula>
    </cfRule>
    <cfRule type="cellIs" dxfId="28540" priority="28380" stopIfTrue="1" operator="equal">
      <formula>"Fail"</formula>
    </cfRule>
  </conditionalFormatting>
  <conditionalFormatting sqref="A682:A690">
    <cfRule type="cellIs" dxfId="28539" priority="28377" stopIfTrue="1" operator="equal">
      <formula>"Pass"</formula>
    </cfRule>
    <cfRule type="cellIs" dxfId="28538" priority="28378" stopIfTrue="1" operator="equal">
      <formula>"Fail"</formula>
    </cfRule>
  </conditionalFormatting>
  <conditionalFormatting sqref="A682:A690">
    <cfRule type="cellIs" dxfId="28537" priority="28375" stopIfTrue="1" operator="equal">
      <formula>"Pass"</formula>
    </cfRule>
    <cfRule type="cellIs" dxfId="28536" priority="28376" stopIfTrue="1" operator="equal">
      <formula>"Fail"</formula>
    </cfRule>
  </conditionalFormatting>
  <conditionalFormatting sqref="A682:A690">
    <cfRule type="cellIs" dxfId="28535" priority="28373" stopIfTrue="1" operator="equal">
      <formula>"Pass"</formula>
    </cfRule>
    <cfRule type="cellIs" dxfId="28534" priority="28374" stopIfTrue="1" operator="equal">
      <formula>"Fail"</formula>
    </cfRule>
  </conditionalFormatting>
  <conditionalFormatting sqref="A682:A690">
    <cfRule type="cellIs" dxfId="28533" priority="28371" stopIfTrue="1" operator="equal">
      <formula>"Pass"</formula>
    </cfRule>
    <cfRule type="cellIs" dxfId="28532" priority="28372" stopIfTrue="1" operator="equal">
      <formula>"Fail"</formula>
    </cfRule>
  </conditionalFormatting>
  <conditionalFormatting sqref="A682:A690">
    <cfRule type="cellIs" dxfId="28531" priority="28369" stopIfTrue="1" operator="equal">
      <formula>"Pass"</formula>
    </cfRule>
    <cfRule type="cellIs" dxfId="28530" priority="28370" stopIfTrue="1" operator="equal">
      <formula>"Fail"</formula>
    </cfRule>
  </conditionalFormatting>
  <conditionalFormatting sqref="A684 A687 A690">
    <cfRule type="cellIs" dxfId="28529" priority="28367" stopIfTrue="1" operator="equal">
      <formula>"Pass"</formula>
    </cfRule>
    <cfRule type="cellIs" dxfId="28528" priority="28368" stopIfTrue="1" operator="equal">
      <formula>"Fail"</formula>
    </cfRule>
  </conditionalFormatting>
  <conditionalFormatting sqref="A682:A690">
    <cfRule type="cellIs" dxfId="28527" priority="28365" stopIfTrue="1" operator="equal">
      <formula>"Pass"</formula>
    </cfRule>
    <cfRule type="cellIs" dxfId="28526" priority="28366" stopIfTrue="1" operator="equal">
      <formula>"Fail"</formula>
    </cfRule>
  </conditionalFormatting>
  <conditionalFormatting sqref="A682:A690">
    <cfRule type="cellIs" dxfId="28525" priority="28363" stopIfTrue="1" operator="equal">
      <formula>"Pass"</formula>
    </cfRule>
    <cfRule type="cellIs" dxfId="28524" priority="28364" stopIfTrue="1" operator="equal">
      <formula>"Fail"</formula>
    </cfRule>
  </conditionalFormatting>
  <conditionalFormatting sqref="A682:A690">
    <cfRule type="cellIs" dxfId="28523" priority="28361" stopIfTrue="1" operator="equal">
      <formula>"Pass"</formula>
    </cfRule>
    <cfRule type="cellIs" dxfId="28522" priority="28362" stopIfTrue="1" operator="equal">
      <formula>"Fail"</formula>
    </cfRule>
  </conditionalFormatting>
  <conditionalFormatting sqref="A682:A690">
    <cfRule type="cellIs" dxfId="28521" priority="28359" stopIfTrue="1" operator="equal">
      <formula>"Pass"</formula>
    </cfRule>
    <cfRule type="cellIs" dxfId="28520" priority="28360" stopIfTrue="1" operator="equal">
      <formula>"Fail"</formula>
    </cfRule>
  </conditionalFormatting>
  <conditionalFormatting sqref="A682:A690">
    <cfRule type="cellIs" dxfId="28519" priority="28357" stopIfTrue="1" operator="equal">
      <formula>"Pass"</formula>
    </cfRule>
    <cfRule type="cellIs" dxfId="28518" priority="28358" stopIfTrue="1" operator="equal">
      <formula>"Fail"</formula>
    </cfRule>
  </conditionalFormatting>
  <conditionalFormatting sqref="A682:A690">
    <cfRule type="cellIs" dxfId="28517" priority="28355" stopIfTrue="1" operator="equal">
      <formula>"Pass"</formula>
    </cfRule>
    <cfRule type="cellIs" dxfId="28516" priority="28356" stopIfTrue="1" operator="equal">
      <formula>"Fail"</formula>
    </cfRule>
  </conditionalFormatting>
  <conditionalFormatting sqref="A684 A687 A690">
    <cfRule type="cellIs" dxfId="28515" priority="28353" stopIfTrue="1" operator="equal">
      <formula>"Pass"</formula>
    </cfRule>
    <cfRule type="cellIs" dxfId="28514" priority="28354" stopIfTrue="1" operator="equal">
      <formula>"Fail"</formula>
    </cfRule>
  </conditionalFormatting>
  <conditionalFormatting sqref="A682:A690">
    <cfRule type="cellIs" dxfId="28513" priority="28351" stopIfTrue="1" operator="equal">
      <formula>"Pass"</formula>
    </cfRule>
    <cfRule type="cellIs" dxfId="28512" priority="28352" stopIfTrue="1" operator="equal">
      <formula>"Fail"</formula>
    </cfRule>
  </conditionalFormatting>
  <conditionalFormatting sqref="H691:H692">
    <cfRule type="cellIs" dxfId="28511" priority="28349" stopIfTrue="1" operator="equal">
      <formula>"Pass"</formula>
    </cfRule>
    <cfRule type="cellIs" dxfId="28510" priority="28350" stopIfTrue="1" operator="equal">
      <formula>"Fail"</formula>
    </cfRule>
  </conditionalFormatting>
  <conditionalFormatting sqref="E691:F691 E693:F693 I691:M692 A691:A699">
    <cfRule type="cellIs" dxfId="28509" priority="28347" stopIfTrue="1" operator="equal">
      <formula>"Pass"</formula>
    </cfRule>
    <cfRule type="cellIs" dxfId="28508" priority="28348" stopIfTrue="1" operator="equal">
      <formula>"Fail"</formula>
    </cfRule>
  </conditionalFormatting>
  <conditionalFormatting sqref="T693 T691 R691:R693 S692:S693">
    <cfRule type="cellIs" dxfId="28507" priority="28345" stopIfTrue="1" operator="equal">
      <formula>"Fail"</formula>
    </cfRule>
    <cfRule type="cellIs" dxfId="28506" priority="28346" stopIfTrue="1" operator="equal">
      <formula>"Pass"</formula>
    </cfRule>
  </conditionalFormatting>
  <conditionalFormatting sqref="F691:G691 F693:G693 A691:B693 J691:N692 A694:A699">
    <cfRule type="cellIs" dxfId="28505" priority="28343" stopIfTrue="1" operator="equal">
      <formula>"Pass"</formula>
    </cfRule>
    <cfRule type="cellIs" dxfId="28504" priority="28344" stopIfTrue="1" operator="equal">
      <formula>"Fail"</formula>
    </cfRule>
  </conditionalFormatting>
  <conditionalFormatting sqref="U693 U691 T691:T693 S692:S693">
    <cfRule type="cellIs" dxfId="28503" priority="28341" stopIfTrue="1" operator="equal">
      <formula>"Fail"</formula>
    </cfRule>
    <cfRule type="cellIs" dxfId="28502" priority="28342" stopIfTrue="1" operator="equal">
      <formula>"Pass"</formula>
    </cfRule>
  </conditionalFormatting>
  <conditionalFormatting sqref="A691:A699">
    <cfRule type="cellIs" dxfId="28501" priority="28339" stopIfTrue="1" operator="equal">
      <formula>"Pass"</formula>
    </cfRule>
    <cfRule type="cellIs" dxfId="28500" priority="28340" stopIfTrue="1" operator="equal">
      <formula>"Fail"</formula>
    </cfRule>
  </conditionalFormatting>
  <conditionalFormatting sqref="A691:A699">
    <cfRule type="cellIs" dxfId="28499" priority="28337" stopIfTrue="1" operator="equal">
      <formula>"Pass"</formula>
    </cfRule>
    <cfRule type="cellIs" dxfId="28498" priority="28338" stopIfTrue="1" operator="equal">
      <formula>"Fail"</formula>
    </cfRule>
  </conditionalFormatting>
  <conditionalFormatting sqref="A691:A699">
    <cfRule type="cellIs" dxfId="28497" priority="28335" stopIfTrue="1" operator="equal">
      <formula>"Pass"</formula>
    </cfRule>
    <cfRule type="cellIs" dxfId="28496" priority="28336" stopIfTrue="1" operator="equal">
      <formula>"Fail"</formula>
    </cfRule>
  </conditionalFormatting>
  <conditionalFormatting sqref="J691:N692 E691:G693">
    <cfRule type="cellIs" dxfId="28495" priority="28333" stopIfTrue="1" operator="equal">
      <formula>"Pass"</formula>
    </cfRule>
    <cfRule type="cellIs" dxfId="28494" priority="28334" stopIfTrue="1" operator="equal">
      <formula>"Fail"</formula>
    </cfRule>
  </conditionalFormatting>
  <conditionalFormatting sqref="A693 C693 K691:O692 F691:H693 A696 A699">
    <cfRule type="cellIs" dxfId="28493" priority="28331" stopIfTrue="1" operator="equal">
      <formula>"Pass"</formula>
    </cfRule>
    <cfRule type="cellIs" dxfId="28492" priority="28332" stopIfTrue="1" operator="equal">
      <formula>"Fail"</formula>
    </cfRule>
  </conditionalFormatting>
  <conditionalFormatting sqref="T691">
    <cfRule type="cellIs" dxfId="28491" priority="28329" stopIfTrue="1" operator="equal">
      <formula>"Fail"</formula>
    </cfRule>
    <cfRule type="cellIs" dxfId="28490" priority="28330" stopIfTrue="1" operator="equal">
      <formula>"Pass"</formula>
    </cfRule>
  </conditionalFormatting>
  <conditionalFormatting sqref="A691:A699">
    <cfRule type="cellIs" dxfId="28489" priority="28327" stopIfTrue="1" operator="equal">
      <formula>"Pass"</formula>
    </cfRule>
    <cfRule type="cellIs" dxfId="28488" priority="28328" stopIfTrue="1" operator="equal">
      <formula>"Fail"</formula>
    </cfRule>
  </conditionalFormatting>
  <conditionalFormatting sqref="A694">
    <cfRule type="cellIs" dxfId="28487" priority="28325" stopIfTrue="1" operator="equal">
      <formula>"Pass"</formula>
    </cfRule>
    <cfRule type="cellIs" dxfId="28486" priority="28326" stopIfTrue="1" operator="equal">
      <formula>"Fail"</formula>
    </cfRule>
  </conditionalFormatting>
  <conditionalFormatting sqref="A694">
    <cfRule type="cellIs" dxfId="28485" priority="28323" stopIfTrue="1" operator="equal">
      <formula>"Pass"</formula>
    </cfRule>
    <cfRule type="cellIs" dxfId="28484" priority="28324" stopIfTrue="1" operator="equal">
      <formula>"Fail"</formula>
    </cfRule>
  </conditionalFormatting>
  <conditionalFormatting sqref="A694">
    <cfRule type="cellIs" dxfId="28483" priority="28321" stopIfTrue="1" operator="equal">
      <formula>"Pass"</formula>
    </cfRule>
    <cfRule type="cellIs" dxfId="28482" priority="28322" stopIfTrue="1" operator="equal">
      <formula>"Fail"</formula>
    </cfRule>
  </conditionalFormatting>
  <conditionalFormatting sqref="A694">
    <cfRule type="cellIs" dxfId="28481" priority="28319" stopIfTrue="1" operator="equal">
      <formula>"Pass"</formula>
    </cfRule>
    <cfRule type="cellIs" dxfId="28480" priority="28320" stopIfTrue="1" operator="equal">
      <formula>"Fail"</formula>
    </cfRule>
  </conditionalFormatting>
  <conditionalFormatting sqref="A694">
    <cfRule type="cellIs" dxfId="28479" priority="28317" stopIfTrue="1" operator="equal">
      <formula>"Pass"</formula>
    </cfRule>
    <cfRule type="cellIs" dxfId="28478" priority="28318" stopIfTrue="1" operator="equal">
      <formula>"Fail"</formula>
    </cfRule>
  </conditionalFormatting>
  <conditionalFormatting sqref="A694">
    <cfRule type="cellIs" dxfId="28477" priority="28315" stopIfTrue="1" operator="equal">
      <formula>"Pass"</formula>
    </cfRule>
    <cfRule type="cellIs" dxfId="28476" priority="28316" stopIfTrue="1" operator="equal">
      <formula>"Fail"</formula>
    </cfRule>
  </conditionalFormatting>
  <conditionalFormatting sqref="A694">
    <cfRule type="cellIs" dxfId="28475" priority="28313" stopIfTrue="1" operator="equal">
      <formula>"Pass"</formula>
    </cfRule>
    <cfRule type="cellIs" dxfId="28474" priority="28314" stopIfTrue="1" operator="equal">
      <formula>"Fail"</formula>
    </cfRule>
  </conditionalFormatting>
  <conditionalFormatting sqref="A694">
    <cfRule type="cellIs" dxfId="28473" priority="28311" stopIfTrue="1" operator="equal">
      <formula>"Pass"</formula>
    </cfRule>
    <cfRule type="cellIs" dxfId="28472" priority="28312" stopIfTrue="1" operator="equal">
      <formula>"Fail"</formula>
    </cfRule>
  </conditionalFormatting>
  <conditionalFormatting sqref="A694">
    <cfRule type="cellIs" dxfId="28471" priority="28309" stopIfTrue="1" operator="equal">
      <formula>"Pass"</formula>
    </cfRule>
    <cfRule type="cellIs" dxfId="28470" priority="28310" stopIfTrue="1" operator="equal">
      <formula>"Fail"</formula>
    </cfRule>
  </conditionalFormatting>
  <conditionalFormatting sqref="A694">
    <cfRule type="cellIs" dxfId="28469" priority="28307" stopIfTrue="1" operator="equal">
      <formula>"Pass"</formula>
    </cfRule>
    <cfRule type="cellIs" dxfId="28468" priority="28308" stopIfTrue="1" operator="equal">
      <formula>"Fail"</formula>
    </cfRule>
  </conditionalFormatting>
  <conditionalFormatting sqref="A694">
    <cfRule type="cellIs" dxfId="28467" priority="28305" stopIfTrue="1" operator="equal">
      <formula>"Pass"</formula>
    </cfRule>
    <cfRule type="cellIs" dxfId="28466" priority="28306" stopIfTrue="1" operator="equal">
      <formula>"Fail"</formula>
    </cfRule>
  </conditionalFormatting>
  <conditionalFormatting sqref="A694">
    <cfRule type="cellIs" dxfId="28465" priority="28303" stopIfTrue="1" operator="equal">
      <formula>"Pass"</formula>
    </cfRule>
    <cfRule type="cellIs" dxfId="28464" priority="28304" stopIfTrue="1" operator="equal">
      <formula>"Fail"</formula>
    </cfRule>
  </conditionalFormatting>
  <conditionalFormatting sqref="J694:J695">
    <cfRule type="cellIs" dxfId="28463" priority="28301" stopIfTrue="1" operator="equal">
      <formula>"Pass"</formula>
    </cfRule>
    <cfRule type="cellIs" dxfId="28462" priority="28302" stopIfTrue="1" operator="equal">
      <formula>"Fail"</formula>
    </cfRule>
  </conditionalFormatting>
  <conditionalFormatting sqref="H694:H695 I695">
    <cfRule type="cellIs" dxfId="28461" priority="28299" stopIfTrue="1" operator="equal">
      <formula>"Pass"</formula>
    </cfRule>
    <cfRule type="cellIs" dxfId="28460" priority="28300" stopIfTrue="1" operator="equal">
      <formula>"Fail"</formula>
    </cfRule>
  </conditionalFormatting>
  <conditionalFormatting sqref="A694 C694 F696 F694:G694 K694:N695">
    <cfRule type="cellIs" dxfId="28459" priority="28297" stopIfTrue="1" operator="equal">
      <formula>"Pass"</formula>
    </cfRule>
    <cfRule type="cellIs" dxfId="28458" priority="28298" stopIfTrue="1" operator="equal">
      <formula>"Fail"</formula>
    </cfRule>
  </conditionalFormatting>
  <conditionalFormatting sqref="T694:T696 U695:U696">
    <cfRule type="cellIs" dxfId="28457" priority="28295" stopIfTrue="1" operator="equal">
      <formula>"Fail"</formula>
    </cfRule>
    <cfRule type="cellIs" dxfId="28456" priority="28296" stopIfTrue="1" operator="equal">
      <formula>"Pass"</formula>
    </cfRule>
  </conditionalFormatting>
  <conditionalFormatting sqref="A694">
    <cfRule type="cellIs" dxfId="28455" priority="28293" stopIfTrue="1" operator="equal">
      <formula>"Pass"</formula>
    </cfRule>
    <cfRule type="cellIs" dxfId="28454" priority="28294" stopIfTrue="1" operator="equal">
      <formula>"Fail"</formula>
    </cfRule>
  </conditionalFormatting>
  <conditionalFormatting sqref="A694">
    <cfRule type="cellIs" dxfId="28453" priority="28291" stopIfTrue="1" operator="equal">
      <formula>"Pass"</formula>
    </cfRule>
    <cfRule type="cellIs" dxfId="28452" priority="28292" stopIfTrue="1" operator="equal">
      <formula>"Fail"</formula>
    </cfRule>
  </conditionalFormatting>
  <conditionalFormatting sqref="A694">
    <cfRule type="cellIs" dxfId="28451" priority="28289" stopIfTrue="1" operator="equal">
      <formula>"Pass"</formula>
    </cfRule>
    <cfRule type="cellIs" dxfId="28450" priority="28290" stopIfTrue="1" operator="equal">
      <formula>"Fail"</formula>
    </cfRule>
  </conditionalFormatting>
  <conditionalFormatting sqref="A694">
    <cfRule type="cellIs" dxfId="28449" priority="28287" stopIfTrue="1" operator="equal">
      <formula>"Pass"</formula>
    </cfRule>
    <cfRule type="cellIs" dxfId="28448" priority="28288" stopIfTrue="1" operator="equal">
      <formula>"Fail"</formula>
    </cfRule>
  </conditionalFormatting>
  <conditionalFormatting sqref="A694">
    <cfRule type="cellIs" dxfId="28447" priority="28285" stopIfTrue="1" operator="equal">
      <formula>"Pass"</formula>
    </cfRule>
    <cfRule type="cellIs" dxfId="28446" priority="28286" stopIfTrue="1" operator="equal">
      <formula>"Fail"</formula>
    </cfRule>
  </conditionalFormatting>
  <conditionalFormatting sqref="A694">
    <cfRule type="cellIs" dxfId="28445" priority="28283" stopIfTrue="1" operator="equal">
      <formula>"Pass"</formula>
    </cfRule>
    <cfRule type="cellIs" dxfId="28444" priority="28284" stopIfTrue="1" operator="equal">
      <formula>"Fail"</formula>
    </cfRule>
  </conditionalFormatting>
  <conditionalFormatting sqref="A694">
    <cfRule type="cellIs" dxfId="28443" priority="28281" stopIfTrue="1" operator="equal">
      <formula>"Pass"</formula>
    </cfRule>
    <cfRule type="cellIs" dxfId="28442" priority="28282" stopIfTrue="1" operator="equal">
      <formula>"Fail"</formula>
    </cfRule>
  </conditionalFormatting>
  <conditionalFormatting sqref="A694">
    <cfRule type="cellIs" dxfId="28441" priority="28279" stopIfTrue="1" operator="equal">
      <formula>"Pass"</formula>
    </cfRule>
    <cfRule type="cellIs" dxfId="28440" priority="28280" stopIfTrue="1" operator="equal">
      <formula>"Fail"</formula>
    </cfRule>
  </conditionalFormatting>
  <conditionalFormatting sqref="A694">
    <cfRule type="cellIs" dxfId="28439" priority="28277" stopIfTrue="1" operator="equal">
      <formula>"Pass"</formula>
    </cfRule>
    <cfRule type="cellIs" dxfId="28438" priority="28278" stopIfTrue="1" operator="equal">
      <formula>"Fail"</formula>
    </cfRule>
  </conditionalFormatting>
  <conditionalFormatting sqref="A694">
    <cfRule type="cellIs" dxfId="28437" priority="28275" stopIfTrue="1" operator="equal">
      <formula>"Pass"</formula>
    </cfRule>
    <cfRule type="cellIs" dxfId="28436" priority="28276" stopIfTrue="1" operator="equal">
      <formula>"Fail"</formula>
    </cfRule>
  </conditionalFormatting>
  <conditionalFormatting sqref="A694">
    <cfRule type="cellIs" dxfId="28435" priority="28273" stopIfTrue="1" operator="equal">
      <formula>"Pass"</formula>
    </cfRule>
    <cfRule type="cellIs" dxfId="28434" priority="28274" stopIfTrue="1" operator="equal">
      <formula>"Fail"</formula>
    </cfRule>
  </conditionalFormatting>
  <conditionalFormatting sqref="A694">
    <cfRule type="cellIs" dxfId="28433" priority="28271" stopIfTrue="1" operator="equal">
      <formula>"Pass"</formula>
    </cfRule>
    <cfRule type="cellIs" dxfId="28432" priority="28272" stopIfTrue="1" operator="equal">
      <formula>"Fail"</formula>
    </cfRule>
  </conditionalFormatting>
  <conditionalFormatting sqref="A694">
    <cfRule type="cellIs" dxfId="28431" priority="28269" stopIfTrue="1" operator="equal">
      <formula>"Pass"</formula>
    </cfRule>
    <cfRule type="cellIs" dxfId="28430" priority="28270" stopIfTrue="1" operator="equal">
      <formula>"Fail"</formula>
    </cfRule>
  </conditionalFormatting>
  <conditionalFormatting sqref="A694">
    <cfRule type="cellIs" dxfId="28429" priority="28267" stopIfTrue="1" operator="equal">
      <formula>"Pass"</formula>
    </cfRule>
    <cfRule type="cellIs" dxfId="28428" priority="28268" stopIfTrue="1" operator="equal">
      <formula>"Fail"</formula>
    </cfRule>
  </conditionalFormatting>
  <conditionalFormatting sqref="A694">
    <cfRule type="cellIs" dxfId="28427" priority="28265" stopIfTrue="1" operator="equal">
      <formula>"Pass"</formula>
    </cfRule>
    <cfRule type="cellIs" dxfId="28426" priority="28266" stopIfTrue="1" operator="equal">
      <formula>"Fail"</formula>
    </cfRule>
  </conditionalFormatting>
  <conditionalFormatting sqref="A694">
    <cfRule type="cellIs" dxfId="28425" priority="28263" stopIfTrue="1" operator="equal">
      <formula>"Pass"</formula>
    </cfRule>
    <cfRule type="cellIs" dxfId="28424" priority="28264" stopIfTrue="1" operator="equal">
      <formula>"Fail"</formula>
    </cfRule>
  </conditionalFormatting>
  <conditionalFormatting sqref="U694">
    <cfRule type="cellIs" dxfId="28423" priority="28261" stopIfTrue="1" operator="equal">
      <formula>"Fail"</formula>
    </cfRule>
    <cfRule type="cellIs" dxfId="28422" priority="28262" stopIfTrue="1" operator="equal">
      <formula>"Pass"</formula>
    </cfRule>
  </conditionalFormatting>
  <conditionalFormatting sqref="U694">
    <cfRule type="cellIs" dxfId="28421" priority="28259" stopIfTrue="1" operator="equal">
      <formula>"Fail"</formula>
    </cfRule>
    <cfRule type="cellIs" dxfId="28420" priority="28260" stopIfTrue="1" operator="equal">
      <formula>"Pass"</formula>
    </cfRule>
  </conditionalFormatting>
  <conditionalFormatting sqref="J694:J695">
    <cfRule type="cellIs" dxfId="28419" priority="28257" stopIfTrue="1" operator="equal">
      <formula>"Pass"</formula>
    </cfRule>
    <cfRule type="cellIs" dxfId="28418" priority="28258" stopIfTrue="1" operator="equal">
      <formula>"Fail"</formula>
    </cfRule>
  </conditionalFormatting>
  <conditionalFormatting sqref="H694:H695 I695">
    <cfRule type="cellIs" dxfId="28417" priority="28255" stopIfTrue="1" operator="equal">
      <formula>"Pass"</formula>
    </cfRule>
    <cfRule type="cellIs" dxfId="28416" priority="28256" stopIfTrue="1" operator="equal">
      <formula>"Fail"</formula>
    </cfRule>
  </conditionalFormatting>
  <conditionalFormatting sqref="F696 F694:G694 K694:N695">
    <cfRule type="cellIs" dxfId="28415" priority="28253" stopIfTrue="1" operator="equal">
      <formula>"Pass"</formula>
    </cfRule>
    <cfRule type="cellIs" dxfId="28414" priority="28254" stopIfTrue="1" operator="equal">
      <formula>"Fail"</formula>
    </cfRule>
  </conditionalFormatting>
  <conditionalFormatting sqref="T694:T696 U695:U696">
    <cfRule type="cellIs" dxfId="28413" priority="28251" stopIfTrue="1" operator="equal">
      <formula>"Fail"</formula>
    </cfRule>
    <cfRule type="cellIs" dxfId="28412" priority="28252" stopIfTrue="1" operator="equal">
      <formula>"Pass"</formula>
    </cfRule>
  </conditionalFormatting>
  <conditionalFormatting sqref="U694">
    <cfRule type="cellIs" dxfId="28411" priority="28249" stopIfTrue="1" operator="equal">
      <formula>"Fail"</formula>
    </cfRule>
    <cfRule type="cellIs" dxfId="28410" priority="28250" stopIfTrue="1" operator="equal">
      <formula>"Pass"</formula>
    </cfRule>
  </conditionalFormatting>
  <conditionalFormatting sqref="U694">
    <cfRule type="cellIs" dxfId="28409" priority="28247" stopIfTrue="1" operator="equal">
      <formula>"Fail"</formula>
    </cfRule>
    <cfRule type="cellIs" dxfId="28408" priority="28248" stopIfTrue="1" operator="equal">
      <formula>"Pass"</formula>
    </cfRule>
  </conditionalFormatting>
  <conditionalFormatting sqref="F694:G694 K694:N694">
    <cfRule type="cellIs" dxfId="28407" priority="28245" stopIfTrue="1" operator="equal">
      <formula>"Pass"</formula>
    </cfRule>
    <cfRule type="cellIs" dxfId="28406" priority="28246" stopIfTrue="1" operator="equal">
      <formula>"Fail"</formula>
    </cfRule>
  </conditionalFormatting>
  <conditionalFormatting sqref="K695:N695">
    <cfRule type="cellIs" dxfId="28405" priority="28243" stopIfTrue="1" operator="equal">
      <formula>"Pass"</formula>
    </cfRule>
    <cfRule type="cellIs" dxfId="28404" priority="28244" stopIfTrue="1" operator="equal">
      <formula>"Fail"</formula>
    </cfRule>
  </conditionalFormatting>
  <conditionalFormatting sqref="U694">
    <cfRule type="cellIs" dxfId="28403" priority="28241" stopIfTrue="1" operator="equal">
      <formula>"Fail"</formula>
    </cfRule>
    <cfRule type="cellIs" dxfId="28402" priority="28242" stopIfTrue="1" operator="equal">
      <formula>"Pass"</formula>
    </cfRule>
  </conditionalFormatting>
  <conditionalFormatting sqref="H697:H698">
    <cfRule type="cellIs" dxfId="28401" priority="28239" stopIfTrue="1" operator="equal">
      <formula>"Pass"</formula>
    </cfRule>
    <cfRule type="cellIs" dxfId="28400" priority="28240" stopIfTrue="1" operator="equal">
      <formula>"Fail"</formula>
    </cfRule>
  </conditionalFormatting>
  <conditionalFormatting sqref="E697:F697 I697:M698 E699:F699 A697">
    <cfRule type="cellIs" dxfId="28399" priority="28237" stopIfTrue="1" operator="equal">
      <formula>"Pass"</formula>
    </cfRule>
    <cfRule type="cellIs" dxfId="28398" priority="28238" stopIfTrue="1" operator="equal">
      <formula>"Fail"</formula>
    </cfRule>
  </conditionalFormatting>
  <conditionalFormatting sqref="T699 T697 R697:R699 S698:S699">
    <cfRule type="cellIs" dxfId="28397" priority="28235" stopIfTrue="1" operator="equal">
      <formula>"Fail"</formula>
    </cfRule>
    <cfRule type="cellIs" dxfId="28396" priority="28236" stopIfTrue="1" operator="equal">
      <formula>"Pass"</formula>
    </cfRule>
  </conditionalFormatting>
  <conditionalFormatting sqref="F697:G697 J697:N698 F699:G699 B697:B699 A697">
    <cfRule type="cellIs" dxfId="28395" priority="28233" stopIfTrue="1" operator="equal">
      <formula>"Pass"</formula>
    </cfRule>
    <cfRule type="cellIs" dxfId="28394" priority="28234" stopIfTrue="1" operator="equal">
      <formula>"Fail"</formula>
    </cfRule>
  </conditionalFormatting>
  <conditionalFormatting sqref="U699 T697:T699 S698:S699">
    <cfRule type="cellIs" dxfId="28393" priority="28231" stopIfTrue="1" operator="equal">
      <formula>"Fail"</formula>
    </cfRule>
    <cfRule type="cellIs" dxfId="28392" priority="28232" stopIfTrue="1" operator="equal">
      <formula>"Pass"</formula>
    </cfRule>
  </conditionalFormatting>
  <conditionalFormatting sqref="A697">
    <cfRule type="cellIs" dxfId="28391" priority="28229" stopIfTrue="1" operator="equal">
      <formula>"Pass"</formula>
    </cfRule>
    <cfRule type="cellIs" dxfId="28390" priority="28230" stopIfTrue="1" operator="equal">
      <formula>"Fail"</formula>
    </cfRule>
  </conditionalFormatting>
  <conditionalFormatting sqref="A697">
    <cfRule type="cellIs" dxfId="28389" priority="28227" stopIfTrue="1" operator="equal">
      <formula>"Pass"</formula>
    </cfRule>
    <cfRule type="cellIs" dxfId="28388" priority="28228" stopIfTrue="1" operator="equal">
      <formula>"Fail"</formula>
    </cfRule>
  </conditionalFormatting>
  <conditionalFormatting sqref="A697">
    <cfRule type="cellIs" dxfId="28387" priority="28225" stopIfTrue="1" operator="equal">
      <formula>"Pass"</formula>
    </cfRule>
    <cfRule type="cellIs" dxfId="28386" priority="28226" stopIfTrue="1" operator="equal">
      <formula>"Fail"</formula>
    </cfRule>
  </conditionalFormatting>
  <conditionalFormatting sqref="A697">
    <cfRule type="cellIs" dxfId="28385" priority="28223" stopIfTrue="1" operator="equal">
      <formula>"Pass"</formula>
    </cfRule>
    <cfRule type="cellIs" dxfId="28384" priority="28224" stopIfTrue="1" operator="equal">
      <formula>"Fail"</formula>
    </cfRule>
  </conditionalFormatting>
  <conditionalFormatting sqref="A697">
    <cfRule type="cellIs" dxfId="28383" priority="28221" stopIfTrue="1" operator="equal">
      <formula>"Pass"</formula>
    </cfRule>
    <cfRule type="cellIs" dxfId="28382" priority="28222" stopIfTrue="1" operator="equal">
      <formula>"Fail"</formula>
    </cfRule>
  </conditionalFormatting>
  <conditionalFormatting sqref="A697">
    <cfRule type="cellIs" dxfId="28381" priority="28219" stopIfTrue="1" operator="equal">
      <formula>"Pass"</formula>
    </cfRule>
    <cfRule type="cellIs" dxfId="28380" priority="28220" stopIfTrue="1" operator="equal">
      <formula>"Fail"</formula>
    </cfRule>
  </conditionalFormatting>
  <conditionalFormatting sqref="A697">
    <cfRule type="cellIs" dxfId="28379" priority="28217" stopIfTrue="1" operator="equal">
      <formula>"Pass"</formula>
    </cfRule>
    <cfRule type="cellIs" dxfId="28378" priority="28218" stopIfTrue="1" operator="equal">
      <formula>"Fail"</formula>
    </cfRule>
  </conditionalFormatting>
  <conditionalFormatting sqref="A697">
    <cfRule type="cellIs" dxfId="28377" priority="28215" stopIfTrue="1" operator="equal">
      <formula>"Pass"</formula>
    </cfRule>
    <cfRule type="cellIs" dxfId="28376" priority="28216" stopIfTrue="1" operator="equal">
      <formula>"Fail"</formula>
    </cfRule>
  </conditionalFormatting>
  <conditionalFormatting sqref="A697">
    <cfRule type="cellIs" dxfId="28375" priority="28213" stopIfTrue="1" operator="equal">
      <formula>"Pass"</formula>
    </cfRule>
    <cfRule type="cellIs" dxfId="28374" priority="28214" stopIfTrue="1" operator="equal">
      <formula>"Fail"</formula>
    </cfRule>
  </conditionalFormatting>
  <conditionalFormatting sqref="A697">
    <cfRule type="cellIs" dxfId="28373" priority="28211" stopIfTrue="1" operator="equal">
      <formula>"Pass"</formula>
    </cfRule>
    <cfRule type="cellIs" dxfId="28372" priority="28212" stopIfTrue="1" operator="equal">
      <formula>"Fail"</formula>
    </cfRule>
  </conditionalFormatting>
  <conditionalFormatting sqref="U697">
    <cfRule type="cellIs" dxfId="28371" priority="28209" stopIfTrue="1" operator="equal">
      <formula>"Fail"</formula>
    </cfRule>
    <cfRule type="cellIs" dxfId="28370" priority="28210" stopIfTrue="1" operator="equal">
      <formula>"Pass"</formula>
    </cfRule>
  </conditionalFormatting>
  <conditionalFormatting sqref="F697:G697 J697:N697">
    <cfRule type="cellIs" dxfId="28369" priority="28207" stopIfTrue="1" operator="equal">
      <formula>"Pass"</formula>
    </cfRule>
    <cfRule type="cellIs" dxfId="28368" priority="28208" stopIfTrue="1" operator="equal">
      <formula>"Fail"</formula>
    </cfRule>
  </conditionalFormatting>
  <conditionalFormatting sqref="J698:N698">
    <cfRule type="cellIs" dxfId="28367" priority="28205" stopIfTrue="1" operator="equal">
      <formula>"Pass"</formula>
    </cfRule>
    <cfRule type="cellIs" dxfId="28366" priority="28206" stopIfTrue="1" operator="equal">
      <formula>"Fail"</formula>
    </cfRule>
  </conditionalFormatting>
  <conditionalFormatting sqref="A691:A699">
    <cfRule type="cellIs" dxfId="28365" priority="28203" stopIfTrue="1" operator="equal">
      <formula>"Pass"</formula>
    </cfRule>
    <cfRule type="cellIs" dxfId="28364" priority="28204" stopIfTrue="1" operator="equal">
      <formula>"Fail"</formula>
    </cfRule>
  </conditionalFormatting>
  <conditionalFormatting sqref="A691:A699">
    <cfRule type="cellIs" dxfId="28363" priority="28201" stopIfTrue="1" operator="equal">
      <formula>"Pass"</formula>
    </cfRule>
    <cfRule type="cellIs" dxfId="28362" priority="28202" stopIfTrue="1" operator="equal">
      <formula>"Fail"</formula>
    </cfRule>
  </conditionalFormatting>
  <conditionalFormatting sqref="A691:A699">
    <cfRule type="cellIs" dxfId="28361" priority="28199" stopIfTrue="1" operator="equal">
      <formula>"Pass"</formula>
    </cfRule>
    <cfRule type="cellIs" dxfId="28360" priority="28200" stopIfTrue="1" operator="equal">
      <formula>"Fail"</formula>
    </cfRule>
  </conditionalFormatting>
  <conditionalFormatting sqref="A691:A699">
    <cfRule type="cellIs" dxfId="28359" priority="28197" stopIfTrue="1" operator="equal">
      <formula>"Pass"</formula>
    </cfRule>
    <cfRule type="cellIs" dxfId="28358" priority="28198" stopIfTrue="1" operator="equal">
      <formula>"Fail"</formula>
    </cfRule>
  </conditionalFormatting>
  <conditionalFormatting sqref="A691:A699">
    <cfRule type="cellIs" dxfId="28357" priority="28195" stopIfTrue="1" operator="equal">
      <formula>"Pass"</formula>
    </cfRule>
    <cfRule type="cellIs" dxfId="28356" priority="28196" stopIfTrue="1" operator="equal">
      <formula>"Fail"</formula>
    </cfRule>
  </conditionalFormatting>
  <conditionalFormatting sqref="A693 A696 A699">
    <cfRule type="cellIs" dxfId="28355" priority="28193" stopIfTrue="1" operator="equal">
      <formula>"Pass"</formula>
    </cfRule>
    <cfRule type="cellIs" dxfId="28354" priority="28194" stopIfTrue="1" operator="equal">
      <formula>"Fail"</formula>
    </cfRule>
  </conditionalFormatting>
  <conditionalFormatting sqref="A691:A699">
    <cfRule type="cellIs" dxfId="28353" priority="28191" stopIfTrue="1" operator="equal">
      <formula>"Pass"</formula>
    </cfRule>
    <cfRule type="cellIs" dxfId="28352" priority="28192" stopIfTrue="1" operator="equal">
      <formula>"Fail"</formula>
    </cfRule>
  </conditionalFormatting>
  <conditionalFormatting sqref="A691:A699">
    <cfRule type="cellIs" dxfId="28351" priority="28189" stopIfTrue="1" operator="equal">
      <formula>"Pass"</formula>
    </cfRule>
    <cfRule type="cellIs" dxfId="28350" priority="28190" stopIfTrue="1" operator="equal">
      <formula>"Fail"</formula>
    </cfRule>
  </conditionalFormatting>
  <conditionalFormatting sqref="A691:A699">
    <cfRule type="cellIs" dxfId="28349" priority="28187" stopIfTrue="1" operator="equal">
      <formula>"Pass"</formula>
    </cfRule>
    <cfRule type="cellIs" dxfId="28348" priority="28188" stopIfTrue="1" operator="equal">
      <formula>"Fail"</formula>
    </cfRule>
  </conditionalFormatting>
  <conditionalFormatting sqref="A691:A699">
    <cfRule type="cellIs" dxfId="28347" priority="28185" stopIfTrue="1" operator="equal">
      <formula>"Pass"</formula>
    </cfRule>
    <cfRule type="cellIs" dxfId="28346" priority="28186" stopIfTrue="1" operator="equal">
      <formula>"Fail"</formula>
    </cfRule>
  </conditionalFormatting>
  <conditionalFormatting sqref="A691:A699">
    <cfRule type="cellIs" dxfId="28345" priority="28183" stopIfTrue="1" operator="equal">
      <formula>"Pass"</formula>
    </cfRule>
    <cfRule type="cellIs" dxfId="28344" priority="28184" stopIfTrue="1" operator="equal">
      <formula>"Fail"</formula>
    </cfRule>
  </conditionalFormatting>
  <conditionalFormatting sqref="A691:A699">
    <cfRule type="cellIs" dxfId="28343" priority="28181" stopIfTrue="1" operator="equal">
      <formula>"Pass"</formula>
    </cfRule>
    <cfRule type="cellIs" dxfId="28342" priority="28182" stopIfTrue="1" operator="equal">
      <formula>"Fail"</formula>
    </cfRule>
  </conditionalFormatting>
  <conditionalFormatting sqref="A693 A696 A699">
    <cfRule type="cellIs" dxfId="28341" priority="28179" stopIfTrue="1" operator="equal">
      <formula>"Pass"</formula>
    </cfRule>
    <cfRule type="cellIs" dxfId="28340" priority="28180" stopIfTrue="1" operator="equal">
      <formula>"Fail"</formula>
    </cfRule>
  </conditionalFormatting>
  <conditionalFormatting sqref="A691:A699">
    <cfRule type="cellIs" dxfId="28339" priority="28177" stopIfTrue="1" operator="equal">
      <formula>"Pass"</formula>
    </cfRule>
    <cfRule type="cellIs" dxfId="28338" priority="28178" stopIfTrue="1" operator="equal">
      <formula>"Fail"</formula>
    </cfRule>
  </conditionalFormatting>
  <conditionalFormatting sqref="H700:H701">
    <cfRule type="cellIs" dxfId="28337" priority="28175" stopIfTrue="1" operator="equal">
      <formula>"Pass"</formula>
    </cfRule>
    <cfRule type="cellIs" dxfId="28336" priority="28176" stopIfTrue="1" operator="equal">
      <formula>"Fail"</formula>
    </cfRule>
  </conditionalFormatting>
  <conditionalFormatting sqref="E700:F700 E702:F702 I700:M701 A700:A708">
    <cfRule type="cellIs" dxfId="28335" priority="28173" stopIfTrue="1" operator="equal">
      <formula>"Pass"</formula>
    </cfRule>
    <cfRule type="cellIs" dxfId="28334" priority="28174" stopIfTrue="1" operator="equal">
      <formula>"Fail"</formula>
    </cfRule>
  </conditionalFormatting>
  <conditionalFormatting sqref="T702 T700 R700:R702 S701:S702">
    <cfRule type="cellIs" dxfId="28333" priority="28171" stopIfTrue="1" operator="equal">
      <formula>"Fail"</formula>
    </cfRule>
    <cfRule type="cellIs" dxfId="28332" priority="28172" stopIfTrue="1" operator="equal">
      <formula>"Pass"</formula>
    </cfRule>
  </conditionalFormatting>
  <conditionalFormatting sqref="F700:G700 F702:G702 A700:B702 J700:N701 A703:A708">
    <cfRule type="cellIs" dxfId="28331" priority="28169" stopIfTrue="1" operator="equal">
      <formula>"Pass"</formula>
    </cfRule>
    <cfRule type="cellIs" dxfId="28330" priority="28170" stopIfTrue="1" operator="equal">
      <formula>"Fail"</formula>
    </cfRule>
  </conditionalFormatting>
  <conditionalFormatting sqref="U702 U700 T700:T702 S701:S702">
    <cfRule type="cellIs" dxfId="28329" priority="28167" stopIfTrue="1" operator="equal">
      <formula>"Fail"</formula>
    </cfRule>
    <cfRule type="cellIs" dxfId="28328" priority="28168" stopIfTrue="1" operator="equal">
      <formula>"Pass"</formula>
    </cfRule>
  </conditionalFormatting>
  <conditionalFormatting sqref="A700:A708">
    <cfRule type="cellIs" dxfId="28327" priority="28165" stopIfTrue="1" operator="equal">
      <formula>"Pass"</formula>
    </cfRule>
    <cfRule type="cellIs" dxfId="28326" priority="28166" stopIfTrue="1" operator="equal">
      <formula>"Fail"</formula>
    </cfRule>
  </conditionalFormatting>
  <conditionalFormatting sqref="A700:A708">
    <cfRule type="cellIs" dxfId="28325" priority="28163" stopIfTrue="1" operator="equal">
      <formula>"Pass"</formula>
    </cfRule>
    <cfRule type="cellIs" dxfId="28324" priority="28164" stopIfTrue="1" operator="equal">
      <formula>"Fail"</formula>
    </cfRule>
  </conditionalFormatting>
  <conditionalFormatting sqref="A700:A708">
    <cfRule type="cellIs" dxfId="28323" priority="28161" stopIfTrue="1" operator="equal">
      <formula>"Pass"</formula>
    </cfRule>
    <cfRule type="cellIs" dxfId="28322" priority="28162" stopIfTrue="1" operator="equal">
      <formula>"Fail"</formula>
    </cfRule>
  </conditionalFormatting>
  <conditionalFormatting sqref="J700:N701 E700:G702">
    <cfRule type="cellIs" dxfId="28321" priority="28159" stopIfTrue="1" operator="equal">
      <formula>"Pass"</formula>
    </cfRule>
    <cfRule type="cellIs" dxfId="28320" priority="28160" stopIfTrue="1" operator="equal">
      <formula>"Fail"</formula>
    </cfRule>
  </conditionalFormatting>
  <conditionalFormatting sqref="A702 C702 K700:O701 F700:H702 A705 A708">
    <cfRule type="cellIs" dxfId="28319" priority="28157" stopIfTrue="1" operator="equal">
      <formula>"Pass"</formula>
    </cfRule>
    <cfRule type="cellIs" dxfId="28318" priority="28158" stopIfTrue="1" operator="equal">
      <formula>"Fail"</formula>
    </cfRule>
  </conditionalFormatting>
  <conditionalFormatting sqref="T700">
    <cfRule type="cellIs" dxfId="28317" priority="28155" stopIfTrue="1" operator="equal">
      <formula>"Fail"</formula>
    </cfRule>
    <cfRule type="cellIs" dxfId="28316" priority="28156" stopIfTrue="1" operator="equal">
      <formula>"Pass"</formula>
    </cfRule>
  </conditionalFormatting>
  <conditionalFormatting sqref="A700:A708">
    <cfRule type="cellIs" dxfId="28315" priority="28153" stopIfTrue="1" operator="equal">
      <formula>"Pass"</formula>
    </cfRule>
    <cfRule type="cellIs" dxfId="28314" priority="28154" stopIfTrue="1" operator="equal">
      <formula>"Fail"</formula>
    </cfRule>
  </conditionalFormatting>
  <conditionalFormatting sqref="A703">
    <cfRule type="cellIs" dxfId="28313" priority="28151" stopIfTrue="1" operator="equal">
      <formula>"Pass"</formula>
    </cfRule>
    <cfRule type="cellIs" dxfId="28312" priority="28152" stopIfTrue="1" operator="equal">
      <formula>"Fail"</formula>
    </cfRule>
  </conditionalFormatting>
  <conditionalFormatting sqref="A703">
    <cfRule type="cellIs" dxfId="28311" priority="28149" stopIfTrue="1" operator="equal">
      <formula>"Pass"</formula>
    </cfRule>
    <cfRule type="cellIs" dxfId="28310" priority="28150" stopIfTrue="1" operator="equal">
      <formula>"Fail"</formula>
    </cfRule>
  </conditionalFormatting>
  <conditionalFormatting sqref="A703">
    <cfRule type="cellIs" dxfId="28309" priority="28147" stopIfTrue="1" operator="equal">
      <formula>"Pass"</formula>
    </cfRule>
    <cfRule type="cellIs" dxfId="28308" priority="28148" stopIfTrue="1" operator="equal">
      <formula>"Fail"</formula>
    </cfRule>
  </conditionalFormatting>
  <conditionalFormatting sqref="A703">
    <cfRule type="cellIs" dxfId="28307" priority="28145" stopIfTrue="1" operator="equal">
      <formula>"Pass"</formula>
    </cfRule>
    <cfRule type="cellIs" dxfId="28306" priority="28146" stopIfTrue="1" operator="equal">
      <formula>"Fail"</formula>
    </cfRule>
  </conditionalFormatting>
  <conditionalFormatting sqref="A703">
    <cfRule type="cellIs" dxfId="28305" priority="28143" stopIfTrue="1" operator="equal">
      <formula>"Pass"</formula>
    </cfRule>
    <cfRule type="cellIs" dxfId="28304" priority="28144" stopIfTrue="1" operator="equal">
      <formula>"Fail"</formula>
    </cfRule>
  </conditionalFormatting>
  <conditionalFormatting sqref="A703">
    <cfRule type="cellIs" dxfId="28303" priority="28141" stopIfTrue="1" operator="equal">
      <formula>"Pass"</formula>
    </cfRule>
    <cfRule type="cellIs" dxfId="28302" priority="28142" stopIfTrue="1" operator="equal">
      <formula>"Fail"</formula>
    </cfRule>
  </conditionalFormatting>
  <conditionalFormatting sqref="A703">
    <cfRule type="cellIs" dxfId="28301" priority="28139" stopIfTrue="1" operator="equal">
      <formula>"Pass"</formula>
    </cfRule>
    <cfRule type="cellIs" dxfId="28300" priority="28140" stopIfTrue="1" operator="equal">
      <formula>"Fail"</formula>
    </cfRule>
  </conditionalFormatting>
  <conditionalFormatting sqref="A703">
    <cfRule type="cellIs" dxfId="28299" priority="28137" stopIfTrue="1" operator="equal">
      <formula>"Pass"</formula>
    </cfRule>
    <cfRule type="cellIs" dxfId="28298" priority="28138" stopIfTrue="1" operator="equal">
      <formula>"Fail"</formula>
    </cfRule>
  </conditionalFormatting>
  <conditionalFormatting sqref="A703">
    <cfRule type="cellIs" dxfId="28297" priority="28135" stopIfTrue="1" operator="equal">
      <formula>"Pass"</formula>
    </cfRule>
    <cfRule type="cellIs" dxfId="28296" priority="28136" stopIfTrue="1" operator="equal">
      <formula>"Fail"</formula>
    </cfRule>
  </conditionalFormatting>
  <conditionalFormatting sqref="A703">
    <cfRule type="cellIs" dxfId="28295" priority="28133" stopIfTrue="1" operator="equal">
      <formula>"Pass"</formula>
    </cfRule>
    <cfRule type="cellIs" dxfId="28294" priority="28134" stopIfTrue="1" operator="equal">
      <formula>"Fail"</formula>
    </cfRule>
  </conditionalFormatting>
  <conditionalFormatting sqref="A703">
    <cfRule type="cellIs" dxfId="28293" priority="28131" stopIfTrue="1" operator="equal">
      <formula>"Pass"</formula>
    </cfRule>
    <cfRule type="cellIs" dxfId="28292" priority="28132" stopIfTrue="1" operator="equal">
      <formula>"Fail"</formula>
    </cfRule>
  </conditionalFormatting>
  <conditionalFormatting sqref="A703">
    <cfRule type="cellIs" dxfId="28291" priority="28129" stopIfTrue="1" operator="equal">
      <formula>"Pass"</formula>
    </cfRule>
    <cfRule type="cellIs" dxfId="28290" priority="28130" stopIfTrue="1" operator="equal">
      <formula>"Fail"</formula>
    </cfRule>
  </conditionalFormatting>
  <conditionalFormatting sqref="J703:J704">
    <cfRule type="cellIs" dxfId="28289" priority="28127" stopIfTrue="1" operator="equal">
      <formula>"Pass"</formula>
    </cfRule>
    <cfRule type="cellIs" dxfId="28288" priority="28128" stopIfTrue="1" operator="equal">
      <formula>"Fail"</formula>
    </cfRule>
  </conditionalFormatting>
  <conditionalFormatting sqref="H703:H704 I704">
    <cfRule type="cellIs" dxfId="28287" priority="28125" stopIfTrue="1" operator="equal">
      <formula>"Pass"</formula>
    </cfRule>
    <cfRule type="cellIs" dxfId="28286" priority="28126" stopIfTrue="1" operator="equal">
      <formula>"Fail"</formula>
    </cfRule>
  </conditionalFormatting>
  <conditionalFormatting sqref="A703 C703 F705 F703:G703 K703:N704">
    <cfRule type="cellIs" dxfId="28285" priority="28123" stopIfTrue="1" operator="equal">
      <formula>"Pass"</formula>
    </cfRule>
    <cfRule type="cellIs" dxfId="28284" priority="28124" stopIfTrue="1" operator="equal">
      <formula>"Fail"</formula>
    </cfRule>
  </conditionalFormatting>
  <conditionalFormatting sqref="T703:T705 U704:U705">
    <cfRule type="cellIs" dxfId="28283" priority="28121" stopIfTrue="1" operator="equal">
      <formula>"Fail"</formula>
    </cfRule>
    <cfRule type="cellIs" dxfId="28282" priority="28122" stopIfTrue="1" operator="equal">
      <formula>"Pass"</formula>
    </cfRule>
  </conditionalFormatting>
  <conditionalFormatting sqref="A703">
    <cfRule type="cellIs" dxfId="28281" priority="28119" stopIfTrue="1" operator="equal">
      <formula>"Pass"</formula>
    </cfRule>
    <cfRule type="cellIs" dxfId="28280" priority="28120" stopIfTrue="1" operator="equal">
      <formula>"Fail"</formula>
    </cfRule>
  </conditionalFormatting>
  <conditionalFormatting sqref="A703">
    <cfRule type="cellIs" dxfId="28279" priority="28117" stopIfTrue="1" operator="equal">
      <formula>"Pass"</formula>
    </cfRule>
    <cfRule type="cellIs" dxfId="28278" priority="28118" stopIfTrue="1" operator="equal">
      <formula>"Fail"</formula>
    </cfRule>
  </conditionalFormatting>
  <conditionalFormatting sqref="A703">
    <cfRule type="cellIs" dxfId="28277" priority="28115" stopIfTrue="1" operator="equal">
      <formula>"Pass"</formula>
    </cfRule>
    <cfRule type="cellIs" dxfId="28276" priority="28116" stopIfTrue="1" operator="equal">
      <formula>"Fail"</formula>
    </cfRule>
  </conditionalFormatting>
  <conditionalFormatting sqref="A703">
    <cfRule type="cellIs" dxfId="28275" priority="28113" stopIfTrue="1" operator="equal">
      <formula>"Pass"</formula>
    </cfRule>
    <cfRule type="cellIs" dxfId="28274" priority="28114" stopIfTrue="1" operator="equal">
      <formula>"Fail"</formula>
    </cfRule>
  </conditionalFormatting>
  <conditionalFormatting sqref="A703">
    <cfRule type="cellIs" dxfId="28273" priority="28111" stopIfTrue="1" operator="equal">
      <formula>"Pass"</formula>
    </cfRule>
    <cfRule type="cellIs" dxfId="28272" priority="28112" stopIfTrue="1" operator="equal">
      <formula>"Fail"</formula>
    </cfRule>
  </conditionalFormatting>
  <conditionalFormatting sqref="A703">
    <cfRule type="cellIs" dxfId="28271" priority="28109" stopIfTrue="1" operator="equal">
      <formula>"Pass"</formula>
    </cfRule>
    <cfRule type="cellIs" dxfId="28270" priority="28110" stopIfTrue="1" operator="equal">
      <formula>"Fail"</formula>
    </cfRule>
  </conditionalFormatting>
  <conditionalFormatting sqref="A703">
    <cfRule type="cellIs" dxfId="28269" priority="28107" stopIfTrue="1" operator="equal">
      <formula>"Pass"</formula>
    </cfRule>
    <cfRule type="cellIs" dxfId="28268" priority="28108" stopIfTrue="1" operator="equal">
      <formula>"Fail"</formula>
    </cfRule>
  </conditionalFormatting>
  <conditionalFormatting sqref="A703">
    <cfRule type="cellIs" dxfId="28267" priority="28105" stopIfTrue="1" operator="equal">
      <formula>"Pass"</formula>
    </cfRule>
    <cfRule type="cellIs" dxfId="28266" priority="28106" stopIfTrue="1" operator="equal">
      <formula>"Fail"</formula>
    </cfRule>
  </conditionalFormatting>
  <conditionalFormatting sqref="A703">
    <cfRule type="cellIs" dxfId="28265" priority="28103" stopIfTrue="1" operator="equal">
      <formula>"Pass"</formula>
    </cfRule>
    <cfRule type="cellIs" dxfId="28264" priority="28104" stopIfTrue="1" operator="equal">
      <formula>"Fail"</formula>
    </cfRule>
  </conditionalFormatting>
  <conditionalFormatting sqref="A703">
    <cfRule type="cellIs" dxfId="28263" priority="28101" stopIfTrue="1" operator="equal">
      <formula>"Pass"</formula>
    </cfRule>
    <cfRule type="cellIs" dxfId="28262" priority="28102" stopIfTrue="1" operator="equal">
      <formula>"Fail"</formula>
    </cfRule>
  </conditionalFormatting>
  <conditionalFormatting sqref="A703">
    <cfRule type="cellIs" dxfId="28261" priority="28099" stopIfTrue="1" operator="equal">
      <formula>"Pass"</formula>
    </cfRule>
    <cfRule type="cellIs" dxfId="28260" priority="28100" stopIfTrue="1" operator="equal">
      <formula>"Fail"</formula>
    </cfRule>
  </conditionalFormatting>
  <conditionalFormatting sqref="A703">
    <cfRule type="cellIs" dxfId="28259" priority="28097" stopIfTrue="1" operator="equal">
      <formula>"Pass"</formula>
    </cfRule>
    <cfRule type="cellIs" dxfId="28258" priority="28098" stopIfTrue="1" operator="equal">
      <formula>"Fail"</formula>
    </cfRule>
  </conditionalFormatting>
  <conditionalFormatting sqref="A703">
    <cfRule type="cellIs" dxfId="28257" priority="28095" stopIfTrue="1" operator="equal">
      <formula>"Pass"</formula>
    </cfRule>
    <cfRule type="cellIs" dxfId="28256" priority="28096" stopIfTrue="1" operator="equal">
      <formula>"Fail"</formula>
    </cfRule>
  </conditionalFormatting>
  <conditionalFormatting sqref="A703">
    <cfRule type="cellIs" dxfId="28255" priority="28093" stopIfTrue="1" operator="equal">
      <formula>"Pass"</formula>
    </cfRule>
    <cfRule type="cellIs" dxfId="28254" priority="28094" stopIfTrue="1" operator="equal">
      <formula>"Fail"</formula>
    </cfRule>
  </conditionalFormatting>
  <conditionalFormatting sqref="A703">
    <cfRule type="cellIs" dxfId="28253" priority="28091" stopIfTrue="1" operator="equal">
      <formula>"Pass"</formula>
    </cfRule>
    <cfRule type="cellIs" dxfId="28252" priority="28092" stopIfTrue="1" operator="equal">
      <formula>"Fail"</formula>
    </cfRule>
  </conditionalFormatting>
  <conditionalFormatting sqref="A703">
    <cfRule type="cellIs" dxfId="28251" priority="28089" stopIfTrue="1" operator="equal">
      <formula>"Pass"</formula>
    </cfRule>
    <cfRule type="cellIs" dxfId="28250" priority="28090" stopIfTrue="1" operator="equal">
      <formula>"Fail"</formula>
    </cfRule>
  </conditionalFormatting>
  <conditionalFormatting sqref="U703">
    <cfRule type="cellIs" dxfId="28249" priority="28087" stopIfTrue="1" operator="equal">
      <formula>"Fail"</formula>
    </cfRule>
    <cfRule type="cellIs" dxfId="28248" priority="28088" stopIfTrue="1" operator="equal">
      <formula>"Pass"</formula>
    </cfRule>
  </conditionalFormatting>
  <conditionalFormatting sqref="U703">
    <cfRule type="cellIs" dxfId="28247" priority="28085" stopIfTrue="1" operator="equal">
      <formula>"Fail"</formula>
    </cfRule>
    <cfRule type="cellIs" dxfId="28246" priority="28086" stopIfTrue="1" operator="equal">
      <formula>"Pass"</formula>
    </cfRule>
  </conditionalFormatting>
  <conditionalFormatting sqref="J703:J704">
    <cfRule type="cellIs" dxfId="28245" priority="28083" stopIfTrue="1" operator="equal">
      <formula>"Pass"</formula>
    </cfRule>
    <cfRule type="cellIs" dxfId="28244" priority="28084" stopIfTrue="1" operator="equal">
      <formula>"Fail"</formula>
    </cfRule>
  </conditionalFormatting>
  <conditionalFormatting sqref="H703:H704 I704">
    <cfRule type="cellIs" dxfId="28243" priority="28081" stopIfTrue="1" operator="equal">
      <formula>"Pass"</formula>
    </cfRule>
    <cfRule type="cellIs" dxfId="28242" priority="28082" stopIfTrue="1" operator="equal">
      <formula>"Fail"</formula>
    </cfRule>
  </conditionalFormatting>
  <conditionalFormatting sqref="F705 F703:G703 K703:N704">
    <cfRule type="cellIs" dxfId="28241" priority="28079" stopIfTrue="1" operator="equal">
      <formula>"Pass"</formula>
    </cfRule>
    <cfRule type="cellIs" dxfId="28240" priority="28080" stopIfTrue="1" operator="equal">
      <formula>"Fail"</formula>
    </cfRule>
  </conditionalFormatting>
  <conditionalFormatting sqref="T703:T705 U704:U705">
    <cfRule type="cellIs" dxfId="28239" priority="28077" stopIfTrue="1" operator="equal">
      <formula>"Fail"</formula>
    </cfRule>
    <cfRule type="cellIs" dxfId="28238" priority="28078" stopIfTrue="1" operator="equal">
      <formula>"Pass"</formula>
    </cfRule>
  </conditionalFormatting>
  <conditionalFormatting sqref="U703">
    <cfRule type="cellIs" dxfId="28237" priority="28075" stopIfTrue="1" operator="equal">
      <formula>"Fail"</formula>
    </cfRule>
    <cfRule type="cellIs" dxfId="28236" priority="28076" stopIfTrue="1" operator="equal">
      <formula>"Pass"</formula>
    </cfRule>
  </conditionalFormatting>
  <conditionalFormatting sqref="U703">
    <cfRule type="cellIs" dxfId="28235" priority="28073" stopIfTrue="1" operator="equal">
      <formula>"Fail"</formula>
    </cfRule>
    <cfRule type="cellIs" dxfId="28234" priority="28074" stopIfTrue="1" operator="equal">
      <formula>"Pass"</formula>
    </cfRule>
  </conditionalFormatting>
  <conditionalFormatting sqref="F703:G703 K703:N703">
    <cfRule type="cellIs" dxfId="28233" priority="28071" stopIfTrue="1" operator="equal">
      <formula>"Pass"</formula>
    </cfRule>
    <cfRule type="cellIs" dxfId="28232" priority="28072" stopIfTrue="1" operator="equal">
      <formula>"Fail"</formula>
    </cfRule>
  </conditionalFormatting>
  <conditionalFormatting sqref="K704:N704">
    <cfRule type="cellIs" dxfId="28231" priority="28069" stopIfTrue="1" operator="equal">
      <formula>"Pass"</formula>
    </cfRule>
    <cfRule type="cellIs" dxfId="28230" priority="28070" stopIfTrue="1" operator="equal">
      <formula>"Fail"</formula>
    </cfRule>
  </conditionalFormatting>
  <conditionalFormatting sqref="U703">
    <cfRule type="cellIs" dxfId="28229" priority="28067" stopIfTrue="1" operator="equal">
      <formula>"Fail"</formula>
    </cfRule>
    <cfRule type="cellIs" dxfId="28228" priority="28068" stopIfTrue="1" operator="equal">
      <formula>"Pass"</formula>
    </cfRule>
  </conditionalFormatting>
  <conditionalFormatting sqref="H706:H707">
    <cfRule type="cellIs" dxfId="28227" priority="28065" stopIfTrue="1" operator="equal">
      <formula>"Pass"</formula>
    </cfRule>
    <cfRule type="cellIs" dxfId="28226" priority="28066" stopIfTrue="1" operator="equal">
      <formula>"Fail"</formula>
    </cfRule>
  </conditionalFormatting>
  <conditionalFormatting sqref="E706:F706 I706:M707 E708:F708 A706">
    <cfRule type="cellIs" dxfId="28225" priority="28063" stopIfTrue="1" operator="equal">
      <formula>"Pass"</formula>
    </cfRule>
    <cfRule type="cellIs" dxfId="28224" priority="28064" stopIfTrue="1" operator="equal">
      <formula>"Fail"</formula>
    </cfRule>
  </conditionalFormatting>
  <conditionalFormatting sqref="T708 T706 R706:R708 S707:S708">
    <cfRule type="cellIs" dxfId="28223" priority="28061" stopIfTrue="1" operator="equal">
      <formula>"Fail"</formula>
    </cfRule>
    <cfRule type="cellIs" dxfId="28222" priority="28062" stopIfTrue="1" operator="equal">
      <formula>"Pass"</formula>
    </cfRule>
  </conditionalFormatting>
  <conditionalFormatting sqref="F706:G706 J706:N707 F708:G708 B706:B708 A706">
    <cfRule type="cellIs" dxfId="28221" priority="28059" stopIfTrue="1" operator="equal">
      <formula>"Pass"</formula>
    </cfRule>
    <cfRule type="cellIs" dxfId="28220" priority="28060" stopIfTrue="1" operator="equal">
      <formula>"Fail"</formula>
    </cfRule>
  </conditionalFormatting>
  <conditionalFormatting sqref="U708 T706:T708 S707:S708">
    <cfRule type="cellIs" dxfId="28219" priority="28057" stopIfTrue="1" operator="equal">
      <formula>"Fail"</formula>
    </cfRule>
    <cfRule type="cellIs" dxfId="28218" priority="28058" stopIfTrue="1" operator="equal">
      <formula>"Pass"</formula>
    </cfRule>
  </conditionalFormatting>
  <conditionalFormatting sqref="A706">
    <cfRule type="cellIs" dxfId="28217" priority="28055" stopIfTrue="1" operator="equal">
      <formula>"Pass"</formula>
    </cfRule>
    <cfRule type="cellIs" dxfId="28216" priority="28056" stopIfTrue="1" operator="equal">
      <formula>"Fail"</formula>
    </cfRule>
  </conditionalFormatting>
  <conditionalFormatting sqref="A706">
    <cfRule type="cellIs" dxfId="28215" priority="28053" stopIfTrue="1" operator="equal">
      <formula>"Pass"</formula>
    </cfRule>
    <cfRule type="cellIs" dxfId="28214" priority="28054" stopIfTrue="1" operator="equal">
      <formula>"Fail"</formula>
    </cfRule>
  </conditionalFormatting>
  <conditionalFormatting sqref="A706">
    <cfRule type="cellIs" dxfId="28213" priority="28051" stopIfTrue="1" operator="equal">
      <formula>"Pass"</formula>
    </cfRule>
    <cfRule type="cellIs" dxfId="28212" priority="28052" stopIfTrue="1" operator="equal">
      <formula>"Fail"</formula>
    </cfRule>
  </conditionalFormatting>
  <conditionalFormatting sqref="A706">
    <cfRule type="cellIs" dxfId="28211" priority="28049" stopIfTrue="1" operator="equal">
      <formula>"Pass"</formula>
    </cfRule>
    <cfRule type="cellIs" dxfId="28210" priority="28050" stopIfTrue="1" operator="equal">
      <formula>"Fail"</formula>
    </cfRule>
  </conditionalFormatting>
  <conditionalFormatting sqref="A706">
    <cfRule type="cellIs" dxfId="28209" priority="28047" stopIfTrue="1" operator="equal">
      <formula>"Pass"</formula>
    </cfRule>
    <cfRule type="cellIs" dxfId="28208" priority="28048" stopIfTrue="1" operator="equal">
      <formula>"Fail"</formula>
    </cfRule>
  </conditionalFormatting>
  <conditionalFormatting sqref="A706">
    <cfRule type="cellIs" dxfId="28207" priority="28045" stopIfTrue="1" operator="equal">
      <formula>"Pass"</formula>
    </cfRule>
    <cfRule type="cellIs" dxfId="28206" priority="28046" stopIfTrue="1" operator="equal">
      <formula>"Fail"</formula>
    </cfRule>
  </conditionalFormatting>
  <conditionalFormatting sqref="A706">
    <cfRule type="cellIs" dxfId="28205" priority="28043" stopIfTrue="1" operator="equal">
      <formula>"Pass"</formula>
    </cfRule>
    <cfRule type="cellIs" dxfId="28204" priority="28044" stopIfTrue="1" operator="equal">
      <formula>"Fail"</formula>
    </cfRule>
  </conditionalFormatting>
  <conditionalFormatting sqref="A706">
    <cfRule type="cellIs" dxfId="28203" priority="28041" stopIfTrue="1" operator="equal">
      <formula>"Pass"</formula>
    </cfRule>
    <cfRule type="cellIs" dxfId="28202" priority="28042" stopIfTrue="1" operator="equal">
      <formula>"Fail"</formula>
    </cfRule>
  </conditionalFormatting>
  <conditionalFormatting sqref="A706">
    <cfRule type="cellIs" dxfId="28201" priority="28039" stopIfTrue="1" operator="equal">
      <formula>"Pass"</formula>
    </cfRule>
    <cfRule type="cellIs" dxfId="28200" priority="28040" stopIfTrue="1" operator="equal">
      <formula>"Fail"</formula>
    </cfRule>
  </conditionalFormatting>
  <conditionalFormatting sqref="A706">
    <cfRule type="cellIs" dxfId="28199" priority="28037" stopIfTrue="1" operator="equal">
      <formula>"Pass"</formula>
    </cfRule>
    <cfRule type="cellIs" dxfId="28198" priority="28038" stopIfTrue="1" operator="equal">
      <formula>"Fail"</formula>
    </cfRule>
  </conditionalFormatting>
  <conditionalFormatting sqref="U706">
    <cfRule type="cellIs" dxfId="28197" priority="28035" stopIfTrue="1" operator="equal">
      <formula>"Fail"</formula>
    </cfRule>
    <cfRule type="cellIs" dxfId="28196" priority="28036" stopIfTrue="1" operator="equal">
      <formula>"Pass"</formula>
    </cfRule>
  </conditionalFormatting>
  <conditionalFormatting sqref="F706:G706 J706:N706">
    <cfRule type="cellIs" dxfId="28195" priority="28033" stopIfTrue="1" operator="equal">
      <formula>"Pass"</formula>
    </cfRule>
    <cfRule type="cellIs" dxfId="28194" priority="28034" stopIfTrue="1" operator="equal">
      <formula>"Fail"</formula>
    </cfRule>
  </conditionalFormatting>
  <conditionalFormatting sqref="J707:N707">
    <cfRule type="cellIs" dxfId="28193" priority="28031" stopIfTrue="1" operator="equal">
      <formula>"Pass"</formula>
    </cfRule>
    <cfRule type="cellIs" dxfId="28192" priority="28032" stopIfTrue="1" operator="equal">
      <formula>"Fail"</formula>
    </cfRule>
  </conditionalFormatting>
  <conditionalFormatting sqref="A700:A708">
    <cfRule type="cellIs" dxfId="28191" priority="28029" stopIfTrue="1" operator="equal">
      <formula>"Pass"</formula>
    </cfRule>
    <cfRule type="cellIs" dxfId="28190" priority="28030" stopIfTrue="1" operator="equal">
      <formula>"Fail"</formula>
    </cfRule>
  </conditionalFormatting>
  <conditionalFormatting sqref="A700:A708">
    <cfRule type="cellIs" dxfId="28189" priority="28027" stopIfTrue="1" operator="equal">
      <formula>"Pass"</formula>
    </cfRule>
    <cfRule type="cellIs" dxfId="28188" priority="28028" stopIfTrue="1" operator="equal">
      <formula>"Fail"</formula>
    </cfRule>
  </conditionalFormatting>
  <conditionalFormatting sqref="A700:A708">
    <cfRule type="cellIs" dxfId="28187" priority="28025" stopIfTrue="1" operator="equal">
      <formula>"Pass"</formula>
    </cfRule>
    <cfRule type="cellIs" dxfId="28186" priority="28026" stopIfTrue="1" operator="equal">
      <formula>"Fail"</formula>
    </cfRule>
  </conditionalFormatting>
  <conditionalFormatting sqref="A700:A708">
    <cfRule type="cellIs" dxfId="28185" priority="28023" stopIfTrue="1" operator="equal">
      <formula>"Pass"</formula>
    </cfRule>
    <cfRule type="cellIs" dxfId="28184" priority="28024" stopIfTrue="1" operator="equal">
      <formula>"Fail"</formula>
    </cfRule>
  </conditionalFormatting>
  <conditionalFormatting sqref="A700:A708">
    <cfRule type="cellIs" dxfId="28183" priority="28021" stopIfTrue="1" operator="equal">
      <formula>"Pass"</formula>
    </cfRule>
    <cfRule type="cellIs" dxfId="28182" priority="28022" stopIfTrue="1" operator="equal">
      <formula>"Fail"</formula>
    </cfRule>
  </conditionalFormatting>
  <conditionalFormatting sqref="A702 A705 A708">
    <cfRule type="cellIs" dxfId="28181" priority="28019" stopIfTrue="1" operator="equal">
      <formula>"Pass"</formula>
    </cfRule>
    <cfRule type="cellIs" dxfId="28180" priority="28020" stopIfTrue="1" operator="equal">
      <formula>"Fail"</formula>
    </cfRule>
  </conditionalFormatting>
  <conditionalFormatting sqref="A700:A708">
    <cfRule type="cellIs" dxfId="28179" priority="28017" stopIfTrue="1" operator="equal">
      <formula>"Pass"</formula>
    </cfRule>
    <cfRule type="cellIs" dxfId="28178" priority="28018" stopIfTrue="1" operator="equal">
      <formula>"Fail"</formula>
    </cfRule>
  </conditionalFormatting>
  <conditionalFormatting sqref="A700:A708">
    <cfRule type="cellIs" dxfId="28177" priority="28015" stopIfTrue="1" operator="equal">
      <formula>"Pass"</formula>
    </cfRule>
    <cfRule type="cellIs" dxfId="28176" priority="28016" stopIfTrue="1" operator="equal">
      <formula>"Fail"</formula>
    </cfRule>
  </conditionalFormatting>
  <conditionalFormatting sqref="A700:A708">
    <cfRule type="cellIs" dxfId="28175" priority="28013" stopIfTrue="1" operator="equal">
      <formula>"Pass"</formula>
    </cfRule>
    <cfRule type="cellIs" dxfId="28174" priority="28014" stopIfTrue="1" operator="equal">
      <formula>"Fail"</formula>
    </cfRule>
  </conditionalFormatting>
  <conditionalFormatting sqref="A700:A708">
    <cfRule type="cellIs" dxfId="28173" priority="28011" stopIfTrue="1" operator="equal">
      <formula>"Pass"</formula>
    </cfRule>
    <cfRule type="cellIs" dxfId="28172" priority="28012" stopIfTrue="1" operator="equal">
      <formula>"Fail"</formula>
    </cfRule>
  </conditionalFormatting>
  <conditionalFormatting sqref="A700:A708">
    <cfRule type="cellIs" dxfId="28171" priority="28009" stopIfTrue="1" operator="equal">
      <formula>"Pass"</formula>
    </cfRule>
    <cfRule type="cellIs" dxfId="28170" priority="28010" stopIfTrue="1" operator="equal">
      <formula>"Fail"</formula>
    </cfRule>
  </conditionalFormatting>
  <conditionalFormatting sqref="A700:A708">
    <cfRule type="cellIs" dxfId="28169" priority="28007" stopIfTrue="1" operator="equal">
      <formula>"Pass"</formula>
    </cfRule>
    <cfRule type="cellIs" dxfId="28168" priority="28008" stopIfTrue="1" operator="equal">
      <formula>"Fail"</formula>
    </cfRule>
  </conditionalFormatting>
  <conditionalFormatting sqref="A702 A705 A708">
    <cfRule type="cellIs" dxfId="28167" priority="28005" stopIfTrue="1" operator="equal">
      <formula>"Pass"</formula>
    </cfRule>
    <cfRule type="cellIs" dxfId="28166" priority="28006" stopIfTrue="1" operator="equal">
      <formula>"Fail"</formula>
    </cfRule>
  </conditionalFormatting>
  <conditionalFormatting sqref="A700:A708">
    <cfRule type="cellIs" dxfId="28165" priority="28003" stopIfTrue="1" operator="equal">
      <formula>"Pass"</formula>
    </cfRule>
    <cfRule type="cellIs" dxfId="28164" priority="28004" stopIfTrue="1" operator="equal">
      <formula>"Fail"</formula>
    </cfRule>
  </conditionalFormatting>
  <conditionalFormatting sqref="H709:H710">
    <cfRule type="cellIs" dxfId="28163" priority="28001" stopIfTrue="1" operator="equal">
      <formula>"Pass"</formula>
    </cfRule>
    <cfRule type="cellIs" dxfId="28162" priority="28002" stopIfTrue="1" operator="equal">
      <formula>"Fail"</formula>
    </cfRule>
  </conditionalFormatting>
  <conditionalFormatting sqref="E709:F709 E711:F711 I709:M710 A709 A712:A715">
    <cfRule type="cellIs" dxfId="28161" priority="27999" stopIfTrue="1" operator="equal">
      <formula>"Pass"</formula>
    </cfRule>
    <cfRule type="cellIs" dxfId="28160" priority="28000" stopIfTrue="1" operator="equal">
      <formula>"Fail"</formula>
    </cfRule>
  </conditionalFormatting>
  <conditionalFormatting sqref="T711 T709 R709:R711 S710:S711">
    <cfRule type="cellIs" dxfId="28159" priority="27997" stopIfTrue="1" operator="equal">
      <formula>"Fail"</formula>
    </cfRule>
    <cfRule type="cellIs" dxfId="28158" priority="27998" stopIfTrue="1" operator="equal">
      <formula>"Pass"</formula>
    </cfRule>
  </conditionalFormatting>
  <conditionalFormatting sqref="F709:G709 F711:G711 A709 J709:N710 B709:B711 A712:A715">
    <cfRule type="cellIs" dxfId="28157" priority="27995" stopIfTrue="1" operator="equal">
      <formula>"Pass"</formula>
    </cfRule>
    <cfRule type="cellIs" dxfId="28156" priority="27996" stopIfTrue="1" operator="equal">
      <formula>"Fail"</formula>
    </cfRule>
  </conditionalFormatting>
  <conditionalFormatting sqref="U711 U709 T709:T711 S710:S711">
    <cfRule type="cellIs" dxfId="28155" priority="27993" stopIfTrue="1" operator="equal">
      <formula>"Fail"</formula>
    </cfRule>
    <cfRule type="cellIs" dxfId="28154" priority="27994" stopIfTrue="1" operator="equal">
      <formula>"Pass"</formula>
    </cfRule>
  </conditionalFormatting>
  <conditionalFormatting sqref="A709 A712:A715">
    <cfRule type="cellIs" dxfId="28153" priority="27991" stopIfTrue="1" operator="equal">
      <formula>"Pass"</formula>
    </cfRule>
    <cfRule type="cellIs" dxfId="28152" priority="27992" stopIfTrue="1" operator="equal">
      <formula>"Fail"</formula>
    </cfRule>
  </conditionalFormatting>
  <conditionalFormatting sqref="A709 A712:A715">
    <cfRule type="cellIs" dxfId="28151" priority="27989" stopIfTrue="1" operator="equal">
      <formula>"Pass"</formula>
    </cfRule>
    <cfRule type="cellIs" dxfId="28150" priority="27990" stopIfTrue="1" operator="equal">
      <formula>"Fail"</formula>
    </cfRule>
  </conditionalFormatting>
  <conditionalFormatting sqref="A709 A712:A715">
    <cfRule type="cellIs" dxfId="28149" priority="27987" stopIfTrue="1" operator="equal">
      <formula>"Pass"</formula>
    </cfRule>
    <cfRule type="cellIs" dxfId="28148" priority="27988" stopIfTrue="1" operator="equal">
      <formula>"Fail"</formula>
    </cfRule>
  </conditionalFormatting>
  <conditionalFormatting sqref="J709:N710 E709:G711">
    <cfRule type="cellIs" dxfId="28147" priority="27985" stopIfTrue="1" operator="equal">
      <formula>"Pass"</formula>
    </cfRule>
    <cfRule type="cellIs" dxfId="28146" priority="27986" stopIfTrue="1" operator="equal">
      <formula>"Fail"</formula>
    </cfRule>
  </conditionalFormatting>
  <conditionalFormatting sqref="A714 C711 K709:O710 F709:H711">
    <cfRule type="cellIs" dxfId="28145" priority="27983" stopIfTrue="1" operator="equal">
      <formula>"Pass"</formula>
    </cfRule>
    <cfRule type="cellIs" dxfId="28144" priority="27984" stopIfTrue="1" operator="equal">
      <formula>"Fail"</formula>
    </cfRule>
  </conditionalFormatting>
  <conditionalFormatting sqref="T709">
    <cfRule type="cellIs" dxfId="28143" priority="27981" stopIfTrue="1" operator="equal">
      <formula>"Fail"</formula>
    </cfRule>
    <cfRule type="cellIs" dxfId="28142" priority="27982" stopIfTrue="1" operator="equal">
      <formula>"Pass"</formula>
    </cfRule>
  </conditionalFormatting>
  <conditionalFormatting sqref="A709 A712:A715">
    <cfRule type="cellIs" dxfId="28141" priority="27979" stopIfTrue="1" operator="equal">
      <formula>"Pass"</formula>
    </cfRule>
    <cfRule type="cellIs" dxfId="28140" priority="27980" stopIfTrue="1" operator="equal">
      <formula>"Fail"</formula>
    </cfRule>
  </conditionalFormatting>
  <conditionalFormatting sqref="A712">
    <cfRule type="cellIs" dxfId="28139" priority="27977" stopIfTrue="1" operator="equal">
      <formula>"Pass"</formula>
    </cfRule>
    <cfRule type="cellIs" dxfId="28138" priority="27978" stopIfTrue="1" operator="equal">
      <formula>"Fail"</formula>
    </cfRule>
  </conditionalFormatting>
  <conditionalFormatting sqref="A712">
    <cfRule type="cellIs" dxfId="28137" priority="27975" stopIfTrue="1" operator="equal">
      <formula>"Pass"</formula>
    </cfRule>
    <cfRule type="cellIs" dxfId="28136" priority="27976" stopIfTrue="1" operator="equal">
      <formula>"Fail"</formula>
    </cfRule>
  </conditionalFormatting>
  <conditionalFormatting sqref="A712">
    <cfRule type="cellIs" dxfId="28135" priority="27973" stopIfTrue="1" operator="equal">
      <formula>"Pass"</formula>
    </cfRule>
    <cfRule type="cellIs" dxfId="28134" priority="27974" stopIfTrue="1" operator="equal">
      <formula>"Fail"</formula>
    </cfRule>
  </conditionalFormatting>
  <conditionalFormatting sqref="A712">
    <cfRule type="cellIs" dxfId="28133" priority="27971" stopIfTrue="1" operator="equal">
      <formula>"Pass"</formula>
    </cfRule>
    <cfRule type="cellIs" dxfId="28132" priority="27972" stopIfTrue="1" operator="equal">
      <formula>"Fail"</formula>
    </cfRule>
  </conditionalFormatting>
  <conditionalFormatting sqref="A712">
    <cfRule type="cellIs" dxfId="28131" priority="27969" stopIfTrue="1" operator="equal">
      <formula>"Pass"</formula>
    </cfRule>
    <cfRule type="cellIs" dxfId="28130" priority="27970" stopIfTrue="1" operator="equal">
      <formula>"Fail"</formula>
    </cfRule>
  </conditionalFormatting>
  <conditionalFormatting sqref="A712">
    <cfRule type="cellIs" dxfId="28129" priority="27967" stopIfTrue="1" operator="equal">
      <formula>"Pass"</formula>
    </cfRule>
    <cfRule type="cellIs" dxfId="28128" priority="27968" stopIfTrue="1" operator="equal">
      <formula>"Fail"</formula>
    </cfRule>
  </conditionalFormatting>
  <conditionalFormatting sqref="A712">
    <cfRule type="cellIs" dxfId="28127" priority="27965" stopIfTrue="1" operator="equal">
      <formula>"Pass"</formula>
    </cfRule>
    <cfRule type="cellIs" dxfId="28126" priority="27966" stopIfTrue="1" operator="equal">
      <formula>"Fail"</formula>
    </cfRule>
  </conditionalFormatting>
  <conditionalFormatting sqref="A712">
    <cfRule type="cellIs" dxfId="28125" priority="27963" stopIfTrue="1" operator="equal">
      <formula>"Pass"</formula>
    </cfRule>
    <cfRule type="cellIs" dxfId="28124" priority="27964" stopIfTrue="1" operator="equal">
      <formula>"Fail"</formula>
    </cfRule>
  </conditionalFormatting>
  <conditionalFormatting sqref="A712">
    <cfRule type="cellIs" dxfId="28123" priority="27961" stopIfTrue="1" operator="equal">
      <formula>"Pass"</formula>
    </cfRule>
    <cfRule type="cellIs" dxfId="28122" priority="27962" stopIfTrue="1" operator="equal">
      <formula>"Fail"</formula>
    </cfRule>
  </conditionalFormatting>
  <conditionalFormatting sqref="A712">
    <cfRule type="cellIs" dxfId="28121" priority="27959" stopIfTrue="1" operator="equal">
      <formula>"Pass"</formula>
    </cfRule>
    <cfRule type="cellIs" dxfId="28120" priority="27960" stopIfTrue="1" operator="equal">
      <formula>"Fail"</formula>
    </cfRule>
  </conditionalFormatting>
  <conditionalFormatting sqref="A712">
    <cfRule type="cellIs" dxfId="28119" priority="27957" stopIfTrue="1" operator="equal">
      <formula>"Pass"</formula>
    </cfRule>
    <cfRule type="cellIs" dxfId="28118" priority="27958" stopIfTrue="1" operator="equal">
      <formula>"Fail"</formula>
    </cfRule>
  </conditionalFormatting>
  <conditionalFormatting sqref="A712">
    <cfRule type="cellIs" dxfId="28117" priority="27955" stopIfTrue="1" operator="equal">
      <formula>"Pass"</formula>
    </cfRule>
    <cfRule type="cellIs" dxfId="28116" priority="27956" stopIfTrue="1" operator="equal">
      <formula>"Fail"</formula>
    </cfRule>
  </conditionalFormatting>
  <conditionalFormatting sqref="J712:J713">
    <cfRule type="cellIs" dxfId="28115" priority="27953" stopIfTrue="1" operator="equal">
      <formula>"Pass"</formula>
    </cfRule>
    <cfRule type="cellIs" dxfId="28114" priority="27954" stopIfTrue="1" operator="equal">
      <formula>"Fail"</formula>
    </cfRule>
  </conditionalFormatting>
  <conditionalFormatting sqref="H712:H713 I713">
    <cfRule type="cellIs" dxfId="28113" priority="27951" stopIfTrue="1" operator="equal">
      <formula>"Pass"</formula>
    </cfRule>
    <cfRule type="cellIs" dxfId="28112" priority="27952" stopIfTrue="1" operator="equal">
      <formula>"Fail"</formula>
    </cfRule>
  </conditionalFormatting>
  <conditionalFormatting sqref="A712 C712 F714 F712:G712 K712:N713">
    <cfRule type="cellIs" dxfId="28111" priority="27949" stopIfTrue="1" operator="equal">
      <formula>"Pass"</formula>
    </cfRule>
    <cfRule type="cellIs" dxfId="28110" priority="27950" stopIfTrue="1" operator="equal">
      <formula>"Fail"</formula>
    </cfRule>
  </conditionalFormatting>
  <conditionalFormatting sqref="T712:T714 U713:U714">
    <cfRule type="cellIs" dxfId="28109" priority="27947" stopIfTrue="1" operator="equal">
      <formula>"Fail"</formula>
    </cfRule>
    <cfRule type="cellIs" dxfId="28108" priority="27948" stopIfTrue="1" operator="equal">
      <formula>"Pass"</formula>
    </cfRule>
  </conditionalFormatting>
  <conditionalFormatting sqref="A712">
    <cfRule type="cellIs" dxfId="28107" priority="27945" stopIfTrue="1" operator="equal">
      <formula>"Pass"</formula>
    </cfRule>
    <cfRule type="cellIs" dxfId="28106" priority="27946" stopIfTrue="1" operator="equal">
      <formula>"Fail"</formula>
    </cfRule>
  </conditionalFormatting>
  <conditionalFormatting sqref="A712">
    <cfRule type="cellIs" dxfId="28105" priority="27943" stopIfTrue="1" operator="equal">
      <formula>"Pass"</formula>
    </cfRule>
    <cfRule type="cellIs" dxfId="28104" priority="27944" stopIfTrue="1" operator="equal">
      <formula>"Fail"</formula>
    </cfRule>
  </conditionalFormatting>
  <conditionalFormatting sqref="A712">
    <cfRule type="cellIs" dxfId="28103" priority="27941" stopIfTrue="1" operator="equal">
      <formula>"Pass"</formula>
    </cfRule>
    <cfRule type="cellIs" dxfId="28102" priority="27942" stopIfTrue="1" operator="equal">
      <formula>"Fail"</formula>
    </cfRule>
  </conditionalFormatting>
  <conditionalFormatting sqref="A712">
    <cfRule type="cellIs" dxfId="28101" priority="27939" stopIfTrue="1" operator="equal">
      <formula>"Pass"</formula>
    </cfRule>
    <cfRule type="cellIs" dxfId="28100" priority="27940" stopIfTrue="1" operator="equal">
      <formula>"Fail"</formula>
    </cfRule>
  </conditionalFormatting>
  <conditionalFormatting sqref="A712">
    <cfRule type="cellIs" dxfId="28099" priority="27937" stopIfTrue="1" operator="equal">
      <formula>"Pass"</formula>
    </cfRule>
    <cfRule type="cellIs" dxfId="28098" priority="27938" stopIfTrue="1" operator="equal">
      <formula>"Fail"</formula>
    </cfRule>
  </conditionalFormatting>
  <conditionalFormatting sqref="A712">
    <cfRule type="cellIs" dxfId="28097" priority="27935" stopIfTrue="1" operator="equal">
      <formula>"Pass"</formula>
    </cfRule>
    <cfRule type="cellIs" dxfId="28096" priority="27936" stopIfTrue="1" operator="equal">
      <formula>"Fail"</formula>
    </cfRule>
  </conditionalFormatting>
  <conditionalFormatting sqref="A712">
    <cfRule type="cellIs" dxfId="28095" priority="27933" stopIfTrue="1" operator="equal">
      <formula>"Pass"</formula>
    </cfRule>
    <cfRule type="cellIs" dxfId="28094" priority="27934" stopIfTrue="1" operator="equal">
      <formula>"Fail"</formula>
    </cfRule>
  </conditionalFormatting>
  <conditionalFormatting sqref="A712">
    <cfRule type="cellIs" dxfId="28093" priority="27931" stopIfTrue="1" operator="equal">
      <formula>"Pass"</formula>
    </cfRule>
    <cfRule type="cellIs" dxfId="28092" priority="27932" stopIfTrue="1" operator="equal">
      <formula>"Fail"</formula>
    </cfRule>
  </conditionalFormatting>
  <conditionalFormatting sqref="A712">
    <cfRule type="cellIs" dxfId="28091" priority="27929" stopIfTrue="1" operator="equal">
      <formula>"Pass"</formula>
    </cfRule>
    <cfRule type="cellIs" dxfId="28090" priority="27930" stopIfTrue="1" operator="equal">
      <formula>"Fail"</formula>
    </cfRule>
  </conditionalFormatting>
  <conditionalFormatting sqref="A712">
    <cfRule type="cellIs" dxfId="28089" priority="27927" stopIfTrue="1" operator="equal">
      <formula>"Pass"</formula>
    </cfRule>
    <cfRule type="cellIs" dxfId="28088" priority="27928" stopIfTrue="1" operator="equal">
      <formula>"Fail"</formula>
    </cfRule>
  </conditionalFormatting>
  <conditionalFormatting sqref="A712">
    <cfRule type="cellIs" dxfId="28087" priority="27925" stopIfTrue="1" operator="equal">
      <formula>"Pass"</formula>
    </cfRule>
    <cfRule type="cellIs" dxfId="28086" priority="27926" stopIfTrue="1" operator="equal">
      <formula>"Fail"</formula>
    </cfRule>
  </conditionalFormatting>
  <conditionalFormatting sqref="A712">
    <cfRule type="cellIs" dxfId="28085" priority="27923" stopIfTrue="1" operator="equal">
      <formula>"Pass"</formula>
    </cfRule>
    <cfRule type="cellIs" dxfId="28084" priority="27924" stopIfTrue="1" operator="equal">
      <formula>"Fail"</formula>
    </cfRule>
  </conditionalFormatting>
  <conditionalFormatting sqref="A712">
    <cfRule type="cellIs" dxfId="28083" priority="27921" stopIfTrue="1" operator="equal">
      <formula>"Pass"</formula>
    </cfRule>
    <cfRule type="cellIs" dxfId="28082" priority="27922" stopIfTrue="1" operator="equal">
      <formula>"Fail"</formula>
    </cfRule>
  </conditionalFormatting>
  <conditionalFormatting sqref="A712">
    <cfRule type="cellIs" dxfId="28081" priority="27919" stopIfTrue="1" operator="equal">
      <formula>"Pass"</formula>
    </cfRule>
    <cfRule type="cellIs" dxfId="28080" priority="27920" stopIfTrue="1" operator="equal">
      <formula>"Fail"</formula>
    </cfRule>
  </conditionalFormatting>
  <conditionalFormatting sqref="A712">
    <cfRule type="cellIs" dxfId="28079" priority="27917" stopIfTrue="1" operator="equal">
      <formula>"Pass"</formula>
    </cfRule>
    <cfRule type="cellIs" dxfId="28078" priority="27918" stopIfTrue="1" operator="equal">
      <formula>"Fail"</formula>
    </cfRule>
  </conditionalFormatting>
  <conditionalFormatting sqref="A712">
    <cfRule type="cellIs" dxfId="28077" priority="27915" stopIfTrue="1" operator="equal">
      <formula>"Pass"</formula>
    </cfRule>
    <cfRule type="cellIs" dxfId="28076" priority="27916" stopIfTrue="1" operator="equal">
      <formula>"Fail"</formula>
    </cfRule>
  </conditionalFormatting>
  <conditionalFormatting sqref="U712">
    <cfRule type="cellIs" dxfId="28075" priority="27913" stopIfTrue="1" operator="equal">
      <formula>"Fail"</formula>
    </cfRule>
    <cfRule type="cellIs" dxfId="28074" priority="27914" stopIfTrue="1" operator="equal">
      <formula>"Pass"</formula>
    </cfRule>
  </conditionalFormatting>
  <conditionalFormatting sqref="U712">
    <cfRule type="cellIs" dxfId="28073" priority="27911" stopIfTrue="1" operator="equal">
      <formula>"Fail"</formula>
    </cfRule>
    <cfRule type="cellIs" dxfId="28072" priority="27912" stopIfTrue="1" operator="equal">
      <formula>"Pass"</formula>
    </cfRule>
  </conditionalFormatting>
  <conditionalFormatting sqref="J712:J713">
    <cfRule type="cellIs" dxfId="28071" priority="27909" stopIfTrue="1" operator="equal">
      <formula>"Pass"</formula>
    </cfRule>
    <cfRule type="cellIs" dxfId="28070" priority="27910" stopIfTrue="1" operator="equal">
      <formula>"Fail"</formula>
    </cfRule>
  </conditionalFormatting>
  <conditionalFormatting sqref="H712:H713 I713">
    <cfRule type="cellIs" dxfId="28069" priority="27907" stopIfTrue="1" operator="equal">
      <formula>"Pass"</formula>
    </cfRule>
    <cfRule type="cellIs" dxfId="28068" priority="27908" stopIfTrue="1" operator="equal">
      <formula>"Fail"</formula>
    </cfRule>
  </conditionalFormatting>
  <conditionalFormatting sqref="F714 F712:G712 K712:N713">
    <cfRule type="cellIs" dxfId="28067" priority="27905" stopIfTrue="1" operator="equal">
      <formula>"Pass"</formula>
    </cfRule>
    <cfRule type="cellIs" dxfId="28066" priority="27906" stopIfTrue="1" operator="equal">
      <formula>"Fail"</formula>
    </cfRule>
  </conditionalFormatting>
  <conditionalFormatting sqref="T712:T714 U713:U714">
    <cfRule type="cellIs" dxfId="28065" priority="27903" stopIfTrue="1" operator="equal">
      <formula>"Fail"</formula>
    </cfRule>
    <cfRule type="cellIs" dxfId="28064" priority="27904" stopIfTrue="1" operator="equal">
      <formula>"Pass"</formula>
    </cfRule>
  </conditionalFormatting>
  <conditionalFormatting sqref="U712">
    <cfRule type="cellIs" dxfId="28063" priority="27901" stopIfTrue="1" operator="equal">
      <formula>"Fail"</formula>
    </cfRule>
    <cfRule type="cellIs" dxfId="28062" priority="27902" stopIfTrue="1" operator="equal">
      <formula>"Pass"</formula>
    </cfRule>
  </conditionalFormatting>
  <conditionalFormatting sqref="U712">
    <cfRule type="cellIs" dxfId="28061" priority="27899" stopIfTrue="1" operator="equal">
      <formula>"Fail"</formula>
    </cfRule>
    <cfRule type="cellIs" dxfId="28060" priority="27900" stopIfTrue="1" operator="equal">
      <formula>"Pass"</formula>
    </cfRule>
  </conditionalFormatting>
  <conditionalFormatting sqref="F712:G712 K712:N712">
    <cfRule type="cellIs" dxfId="28059" priority="27897" stopIfTrue="1" operator="equal">
      <formula>"Pass"</formula>
    </cfRule>
    <cfRule type="cellIs" dxfId="28058" priority="27898" stopIfTrue="1" operator="equal">
      <formula>"Fail"</formula>
    </cfRule>
  </conditionalFormatting>
  <conditionalFormatting sqref="K713:N713">
    <cfRule type="cellIs" dxfId="28057" priority="27895" stopIfTrue="1" operator="equal">
      <formula>"Pass"</formula>
    </cfRule>
    <cfRule type="cellIs" dxfId="28056" priority="27896" stopIfTrue="1" operator="equal">
      <formula>"Fail"</formula>
    </cfRule>
  </conditionalFormatting>
  <conditionalFormatting sqref="U712">
    <cfRule type="cellIs" dxfId="28055" priority="27893" stopIfTrue="1" operator="equal">
      <formula>"Fail"</formula>
    </cfRule>
    <cfRule type="cellIs" dxfId="28054" priority="27894" stopIfTrue="1" operator="equal">
      <formula>"Pass"</formula>
    </cfRule>
  </conditionalFormatting>
  <conditionalFormatting sqref="H715:H716">
    <cfRule type="cellIs" dxfId="28053" priority="27891" stopIfTrue="1" operator="equal">
      <formula>"Pass"</formula>
    </cfRule>
    <cfRule type="cellIs" dxfId="28052" priority="27892" stopIfTrue="1" operator="equal">
      <formula>"Fail"</formula>
    </cfRule>
  </conditionalFormatting>
  <conditionalFormatting sqref="E715:F715 I715:M716 E717:F717 A715">
    <cfRule type="cellIs" dxfId="28051" priority="27889" stopIfTrue="1" operator="equal">
      <formula>"Pass"</formula>
    </cfRule>
    <cfRule type="cellIs" dxfId="28050" priority="27890" stopIfTrue="1" operator="equal">
      <formula>"Fail"</formula>
    </cfRule>
  </conditionalFormatting>
  <conditionalFormatting sqref="T717 T715 R715:R717 S716:S717">
    <cfRule type="cellIs" dxfId="28049" priority="27887" stopIfTrue="1" operator="equal">
      <formula>"Fail"</formula>
    </cfRule>
    <cfRule type="cellIs" dxfId="28048" priority="27888" stopIfTrue="1" operator="equal">
      <formula>"Pass"</formula>
    </cfRule>
  </conditionalFormatting>
  <conditionalFormatting sqref="F715:G715 J715:N716 F717:G717 B715:B717 A715">
    <cfRule type="cellIs" dxfId="28047" priority="27885" stopIfTrue="1" operator="equal">
      <formula>"Pass"</formula>
    </cfRule>
    <cfRule type="cellIs" dxfId="28046" priority="27886" stopIfTrue="1" operator="equal">
      <formula>"Fail"</formula>
    </cfRule>
  </conditionalFormatting>
  <conditionalFormatting sqref="U717 T715:T717 S716:S717">
    <cfRule type="cellIs" dxfId="28045" priority="27883" stopIfTrue="1" operator="equal">
      <formula>"Fail"</formula>
    </cfRule>
    <cfRule type="cellIs" dxfId="28044" priority="27884" stopIfTrue="1" operator="equal">
      <formula>"Pass"</formula>
    </cfRule>
  </conditionalFormatting>
  <conditionalFormatting sqref="A715">
    <cfRule type="cellIs" dxfId="28043" priority="27881" stopIfTrue="1" operator="equal">
      <formula>"Pass"</formula>
    </cfRule>
    <cfRule type="cellIs" dxfId="28042" priority="27882" stopIfTrue="1" operator="equal">
      <formula>"Fail"</formula>
    </cfRule>
  </conditionalFormatting>
  <conditionalFormatting sqref="A715">
    <cfRule type="cellIs" dxfId="28041" priority="27879" stopIfTrue="1" operator="equal">
      <formula>"Pass"</formula>
    </cfRule>
    <cfRule type="cellIs" dxfId="28040" priority="27880" stopIfTrue="1" operator="equal">
      <formula>"Fail"</formula>
    </cfRule>
  </conditionalFormatting>
  <conditionalFormatting sqref="A715">
    <cfRule type="cellIs" dxfId="28039" priority="27877" stopIfTrue="1" operator="equal">
      <formula>"Pass"</formula>
    </cfRule>
    <cfRule type="cellIs" dxfId="28038" priority="27878" stopIfTrue="1" operator="equal">
      <formula>"Fail"</formula>
    </cfRule>
  </conditionalFormatting>
  <conditionalFormatting sqref="A715">
    <cfRule type="cellIs" dxfId="28037" priority="27875" stopIfTrue="1" operator="equal">
      <formula>"Pass"</formula>
    </cfRule>
    <cfRule type="cellIs" dxfId="28036" priority="27876" stopIfTrue="1" operator="equal">
      <formula>"Fail"</formula>
    </cfRule>
  </conditionalFormatting>
  <conditionalFormatting sqref="A715">
    <cfRule type="cellIs" dxfId="28035" priority="27873" stopIfTrue="1" operator="equal">
      <formula>"Pass"</formula>
    </cfRule>
    <cfRule type="cellIs" dxfId="28034" priority="27874" stopIfTrue="1" operator="equal">
      <formula>"Fail"</formula>
    </cfRule>
  </conditionalFormatting>
  <conditionalFormatting sqref="A715">
    <cfRule type="cellIs" dxfId="28033" priority="27871" stopIfTrue="1" operator="equal">
      <formula>"Pass"</formula>
    </cfRule>
    <cfRule type="cellIs" dxfId="28032" priority="27872" stopIfTrue="1" operator="equal">
      <formula>"Fail"</formula>
    </cfRule>
  </conditionalFormatting>
  <conditionalFormatting sqref="A715">
    <cfRule type="cellIs" dxfId="28031" priority="27869" stopIfTrue="1" operator="equal">
      <formula>"Pass"</formula>
    </cfRule>
    <cfRule type="cellIs" dxfId="28030" priority="27870" stopIfTrue="1" operator="equal">
      <formula>"Fail"</formula>
    </cfRule>
  </conditionalFormatting>
  <conditionalFormatting sqref="A715">
    <cfRule type="cellIs" dxfId="28029" priority="27867" stopIfTrue="1" operator="equal">
      <formula>"Pass"</formula>
    </cfRule>
    <cfRule type="cellIs" dxfId="28028" priority="27868" stopIfTrue="1" operator="equal">
      <formula>"Fail"</formula>
    </cfRule>
  </conditionalFormatting>
  <conditionalFormatting sqref="A715">
    <cfRule type="cellIs" dxfId="28027" priority="27865" stopIfTrue="1" operator="equal">
      <formula>"Pass"</formula>
    </cfRule>
    <cfRule type="cellIs" dxfId="28026" priority="27866" stopIfTrue="1" operator="equal">
      <formula>"Fail"</formula>
    </cfRule>
  </conditionalFormatting>
  <conditionalFormatting sqref="A715">
    <cfRule type="cellIs" dxfId="28025" priority="27863" stopIfTrue="1" operator="equal">
      <formula>"Pass"</formula>
    </cfRule>
    <cfRule type="cellIs" dxfId="28024" priority="27864" stopIfTrue="1" operator="equal">
      <formula>"Fail"</formula>
    </cfRule>
  </conditionalFormatting>
  <conditionalFormatting sqref="U715">
    <cfRule type="cellIs" dxfId="28023" priority="27861" stopIfTrue="1" operator="equal">
      <formula>"Fail"</formula>
    </cfRule>
    <cfRule type="cellIs" dxfId="28022" priority="27862" stopIfTrue="1" operator="equal">
      <formula>"Pass"</formula>
    </cfRule>
  </conditionalFormatting>
  <conditionalFormatting sqref="F715:G715 J715:N715">
    <cfRule type="cellIs" dxfId="28021" priority="27859" stopIfTrue="1" operator="equal">
      <formula>"Pass"</formula>
    </cfRule>
    <cfRule type="cellIs" dxfId="28020" priority="27860" stopIfTrue="1" operator="equal">
      <formula>"Fail"</formula>
    </cfRule>
  </conditionalFormatting>
  <conditionalFormatting sqref="J716:N716">
    <cfRule type="cellIs" dxfId="28019" priority="27857" stopIfTrue="1" operator="equal">
      <formula>"Pass"</formula>
    </cfRule>
    <cfRule type="cellIs" dxfId="28018" priority="27858" stopIfTrue="1" operator="equal">
      <formula>"Fail"</formula>
    </cfRule>
  </conditionalFormatting>
  <conditionalFormatting sqref="A709 A712:A715">
    <cfRule type="cellIs" dxfId="28017" priority="27855" stopIfTrue="1" operator="equal">
      <formula>"Pass"</formula>
    </cfRule>
    <cfRule type="cellIs" dxfId="28016" priority="27856" stopIfTrue="1" operator="equal">
      <formula>"Fail"</formula>
    </cfRule>
  </conditionalFormatting>
  <conditionalFormatting sqref="A709 A712:A715">
    <cfRule type="cellIs" dxfId="28015" priority="27853" stopIfTrue="1" operator="equal">
      <formula>"Pass"</formula>
    </cfRule>
    <cfRule type="cellIs" dxfId="28014" priority="27854" stopIfTrue="1" operator="equal">
      <formula>"Fail"</formula>
    </cfRule>
  </conditionalFormatting>
  <conditionalFormatting sqref="A709 A712:A715">
    <cfRule type="cellIs" dxfId="28013" priority="27851" stopIfTrue="1" operator="equal">
      <formula>"Pass"</formula>
    </cfRule>
    <cfRule type="cellIs" dxfId="28012" priority="27852" stopIfTrue="1" operator="equal">
      <formula>"Fail"</formula>
    </cfRule>
  </conditionalFormatting>
  <conditionalFormatting sqref="A709 A712:A715">
    <cfRule type="cellIs" dxfId="28011" priority="27849" stopIfTrue="1" operator="equal">
      <formula>"Pass"</formula>
    </cfRule>
    <cfRule type="cellIs" dxfId="28010" priority="27850" stopIfTrue="1" operator="equal">
      <formula>"Fail"</formula>
    </cfRule>
  </conditionalFormatting>
  <conditionalFormatting sqref="A709 A712:A715">
    <cfRule type="cellIs" dxfId="28009" priority="27847" stopIfTrue="1" operator="equal">
      <formula>"Pass"</formula>
    </cfRule>
    <cfRule type="cellIs" dxfId="28008" priority="27848" stopIfTrue="1" operator="equal">
      <formula>"Fail"</formula>
    </cfRule>
  </conditionalFormatting>
  <conditionalFormatting sqref="A714">
    <cfRule type="cellIs" dxfId="28007" priority="27845" stopIfTrue="1" operator="equal">
      <formula>"Pass"</formula>
    </cfRule>
    <cfRule type="cellIs" dxfId="28006" priority="27846" stopIfTrue="1" operator="equal">
      <formula>"Fail"</formula>
    </cfRule>
  </conditionalFormatting>
  <conditionalFormatting sqref="A709 A712:A715">
    <cfRule type="cellIs" dxfId="28005" priority="27843" stopIfTrue="1" operator="equal">
      <formula>"Pass"</formula>
    </cfRule>
    <cfRule type="cellIs" dxfId="28004" priority="27844" stopIfTrue="1" operator="equal">
      <formula>"Fail"</formula>
    </cfRule>
  </conditionalFormatting>
  <conditionalFormatting sqref="A709 A712:A715">
    <cfRule type="cellIs" dxfId="28003" priority="27841" stopIfTrue="1" operator="equal">
      <formula>"Pass"</formula>
    </cfRule>
    <cfRule type="cellIs" dxfId="28002" priority="27842" stopIfTrue="1" operator="equal">
      <formula>"Fail"</formula>
    </cfRule>
  </conditionalFormatting>
  <conditionalFormatting sqref="A709 A712:A715">
    <cfRule type="cellIs" dxfId="28001" priority="27839" stopIfTrue="1" operator="equal">
      <formula>"Pass"</formula>
    </cfRule>
    <cfRule type="cellIs" dxfId="28000" priority="27840" stopIfTrue="1" operator="equal">
      <formula>"Fail"</formula>
    </cfRule>
  </conditionalFormatting>
  <conditionalFormatting sqref="A709 A712:A715">
    <cfRule type="cellIs" dxfId="27999" priority="27837" stopIfTrue="1" operator="equal">
      <formula>"Pass"</formula>
    </cfRule>
    <cfRule type="cellIs" dxfId="27998" priority="27838" stopIfTrue="1" operator="equal">
      <formula>"Fail"</formula>
    </cfRule>
  </conditionalFormatting>
  <conditionalFormatting sqref="A709 A712:A715">
    <cfRule type="cellIs" dxfId="27997" priority="27835" stopIfTrue="1" operator="equal">
      <formula>"Pass"</formula>
    </cfRule>
    <cfRule type="cellIs" dxfId="27996" priority="27836" stopIfTrue="1" operator="equal">
      <formula>"Fail"</formula>
    </cfRule>
  </conditionalFormatting>
  <conditionalFormatting sqref="A709 A712:A715">
    <cfRule type="cellIs" dxfId="27995" priority="27833" stopIfTrue="1" operator="equal">
      <formula>"Pass"</formula>
    </cfRule>
    <cfRule type="cellIs" dxfId="27994" priority="27834" stopIfTrue="1" operator="equal">
      <formula>"Fail"</formula>
    </cfRule>
  </conditionalFormatting>
  <conditionalFormatting sqref="A714">
    <cfRule type="cellIs" dxfId="27993" priority="27831" stopIfTrue="1" operator="equal">
      <formula>"Pass"</formula>
    </cfRule>
    <cfRule type="cellIs" dxfId="27992" priority="27832" stopIfTrue="1" operator="equal">
      <formula>"Fail"</formula>
    </cfRule>
  </conditionalFormatting>
  <conditionalFormatting sqref="A709 A712:A715">
    <cfRule type="cellIs" dxfId="27991" priority="27829" stopIfTrue="1" operator="equal">
      <formula>"Pass"</formula>
    </cfRule>
    <cfRule type="cellIs" dxfId="27990" priority="27830" stopIfTrue="1" operator="equal">
      <formula>"Fail"</formula>
    </cfRule>
  </conditionalFormatting>
  <conditionalFormatting sqref="H718:H719">
    <cfRule type="cellIs" dxfId="27989" priority="27827" stopIfTrue="1" operator="equal">
      <formula>"Pass"</formula>
    </cfRule>
    <cfRule type="cellIs" dxfId="27988" priority="27828" stopIfTrue="1" operator="equal">
      <formula>"Fail"</formula>
    </cfRule>
  </conditionalFormatting>
  <conditionalFormatting sqref="E718:F718 E720:F720 I718:M719 A718:A726">
    <cfRule type="cellIs" dxfId="27987" priority="27825" stopIfTrue="1" operator="equal">
      <formula>"Pass"</formula>
    </cfRule>
    <cfRule type="cellIs" dxfId="27986" priority="27826" stopIfTrue="1" operator="equal">
      <formula>"Fail"</formula>
    </cfRule>
  </conditionalFormatting>
  <conditionalFormatting sqref="T720 T718 R718:R720 S719:S720">
    <cfRule type="cellIs" dxfId="27985" priority="27823" stopIfTrue="1" operator="equal">
      <formula>"Fail"</formula>
    </cfRule>
    <cfRule type="cellIs" dxfId="27984" priority="27824" stopIfTrue="1" operator="equal">
      <formula>"Pass"</formula>
    </cfRule>
  </conditionalFormatting>
  <conditionalFormatting sqref="F718:G718 F720:G720 A718:B720 J718:N719 A721:A726">
    <cfRule type="cellIs" dxfId="27983" priority="27821" stopIfTrue="1" operator="equal">
      <formula>"Pass"</formula>
    </cfRule>
    <cfRule type="cellIs" dxfId="27982" priority="27822" stopIfTrue="1" operator="equal">
      <formula>"Fail"</formula>
    </cfRule>
  </conditionalFormatting>
  <conditionalFormatting sqref="U720 U718 T718:T720 S719:S720">
    <cfRule type="cellIs" dxfId="27981" priority="27819" stopIfTrue="1" operator="equal">
      <formula>"Fail"</formula>
    </cfRule>
    <cfRule type="cellIs" dxfId="27980" priority="27820" stopIfTrue="1" operator="equal">
      <formula>"Pass"</formula>
    </cfRule>
  </conditionalFormatting>
  <conditionalFormatting sqref="A718:A726">
    <cfRule type="cellIs" dxfId="27979" priority="27817" stopIfTrue="1" operator="equal">
      <formula>"Pass"</formula>
    </cfRule>
    <cfRule type="cellIs" dxfId="27978" priority="27818" stopIfTrue="1" operator="equal">
      <formula>"Fail"</formula>
    </cfRule>
  </conditionalFormatting>
  <conditionalFormatting sqref="A718:A726">
    <cfRule type="cellIs" dxfId="27977" priority="27815" stopIfTrue="1" operator="equal">
      <formula>"Pass"</formula>
    </cfRule>
    <cfRule type="cellIs" dxfId="27976" priority="27816" stopIfTrue="1" operator="equal">
      <formula>"Fail"</formula>
    </cfRule>
  </conditionalFormatting>
  <conditionalFormatting sqref="A718:A726">
    <cfRule type="cellIs" dxfId="27975" priority="27813" stopIfTrue="1" operator="equal">
      <formula>"Pass"</formula>
    </cfRule>
    <cfRule type="cellIs" dxfId="27974" priority="27814" stopIfTrue="1" operator="equal">
      <formula>"Fail"</formula>
    </cfRule>
  </conditionalFormatting>
  <conditionalFormatting sqref="J718:N719 E718:G720">
    <cfRule type="cellIs" dxfId="27973" priority="27811" stopIfTrue="1" operator="equal">
      <formula>"Pass"</formula>
    </cfRule>
    <cfRule type="cellIs" dxfId="27972" priority="27812" stopIfTrue="1" operator="equal">
      <formula>"Fail"</formula>
    </cfRule>
  </conditionalFormatting>
  <conditionalFormatting sqref="A720 C720 K718:O719 F718:H720 A723 A726">
    <cfRule type="cellIs" dxfId="27971" priority="27809" stopIfTrue="1" operator="equal">
      <formula>"Pass"</formula>
    </cfRule>
    <cfRule type="cellIs" dxfId="27970" priority="27810" stopIfTrue="1" operator="equal">
      <formula>"Fail"</formula>
    </cfRule>
  </conditionalFormatting>
  <conditionalFormatting sqref="T718">
    <cfRule type="cellIs" dxfId="27969" priority="27807" stopIfTrue="1" operator="equal">
      <formula>"Fail"</formula>
    </cfRule>
    <cfRule type="cellIs" dxfId="27968" priority="27808" stopIfTrue="1" operator="equal">
      <formula>"Pass"</formula>
    </cfRule>
  </conditionalFormatting>
  <conditionalFormatting sqref="A718:A726">
    <cfRule type="cellIs" dxfId="27967" priority="27805" stopIfTrue="1" operator="equal">
      <formula>"Pass"</formula>
    </cfRule>
    <cfRule type="cellIs" dxfId="27966" priority="27806" stopIfTrue="1" operator="equal">
      <formula>"Fail"</formula>
    </cfRule>
  </conditionalFormatting>
  <conditionalFormatting sqref="A721">
    <cfRule type="cellIs" dxfId="27965" priority="27803" stopIfTrue="1" operator="equal">
      <formula>"Pass"</formula>
    </cfRule>
    <cfRule type="cellIs" dxfId="27964" priority="27804" stopIfTrue="1" operator="equal">
      <formula>"Fail"</formula>
    </cfRule>
  </conditionalFormatting>
  <conditionalFormatting sqref="A721">
    <cfRule type="cellIs" dxfId="27963" priority="27801" stopIfTrue="1" operator="equal">
      <formula>"Pass"</formula>
    </cfRule>
    <cfRule type="cellIs" dxfId="27962" priority="27802" stopIfTrue="1" operator="equal">
      <formula>"Fail"</formula>
    </cfRule>
  </conditionalFormatting>
  <conditionalFormatting sqref="A721">
    <cfRule type="cellIs" dxfId="27961" priority="27799" stopIfTrue="1" operator="equal">
      <formula>"Pass"</formula>
    </cfRule>
    <cfRule type="cellIs" dxfId="27960" priority="27800" stopIfTrue="1" operator="equal">
      <formula>"Fail"</formula>
    </cfRule>
  </conditionalFormatting>
  <conditionalFormatting sqref="A721">
    <cfRule type="cellIs" dxfId="27959" priority="27797" stopIfTrue="1" operator="equal">
      <formula>"Pass"</formula>
    </cfRule>
    <cfRule type="cellIs" dxfId="27958" priority="27798" stopIfTrue="1" operator="equal">
      <formula>"Fail"</formula>
    </cfRule>
  </conditionalFormatting>
  <conditionalFormatting sqref="A721">
    <cfRule type="cellIs" dxfId="27957" priority="27795" stopIfTrue="1" operator="equal">
      <formula>"Pass"</formula>
    </cfRule>
    <cfRule type="cellIs" dxfId="27956" priority="27796" stopIfTrue="1" operator="equal">
      <formula>"Fail"</formula>
    </cfRule>
  </conditionalFormatting>
  <conditionalFormatting sqref="A721">
    <cfRule type="cellIs" dxfId="27955" priority="27793" stopIfTrue="1" operator="equal">
      <formula>"Pass"</formula>
    </cfRule>
    <cfRule type="cellIs" dxfId="27954" priority="27794" stopIfTrue="1" operator="equal">
      <formula>"Fail"</formula>
    </cfRule>
  </conditionalFormatting>
  <conditionalFormatting sqref="A721">
    <cfRule type="cellIs" dxfId="27953" priority="27791" stopIfTrue="1" operator="equal">
      <formula>"Pass"</formula>
    </cfRule>
    <cfRule type="cellIs" dxfId="27952" priority="27792" stopIfTrue="1" operator="equal">
      <formula>"Fail"</formula>
    </cfRule>
  </conditionalFormatting>
  <conditionalFormatting sqref="A721">
    <cfRule type="cellIs" dxfId="27951" priority="27789" stopIfTrue="1" operator="equal">
      <formula>"Pass"</formula>
    </cfRule>
    <cfRule type="cellIs" dxfId="27950" priority="27790" stopIfTrue="1" operator="equal">
      <formula>"Fail"</formula>
    </cfRule>
  </conditionalFormatting>
  <conditionalFormatting sqref="A721">
    <cfRule type="cellIs" dxfId="27949" priority="27787" stopIfTrue="1" operator="equal">
      <formula>"Pass"</formula>
    </cfRule>
    <cfRule type="cellIs" dxfId="27948" priority="27788" stopIfTrue="1" operator="equal">
      <formula>"Fail"</formula>
    </cfRule>
  </conditionalFormatting>
  <conditionalFormatting sqref="A721">
    <cfRule type="cellIs" dxfId="27947" priority="27785" stopIfTrue="1" operator="equal">
      <formula>"Pass"</formula>
    </cfRule>
    <cfRule type="cellIs" dxfId="27946" priority="27786" stopIfTrue="1" operator="equal">
      <formula>"Fail"</formula>
    </cfRule>
  </conditionalFormatting>
  <conditionalFormatting sqref="A721">
    <cfRule type="cellIs" dxfId="27945" priority="27783" stopIfTrue="1" operator="equal">
      <formula>"Pass"</formula>
    </cfRule>
    <cfRule type="cellIs" dxfId="27944" priority="27784" stopIfTrue="1" operator="equal">
      <formula>"Fail"</formula>
    </cfRule>
  </conditionalFormatting>
  <conditionalFormatting sqref="A721">
    <cfRule type="cellIs" dxfId="27943" priority="27781" stopIfTrue="1" operator="equal">
      <formula>"Pass"</formula>
    </cfRule>
    <cfRule type="cellIs" dxfId="27942" priority="27782" stopIfTrue="1" operator="equal">
      <formula>"Fail"</formula>
    </cfRule>
  </conditionalFormatting>
  <conditionalFormatting sqref="J721:J722">
    <cfRule type="cellIs" dxfId="27941" priority="27779" stopIfTrue="1" operator="equal">
      <formula>"Pass"</formula>
    </cfRule>
    <cfRule type="cellIs" dxfId="27940" priority="27780" stopIfTrue="1" operator="equal">
      <formula>"Fail"</formula>
    </cfRule>
  </conditionalFormatting>
  <conditionalFormatting sqref="H721:H722 I722">
    <cfRule type="cellIs" dxfId="27939" priority="27777" stopIfTrue="1" operator="equal">
      <formula>"Pass"</formula>
    </cfRule>
    <cfRule type="cellIs" dxfId="27938" priority="27778" stopIfTrue="1" operator="equal">
      <formula>"Fail"</formula>
    </cfRule>
  </conditionalFormatting>
  <conditionalFormatting sqref="A721 C721 F723 F721:G721 K721:N722">
    <cfRule type="cellIs" dxfId="27937" priority="27775" stopIfTrue="1" operator="equal">
      <formula>"Pass"</formula>
    </cfRule>
    <cfRule type="cellIs" dxfId="27936" priority="27776" stopIfTrue="1" operator="equal">
      <formula>"Fail"</formula>
    </cfRule>
  </conditionalFormatting>
  <conditionalFormatting sqref="T721:T723 U722:U723">
    <cfRule type="cellIs" dxfId="27935" priority="27773" stopIfTrue="1" operator="equal">
      <formula>"Fail"</formula>
    </cfRule>
    <cfRule type="cellIs" dxfId="27934" priority="27774" stopIfTrue="1" operator="equal">
      <formula>"Pass"</formula>
    </cfRule>
  </conditionalFormatting>
  <conditionalFormatting sqref="A721">
    <cfRule type="cellIs" dxfId="27933" priority="27771" stopIfTrue="1" operator="equal">
      <formula>"Pass"</formula>
    </cfRule>
    <cfRule type="cellIs" dxfId="27932" priority="27772" stopIfTrue="1" operator="equal">
      <formula>"Fail"</formula>
    </cfRule>
  </conditionalFormatting>
  <conditionalFormatting sqref="A721">
    <cfRule type="cellIs" dxfId="27931" priority="27769" stopIfTrue="1" operator="equal">
      <formula>"Pass"</formula>
    </cfRule>
    <cfRule type="cellIs" dxfId="27930" priority="27770" stopIfTrue="1" operator="equal">
      <formula>"Fail"</formula>
    </cfRule>
  </conditionalFormatting>
  <conditionalFormatting sqref="A721">
    <cfRule type="cellIs" dxfId="27929" priority="27767" stopIfTrue="1" operator="equal">
      <formula>"Pass"</formula>
    </cfRule>
    <cfRule type="cellIs" dxfId="27928" priority="27768" stopIfTrue="1" operator="equal">
      <formula>"Fail"</formula>
    </cfRule>
  </conditionalFormatting>
  <conditionalFormatting sqref="A721">
    <cfRule type="cellIs" dxfId="27927" priority="27765" stopIfTrue="1" operator="equal">
      <formula>"Pass"</formula>
    </cfRule>
    <cfRule type="cellIs" dxfId="27926" priority="27766" stopIfTrue="1" operator="equal">
      <formula>"Fail"</formula>
    </cfRule>
  </conditionalFormatting>
  <conditionalFormatting sqref="A721">
    <cfRule type="cellIs" dxfId="27925" priority="27763" stopIfTrue="1" operator="equal">
      <formula>"Pass"</formula>
    </cfRule>
    <cfRule type="cellIs" dxfId="27924" priority="27764" stopIfTrue="1" operator="equal">
      <formula>"Fail"</formula>
    </cfRule>
  </conditionalFormatting>
  <conditionalFormatting sqref="A721">
    <cfRule type="cellIs" dxfId="27923" priority="27761" stopIfTrue="1" operator="equal">
      <formula>"Pass"</formula>
    </cfRule>
    <cfRule type="cellIs" dxfId="27922" priority="27762" stopIfTrue="1" operator="equal">
      <formula>"Fail"</formula>
    </cfRule>
  </conditionalFormatting>
  <conditionalFormatting sqref="A721">
    <cfRule type="cellIs" dxfId="27921" priority="27759" stopIfTrue="1" operator="equal">
      <formula>"Pass"</formula>
    </cfRule>
    <cfRule type="cellIs" dxfId="27920" priority="27760" stopIfTrue="1" operator="equal">
      <formula>"Fail"</formula>
    </cfRule>
  </conditionalFormatting>
  <conditionalFormatting sqref="A721">
    <cfRule type="cellIs" dxfId="27919" priority="27757" stopIfTrue="1" operator="equal">
      <formula>"Pass"</formula>
    </cfRule>
    <cfRule type="cellIs" dxfId="27918" priority="27758" stopIfTrue="1" operator="equal">
      <formula>"Fail"</formula>
    </cfRule>
  </conditionalFormatting>
  <conditionalFormatting sqref="A721">
    <cfRule type="cellIs" dxfId="27917" priority="27755" stopIfTrue="1" operator="equal">
      <formula>"Pass"</formula>
    </cfRule>
    <cfRule type="cellIs" dxfId="27916" priority="27756" stopIfTrue="1" operator="equal">
      <formula>"Fail"</formula>
    </cfRule>
  </conditionalFormatting>
  <conditionalFormatting sqref="A721">
    <cfRule type="cellIs" dxfId="27915" priority="27753" stopIfTrue="1" operator="equal">
      <formula>"Pass"</formula>
    </cfRule>
    <cfRule type="cellIs" dxfId="27914" priority="27754" stopIfTrue="1" operator="equal">
      <formula>"Fail"</formula>
    </cfRule>
  </conditionalFormatting>
  <conditionalFormatting sqref="A721">
    <cfRule type="cellIs" dxfId="27913" priority="27751" stopIfTrue="1" operator="equal">
      <formula>"Pass"</formula>
    </cfRule>
    <cfRule type="cellIs" dxfId="27912" priority="27752" stopIfTrue="1" operator="equal">
      <formula>"Fail"</formula>
    </cfRule>
  </conditionalFormatting>
  <conditionalFormatting sqref="A721">
    <cfRule type="cellIs" dxfId="27911" priority="27749" stopIfTrue="1" operator="equal">
      <formula>"Pass"</formula>
    </cfRule>
    <cfRule type="cellIs" dxfId="27910" priority="27750" stopIfTrue="1" operator="equal">
      <formula>"Fail"</formula>
    </cfRule>
  </conditionalFormatting>
  <conditionalFormatting sqref="A721">
    <cfRule type="cellIs" dxfId="27909" priority="27747" stopIfTrue="1" operator="equal">
      <formula>"Pass"</formula>
    </cfRule>
    <cfRule type="cellIs" dxfId="27908" priority="27748" stopIfTrue="1" operator="equal">
      <formula>"Fail"</formula>
    </cfRule>
  </conditionalFormatting>
  <conditionalFormatting sqref="A721">
    <cfRule type="cellIs" dxfId="27907" priority="27745" stopIfTrue="1" operator="equal">
      <formula>"Pass"</formula>
    </cfRule>
    <cfRule type="cellIs" dxfId="27906" priority="27746" stopIfTrue="1" operator="equal">
      <formula>"Fail"</formula>
    </cfRule>
  </conditionalFormatting>
  <conditionalFormatting sqref="A721">
    <cfRule type="cellIs" dxfId="27905" priority="27743" stopIfTrue="1" operator="equal">
      <formula>"Pass"</formula>
    </cfRule>
    <cfRule type="cellIs" dxfId="27904" priority="27744" stopIfTrue="1" operator="equal">
      <formula>"Fail"</formula>
    </cfRule>
  </conditionalFormatting>
  <conditionalFormatting sqref="A721">
    <cfRule type="cellIs" dxfId="27903" priority="27741" stopIfTrue="1" operator="equal">
      <formula>"Pass"</formula>
    </cfRule>
    <cfRule type="cellIs" dxfId="27902" priority="27742" stopIfTrue="1" operator="equal">
      <formula>"Fail"</formula>
    </cfRule>
  </conditionalFormatting>
  <conditionalFormatting sqref="U721">
    <cfRule type="cellIs" dxfId="27901" priority="27739" stopIfTrue="1" operator="equal">
      <formula>"Fail"</formula>
    </cfRule>
    <cfRule type="cellIs" dxfId="27900" priority="27740" stopIfTrue="1" operator="equal">
      <formula>"Pass"</formula>
    </cfRule>
  </conditionalFormatting>
  <conditionalFormatting sqref="U721">
    <cfRule type="cellIs" dxfId="27899" priority="27737" stopIfTrue="1" operator="equal">
      <formula>"Fail"</formula>
    </cfRule>
    <cfRule type="cellIs" dxfId="27898" priority="27738" stopIfTrue="1" operator="equal">
      <formula>"Pass"</formula>
    </cfRule>
  </conditionalFormatting>
  <conditionalFormatting sqref="J721:J722">
    <cfRule type="cellIs" dxfId="27897" priority="27735" stopIfTrue="1" operator="equal">
      <formula>"Pass"</formula>
    </cfRule>
    <cfRule type="cellIs" dxfId="27896" priority="27736" stopIfTrue="1" operator="equal">
      <formula>"Fail"</formula>
    </cfRule>
  </conditionalFormatting>
  <conditionalFormatting sqref="H721:H722 I722">
    <cfRule type="cellIs" dxfId="27895" priority="27733" stopIfTrue="1" operator="equal">
      <formula>"Pass"</formula>
    </cfRule>
    <cfRule type="cellIs" dxfId="27894" priority="27734" stopIfTrue="1" operator="equal">
      <formula>"Fail"</formula>
    </cfRule>
  </conditionalFormatting>
  <conditionalFormatting sqref="F723 F721:G721 K721:N722">
    <cfRule type="cellIs" dxfId="27893" priority="27731" stopIfTrue="1" operator="equal">
      <formula>"Pass"</formula>
    </cfRule>
    <cfRule type="cellIs" dxfId="27892" priority="27732" stopIfTrue="1" operator="equal">
      <formula>"Fail"</formula>
    </cfRule>
  </conditionalFormatting>
  <conditionalFormatting sqref="T721:T723 U722:U723">
    <cfRule type="cellIs" dxfId="27891" priority="27729" stopIfTrue="1" operator="equal">
      <formula>"Fail"</formula>
    </cfRule>
    <cfRule type="cellIs" dxfId="27890" priority="27730" stopIfTrue="1" operator="equal">
      <formula>"Pass"</formula>
    </cfRule>
  </conditionalFormatting>
  <conditionalFormatting sqref="U721">
    <cfRule type="cellIs" dxfId="27889" priority="27727" stopIfTrue="1" operator="equal">
      <formula>"Fail"</formula>
    </cfRule>
    <cfRule type="cellIs" dxfId="27888" priority="27728" stopIfTrue="1" operator="equal">
      <formula>"Pass"</formula>
    </cfRule>
  </conditionalFormatting>
  <conditionalFormatting sqref="U721">
    <cfRule type="cellIs" dxfId="27887" priority="27725" stopIfTrue="1" operator="equal">
      <formula>"Fail"</formula>
    </cfRule>
    <cfRule type="cellIs" dxfId="27886" priority="27726" stopIfTrue="1" operator="equal">
      <formula>"Pass"</formula>
    </cfRule>
  </conditionalFormatting>
  <conditionalFormatting sqref="F721:G721 K721:N721">
    <cfRule type="cellIs" dxfId="27885" priority="27723" stopIfTrue="1" operator="equal">
      <formula>"Pass"</formula>
    </cfRule>
    <cfRule type="cellIs" dxfId="27884" priority="27724" stopIfTrue="1" operator="equal">
      <formula>"Fail"</formula>
    </cfRule>
  </conditionalFormatting>
  <conditionalFormatting sqref="K722:N722">
    <cfRule type="cellIs" dxfId="27883" priority="27721" stopIfTrue="1" operator="equal">
      <formula>"Pass"</formula>
    </cfRule>
    <cfRule type="cellIs" dxfId="27882" priority="27722" stopIfTrue="1" operator="equal">
      <formula>"Fail"</formula>
    </cfRule>
  </conditionalFormatting>
  <conditionalFormatting sqref="U721">
    <cfRule type="cellIs" dxfId="27881" priority="27719" stopIfTrue="1" operator="equal">
      <formula>"Fail"</formula>
    </cfRule>
    <cfRule type="cellIs" dxfId="27880" priority="27720" stopIfTrue="1" operator="equal">
      <formula>"Pass"</formula>
    </cfRule>
  </conditionalFormatting>
  <conditionalFormatting sqref="H724:H725">
    <cfRule type="cellIs" dxfId="27879" priority="27717" stopIfTrue="1" operator="equal">
      <formula>"Pass"</formula>
    </cfRule>
    <cfRule type="cellIs" dxfId="27878" priority="27718" stopIfTrue="1" operator="equal">
      <formula>"Fail"</formula>
    </cfRule>
  </conditionalFormatting>
  <conditionalFormatting sqref="E724:F724 I724:M725 E726:F726 A724">
    <cfRule type="cellIs" dxfId="27877" priority="27715" stopIfTrue="1" operator="equal">
      <formula>"Pass"</formula>
    </cfRule>
    <cfRule type="cellIs" dxfId="27876" priority="27716" stopIfTrue="1" operator="equal">
      <formula>"Fail"</formula>
    </cfRule>
  </conditionalFormatting>
  <conditionalFormatting sqref="T726 T724 R724:R726 S725:S726">
    <cfRule type="cellIs" dxfId="27875" priority="27713" stopIfTrue="1" operator="equal">
      <formula>"Fail"</formula>
    </cfRule>
    <cfRule type="cellIs" dxfId="27874" priority="27714" stopIfTrue="1" operator="equal">
      <formula>"Pass"</formula>
    </cfRule>
  </conditionalFormatting>
  <conditionalFormatting sqref="F724:G724 J724:N725 F726:G726 B724:B726 A724">
    <cfRule type="cellIs" dxfId="27873" priority="27711" stopIfTrue="1" operator="equal">
      <formula>"Pass"</formula>
    </cfRule>
    <cfRule type="cellIs" dxfId="27872" priority="27712" stopIfTrue="1" operator="equal">
      <formula>"Fail"</formula>
    </cfRule>
  </conditionalFormatting>
  <conditionalFormatting sqref="U726 T724:T726 S725:S726">
    <cfRule type="cellIs" dxfId="27871" priority="27709" stopIfTrue="1" operator="equal">
      <formula>"Fail"</formula>
    </cfRule>
    <cfRule type="cellIs" dxfId="27870" priority="27710" stopIfTrue="1" operator="equal">
      <formula>"Pass"</formula>
    </cfRule>
  </conditionalFormatting>
  <conditionalFormatting sqref="A724">
    <cfRule type="cellIs" dxfId="27869" priority="27707" stopIfTrue="1" operator="equal">
      <formula>"Pass"</formula>
    </cfRule>
    <cfRule type="cellIs" dxfId="27868" priority="27708" stopIfTrue="1" operator="equal">
      <formula>"Fail"</formula>
    </cfRule>
  </conditionalFormatting>
  <conditionalFormatting sqref="A724">
    <cfRule type="cellIs" dxfId="27867" priority="27705" stopIfTrue="1" operator="equal">
      <formula>"Pass"</formula>
    </cfRule>
    <cfRule type="cellIs" dxfId="27866" priority="27706" stopIfTrue="1" operator="equal">
      <formula>"Fail"</formula>
    </cfRule>
  </conditionalFormatting>
  <conditionalFormatting sqref="A724">
    <cfRule type="cellIs" dxfId="27865" priority="27703" stopIfTrue="1" operator="equal">
      <formula>"Pass"</formula>
    </cfRule>
    <cfRule type="cellIs" dxfId="27864" priority="27704" stopIfTrue="1" operator="equal">
      <formula>"Fail"</formula>
    </cfRule>
  </conditionalFormatting>
  <conditionalFormatting sqref="A724">
    <cfRule type="cellIs" dxfId="27863" priority="27701" stopIfTrue="1" operator="equal">
      <formula>"Pass"</formula>
    </cfRule>
    <cfRule type="cellIs" dxfId="27862" priority="27702" stopIfTrue="1" operator="equal">
      <formula>"Fail"</formula>
    </cfRule>
  </conditionalFormatting>
  <conditionalFormatting sqref="A724">
    <cfRule type="cellIs" dxfId="27861" priority="27699" stopIfTrue="1" operator="equal">
      <formula>"Pass"</formula>
    </cfRule>
    <cfRule type="cellIs" dxfId="27860" priority="27700" stopIfTrue="1" operator="equal">
      <formula>"Fail"</formula>
    </cfRule>
  </conditionalFormatting>
  <conditionalFormatting sqref="A724">
    <cfRule type="cellIs" dxfId="27859" priority="27697" stopIfTrue="1" operator="equal">
      <formula>"Pass"</formula>
    </cfRule>
    <cfRule type="cellIs" dxfId="27858" priority="27698" stopIfTrue="1" operator="equal">
      <formula>"Fail"</formula>
    </cfRule>
  </conditionalFormatting>
  <conditionalFormatting sqref="A724">
    <cfRule type="cellIs" dxfId="27857" priority="27695" stopIfTrue="1" operator="equal">
      <formula>"Pass"</formula>
    </cfRule>
    <cfRule type="cellIs" dxfId="27856" priority="27696" stopIfTrue="1" operator="equal">
      <formula>"Fail"</formula>
    </cfRule>
  </conditionalFormatting>
  <conditionalFormatting sqref="A724">
    <cfRule type="cellIs" dxfId="27855" priority="27693" stopIfTrue="1" operator="equal">
      <formula>"Pass"</formula>
    </cfRule>
    <cfRule type="cellIs" dxfId="27854" priority="27694" stopIfTrue="1" operator="equal">
      <formula>"Fail"</formula>
    </cfRule>
  </conditionalFormatting>
  <conditionalFormatting sqref="A724">
    <cfRule type="cellIs" dxfId="27853" priority="27691" stopIfTrue="1" operator="equal">
      <formula>"Pass"</formula>
    </cfRule>
    <cfRule type="cellIs" dxfId="27852" priority="27692" stopIfTrue="1" operator="equal">
      <formula>"Fail"</formula>
    </cfRule>
  </conditionalFormatting>
  <conditionalFormatting sqref="A724">
    <cfRule type="cellIs" dxfId="27851" priority="27689" stopIfTrue="1" operator="equal">
      <formula>"Pass"</formula>
    </cfRule>
    <cfRule type="cellIs" dxfId="27850" priority="27690" stopIfTrue="1" operator="equal">
      <formula>"Fail"</formula>
    </cfRule>
  </conditionalFormatting>
  <conditionalFormatting sqref="U724">
    <cfRule type="cellIs" dxfId="27849" priority="27687" stopIfTrue="1" operator="equal">
      <formula>"Fail"</formula>
    </cfRule>
    <cfRule type="cellIs" dxfId="27848" priority="27688" stopIfTrue="1" operator="equal">
      <formula>"Pass"</formula>
    </cfRule>
  </conditionalFormatting>
  <conditionalFormatting sqref="F724:G724 J724:N724">
    <cfRule type="cellIs" dxfId="27847" priority="27685" stopIfTrue="1" operator="equal">
      <formula>"Pass"</formula>
    </cfRule>
    <cfRule type="cellIs" dxfId="27846" priority="27686" stopIfTrue="1" operator="equal">
      <formula>"Fail"</formula>
    </cfRule>
  </conditionalFormatting>
  <conditionalFormatting sqref="J725:N725">
    <cfRule type="cellIs" dxfId="27845" priority="27683" stopIfTrue="1" operator="equal">
      <formula>"Pass"</formula>
    </cfRule>
    <cfRule type="cellIs" dxfId="27844" priority="27684" stopIfTrue="1" operator="equal">
      <formula>"Fail"</formula>
    </cfRule>
  </conditionalFormatting>
  <conditionalFormatting sqref="A718:A726">
    <cfRule type="cellIs" dxfId="27843" priority="27681" stopIfTrue="1" operator="equal">
      <formula>"Pass"</formula>
    </cfRule>
    <cfRule type="cellIs" dxfId="27842" priority="27682" stopIfTrue="1" operator="equal">
      <formula>"Fail"</formula>
    </cfRule>
  </conditionalFormatting>
  <conditionalFormatting sqref="A718:A726">
    <cfRule type="cellIs" dxfId="27841" priority="27679" stopIfTrue="1" operator="equal">
      <formula>"Pass"</formula>
    </cfRule>
    <cfRule type="cellIs" dxfId="27840" priority="27680" stopIfTrue="1" operator="equal">
      <formula>"Fail"</formula>
    </cfRule>
  </conditionalFormatting>
  <conditionalFormatting sqref="A718:A726">
    <cfRule type="cellIs" dxfId="27839" priority="27677" stopIfTrue="1" operator="equal">
      <formula>"Pass"</formula>
    </cfRule>
    <cfRule type="cellIs" dxfId="27838" priority="27678" stopIfTrue="1" operator="equal">
      <formula>"Fail"</formula>
    </cfRule>
  </conditionalFormatting>
  <conditionalFormatting sqref="A718:A726">
    <cfRule type="cellIs" dxfId="27837" priority="27675" stopIfTrue="1" operator="equal">
      <formula>"Pass"</formula>
    </cfRule>
    <cfRule type="cellIs" dxfId="27836" priority="27676" stopIfTrue="1" operator="equal">
      <formula>"Fail"</formula>
    </cfRule>
  </conditionalFormatting>
  <conditionalFormatting sqref="A718:A726">
    <cfRule type="cellIs" dxfId="27835" priority="27673" stopIfTrue="1" operator="equal">
      <formula>"Pass"</formula>
    </cfRule>
    <cfRule type="cellIs" dxfId="27834" priority="27674" stopIfTrue="1" operator="equal">
      <formula>"Fail"</formula>
    </cfRule>
  </conditionalFormatting>
  <conditionalFormatting sqref="A720 A723 A726">
    <cfRule type="cellIs" dxfId="27833" priority="27671" stopIfTrue="1" operator="equal">
      <formula>"Pass"</formula>
    </cfRule>
    <cfRule type="cellIs" dxfId="27832" priority="27672" stopIfTrue="1" operator="equal">
      <formula>"Fail"</formula>
    </cfRule>
  </conditionalFormatting>
  <conditionalFormatting sqref="A718:A726">
    <cfRule type="cellIs" dxfId="27831" priority="27669" stopIfTrue="1" operator="equal">
      <formula>"Pass"</formula>
    </cfRule>
    <cfRule type="cellIs" dxfId="27830" priority="27670" stopIfTrue="1" operator="equal">
      <formula>"Fail"</formula>
    </cfRule>
  </conditionalFormatting>
  <conditionalFormatting sqref="A718:A726">
    <cfRule type="cellIs" dxfId="27829" priority="27667" stopIfTrue="1" operator="equal">
      <formula>"Pass"</formula>
    </cfRule>
    <cfRule type="cellIs" dxfId="27828" priority="27668" stopIfTrue="1" operator="equal">
      <formula>"Fail"</formula>
    </cfRule>
  </conditionalFormatting>
  <conditionalFormatting sqref="A718:A726">
    <cfRule type="cellIs" dxfId="27827" priority="27665" stopIfTrue="1" operator="equal">
      <formula>"Pass"</formula>
    </cfRule>
    <cfRule type="cellIs" dxfId="27826" priority="27666" stopIfTrue="1" operator="equal">
      <formula>"Fail"</formula>
    </cfRule>
  </conditionalFormatting>
  <conditionalFormatting sqref="A718:A726">
    <cfRule type="cellIs" dxfId="27825" priority="27663" stopIfTrue="1" operator="equal">
      <formula>"Pass"</formula>
    </cfRule>
    <cfRule type="cellIs" dxfId="27824" priority="27664" stopIfTrue="1" operator="equal">
      <formula>"Fail"</formula>
    </cfRule>
  </conditionalFormatting>
  <conditionalFormatting sqref="A718:A726">
    <cfRule type="cellIs" dxfId="27823" priority="27661" stopIfTrue="1" operator="equal">
      <formula>"Pass"</formula>
    </cfRule>
    <cfRule type="cellIs" dxfId="27822" priority="27662" stopIfTrue="1" operator="equal">
      <formula>"Fail"</formula>
    </cfRule>
  </conditionalFormatting>
  <conditionalFormatting sqref="A718:A726">
    <cfRule type="cellIs" dxfId="27821" priority="27659" stopIfTrue="1" operator="equal">
      <formula>"Pass"</formula>
    </cfRule>
    <cfRule type="cellIs" dxfId="27820" priority="27660" stopIfTrue="1" operator="equal">
      <formula>"Fail"</formula>
    </cfRule>
  </conditionalFormatting>
  <conditionalFormatting sqref="A720 A723 A726">
    <cfRule type="cellIs" dxfId="27819" priority="27657" stopIfTrue="1" operator="equal">
      <formula>"Pass"</formula>
    </cfRule>
    <cfRule type="cellIs" dxfId="27818" priority="27658" stopIfTrue="1" operator="equal">
      <formula>"Fail"</formula>
    </cfRule>
  </conditionalFormatting>
  <conditionalFormatting sqref="A718:A726">
    <cfRule type="cellIs" dxfId="27817" priority="27655" stopIfTrue="1" operator="equal">
      <formula>"Pass"</formula>
    </cfRule>
    <cfRule type="cellIs" dxfId="27816" priority="27656" stopIfTrue="1" operator="equal">
      <formula>"Fail"</formula>
    </cfRule>
  </conditionalFormatting>
  <conditionalFormatting sqref="H727:H728">
    <cfRule type="cellIs" dxfId="27815" priority="27653" stopIfTrue="1" operator="equal">
      <formula>"Pass"</formula>
    </cfRule>
    <cfRule type="cellIs" dxfId="27814" priority="27654" stopIfTrue="1" operator="equal">
      <formula>"Fail"</formula>
    </cfRule>
  </conditionalFormatting>
  <conditionalFormatting sqref="E727:F727 E729:F729 I727:M728 A727:A735">
    <cfRule type="cellIs" dxfId="27813" priority="27651" stopIfTrue="1" operator="equal">
      <formula>"Pass"</formula>
    </cfRule>
    <cfRule type="cellIs" dxfId="27812" priority="27652" stopIfTrue="1" operator="equal">
      <formula>"Fail"</formula>
    </cfRule>
  </conditionalFormatting>
  <conditionalFormatting sqref="T729 T727 R727:R729 S728:S729">
    <cfRule type="cellIs" dxfId="27811" priority="27649" stopIfTrue="1" operator="equal">
      <formula>"Fail"</formula>
    </cfRule>
    <cfRule type="cellIs" dxfId="27810" priority="27650" stopIfTrue="1" operator="equal">
      <formula>"Pass"</formula>
    </cfRule>
  </conditionalFormatting>
  <conditionalFormatting sqref="F727:G727 F729:G729 A727:B729 J727:N728 A730:A735">
    <cfRule type="cellIs" dxfId="27809" priority="27647" stopIfTrue="1" operator="equal">
      <formula>"Pass"</formula>
    </cfRule>
    <cfRule type="cellIs" dxfId="27808" priority="27648" stopIfTrue="1" operator="equal">
      <formula>"Fail"</formula>
    </cfRule>
  </conditionalFormatting>
  <conditionalFormatting sqref="U729 U727 T727:T729 S728:S729">
    <cfRule type="cellIs" dxfId="27807" priority="27645" stopIfTrue="1" operator="equal">
      <formula>"Fail"</formula>
    </cfRule>
    <cfRule type="cellIs" dxfId="27806" priority="27646" stopIfTrue="1" operator="equal">
      <formula>"Pass"</formula>
    </cfRule>
  </conditionalFormatting>
  <conditionalFormatting sqref="A727:A735">
    <cfRule type="cellIs" dxfId="27805" priority="27643" stopIfTrue="1" operator="equal">
      <formula>"Pass"</formula>
    </cfRule>
    <cfRule type="cellIs" dxfId="27804" priority="27644" stopIfTrue="1" operator="equal">
      <formula>"Fail"</formula>
    </cfRule>
  </conditionalFormatting>
  <conditionalFormatting sqref="A727:A735">
    <cfRule type="cellIs" dxfId="27803" priority="27641" stopIfTrue="1" operator="equal">
      <formula>"Pass"</formula>
    </cfRule>
    <cfRule type="cellIs" dxfId="27802" priority="27642" stopIfTrue="1" operator="equal">
      <formula>"Fail"</formula>
    </cfRule>
  </conditionalFormatting>
  <conditionalFormatting sqref="A727:A735">
    <cfRule type="cellIs" dxfId="27801" priority="27639" stopIfTrue="1" operator="equal">
      <formula>"Pass"</formula>
    </cfRule>
    <cfRule type="cellIs" dxfId="27800" priority="27640" stopIfTrue="1" operator="equal">
      <formula>"Fail"</formula>
    </cfRule>
  </conditionalFormatting>
  <conditionalFormatting sqref="J727:N728 E727:G729">
    <cfRule type="cellIs" dxfId="27799" priority="27637" stopIfTrue="1" operator="equal">
      <formula>"Pass"</formula>
    </cfRule>
    <cfRule type="cellIs" dxfId="27798" priority="27638" stopIfTrue="1" operator="equal">
      <formula>"Fail"</formula>
    </cfRule>
  </conditionalFormatting>
  <conditionalFormatting sqref="A729 C729 K727:O728 F727:H729 A732 A735">
    <cfRule type="cellIs" dxfId="27797" priority="27635" stopIfTrue="1" operator="equal">
      <formula>"Pass"</formula>
    </cfRule>
    <cfRule type="cellIs" dxfId="27796" priority="27636" stopIfTrue="1" operator="equal">
      <formula>"Fail"</formula>
    </cfRule>
  </conditionalFormatting>
  <conditionalFormatting sqref="T727">
    <cfRule type="cellIs" dxfId="27795" priority="27633" stopIfTrue="1" operator="equal">
      <formula>"Fail"</formula>
    </cfRule>
    <cfRule type="cellIs" dxfId="27794" priority="27634" stopIfTrue="1" operator="equal">
      <formula>"Pass"</formula>
    </cfRule>
  </conditionalFormatting>
  <conditionalFormatting sqref="A727:A735">
    <cfRule type="cellIs" dxfId="27793" priority="27631" stopIfTrue="1" operator="equal">
      <formula>"Pass"</formula>
    </cfRule>
    <cfRule type="cellIs" dxfId="27792" priority="27632" stopIfTrue="1" operator="equal">
      <formula>"Fail"</formula>
    </cfRule>
  </conditionalFormatting>
  <conditionalFormatting sqref="A730">
    <cfRule type="cellIs" dxfId="27791" priority="27629" stopIfTrue="1" operator="equal">
      <formula>"Pass"</formula>
    </cfRule>
    <cfRule type="cellIs" dxfId="27790" priority="27630" stopIfTrue="1" operator="equal">
      <formula>"Fail"</formula>
    </cfRule>
  </conditionalFormatting>
  <conditionalFormatting sqref="A730">
    <cfRule type="cellIs" dxfId="27789" priority="27627" stopIfTrue="1" operator="equal">
      <formula>"Pass"</formula>
    </cfRule>
    <cfRule type="cellIs" dxfId="27788" priority="27628" stopIfTrue="1" operator="equal">
      <formula>"Fail"</formula>
    </cfRule>
  </conditionalFormatting>
  <conditionalFormatting sqref="A730">
    <cfRule type="cellIs" dxfId="27787" priority="27625" stopIfTrue="1" operator="equal">
      <formula>"Pass"</formula>
    </cfRule>
    <cfRule type="cellIs" dxfId="27786" priority="27626" stopIfTrue="1" operator="equal">
      <formula>"Fail"</formula>
    </cfRule>
  </conditionalFormatting>
  <conditionalFormatting sqref="A730">
    <cfRule type="cellIs" dxfId="27785" priority="27623" stopIfTrue="1" operator="equal">
      <formula>"Pass"</formula>
    </cfRule>
    <cfRule type="cellIs" dxfId="27784" priority="27624" stopIfTrue="1" operator="equal">
      <formula>"Fail"</formula>
    </cfRule>
  </conditionalFormatting>
  <conditionalFormatting sqref="A730">
    <cfRule type="cellIs" dxfId="27783" priority="27621" stopIfTrue="1" operator="equal">
      <formula>"Pass"</formula>
    </cfRule>
    <cfRule type="cellIs" dxfId="27782" priority="27622" stopIfTrue="1" operator="equal">
      <formula>"Fail"</formula>
    </cfRule>
  </conditionalFormatting>
  <conditionalFormatting sqref="A730">
    <cfRule type="cellIs" dxfId="27781" priority="27619" stopIfTrue="1" operator="equal">
      <formula>"Pass"</formula>
    </cfRule>
    <cfRule type="cellIs" dxfId="27780" priority="27620" stopIfTrue="1" operator="equal">
      <formula>"Fail"</formula>
    </cfRule>
  </conditionalFormatting>
  <conditionalFormatting sqref="A730">
    <cfRule type="cellIs" dxfId="27779" priority="27617" stopIfTrue="1" operator="equal">
      <formula>"Pass"</formula>
    </cfRule>
    <cfRule type="cellIs" dxfId="27778" priority="27618" stopIfTrue="1" operator="equal">
      <formula>"Fail"</formula>
    </cfRule>
  </conditionalFormatting>
  <conditionalFormatting sqref="A730">
    <cfRule type="cellIs" dxfId="27777" priority="27615" stopIfTrue="1" operator="equal">
      <formula>"Pass"</formula>
    </cfRule>
    <cfRule type="cellIs" dxfId="27776" priority="27616" stopIfTrue="1" operator="equal">
      <formula>"Fail"</formula>
    </cfRule>
  </conditionalFormatting>
  <conditionalFormatting sqref="A730">
    <cfRule type="cellIs" dxfId="27775" priority="27613" stopIfTrue="1" operator="equal">
      <formula>"Pass"</formula>
    </cfRule>
    <cfRule type="cellIs" dxfId="27774" priority="27614" stopIfTrue="1" operator="equal">
      <formula>"Fail"</formula>
    </cfRule>
  </conditionalFormatting>
  <conditionalFormatting sqref="A730">
    <cfRule type="cellIs" dxfId="27773" priority="27611" stopIfTrue="1" operator="equal">
      <formula>"Pass"</formula>
    </cfRule>
    <cfRule type="cellIs" dxfId="27772" priority="27612" stopIfTrue="1" operator="equal">
      <formula>"Fail"</formula>
    </cfRule>
  </conditionalFormatting>
  <conditionalFormatting sqref="A730">
    <cfRule type="cellIs" dxfId="27771" priority="27609" stopIfTrue="1" operator="equal">
      <formula>"Pass"</formula>
    </cfRule>
    <cfRule type="cellIs" dxfId="27770" priority="27610" stopIfTrue="1" operator="equal">
      <formula>"Fail"</formula>
    </cfRule>
  </conditionalFormatting>
  <conditionalFormatting sqref="A730">
    <cfRule type="cellIs" dxfId="27769" priority="27607" stopIfTrue="1" operator="equal">
      <formula>"Pass"</formula>
    </cfRule>
    <cfRule type="cellIs" dxfId="27768" priority="27608" stopIfTrue="1" operator="equal">
      <formula>"Fail"</formula>
    </cfRule>
  </conditionalFormatting>
  <conditionalFormatting sqref="J730:J731">
    <cfRule type="cellIs" dxfId="27767" priority="27605" stopIfTrue="1" operator="equal">
      <formula>"Pass"</formula>
    </cfRule>
    <cfRule type="cellIs" dxfId="27766" priority="27606" stopIfTrue="1" operator="equal">
      <formula>"Fail"</formula>
    </cfRule>
  </conditionalFormatting>
  <conditionalFormatting sqref="H730:H731 I731">
    <cfRule type="cellIs" dxfId="27765" priority="27603" stopIfTrue="1" operator="equal">
      <formula>"Pass"</formula>
    </cfRule>
    <cfRule type="cellIs" dxfId="27764" priority="27604" stopIfTrue="1" operator="equal">
      <formula>"Fail"</formula>
    </cfRule>
  </conditionalFormatting>
  <conditionalFormatting sqref="A730 C730 F732 F730:G730 K730:N731">
    <cfRule type="cellIs" dxfId="27763" priority="27601" stopIfTrue="1" operator="equal">
      <formula>"Pass"</formula>
    </cfRule>
    <cfRule type="cellIs" dxfId="27762" priority="27602" stopIfTrue="1" operator="equal">
      <formula>"Fail"</formula>
    </cfRule>
  </conditionalFormatting>
  <conditionalFormatting sqref="T730:T732 U731:U732">
    <cfRule type="cellIs" dxfId="27761" priority="27599" stopIfTrue="1" operator="equal">
      <formula>"Fail"</formula>
    </cfRule>
    <cfRule type="cellIs" dxfId="27760" priority="27600" stopIfTrue="1" operator="equal">
      <formula>"Pass"</formula>
    </cfRule>
  </conditionalFormatting>
  <conditionalFormatting sqref="A730">
    <cfRule type="cellIs" dxfId="27759" priority="27597" stopIfTrue="1" operator="equal">
      <formula>"Pass"</formula>
    </cfRule>
    <cfRule type="cellIs" dxfId="27758" priority="27598" stopIfTrue="1" operator="equal">
      <formula>"Fail"</formula>
    </cfRule>
  </conditionalFormatting>
  <conditionalFormatting sqref="A730">
    <cfRule type="cellIs" dxfId="27757" priority="27595" stopIfTrue="1" operator="equal">
      <formula>"Pass"</formula>
    </cfRule>
    <cfRule type="cellIs" dxfId="27756" priority="27596" stopIfTrue="1" operator="equal">
      <formula>"Fail"</formula>
    </cfRule>
  </conditionalFormatting>
  <conditionalFormatting sqref="A730">
    <cfRule type="cellIs" dxfId="27755" priority="27593" stopIfTrue="1" operator="equal">
      <formula>"Pass"</formula>
    </cfRule>
    <cfRule type="cellIs" dxfId="27754" priority="27594" stopIfTrue="1" operator="equal">
      <formula>"Fail"</formula>
    </cfRule>
  </conditionalFormatting>
  <conditionalFormatting sqref="A730">
    <cfRule type="cellIs" dxfId="27753" priority="27591" stopIfTrue="1" operator="equal">
      <formula>"Pass"</formula>
    </cfRule>
    <cfRule type="cellIs" dxfId="27752" priority="27592" stopIfTrue="1" operator="equal">
      <formula>"Fail"</formula>
    </cfRule>
  </conditionalFormatting>
  <conditionalFormatting sqref="A730">
    <cfRule type="cellIs" dxfId="27751" priority="27589" stopIfTrue="1" operator="equal">
      <formula>"Pass"</formula>
    </cfRule>
    <cfRule type="cellIs" dxfId="27750" priority="27590" stopIfTrue="1" operator="equal">
      <formula>"Fail"</formula>
    </cfRule>
  </conditionalFormatting>
  <conditionalFormatting sqref="A730">
    <cfRule type="cellIs" dxfId="27749" priority="27587" stopIfTrue="1" operator="equal">
      <formula>"Pass"</formula>
    </cfRule>
    <cfRule type="cellIs" dxfId="27748" priority="27588" stopIfTrue="1" operator="equal">
      <formula>"Fail"</formula>
    </cfRule>
  </conditionalFormatting>
  <conditionalFormatting sqref="A730">
    <cfRule type="cellIs" dxfId="27747" priority="27585" stopIfTrue="1" operator="equal">
      <formula>"Pass"</formula>
    </cfRule>
    <cfRule type="cellIs" dxfId="27746" priority="27586" stopIfTrue="1" operator="equal">
      <formula>"Fail"</formula>
    </cfRule>
  </conditionalFormatting>
  <conditionalFormatting sqref="A730">
    <cfRule type="cellIs" dxfId="27745" priority="27583" stopIfTrue="1" operator="equal">
      <formula>"Pass"</formula>
    </cfRule>
    <cfRule type="cellIs" dxfId="27744" priority="27584" stopIfTrue="1" operator="equal">
      <formula>"Fail"</formula>
    </cfRule>
  </conditionalFormatting>
  <conditionalFormatting sqref="A730">
    <cfRule type="cellIs" dxfId="27743" priority="27581" stopIfTrue="1" operator="equal">
      <formula>"Pass"</formula>
    </cfRule>
    <cfRule type="cellIs" dxfId="27742" priority="27582" stopIfTrue="1" operator="equal">
      <formula>"Fail"</formula>
    </cfRule>
  </conditionalFormatting>
  <conditionalFormatting sqref="A730">
    <cfRule type="cellIs" dxfId="27741" priority="27579" stopIfTrue="1" operator="equal">
      <formula>"Pass"</formula>
    </cfRule>
    <cfRule type="cellIs" dxfId="27740" priority="27580" stopIfTrue="1" operator="equal">
      <formula>"Fail"</formula>
    </cfRule>
  </conditionalFormatting>
  <conditionalFormatting sqref="A730">
    <cfRule type="cellIs" dxfId="27739" priority="27577" stopIfTrue="1" operator="equal">
      <formula>"Pass"</formula>
    </cfRule>
    <cfRule type="cellIs" dxfId="27738" priority="27578" stopIfTrue="1" operator="equal">
      <formula>"Fail"</formula>
    </cfRule>
  </conditionalFormatting>
  <conditionalFormatting sqref="A730">
    <cfRule type="cellIs" dxfId="27737" priority="27575" stopIfTrue="1" operator="equal">
      <formula>"Pass"</formula>
    </cfRule>
    <cfRule type="cellIs" dxfId="27736" priority="27576" stopIfTrue="1" operator="equal">
      <formula>"Fail"</formula>
    </cfRule>
  </conditionalFormatting>
  <conditionalFormatting sqref="A730">
    <cfRule type="cellIs" dxfId="27735" priority="27573" stopIfTrue="1" operator="equal">
      <formula>"Pass"</formula>
    </cfRule>
    <cfRule type="cellIs" dxfId="27734" priority="27574" stopIfTrue="1" operator="equal">
      <formula>"Fail"</formula>
    </cfRule>
  </conditionalFormatting>
  <conditionalFormatting sqref="A730">
    <cfRule type="cellIs" dxfId="27733" priority="27571" stopIfTrue="1" operator="equal">
      <formula>"Pass"</formula>
    </cfRule>
    <cfRule type="cellIs" dxfId="27732" priority="27572" stopIfTrue="1" operator="equal">
      <formula>"Fail"</formula>
    </cfRule>
  </conditionalFormatting>
  <conditionalFormatting sqref="A730">
    <cfRule type="cellIs" dxfId="27731" priority="27569" stopIfTrue="1" operator="equal">
      <formula>"Pass"</formula>
    </cfRule>
    <cfRule type="cellIs" dxfId="27730" priority="27570" stopIfTrue="1" operator="equal">
      <formula>"Fail"</formula>
    </cfRule>
  </conditionalFormatting>
  <conditionalFormatting sqref="A730">
    <cfRule type="cellIs" dxfId="27729" priority="27567" stopIfTrue="1" operator="equal">
      <formula>"Pass"</formula>
    </cfRule>
    <cfRule type="cellIs" dxfId="27728" priority="27568" stopIfTrue="1" operator="equal">
      <formula>"Fail"</formula>
    </cfRule>
  </conditionalFormatting>
  <conditionalFormatting sqref="U730">
    <cfRule type="cellIs" dxfId="27727" priority="27565" stopIfTrue="1" operator="equal">
      <formula>"Fail"</formula>
    </cfRule>
    <cfRule type="cellIs" dxfId="27726" priority="27566" stopIfTrue="1" operator="equal">
      <formula>"Pass"</formula>
    </cfRule>
  </conditionalFormatting>
  <conditionalFormatting sqref="U730">
    <cfRule type="cellIs" dxfId="27725" priority="27563" stopIfTrue="1" operator="equal">
      <formula>"Fail"</formula>
    </cfRule>
    <cfRule type="cellIs" dxfId="27724" priority="27564" stopIfTrue="1" operator="equal">
      <formula>"Pass"</formula>
    </cfRule>
  </conditionalFormatting>
  <conditionalFormatting sqref="J730:J731">
    <cfRule type="cellIs" dxfId="27723" priority="27561" stopIfTrue="1" operator="equal">
      <formula>"Pass"</formula>
    </cfRule>
    <cfRule type="cellIs" dxfId="27722" priority="27562" stopIfTrue="1" operator="equal">
      <formula>"Fail"</formula>
    </cfRule>
  </conditionalFormatting>
  <conditionalFormatting sqref="H730:H731 I731">
    <cfRule type="cellIs" dxfId="27721" priority="27559" stopIfTrue="1" operator="equal">
      <formula>"Pass"</formula>
    </cfRule>
    <cfRule type="cellIs" dxfId="27720" priority="27560" stopIfTrue="1" operator="equal">
      <formula>"Fail"</formula>
    </cfRule>
  </conditionalFormatting>
  <conditionalFormatting sqref="F732 F730:G730 K730:N731">
    <cfRule type="cellIs" dxfId="27719" priority="27557" stopIfTrue="1" operator="equal">
      <formula>"Pass"</formula>
    </cfRule>
    <cfRule type="cellIs" dxfId="27718" priority="27558" stopIfTrue="1" operator="equal">
      <formula>"Fail"</formula>
    </cfRule>
  </conditionalFormatting>
  <conditionalFormatting sqref="T730:T732 U731:U732">
    <cfRule type="cellIs" dxfId="27717" priority="27555" stopIfTrue="1" operator="equal">
      <formula>"Fail"</formula>
    </cfRule>
    <cfRule type="cellIs" dxfId="27716" priority="27556" stopIfTrue="1" operator="equal">
      <formula>"Pass"</formula>
    </cfRule>
  </conditionalFormatting>
  <conditionalFormatting sqref="U730">
    <cfRule type="cellIs" dxfId="27715" priority="27553" stopIfTrue="1" operator="equal">
      <formula>"Fail"</formula>
    </cfRule>
    <cfRule type="cellIs" dxfId="27714" priority="27554" stopIfTrue="1" operator="equal">
      <formula>"Pass"</formula>
    </cfRule>
  </conditionalFormatting>
  <conditionalFormatting sqref="U730">
    <cfRule type="cellIs" dxfId="27713" priority="27551" stopIfTrue="1" operator="equal">
      <formula>"Fail"</formula>
    </cfRule>
    <cfRule type="cellIs" dxfId="27712" priority="27552" stopIfTrue="1" operator="equal">
      <formula>"Pass"</formula>
    </cfRule>
  </conditionalFormatting>
  <conditionalFormatting sqref="F730:G730 K730:N730">
    <cfRule type="cellIs" dxfId="27711" priority="27549" stopIfTrue="1" operator="equal">
      <formula>"Pass"</formula>
    </cfRule>
    <cfRule type="cellIs" dxfId="27710" priority="27550" stopIfTrue="1" operator="equal">
      <formula>"Fail"</formula>
    </cfRule>
  </conditionalFormatting>
  <conditionalFormatting sqref="K731:N731">
    <cfRule type="cellIs" dxfId="27709" priority="27547" stopIfTrue="1" operator="equal">
      <formula>"Pass"</formula>
    </cfRule>
    <cfRule type="cellIs" dxfId="27708" priority="27548" stopIfTrue="1" operator="equal">
      <formula>"Fail"</formula>
    </cfRule>
  </conditionalFormatting>
  <conditionalFormatting sqref="U730">
    <cfRule type="cellIs" dxfId="27707" priority="27545" stopIfTrue="1" operator="equal">
      <formula>"Fail"</formula>
    </cfRule>
    <cfRule type="cellIs" dxfId="27706" priority="27546" stopIfTrue="1" operator="equal">
      <formula>"Pass"</formula>
    </cfRule>
  </conditionalFormatting>
  <conditionalFormatting sqref="H733:H734">
    <cfRule type="cellIs" dxfId="27705" priority="27543" stopIfTrue="1" operator="equal">
      <formula>"Pass"</formula>
    </cfRule>
    <cfRule type="cellIs" dxfId="27704" priority="27544" stopIfTrue="1" operator="equal">
      <formula>"Fail"</formula>
    </cfRule>
  </conditionalFormatting>
  <conditionalFormatting sqref="E733:F733 I733:M734 E735:F735 A733">
    <cfRule type="cellIs" dxfId="27703" priority="27541" stopIfTrue="1" operator="equal">
      <formula>"Pass"</formula>
    </cfRule>
    <cfRule type="cellIs" dxfId="27702" priority="27542" stopIfTrue="1" operator="equal">
      <formula>"Fail"</formula>
    </cfRule>
  </conditionalFormatting>
  <conditionalFormatting sqref="T735 T733 R733:R735 S734:S735">
    <cfRule type="cellIs" dxfId="27701" priority="27539" stopIfTrue="1" operator="equal">
      <formula>"Fail"</formula>
    </cfRule>
    <cfRule type="cellIs" dxfId="27700" priority="27540" stopIfTrue="1" operator="equal">
      <formula>"Pass"</formula>
    </cfRule>
  </conditionalFormatting>
  <conditionalFormatting sqref="F733:G733 J733:N734 F735:G735 B733:B735 A733">
    <cfRule type="cellIs" dxfId="27699" priority="27537" stopIfTrue="1" operator="equal">
      <formula>"Pass"</formula>
    </cfRule>
    <cfRule type="cellIs" dxfId="27698" priority="27538" stopIfTrue="1" operator="equal">
      <formula>"Fail"</formula>
    </cfRule>
  </conditionalFormatting>
  <conditionalFormatting sqref="U735 T733:T735 S734:S735">
    <cfRule type="cellIs" dxfId="27697" priority="27535" stopIfTrue="1" operator="equal">
      <formula>"Fail"</formula>
    </cfRule>
    <cfRule type="cellIs" dxfId="27696" priority="27536" stopIfTrue="1" operator="equal">
      <formula>"Pass"</formula>
    </cfRule>
  </conditionalFormatting>
  <conditionalFormatting sqref="A733">
    <cfRule type="cellIs" dxfId="27695" priority="27533" stopIfTrue="1" operator="equal">
      <formula>"Pass"</formula>
    </cfRule>
    <cfRule type="cellIs" dxfId="27694" priority="27534" stopIfTrue="1" operator="equal">
      <formula>"Fail"</formula>
    </cfRule>
  </conditionalFormatting>
  <conditionalFormatting sqref="A733">
    <cfRule type="cellIs" dxfId="27693" priority="27531" stopIfTrue="1" operator="equal">
      <formula>"Pass"</formula>
    </cfRule>
    <cfRule type="cellIs" dxfId="27692" priority="27532" stopIfTrue="1" operator="equal">
      <formula>"Fail"</formula>
    </cfRule>
  </conditionalFormatting>
  <conditionalFormatting sqref="A733">
    <cfRule type="cellIs" dxfId="27691" priority="27529" stopIfTrue="1" operator="equal">
      <formula>"Pass"</formula>
    </cfRule>
    <cfRule type="cellIs" dxfId="27690" priority="27530" stopIfTrue="1" operator="equal">
      <formula>"Fail"</formula>
    </cfRule>
  </conditionalFormatting>
  <conditionalFormatting sqref="A733">
    <cfRule type="cellIs" dxfId="27689" priority="27527" stopIfTrue="1" operator="equal">
      <formula>"Pass"</formula>
    </cfRule>
    <cfRule type="cellIs" dxfId="27688" priority="27528" stopIfTrue="1" operator="equal">
      <formula>"Fail"</formula>
    </cfRule>
  </conditionalFormatting>
  <conditionalFormatting sqref="A733">
    <cfRule type="cellIs" dxfId="27687" priority="27525" stopIfTrue="1" operator="equal">
      <formula>"Pass"</formula>
    </cfRule>
    <cfRule type="cellIs" dxfId="27686" priority="27526" stopIfTrue="1" operator="equal">
      <formula>"Fail"</formula>
    </cfRule>
  </conditionalFormatting>
  <conditionalFormatting sqref="A733">
    <cfRule type="cellIs" dxfId="27685" priority="27523" stopIfTrue="1" operator="equal">
      <formula>"Pass"</formula>
    </cfRule>
    <cfRule type="cellIs" dxfId="27684" priority="27524" stopIfTrue="1" operator="equal">
      <formula>"Fail"</formula>
    </cfRule>
  </conditionalFormatting>
  <conditionalFormatting sqref="A733">
    <cfRule type="cellIs" dxfId="27683" priority="27521" stopIfTrue="1" operator="equal">
      <formula>"Pass"</formula>
    </cfRule>
    <cfRule type="cellIs" dxfId="27682" priority="27522" stopIfTrue="1" operator="equal">
      <formula>"Fail"</formula>
    </cfRule>
  </conditionalFormatting>
  <conditionalFormatting sqref="A733">
    <cfRule type="cellIs" dxfId="27681" priority="27519" stopIfTrue="1" operator="equal">
      <formula>"Pass"</formula>
    </cfRule>
    <cfRule type="cellIs" dxfId="27680" priority="27520" stopIfTrue="1" operator="equal">
      <formula>"Fail"</formula>
    </cfRule>
  </conditionalFormatting>
  <conditionalFormatting sqref="A733">
    <cfRule type="cellIs" dxfId="27679" priority="27517" stopIfTrue="1" operator="equal">
      <formula>"Pass"</formula>
    </cfRule>
    <cfRule type="cellIs" dxfId="27678" priority="27518" stopIfTrue="1" operator="equal">
      <formula>"Fail"</formula>
    </cfRule>
  </conditionalFormatting>
  <conditionalFormatting sqref="A733">
    <cfRule type="cellIs" dxfId="27677" priority="27515" stopIfTrue="1" operator="equal">
      <formula>"Pass"</formula>
    </cfRule>
    <cfRule type="cellIs" dxfId="27676" priority="27516" stopIfTrue="1" operator="equal">
      <formula>"Fail"</formula>
    </cfRule>
  </conditionalFormatting>
  <conditionalFormatting sqref="U733">
    <cfRule type="cellIs" dxfId="27675" priority="27513" stopIfTrue="1" operator="equal">
      <formula>"Fail"</formula>
    </cfRule>
    <cfRule type="cellIs" dxfId="27674" priority="27514" stopIfTrue="1" operator="equal">
      <formula>"Pass"</formula>
    </cfRule>
  </conditionalFormatting>
  <conditionalFormatting sqref="F733:G733 J733:N733">
    <cfRule type="cellIs" dxfId="27673" priority="27511" stopIfTrue="1" operator="equal">
      <formula>"Pass"</formula>
    </cfRule>
    <cfRule type="cellIs" dxfId="27672" priority="27512" stopIfTrue="1" operator="equal">
      <formula>"Fail"</formula>
    </cfRule>
  </conditionalFormatting>
  <conditionalFormatting sqref="J734:N734">
    <cfRule type="cellIs" dxfId="27671" priority="27509" stopIfTrue="1" operator="equal">
      <formula>"Pass"</formula>
    </cfRule>
    <cfRule type="cellIs" dxfId="27670" priority="27510" stopIfTrue="1" operator="equal">
      <formula>"Fail"</formula>
    </cfRule>
  </conditionalFormatting>
  <conditionalFormatting sqref="A727:A735">
    <cfRule type="cellIs" dxfId="27669" priority="27507" stopIfTrue="1" operator="equal">
      <formula>"Pass"</formula>
    </cfRule>
    <cfRule type="cellIs" dxfId="27668" priority="27508" stopIfTrue="1" operator="equal">
      <formula>"Fail"</formula>
    </cfRule>
  </conditionalFormatting>
  <conditionalFormatting sqref="A727:A735">
    <cfRule type="cellIs" dxfId="27667" priority="27505" stopIfTrue="1" operator="equal">
      <formula>"Pass"</formula>
    </cfRule>
    <cfRule type="cellIs" dxfId="27666" priority="27506" stopIfTrue="1" operator="equal">
      <formula>"Fail"</formula>
    </cfRule>
  </conditionalFormatting>
  <conditionalFormatting sqref="A727:A735">
    <cfRule type="cellIs" dxfId="27665" priority="27503" stopIfTrue="1" operator="equal">
      <formula>"Pass"</formula>
    </cfRule>
    <cfRule type="cellIs" dxfId="27664" priority="27504" stopIfTrue="1" operator="equal">
      <formula>"Fail"</formula>
    </cfRule>
  </conditionalFormatting>
  <conditionalFormatting sqref="A727:A735">
    <cfRule type="cellIs" dxfId="27663" priority="27501" stopIfTrue="1" operator="equal">
      <formula>"Pass"</formula>
    </cfRule>
    <cfRule type="cellIs" dxfId="27662" priority="27502" stopIfTrue="1" operator="equal">
      <formula>"Fail"</formula>
    </cfRule>
  </conditionalFormatting>
  <conditionalFormatting sqref="A727:A735">
    <cfRule type="cellIs" dxfId="27661" priority="27499" stopIfTrue="1" operator="equal">
      <formula>"Pass"</formula>
    </cfRule>
    <cfRule type="cellIs" dxfId="27660" priority="27500" stopIfTrue="1" operator="equal">
      <formula>"Fail"</formula>
    </cfRule>
  </conditionalFormatting>
  <conditionalFormatting sqref="A729 A732 A735">
    <cfRule type="cellIs" dxfId="27659" priority="27497" stopIfTrue="1" operator="equal">
      <formula>"Pass"</formula>
    </cfRule>
    <cfRule type="cellIs" dxfId="27658" priority="27498" stopIfTrue="1" operator="equal">
      <formula>"Fail"</formula>
    </cfRule>
  </conditionalFormatting>
  <conditionalFormatting sqref="A727:A735">
    <cfRule type="cellIs" dxfId="27657" priority="27495" stopIfTrue="1" operator="equal">
      <formula>"Pass"</formula>
    </cfRule>
    <cfRule type="cellIs" dxfId="27656" priority="27496" stopIfTrue="1" operator="equal">
      <formula>"Fail"</formula>
    </cfRule>
  </conditionalFormatting>
  <conditionalFormatting sqref="A727:A735">
    <cfRule type="cellIs" dxfId="27655" priority="27493" stopIfTrue="1" operator="equal">
      <formula>"Pass"</formula>
    </cfRule>
    <cfRule type="cellIs" dxfId="27654" priority="27494" stopIfTrue="1" operator="equal">
      <formula>"Fail"</formula>
    </cfRule>
  </conditionalFormatting>
  <conditionalFormatting sqref="A727:A735">
    <cfRule type="cellIs" dxfId="27653" priority="27491" stopIfTrue="1" operator="equal">
      <formula>"Pass"</formula>
    </cfRule>
    <cfRule type="cellIs" dxfId="27652" priority="27492" stopIfTrue="1" operator="equal">
      <formula>"Fail"</formula>
    </cfRule>
  </conditionalFormatting>
  <conditionalFormatting sqref="A727:A735">
    <cfRule type="cellIs" dxfId="27651" priority="27489" stopIfTrue="1" operator="equal">
      <formula>"Pass"</formula>
    </cfRule>
    <cfRule type="cellIs" dxfId="27650" priority="27490" stopIfTrue="1" operator="equal">
      <formula>"Fail"</formula>
    </cfRule>
  </conditionalFormatting>
  <conditionalFormatting sqref="A727:A735">
    <cfRule type="cellIs" dxfId="27649" priority="27487" stopIfTrue="1" operator="equal">
      <formula>"Pass"</formula>
    </cfRule>
    <cfRule type="cellIs" dxfId="27648" priority="27488" stopIfTrue="1" operator="equal">
      <formula>"Fail"</formula>
    </cfRule>
  </conditionalFormatting>
  <conditionalFormatting sqref="A727:A735">
    <cfRule type="cellIs" dxfId="27647" priority="27485" stopIfTrue="1" operator="equal">
      <formula>"Pass"</formula>
    </cfRule>
    <cfRule type="cellIs" dxfId="27646" priority="27486" stopIfTrue="1" operator="equal">
      <formula>"Fail"</formula>
    </cfRule>
  </conditionalFormatting>
  <conditionalFormatting sqref="A729 A732 A735">
    <cfRule type="cellIs" dxfId="27645" priority="27483" stopIfTrue="1" operator="equal">
      <formula>"Pass"</formula>
    </cfRule>
    <cfRule type="cellIs" dxfId="27644" priority="27484" stopIfTrue="1" operator="equal">
      <formula>"Fail"</formula>
    </cfRule>
  </conditionalFormatting>
  <conditionalFormatting sqref="A727:A735">
    <cfRule type="cellIs" dxfId="27643" priority="27481" stopIfTrue="1" operator="equal">
      <formula>"Pass"</formula>
    </cfRule>
    <cfRule type="cellIs" dxfId="27642" priority="27482" stopIfTrue="1" operator="equal">
      <formula>"Fail"</formula>
    </cfRule>
  </conditionalFormatting>
  <conditionalFormatting sqref="H736:H737">
    <cfRule type="cellIs" dxfId="27641" priority="27479" stopIfTrue="1" operator="equal">
      <formula>"Pass"</formula>
    </cfRule>
    <cfRule type="cellIs" dxfId="27640" priority="27480" stopIfTrue="1" operator="equal">
      <formula>"Fail"</formula>
    </cfRule>
  </conditionalFormatting>
  <conditionalFormatting sqref="E736:F736 E738:F738 I736:M737 A736:A744">
    <cfRule type="cellIs" dxfId="27639" priority="27477" stopIfTrue="1" operator="equal">
      <formula>"Pass"</formula>
    </cfRule>
    <cfRule type="cellIs" dxfId="27638" priority="27478" stopIfTrue="1" operator="equal">
      <formula>"Fail"</formula>
    </cfRule>
  </conditionalFormatting>
  <conditionalFormatting sqref="T738 T736 R736:R738 S737:S738">
    <cfRule type="cellIs" dxfId="27637" priority="27475" stopIfTrue="1" operator="equal">
      <formula>"Fail"</formula>
    </cfRule>
    <cfRule type="cellIs" dxfId="27636" priority="27476" stopIfTrue="1" operator="equal">
      <formula>"Pass"</formula>
    </cfRule>
  </conditionalFormatting>
  <conditionalFormatting sqref="F736:G736 F738:G738 A736:B738 J736:N737 A739:A744">
    <cfRule type="cellIs" dxfId="27635" priority="27473" stopIfTrue="1" operator="equal">
      <formula>"Pass"</formula>
    </cfRule>
    <cfRule type="cellIs" dxfId="27634" priority="27474" stopIfTrue="1" operator="equal">
      <formula>"Fail"</formula>
    </cfRule>
  </conditionalFormatting>
  <conditionalFormatting sqref="U738 U736 T736:T738 S737:S738">
    <cfRule type="cellIs" dxfId="27633" priority="27471" stopIfTrue="1" operator="equal">
      <formula>"Fail"</formula>
    </cfRule>
    <cfRule type="cellIs" dxfId="27632" priority="27472" stopIfTrue="1" operator="equal">
      <formula>"Pass"</formula>
    </cfRule>
  </conditionalFormatting>
  <conditionalFormatting sqref="A736:A744">
    <cfRule type="cellIs" dxfId="27631" priority="27469" stopIfTrue="1" operator="equal">
      <formula>"Pass"</formula>
    </cfRule>
    <cfRule type="cellIs" dxfId="27630" priority="27470" stopIfTrue="1" operator="equal">
      <formula>"Fail"</formula>
    </cfRule>
  </conditionalFormatting>
  <conditionalFormatting sqref="A736:A744">
    <cfRule type="cellIs" dxfId="27629" priority="27467" stopIfTrue="1" operator="equal">
      <formula>"Pass"</formula>
    </cfRule>
    <cfRule type="cellIs" dxfId="27628" priority="27468" stopIfTrue="1" operator="equal">
      <formula>"Fail"</formula>
    </cfRule>
  </conditionalFormatting>
  <conditionalFormatting sqref="A736:A744">
    <cfRule type="cellIs" dxfId="27627" priority="27465" stopIfTrue="1" operator="equal">
      <formula>"Pass"</formula>
    </cfRule>
    <cfRule type="cellIs" dxfId="27626" priority="27466" stopIfTrue="1" operator="equal">
      <formula>"Fail"</formula>
    </cfRule>
  </conditionalFormatting>
  <conditionalFormatting sqref="J736:N737 E736:G738">
    <cfRule type="cellIs" dxfId="27625" priority="27463" stopIfTrue="1" operator="equal">
      <formula>"Pass"</formula>
    </cfRule>
    <cfRule type="cellIs" dxfId="27624" priority="27464" stopIfTrue="1" operator="equal">
      <formula>"Fail"</formula>
    </cfRule>
  </conditionalFormatting>
  <conditionalFormatting sqref="A738 C738 K736:O737 F736:H738 A741 A744">
    <cfRule type="cellIs" dxfId="27623" priority="27461" stopIfTrue="1" operator="equal">
      <formula>"Pass"</formula>
    </cfRule>
    <cfRule type="cellIs" dxfId="27622" priority="27462" stopIfTrue="1" operator="equal">
      <formula>"Fail"</formula>
    </cfRule>
  </conditionalFormatting>
  <conditionalFormatting sqref="T736">
    <cfRule type="cellIs" dxfId="27621" priority="27459" stopIfTrue="1" operator="equal">
      <formula>"Fail"</formula>
    </cfRule>
    <cfRule type="cellIs" dxfId="27620" priority="27460" stopIfTrue="1" operator="equal">
      <formula>"Pass"</formula>
    </cfRule>
  </conditionalFormatting>
  <conditionalFormatting sqref="A736:A744">
    <cfRule type="cellIs" dxfId="27619" priority="27457" stopIfTrue="1" operator="equal">
      <formula>"Pass"</formula>
    </cfRule>
    <cfRule type="cellIs" dxfId="27618" priority="27458" stopIfTrue="1" operator="equal">
      <formula>"Fail"</formula>
    </cfRule>
  </conditionalFormatting>
  <conditionalFormatting sqref="A739">
    <cfRule type="cellIs" dxfId="27617" priority="27455" stopIfTrue="1" operator="equal">
      <formula>"Pass"</formula>
    </cfRule>
    <cfRule type="cellIs" dxfId="27616" priority="27456" stopIfTrue="1" operator="equal">
      <formula>"Fail"</formula>
    </cfRule>
  </conditionalFormatting>
  <conditionalFormatting sqref="A739">
    <cfRule type="cellIs" dxfId="27615" priority="27453" stopIfTrue="1" operator="equal">
      <formula>"Pass"</formula>
    </cfRule>
    <cfRule type="cellIs" dxfId="27614" priority="27454" stopIfTrue="1" operator="equal">
      <formula>"Fail"</formula>
    </cfRule>
  </conditionalFormatting>
  <conditionalFormatting sqref="A739">
    <cfRule type="cellIs" dxfId="27613" priority="27451" stopIfTrue="1" operator="equal">
      <formula>"Pass"</formula>
    </cfRule>
    <cfRule type="cellIs" dxfId="27612" priority="27452" stopIfTrue="1" operator="equal">
      <formula>"Fail"</formula>
    </cfRule>
  </conditionalFormatting>
  <conditionalFormatting sqref="A739">
    <cfRule type="cellIs" dxfId="27611" priority="27449" stopIfTrue="1" operator="equal">
      <formula>"Pass"</formula>
    </cfRule>
    <cfRule type="cellIs" dxfId="27610" priority="27450" stopIfTrue="1" operator="equal">
      <formula>"Fail"</formula>
    </cfRule>
  </conditionalFormatting>
  <conditionalFormatting sqref="A739">
    <cfRule type="cellIs" dxfId="27609" priority="27447" stopIfTrue="1" operator="equal">
      <formula>"Pass"</formula>
    </cfRule>
    <cfRule type="cellIs" dxfId="27608" priority="27448" stopIfTrue="1" operator="equal">
      <formula>"Fail"</formula>
    </cfRule>
  </conditionalFormatting>
  <conditionalFormatting sqref="A739">
    <cfRule type="cellIs" dxfId="27607" priority="27445" stopIfTrue="1" operator="equal">
      <formula>"Pass"</formula>
    </cfRule>
    <cfRule type="cellIs" dxfId="27606" priority="27446" stopIfTrue="1" operator="equal">
      <formula>"Fail"</formula>
    </cfRule>
  </conditionalFormatting>
  <conditionalFormatting sqref="A739">
    <cfRule type="cellIs" dxfId="27605" priority="27443" stopIfTrue="1" operator="equal">
      <formula>"Pass"</formula>
    </cfRule>
    <cfRule type="cellIs" dxfId="27604" priority="27444" stopIfTrue="1" operator="equal">
      <formula>"Fail"</formula>
    </cfRule>
  </conditionalFormatting>
  <conditionalFormatting sqref="A739">
    <cfRule type="cellIs" dxfId="27603" priority="27441" stopIfTrue="1" operator="equal">
      <formula>"Pass"</formula>
    </cfRule>
    <cfRule type="cellIs" dxfId="27602" priority="27442" stopIfTrue="1" operator="equal">
      <formula>"Fail"</formula>
    </cfRule>
  </conditionalFormatting>
  <conditionalFormatting sqref="A739">
    <cfRule type="cellIs" dxfId="27601" priority="27439" stopIfTrue="1" operator="equal">
      <formula>"Pass"</formula>
    </cfRule>
    <cfRule type="cellIs" dxfId="27600" priority="27440" stopIfTrue="1" operator="equal">
      <formula>"Fail"</formula>
    </cfRule>
  </conditionalFormatting>
  <conditionalFormatting sqref="A739">
    <cfRule type="cellIs" dxfId="27599" priority="27437" stopIfTrue="1" operator="equal">
      <formula>"Pass"</formula>
    </cfRule>
    <cfRule type="cellIs" dxfId="27598" priority="27438" stopIfTrue="1" operator="equal">
      <formula>"Fail"</formula>
    </cfRule>
  </conditionalFormatting>
  <conditionalFormatting sqref="A739">
    <cfRule type="cellIs" dxfId="27597" priority="27435" stopIfTrue="1" operator="equal">
      <formula>"Pass"</formula>
    </cfRule>
    <cfRule type="cellIs" dxfId="27596" priority="27436" stopIfTrue="1" operator="equal">
      <formula>"Fail"</formula>
    </cfRule>
  </conditionalFormatting>
  <conditionalFormatting sqref="A739">
    <cfRule type="cellIs" dxfId="27595" priority="27433" stopIfTrue="1" operator="equal">
      <formula>"Pass"</formula>
    </cfRule>
    <cfRule type="cellIs" dxfId="27594" priority="27434" stopIfTrue="1" operator="equal">
      <formula>"Fail"</formula>
    </cfRule>
  </conditionalFormatting>
  <conditionalFormatting sqref="J739:J740">
    <cfRule type="cellIs" dxfId="27593" priority="27431" stopIfTrue="1" operator="equal">
      <formula>"Pass"</formula>
    </cfRule>
    <cfRule type="cellIs" dxfId="27592" priority="27432" stopIfTrue="1" operator="equal">
      <formula>"Fail"</formula>
    </cfRule>
  </conditionalFormatting>
  <conditionalFormatting sqref="H739:H740 I740">
    <cfRule type="cellIs" dxfId="27591" priority="27429" stopIfTrue="1" operator="equal">
      <formula>"Pass"</formula>
    </cfRule>
    <cfRule type="cellIs" dxfId="27590" priority="27430" stopIfTrue="1" operator="equal">
      <formula>"Fail"</formula>
    </cfRule>
  </conditionalFormatting>
  <conditionalFormatting sqref="A739 C739 F741 F739:G739 K739:N740">
    <cfRule type="cellIs" dxfId="27589" priority="27427" stopIfTrue="1" operator="equal">
      <formula>"Pass"</formula>
    </cfRule>
    <cfRule type="cellIs" dxfId="27588" priority="27428" stopIfTrue="1" operator="equal">
      <formula>"Fail"</formula>
    </cfRule>
  </conditionalFormatting>
  <conditionalFormatting sqref="T739:T741 U740:U741">
    <cfRule type="cellIs" dxfId="27587" priority="27425" stopIfTrue="1" operator="equal">
      <formula>"Fail"</formula>
    </cfRule>
    <cfRule type="cellIs" dxfId="27586" priority="27426" stopIfTrue="1" operator="equal">
      <formula>"Pass"</formula>
    </cfRule>
  </conditionalFormatting>
  <conditionalFormatting sqref="A739">
    <cfRule type="cellIs" dxfId="27585" priority="27423" stopIfTrue="1" operator="equal">
      <formula>"Pass"</formula>
    </cfRule>
    <cfRule type="cellIs" dxfId="27584" priority="27424" stopIfTrue="1" operator="equal">
      <formula>"Fail"</formula>
    </cfRule>
  </conditionalFormatting>
  <conditionalFormatting sqref="A739">
    <cfRule type="cellIs" dxfId="27583" priority="27421" stopIfTrue="1" operator="equal">
      <formula>"Pass"</formula>
    </cfRule>
    <cfRule type="cellIs" dxfId="27582" priority="27422" stopIfTrue="1" operator="equal">
      <formula>"Fail"</formula>
    </cfRule>
  </conditionalFormatting>
  <conditionalFormatting sqref="A739">
    <cfRule type="cellIs" dxfId="27581" priority="27419" stopIfTrue="1" operator="equal">
      <formula>"Pass"</formula>
    </cfRule>
    <cfRule type="cellIs" dxfId="27580" priority="27420" stopIfTrue="1" operator="equal">
      <formula>"Fail"</formula>
    </cfRule>
  </conditionalFormatting>
  <conditionalFormatting sqref="A739">
    <cfRule type="cellIs" dxfId="27579" priority="27417" stopIfTrue="1" operator="equal">
      <formula>"Pass"</formula>
    </cfRule>
    <cfRule type="cellIs" dxfId="27578" priority="27418" stopIfTrue="1" operator="equal">
      <formula>"Fail"</formula>
    </cfRule>
  </conditionalFormatting>
  <conditionalFormatting sqref="A739">
    <cfRule type="cellIs" dxfId="27577" priority="27415" stopIfTrue="1" operator="equal">
      <formula>"Pass"</formula>
    </cfRule>
    <cfRule type="cellIs" dxfId="27576" priority="27416" stopIfTrue="1" operator="equal">
      <formula>"Fail"</formula>
    </cfRule>
  </conditionalFormatting>
  <conditionalFormatting sqref="A739">
    <cfRule type="cellIs" dxfId="27575" priority="27413" stopIfTrue="1" operator="equal">
      <formula>"Pass"</formula>
    </cfRule>
    <cfRule type="cellIs" dxfId="27574" priority="27414" stopIfTrue="1" operator="equal">
      <formula>"Fail"</formula>
    </cfRule>
  </conditionalFormatting>
  <conditionalFormatting sqref="A739">
    <cfRule type="cellIs" dxfId="27573" priority="27411" stopIfTrue="1" operator="equal">
      <formula>"Pass"</formula>
    </cfRule>
    <cfRule type="cellIs" dxfId="27572" priority="27412" stopIfTrue="1" operator="equal">
      <formula>"Fail"</formula>
    </cfRule>
  </conditionalFormatting>
  <conditionalFormatting sqref="A739">
    <cfRule type="cellIs" dxfId="27571" priority="27409" stopIfTrue="1" operator="equal">
      <formula>"Pass"</formula>
    </cfRule>
    <cfRule type="cellIs" dxfId="27570" priority="27410" stopIfTrue="1" operator="equal">
      <formula>"Fail"</formula>
    </cfRule>
  </conditionalFormatting>
  <conditionalFormatting sqref="A739">
    <cfRule type="cellIs" dxfId="27569" priority="27407" stopIfTrue="1" operator="equal">
      <formula>"Pass"</formula>
    </cfRule>
    <cfRule type="cellIs" dxfId="27568" priority="27408" stopIfTrue="1" operator="equal">
      <formula>"Fail"</formula>
    </cfRule>
  </conditionalFormatting>
  <conditionalFormatting sqref="A739">
    <cfRule type="cellIs" dxfId="27567" priority="27405" stopIfTrue="1" operator="equal">
      <formula>"Pass"</formula>
    </cfRule>
    <cfRule type="cellIs" dxfId="27566" priority="27406" stopIfTrue="1" operator="equal">
      <formula>"Fail"</formula>
    </cfRule>
  </conditionalFormatting>
  <conditionalFormatting sqref="A739">
    <cfRule type="cellIs" dxfId="27565" priority="27403" stopIfTrue="1" operator="equal">
      <formula>"Pass"</formula>
    </cfRule>
    <cfRule type="cellIs" dxfId="27564" priority="27404" stopIfTrue="1" operator="equal">
      <formula>"Fail"</formula>
    </cfRule>
  </conditionalFormatting>
  <conditionalFormatting sqref="A739">
    <cfRule type="cellIs" dxfId="27563" priority="27401" stopIfTrue="1" operator="equal">
      <formula>"Pass"</formula>
    </cfRule>
    <cfRule type="cellIs" dxfId="27562" priority="27402" stopIfTrue="1" operator="equal">
      <formula>"Fail"</formula>
    </cfRule>
  </conditionalFormatting>
  <conditionalFormatting sqref="A739">
    <cfRule type="cellIs" dxfId="27561" priority="27399" stopIfTrue="1" operator="equal">
      <formula>"Pass"</formula>
    </cfRule>
    <cfRule type="cellIs" dxfId="27560" priority="27400" stopIfTrue="1" operator="equal">
      <formula>"Fail"</formula>
    </cfRule>
  </conditionalFormatting>
  <conditionalFormatting sqref="A739">
    <cfRule type="cellIs" dxfId="27559" priority="27397" stopIfTrue="1" operator="equal">
      <formula>"Pass"</formula>
    </cfRule>
    <cfRule type="cellIs" dxfId="27558" priority="27398" stopIfTrue="1" operator="equal">
      <formula>"Fail"</formula>
    </cfRule>
  </conditionalFormatting>
  <conditionalFormatting sqref="A739">
    <cfRule type="cellIs" dxfId="27557" priority="27395" stopIfTrue="1" operator="equal">
      <formula>"Pass"</formula>
    </cfRule>
    <cfRule type="cellIs" dxfId="27556" priority="27396" stopIfTrue="1" operator="equal">
      <formula>"Fail"</formula>
    </cfRule>
  </conditionalFormatting>
  <conditionalFormatting sqref="A739">
    <cfRule type="cellIs" dxfId="27555" priority="27393" stopIfTrue="1" operator="equal">
      <formula>"Pass"</formula>
    </cfRule>
    <cfRule type="cellIs" dxfId="27554" priority="27394" stopIfTrue="1" operator="equal">
      <formula>"Fail"</formula>
    </cfRule>
  </conditionalFormatting>
  <conditionalFormatting sqref="U739">
    <cfRule type="cellIs" dxfId="27553" priority="27391" stopIfTrue="1" operator="equal">
      <formula>"Fail"</formula>
    </cfRule>
    <cfRule type="cellIs" dxfId="27552" priority="27392" stopIfTrue="1" operator="equal">
      <formula>"Pass"</formula>
    </cfRule>
  </conditionalFormatting>
  <conditionalFormatting sqref="U739">
    <cfRule type="cellIs" dxfId="27551" priority="27389" stopIfTrue="1" operator="equal">
      <formula>"Fail"</formula>
    </cfRule>
    <cfRule type="cellIs" dxfId="27550" priority="27390" stopIfTrue="1" operator="equal">
      <formula>"Pass"</formula>
    </cfRule>
  </conditionalFormatting>
  <conditionalFormatting sqref="J739:J740">
    <cfRule type="cellIs" dxfId="27549" priority="27387" stopIfTrue="1" operator="equal">
      <formula>"Pass"</formula>
    </cfRule>
    <cfRule type="cellIs" dxfId="27548" priority="27388" stopIfTrue="1" operator="equal">
      <formula>"Fail"</formula>
    </cfRule>
  </conditionalFormatting>
  <conditionalFormatting sqref="H739:H740 I740">
    <cfRule type="cellIs" dxfId="27547" priority="27385" stopIfTrue="1" operator="equal">
      <formula>"Pass"</formula>
    </cfRule>
    <cfRule type="cellIs" dxfId="27546" priority="27386" stopIfTrue="1" operator="equal">
      <formula>"Fail"</formula>
    </cfRule>
  </conditionalFormatting>
  <conditionalFormatting sqref="F741 F739:G739 K739:N740">
    <cfRule type="cellIs" dxfId="27545" priority="27383" stopIfTrue="1" operator="equal">
      <formula>"Pass"</formula>
    </cfRule>
    <cfRule type="cellIs" dxfId="27544" priority="27384" stopIfTrue="1" operator="equal">
      <formula>"Fail"</formula>
    </cfRule>
  </conditionalFormatting>
  <conditionalFormatting sqref="T739:T741 U740:U741">
    <cfRule type="cellIs" dxfId="27543" priority="27381" stopIfTrue="1" operator="equal">
      <formula>"Fail"</formula>
    </cfRule>
    <cfRule type="cellIs" dxfId="27542" priority="27382" stopIfTrue="1" operator="equal">
      <formula>"Pass"</formula>
    </cfRule>
  </conditionalFormatting>
  <conditionalFormatting sqref="U739">
    <cfRule type="cellIs" dxfId="27541" priority="27379" stopIfTrue="1" operator="equal">
      <formula>"Fail"</formula>
    </cfRule>
    <cfRule type="cellIs" dxfId="27540" priority="27380" stopIfTrue="1" operator="equal">
      <formula>"Pass"</formula>
    </cfRule>
  </conditionalFormatting>
  <conditionalFormatting sqref="U739">
    <cfRule type="cellIs" dxfId="27539" priority="27377" stopIfTrue="1" operator="equal">
      <formula>"Fail"</formula>
    </cfRule>
    <cfRule type="cellIs" dxfId="27538" priority="27378" stopIfTrue="1" operator="equal">
      <formula>"Pass"</formula>
    </cfRule>
  </conditionalFormatting>
  <conditionalFormatting sqref="F739:G739 K739:N739">
    <cfRule type="cellIs" dxfId="27537" priority="27375" stopIfTrue="1" operator="equal">
      <formula>"Pass"</formula>
    </cfRule>
    <cfRule type="cellIs" dxfId="27536" priority="27376" stopIfTrue="1" operator="equal">
      <formula>"Fail"</formula>
    </cfRule>
  </conditionalFormatting>
  <conditionalFormatting sqref="K740:N740">
    <cfRule type="cellIs" dxfId="27535" priority="27373" stopIfTrue="1" operator="equal">
      <formula>"Pass"</formula>
    </cfRule>
    <cfRule type="cellIs" dxfId="27534" priority="27374" stopIfTrue="1" operator="equal">
      <formula>"Fail"</formula>
    </cfRule>
  </conditionalFormatting>
  <conditionalFormatting sqref="U739">
    <cfRule type="cellIs" dxfId="27533" priority="27371" stopIfTrue="1" operator="equal">
      <formula>"Fail"</formula>
    </cfRule>
    <cfRule type="cellIs" dxfId="27532" priority="27372" stopIfTrue="1" operator="equal">
      <formula>"Pass"</formula>
    </cfRule>
  </conditionalFormatting>
  <conditionalFormatting sqref="H742:H743">
    <cfRule type="cellIs" dxfId="27531" priority="27369" stopIfTrue="1" operator="equal">
      <formula>"Pass"</formula>
    </cfRule>
    <cfRule type="cellIs" dxfId="27530" priority="27370" stopIfTrue="1" operator="equal">
      <formula>"Fail"</formula>
    </cfRule>
  </conditionalFormatting>
  <conditionalFormatting sqref="E742:F742 I742:M743 E744:F744 A742">
    <cfRule type="cellIs" dxfId="27529" priority="27367" stopIfTrue="1" operator="equal">
      <formula>"Pass"</formula>
    </cfRule>
    <cfRule type="cellIs" dxfId="27528" priority="27368" stopIfTrue="1" operator="equal">
      <formula>"Fail"</formula>
    </cfRule>
  </conditionalFormatting>
  <conditionalFormatting sqref="T744 T742 R742:R744 S743:S744">
    <cfRule type="cellIs" dxfId="27527" priority="27365" stopIfTrue="1" operator="equal">
      <formula>"Fail"</formula>
    </cfRule>
    <cfRule type="cellIs" dxfId="27526" priority="27366" stopIfTrue="1" operator="equal">
      <formula>"Pass"</formula>
    </cfRule>
  </conditionalFormatting>
  <conditionalFormatting sqref="F742:G742 J742:N743 F744:G744 B742:B744 A742">
    <cfRule type="cellIs" dxfId="27525" priority="27363" stopIfTrue="1" operator="equal">
      <formula>"Pass"</formula>
    </cfRule>
    <cfRule type="cellIs" dxfId="27524" priority="27364" stopIfTrue="1" operator="equal">
      <formula>"Fail"</formula>
    </cfRule>
  </conditionalFormatting>
  <conditionalFormatting sqref="U744 T742:T744 S743:S744">
    <cfRule type="cellIs" dxfId="27523" priority="27361" stopIfTrue="1" operator="equal">
      <formula>"Fail"</formula>
    </cfRule>
    <cfRule type="cellIs" dxfId="27522" priority="27362" stopIfTrue="1" operator="equal">
      <formula>"Pass"</formula>
    </cfRule>
  </conditionalFormatting>
  <conditionalFormatting sqref="A742">
    <cfRule type="cellIs" dxfId="27521" priority="27359" stopIfTrue="1" operator="equal">
      <formula>"Pass"</formula>
    </cfRule>
    <cfRule type="cellIs" dxfId="27520" priority="27360" stopIfTrue="1" operator="equal">
      <formula>"Fail"</formula>
    </cfRule>
  </conditionalFormatting>
  <conditionalFormatting sqref="A742">
    <cfRule type="cellIs" dxfId="27519" priority="27357" stopIfTrue="1" operator="equal">
      <formula>"Pass"</formula>
    </cfRule>
    <cfRule type="cellIs" dxfId="27518" priority="27358" stopIfTrue="1" operator="equal">
      <formula>"Fail"</formula>
    </cfRule>
  </conditionalFormatting>
  <conditionalFormatting sqref="A742">
    <cfRule type="cellIs" dxfId="27517" priority="27355" stopIfTrue="1" operator="equal">
      <formula>"Pass"</formula>
    </cfRule>
    <cfRule type="cellIs" dxfId="27516" priority="27356" stopIfTrue="1" operator="equal">
      <formula>"Fail"</formula>
    </cfRule>
  </conditionalFormatting>
  <conditionalFormatting sqref="A742">
    <cfRule type="cellIs" dxfId="27515" priority="27353" stopIfTrue="1" operator="equal">
      <formula>"Pass"</formula>
    </cfRule>
    <cfRule type="cellIs" dxfId="27514" priority="27354" stopIfTrue="1" operator="equal">
      <formula>"Fail"</formula>
    </cfRule>
  </conditionalFormatting>
  <conditionalFormatting sqref="A742">
    <cfRule type="cellIs" dxfId="27513" priority="27351" stopIfTrue="1" operator="equal">
      <formula>"Pass"</formula>
    </cfRule>
    <cfRule type="cellIs" dxfId="27512" priority="27352" stopIfTrue="1" operator="equal">
      <formula>"Fail"</formula>
    </cfRule>
  </conditionalFormatting>
  <conditionalFormatting sqref="A742">
    <cfRule type="cellIs" dxfId="27511" priority="27349" stopIfTrue="1" operator="equal">
      <formula>"Pass"</formula>
    </cfRule>
    <cfRule type="cellIs" dxfId="27510" priority="27350" stopIfTrue="1" operator="equal">
      <formula>"Fail"</formula>
    </cfRule>
  </conditionalFormatting>
  <conditionalFormatting sqref="A742">
    <cfRule type="cellIs" dxfId="27509" priority="27347" stopIfTrue="1" operator="equal">
      <formula>"Pass"</formula>
    </cfRule>
    <cfRule type="cellIs" dxfId="27508" priority="27348" stopIfTrue="1" operator="equal">
      <formula>"Fail"</formula>
    </cfRule>
  </conditionalFormatting>
  <conditionalFormatting sqref="A742">
    <cfRule type="cellIs" dxfId="27507" priority="27345" stopIfTrue="1" operator="equal">
      <formula>"Pass"</formula>
    </cfRule>
    <cfRule type="cellIs" dxfId="27506" priority="27346" stopIfTrue="1" operator="equal">
      <formula>"Fail"</formula>
    </cfRule>
  </conditionalFormatting>
  <conditionalFormatting sqref="A742">
    <cfRule type="cellIs" dxfId="27505" priority="27343" stopIfTrue="1" operator="equal">
      <formula>"Pass"</formula>
    </cfRule>
    <cfRule type="cellIs" dxfId="27504" priority="27344" stopIfTrue="1" operator="equal">
      <formula>"Fail"</formula>
    </cfRule>
  </conditionalFormatting>
  <conditionalFormatting sqref="A742">
    <cfRule type="cellIs" dxfId="27503" priority="27341" stopIfTrue="1" operator="equal">
      <formula>"Pass"</formula>
    </cfRule>
    <cfRule type="cellIs" dxfId="27502" priority="27342" stopIfTrue="1" operator="equal">
      <formula>"Fail"</formula>
    </cfRule>
  </conditionalFormatting>
  <conditionalFormatting sqref="U742">
    <cfRule type="cellIs" dxfId="27501" priority="27339" stopIfTrue="1" operator="equal">
      <formula>"Fail"</formula>
    </cfRule>
    <cfRule type="cellIs" dxfId="27500" priority="27340" stopIfTrue="1" operator="equal">
      <formula>"Pass"</formula>
    </cfRule>
  </conditionalFormatting>
  <conditionalFormatting sqref="F742:G742 J742:N742">
    <cfRule type="cellIs" dxfId="27499" priority="27337" stopIfTrue="1" operator="equal">
      <formula>"Pass"</formula>
    </cfRule>
    <cfRule type="cellIs" dxfId="27498" priority="27338" stopIfTrue="1" operator="equal">
      <formula>"Fail"</formula>
    </cfRule>
  </conditionalFormatting>
  <conditionalFormatting sqref="J743:N743">
    <cfRule type="cellIs" dxfId="27497" priority="27335" stopIfTrue="1" operator="equal">
      <formula>"Pass"</formula>
    </cfRule>
    <cfRule type="cellIs" dxfId="27496" priority="27336" stopIfTrue="1" operator="equal">
      <formula>"Fail"</formula>
    </cfRule>
  </conditionalFormatting>
  <conditionalFormatting sqref="A736:A744">
    <cfRule type="cellIs" dxfId="27495" priority="27333" stopIfTrue="1" operator="equal">
      <formula>"Pass"</formula>
    </cfRule>
    <cfRule type="cellIs" dxfId="27494" priority="27334" stopIfTrue="1" operator="equal">
      <formula>"Fail"</formula>
    </cfRule>
  </conditionalFormatting>
  <conditionalFormatting sqref="A736:A744">
    <cfRule type="cellIs" dxfId="27493" priority="27331" stopIfTrue="1" operator="equal">
      <formula>"Pass"</formula>
    </cfRule>
    <cfRule type="cellIs" dxfId="27492" priority="27332" stopIfTrue="1" operator="equal">
      <formula>"Fail"</formula>
    </cfRule>
  </conditionalFormatting>
  <conditionalFormatting sqref="A736:A744">
    <cfRule type="cellIs" dxfId="27491" priority="27329" stopIfTrue="1" operator="equal">
      <formula>"Pass"</formula>
    </cfRule>
    <cfRule type="cellIs" dxfId="27490" priority="27330" stopIfTrue="1" operator="equal">
      <formula>"Fail"</formula>
    </cfRule>
  </conditionalFormatting>
  <conditionalFormatting sqref="A736:A744">
    <cfRule type="cellIs" dxfId="27489" priority="27327" stopIfTrue="1" operator="equal">
      <formula>"Pass"</formula>
    </cfRule>
    <cfRule type="cellIs" dxfId="27488" priority="27328" stopIfTrue="1" operator="equal">
      <formula>"Fail"</formula>
    </cfRule>
  </conditionalFormatting>
  <conditionalFormatting sqref="A736:A744">
    <cfRule type="cellIs" dxfId="27487" priority="27325" stopIfTrue="1" operator="equal">
      <formula>"Pass"</formula>
    </cfRule>
    <cfRule type="cellIs" dxfId="27486" priority="27326" stopIfTrue="1" operator="equal">
      <formula>"Fail"</formula>
    </cfRule>
  </conditionalFormatting>
  <conditionalFormatting sqref="A738 A741 A744">
    <cfRule type="cellIs" dxfId="27485" priority="27323" stopIfTrue="1" operator="equal">
      <formula>"Pass"</formula>
    </cfRule>
    <cfRule type="cellIs" dxfId="27484" priority="27324" stopIfTrue="1" operator="equal">
      <formula>"Fail"</formula>
    </cfRule>
  </conditionalFormatting>
  <conditionalFormatting sqref="A736:A744">
    <cfRule type="cellIs" dxfId="27483" priority="27321" stopIfTrue="1" operator="equal">
      <formula>"Pass"</formula>
    </cfRule>
    <cfRule type="cellIs" dxfId="27482" priority="27322" stopIfTrue="1" operator="equal">
      <formula>"Fail"</formula>
    </cfRule>
  </conditionalFormatting>
  <conditionalFormatting sqref="A736:A744">
    <cfRule type="cellIs" dxfId="27481" priority="27319" stopIfTrue="1" operator="equal">
      <formula>"Pass"</formula>
    </cfRule>
    <cfRule type="cellIs" dxfId="27480" priority="27320" stopIfTrue="1" operator="equal">
      <formula>"Fail"</formula>
    </cfRule>
  </conditionalFormatting>
  <conditionalFormatting sqref="A736:A744">
    <cfRule type="cellIs" dxfId="27479" priority="27317" stopIfTrue="1" operator="equal">
      <formula>"Pass"</formula>
    </cfRule>
    <cfRule type="cellIs" dxfId="27478" priority="27318" stopIfTrue="1" operator="equal">
      <formula>"Fail"</formula>
    </cfRule>
  </conditionalFormatting>
  <conditionalFormatting sqref="A736:A744">
    <cfRule type="cellIs" dxfId="27477" priority="27315" stopIfTrue="1" operator="equal">
      <formula>"Pass"</formula>
    </cfRule>
    <cfRule type="cellIs" dxfId="27476" priority="27316" stopIfTrue="1" operator="equal">
      <formula>"Fail"</formula>
    </cfRule>
  </conditionalFormatting>
  <conditionalFormatting sqref="A736:A744">
    <cfRule type="cellIs" dxfId="27475" priority="27313" stopIfTrue="1" operator="equal">
      <formula>"Pass"</formula>
    </cfRule>
    <cfRule type="cellIs" dxfId="27474" priority="27314" stopIfTrue="1" operator="equal">
      <formula>"Fail"</formula>
    </cfRule>
  </conditionalFormatting>
  <conditionalFormatting sqref="A736:A744">
    <cfRule type="cellIs" dxfId="27473" priority="27311" stopIfTrue="1" operator="equal">
      <formula>"Pass"</formula>
    </cfRule>
    <cfRule type="cellIs" dxfId="27472" priority="27312" stopIfTrue="1" operator="equal">
      <formula>"Fail"</formula>
    </cfRule>
  </conditionalFormatting>
  <conditionalFormatting sqref="A738 A741 A744">
    <cfRule type="cellIs" dxfId="27471" priority="27309" stopIfTrue="1" operator="equal">
      <formula>"Pass"</formula>
    </cfRule>
    <cfRule type="cellIs" dxfId="27470" priority="27310" stopIfTrue="1" operator="equal">
      <formula>"Fail"</formula>
    </cfRule>
  </conditionalFormatting>
  <conditionalFormatting sqref="A736:A744">
    <cfRule type="cellIs" dxfId="27469" priority="27307" stopIfTrue="1" operator="equal">
      <formula>"Pass"</formula>
    </cfRule>
    <cfRule type="cellIs" dxfId="27468" priority="27308" stopIfTrue="1" operator="equal">
      <formula>"Fail"</formula>
    </cfRule>
  </conditionalFormatting>
  <conditionalFormatting sqref="H745:H746">
    <cfRule type="cellIs" dxfId="27467" priority="27305" stopIfTrue="1" operator="equal">
      <formula>"Pass"</formula>
    </cfRule>
    <cfRule type="cellIs" dxfId="27466" priority="27306" stopIfTrue="1" operator="equal">
      <formula>"Fail"</formula>
    </cfRule>
  </conditionalFormatting>
  <conditionalFormatting sqref="E745:F745 E747:F747 I745:M746 A745:A753">
    <cfRule type="cellIs" dxfId="27465" priority="27303" stopIfTrue="1" operator="equal">
      <formula>"Pass"</formula>
    </cfRule>
    <cfRule type="cellIs" dxfId="27464" priority="27304" stopIfTrue="1" operator="equal">
      <formula>"Fail"</formula>
    </cfRule>
  </conditionalFormatting>
  <conditionalFormatting sqref="T747 T745 R745:R747 S746:S747">
    <cfRule type="cellIs" dxfId="27463" priority="27301" stopIfTrue="1" operator="equal">
      <formula>"Fail"</formula>
    </cfRule>
    <cfRule type="cellIs" dxfId="27462" priority="27302" stopIfTrue="1" operator="equal">
      <formula>"Pass"</formula>
    </cfRule>
  </conditionalFormatting>
  <conditionalFormatting sqref="F745:G745 F747:G747 A745:B747 J745:N746 A748:A753">
    <cfRule type="cellIs" dxfId="27461" priority="27299" stopIfTrue="1" operator="equal">
      <formula>"Pass"</formula>
    </cfRule>
    <cfRule type="cellIs" dxfId="27460" priority="27300" stopIfTrue="1" operator="equal">
      <formula>"Fail"</formula>
    </cfRule>
  </conditionalFormatting>
  <conditionalFormatting sqref="U747 U745 T745:T747 S746:S747">
    <cfRule type="cellIs" dxfId="27459" priority="27297" stopIfTrue="1" operator="equal">
      <formula>"Fail"</formula>
    </cfRule>
    <cfRule type="cellIs" dxfId="27458" priority="27298" stopIfTrue="1" operator="equal">
      <formula>"Pass"</formula>
    </cfRule>
  </conditionalFormatting>
  <conditionalFormatting sqref="A745:A753">
    <cfRule type="cellIs" dxfId="27457" priority="27295" stopIfTrue="1" operator="equal">
      <formula>"Pass"</formula>
    </cfRule>
    <cfRule type="cellIs" dxfId="27456" priority="27296" stopIfTrue="1" operator="equal">
      <formula>"Fail"</formula>
    </cfRule>
  </conditionalFormatting>
  <conditionalFormatting sqref="A745:A753">
    <cfRule type="cellIs" dxfId="27455" priority="27293" stopIfTrue="1" operator="equal">
      <formula>"Pass"</formula>
    </cfRule>
    <cfRule type="cellIs" dxfId="27454" priority="27294" stopIfTrue="1" operator="equal">
      <formula>"Fail"</formula>
    </cfRule>
  </conditionalFormatting>
  <conditionalFormatting sqref="A745:A753">
    <cfRule type="cellIs" dxfId="27453" priority="27291" stopIfTrue="1" operator="equal">
      <formula>"Pass"</formula>
    </cfRule>
    <cfRule type="cellIs" dxfId="27452" priority="27292" stopIfTrue="1" operator="equal">
      <formula>"Fail"</formula>
    </cfRule>
  </conditionalFormatting>
  <conditionalFormatting sqref="J745:N746 E745:G747">
    <cfRule type="cellIs" dxfId="27451" priority="27289" stopIfTrue="1" operator="equal">
      <formula>"Pass"</formula>
    </cfRule>
    <cfRule type="cellIs" dxfId="27450" priority="27290" stopIfTrue="1" operator="equal">
      <formula>"Fail"</formula>
    </cfRule>
  </conditionalFormatting>
  <conditionalFormatting sqref="A747 C747 K745:O746 F745:H747 A750 A753">
    <cfRule type="cellIs" dxfId="27449" priority="27287" stopIfTrue="1" operator="equal">
      <formula>"Pass"</formula>
    </cfRule>
    <cfRule type="cellIs" dxfId="27448" priority="27288" stopIfTrue="1" operator="equal">
      <formula>"Fail"</formula>
    </cfRule>
  </conditionalFormatting>
  <conditionalFormatting sqref="T745">
    <cfRule type="cellIs" dxfId="27447" priority="27285" stopIfTrue="1" operator="equal">
      <formula>"Fail"</formula>
    </cfRule>
    <cfRule type="cellIs" dxfId="27446" priority="27286" stopIfTrue="1" operator="equal">
      <formula>"Pass"</formula>
    </cfRule>
  </conditionalFormatting>
  <conditionalFormatting sqref="A745:A753">
    <cfRule type="cellIs" dxfId="27445" priority="27283" stopIfTrue="1" operator="equal">
      <formula>"Pass"</formula>
    </cfRule>
    <cfRule type="cellIs" dxfId="27444" priority="27284" stopIfTrue="1" operator="equal">
      <formula>"Fail"</formula>
    </cfRule>
  </conditionalFormatting>
  <conditionalFormatting sqref="A748">
    <cfRule type="cellIs" dxfId="27443" priority="27281" stopIfTrue="1" operator="equal">
      <formula>"Pass"</formula>
    </cfRule>
    <cfRule type="cellIs" dxfId="27442" priority="27282" stopIfTrue="1" operator="equal">
      <formula>"Fail"</formula>
    </cfRule>
  </conditionalFormatting>
  <conditionalFormatting sqref="A748">
    <cfRule type="cellIs" dxfId="27441" priority="27279" stopIfTrue="1" operator="equal">
      <formula>"Pass"</formula>
    </cfRule>
    <cfRule type="cellIs" dxfId="27440" priority="27280" stopIfTrue="1" operator="equal">
      <formula>"Fail"</formula>
    </cfRule>
  </conditionalFormatting>
  <conditionalFormatting sqref="A748">
    <cfRule type="cellIs" dxfId="27439" priority="27277" stopIfTrue="1" operator="equal">
      <formula>"Pass"</formula>
    </cfRule>
    <cfRule type="cellIs" dxfId="27438" priority="27278" stopIfTrue="1" operator="equal">
      <formula>"Fail"</formula>
    </cfRule>
  </conditionalFormatting>
  <conditionalFormatting sqref="A748">
    <cfRule type="cellIs" dxfId="27437" priority="27275" stopIfTrue="1" operator="equal">
      <formula>"Pass"</formula>
    </cfRule>
    <cfRule type="cellIs" dxfId="27436" priority="27276" stopIfTrue="1" operator="equal">
      <formula>"Fail"</formula>
    </cfRule>
  </conditionalFormatting>
  <conditionalFormatting sqref="A748">
    <cfRule type="cellIs" dxfId="27435" priority="27273" stopIfTrue="1" operator="equal">
      <formula>"Pass"</formula>
    </cfRule>
    <cfRule type="cellIs" dxfId="27434" priority="27274" stopIfTrue="1" operator="equal">
      <formula>"Fail"</formula>
    </cfRule>
  </conditionalFormatting>
  <conditionalFormatting sqref="A748">
    <cfRule type="cellIs" dxfId="27433" priority="27271" stopIfTrue="1" operator="equal">
      <formula>"Pass"</formula>
    </cfRule>
    <cfRule type="cellIs" dxfId="27432" priority="27272" stopIfTrue="1" operator="equal">
      <formula>"Fail"</formula>
    </cfRule>
  </conditionalFormatting>
  <conditionalFormatting sqref="A748">
    <cfRule type="cellIs" dxfId="27431" priority="27269" stopIfTrue="1" operator="equal">
      <formula>"Pass"</formula>
    </cfRule>
    <cfRule type="cellIs" dxfId="27430" priority="27270" stopIfTrue="1" operator="equal">
      <formula>"Fail"</formula>
    </cfRule>
  </conditionalFormatting>
  <conditionalFormatting sqref="A748">
    <cfRule type="cellIs" dxfId="27429" priority="27267" stopIfTrue="1" operator="equal">
      <formula>"Pass"</formula>
    </cfRule>
    <cfRule type="cellIs" dxfId="27428" priority="27268" stopIfTrue="1" operator="equal">
      <formula>"Fail"</formula>
    </cfRule>
  </conditionalFormatting>
  <conditionalFormatting sqref="A748">
    <cfRule type="cellIs" dxfId="27427" priority="27265" stopIfTrue="1" operator="equal">
      <formula>"Pass"</formula>
    </cfRule>
    <cfRule type="cellIs" dxfId="27426" priority="27266" stopIfTrue="1" operator="equal">
      <formula>"Fail"</formula>
    </cfRule>
  </conditionalFormatting>
  <conditionalFormatting sqref="A748">
    <cfRule type="cellIs" dxfId="27425" priority="27263" stopIfTrue="1" operator="equal">
      <formula>"Pass"</formula>
    </cfRule>
    <cfRule type="cellIs" dxfId="27424" priority="27264" stopIfTrue="1" operator="equal">
      <formula>"Fail"</formula>
    </cfRule>
  </conditionalFormatting>
  <conditionalFormatting sqref="A748">
    <cfRule type="cellIs" dxfId="27423" priority="27261" stopIfTrue="1" operator="equal">
      <formula>"Pass"</formula>
    </cfRule>
    <cfRule type="cellIs" dxfId="27422" priority="27262" stopIfTrue="1" operator="equal">
      <formula>"Fail"</formula>
    </cfRule>
  </conditionalFormatting>
  <conditionalFormatting sqref="A748">
    <cfRule type="cellIs" dxfId="27421" priority="27259" stopIfTrue="1" operator="equal">
      <formula>"Pass"</formula>
    </cfRule>
    <cfRule type="cellIs" dxfId="27420" priority="27260" stopIfTrue="1" operator="equal">
      <formula>"Fail"</formula>
    </cfRule>
  </conditionalFormatting>
  <conditionalFormatting sqref="J748:J749">
    <cfRule type="cellIs" dxfId="27419" priority="27257" stopIfTrue="1" operator="equal">
      <formula>"Pass"</formula>
    </cfRule>
    <cfRule type="cellIs" dxfId="27418" priority="27258" stopIfTrue="1" operator="equal">
      <formula>"Fail"</formula>
    </cfRule>
  </conditionalFormatting>
  <conditionalFormatting sqref="H748:H749 I749">
    <cfRule type="cellIs" dxfId="27417" priority="27255" stopIfTrue="1" operator="equal">
      <formula>"Pass"</formula>
    </cfRule>
    <cfRule type="cellIs" dxfId="27416" priority="27256" stopIfTrue="1" operator="equal">
      <formula>"Fail"</formula>
    </cfRule>
  </conditionalFormatting>
  <conditionalFormatting sqref="A748 C748 F750 F748:G748 K748:N749">
    <cfRule type="cellIs" dxfId="27415" priority="27253" stopIfTrue="1" operator="equal">
      <formula>"Pass"</formula>
    </cfRule>
    <cfRule type="cellIs" dxfId="27414" priority="27254" stopIfTrue="1" operator="equal">
      <formula>"Fail"</formula>
    </cfRule>
  </conditionalFormatting>
  <conditionalFormatting sqref="T748:T750 U749:U750">
    <cfRule type="cellIs" dxfId="27413" priority="27251" stopIfTrue="1" operator="equal">
      <formula>"Fail"</formula>
    </cfRule>
    <cfRule type="cellIs" dxfId="27412" priority="27252" stopIfTrue="1" operator="equal">
      <formula>"Pass"</formula>
    </cfRule>
  </conditionalFormatting>
  <conditionalFormatting sqref="A748">
    <cfRule type="cellIs" dxfId="27411" priority="27249" stopIfTrue="1" operator="equal">
      <formula>"Pass"</formula>
    </cfRule>
    <cfRule type="cellIs" dxfId="27410" priority="27250" stopIfTrue="1" operator="equal">
      <formula>"Fail"</formula>
    </cfRule>
  </conditionalFormatting>
  <conditionalFormatting sqref="A748">
    <cfRule type="cellIs" dxfId="27409" priority="27247" stopIfTrue="1" operator="equal">
      <formula>"Pass"</formula>
    </cfRule>
    <cfRule type="cellIs" dxfId="27408" priority="27248" stopIfTrue="1" operator="equal">
      <formula>"Fail"</formula>
    </cfRule>
  </conditionalFormatting>
  <conditionalFormatting sqref="A748">
    <cfRule type="cellIs" dxfId="27407" priority="27245" stopIfTrue="1" operator="equal">
      <formula>"Pass"</formula>
    </cfRule>
    <cfRule type="cellIs" dxfId="27406" priority="27246" stopIfTrue="1" operator="equal">
      <formula>"Fail"</formula>
    </cfRule>
  </conditionalFormatting>
  <conditionalFormatting sqref="A748">
    <cfRule type="cellIs" dxfId="27405" priority="27243" stopIfTrue="1" operator="equal">
      <formula>"Pass"</formula>
    </cfRule>
    <cfRule type="cellIs" dxfId="27404" priority="27244" stopIfTrue="1" operator="equal">
      <formula>"Fail"</formula>
    </cfRule>
  </conditionalFormatting>
  <conditionalFormatting sqref="A748">
    <cfRule type="cellIs" dxfId="27403" priority="27241" stopIfTrue="1" operator="equal">
      <formula>"Pass"</formula>
    </cfRule>
    <cfRule type="cellIs" dxfId="27402" priority="27242" stopIfTrue="1" operator="equal">
      <formula>"Fail"</formula>
    </cfRule>
  </conditionalFormatting>
  <conditionalFormatting sqref="A748">
    <cfRule type="cellIs" dxfId="27401" priority="27239" stopIfTrue="1" operator="equal">
      <formula>"Pass"</formula>
    </cfRule>
    <cfRule type="cellIs" dxfId="27400" priority="27240" stopIfTrue="1" operator="equal">
      <formula>"Fail"</formula>
    </cfRule>
  </conditionalFormatting>
  <conditionalFormatting sqref="A748">
    <cfRule type="cellIs" dxfId="27399" priority="27237" stopIfTrue="1" operator="equal">
      <formula>"Pass"</formula>
    </cfRule>
    <cfRule type="cellIs" dxfId="27398" priority="27238" stopIfTrue="1" operator="equal">
      <formula>"Fail"</formula>
    </cfRule>
  </conditionalFormatting>
  <conditionalFormatting sqref="A748">
    <cfRule type="cellIs" dxfId="27397" priority="27235" stopIfTrue="1" operator="equal">
      <formula>"Pass"</formula>
    </cfRule>
    <cfRule type="cellIs" dxfId="27396" priority="27236" stopIfTrue="1" operator="equal">
      <formula>"Fail"</formula>
    </cfRule>
  </conditionalFormatting>
  <conditionalFormatting sqref="A748">
    <cfRule type="cellIs" dxfId="27395" priority="27233" stopIfTrue="1" operator="equal">
      <formula>"Pass"</formula>
    </cfRule>
    <cfRule type="cellIs" dxfId="27394" priority="27234" stopIfTrue="1" operator="equal">
      <formula>"Fail"</formula>
    </cfRule>
  </conditionalFormatting>
  <conditionalFormatting sqref="A748">
    <cfRule type="cellIs" dxfId="27393" priority="27231" stopIfTrue="1" operator="equal">
      <formula>"Pass"</formula>
    </cfRule>
    <cfRule type="cellIs" dxfId="27392" priority="27232" stopIfTrue="1" operator="equal">
      <formula>"Fail"</formula>
    </cfRule>
  </conditionalFormatting>
  <conditionalFormatting sqref="A748">
    <cfRule type="cellIs" dxfId="27391" priority="27229" stopIfTrue="1" operator="equal">
      <formula>"Pass"</formula>
    </cfRule>
    <cfRule type="cellIs" dxfId="27390" priority="27230" stopIfTrue="1" operator="equal">
      <formula>"Fail"</formula>
    </cfRule>
  </conditionalFormatting>
  <conditionalFormatting sqref="A748">
    <cfRule type="cellIs" dxfId="27389" priority="27227" stopIfTrue="1" operator="equal">
      <formula>"Pass"</formula>
    </cfRule>
    <cfRule type="cellIs" dxfId="27388" priority="27228" stopIfTrue="1" operator="equal">
      <formula>"Fail"</formula>
    </cfRule>
  </conditionalFormatting>
  <conditionalFormatting sqref="A748">
    <cfRule type="cellIs" dxfId="27387" priority="27225" stopIfTrue="1" operator="equal">
      <formula>"Pass"</formula>
    </cfRule>
    <cfRule type="cellIs" dxfId="27386" priority="27226" stopIfTrue="1" operator="equal">
      <formula>"Fail"</formula>
    </cfRule>
  </conditionalFormatting>
  <conditionalFormatting sqref="A748">
    <cfRule type="cellIs" dxfId="27385" priority="27223" stopIfTrue="1" operator="equal">
      <formula>"Pass"</formula>
    </cfRule>
    <cfRule type="cellIs" dxfId="27384" priority="27224" stopIfTrue="1" operator="equal">
      <formula>"Fail"</formula>
    </cfRule>
  </conditionalFormatting>
  <conditionalFormatting sqref="A748">
    <cfRule type="cellIs" dxfId="27383" priority="27221" stopIfTrue="1" operator="equal">
      <formula>"Pass"</formula>
    </cfRule>
    <cfRule type="cellIs" dxfId="27382" priority="27222" stopIfTrue="1" operator="equal">
      <formula>"Fail"</formula>
    </cfRule>
  </conditionalFormatting>
  <conditionalFormatting sqref="A748">
    <cfRule type="cellIs" dxfId="27381" priority="27219" stopIfTrue="1" operator="equal">
      <formula>"Pass"</formula>
    </cfRule>
    <cfRule type="cellIs" dxfId="27380" priority="27220" stopIfTrue="1" operator="equal">
      <formula>"Fail"</formula>
    </cfRule>
  </conditionalFormatting>
  <conditionalFormatting sqref="U748">
    <cfRule type="cellIs" dxfId="27379" priority="27217" stopIfTrue="1" operator="equal">
      <formula>"Fail"</formula>
    </cfRule>
    <cfRule type="cellIs" dxfId="27378" priority="27218" stopIfTrue="1" operator="equal">
      <formula>"Pass"</formula>
    </cfRule>
  </conditionalFormatting>
  <conditionalFormatting sqref="U748">
    <cfRule type="cellIs" dxfId="27377" priority="27215" stopIfTrue="1" operator="equal">
      <formula>"Fail"</formula>
    </cfRule>
    <cfRule type="cellIs" dxfId="27376" priority="27216" stopIfTrue="1" operator="equal">
      <formula>"Pass"</formula>
    </cfRule>
  </conditionalFormatting>
  <conditionalFormatting sqref="J748:J749">
    <cfRule type="cellIs" dxfId="27375" priority="27213" stopIfTrue="1" operator="equal">
      <formula>"Pass"</formula>
    </cfRule>
    <cfRule type="cellIs" dxfId="27374" priority="27214" stopIfTrue="1" operator="equal">
      <formula>"Fail"</formula>
    </cfRule>
  </conditionalFormatting>
  <conditionalFormatting sqref="H748:H749 I749">
    <cfRule type="cellIs" dxfId="27373" priority="27211" stopIfTrue="1" operator="equal">
      <formula>"Pass"</formula>
    </cfRule>
    <cfRule type="cellIs" dxfId="27372" priority="27212" stopIfTrue="1" operator="equal">
      <formula>"Fail"</formula>
    </cfRule>
  </conditionalFormatting>
  <conditionalFormatting sqref="F750 F748:G748 K748:N749">
    <cfRule type="cellIs" dxfId="27371" priority="27209" stopIfTrue="1" operator="equal">
      <formula>"Pass"</formula>
    </cfRule>
    <cfRule type="cellIs" dxfId="27370" priority="27210" stopIfTrue="1" operator="equal">
      <formula>"Fail"</formula>
    </cfRule>
  </conditionalFormatting>
  <conditionalFormatting sqref="T748:T750 U749:U750">
    <cfRule type="cellIs" dxfId="27369" priority="27207" stopIfTrue="1" operator="equal">
      <formula>"Fail"</formula>
    </cfRule>
    <cfRule type="cellIs" dxfId="27368" priority="27208" stopIfTrue="1" operator="equal">
      <formula>"Pass"</formula>
    </cfRule>
  </conditionalFormatting>
  <conditionalFormatting sqref="U748">
    <cfRule type="cellIs" dxfId="27367" priority="27205" stopIfTrue="1" operator="equal">
      <formula>"Fail"</formula>
    </cfRule>
    <cfRule type="cellIs" dxfId="27366" priority="27206" stopIfTrue="1" operator="equal">
      <formula>"Pass"</formula>
    </cfRule>
  </conditionalFormatting>
  <conditionalFormatting sqref="U748">
    <cfRule type="cellIs" dxfId="27365" priority="27203" stopIfTrue="1" operator="equal">
      <formula>"Fail"</formula>
    </cfRule>
    <cfRule type="cellIs" dxfId="27364" priority="27204" stopIfTrue="1" operator="equal">
      <formula>"Pass"</formula>
    </cfRule>
  </conditionalFormatting>
  <conditionalFormatting sqref="F748:G748 K748:N748">
    <cfRule type="cellIs" dxfId="27363" priority="27201" stopIfTrue="1" operator="equal">
      <formula>"Pass"</formula>
    </cfRule>
    <cfRule type="cellIs" dxfId="27362" priority="27202" stopIfTrue="1" operator="equal">
      <formula>"Fail"</formula>
    </cfRule>
  </conditionalFormatting>
  <conditionalFormatting sqref="K749:N749">
    <cfRule type="cellIs" dxfId="27361" priority="27199" stopIfTrue="1" operator="equal">
      <formula>"Pass"</formula>
    </cfRule>
    <cfRule type="cellIs" dxfId="27360" priority="27200" stopIfTrue="1" operator="equal">
      <formula>"Fail"</formula>
    </cfRule>
  </conditionalFormatting>
  <conditionalFormatting sqref="U748">
    <cfRule type="cellIs" dxfId="27359" priority="27197" stopIfTrue="1" operator="equal">
      <formula>"Fail"</formula>
    </cfRule>
    <cfRule type="cellIs" dxfId="27358" priority="27198" stopIfTrue="1" operator="equal">
      <formula>"Pass"</formula>
    </cfRule>
  </conditionalFormatting>
  <conditionalFormatting sqref="H751:H752">
    <cfRule type="cellIs" dxfId="27357" priority="27195" stopIfTrue="1" operator="equal">
      <formula>"Pass"</formula>
    </cfRule>
    <cfRule type="cellIs" dxfId="27356" priority="27196" stopIfTrue="1" operator="equal">
      <formula>"Fail"</formula>
    </cfRule>
  </conditionalFormatting>
  <conditionalFormatting sqref="E751:F751 I751:M752 E753:F753 A751">
    <cfRule type="cellIs" dxfId="27355" priority="27193" stopIfTrue="1" operator="equal">
      <formula>"Pass"</formula>
    </cfRule>
    <cfRule type="cellIs" dxfId="27354" priority="27194" stopIfTrue="1" operator="equal">
      <formula>"Fail"</formula>
    </cfRule>
  </conditionalFormatting>
  <conditionalFormatting sqref="T753 T751 R751:R753 S752:S753">
    <cfRule type="cellIs" dxfId="27353" priority="27191" stopIfTrue="1" operator="equal">
      <formula>"Fail"</formula>
    </cfRule>
    <cfRule type="cellIs" dxfId="27352" priority="27192" stopIfTrue="1" operator="equal">
      <formula>"Pass"</formula>
    </cfRule>
  </conditionalFormatting>
  <conditionalFormatting sqref="F751:G751 J751:N752 F753:G753 B751:B753 A751">
    <cfRule type="cellIs" dxfId="27351" priority="27189" stopIfTrue="1" operator="equal">
      <formula>"Pass"</formula>
    </cfRule>
    <cfRule type="cellIs" dxfId="27350" priority="27190" stopIfTrue="1" operator="equal">
      <formula>"Fail"</formula>
    </cfRule>
  </conditionalFormatting>
  <conditionalFormatting sqref="U753 T751:T753 S752:S753">
    <cfRule type="cellIs" dxfId="27349" priority="27187" stopIfTrue="1" operator="equal">
      <formula>"Fail"</formula>
    </cfRule>
    <cfRule type="cellIs" dxfId="27348" priority="27188" stopIfTrue="1" operator="equal">
      <formula>"Pass"</formula>
    </cfRule>
  </conditionalFormatting>
  <conditionalFormatting sqref="A751">
    <cfRule type="cellIs" dxfId="27347" priority="27185" stopIfTrue="1" operator="equal">
      <formula>"Pass"</formula>
    </cfRule>
    <cfRule type="cellIs" dxfId="27346" priority="27186" stopIfTrue="1" operator="equal">
      <formula>"Fail"</formula>
    </cfRule>
  </conditionalFormatting>
  <conditionalFormatting sqref="A751">
    <cfRule type="cellIs" dxfId="27345" priority="27183" stopIfTrue="1" operator="equal">
      <formula>"Pass"</formula>
    </cfRule>
    <cfRule type="cellIs" dxfId="27344" priority="27184" stopIfTrue="1" operator="equal">
      <formula>"Fail"</formula>
    </cfRule>
  </conditionalFormatting>
  <conditionalFormatting sqref="A751">
    <cfRule type="cellIs" dxfId="27343" priority="27181" stopIfTrue="1" operator="equal">
      <formula>"Pass"</formula>
    </cfRule>
    <cfRule type="cellIs" dxfId="27342" priority="27182" stopIfTrue="1" operator="equal">
      <formula>"Fail"</formula>
    </cfRule>
  </conditionalFormatting>
  <conditionalFormatting sqref="A751">
    <cfRule type="cellIs" dxfId="27341" priority="27179" stopIfTrue="1" operator="equal">
      <formula>"Pass"</formula>
    </cfRule>
    <cfRule type="cellIs" dxfId="27340" priority="27180" stopIfTrue="1" operator="equal">
      <formula>"Fail"</formula>
    </cfRule>
  </conditionalFormatting>
  <conditionalFormatting sqref="A751">
    <cfRule type="cellIs" dxfId="27339" priority="27177" stopIfTrue="1" operator="equal">
      <formula>"Pass"</formula>
    </cfRule>
    <cfRule type="cellIs" dxfId="27338" priority="27178" stopIfTrue="1" operator="equal">
      <formula>"Fail"</formula>
    </cfRule>
  </conditionalFormatting>
  <conditionalFormatting sqref="A751">
    <cfRule type="cellIs" dxfId="27337" priority="27175" stopIfTrue="1" operator="equal">
      <formula>"Pass"</formula>
    </cfRule>
    <cfRule type="cellIs" dxfId="27336" priority="27176" stopIfTrue="1" operator="equal">
      <formula>"Fail"</formula>
    </cfRule>
  </conditionalFormatting>
  <conditionalFormatting sqref="A751">
    <cfRule type="cellIs" dxfId="27335" priority="27173" stopIfTrue="1" operator="equal">
      <formula>"Pass"</formula>
    </cfRule>
    <cfRule type="cellIs" dxfId="27334" priority="27174" stopIfTrue="1" operator="equal">
      <formula>"Fail"</formula>
    </cfRule>
  </conditionalFormatting>
  <conditionalFormatting sqref="A751">
    <cfRule type="cellIs" dxfId="27333" priority="27171" stopIfTrue="1" operator="equal">
      <formula>"Pass"</formula>
    </cfRule>
    <cfRule type="cellIs" dxfId="27332" priority="27172" stopIfTrue="1" operator="equal">
      <formula>"Fail"</formula>
    </cfRule>
  </conditionalFormatting>
  <conditionalFormatting sqref="A751">
    <cfRule type="cellIs" dxfId="27331" priority="27169" stopIfTrue="1" operator="equal">
      <formula>"Pass"</formula>
    </cfRule>
    <cfRule type="cellIs" dxfId="27330" priority="27170" stopIfTrue="1" operator="equal">
      <formula>"Fail"</formula>
    </cfRule>
  </conditionalFormatting>
  <conditionalFormatting sqref="A751">
    <cfRule type="cellIs" dxfId="27329" priority="27167" stopIfTrue="1" operator="equal">
      <formula>"Pass"</formula>
    </cfRule>
    <cfRule type="cellIs" dxfId="27328" priority="27168" stopIfTrue="1" operator="equal">
      <formula>"Fail"</formula>
    </cfRule>
  </conditionalFormatting>
  <conditionalFormatting sqref="U751">
    <cfRule type="cellIs" dxfId="27327" priority="27165" stopIfTrue="1" operator="equal">
      <formula>"Fail"</formula>
    </cfRule>
    <cfRule type="cellIs" dxfId="27326" priority="27166" stopIfTrue="1" operator="equal">
      <formula>"Pass"</formula>
    </cfRule>
  </conditionalFormatting>
  <conditionalFormatting sqref="F751:G751 J751:N751">
    <cfRule type="cellIs" dxfId="27325" priority="27163" stopIfTrue="1" operator="equal">
      <formula>"Pass"</formula>
    </cfRule>
    <cfRule type="cellIs" dxfId="27324" priority="27164" stopIfTrue="1" operator="equal">
      <formula>"Fail"</formula>
    </cfRule>
  </conditionalFormatting>
  <conditionalFormatting sqref="J752:N752">
    <cfRule type="cellIs" dxfId="27323" priority="27161" stopIfTrue="1" operator="equal">
      <formula>"Pass"</formula>
    </cfRule>
    <cfRule type="cellIs" dxfId="27322" priority="27162" stopIfTrue="1" operator="equal">
      <formula>"Fail"</formula>
    </cfRule>
  </conditionalFormatting>
  <conditionalFormatting sqref="A745:A753">
    <cfRule type="cellIs" dxfId="27321" priority="27159" stopIfTrue="1" operator="equal">
      <formula>"Pass"</formula>
    </cfRule>
    <cfRule type="cellIs" dxfId="27320" priority="27160" stopIfTrue="1" operator="equal">
      <formula>"Fail"</formula>
    </cfRule>
  </conditionalFormatting>
  <conditionalFormatting sqref="A745:A753">
    <cfRule type="cellIs" dxfId="27319" priority="27157" stopIfTrue="1" operator="equal">
      <formula>"Pass"</formula>
    </cfRule>
    <cfRule type="cellIs" dxfId="27318" priority="27158" stopIfTrue="1" operator="equal">
      <formula>"Fail"</formula>
    </cfRule>
  </conditionalFormatting>
  <conditionalFormatting sqref="A745:A753">
    <cfRule type="cellIs" dxfId="27317" priority="27155" stopIfTrue="1" operator="equal">
      <formula>"Pass"</formula>
    </cfRule>
    <cfRule type="cellIs" dxfId="27316" priority="27156" stopIfTrue="1" operator="equal">
      <formula>"Fail"</formula>
    </cfRule>
  </conditionalFormatting>
  <conditionalFormatting sqref="A745:A753">
    <cfRule type="cellIs" dxfId="27315" priority="27153" stopIfTrue="1" operator="equal">
      <formula>"Pass"</formula>
    </cfRule>
    <cfRule type="cellIs" dxfId="27314" priority="27154" stopIfTrue="1" operator="equal">
      <formula>"Fail"</formula>
    </cfRule>
  </conditionalFormatting>
  <conditionalFormatting sqref="A745:A753">
    <cfRule type="cellIs" dxfId="27313" priority="27151" stopIfTrue="1" operator="equal">
      <formula>"Pass"</formula>
    </cfRule>
    <cfRule type="cellIs" dxfId="27312" priority="27152" stopIfTrue="1" operator="equal">
      <formula>"Fail"</formula>
    </cfRule>
  </conditionalFormatting>
  <conditionalFormatting sqref="A747 A750 A753">
    <cfRule type="cellIs" dxfId="27311" priority="27149" stopIfTrue="1" operator="equal">
      <formula>"Pass"</formula>
    </cfRule>
    <cfRule type="cellIs" dxfId="27310" priority="27150" stopIfTrue="1" operator="equal">
      <formula>"Fail"</formula>
    </cfRule>
  </conditionalFormatting>
  <conditionalFormatting sqref="A745:A753">
    <cfRule type="cellIs" dxfId="27309" priority="27147" stopIfTrue="1" operator="equal">
      <formula>"Pass"</formula>
    </cfRule>
    <cfRule type="cellIs" dxfId="27308" priority="27148" stopIfTrue="1" operator="equal">
      <formula>"Fail"</formula>
    </cfRule>
  </conditionalFormatting>
  <conditionalFormatting sqref="A745:A753">
    <cfRule type="cellIs" dxfId="27307" priority="27145" stopIfTrue="1" operator="equal">
      <formula>"Pass"</formula>
    </cfRule>
    <cfRule type="cellIs" dxfId="27306" priority="27146" stopIfTrue="1" operator="equal">
      <formula>"Fail"</formula>
    </cfRule>
  </conditionalFormatting>
  <conditionalFormatting sqref="A745:A753">
    <cfRule type="cellIs" dxfId="27305" priority="27143" stopIfTrue="1" operator="equal">
      <formula>"Pass"</formula>
    </cfRule>
    <cfRule type="cellIs" dxfId="27304" priority="27144" stopIfTrue="1" operator="equal">
      <formula>"Fail"</formula>
    </cfRule>
  </conditionalFormatting>
  <conditionalFormatting sqref="A745:A753">
    <cfRule type="cellIs" dxfId="27303" priority="27141" stopIfTrue="1" operator="equal">
      <formula>"Pass"</formula>
    </cfRule>
    <cfRule type="cellIs" dxfId="27302" priority="27142" stopIfTrue="1" operator="equal">
      <formula>"Fail"</formula>
    </cfRule>
  </conditionalFormatting>
  <conditionalFormatting sqref="A745:A753">
    <cfRule type="cellIs" dxfId="27301" priority="27139" stopIfTrue="1" operator="equal">
      <formula>"Pass"</formula>
    </cfRule>
    <cfRule type="cellIs" dxfId="27300" priority="27140" stopIfTrue="1" operator="equal">
      <formula>"Fail"</formula>
    </cfRule>
  </conditionalFormatting>
  <conditionalFormatting sqref="A745:A753">
    <cfRule type="cellIs" dxfId="27299" priority="27137" stopIfTrue="1" operator="equal">
      <formula>"Pass"</formula>
    </cfRule>
    <cfRule type="cellIs" dxfId="27298" priority="27138" stopIfTrue="1" operator="equal">
      <formula>"Fail"</formula>
    </cfRule>
  </conditionalFormatting>
  <conditionalFormatting sqref="A747 A750 A753">
    <cfRule type="cellIs" dxfId="27297" priority="27135" stopIfTrue="1" operator="equal">
      <formula>"Pass"</formula>
    </cfRule>
    <cfRule type="cellIs" dxfId="27296" priority="27136" stopIfTrue="1" operator="equal">
      <formula>"Fail"</formula>
    </cfRule>
  </conditionalFormatting>
  <conditionalFormatting sqref="A745:A753">
    <cfRule type="cellIs" dxfId="27295" priority="27133" stopIfTrue="1" operator="equal">
      <formula>"Pass"</formula>
    </cfRule>
    <cfRule type="cellIs" dxfId="27294" priority="27134" stopIfTrue="1" operator="equal">
      <formula>"Fail"</formula>
    </cfRule>
  </conditionalFormatting>
  <conditionalFormatting sqref="H754:H755">
    <cfRule type="cellIs" dxfId="27293" priority="27131" stopIfTrue="1" operator="equal">
      <formula>"Pass"</formula>
    </cfRule>
    <cfRule type="cellIs" dxfId="27292" priority="27132" stopIfTrue="1" operator="equal">
      <formula>"Fail"</formula>
    </cfRule>
  </conditionalFormatting>
  <conditionalFormatting sqref="E754:F754 E756:F756 I754:M755 A754:A762">
    <cfRule type="cellIs" dxfId="27291" priority="27129" stopIfTrue="1" operator="equal">
      <formula>"Pass"</formula>
    </cfRule>
    <cfRule type="cellIs" dxfId="27290" priority="27130" stopIfTrue="1" operator="equal">
      <formula>"Fail"</formula>
    </cfRule>
  </conditionalFormatting>
  <conditionalFormatting sqref="T756 T754 R754:R756 S755:S756">
    <cfRule type="cellIs" dxfId="27289" priority="27127" stopIfTrue="1" operator="equal">
      <formula>"Fail"</formula>
    </cfRule>
    <cfRule type="cellIs" dxfId="27288" priority="27128" stopIfTrue="1" operator="equal">
      <formula>"Pass"</formula>
    </cfRule>
  </conditionalFormatting>
  <conditionalFormatting sqref="F754:G754 F756:G756 A754:B756 J754:N755 A757:A762">
    <cfRule type="cellIs" dxfId="27287" priority="27125" stopIfTrue="1" operator="equal">
      <formula>"Pass"</formula>
    </cfRule>
    <cfRule type="cellIs" dxfId="27286" priority="27126" stopIfTrue="1" operator="equal">
      <formula>"Fail"</formula>
    </cfRule>
  </conditionalFormatting>
  <conditionalFormatting sqref="U756 U754 T754:T756 S755:S756">
    <cfRule type="cellIs" dxfId="27285" priority="27123" stopIfTrue="1" operator="equal">
      <formula>"Fail"</formula>
    </cfRule>
    <cfRule type="cellIs" dxfId="27284" priority="27124" stopIfTrue="1" operator="equal">
      <formula>"Pass"</formula>
    </cfRule>
  </conditionalFormatting>
  <conditionalFormatting sqref="A754:A762">
    <cfRule type="cellIs" dxfId="27283" priority="27121" stopIfTrue="1" operator="equal">
      <formula>"Pass"</formula>
    </cfRule>
    <cfRule type="cellIs" dxfId="27282" priority="27122" stopIfTrue="1" operator="equal">
      <formula>"Fail"</formula>
    </cfRule>
  </conditionalFormatting>
  <conditionalFormatting sqref="A754:A762">
    <cfRule type="cellIs" dxfId="27281" priority="27119" stopIfTrue="1" operator="equal">
      <formula>"Pass"</formula>
    </cfRule>
    <cfRule type="cellIs" dxfId="27280" priority="27120" stopIfTrue="1" operator="equal">
      <formula>"Fail"</formula>
    </cfRule>
  </conditionalFormatting>
  <conditionalFormatting sqref="A754:A762">
    <cfRule type="cellIs" dxfId="27279" priority="27117" stopIfTrue="1" operator="equal">
      <formula>"Pass"</formula>
    </cfRule>
    <cfRule type="cellIs" dxfId="27278" priority="27118" stopIfTrue="1" operator="equal">
      <formula>"Fail"</formula>
    </cfRule>
  </conditionalFormatting>
  <conditionalFormatting sqref="J754:N755 E754:G756">
    <cfRule type="cellIs" dxfId="27277" priority="27115" stopIfTrue="1" operator="equal">
      <formula>"Pass"</formula>
    </cfRule>
    <cfRule type="cellIs" dxfId="27276" priority="27116" stopIfTrue="1" operator="equal">
      <formula>"Fail"</formula>
    </cfRule>
  </conditionalFormatting>
  <conditionalFormatting sqref="A756 C756 K754:O755 F754:H756 A759 A762">
    <cfRule type="cellIs" dxfId="27275" priority="27113" stopIfTrue="1" operator="equal">
      <formula>"Pass"</formula>
    </cfRule>
    <cfRule type="cellIs" dxfId="27274" priority="27114" stopIfTrue="1" operator="equal">
      <formula>"Fail"</formula>
    </cfRule>
  </conditionalFormatting>
  <conditionalFormatting sqref="T754">
    <cfRule type="cellIs" dxfId="27273" priority="27111" stopIfTrue="1" operator="equal">
      <formula>"Fail"</formula>
    </cfRule>
    <cfRule type="cellIs" dxfId="27272" priority="27112" stopIfTrue="1" operator="equal">
      <formula>"Pass"</formula>
    </cfRule>
  </conditionalFormatting>
  <conditionalFormatting sqref="A754:A762">
    <cfRule type="cellIs" dxfId="27271" priority="27109" stopIfTrue="1" operator="equal">
      <formula>"Pass"</formula>
    </cfRule>
    <cfRule type="cellIs" dxfId="27270" priority="27110" stopIfTrue="1" operator="equal">
      <formula>"Fail"</formula>
    </cfRule>
  </conditionalFormatting>
  <conditionalFormatting sqref="A757">
    <cfRule type="cellIs" dxfId="27269" priority="27107" stopIfTrue="1" operator="equal">
      <formula>"Pass"</formula>
    </cfRule>
    <cfRule type="cellIs" dxfId="27268" priority="27108" stopIfTrue="1" operator="equal">
      <formula>"Fail"</formula>
    </cfRule>
  </conditionalFormatting>
  <conditionalFormatting sqref="A757">
    <cfRule type="cellIs" dxfId="27267" priority="27105" stopIfTrue="1" operator="equal">
      <formula>"Pass"</formula>
    </cfRule>
    <cfRule type="cellIs" dxfId="27266" priority="27106" stopIfTrue="1" operator="equal">
      <formula>"Fail"</formula>
    </cfRule>
  </conditionalFormatting>
  <conditionalFormatting sqref="A757">
    <cfRule type="cellIs" dxfId="27265" priority="27103" stopIfTrue="1" operator="equal">
      <formula>"Pass"</formula>
    </cfRule>
    <cfRule type="cellIs" dxfId="27264" priority="27104" stopIfTrue="1" operator="equal">
      <formula>"Fail"</formula>
    </cfRule>
  </conditionalFormatting>
  <conditionalFormatting sqref="A757">
    <cfRule type="cellIs" dxfId="27263" priority="27101" stopIfTrue="1" operator="equal">
      <formula>"Pass"</formula>
    </cfRule>
    <cfRule type="cellIs" dxfId="27262" priority="27102" stopIfTrue="1" operator="equal">
      <formula>"Fail"</formula>
    </cfRule>
  </conditionalFormatting>
  <conditionalFormatting sqref="A757">
    <cfRule type="cellIs" dxfId="27261" priority="27099" stopIfTrue="1" operator="equal">
      <formula>"Pass"</formula>
    </cfRule>
    <cfRule type="cellIs" dxfId="27260" priority="27100" stopIfTrue="1" operator="equal">
      <formula>"Fail"</formula>
    </cfRule>
  </conditionalFormatting>
  <conditionalFormatting sqref="A757">
    <cfRule type="cellIs" dxfId="27259" priority="27097" stopIfTrue="1" operator="equal">
      <formula>"Pass"</formula>
    </cfRule>
    <cfRule type="cellIs" dxfId="27258" priority="27098" stopIfTrue="1" operator="equal">
      <formula>"Fail"</formula>
    </cfRule>
  </conditionalFormatting>
  <conditionalFormatting sqref="A757">
    <cfRule type="cellIs" dxfId="27257" priority="27095" stopIfTrue="1" operator="equal">
      <formula>"Pass"</formula>
    </cfRule>
    <cfRule type="cellIs" dxfId="27256" priority="27096" stopIfTrue="1" operator="equal">
      <formula>"Fail"</formula>
    </cfRule>
  </conditionalFormatting>
  <conditionalFormatting sqref="A757">
    <cfRule type="cellIs" dxfId="27255" priority="27093" stopIfTrue="1" operator="equal">
      <formula>"Pass"</formula>
    </cfRule>
    <cfRule type="cellIs" dxfId="27254" priority="27094" stopIfTrue="1" operator="equal">
      <formula>"Fail"</formula>
    </cfRule>
  </conditionalFormatting>
  <conditionalFormatting sqref="A757">
    <cfRule type="cellIs" dxfId="27253" priority="27091" stopIfTrue="1" operator="equal">
      <formula>"Pass"</formula>
    </cfRule>
    <cfRule type="cellIs" dxfId="27252" priority="27092" stopIfTrue="1" operator="equal">
      <formula>"Fail"</formula>
    </cfRule>
  </conditionalFormatting>
  <conditionalFormatting sqref="A757">
    <cfRule type="cellIs" dxfId="27251" priority="27089" stopIfTrue="1" operator="equal">
      <formula>"Pass"</formula>
    </cfRule>
    <cfRule type="cellIs" dxfId="27250" priority="27090" stopIfTrue="1" operator="equal">
      <formula>"Fail"</formula>
    </cfRule>
  </conditionalFormatting>
  <conditionalFormatting sqref="A757">
    <cfRule type="cellIs" dxfId="27249" priority="27087" stopIfTrue="1" operator="equal">
      <formula>"Pass"</formula>
    </cfRule>
    <cfRule type="cellIs" dxfId="27248" priority="27088" stopIfTrue="1" operator="equal">
      <formula>"Fail"</formula>
    </cfRule>
  </conditionalFormatting>
  <conditionalFormatting sqref="A757">
    <cfRule type="cellIs" dxfId="27247" priority="27085" stopIfTrue="1" operator="equal">
      <formula>"Pass"</formula>
    </cfRule>
    <cfRule type="cellIs" dxfId="27246" priority="27086" stopIfTrue="1" operator="equal">
      <formula>"Fail"</formula>
    </cfRule>
  </conditionalFormatting>
  <conditionalFormatting sqref="J757:J758">
    <cfRule type="cellIs" dxfId="27245" priority="27083" stopIfTrue="1" operator="equal">
      <formula>"Pass"</formula>
    </cfRule>
    <cfRule type="cellIs" dxfId="27244" priority="27084" stopIfTrue="1" operator="equal">
      <formula>"Fail"</formula>
    </cfRule>
  </conditionalFormatting>
  <conditionalFormatting sqref="H757:H758 I758">
    <cfRule type="cellIs" dxfId="27243" priority="27081" stopIfTrue="1" operator="equal">
      <formula>"Pass"</formula>
    </cfRule>
    <cfRule type="cellIs" dxfId="27242" priority="27082" stopIfTrue="1" operator="equal">
      <formula>"Fail"</formula>
    </cfRule>
  </conditionalFormatting>
  <conditionalFormatting sqref="A757 C757 F759 F757:G757 K757:N758">
    <cfRule type="cellIs" dxfId="27241" priority="27079" stopIfTrue="1" operator="equal">
      <formula>"Pass"</formula>
    </cfRule>
    <cfRule type="cellIs" dxfId="27240" priority="27080" stopIfTrue="1" operator="equal">
      <formula>"Fail"</formula>
    </cfRule>
  </conditionalFormatting>
  <conditionalFormatting sqref="T757:T759 U758:U759">
    <cfRule type="cellIs" dxfId="27239" priority="27077" stopIfTrue="1" operator="equal">
      <formula>"Fail"</formula>
    </cfRule>
    <cfRule type="cellIs" dxfId="27238" priority="27078" stopIfTrue="1" operator="equal">
      <formula>"Pass"</formula>
    </cfRule>
  </conditionalFormatting>
  <conditionalFormatting sqref="A757">
    <cfRule type="cellIs" dxfId="27237" priority="27075" stopIfTrue="1" operator="equal">
      <formula>"Pass"</formula>
    </cfRule>
    <cfRule type="cellIs" dxfId="27236" priority="27076" stopIfTrue="1" operator="equal">
      <formula>"Fail"</formula>
    </cfRule>
  </conditionalFormatting>
  <conditionalFormatting sqref="A757">
    <cfRule type="cellIs" dxfId="27235" priority="27073" stopIfTrue="1" operator="equal">
      <formula>"Pass"</formula>
    </cfRule>
    <cfRule type="cellIs" dxfId="27234" priority="27074" stopIfTrue="1" operator="equal">
      <formula>"Fail"</formula>
    </cfRule>
  </conditionalFormatting>
  <conditionalFormatting sqref="A757">
    <cfRule type="cellIs" dxfId="27233" priority="27071" stopIfTrue="1" operator="equal">
      <formula>"Pass"</formula>
    </cfRule>
    <cfRule type="cellIs" dxfId="27232" priority="27072" stopIfTrue="1" operator="equal">
      <formula>"Fail"</formula>
    </cfRule>
  </conditionalFormatting>
  <conditionalFormatting sqref="A757">
    <cfRule type="cellIs" dxfId="27231" priority="27069" stopIfTrue="1" operator="equal">
      <formula>"Pass"</formula>
    </cfRule>
    <cfRule type="cellIs" dxfId="27230" priority="27070" stopIfTrue="1" operator="equal">
      <formula>"Fail"</formula>
    </cfRule>
  </conditionalFormatting>
  <conditionalFormatting sqref="A757">
    <cfRule type="cellIs" dxfId="27229" priority="27067" stopIfTrue="1" operator="equal">
      <formula>"Pass"</formula>
    </cfRule>
    <cfRule type="cellIs" dxfId="27228" priority="27068" stopIfTrue="1" operator="equal">
      <formula>"Fail"</formula>
    </cfRule>
  </conditionalFormatting>
  <conditionalFormatting sqref="A757">
    <cfRule type="cellIs" dxfId="27227" priority="27065" stopIfTrue="1" operator="equal">
      <formula>"Pass"</formula>
    </cfRule>
    <cfRule type="cellIs" dxfId="27226" priority="27066" stopIfTrue="1" operator="equal">
      <formula>"Fail"</formula>
    </cfRule>
  </conditionalFormatting>
  <conditionalFormatting sqref="A757">
    <cfRule type="cellIs" dxfId="27225" priority="27063" stopIfTrue="1" operator="equal">
      <formula>"Pass"</formula>
    </cfRule>
    <cfRule type="cellIs" dxfId="27224" priority="27064" stopIfTrue="1" operator="equal">
      <formula>"Fail"</formula>
    </cfRule>
  </conditionalFormatting>
  <conditionalFormatting sqref="A757">
    <cfRule type="cellIs" dxfId="27223" priority="27061" stopIfTrue="1" operator="equal">
      <formula>"Pass"</formula>
    </cfRule>
    <cfRule type="cellIs" dxfId="27222" priority="27062" stopIfTrue="1" operator="equal">
      <formula>"Fail"</formula>
    </cfRule>
  </conditionalFormatting>
  <conditionalFormatting sqref="A757">
    <cfRule type="cellIs" dxfId="27221" priority="27059" stopIfTrue="1" operator="equal">
      <formula>"Pass"</formula>
    </cfRule>
    <cfRule type="cellIs" dxfId="27220" priority="27060" stopIfTrue="1" operator="equal">
      <formula>"Fail"</formula>
    </cfRule>
  </conditionalFormatting>
  <conditionalFormatting sqref="A757">
    <cfRule type="cellIs" dxfId="27219" priority="27057" stopIfTrue="1" operator="equal">
      <formula>"Pass"</formula>
    </cfRule>
    <cfRule type="cellIs" dxfId="27218" priority="27058" stopIfTrue="1" operator="equal">
      <formula>"Fail"</formula>
    </cfRule>
  </conditionalFormatting>
  <conditionalFormatting sqref="A757">
    <cfRule type="cellIs" dxfId="27217" priority="27055" stopIfTrue="1" operator="equal">
      <formula>"Pass"</formula>
    </cfRule>
    <cfRule type="cellIs" dxfId="27216" priority="27056" stopIfTrue="1" operator="equal">
      <formula>"Fail"</formula>
    </cfRule>
  </conditionalFormatting>
  <conditionalFormatting sqref="A757">
    <cfRule type="cellIs" dxfId="27215" priority="27053" stopIfTrue="1" operator="equal">
      <formula>"Pass"</formula>
    </cfRule>
    <cfRule type="cellIs" dxfId="27214" priority="27054" stopIfTrue="1" operator="equal">
      <formula>"Fail"</formula>
    </cfRule>
  </conditionalFormatting>
  <conditionalFormatting sqref="A757">
    <cfRule type="cellIs" dxfId="27213" priority="27051" stopIfTrue="1" operator="equal">
      <formula>"Pass"</formula>
    </cfRule>
    <cfRule type="cellIs" dxfId="27212" priority="27052" stopIfTrue="1" operator="equal">
      <formula>"Fail"</formula>
    </cfRule>
  </conditionalFormatting>
  <conditionalFormatting sqref="A757">
    <cfRule type="cellIs" dxfId="27211" priority="27049" stopIfTrue="1" operator="equal">
      <formula>"Pass"</formula>
    </cfRule>
    <cfRule type="cellIs" dxfId="27210" priority="27050" stopIfTrue="1" operator="equal">
      <formula>"Fail"</formula>
    </cfRule>
  </conditionalFormatting>
  <conditionalFormatting sqref="A757">
    <cfRule type="cellIs" dxfId="27209" priority="27047" stopIfTrue="1" operator="equal">
      <formula>"Pass"</formula>
    </cfRule>
    <cfRule type="cellIs" dxfId="27208" priority="27048" stopIfTrue="1" operator="equal">
      <formula>"Fail"</formula>
    </cfRule>
  </conditionalFormatting>
  <conditionalFormatting sqref="A757">
    <cfRule type="cellIs" dxfId="27207" priority="27045" stopIfTrue="1" operator="equal">
      <formula>"Pass"</formula>
    </cfRule>
    <cfRule type="cellIs" dxfId="27206" priority="27046" stopIfTrue="1" operator="equal">
      <formula>"Fail"</formula>
    </cfRule>
  </conditionalFormatting>
  <conditionalFormatting sqref="U757">
    <cfRule type="cellIs" dxfId="27205" priority="27043" stopIfTrue="1" operator="equal">
      <formula>"Fail"</formula>
    </cfRule>
    <cfRule type="cellIs" dxfId="27204" priority="27044" stopIfTrue="1" operator="equal">
      <formula>"Pass"</formula>
    </cfRule>
  </conditionalFormatting>
  <conditionalFormatting sqref="U757">
    <cfRule type="cellIs" dxfId="27203" priority="27041" stopIfTrue="1" operator="equal">
      <formula>"Fail"</formula>
    </cfRule>
    <cfRule type="cellIs" dxfId="27202" priority="27042" stopIfTrue="1" operator="equal">
      <formula>"Pass"</formula>
    </cfRule>
  </conditionalFormatting>
  <conditionalFormatting sqref="J757:J758">
    <cfRule type="cellIs" dxfId="27201" priority="27039" stopIfTrue="1" operator="equal">
      <formula>"Pass"</formula>
    </cfRule>
    <cfRule type="cellIs" dxfId="27200" priority="27040" stopIfTrue="1" operator="equal">
      <formula>"Fail"</formula>
    </cfRule>
  </conditionalFormatting>
  <conditionalFormatting sqref="H757:H758 I758">
    <cfRule type="cellIs" dxfId="27199" priority="27037" stopIfTrue="1" operator="equal">
      <formula>"Pass"</formula>
    </cfRule>
    <cfRule type="cellIs" dxfId="27198" priority="27038" stopIfTrue="1" operator="equal">
      <formula>"Fail"</formula>
    </cfRule>
  </conditionalFormatting>
  <conditionalFormatting sqref="F759 F757:G757 K757:N758">
    <cfRule type="cellIs" dxfId="27197" priority="27035" stopIfTrue="1" operator="equal">
      <formula>"Pass"</formula>
    </cfRule>
    <cfRule type="cellIs" dxfId="27196" priority="27036" stopIfTrue="1" operator="equal">
      <formula>"Fail"</formula>
    </cfRule>
  </conditionalFormatting>
  <conditionalFormatting sqref="T757:T759 U758:U759">
    <cfRule type="cellIs" dxfId="27195" priority="27033" stopIfTrue="1" operator="equal">
      <formula>"Fail"</formula>
    </cfRule>
    <cfRule type="cellIs" dxfId="27194" priority="27034" stopIfTrue="1" operator="equal">
      <formula>"Pass"</formula>
    </cfRule>
  </conditionalFormatting>
  <conditionalFormatting sqref="U757">
    <cfRule type="cellIs" dxfId="27193" priority="27031" stopIfTrue="1" operator="equal">
      <formula>"Fail"</formula>
    </cfRule>
    <cfRule type="cellIs" dxfId="27192" priority="27032" stopIfTrue="1" operator="equal">
      <formula>"Pass"</formula>
    </cfRule>
  </conditionalFormatting>
  <conditionalFormatting sqref="U757">
    <cfRule type="cellIs" dxfId="27191" priority="27029" stopIfTrue="1" operator="equal">
      <formula>"Fail"</formula>
    </cfRule>
    <cfRule type="cellIs" dxfId="27190" priority="27030" stopIfTrue="1" operator="equal">
      <formula>"Pass"</formula>
    </cfRule>
  </conditionalFormatting>
  <conditionalFormatting sqref="F757:G757 K757:N757">
    <cfRule type="cellIs" dxfId="27189" priority="27027" stopIfTrue="1" operator="equal">
      <formula>"Pass"</formula>
    </cfRule>
    <cfRule type="cellIs" dxfId="27188" priority="27028" stopIfTrue="1" operator="equal">
      <formula>"Fail"</formula>
    </cfRule>
  </conditionalFormatting>
  <conditionalFormatting sqref="K758:N758">
    <cfRule type="cellIs" dxfId="27187" priority="27025" stopIfTrue="1" operator="equal">
      <formula>"Pass"</formula>
    </cfRule>
    <cfRule type="cellIs" dxfId="27186" priority="27026" stopIfTrue="1" operator="equal">
      <formula>"Fail"</formula>
    </cfRule>
  </conditionalFormatting>
  <conditionalFormatting sqref="U757">
    <cfRule type="cellIs" dxfId="27185" priority="27023" stopIfTrue="1" operator="equal">
      <formula>"Fail"</formula>
    </cfRule>
    <cfRule type="cellIs" dxfId="27184" priority="27024" stopIfTrue="1" operator="equal">
      <formula>"Pass"</formula>
    </cfRule>
  </conditionalFormatting>
  <conditionalFormatting sqref="H760:H761">
    <cfRule type="cellIs" dxfId="27183" priority="27021" stopIfTrue="1" operator="equal">
      <formula>"Pass"</formula>
    </cfRule>
    <cfRule type="cellIs" dxfId="27182" priority="27022" stopIfTrue="1" operator="equal">
      <formula>"Fail"</formula>
    </cfRule>
  </conditionalFormatting>
  <conditionalFormatting sqref="E760:F760 I760:M761 E762:F762 A760">
    <cfRule type="cellIs" dxfId="27181" priority="27019" stopIfTrue="1" operator="equal">
      <formula>"Pass"</formula>
    </cfRule>
    <cfRule type="cellIs" dxfId="27180" priority="27020" stopIfTrue="1" operator="equal">
      <formula>"Fail"</formula>
    </cfRule>
  </conditionalFormatting>
  <conditionalFormatting sqref="T762 T760 R760:R762 S761:S762">
    <cfRule type="cellIs" dxfId="27179" priority="27017" stopIfTrue="1" operator="equal">
      <formula>"Fail"</formula>
    </cfRule>
    <cfRule type="cellIs" dxfId="27178" priority="27018" stopIfTrue="1" operator="equal">
      <formula>"Pass"</formula>
    </cfRule>
  </conditionalFormatting>
  <conditionalFormatting sqref="F760:G760 J760:N761 F762:G762 B760:B762 A760">
    <cfRule type="cellIs" dxfId="27177" priority="27015" stopIfTrue="1" operator="equal">
      <formula>"Pass"</formula>
    </cfRule>
    <cfRule type="cellIs" dxfId="27176" priority="27016" stopIfTrue="1" operator="equal">
      <formula>"Fail"</formula>
    </cfRule>
  </conditionalFormatting>
  <conditionalFormatting sqref="U762 T760:T762 S761:S762">
    <cfRule type="cellIs" dxfId="27175" priority="27013" stopIfTrue="1" operator="equal">
      <formula>"Fail"</formula>
    </cfRule>
    <cfRule type="cellIs" dxfId="27174" priority="27014" stopIfTrue="1" operator="equal">
      <formula>"Pass"</formula>
    </cfRule>
  </conditionalFormatting>
  <conditionalFormatting sqref="A760">
    <cfRule type="cellIs" dxfId="27173" priority="27011" stopIfTrue="1" operator="equal">
      <formula>"Pass"</formula>
    </cfRule>
    <cfRule type="cellIs" dxfId="27172" priority="27012" stopIfTrue="1" operator="equal">
      <formula>"Fail"</formula>
    </cfRule>
  </conditionalFormatting>
  <conditionalFormatting sqref="A760">
    <cfRule type="cellIs" dxfId="27171" priority="27009" stopIfTrue="1" operator="equal">
      <formula>"Pass"</formula>
    </cfRule>
    <cfRule type="cellIs" dxfId="27170" priority="27010" stopIfTrue="1" operator="equal">
      <formula>"Fail"</formula>
    </cfRule>
  </conditionalFormatting>
  <conditionalFormatting sqref="A760">
    <cfRule type="cellIs" dxfId="27169" priority="27007" stopIfTrue="1" operator="equal">
      <formula>"Pass"</formula>
    </cfRule>
    <cfRule type="cellIs" dxfId="27168" priority="27008" stopIfTrue="1" operator="equal">
      <formula>"Fail"</formula>
    </cfRule>
  </conditionalFormatting>
  <conditionalFormatting sqref="A760">
    <cfRule type="cellIs" dxfId="27167" priority="27005" stopIfTrue="1" operator="equal">
      <formula>"Pass"</formula>
    </cfRule>
    <cfRule type="cellIs" dxfId="27166" priority="27006" stopIfTrue="1" operator="equal">
      <formula>"Fail"</formula>
    </cfRule>
  </conditionalFormatting>
  <conditionalFormatting sqref="A760">
    <cfRule type="cellIs" dxfId="27165" priority="27003" stopIfTrue="1" operator="equal">
      <formula>"Pass"</formula>
    </cfRule>
    <cfRule type="cellIs" dxfId="27164" priority="27004" stopIfTrue="1" operator="equal">
      <formula>"Fail"</formula>
    </cfRule>
  </conditionalFormatting>
  <conditionalFormatting sqref="A760">
    <cfRule type="cellIs" dxfId="27163" priority="27001" stopIfTrue="1" operator="equal">
      <formula>"Pass"</formula>
    </cfRule>
    <cfRule type="cellIs" dxfId="27162" priority="27002" stopIfTrue="1" operator="equal">
      <formula>"Fail"</formula>
    </cfRule>
  </conditionalFormatting>
  <conditionalFormatting sqref="A760">
    <cfRule type="cellIs" dxfId="27161" priority="26999" stopIfTrue="1" operator="equal">
      <formula>"Pass"</formula>
    </cfRule>
    <cfRule type="cellIs" dxfId="27160" priority="27000" stopIfTrue="1" operator="equal">
      <formula>"Fail"</formula>
    </cfRule>
  </conditionalFormatting>
  <conditionalFormatting sqref="A760">
    <cfRule type="cellIs" dxfId="27159" priority="26997" stopIfTrue="1" operator="equal">
      <formula>"Pass"</formula>
    </cfRule>
    <cfRule type="cellIs" dxfId="27158" priority="26998" stopIfTrue="1" operator="equal">
      <formula>"Fail"</formula>
    </cfRule>
  </conditionalFormatting>
  <conditionalFormatting sqref="A760">
    <cfRule type="cellIs" dxfId="27157" priority="26995" stopIfTrue="1" operator="equal">
      <formula>"Pass"</formula>
    </cfRule>
    <cfRule type="cellIs" dxfId="27156" priority="26996" stopIfTrue="1" operator="equal">
      <formula>"Fail"</formula>
    </cfRule>
  </conditionalFormatting>
  <conditionalFormatting sqref="A760">
    <cfRule type="cellIs" dxfId="27155" priority="26993" stopIfTrue="1" operator="equal">
      <formula>"Pass"</formula>
    </cfRule>
    <cfRule type="cellIs" dxfId="27154" priority="26994" stopIfTrue="1" operator="equal">
      <formula>"Fail"</formula>
    </cfRule>
  </conditionalFormatting>
  <conditionalFormatting sqref="U760">
    <cfRule type="cellIs" dxfId="27153" priority="26991" stopIfTrue="1" operator="equal">
      <formula>"Fail"</formula>
    </cfRule>
    <cfRule type="cellIs" dxfId="27152" priority="26992" stopIfTrue="1" operator="equal">
      <formula>"Pass"</formula>
    </cfRule>
  </conditionalFormatting>
  <conditionalFormatting sqref="F760:G760 J760:N760">
    <cfRule type="cellIs" dxfId="27151" priority="26989" stopIfTrue="1" operator="equal">
      <formula>"Pass"</formula>
    </cfRule>
    <cfRule type="cellIs" dxfId="27150" priority="26990" stopIfTrue="1" operator="equal">
      <formula>"Fail"</formula>
    </cfRule>
  </conditionalFormatting>
  <conditionalFormatting sqref="J761:N761">
    <cfRule type="cellIs" dxfId="27149" priority="26987" stopIfTrue="1" operator="equal">
      <formula>"Pass"</formula>
    </cfRule>
    <cfRule type="cellIs" dxfId="27148" priority="26988" stopIfTrue="1" operator="equal">
      <formula>"Fail"</formula>
    </cfRule>
  </conditionalFormatting>
  <conditionalFormatting sqref="A754:A762">
    <cfRule type="cellIs" dxfId="27147" priority="26985" stopIfTrue="1" operator="equal">
      <formula>"Pass"</formula>
    </cfRule>
    <cfRule type="cellIs" dxfId="27146" priority="26986" stopIfTrue="1" operator="equal">
      <formula>"Fail"</formula>
    </cfRule>
  </conditionalFormatting>
  <conditionalFormatting sqref="A754:A762">
    <cfRule type="cellIs" dxfId="27145" priority="26983" stopIfTrue="1" operator="equal">
      <formula>"Pass"</formula>
    </cfRule>
    <cfRule type="cellIs" dxfId="27144" priority="26984" stopIfTrue="1" operator="equal">
      <formula>"Fail"</formula>
    </cfRule>
  </conditionalFormatting>
  <conditionalFormatting sqref="A754:A762">
    <cfRule type="cellIs" dxfId="27143" priority="26981" stopIfTrue="1" operator="equal">
      <formula>"Pass"</formula>
    </cfRule>
    <cfRule type="cellIs" dxfId="27142" priority="26982" stopIfTrue="1" operator="equal">
      <formula>"Fail"</formula>
    </cfRule>
  </conditionalFormatting>
  <conditionalFormatting sqref="A754:A762">
    <cfRule type="cellIs" dxfId="27141" priority="26979" stopIfTrue="1" operator="equal">
      <formula>"Pass"</formula>
    </cfRule>
    <cfRule type="cellIs" dxfId="27140" priority="26980" stopIfTrue="1" operator="equal">
      <formula>"Fail"</formula>
    </cfRule>
  </conditionalFormatting>
  <conditionalFormatting sqref="A754:A762">
    <cfRule type="cellIs" dxfId="27139" priority="26977" stopIfTrue="1" operator="equal">
      <formula>"Pass"</formula>
    </cfRule>
    <cfRule type="cellIs" dxfId="27138" priority="26978" stopIfTrue="1" operator="equal">
      <formula>"Fail"</formula>
    </cfRule>
  </conditionalFormatting>
  <conditionalFormatting sqref="A756 A759 A762">
    <cfRule type="cellIs" dxfId="27137" priority="26975" stopIfTrue="1" operator="equal">
      <formula>"Pass"</formula>
    </cfRule>
    <cfRule type="cellIs" dxfId="27136" priority="26976" stopIfTrue="1" operator="equal">
      <formula>"Fail"</formula>
    </cfRule>
  </conditionalFormatting>
  <conditionalFormatting sqref="A754:A762">
    <cfRule type="cellIs" dxfId="27135" priority="26973" stopIfTrue="1" operator="equal">
      <formula>"Pass"</formula>
    </cfRule>
    <cfRule type="cellIs" dxfId="27134" priority="26974" stopIfTrue="1" operator="equal">
      <formula>"Fail"</formula>
    </cfRule>
  </conditionalFormatting>
  <conditionalFormatting sqref="A754:A762">
    <cfRule type="cellIs" dxfId="27133" priority="26971" stopIfTrue="1" operator="equal">
      <formula>"Pass"</formula>
    </cfRule>
    <cfRule type="cellIs" dxfId="27132" priority="26972" stopIfTrue="1" operator="equal">
      <formula>"Fail"</formula>
    </cfRule>
  </conditionalFormatting>
  <conditionalFormatting sqref="A754:A762">
    <cfRule type="cellIs" dxfId="27131" priority="26969" stopIfTrue="1" operator="equal">
      <formula>"Pass"</formula>
    </cfRule>
    <cfRule type="cellIs" dxfId="27130" priority="26970" stopIfTrue="1" operator="equal">
      <formula>"Fail"</formula>
    </cfRule>
  </conditionalFormatting>
  <conditionalFormatting sqref="A754:A762">
    <cfRule type="cellIs" dxfId="27129" priority="26967" stopIfTrue="1" operator="equal">
      <formula>"Pass"</formula>
    </cfRule>
    <cfRule type="cellIs" dxfId="27128" priority="26968" stopIfTrue="1" operator="equal">
      <formula>"Fail"</formula>
    </cfRule>
  </conditionalFormatting>
  <conditionalFormatting sqref="A754:A762">
    <cfRule type="cellIs" dxfId="27127" priority="26965" stopIfTrue="1" operator="equal">
      <formula>"Pass"</formula>
    </cfRule>
    <cfRule type="cellIs" dxfId="27126" priority="26966" stopIfTrue="1" operator="equal">
      <formula>"Fail"</formula>
    </cfRule>
  </conditionalFormatting>
  <conditionalFormatting sqref="A754:A762">
    <cfRule type="cellIs" dxfId="27125" priority="26963" stopIfTrue="1" operator="equal">
      <formula>"Pass"</formula>
    </cfRule>
    <cfRule type="cellIs" dxfId="27124" priority="26964" stopIfTrue="1" operator="equal">
      <formula>"Fail"</formula>
    </cfRule>
  </conditionalFormatting>
  <conditionalFormatting sqref="A756 A759 A762">
    <cfRule type="cellIs" dxfId="27123" priority="26961" stopIfTrue="1" operator="equal">
      <formula>"Pass"</formula>
    </cfRule>
    <cfRule type="cellIs" dxfId="27122" priority="26962" stopIfTrue="1" operator="equal">
      <formula>"Fail"</formula>
    </cfRule>
  </conditionalFormatting>
  <conditionalFormatting sqref="A754:A762">
    <cfRule type="cellIs" dxfId="27121" priority="26959" stopIfTrue="1" operator="equal">
      <formula>"Pass"</formula>
    </cfRule>
    <cfRule type="cellIs" dxfId="27120" priority="26960" stopIfTrue="1" operator="equal">
      <formula>"Fail"</formula>
    </cfRule>
  </conditionalFormatting>
  <conditionalFormatting sqref="H763:H764">
    <cfRule type="cellIs" dxfId="27119" priority="26957" stopIfTrue="1" operator="equal">
      <formula>"Pass"</formula>
    </cfRule>
    <cfRule type="cellIs" dxfId="27118" priority="26958" stopIfTrue="1" operator="equal">
      <formula>"Fail"</formula>
    </cfRule>
  </conditionalFormatting>
  <conditionalFormatting sqref="E763:F763 E765:F765 I763:M764 A763:A771">
    <cfRule type="cellIs" dxfId="27117" priority="26955" stopIfTrue="1" operator="equal">
      <formula>"Pass"</formula>
    </cfRule>
    <cfRule type="cellIs" dxfId="27116" priority="26956" stopIfTrue="1" operator="equal">
      <formula>"Fail"</formula>
    </cfRule>
  </conditionalFormatting>
  <conditionalFormatting sqref="T765 T763 R763:R765 S764:S765">
    <cfRule type="cellIs" dxfId="27115" priority="26953" stopIfTrue="1" operator="equal">
      <formula>"Fail"</formula>
    </cfRule>
    <cfRule type="cellIs" dxfId="27114" priority="26954" stopIfTrue="1" operator="equal">
      <formula>"Pass"</formula>
    </cfRule>
  </conditionalFormatting>
  <conditionalFormatting sqref="F763:G763 F765:G765 A763:B765 J763:N764 A766:A771">
    <cfRule type="cellIs" dxfId="27113" priority="26951" stopIfTrue="1" operator="equal">
      <formula>"Pass"</formula>
    </cfRule>
    <cfRule type="cellIs" dxfId="27112" priority="26952" stopIfTrue="1" operator="equal">
      <formula>"Fail"</formula>
    </cfRule>
  </conditionalFormatting>
  <conditionalFormatting sqref="U765 U763 T763:T765 S764:S765">
    <cfRule type="cellIs" dxfId="27111" priority="26949" stopIfTrue="1" operator="equal">
      <formula>"Fail"</formula>
    </cfRule>
    <cfRule type="cellIs" dxfId="27110" priority="26950" stopIfTrue="1" operator="equal">
      <formula>"Pass"</formula>
    </cfRule>
  </conditionalFormatting>
  <conditionalFormatting sqref="A763:A771">
    <cfRule type="cellIs" dxfId="27109" priority="26947" stopIfTrue="1" operator="equal">
      <formula>"Pass"</formula>
    </cfRule>
    <cfRule type="cellIs" dxfId="27108" priority="26948" stopIfTrue="1" operator="equal">
      <formula>"Fail"</formula>
    </cfRule>
  </conditionalFormatting>
  <conditionalFormatting sqref="A763:A771">
    <cfRule type="cellIs" dxfId="27107" priority="26945" stopIfTrue="1" operator="equal">
      <formula>"Pass"</formula>
    </cfRule>
    <cfRule type="cellIs" dxfId="27106" priority="26946" stopIfTrue="1" operator="equal">
      <formula>"Fail"</formula>
    </cfRule>
  </conditionalFormatting>
  <conditionalFormatting sqref="A763:A771">
    <cfRule type="cellIs" dxfId="27105" priority="26943" stopIfTrue="1" operator="equal">
      <formula>"Pass"</formula>
    </cfRule>
    <cfRule type="cellIs" dxfId="27104" priority="26944" stopIfTrue="1" operator="equal">
      <formula>"Fail"</formula>
    </cfRule>
  </conditionalFormatting>
  <conditionalFormatting sqref="J763:N764 E763:G765">
    <cfRule type="cellIs" dxfId="27103" priority="26941" stopIfTrue="1" operator="equal">
      <formula>"Pass"</formula>
    </cfRule>
    <cfRule type="cellIs" dxfId="27102" priority="26942" stopIfTrue="1" operator="equal">
      <formula>"Fail"</formula>
    </cfRule>
  </conditionalFormatting>
  <conditionalFormatting sqref="A765 C765 K763:O764 F763:H765 A768 A771">
    <cfRule type="cellIs" dxfId="27101" priority="26939" stopIfTrue="1" operator="equal">
      <formula>"Pass"</formula>
    </cfRule>
    <cfRule type="cellIs" dxfId="27100" priority="26940" stopIfTrue="1" operator="equal">
      <formula>"Fail"</formula>
    </cfRule>
  </conditionalFormatting>
  <conditionalFormatting sqref="T763">
    <cfRule type="cellIs" dxfId="27099" priority="26937" stopIfTrue="1" operator="equal">
      <formula>"Fail"</formula>
    </cfRule>
    <cfRule type="cellIs" dxfId="27098" priority="26938" stopIfTrue="1" operator="equal">
      <formula>"Pass"</formula>
    </cfRule>
  </conditionalFormatting>
  <conditionalFormatting sqref="A763:A771">
    <cfRule type="cellIs" dxfId="27097" priority="26935" stopIfTrue="1" operator="equal">
      <formula>"Pass"</formula>
    </cfRule>
    <cfRule type="cellIs" dxfId="27096" priority="26936" stopIfTrue="1" operator="equal">
      <formula>"Fail"</formula>
    </cfRule>
  </conditionalFormatting>
  <conditionalFormatting sqref="A766">
    <cfRule type="cellIs" dxfId="27095" priority="26933" stopIfTrue="1" operator="equal">
      <formula>"Pass"</formula>
    </cfRule>
    <cfRule type="cellIs" dxfId="27094" priority="26934" stopIfTrue="1" operator="equal">
      <formula>"Fail"</formula>
    </cfRule>
  </conditionalFormatting>
  <conditionalFormatting sqref="A766">
    <cfRule type="cellIs" dxfId="27093" priority="26931" stopIfTrue="1" operator="equal">
      <formula>"Pass"</formula>
    </cfRule>
    <cfRule type="cellIs" dxfId="27092" priority="26932" stopIfTrue="1" operator="equal">
      <formula>"Fail"</formula>
    </cfRule>
  </conditionalFormatting>
  <conditionalFormatting sqref="A766">
    <cfRule type="cellIs" dxfId="27091" priority="26929" stopIfTrue="1" operator="equal">
      <formula>"Pass"</formula>
    </cfRule>
    <cfRule type="cellIs" dxfId="27090" priority="26930" stopIfTrue="1" operator="equal">
      <formula>"Fail"</formula>
    </cfRule>
  </conditionalFormatting>
  <conditionalFormatting sqref="A766">
    <cfRule type="cellIs" dxfId="27089" priority="26927" stopIfTrue="1" operator="equal">
      <formula>"Pass"</formula>
    </cfRule>
    <cfRule type="cellIs" dxfId="27088" priority="26928" stopIfTrue="1" operator="equal">
      <formula>"Fail"</formula>
    </cfRule>
  </conditionalFormatting>
  <conditionalFormatting sqref="A766">
    <cfRule type="cellIs" dxfId="27087" priority="26925" stopIfTrue="1" operator="equal">
      <formula>"Pass"</formula>
    </cfRule>
    <cfRule type="cellIs" dxfId="27086" priority="26926" stopIfTrue="1" operator="equal">
      <formula>"Fail"</formula>
    </cfRule>
  </conditionalFormatting>
  <conditionalFormatting sqref="A766">
    <cfRule type="cellIs" dxfId="27085" priority="26923" stopIfTrue="1" operator="equal">
      <formula>"Pass"</formula>
    </cfRule>
    <cfRule type="cellIs" dxfId="27084" priority="26924" stopIfTrue="1" operator="equal">
      <formula>"Fail"</formula>
    </cfRule>
  </conditionalFormatting>
  <conditionalFormatting sqref="A766">
    <cfRule type="cellIs" dxfId="27083" priority="26921" stopIfTrue="1" operator="equal">
      <formula>"Pass"</formula>
    </cfRule>
    <cfRule type="cellIs" dxfId="27082" priority="26922" stopIfTrue="1" operator="equal">
      <formula>"Fail"</formula>
    </cfRule>
  </conditionalFormatting>
  <conditionalFormatting sqref="A766">
    <cfRule type="cellIs" dxfId="27081" priority="26919" stopIfTrue="1" operator="equal">
      <formula>"Pass"</formula>
    </cfRule>
    <cfRule type="cellIs" dxfId="27080" priority="26920" stopIfTrue="1" operator="equal">
      <formula>"Fail"</formula>
    </cfRule>
  </conditionalFormatting>
  <conditionalFormatting sqref="A766">
    <cfRule type="cellIs" dxfId="27079" priority="26917" stopIfTrue="1" operator="equal">
      <formula>"Pass"</formula>
    </cfRule>
    <cfRule type="cellIs" dxfId="27078" priority="26918" stopIfTrue="1" operator="equal">
      <formula>"Fail"</formula>
    </cfRule>
  </conditionalFormatting>
  <conditionalFormatting sqref="A766">
    <cfRule type="cellIs" dxfId="27077" priority="26915" stopIfTrue="1" operator="equal">
      <formula>"Pass"</formula>
    </cfRule>
    <cfRule type="cellIs" dxfId="27076" priority="26916" stopIfTrue="1" operator="equal">
      <formula>"Fail"</formula>
    </cfRule>
  </conditionalFormatting>
  <conditionalFormatting sqref="A766">
    <cfRule type="cellIs" dxfId="27075" priority="26913" stopIfTrue="1" operator="equal">
      <formula>"Pass"</formula>
    </cfRule>
    <cfRule type="cellIs" dxfId="27074" priority="26914" stopIfTrue="1" operator="equal">
      <formula>"Fail"</formula>
    </cfRule>
  </conditionalFormatting>
  <conditionalFormatting sqref="A766">
    <cfRule type="cellIs" dxfId="27073" priority="26911" stopIfTrue="1" operator="equal">
      <formula>"Pass"</formula>
    </cfRule>
    <cfRule type="cellIs" dxfId="27072" priority="26912" stopIfTrue="1" operator="equal">
      <formula>"Fail"</formula>
    </cfRule>
  </conditionalFormatting>
  <conditionalFormatting sqref="J766:J767">
    <cfRule type="cellIs" dxfId="27071" priority="26909" stopIfTrue="1" operator="equal">
      <formula>"Pass"</formula>
    </cfRule>
    <cfRule type="cellIs" dxfId="27070" priority="26910" stopIfTrue="1" operator="equal">
      <formula>"Fail"</formula>
    </cfRule>
  </conditionalFormatting>
  <conditionalFormatting sqref="H766:H767 I767">
    <cfRule type="cellIs" dxfId="27069" priority="26907" stopIfTrue="1" operator="equal">
      <formula>"Pass"</formula>
    </cfRule>
    <cfRule type="cellIs" dxfId="27068" priority="26908" stopIfTrue="1" operator="equal">
      <formula>"Fail"</formula>
    </cfRule>
  </conditionalFormatting>
  <conditionalFormatting sqref="A766 C766 F768 F766:G766 K766:N767">
    <cfRule type="cellIs" dxfId="27067" priority="26905" stopIfTrue="1" operator="equal">
      <formula>"Pass"</formula>
    </cfRule>
    <cfRule type="cellIs" dxfId="27066" priority="26906" stopIfTrue="1" operator="equal">
      <formula>"Fail"</formula>
    </cfRule>
  </conditionalFormatting>
  <conditionalFormatting sqref="T766:T768 U767:U768">
    <cfRule type="cellIs" dxfId="27065" priority="26903" stopIfTrue="1" operator="equal">
      <formula>"Fail"</formula>
    </cfRule>
    <cfRule type="cellIs" dxfId="27064" priority="26904" stopIfTrue="1" operator="equal">
      <formula>"Pass"</formula>
    </cfRule>
  </conditionalFormatting>
  <conditionalFormatting sqref="A766">
    <cfRule type="cellIs" dxfId="27063" priority="26901" stopIfTrue="1" operator="equal">
      <formula>"Pass"</formula>
    </cfRule>
    <cfRule type="cellIs" dxfId="27062" priority="26902" stopIfTrue="1" operator="equal">
      <formula>"Fail"</formula>
    </cfRule>
  </conditionalFormatting>
  <conditionalFormatting sqref="A766">
    <cfRule type="cellIs" dxfId="27061" priority="26899" stopIfTrue="1" operator="equal">
      <formula>"Pass"</formula>
    </cfRule>
    <cfRule type="cellIs" dxfId="27060" priority="26900" stopIfTrue="1" operator="equal">
      <formula>"Fail"</formula>
    </cfRule>
  </conditionalFormatting>
  <conditionalFormatting sqref="A766">
    <cfRule type="cellIs" dxfId="27059" priority="26897" stopIfTrue="1" operator="equal">
      <formula>"Pass"</formula>
    </cfRule>
    <cfRule type="cellIs" dxfId="27058" priority="26898" stopIfTrue="1" operator="equal">
      <formula>"Fail"</formula>
    </cfRule>
  </conditionalFormatting>
  <conditionalFormatting sqref="A766">
    <cfRule type="cellIs" dxfId="27057" priority="26895" stopIfTrue="1" operator="equal">
      <formula>"Pass"</formula>
    </cfRule>
    <cfRule type="cellIs" dxfId="27056" priority="26896" stopIfTrue="1" operator="equal">
      <formula>"Fail"</formula>
    </cfRule>
  </conditionalFormatting>
  <conditionalFormatting sqref="A766">
    <cfRule type="cellIs" dxfId="27055" priority="26893" stopIfTrue="1" operator="equal">
      <formula>"Pass"</formula>
    </cfRule>
    <cfRule type="cellIs" dxfId="27054" priority="26894" stopIfTrue="1" operator="equal">
      <formula>"Fail"</formula>
    </cfRule>
  </conditionalFormatting>
  <conditionalFormatting sqref="A766">
    <cfRule type="cellIs" dxfId="27053" priority="26891" stopIfTrue="1" operator="equal">
      <formula>"Pass"</formula>
    </cfRule>
    <cfRule type="cellIs" dxfId="27052" priority="26892" stopIfTrue="1" operator="equal">
      <formula>"Fail"</formula>
    </cfRule>
  </conditionalFormatting>
  <conditionalFormatting sqref="A766">
    <cfRule type="cellIs" dxfId="27051" priority="26889" stopIfTrue="1" operator="equal">
      <formula>"Pass"</formula>
    </cfRule>
    <cfRule type="cellIs" dxfId="27050" priority="26890" stopIfTrue="1" operator="equal">
      <formula>"Fail"</formula>
    </cfRule>
  </conditionalFormatting>
  <conditionalFormatting sqref="A766">
    <cfRule type="cellIs" dxfId="27049" priority="26887" stopIfTrue="1" operator="equal">
      <formula>"Pass"</formula>
    </cfRule>
    <cfRule type="cellIs" dxfId="27048" priority="26888" stopIfTrue="1" operator="equal">
      <formula>"Fail"</formula>
    </cfRule>
  </conditionalFormatting>
  <conditionalFormatting sqref="A766">
    <cfRule type="cellIs" dxfId="27047" priority="26885" stopIfTrue="1" operator="equal">
      <formula>"Pass"</formula>
    </cfRule>
    <cfRule type="cellIs" dxfId="27046" priority="26886" stopIfTrue="1" operator="equal">
      <formula>"Fail"</formula>
    </cfRule>
  </conditionalFormatting>
  <conditionalFormatting sqref="A766">
    <cfRule type="cellIs" dxfId="27045" priority="26883" stopIfTrue="1" operator="equal">
      <formula>"Pass"</formula>
    </cfRule>
    <cfRule type="cellIs" dxfId="27044" priority="26884" stopIfTrue="1" operator="equal">
      <formula>"Fail"</formula>
    </cfRule>
  </conditionalFormatting>
  <conditionalFormatting sqref="A766">
    <cfRule type="cellIs" dxfId="27043" priority="26881" stopIfTrue="1" operator="equal">
      <formula>"Pass"</formula>
    </cfRule>
    <cfRule type="cellIs" dxfId="27042" priority="26882" stopIfTrue="1" operator="equal">
      <formula>"Fail"</formula>
    </cfRule>
  </conditionalFormatting>
  <conditionalFormatting sqref="A766">
    <cfRule type="cellIs" dxfId="27041" priority="26879" stopIfTrue="1" operator="equal">
      <formula>"Pass"</formula>
    </cfRule>
    <cfRule type="cellIs" dxfId="27040" priority="26880" stopIfTrue="1" operator="equal">
      <formula>"Fail"</formula>
    </cfRule>
  </conditionalFormatting>
  <conditionalFormatting sqref="A766">
    <cfRule type="cellIs" dxfId="27039" priority="26877" stopIfTrue="1" operator="equal">
      <formula>"Pass"</formula>
    </cfRule>
    <cfRule type="cellIs" dxfId="27038" priority="26878" stopIfTrue="1" operator="equal">
      <formula>"Fail"</formula>
    </cfRule>
  </conditionalFormatting>
  <conditionalFormatting sqref="A766">
    <cfRule type="cellIs" dxfId="27037" priority="26875" stopIfTrue="1" operator="equal">
      <formula>"Pass"</formula>
    </cfRule>
    <cfRule type="cellIs" dxfId="27036" priority="26876" stopIfTrue="1" operator="equal">
      <formula>"Fail"</formula>
    </cfRule>
  </conditionalFormatting>
  <conditionalFormatting sqref="A766">
    <cfRule type="cellIs" dxfId="27035" priority="26873" stopIfTrue="1" operator="equal">
      <formula>"Pass"</formula>
    </cfRule>
    <cfRule type="cellIs" dxfId="27034" priority="26874" stopIfTrue="1" operator="equal">
      <formula>"Fail"</formula>
    </cfRule>
  </conditionalFormatting>
  <conditionalFormatting sqref="A766">
    <cfRule type="cellIs" dxfId="27033" priority="26871" stopIfTrue="1" operator="equal">
      <formula>"Pass"</formula>
    </cfRule>
    <cfRule type="cellIs" dxfId="27032" priority="26872" stopIfTrue="1" operator="equal">
      <formula>"Fail"</formula>
    </cfRule>
  </conditionalFormatting>
  <conditionalFormatting sqref="U766">
    <cfRule type="cellIs" dxfId="27031" priority="26869" stopIfTrue="1" operator="equal">
      <formula>"Fail"</formula>
    </cfRule>
    <cfRule type="cellIs" dxfId="27030" priority="26870" stopIfTrue="1" operator="equal">
      <formula>"Pass"</formula>
    </cfRule>
  </conditionalFormatting>
  <conditionalFormatting sqref="U766">
    <cfRule type="cellIs" dxfId="27029" priority="26867" stopIfTrue="1" operator="equal">
      <formula>"Fail"</formula>
    </cfRule>
    <cfRule type="cellIs" dxfId="27028" priority="26868" stopIfTrue="1" operator="equal">
      <formula>"Pass"</formula>
    </cfRule>
  </conditionalFormatting>
  <conditionalFormatting sqref="J766:J767">
    <cfRule type="cellIs" dxfId="27027" priority="26865" stopIfTrue="1" operator="equal">
      <formula>"Pass"</formula>
    </cfRule>
    <cfRule type="cellIs" dxfId="27026" priority="26866" stopIfTrue="1" operator="equal">
      <formula>"Fail"</formula>
    </cfRule>
  </conditionalFormatting>
  <conditionalFormatting sqref="H766:H767 I767">
    <cfRule type="cellIs" dxfId="27025" priority="26863" stopIfTrue="1" operator="equal">
      <formula>"Pass"</formula>
    </cfRule>
    <cfRule type="cellIs" dxfId="27024" priority="26864" stopIfTrue="1" operator="equal">
      <formula>"Fail"</formula>
    </cfRule>
  </conditionalFormatting>
  <conditionalFormatting sqref="F768 F766:G766 K766:N767">
    <cfRule type="cellIs" dxfId="27023" priority="26861" stopIfTrue="1" operator="equal">
      <formula>"Pass"</formula>
    </cfRule>
    <cfRule type="cellIs" dxfId="27022" priority="26862" stopIfTrue="1" operator="equal">
      <formula>"Fail"</formula>
    </cfRule>
  </conditionalFormatting>
  <conditionalFormatting sqref="T766:T768 U767:U768">
    <cfRule type="cellIs" dxfId="27021" priority="26859" stopIfTrue="1" operator="equal">
      <formula>"Fail"</formula>
    </cfRule>
    <cfRule type="cellIs" dxfId="27020" priority="26860" stopIfTrue="1" operator="equal">
      <formula>"Pass"</formula>
    </cfRule>
  </conditionalFormatting>
  <conditionalFormatting sqref="U766">
    <cfRule type="cellIs" dxfId="27019" priority="26857" stopIfTrue="1" operator="equal">
      <formula>"Fail"</formula>
    </cfRule>
    <cfRule type="cellIs" dxfId="27018" priority="26858" stopIfTrue="1" operator="equal">
      <formula>"Pass"</formula>
    </cfRule>
  </conditionalFormatting>
  <conditionalFormatting sqref="U766">
    <cfRule type="cellIs" dxfId="27017" priority="26855" stopIfTrue="1" operator="equal">
      <formula>"Fail"</formula>
    </cfRule>
    <cfRule type="cellIs" dxfId="27016" priority="26856" stopIfTrue="1" operator="equal">
      <formula>"Pass"</formula>
    </cfRule>
  </conditionalFormatting>
  <conditionalFormatting sqref="F766:G766 K766:N766">
    <cfRule type="cellIs" dxfId="27015" priority="26853" stopIfTrue="1" operator="equal">
      <formula>"Pass"</formula>
    </cfRule>
    <cfRule type="cellIs" dxfId="27014" priority="26854" stopIfTrue="1" operator="equal">
      <formula>"Fail"</formula>
    </cfRule>
  </conditionalFormatting>
  <conditionalFormatting sqref="K767:N767">
    <cfRule type="cellIs" dxfId="27013" priority="26851" stopIfTrue="1" operator="equal">
      <formula>"Pass"</formula>
    </cfRule>
    <cfRule type="cellIs" dxfId="27012" priority="26852" stopIfTrue="1" operator="equal">
      <formula>"Fail"</formula>
    </cfRule>
  </conditionalFormatting>
  <conditionalFormatting sqref="U766">
    <cfRule type="cellIs" dxfId="27011" priority="26849" stopIfTrue="1" operator="equal">
      <formula>"Fail"</formula>
    </cfRule>
    <cfRule type="cellIs" dxfId="27010" priority="26850" stopIfTrue="1" operator="equal">
      <formula>"Pass"</formula>
    </cfRule>
  </conditionalFormatting>
  <conditionalFormatting sqref="H769:H770">
    <cfRule type="cellIs" dxfId="27009" priority="26847" stopIfTrue="1" operator="equal">
      <formula>"Pass"</formula>
    </cfRule>
    <cfRule type="cellIs" dxfId="27008" priority="26848" stopIfTrue="1" operator="equal">
      <formula>"Fail"</formula>
    </cfRule>
  </conditionalFormatting>
  <conditionalFormatting sqref="E769:F769 I769:M770 E771:F771 A769">
    <cfRule type="cellIs" dxfId="27007" priority="26845" stopIfTrue="1" operator="equal">
      <formula>"Pass"</formula>
    </cfRule>
    <cfRule type="cellIs" dxfId="27006" priority="26846" stopIfTrue="1" operator="equal">
      <formula>"Fail"</formula>
    </cfRule>
  </conditionalFormatting>
  <conditionalFormatting sqref="T771 T769 R769:R771 S770:S771">
    <cfRule type="cellIs" dxfId="27005" priority="26843" stopIfTrue="1" operator="equal">
      <formula>"Fail"</formula>
    </cfRule>
    <cfRule type="cellIs" dxfId="27004" priority="26844" stopIfTrue="1" operator="equal">
      <formula>"Pass"</formula>
    </cfRule>
  </conditionalFormatting>
  <conditionalFormatting sqref="F769:G769 J769:N770 F771:G771 B769:B771 A769">
    <cfRule type="cellIs" dxfId="27003" priority="26841" stopIfTrue="1" operator="equal">
      <formula>"Pass"</formula>
    </cfRule>
    <cfRule type="cellIs" dxfId="27002" priority="26842" stopIfTrue="1" operator="equal">
      <formula>"Fail"</formula>
    </cfRule>
  </conditionalFormatting>
  <conditionalFormatting sqref="U771 T769:T771 S770:S771">
    <cfRule type="cellIs" dxfId="27001" priority="26839" stopIfTrue="1" operator="equal">
      <formula>"Fail"</formula>
    </cfRule>
    <cfRule type="cellIs" dxfId="27000" priority="26840" stopIfTrue="1" operator="equal">
      <formula>"Pass"</formula>
    </cfRule>
  </conditionalFormatting>
  <conditionalFormatting sqref="A769">
    <cfRule type="cellIs" dxfId="26999" priority="26837" stopIfTrue="1" operator="equal">
      <formula>"Pass"</formula>
    </cfRule>
    <cfRule type="cellIs" dxfId="26998" priority="26838" stopIfTrue="1" operator="equal">
      <formula>"Fail"</formula>
    </cfRule>
  </conditionalFormatting>
  <conditionalFormatting sqref="A769">
    <cfRule type="cellIs" dxfId="26997" priority="26835" stopIfTrue="1" operator="equal">
      <formula>"Pass"</formula>
    </cfRule>
    <cfRule type="cellIs" dxfId="26996" priority="26836" stopIfTrue="1" operator="equal">
      <formula>"Fail"</formula>
    </cfRule>
  </conditionalFormatting>
  <conditionalFormatting sqref="A769">
    <cfRule type="cellIs" dxfId="26995" priority="26833" stopIfTrue="1" operator="equal">
      <formula>"Pass"</formula>
    </cfRule>
    <cfRule type="cellIs" dxfId="26994" priority="26834" stopIfTrue="1" operator="equal">
      <formula>"Fail"</formula>
    </cfRule>
  </conditionalFormatting>
  <conditionalFormatting sqref="A769">
    <cfRule type="cellIs" dxfId="26993" priority="26831" stopIfTrue="1" operator="equal">
      <formula>"Pass"</formula>
    </cfRule>
    <cfRule type="cellIs" dxfId="26992" priority="26832" stopIfTrue="1" operator="equal">
      <formula>"Fail"</formula>
    </cfRule>
  </conditionalFormatting>
  <conditionalFormatting sqref="A769">
    <cfRule type="cellIs" dxfId="26991" priority="26829" stopIfTrue="1" operator="equal">
      <formula>"Pass"</formula>
    </cfRule>
    <cfRule type="cellIs" dxfId="26990" priority="26830" stopIfTrue="1" operator="equal">
      <formula>"Fail"</formula>
    </cfRule>
  </conditionalFormatting>
  <conditionalFormatting sqref="A769">
    <cfRule type="cellIs" dxfId="26989" priority="26827" stopIfTrue="1" operator="equal">
      <formula>"Pass"</formula>
    </cfRule>
    <cfRule type="cellIs" dxfId="26988" priority="26828" stopIfTrue="1" operator="equal">
      <formula>"Fail"</formula>
    </cfRule>
  </conditionalFormatting>
  <conditionalFormatting sqref="A769">
    <cfRule type="cellIs" dxfId="26987" priority="26825" stopIfTrue="1" operator="equal">
      <formula>"Pass"</formula>
    </cfRule>
    <cfRule type="cellIs" dxfId="26986" priority="26826" stopIfTrue="1" operator="equal">
      <formula>"Fail"</formula>
    </cfRule>
  </conditionalFormatting>
  <conditionalFormatting sqref="A769">
    <cfRule type="cellIs" dxfId="26985" priority="26823" stopIfTrue="1" operator="equal">
      <formula>"Pass"</formula>
    </cfRule>
    <cfRule type="cellIs" dxfId="26984" priority="26824" stopIfTrue="1" operator="equal">
      <formula>"Fail"</formula>
    </cfRule>
  </conditionalFormatting>
  <conditionalFormatting sqref="A769">
    <cfRule type="cellIs" dxfId="26983" priority="26821" stopIfTrue="1" operator="equal">
      <formula>"Pass"</formula>
    </cfRule>
    <cfRule type="cellIs" dxfId="26982" priority="26822" stopIfTrue="1" operator="equal">
      <formula>"Fail"</formula>
    </cfRule>
  </conditionalFormatting>
  <conditionalFormatting sqref="A769">
    <cfRule type="cellIs" dxfId="26981" priority="26819" stopIfTrue="1" operator="equal">
      <formula>"Pass"</formula>
    </cfRule>
    <cfRule type="cellIs" dxfId="26980" priority="26820" stopIfTrue="1" operator="equal">
      <formula>"Fail"</formula>
    </cfRule>
  </conditionalFormatting>
  <conditionalFormatting sqref="U769">
    <cfRule type="cellIs" dxfId="26979" priority="26817" stopIfTrue="1" operator="equal">
      <formula>"Fail"</formula>
    </cfRule>
    <cfRule type="cellIs" dxfId="26978" priority="26818" stopIfTrue="1" operator="equal">
      <formula>"Pass"</formula>
    </cfRule>
  </conditionalFormatting>
  <conditionalFormatting sqref="F769:G769 J769:N769">
    <cfRule type="cellIs" dxfId="26977" priority="26815" stopIfTrue="1" operator="equal">
      <formula>"Pass"</formula>
    </cfRule>
    <cfRule type="cellIs" dxfId="26976" priority="26816" stopIfTrue="1" operator="equal">
      <formula>"Fail"</formula>
    </cfRule>
  </conditionalFormatting>
  <conditionalFormatting sqref="J770:N770">
    <cfRule type="cellIs" dxfId="26975" priority="26813" stopIfTrue="1" operator="equal">
      <formula>"Pass"</formula>
    </cfRule>
    <cfRule type="cellIs" dxfId="26974" priority="26814" stopIfTrue="1" operator="equal">
      <formula>"Fail"</formula>
    </cfRule>
  </conditionalFormatting>
  <conditionalFormatting sqref="A763:A771">
    <cfRule type="cellIs" dxfId="26973" priority="26811" stopIfTrue="1" operator="equal">
      <formula>"Pass"</formula>
    </cfRule>
    <cfRule type="cellIs" dxfId="26972" priority="26812" stopIfTrue="1" operator="equal">
      <formula>"Fail"</formula>
    </cfRule>
  </conditionalFormatting>
  <conditionalFormatting sqref="A763:A771">
    <cfRule type="cellIs" dxfId="26971" priority="26809" stopIfTrue="1" operator="equal">
      <formula>"Pass"</formula>
    </cfRule>
    <cfRule type="cellIs" dxfId="26970" priority="26810" stopIfTrue="1" operator="equal">
      <formula>"Fail"</formula>
    </cfRule>
  </conditionalFormatting>
  <conditionalFormatting sqref="A763:A771">
    <cfRule type="cellIs" dxfId="26969" priority="26807" stopIfTrue="1" operator="equal">
      <formula>"Pass"</formula>
    </cfRule>
    <cfRule type="cellIs" dxfId="26968" priority="26808" stopIfTrue="1" operator="equal">
      <formula>"Fail"</formula>
    </cfRule>
  </conditionalFormatting>
  <conditionalFormatting sqref="A763:A771">
    <cfRule type="cellIs" dxfId="26967" priority="26805" stopIfTrue="1" operator="equal">
      <formula>"Pass"</formula>
    </cfRule>
    <cfRule type="cellIs" dxfId="26966" priority="26806" stopIfTrue="1" operator="equal">
      <formula>"Fail"</formula>
    </cfRule>
  </conditionalFormatting>
  <conditionalFormatting sqref="A763:A771">
    <cfRule type="cellIs" dxfId="26965" priority="26803" stopIfTrue="1" operator="equal">
      <formula>"Pass"</formula>
    </cfRule>
    <cfRule type="cellIs" dxfId="26964" priority="26804" stopIfTrue="1" operator="equal">
      <formula>"Fail"</formula>
    </cfRule>
  </conditionalFormatting>
  <conditionalFormatting sqref="A765 A768 A771">
    <cfRule type="cellIs" dxfId="26963" priority="26801" stopIfTrue="1" operator="equal">
      <formula>"Pass"</formula>
    </cfRule>
    <cfRule type="cellIs" dxfId="26962" priority="26802" stopIfTrue="1" operator="equal">
      <formula>"Fail"</formula>
    </cfRule>
  </conditionalFormatting>
  <conditionalFormatting sqref="A763:A771">
    <cfRule type="cellIs" dxfId="26961" priority="26799" stopIfTrue="1" operator="equal">
      <formula>"Pass"</formula>
    </cfRule>
    <cfRule type="cellIs" dxfId="26960" priority="26800" stopIfTrue="1" operator="equal">
      <formula>"Fail"</formula>
    </cfRule>
  </conditionalFormatting>
  <conditionalFormatting sqref="A763:A771">
    <cfRule type="cellIs" dxfId="26959" priority="26797" stopIfTrue="1" operator="equal">
      <formula>"Pass"</formula>
    </cfRule>
    <cfRule type="cellIs" dxfId="26958" priority="26798" stopIfTrue="1" operator="equal">
      <formula>"Fail"</formula>
    </cfRule>
  </conditionalFormatting>
  <conditionalFormatting sqref="A763:A771">
    <cfRule type="cellIs" dxfId="26957" priority="26795" stopIfTrue="1" operator="equal">
      <formula>"Pass"</formula>
    </cfRule>
    <cfRule type="cellIs" dxfId="26956" priority="26796" stopIfTrue="1" operator="equal">
      <formula>"Fail"</formula>
    </cfRule>
  </conditionalFormatting>
  <conditionalFormatting sqref="A763:A771">
    <cfRule type="cellIs" dxfId="26955" priority="26793" stopIfTrue="1" operator="equal">
      <formula>"Pass"</formula>
    </cfRule>
    <cfRule type="cellIs" dxfId="26954" priority="26794" stopIfTrue="1" operator="equal">
      <formula>"Fail"</formula>
    </cfRule>
  </conditionalFormatting>
  <conditionalFormatting sqref="A763:A771">
    <cfRule type="cellIs" dxfId="26953" priority="26791" stopIfTrue="1" operator="equal">
      <formula>"Pass"</formula>
    </cfRule>
    <cfRule type="cellIs" dxfId="26952" priority="26792" stopIfTrue="1" operator="equal">
      <formula>"Fail"</formula>
    </cfRule>
  </conditionalFormatting>
  <conditionalFormatting sqref="A763:A771">
    <cfRule type="cellIs" dxfId="26951" priority="26789" stopIfTrue="1" operator="equal">
      <formula>"Pass"</formula>
    </cfRule>
    <cfRule type="cellIs" dxfId="26950" priority="26790" stopIfTrue="1" operator="equal">
      <formula>"Fail"</formula>
    </cfRule>
  </conditionalFormatting>
  <conditionalFormatting sqref="A765 A768 A771">
    <cfRule type="cellIs" dxfId="26949" priority="26787" stopIfTrue="1" operator="equal">
      <formula>"Pass"</formula>
    </cfRule>
    <cfRule type="cellIs" dxfId="26948" priority="26788" stopIfTrue="1" operator="equal">
      <formula>"Fail"</formula>
    </cfRule>
  </conditionalFormatting>
  <conditionalFormatting sqref="A763:A771">
    <cfRule type="cellIs" dxfId="26947" priority="26785" stopIfTrue="1" operator="equal">
      <formula>"Pass"</formula>
    </cfRule>
    <cfRule type="cellIs" dxfId="26946" priority="26786" stopIfTrue="1" operator="equal">
      <formula>"Fail"</formula>
    </cfRule>
  </conditionalFormatting>
  <conditionalFormatting sqref="H772:H773">
    <cfRule type="cellIs" dxfId="26945" priority="26783" stopIfTrue="1" operator="equal">
      <formula>"Pass"</formula>
    </cfRule>
    <cfRule type="cellIs" dxfId="26944" priority="26784" stopIfTrue="1" operator="equal">
      <formula>"Fail"</formula>
    </cfRule>
  </conditionalFormatting>
  <conditionalFormatting sqref="E772:F772 E774:F774 I772:M773 A772:A780">
    <cfRule type="cellIs" dxfId="26943" priority="26781" stopIfTrue="1" operator="equal">
      <formula>"Pass"</formula>
    </cfRule>
    <cfRule type="cellIs" dxfId="26942" priority="26782" stopIfTrue="1" operator="equal">
      <formula>"Fail"</formula>
    </cfRule>
  </conditionalFormatting>
  <conditionalFormatting sqref="T774 T772 R772:R774 S773:S774">
    <cfRule type="cellIs" dxfId="26941" priority="26779" stopIfTrue="1" operator="equal">
      <formula>"Fail"</formula>
    </cfRule>
    <cfRule type="cellIs" dxfId="26940" priority="26780" stopIfTrue="1" operator="equal">
      <formula>"Pass"</formula>
    </cfRule>
  </conditionalFormatting>
  <conditionalFormatting sqref="F772:G772 F774:G774 A772:B774 J772:N773 A775:A780">
    <cfRule type="cellIs" dxfId="26939" priority="26777" stopIfTrue="1" operator="equal">
      <formula>"Pass"</formula>
    </cfRule>
    <cfRule type="cellIs" dxfId="26938" priority="26778" stopIfTrue="1" operator="equal">
      <formula>"Fail"</formula>
    </cfRule>
  </conditionalFormatting>
  <conditionalFormatting sqref="U774 U772 T772:T774 S773:S774">
    <cfRule type="cellIs" dxfId="26937" priority="26775" stopIfTrue="1" operator="equal">
      <formula>"Fail"</formula>
    </cfRule>
    <cfRule type="cellIs" dxfId="26936" priority="26776" stopIfTrue="1" operator="equal">
      <formula>"Pass"</formula>
    </cfRule>
  </conditionalFormatting>
  <conditionalFormatting sqref="A772:A780">
    <cfRule type="cellIs" dxfId="26935" priority="26773" stopIfTrue="1" operator="equal">
      <formula>"Pass"</formula>
    </cfRule>
    <cfRule type="cellIs" dxfId="26934" priority="26774" stopIfTrue="1" operator="equal">
      <formula>"Fail"</formula>
    </cfRule>
  </conditionalFormatting>
  <conditionalFormatting sqref="A772:A780">
    <cfRule type="cellIs" dxfId="26933" priority="26771" stopIfTrue="1" operator="equal">
      <formula>"Pass"</formula>
    </cfRule>
    <cfRule type="cellIs" dxfId="26932" priority="26772" stopIfTrue="1" operator="equal">
      <formula>"Fail"</formula>
    </cfRule>
  </conditionalFormatting>
  <conditionalFormatting sqref="A772:A780">
    <cfRule type="cellIs" dxfId="26931" priority="26769" stopIfTrue="1" operator="equal">
      <formula>"Pass"</formula>
    </cfRule>
    <cfRule type="cellIs" dxfId="26930" priority="26770" stopIfTrue="1" operator="equal">
      <formula>"Fail"</formula>
    </cfRule>
  </conditionalFormatting>
  <conditionalFormatting sqref="J772:N773 E772:G774">
    <cfRule type="cellIs" dxfId="26929" priority="26767" stopIfTrue="1" operator="equal">
      <formula>"Pass"</formula>
    </cfRule>
    <cfRule type="cellIs" dxfId="26928" priority="26768" stopIfTrue="1" operator="equal">
      <formula>"Fail"</formula>
    </cfRule>
  </conditionalFormatting>
  <conditionalFormatting sqref="A774 C774 K772:O773 F772:H774 A777 A780">
    <cfRule type="cellIs" dxfId="26927" priority="26765" stopIfTrue="1" operator="equal">
      <formula>"Pass"</formula>
    </cfRule>
    <cfRule type="cellIs" dxfId="26926" priority="26766" stopIfTrue="1" operator="equal">
      <formula>"Fail"</formula>
    </cfRule>
  </conditionalFormatting>
  <conditionalFormatting sqref="T772">
    <cfRule type="cellIs" dxfId="26925" priority="26763" stopIfTrue="1" operator="equal">
      <formula>"Fail"</formula>
    </cfRule>
    <cfRule type="cellIs" dxfId="26924" priority="26764" stopIfTrue="1" operator="equal">
      <formula>"Pass"</formula>
    </cfRule>
  </conditionalFormatting>
  <conditionalFormatting sqref="A772:A780">
    <cfRule type="cellIs" dxfId="26923" priority="26761" stopIfTrue="1" operator="equal">
      <formula>"Pass"</formula>
    </cfRule>
    <cfRule type="cellIs" dxfId="26922" priority="26762" stopIfTrue="1" operator="equal">
      <formula>"Fail"</formula>
    </cfRule>
  </conditionalFormatting>
  <conditionalFormatting sqref="A775">
    <cfRule type="cellIs" dxfId="26921" priority="26759" stopIfTrue="1" operator="equal">
      <formula>"Pass"</formula>
    </cfRule>
    <cfRule type="cellIs" dxfId="26920" priority="26760" stopIfTrue="1" operator="equal">
      <formula>"Fail"</formula>
    </cfRule>
  </conditionalFormatting>
  <conditionalFormatting sqref="A775">
    <cfRule type="cellIs" dxfId="26919" priority="26757" stopIfTrue="1" operator="equal">
      <formula>"Pass"</formula>
    </cfRule>
    <cfRule type="cellIs" dxfId="26918" priority="26758" stopIfTrue="1" operator="equal">
      <formula>"Fail"</formula>
    </cfRule>
  </conditionalFormatting>
  <conditionalFormatting sqref="A775">
    <cfRule type="cellIs" dxfId="26917" priority="26755" stopIfTrue="1" operator="equal">
      <formula>"Pass"</formula>
    </cfRule>
    <cfRule type="cellIs" dxfId="26916" priority="26756" stopIfTrue="1" operator="equal">
      <formula>"Fail"</formula>
    </cfRule>
  </conditionalFormatting>
  <conditionalFormatting sqref="A775">
    <cfRule type="cellIs" dxfId="26915" priority="26753" stopIfTrue="1" operator="equal">
      <formula>"Pass"</formula>
    </cfRule>
    <cfRule type="cellIs" dxfId="26914" priority="26754" stopIfTrue="1" operator="equal">
      <formula>"Fail"</formula>
    </cfRule>
  </conditionalFormatting>
  <conditionalFormatting sqref="A775">
    <cfRule type="cellIs" dxfId="26913" priority="26751" stopIfTrue="1" operator="equal">
      <formula>"Pass"</formula>
    </cfRule>
    <cfRule type="cellIs" dxfId="26912" priority="26752" stopIfTrue="1" operator="equal">
      <formula>"Fail"</formula>
    </cfRule>
  </conditionalFormatting>
  <conditionalFormatting sqref="A775">
    <cfRule type="cellIs" dxfId="26911" priority="26749" stopIfTrue="1" operator="equal">
      <formula>"Pass"</formula>
    </cfRule>
    <cfRule type="cellIs" dxfId="26910" priority="26750" stopIfTrue="1" operator="equal">
      <formula>"Fail"</formula>
    </cfRule>
  </conditionalFormatting>
  <conditionalFormatting sqref="A775">
    <cfRule type="cellIs" dxfId="26909" priority="26747" stopIfTrue="1" operator="equal">
      <formula>"Pass"</formula>
    </cfRule>
    <cfRule type="cellIs" dxfId="26908" priority="26748" stopIfTrue="1" operator="equal">
      <formula>"Fail"</formula>
    </cfRule>
  </conditionalFormatting>
  <conditionalFormatting sqref="A775">
    <cfRule type="cellIs" dxfId="26907" priority="26745" stopIfTrue="1" operator="equal">
      <formula>"Pass"</formula>
    </cfRule>
    <cfRule type="cellIs" dxfId="26906" priority="26746" stopIfTrue="1" operator="equal">
      <formula>"Fail"</formula>
    </cfRule>
  </conditionalFormatting>
  <conditionalFormatting sqref="A775">
    <cfRule type="cellIs" dxfId="26905" priority="26743" stopIfTrue="1" operator="equal">
      <formula>"Pass"</formula>
    </cfRule>
    <cfRule type="cellIs" dxfId="26904" priority="26744" stopIfTrue="1" operator="equal">
      <formula>"Fail"</formula>
    </cfRule>
  </conditionalFormatting>
  <conditionalFormatting sqref="A775">
    <cfRule type="cellIs" dxfId="26903" priority="26741" stopIfTrue="1" operator="equal">
      <formula>"Pass"</formula>
    </cfRule>
    <cfRule type="cellIs" dxfId="26902" priority="26742" stopIfTrue="1" operator="equal">
      <formula>"Fail"</formula>
    </cfRule>
  </conditionalFormatting>
  <conditionalFormatting sqref="A775">
    <cfRule type="cellIs" dxfId="26901" priority="26739" stopIfTrue="1" operator="equal">
      <formula>"Pass"</formula>
    </cfRule>
    <cfRule type="cellIs" dxfId="26900" priority="26740" stopIfTrue="1" operator="equal">
      <formula>"Fail"</formula>
    </cfRule>
  </conditionalFormatting>
  <conditionalFormatting sqref="A775">
    <cfRule type="cellIs" dxfId="26899" priority="26737" stopIfTrue="1" operator="equal">
      <formula>"Pass"</formula>
    </cfRule>
    <cfRule type="cellIs" dxfId="26898" priority="26738" stopIfTrue="1" operator="equal">
      <formula>"Fail"</formula>
    </cfRule>
  </conditionalFormatting>
  <conditionalFormatting sqref="J775:J776">
    <cfRule type="cellIs" dxfId="26897" priority="26735" stopIfTrue="1" operator="equal">
      <formula>"Pass"</formula>
    </cfRule>
    <cfRule type="cellIs" dxfId="26896" priority="26736" stopIfTrue="1" operator="equal">
      <formula>"Fail"</formula>
    </cfRule>
  </conditionalFormatting>
  <conditionalFormatting sqref="H775:H776 I776">
    <cfRule type="cellIs" dxfId="26895" priority="26733" stopIfTrue="1" operator="equal">
      <formula>"Pass"</formula>
    </cfRule>
    <cfRule type="cellIs" dxfId="26894" priority="26734" stopIfTrue="1" operator="equal">
      <formula>"Fail"</formula>
    </cfRule>
  </conditionalFormatting>
  <conditionalFormatting sqref="A775 C775 F777 F775:G775 K775:N776">
    <cfRule type="cellIs" dxfId="26893" priority="26731" stopIfTrue="1" operator="equal">
      <formula>"Pass"</formula>
    </cfRule>
    <cfRule type="cellIs" dxfId="26892" priority="26732" stopIfTrue="1" operator="equal">
      <formula>"Fail"</formula>
    </cfRule>
  </conditionalFormatting>
  <conditionalFormatting sqref="T775:T777 U776:U777">
    <cfRule type="cellIs" dxfId="26891" priority="26729" stopIfTrue="1" operator="equal">
      <formula>"Fail"</formula>
    </cfRule>
    <cfRule type="cellIs" dxfId="26890" priority="26730" stopIfTrue="1" operator="equal">
      <formula>"Pass"</formula>
    </cfRule>
  </conditionalFormatting>
  <conditionalFormatting sqref="A775">
    <cfRule type="cellIs" dxfId="26889" priority="26727" stopIfTrue="1" operator="equal">
      <formula>"Pass"</formula>
    </cfRule>
    <cfRule type="cellIs" dxfId="26888" priority="26728" stopIfTrue="1" operator="equal">
      <formula>"Fail"</formula>
    </cfRule>
  </conditionalFormatting>
  <conditionalFormatting sqref="A775">
    <cfRule type="cellIs" dxfId="26887" priority="26725" stopIfTrue="1" operator="equal">
      <formula>"Pass"</formula>
    </cfRule>
    <cfRule type="cellIs" dxfId="26886" priority="26726" stopIfTrue="1" operator="equal">
      <formula>"Fail"</formula>
    </cfRule>
  </conditionalFormatting>
  <conditionalFormatting sqref="A775">
    <cfRule type="cellIs" dxfId="26885" priority="26723" stopIfTrue="1" operator="equal">
      <formula>"Pass"</formula>
    </cfRule>
    <cfRule type="cellIs" dxfId="26884" priority="26724" stopIfTrue="1" operator="equal">
      <formula>"Fail"</formula>
    </cfRule>
  </conditionalFormatting>
  <conditionalFormatting sqref="A775">
    <cfRule type="cellIs" dxfId="26883" priority="26721" stopIfTrue="1" operator="equal">
      <formula>"Pass"</formula>
    </cfRule>
    <cfRule type="cellIs" dxfId="26882" priority="26722" stopIfTrue="1" operator="equal">
      <formula>"Fail"</formula>
    </cfRule>
  </conditionalFormatting>
  <conditionalFormatting sqref="A775">
    <cfRule type="cellIs" dxfId="26881" priority="26719" stopIfTrue="1" operator="equal">
      <formula>"Pass"</formula>
    </cfRule>
    <cfRule type="cellIs" dxfId="26880" priority="26720" stopIfTrue="1" operator="equal">
      <formula>"Fail"</formula>
    </cfRule>
  </conditionalFormatting>
  <conditionalFormatting sqref="A775">
    <cfRule type="cellIs" dxfId="26879" priority="26717" stopIfTrue="1" operator="equal">
      <formula>"Pass"</formula>
    </cfRule>
    <cfRule type="cellIs" dxfId="26878" priority="26718" stopIfTrue="1" operator="equal">
      <formula>"Fail"</formula>
    </cfRule>
  </conditionalFormatting>
  <conditionalFormatting sqref="A775">
    <cfRule type="cellIs" dxfId="26877" priority="26715" stopIfTrue="1" operator="equal">
      <formula>"Pass"</formula>
    </cfRule>
    <cfRule type="cellIs" dxfId="26876" priority="26716" stopIfTrue="1" operator="equal">
      <formula>"Fail"</formula>
    </cfRule>
  </conditionalFormatting>
  <conditionalFormatting sqref="A775">
    <cfRule type="cellIs" dxfId="26875" priority="26713" stopIfTrue="1" operator="equal">
      <formula>"Pass"</formula>
    </cfRule>
    <cfRule type="cellIs" dxfId="26874" priority="26714" stopIfTrue="1" operator="equal">
      <formula>"Fail"</formula>
    </cfRule>
  </conditionalFormatting>
  <conditionalFormatting sqref="A775">
    <cfRule type="cellIs" dxfId="26873" priority="26711" stopIfTrue="1" operator="equal">
      <formula>"Pass"</formula>
    </cfRule>
    <cfRule type="cellIs" dxfId="26872" priority="26712" stopIfTrue="1" operator="equal">
      <formula>"Fail"</formula>
    </cfRule>
  </conditionalFormatting>
  <conditionalFormatting sqref="A775">
    <cfRule type="cellIs" dxfId="26871" priority="26709" stopIfTrue="1" operator="equal">
      <formula>"Pass"</formula>
    </cfRule>
    <cfRule type="cellIs" dxfId="26870" priority="26710" stopIfTrue="1" operator="equal">
      <formula>"Fail"</formula>
    </cfRule>
  </conditionalFormatting>
  <conditionalFormatting sqref="A775">
    <cfRule type="cellIs" dxfId="26869" priority="26707" stopIfTrue="1" operator="equal">
      <formula>"Pass"</formula>
    </cfRule>
    <cfRule type="cellIs" dxfId="26868" priority="26708" stopIfTrue="1" operator="equal">
      <formula>"Fail"</formula>
    </cfRule>
  </conditionalFormatting>
  <conditionalFormatting sqref="A775">
    <cfRule type="cellIs" dxfId="26867" priority="26705" stopIfTrue="1" operator="equal">
      <formula>"Pass"</formula>
    </cfRule>
    <cfRule type="cellIs" dxfId="26866" priority="26706" stopIfTrue="1" operator="equal">
      <formula>"Fail"</formula>
    </cfRule>
  </conditionalFormatting>
  <conditionalFormatting sqref="A775">
    <cfRule type="cellIs" dxfId="26865" priority="26703" stopIfTrue="1" operator="equal">
      <formula>"Pass"</formula>
    </cfRule>
    <cfRule type="cellIs" dxfId="26864" priority="26704" stopIfTrue="1" operator="equal">
      <formula>"Fail"</formula>
    </cfRule>
  </conditionalFormatting>
  <conditionalFormatting sqref="A775">
    <cfRule type="cellIs" dxfId="26863" priority="26701" stopIfTrue="1" operator="equal">
      <formula>"Pass"</formula>
    </cfRule>
    <cfRule type="cellIs" dxfId="26862" priority="26702" stopIfTrue="1" operator="equal">
      <formula>"Fail"</formula>
    </cfRule>
  </conditionalFormatting>
  <conditionalFormatting sqref="A775">
    <cfRule type="cellIs" dxfId="26861" priority="26699" stopIfTrue="1" operator="equal">
      <formula>"Pass"</formula>
    </cfRule>
    <cfRule type="cellIs" dxfId="26860" priority="26700" stopIfTrue="1" operator="equal">
      <formula>"Fail"</formula>
    </cfRule>
  </conditionalFormatting>
  <conditionalFormatting sqref="A775">
    <cfRule type="cellIs" dxfId="26859" priority="26697" stopIfTrue="1" operator="equal">
      <formula>"Pass"</formula>
    </cfRule>
    <cfRule type="cellIs" dxfId="26858" priority="26698" stopIfTrue="1" operator="equal">
      <formula>"Fail"</formula>
    </cfRule>
  </conditionalFormatting>
  <conditionalFormatting sqref="U775">
    <cfRule type="cellIs" dxfId="26857" priority="26695" stopIfTrue="1" operator="equal">
      <formula>"Fail"</formula>
    </cfRule>
    <cfRule type="cellIs" dxfId="26856" priority="26696" stopIfTrue="1" operator="equal">
      <formula>"Pass"</formula>
    </cfRule>
  </conditionalFormatting>
  <conditionalFormatting sqref="U775">
    <cfRule type="cellIs" dxfId="26855" priority="26693" stopIfTrue="1" operator="equal">
      <formula>"Fail"</formula>
    </cfRule>
    <cfRule type="cellIs" dxfId="26854" priority="26694" stopIfTrue="1" operator="equal">
      <formula>"Pass"</formula>
    </cfRule>
  </conditionalFormatting>
  <conditionalFormatting sqref="J775:J776">
    <cfRule type="cellIs" dxfId="26853" priority="26691" stopIfTrue="1" operator="equal">
      <formula>"Pass"</formula>
    </cfRule>
    <cfRule type="cellIs" dxfId="26852" priority="26692" stopIfTrue="1" operator="equal">
      <formula>"Fail"</formula>
    </cfRule>
  </conditionalFormatting>
  <conditionalFormatting sqref="H775:H776 I776">
    <cfRule type="cellIs" dxfId="26851" priority="26689" stopIfTrue="1" operator="equal">
      <formula>"Pass"</formula>
    </cfRule>
    <cfRule type="cellIs" dxfId="26850" priority="26690" stopIfTrue="1" operator="equal">
      <formula>"Fail"</formula>
    </cfRule>
  </conditionalFormatting>
  <conditionalFormatting sqref="F777 F775:G775 K775:N776">
    <cfRule type="cellIs" dxfId="26849" priority="26687" stopIfTrue="1" operator="equal">
      <formula>"Pass"</formula>
    </cfRule>
    <cfRule type="cellIs" dxfId="26848" priority="26688" stopIfTrue="1" operator="equal">
      <formula>"Fail"</formula>
    </cfRule>
  </conditionalFormatting>
  <conditionalFormatting sqref="T775:T777 U776:U777">
    <cfRule type="cellIs" dxfId="26847" priority="26685" stopIfTrue="1" operator="equal">
      <formula>"Fail"</formula>
    </cfRule>
    <cfRule type="cellIs" dxfId="26846" priority="26686" stopIfTrue="1" operator="equal">
      <formula>"Pass"</formula>
    </cfRule>
  </conditionalFormatting>
  <conditionalFormatting sqref="U775">
    <cfRule type="cellIs" dxfId="26845" priority="26683" stopIfTrue="1" operator="equal">
      <formula>"Fail"</formula>
    </cfRule>
    <cfRule type="cellIs" dxfId="26844" priority="26684" stopIfTrue="1" operator="equal">
      <formula>"Pass"</formula>
    </cfRule>
  </conditionalFormatting>
  <conditionalFormatting sqref="U775">
    <cfRule type="cellIs" dxfId="26843" priority="26681" stopIfTrue="1" operator="equal">
      <formula>"Fail"</formula>
    </cfRule>
    <cfRule type="cellIs" dxfId="26842" priority="26682" stopIfTrue="1" operator="equal">
      <formula>"Pass"</formula>
    </cfRule>
  </conditionalFormatting>
  <conditionalFormatting sqref="F775:G775 K775:N775">
    <cfRule type="cellIs" dxfId="26841" priority="26679" stopIfTrue="1" operator="equal">
      <formula>"Pass"</formula>
    </cfRule>
    <cfRule type="cellIs" dxfId="26840" priority="26680" stopIfTrue="1" operator="equal">
      <formula>"Fail"</formula>
    </cfRule>
  </conditionalFormatting>
  <conditionalFormatting sqref="K776:N776">
    <cfRule type="cellIs" dxfId="26839" priority="26677" stopIfTrue="1" operator="equal">
      <formula>"Pass"</formula>
    </cfRule>
    <cfRule type="cellIs" dxfId="26838" priority="26678" stopIfTrue="1" operator="equal">
      <formula>"Fail"</formula>
    </cfRule>
  </conditionalFormatting>
  <conditionalFormatting sqref="U775">
    <cfRule type="cellIs" dxfId="26837" priority="26675" stopIfTrue="1" operator="equal">
      <formula>"Fail"</formula>
    </cfRule>
    <cfRule type="cellIs" dxfId="26836" priority="26676" stopIfTrue="1" operator="equal">
      <formula>"Pass"</formula>
    </cfRule>
  </conditionalFormatting>
  <conditionalFormatting sqref="H778:H779">
    <cfRule type="cellIs" dxfId="26835" priority="26673" stopIfTrue="1" operator="equal">
      <formula>"Pass"</formula>
    </cfRule>
    <cfRule type="cellIs" dxfId="26834" priority="26674" stopIfTrue="1" operator="equal">
      <formula>"Fail"</formula>
    </cfRule>
  </conditionalFormatting>
  <conditionalFormatting sqref="E778:F778 I778:M779 E780:F780 A778">
    <cfRule type="cellIs" dxfId="26833" priority="26671" stopIfTrue="1" operator="equal">
      <formula>"Pass"</formula>
    </cfRule>
    <cfRule type="cellIs" dxfId="26832" priority="26672" stopIfTrue="1" operator="equal">
      <formula>"Fail"</formula>
    </cfRule>
  </conditionalFormatting>
  <conditionalFormatting sqref="T780 T778 R778:R780 S779:S780">
    <cfRule type="cellIs" dxfId="26831" priority="26669" stopIfTrue="1" operator="equal">
      <formula>"Fail"</formula>
    </cfRule>
    <cfRule type="cellIs" dxfId="26830" priority="26670" stopIfTrue="1" operator="equal">
      <formula>"Pass"</formula>
    </cfRule>
  </conditionalFormatting>
  <conditionalFormatting sqref="F778:G778 J778:N779 F780:G780 B778:B780 A778">
    <cfRule type="cellIs" dxfId="26829" priority="26667" stopIfTrue="1" operator="equal">
      <formula>"Pass"</formula>
    </cfRule>
    <cfRule type="cellIs" dxfId="26828" priority="26668" stopIfTrue="1" operator="equal">
      <formula>"Fail"</formula>
    </cfRule>
  </conditionalFormatting>
  <conditionalFormatting sqref="U780 T778:T780 S779:S780">
    <cfRule type="cellIs" dxfId="26827" priority="26665" stopIfTrue="1" operator="equal">
      <formula>"Fail"</formula>
    </cfRule>
    <cfRule type="cellIs" dxfId="26826" priority="26666" stopIfTrue="1" operator="equal">
      <formula>"Pass"</formula>
    </cfRule>
  </conditionalFormatting>
  <conditionalFormatting sqref="A778">
    <cfRule type="cellIs" dxfId="26825" priority="26663" stopIfTrue="1" operator="equal">
      <formula>"Pass"</formula>
    </cfRule>
    <cfRule type="cellIs" dxfId="26824" priority="26664" stopIfTrue="1" operator="equal">
      <formula>"Fail"</formula>
    </cfRule>
  </conditionalFormatting>
  <conditionalFormatting sqref="A778">
    <cfRule type="cellIs" dxfId="26823" priority="26661" stopIfTrue="1" operator="equal">
      <formula>"Pass"</formula>
    </cfRule>
    <cfRule type="cellIs" dxfId="26822" priority="26662" stopIfTrue="1" operator="equal">
      <formula>"Fail"</formula>
    </cfRule>
  </conditionalFormatting>
  <conditionalFormatting sqref="A778">
    <cfRule type="cellIs" dxfId="26821" priority="26659" stopIfTrue="1" operator="equal">
      <formula>"Pass"</formula>
    </cfRule>
    <cfRule type="cellIs" dxfId="26820" priority="26660" stopIfTrue="1" operator="equal">
      <formula>"Fail"</formula>
    </cfRule>
  </conditionalFormatting>
  <conditionalFormatting sqref="A778">
    <cfRule type="cellIs" dxfId="26819" priority="26657" stopIfTrue="1" operator="equal">
      <formula>"Pass"</formula>
    </cfRule>
    <cfRule type="cellIs" dxfId="26818" priority="26658" stopIfTrue="1" operator="equal">
      <formula>"Fail"</formula>
    </cfRule>
  </conditionalFormatting>
  <conditionalFormatting sqref="A778">
    <cfRule type="cellIs" dxfId="26817" priority="26655" stopIfTrue="1" operator="equal">
      <formula>"Pass"</formula>
    </cfRule>
    <cfRule type="cellIs" dxfId="26816" priority="26656" stopIfTrue="1" operator="equal">
      <formula>"Fail"</formula>
    </cfRule>
  </conditionalFormatting>
  <conditionalFormatting sqref="A778">
    <cfRule type="cellIs" dxfId="26815" priority="26653" stopIfTrue="1" operator="equal">
      <formula>"Pass"</formula>
    </cfRule>
    <cfRule type="cellIs" dxfId="26814" priority="26654" stopIfTrue="1" operator="equal">
      <formula>"Fail"</formula>
    </cfRule>
  </conditionalFormatting>
  <conditionalFormatting sqref="A778">
    <cfRule type="cellIs" dxfId="26813" priority="26651" stopIfTrue="1" operator="equal">
      <formula>"Pass"</formula>
    </cfRule>
    <cfRule type="cellIs" dxfId="26812" priority="26652" stopIfTrue="1" operator="equal">
      <formula>"Fail"</formula>
    </cfRule>
  </conditionalFormatting>
  <conditionalFormatting sqref="A778">
    <cfRule type="cellIs" dxfId="26811" priority="26649" stopIfTrue="1" operator="equal">
      <formula>"Pass"</formula>
    </cfRule>
    <cfRule type="cellIs" dxfId="26810" priority="26650" stopIfTrue="1" operator="equal">
      <formula>"Fail"</formula>
    </cfRule>
  </conditionalFormatting>
  <conditionalFormatting sqref="A778">
    <cfRule type="cellIs" dxfId="26809" priority="26647" stopIfTrue="1" operator="equal">
      <formula>"Pass"</formula>
    </cfRule>
    <cfRule type="cellIs" dxfId="26808" priority="26648" stopIfTrue="1" operator="equal">
      <formula>"Fail"</formula>
    </cfRule>
  </conditionalFormatting>
  <conditionalFormatting sqref="A778">
    <cfRule type="cellIs" dxfId="26807" priority="26645" stopIfTrue="1" operator="equal">
      <formula>"Pass"</formula>
    </cfRule>
    <cfRule type="cellIs" dxfId="26806" priority="26646" stopIfTrue="1" operator="equal">
      <formula>"Fail"</formula>
    </cfRule>
  </conditionalFormatting>
  <conditionalFormatting sqref="U778">
    <cfRule type="cellIs" dxfId="26805" priority="26643" stopIfTrue="1" operator="equal">
      <formula>"Fail"</formula>
    </cfRule>
    <cfRule type="cellIs" dxfId="26804" priority="26644" stopIfTrue="1" operator="equal">
      <formula>"Pass"</formula>
    </cfRule>
  </conditionalFormatting>
  <conditionalFormatting sqref="F778:G778 J778:N778">
    <cfRule type="cellIs" dxfId="26803" priority="26641" stopIfTrue="1" operator="equal">
      <formula>"Pass"</formula>
    </cfRule>
    <cfRule type="cellIs" dxfId="26802" priority="26642" stopIfTrue="1" operator="equal">
      <formula>"Fail"</formula>
    </cfRule>
  </conditionalFormatting>
  <conditionalFormatting sqref="J779:N779">
    <cfRule type="cellIs" dxfId="26801" priority="26639" stopIfTrue="1" operator="equal">
      <formula>"Pass"</formula>
    </cfRule>
    <cfRule type="cellIs" dxfId="26800" priority="26640" stopIfTrue="1" operator="equal">
      <formula>"Fail"</formula>
    </cfRule>
  </conditionalFormatting>
  <conditionalFormatting sqref="A772:A780">
    <cfRule type="cellIs" dxfId="26799" priority="26637" stopIfTrue="1" operator="equal">
      <formula>"Pass"</formula>
    </cfRule>
    <cfRule type="cellIs" dxfId="26798" priority="26638" stopIfTrue="1" operator="equal">
      <formula>"Fail"</formula>
    </cfRule>
  </conditionalFormatting>
  <conditionalFormatting sqref="A772:A780">
    <cfRule type="cellIs" dxfId="26797" priority="26635" stopIfTrue="1" operator="equal">
      <formula>"Pass"</formula>
    </cfRule>
    <cfRule type="cellIs" dxfId="26796" priority="26636" stopIfTrue="1" operator="equal">
      <formula>"Fail"</formula>
    </cfRule>
  </conditionalFormatting>
  <conditionalFormatting sqref="A772:A780">
    <cfRule type="cellIs" dxfId="26795" priority="26633" stopIfTrue="1" operator="equal">
      <formula>"Pass"</formula>
    </cfRule>
    <cfRule type="cellIs" dxfId="26794" priority="26634" stopIfTrue="1" operator="equal">
      <formula>"Fail"</formula>
    </cfRule>
  </conditionalFormatting>
  <conditionalFormatting sqref="A772:A780">
    <cfRule type="cellIs" dxfId="26793" priority="26631" stopIfTrue="1" operator="equal">
      <formula>"Pass"</formula>
    </cfRule>
    <cfRule type="cellIs" dxfId="26792" priority="26632" stopIfTrue="1" operator="equal">
      <formula>"Fail"</formula>
    </cfRule>
  </conditionalFormatting>
  <conditionalFormatting sqref="A772:A780">
    <cfRule type="cellIs" dxfId="26791" priority="26629" stopIfTrue="1" operator="equal">
      <formula>"Pass"</formula>
    </cfRule>
    <cfRule type="cellIs" dxfId="26790" priority="26630" stopIfTrue="1" operator="equal">
      <formula>"Fail"</formula>
    </cfRule>
  </conditionalFormatting>
  <conditionalFormatting sqref="A774 A777 A780">
    <cfRule type="cellIs" dxfId="26789" priority="26627" stopIfTrue="1" operator="equal">
      <formula>"Pass"</formula>
    </cfRule>
    <cfRule type="cellIs" dxfId="26788" priority="26628" stopIfTrue="1" operator="equal">
      <formula>"Fail"</formula>
    </cfRule>
  </conditionalFormatting>
  <conditionalFormatting sqref="A772:A780">
    <cfRule type="cellIs" dxfId="26787" priority="26625" stopIfTrue="1" operator="equal">
      <formula>"Pass"</formula>
    </cfRule>
    <cfRule type="cellIs" dxfId="26786" priority="26626" stopIfTrue="1" operator="equal">
      <formula>"Fail"</formula>
    </cfRule>
  </conditionalFormatting>
  <conditionalFormatting sqref="A772:A780">
    <cfRule type="cellIs" dxfId="26785" priority="26623" stopIfTrue="1" operator="equal">
      <formula>"Pass"</formula>
    </cfRule>
    <cfRule type="cellIs" dxfId="26784" priority="26624" stopIfTrue="1" operator="equal">
      <formula>"Fail"</formula>
    </cfRule>
  </conditionalFormatting>
  <conditionalFormatting sqref="A772:A780">
    <cfRule type="cellIs" dxfId="26783" priority="26621" stopIfTrue="1" operator="equal">
      <formula>"Pass"</formula>
    </cfRule>
    <cfRule type="cellIs" dxfId="26782" priority="26622" stopIfTrue="1" operator="equal">
      <formula>"Fail"</formula>
    </cfRule>
  </conditionalFormatting>
  <conditionalFormatting sqref="A772:A780">
    <cfRule type="cellIs" dxfId="26781" priority="26619" stopIfTrue="1" operator="equal">
      <formula>"Pass"</formula>
    </cfRule>
    <cfRule type="cellIs" dxfId="26780" priority="26620" stopIfTrue="1" operator="equal">
      <formula>"Fail"</formula>
    </cfRule>
  </conditionalFormatting>
  <conditionalFormatting sqref="A772:A780">
    <cfRule type="cellIs" dxfId="26779" priority="26617" stopIfTrue="1" operator="equal">
      <formula>"Pass"</formula>
    </cfRule>
    <cfRule type="cellIs" dxfId="26778" priority="26618" stopIfTrue="1" operator="equal">
      <formula>"Fail"</formula>
    </cfRule>
  </conditionalFormatting>
  <conditionalFormatting sqref="A772:A780">
    <cfRule type="cellIs" dxfId="26777" priority="26615" stopIfTrue="1" operator="equal">
      <formula>"Pass"</formula>
    </cfRule>
    <cfRule type="cellIs" dxfId="26776" priority="26616" stopIfTrue="1" operator="equal">
      <formula>"Fail"</formula>
    </cfRule>
  </conditionalFormatting>
  <conditionalFormatting sqref="A774 A777 A780">
    <cfRule type="cellIs" dxfId="26775" priority="26613" stopIfTrue="1" operator="equal">
      <formula>"Pass"</formula>
    </cfRule>
    <cfRule type="cellIs" dxfId="26774" priority="26614" stopIfTrue="1" operator="equal">
      <formula>"Fail"</formula>
    </cfRule>
  </conditionalFormatting>
  <conditionalFormatting sqref="A772:A780">
    <cfRule type="cellIs" dxfId="26773" priority="26611" stopIfTrue="1" operator="equal">
      <formula>"Pass"</formula>
    </cfRule>
    <cfRule type="cellIs" dxfId="26772" priority="26612" stopIfTrue="1" operator="equal">
      <formula>"Fail"</formula>
    </cfRule>
  </conditionalFormatting>
  <conditionalFormatting sqref="A682:A684">
    <cfRule type="cellIs" dxfId="26771" priority="26609" stopIfTrue="1" operator="equal">
      <formula>"Pass"</formula>
    </cfRule>
    <cfRule type="cellIs" dxfId="26770" priority="26610" stopIfTrue="1" operator="equal">
      <formula>"Fail"</formula>
    </cfRule>
  </conditionalFormatting>
  <conditionalFormatting sqref="A682:A684">
    <cfRule type="cellIs" dxfId="26769" priority="26607" stopIfTrue="1" operator="equal">
      <formula>"Pass"</formula>
    </cfRule>
    <cfRule type="cellIs" dxfId="26768" priority="26608" stopIfTrue="1" operator="equal">
      <formula>"Fail"</formula>
    </cfRule>
  </conditionalFormatting>
  <conditionalFormatting sqref="A682:A684">
    <cfRule type="cellIs" dxfId="26767" priority="26605" stopIfTrue="1" operator="equal">
      <formula>"Pass"</formula>
    </cfRule>
    <cfRule type="cellIs" dxfId="26766" priority="26606" stopIfTrue="1" operator="equal">
      <formula>"Fail"</formula>
    </cfRule>
  </conditionalFormatting>
  <conditionalFormatting sqref="A682:A684">
    <cfRule type="cellIs" dxfId="26765" priority="26603" stopIfTrue="1" operator="equal">
      <formula>"Pass"</formula>
    </cfRule>
    <cfRule type="cellIs" dxfId="26764" priority="26604" stopIfTrue="1" operator="equal">
      <formula>"Fail"</formula>
    </cfRule>
  </conditionalFormatting>
  <conditionalFormatting sqref="A682:A684">
    <cfRule type="cellIs" dxfId="26763" priority="26601" stopIfTrue="1" operator="equal">
      <formula>"Pass"</formula>
    </cfRule>
    <cfRule type="cellIs" dxfId="26762" priority="26602" stopIfTrue="1" operator="equal">
      <formula>"Fail"</formula>
    </cfRule>
  </conditionalFormatting>
  <conditionalFormatting sqref="A684">
    <cfRule type="cellIs" dxfId="26761" priority="26599" stopIfTrue="1" operator="equal">
      <formula>"Pass"</formula>
    </cfRule>
    <cfRule type="cellIs" dxfId="26760" priority="26600" stopIfTrue="1" operator="equal">
      <formula>"Fail"</formula>
    </cfRule>
  </conditionalFormatting>
  <conditionalFormatting sqref="A682:A684">
    <cfRule type="cellIs" dxfId="26759" priority="26597" stopIfTrue="1" operator="equal">
      <formula>"Pass"</formula>
    </cfRule>
    <cfRule type="cellIs" dxfId="26758" priority="26598" stopIfTrue="1" operator="equal">
      <formula>"Fail"</formula>
    </cfRule>
  </conditionalFormatting>
  <conditionalFormatting sqref="A682">
    <cfRule type="cellIs" dxfId="26757" priority="26595" stopIfTrue="1" operator="equal">
      <formula>"Pass"</formula>
    </cfRule>
    <cfRule type="cellIs" dxfId="26756" priority="26596" stopIfTrue="1" operator="equal">
      <formula>"Fail"</formula>
    </cfRule>
  </conditionalFormatting>
  <conditionalFormatting sqref="A682">
    <cfRule type="cellIs" dxfId="26755" priority="26593" stopIfTrue="1" operator="equal">
      <formula>"Pass"</formula>
    </cfRule>
    <cfRule type="cellIs" dxfId="26754" priority="26594" stopIfTrue="1" operator="equal">
      <formula>"Fail"</formula>
    </cfRule>
  </conditionalFormatting>
  <conditionalFormatting sqref="A682">
    <cfRule type="cellIs" dxfId="26753" priority="26591" stopIfTrue="1" operator="equal">
      <formula>"Pass"</formula>
    </cfRule>
    <cfRule type="cellIs" dxfId="26752" priority="26592" stopIfTrue="1" operator="equal">
      <formula>"Fail"</formula>
    </cfRule>
  </conditionalFormatting>
  <conditionalFormatting sqref="A682">
    <cfRule type="cellIs" dxfId="26751" priority="26589" stopIfTrue="1" operator="equal">
      <formula>"Pass"</formula>
    </cfRule>
    <cfRule type="cellIs" dxfId="26750" priority="26590" stopIfTrue="1" operator="equal">
      <formula>"Fail"</formula>
    </cfRule>
  </conditionalFormatting>
  <conditionalFormatting sqref="A682">
    <cfRule type="cellIs" dxfId="26749" priority="26587" stopIfTrue="1" operator="equal">
      <formula>"Pass"</formula>
    </cfRule>
    <cfRule type="cellIs" dxfId="26748" priority="26588" stopIfTrue="1" operator="equal">
      <formula>"Fail"</formula>
    </cfRule>
  </conditionalFormatting>
  <conditionalFormatting sqref="A682">
    <cfRule type="cellIs" dxfId="26747" priority="26585" stopIfTrue="1" operator="equal">
      <formula>"Pass"</formula>
    </cfRule>
    <cfRule type="cellIs" dxfId="26746" priority="26586" stopIfTrue="1" operator="equal">
      <formula>"Fail"</formula>
    </cfRule>
  </conditionalFormatting>
  <conditionalFormatting sqref="A682">
    <cfRule type="cellIs" dxfId="26745" priority="26583" stopIfTrue="1" operator="equal">
      <formula>"Pass"</formula>
    </cfRule>
    <cfRule type="cellIs" dxfId="26744" priority="26584" stopIfTrue="1" operator="equal">
      <formula>"Fail"</formula>
    </cfRule>
  </conditionalFormatting>
  <conditionalFormatting sqref="A682">
    <cfRule type="cellIs" dxfId="26743" priority="26581" stopIfTrue="1" operator="equal">
      <formula>"Pass"</formula>
    </cfRule>
    <cfRule type="cellIs" dxfId="26742" priority="26582" stopIfTrue="1" operator="equal">
      <formula>"Fail"</formula>
    </cfRule>
  </conditionalFormatting>
  <conditionalFormatting sqref="A682">
    <cfRule type="cellIs" dxfId="26741" priority="26579" stopIfTrue="1" operator="equal">
      <formula>"Pass"</formula>
    </cfRule>
    <cfRule type="cellIs" dxfId="26740" priority="26580" stopIfTrue="1" operator="equal">
      <formula>"Fail"</formula>
    </cfRule>
  </conditionalFormatting>
  <conditionalFormatting sqref="A682">
    <cfRule type="cellIs" dxfId="26739" priority="26577" stopIfTrue="1" operator="equal">
      <formula>"Pass"</formula>
    </cfRule>
    <cfRule type="cellIs" dxfId="26738" priority="26578" stopIfTrue="1" operator="equal">
      <formula>"Fail"</formula>
    </cfRule>
  </conditionalFormatting>
  <conditionalFormatting sqref="A682">
    <cfRule type="cellIs" dxfId="26737" priority="26575" stopIfTrue="1" operator="equal">
      <formula>"Pass"</formula>
    </cfRule>
    <cfRule type="cellIs" dxfId="26736" priority="26576" stopIfTrue="1" operator="equal">
      <formula>"Fail"</formula>
    </cfRule>
  </conditionalFormatting>
  <conditionalFormatting sqref="A682">
    <cfRule type="cellIs" dxfId="26735" priority="26573" stopIfTrue="1" operator="equal">
      <formula>"Pass"</formula>
    </cfRule>
    <cfRule type="cellIs" dxfId="26734" priority="26574" stopIfTrue="1" operator="equal">
      <formula>"Fail"</formula>
    </cfRule>
  </conditionalFormatting>
  <conditionalFormatting sqref="A682:A684">
    <cfRule type="cellIs" dxfId="26733" priority="26571" stopIfTrue="1" operator="equal">
      <formula>"Pass"</formula>
    </cfRule>
    <cfRule type="cellIs" dxfId="26732" priority="26572" stopIfTrue="1" operator="equal">
      <formula>"Fail"</formula>
    </cfRule>
  </conditionalFormatting>
  <conditionalFormatting sqref="A682:A684">
    <cfRule type="cellIs" dxfId="26731" priority="26569" stopIfTrue="1" operator="equal">
      <formula>"Pass"</formula>
    </cfRule>
    <cfRule type="cellIs" dxfId="26730" priority="26570" stopIfTrue="1" operator="equal">
      <formula>"Fail"</formula>
    </cfRule>
  </conditionalFormatting>
  <conditionalFormatting sqref="A682:A684">
    <cfRule type="cellIs" dxfId="26729" priority="26567" stopIfTrue="1" operator="equal">
      <formula>"Pass"</formula>
    </cfRule>
    <cfRule type="cellIs" dxfId="26728" priority="26568" stopIfTrue="1" operator="equal">
      <formula>"Fail"</formula>
    </cfRule>
  </conditionalFormatting>
  <conditionalFormatting sqref="A682:A684">
    <cfRule type="cellIs" dxfId="26727" priority="26565" stopIfTrue="1" operator="equal">
      <formula>"Pass"</formula>
    </cfRule>
    <cfRule type="cellIs" dxfId="26726" priority="26566" stopIfTrue="1" operator="equal">
      <formula>"Fail"</formula>
    </cfRule>
  </conditionalFormatting>
  <conditionalFormatting sqref="A682:A684">
    <cfRule type="cellIs" dxfId="26725" priority="26563" stopIfTrue="1" operator="equal">
      <formula>"Pass"</formula>
    </cfRule>
    <cfRule type="cellIs" dxfId="26724" priority="26564" stopIfTrue="1" operator="equal">
      <formula>"Fail"</formula>
    </cfRule>
  </conditionalFormatting>
  <conditionalFormatting sqref="A684">
    <cfRule type="cellIs" dxfId="26723" priority="26561" stopIfTrue="1" operator="equal">
      <formula>"Pass"</formula>
    </cfRule>
    <cfRule type="cellIs" dxfId="26722" priority="26562" stopIfTrue="1" operator="equal">
      <formula>"Fail"</formula>
    </cfRule>
  </conditionalFormatting>
  <conditionalFormatting sqref="A682:A684">
    <cfRule type="cellIs" dxfId="26721" priority="26559" stopIfTrue="1" operator="equal">
      <formula>"Pass"</formula>
    </cfRule>
    <cfRule type="cellIs" dxfId="26720" priority="26560" stopIfTrue="1" operator="equal">
      <formula>"Fail"</formula>
    </cfRule>
  </conditionalFormatting>
  <conditionalFormatting sqref="A682:A684">
    <cfRule type="cellIs" dxfId="26719" priority="26557" stopIfTrue="1" operator="equal">
      <formula>"Pass"</formula>
    </cfRule>
    <cfRule type="cellIs" dxfId="26718" priority="26558" stopIfTrue="1" operator="equal">
      <formula>"Fail"</formula>
    </cfRule>
  </conditionalFormatting>
  <conditionalFormatting sqref="A682:A684">
    <cfRule type="cellIs" dxfId="26717" priority="26555" stopIfTrue="1" operator="equal">
      <formula>"Pass"</formula>
    </cfRule>
    <cfRule type="cellIs" dxfId="26716" priority="26556" stopIfTrue="1" operator="equal">
      <formula>"Fail"</formula>
    </cfRule>
  </conditionalFormatting>
  <conditionalFormatting sqref="A682:A684">
    <cfRule type="cellIs" dxfId="26715" priority="26553" stopIfTrue="1" operator="equal">
      <formula>"Pass"</formula>
    </cfRule>
    <cfRule type="cellIs" dxfId="26714" priority="26554" stopIfTrue="1" operator="equal">
      <formula>"Fail"</formula>
    </cfRule>
  </conditionalFormatting>
  <conditionalFormatting sqref="A682:A684">
    <cfRule type="cellIs" dxfId="26713" priority="26551" stopIfTrue="1" operator="equal">
      <formula>"Pass"</formula>
    </cfRule>
    <cfRule type="cellIs" dxfId="26712" priority="26552" stopIfTrue="1" operator="equal">
      <formula>"Fail"</formula>
    </cfRule>
  </conditionalFormatting>
  <conditionalFormatting sqref="A682:A684">
    <cfRule type="cellIs" dxfId="26711" priority="26549" stopIfTrue="1" operator="equal">
      <formula>"Pass"</formula>
    </cfRule>
    <cfRule type="cellIs" dxfId="26710" priority="26550" stopIfTrue="1" operator="equal">
      <formula>"Fail"</formula>
    </cfRule>
  </conditionalFormatting>
  <conditionalFormatting sqref="A684">
    <cfRule type="cellIs" dxfId="26709" priority="26547" stopIfTrue="1" operator="equal">
      <formula>"Pass"</formula>
    </cfRule>
    <cfRule type="cellIs" dxfId="26708" priority="26548" stopIfTrue="1" operator="equal">
      <formula>"Fail"</formula>
    </cfRule>
  </conditionalFormatting>
  <conditionalFormatting sqref="A682:A684">
    <cfRule type="cellIs" dxfId="26707" priority="26545" stopIfTrue="1" operator="equal">
      <formula>"Pass"</formula>
    </cfRule>
    <cfRule type="cellIs" dxfId="26706" priority="26546" stopIfTrue="1" operator="equal">
      <formula>"Fail"</formula>
    </cfRule>
  </conditionalFormatting>
  <conditionalFormatting sqref="A685:A687">
    <cfRule type="cellIs" dxfId="26705" priority="26543" stopIfTrue="1" operator="equal">
      <formula>"Pass"</formula>
    </cfRule>
    <cfRule type="cellIs" dxfId="26704" priority="26544" stopIfTrue="1" operator="equal">
      <formula>"Fail"</formula>
    </cfRule>
  </conditionalFormatting>
  <conditionalFormatting sqref="A685:A687">
    <cfRule type="cellIs" dxfId="26703" priority="26541" stopIfTrue="1" operator="equal">
      <formula>"Pass"</formula>
    </cfRule>
    <cfRule type="cellIs" dxfId="26702" priority="26542" stopIfTrue="1" operator="equal">
      <formula>"Fail"</formula>
    </cfRule>
  </conditionalFormatting>
  <conditionalFormatting sqref="A685:A687">
    <cfRule type="cellIs" dxfId="26701" priority="26539" stopIfTrue="1" operator="equal">
      <formula>"Pass"</formula>
    </cfRule>
    <cfRule type="cellIs" dxfId="26700" priority="26540" stopIfTrue="1" operator="equal">
      <formula>"Fail"</formula>
    </cfRule>
  </conditionalFormatting>
  <conditionalFormatting sqref="A685:A687">
    <cfRule type="cellIs" dxfId="26699" priority="26537" stopIfTrue="1" operator="equal">
      <formula>"Pass"</formula>
    </cfRule>
    <cfRule type="cellIs" dxfId="26698" priority="26538" stopIfTrue="1" operator="equal">
      <formula>"Fail"</formula>
    </cfRule>
  </conditionalFormatting>
  <conditionalFormatting sqref="A685:A687">
    <cfRule type="cellIs" dxfId="26697" priority="26535" stopIfTrue="1" operator="equal">
      <formula>"Pass"</formula>
    </cfRule>
    <cfRule type="cellIs" dxfId="26696" priority="26536" stopIfTrue="1" operator="equal">
      <formula>"Fail"</formula>
    </cfRule>
  </conditionalFormatting>
  <conditionalFormatting sqref="A687">
    <cfRule type="cellIs" dxfId="26695" priority="26533" stopIfTrue="1" operator="equal">
      <formula>"Pass"</formula>
    </cfRule>
    <cfRule type="cellIs" dxfId="26694" priority="26534" stopIfTrue="1" operator="equal">
      <formula>"Fail"</formula>
    </cfRule>
  </conditionalFormatting>
  <conditionalFormatting sqref="A685:A687">
    <cfRule type="cellIs" dxfId="26693" priority="26531" stopIfTrue="1" operator="equal">
      <formula>"Pass"</formula>
    </cfRule>
    <cfRule type="cellIs" dxfId="26692" priority="26532" stopIfTrue="1" operator="equal">
      <formula>"Fail"</formula>
    </cfRule>
  </conditionalFormatting>
  <conditionalFormatting sqref="A685">
    <cfRule type="cellIs" dxfId="26691" priority="26529" stopIfTrue="1" operator="equal">
      <formula>"Pass"</formula>
    </cfRule>
    <cfRule type="cellIs" dxfId="26690" priority="26530" stopIfTrue="1" operator="equal">
      <formula>"Fail"</formula>
    </cfRule>
  </conditionalFormatting>
  <conditionalFormatting sqref="A685">
    <cfRule type="cellIs" dxfId="26689" priority="26527" stopIfTrue="1" operator="equal">
      <formula>"Pass"</formula>
    </cfRule>
    <cfRule type="cellIs" dxfId="26688" priority="26528" stopIfTrue="1" operator="equal">
      <formula>"Fail"</formula>
    </cfRule>
  </conditionalFormatting>
  <conditionalFormatting sqref="A685">
    <cfRule type="cellIs" dxfId="26687" priority="26525" stopIfTrue="1" operator="equal">
      <formula>"Pass"</formula>
    </cfRule>
    <cfRule type="cellIs" dxfId="26686" priority="26526" stopIfTrue="1" operator="equal">
      <formula>"Fail"</formula>
    </cfRule>
  </conditionalFormatting>
  <conditionalFormatting sqref="A685">
    <cfRule type="cellIs" dxfId="26685" priority="26523" stopIfTrue="1" operator="equal">
      <formula>"Pass"</formula>
    </cfRule>
    <cfRule type="cellIs" dxfId="26684" priority="26524" stopIfTrue="1" operator="equal">
      <formula>"Fail"</formula>
    </cfRule>
  </conditionalFormatting>
  <conditionalFormatting sqref="A685">
    <cfRule type="cellIs" dxfId="26683" priority="26521" stopIfTrue="1" operator="equal">
      <formula>"Pass"</formula>
    </cfRule>
    <cfRule type="cellIs" dxfId="26682" priority="26522" stopIfTrue="1" operator="equal">
      <formula>"Fail"</formula>
    </cfRule>
  </conditionalFormatting>
  <conditionalFormatting sqref="A685">
    <cfRule type="cellIs" dxfId="26681" priority="26519" stopIfTrue="1" operator="equal">
      <formula>"Pass"</formula>
    </cfRule>
    <cfRule type="cellIs" dxfId="26680" priority="26520" stopIfTrue="1" operator="equal">
      <formula>"Fail"</formula>
    </cfRule>
  </conditionalFormatting>
  <conditionalFormatting sqref="A685">
    <cfRule type="cellIs" dxfId="26679" priority="26517" stopIfTrue="1" operator="equal">
      <formula>"Pass"</formula>
    </cfRule>
    <cfRule type="cellIs" dxfId="26678" priority="26518" stopIfTrue="1" operator="equal">
      <formula>"Fail"</formula>
    </cfRule>
  </conditionalFormatting>
  <conditionalFormatting sqref="A685">
    <cfRule type="cellIs" dxfId="26677" priority="26515" stopIfTrue="1" operator="equal">
      <formula>"Pass"</formula>
    </cfRule>
    <cfRule type="cellIs" dxfId="26676" priority="26516" stopIfTrue="1" operator="equal">
      <formula>"Fail"</formula>
    </cfRule>
  </conditionalFormatting>
  <conditionalFormatting sqref="A685">
    <cfRule type="cellIs" dxfId="26675" priority="26513" stopIfTrue="1" operator="equal">
      <formula>"Pass"</formula>
    </cfRule>
    <cfRule type="cellIs" dxfId="26674" priority="26514" stopIfTrue="1" operator="equal">
      <formula>"Fail"</formula>
    </cfRule>
  </conditionalFormatting>
  <conditionalFormatting sqref="A685">
    <cfRule type="cellIs" dxfId="26673" priority="26511" stopIfTrue="1" operator="equal">
      <formula>"Pass"</formula>
    </cfRule>
    <cfRule type="cellIs" dxfId="26672" priority="26512" stopIfTrue="1" operator="equal">
      <formula>"Fail"</formula>
    </cfRule>
  </conditionalFormatting>
  <conditionalFormatting sqref="A685">
    <cfRule type="cellIs" dxfId="26671" priority="26509" stopIfTrue="1" operator="equal">
      <formula>"Pass"</formula>
    </cfRule>
    <cfRule type="cellIs" dxfId="26670" priority="26510" stopIfTrue="1" operator="equal">
      <formula>"Fail"</formula>
    </cfRule>
  </conditionalFormatting>
  <conditionalFormatting sqref="A685">
    <cfRule type="cellIs" dxfId="26669" priority="26507" stopIfTrue="1" operator="equal">
      <formula>"Pass"</formula>
    </cfRule>
    <cfRule type="cellIs" dxfId="26668" priority="26508" stopIfTrue="1" operator="equal">
      <formula>"Fail"</formula>
    </cfRule>
  </conditionalFormatting>
  <conditionalFormatting sqref="A685:A687">
    <cfRule type="cellIs" dxfId="26667" priority="26505" stopIfTrue="1" operator="equal">
      <formula>"Pass"</formula>
    </cfRule>
    <cfRule type="cellIs" dxfId="26666" priority="26506" stopIfTrue="1" operator="equal">
      <formula>"Fail"</formula>
    </cfRule>
  </conditionalFormatting>
  <conditionalFormatting sqref="A685:A687">
    <cfRule type="cellIs" dxfId="26665" priority="26503" stopIfTrue="1" operator="equal">
      <formula>"Pass"</formula>
    </cfRule>
    <cfRule type="cellIs" dxfId="26664" priority="26504" stopIfTrue="1" operator="equal">
      <formula>"Fail"</formula>
    </cfRule>
  </conditionalFormatting>
  <conditionalFormatting sqref="A685:A687">
    <cfRule type="cellIs" dxfId="26663" priority="26501" stopIfTrue="1" operator="equal">
      <formula>"Pass"</formula>
    </cfRule>
    <cfRule type="cellIs" dxfId="26662" priority="26502" stopIfTrue="1" operator="equal">
      <formula>"Fail"</formula>
    </cfRule>
  </conditionalFormatting>
  <conditionalFormatting sqref="A685:A687">
    <cfRule type="cellIs" dxfId="26661" priority="26499" stopIfTrue="1" operator="equal">
      <formula>"Pass"</formula>
    </cfRule>
    <cfRule type="cellIs" dxfId="26660" priority="26500" stopIfTrue="1" operator="equal">
      <formula>"Fail"</formula>
    </cfRule>
  </conditionalFormatting>
  <conditionalFormatting sqref="A685:A687">
    <cfRule type="cellIs" dxfId="26659" priority="26497" stopIfTrue="1" operator="equal">
      <formula>"Pass"</formula>
    </cfRule>
    <cfRule type="cellIs" dxfId="26658" priority="26498" stopIfTrue="1" operator="equal">
      <formula>"Fail"</formula>
    </cfRule>
  </conditionalFormatting>
  <conditionalFormatting sqref="A687">
    <cfRule type="cellIs" dxfId="26657" priority="26495" stopIfTrue="1" operator="equal">
      <formula>"Pass"</formula>
    </cfRule>
    <cfRule type="cellIs" dxfId="26656" priority="26496" stopIfTrue="1" operator="equal">
      <formula>"Fail"</formula>
    </cfRule>
  </conditionalFormatting>
  <conditionalFormatting sqref="A685:A687">
    <cfRule type="cellIs" dxfId="26655" priority="26493" stopIfTrue="1" operator="equal">
      <formula>"Pass"</formula>
    </cfRule>
    <cfRule type="cellIs" dxfId="26654" priority="26494" stopIfTrue="1" operator="equal">
      <formula>"Fail"</formula>
    </cfRule>
  </conditionalFormatting>
  <conditionalFormatting sqref="A685:A687">
    <cfRule type="cellIs" dxfId="26653" priority="26491" stopIfTrue="1" operator="equal">
      <formula>"Pass"</formula>
    </cfRule>
    <cfRule type="cellIs" dxfId="26652" priority="26492" stopIfTrue="1" operator="equal">
      <formula>"Fail"</formula>
    </cfRule>
  </conditionalFormatting>
  <conditionalFormatting sqref="A685:A687">
    <cfRule type="cellIs" dxfId="26651" priority="26489" stopIfTrue="1" operator="equal">
      <formula>"Pass"</formula>
    </cfRule>
    <cfRule type="cellIs" dxfId="26650" priority="26490" stopIfTrue="1" operator="equal">
      <formula>"Fail"</formula>
    </cfRule>
  </conditionalFormatting>
  <conditionalFormatting sqref="A685:A687">
    <cfRule type="cellIs" dxfId="26649" priority="26487" stopIfTrue="1" operator="equal">
      <formula>"Pass"</formula>
    </cfRule>
    <cfRule type="cellIs" dxfId="26648" priority="26488" stopIfTrue="1" operator="equal">
      <formula>"Fail"</formula>
    </cfRule>
  </conditionalFormatting>
  <conditionalFormatting sqref="A685:A687">
    <cfRule type="cellIs" dxfId="26647" priority="26485" stopIfTrue="1" operator="equal">
      <formula>"Pass"</formula>
    </cfRule>
    <cfRule type="cellIs" dxfId="26646" priority="26486" stopIfTrue="1" operator="equal">
      <formula>"Fail"</formula>
    </cfRule>
  </conditionalFormatting>
  <conditionalFormatting sqref="A685:A687">
    <cfRule type="cellIs" dxfId="26645" priority="26483" stopIfTrue="1" operator="equal">
      <formula>"Pass"</formula>
    </cfRule>
    <cfRule type="cellIs" dxfId="26644" priority="26484" stopIfTrue="1" operator="equal">
      <formula>"Fail"</formula>
    </cfRule>
  </conditionalFormatting>
  <conditionalFormatting sqref="A687">
    <cfRule type="cellIs" dxfId="26643" priority="26481" stopIfTrue="1" operator="equal">
      <formula>"Pass"</formula>
    </cfRule>
    <cfRule type="cellIs" dxfId="26642" priority="26482" stopIfTrue="1" operator="equal">
      <formula>"Fail"</formula>
    </cfRule>
  </conditionalFormatting>
  <conditionalFormatting sqref="A685:A687">
    <cfRule type="cellIs" dxfId="26641" priority="26479" stopIfTrue="1" operator="equal">
      <formula>"Pass"</formula>
    </cfRule>
    <cfRule type="cellIs" dxfId="26640" priority="26480" stopIfTrue="1" operator="equal">
      <formula>"Fail"</formula>
    </cfRule>
  </conditionalFormatting>
  <conditionalFormatting sqref="A688:A690">
    <cfRule type="cellIs" dxfId="26639" priority="26477" stopIfTrue="1" operator="equal">
      <formula>"Pass"</formula>
    </cfRule>
    <cfRule type="cellIs" dxfId="26638" priority="26478" stopIfTrue="1" operator="equal">
      <formula>"Fail"</formula>
    </cfRule>
  </conditionalFormatting>
  <conditionalFormatting sqref="A688:A690">
    <cfRule type="cellIs" dxfId="26637" priority="26475" stopIfTrue="1" operator="equal">
      <formula>"Pass"</formula>
    </cfRule>
    <cfRule type="cellIs" dxfId="26636" priority="26476" stopIfTrue="1" operator="equal">
      <formula>"Fail"</formula>
    </cfRule>
  </conditionalFormatting>
  <conditionalFormatting sqref="A688:A690">
    <cfRule type="cellIs" dxfId="26635" priority="26473" stopIfTrue="1" operator="equal">
      <formula>"Pass"</formula>
    </cfRule>
    <cfRule type="cellIs" dxfId="26634" priority="26474" stopIfTrue="1" operator="equal">
      <formula>"Fail"</formula>
    </cfRule>
  </conditionalFormatting>
  <conditionalFormatting sqref="A688:A690">
    <cfRule type="cellIs" dxfId="26633" priority="26471" stopIfTrue="1" operator="equal">
      <formula>"Pass"</formula>
    </cfRule>
    <cfRule type="cellIs" dxfId="26632" priority="26472" stopIfTrue="1" operator="equal">
      <formula>"Fail"</formula>
    </cfRule>
  </conditionalFormatting>
  <conditionalFormatting sqref="A688:A690">
    <cfRule type="cellIs" dxfId="26631" priority="26469" stopIfTrue="1" operator="equal">
      <formula>"Pass"</formula>
    </cfRule>
    <cfRule type="cellIs" dxfId="26630" priority="26470" stopIfTrue="1" operator="equal">
      <formula>"Fail"</formula>
    </cfRule>
  </conditionalFormatting>
  <conditionalFormatting sqref="A690">
    <cfRule type="cellIs" dxfId="26629" priority="26467" stopIfTrue="1" operator="equal">
      <formula>"Pass"</formula>
    </cfRule>
    <cfRule type="cellIs" dxfId="26628" priority="26468" stopIfTrue="1" operator="equal">
      <formula>"Fail"</formula>
    </cfRule>
  </conditionalFormatting>
  <conditionalFormatting sqref="A688:A690">
    <cfRule type="cellIs" dxfId="26627" priority="26465" stopIfTrue="1" operator="equal">
      <formula>"Pass"</formula>
    </cfRule>
    <cfRule type="cellIs" dxfId="26626" priority="26466" stopIfTrue="1" operator="equal">
      <formula>"Fail"</formula>
    </cfRule>
  </conditionalFormatting>
  <conditionalFormatting sqref="A688">
    <cfRule type="cellIs" dxfId="26625" priority="26463" stopIfTrue="1" operator="equal">
      <formula>"Pass"</formula>
    </cfRule>
    <cfRule type="cellIs" dxfId="26624" priority="26464" stopIfTrue="1" operator="equal">
      <formula>"Fail"</formula>
    </cfRule>
  </conditionalFormatting>
  <conditionalFormatting sqref="A688">
    <cfRule type="cellIs" dxfId="26623" priority="26461" stopIfTrue="1" operator="equal">
      <formula>"Pass"</formula>
    </cfRule>
    <cfRule type="cellIs" dxfId="26622" priority="26462" stopIfTrue="1" operator="equal">
      <formula>"Fail"</formula>
    </cfRule>
  </conditionalFormatting>
  <conditionalFormatting sqref="A688">
    <cfRule type="cellIs" dxfId="26621" priority="26459" stopIfTrue="1" operator="equal">
      <formula>"Pass"</formula>
    </cfRule>
    <cfRule type="cellIs" dxfId="26620" priority="26460" stopIfTrue="1" operator="equal">
      <formula>"Fail"</formula>
    </cfRule>
  </conditionalFormatting>
  <conditionalFormatting sqref="A688">
    <cfRule type="cellIs" dxfId="26619" priority="26457" stopIfTrue="1" operator="equal">
      <formula>"Pass"</formula>
    </cfRule>
    <cfRule type="cellIs" dxfId="26618" priority="26458" stopIfTrue="1" operator="equal">
      <formula>"Fail"</formula>
    </cfRule>
  </conditionalFormatting>
  <conditionalFormatting sqref="A688">
    <cfRule type="cellIs" dxfId="26617" priority="26455" stopIfTrue="1" operator="equal">
      <formula>"Pass"</formula>
    </cfRule>
    <cfRule type="cellIs" dxfId="26616" priority="26456" stopIfTrue="1" operator="equal">
      <formula>"Fail"</formula>
    </cfRule>
  </conditionalFormatting>
  <conditionalFormatting sqref="A688">
    <cfRule type="cellIs" dxfId="26615" priority="26453" stopIfTrue="1" operator="equal">
      <formula>"Pass"</formula>
    </cfRule>
    <cfRule type="cellIs" dxfId="26614" priority="26454" stopIfTrue="1" operator="equal">
      <formula>"Fail"</formula>
    </cfRule>
  </conditionalFormatting>
  <conditionalFormatting sqref="A688">
    <cfRule type="cellIs" dxfId="26613" priority="26451" stopIfTrue="1" operator="equal">
      <formula>"Pass"</formula>
    </cfRule>
    <cfRule type="cellIs" dxfId="26612" priority="26452" stopIfTrue="1" operator="equal">
      <formula>"Fail"</formula>
    </cfRule>
  </conditionalFormatting>
  <conditionalFormatting sqref="A688">
    <cfRule type="cellIs" dxfId="26611" priority="26449" stopIfTrue="1" operator="equal">
      <formula>"Pass"</formula>
    </cfRule>
    <cfRule type="cellIs" dxfId="26610" priority="26450" stopIfTrue="1" operator="equal">
      <formula>"Fail"</formula>
    </cfRule>
  </conditionalFormatting>
  <conditionalFormatting sqref="A688">
    <cfRule type="cellIs" dxfId="26609" priority="26447" stopIfTrue="1" operator="equal">
      <formula>"Pass"</formula>
    </cfRule>
    <cfRule type="cellIs" dxfId="26608" priority="26448" stopIfTrue="1" operator="equal">
      <formula>"Fail"</formula>
    </cfRule>
  </conditionalFormatting>
  <conditionalFormatting sqref="A688">
    <cfRule type="cellIs" dxfId="26607" priority="26445" stopIfTrue="1" operator="equal">
      <formula>"Pass"</formula>
    </cfRule>
    <cfRule type="cellIs" dxfId="26606" priority="26446" stopIfTrue="1" operator="equal">
      <formula>"Fail"</formula>
    </cfRule>
  </conditionalFormatting>
  <conditionalFormatting sqref="A688">
    <cfRule type="cellIs" dxfId="26605" priority="26443" stopIfTrue="1" operator="equal">
      <formula>"Pass"</formula>
    </cfRule>
    <cfRule type="cellIs" dxfId="26604" priority="26444" stopIfTrue="1" operator="equal">
      <formula>"Fail"</formula>
    </cfRule>
  </conditionalFormatting>
  <conditionalFormatting sqref="A688">
    <cfRule type="cellIs" dxfId="26603" priority="26441" stopIfTrue="1" operator="equal">
      <formula>"Pass"</formula>
    </cfRule>
    <cfRule type="cellIs" dxfId="26602" priority="26442" stopIfTrue="1" operator="equal">
      <formula>"Fail"</formula>
    </cfRule>
  </conditionalFormatting>
  <conditionalFormatting sqref="A688:A690">
    <cfRule type="cellIs" dxfId="26601" priority="26439" stopIfTrue="1" operator="equal">
      <formula>"Pass"</formula>
    </cfRule>
    <cfRule type="cellIs" dxfId="26600" priority="26440" stopIfTrue="1" operator="equal">
      <formula>"Fail"</formula>
    </cfRule>
  </conditionalFormatting>
  <conditionalFormatting sqref="A688:A690">
    <cfRule type="cellIs" dxfId="26599" priority="26437" stopIfTrue="1" operator="equal">
      <formula>"Pass"</formula>
    </cfRule>
    <cfRule type="cellIs" dxfId="26598" priority="26438" stopIfTrue="1" operator="equal">
      <formula>"Fail"</formula>
    </cfRule>
  </conditionalFormatting>
  <conditionalFormatting sqref="A688:A690">
    <cfRule type="cellIs" dxfId="26597" priority="26435" stopIfTrue="1" operator="equal">
      <formula>"Pass"</formula>
    </cfRule>
    <cfRule type="cellIs" dxfId="26596" priority="26436" stopIfTrue="1" operator="equal">
      <formula>"Fail"</formula>
    </cfRule>
  </conditionalFormatting>
  <conditionalFormatting sqref="A688:A690">
    <cfRule type="cellIs" dxfId="26595" priority="26433" stopIfTrue="1" operator="equal">
      <formula>"Pass"</formula>
    </cfRule>
    <cfRule type="cellIs" dxfId="26594" priority="26434" stopIfTrue="1" operator="equal">
      <formula>"Fail"</formula>
    </cfRule>
  </conditionalFormatting>
  <conditionalFormatting sqref="A688:A690">
    <cfRule type="cellIs" dxfId="26593" priority="26431" stopIfTrue="1" operator="equal">
      <formula>"Pass"</formula>
    </cfRule>
    <cfRule type="cellIs" dxfId="26592" priority="26432" stopIfTrue="1" operator="equal">
      <formula>"Fail"</formula>
    </cfRule>
  </conditionalFormatting>
  <conditionalFormatting sqref="A690">
    <cfRule type="cellIs" dxfId="26591" priority="26429" stopIfTrue="1" operator="equal">
      <formula>"Pass"</formula>
    </cfRule>
    <cfRule type="cellIs" dxfId="26590" priority="26430" stopIfTrue="1" operator="equal">
      <formula>"Fail"</formula>
    </cfRule>
  </conditionalFormatting>
  <conditionalFormatting sqref="A688:A690">
    <cfRule type="cellIs" dxfId="26589" priority="26427" stopIfTrue="1" operator="equal">
      <formula>"Pass"</formula>
    </cfRule>
    <cfRule type="cellIs" dxfId="26588" priority="26428" stopIfTrue="1" operator="equal">
      <formula>"Fail"</formula>
    </cfRule>
  </conditionalFormatting>
  <conditionalFormatting sqref="A688:A690">
    <cfRule type="cellIs" dxfId="26587" priority="26425" stopIfTrue="1" operator="equal">
      <formula>"Pass"</formula>
    </cfRule>
    <cfRule type="cellIs" dxfId="26586" priority="26426" stopIfTrue="1" operator="equal">
      <formula>"Fail"</formula>
    </cfRule>
  </conditionalFormatting>
  <conditionalFormatting sqref="A688:A690">
    <cfRule type="cellIs" dxfId="26585" priority="26423" stopIfTrue="1" operator="equal">
      <formula>"Pass"</formula>
    </cfRule>
    <cfRule type="cellIs" dxfId="26584" priority="26424" stopIfTrue="1" operator="equal">
      <formula>"Fail"</formula>
    </cfRule>
  </conditionalFormatting>
  <conditionalFormatting sqref="A688:A690">
    <cfRule type="cellIs" dxfId="26583" priority="26421" stopIfTrue="1" operator="equal">
      <formula>"Pass"</formula>
    </cfRule>
    <cfRule type="cellIs" dxfId="26582" priority="26422" stopIfTrue="1" operator="equal">
      <formula>"Fail"</formula>
    </cfRule>
  </conditionalFormatting>
  <conditionalFormatting sqref="A688:A690">
    <cfRule type="cellIs" dxfId="26581" priority="26419" stopIfTrue="1" operator="equal">
      <formula>"Pass"</formula>
    </cfRule>
    <cfRule type="cellIs" dxfId="26580" priority="26420" stopIfTrue="1" operator="equal">
      <formula>"Fail"</formula>
    </cfRule>
  </conditionalFormatting>
  <conditionalFormatting sqref="A688:A690">
    <cfRule type="cellIs" dxfId="26579" priority="26417" stopIfTrue="1" operator="equal">
      <formula>"Pass"</formula>
    </cfRule>
    <cfRule type="cellIs" dxfId="26578" priority="26418" stopIfTrue="1" operator="equal">
      <formula>"Fail"</formula>
    </cfRule>
  </conditionalFormatting>
  <conditionalFormatting sqref="A690">
    <cfRule type="cellIs" dxfId="26577" priority="26415" stopIfTrue="1" operator="equal">
      <formula>"Pass"</formula>
    </cfRule>
    <cfRule type="cellIs" dxfId="26576" priority="26416" stopIfTrue="1" operator="equal">
      <formula>"Fail"</formula>
    </cfRule>
  </conditionalFormatting>
  <conditionalFormatting sqref="A688:A690">
    <cfRule type="cellIs" dxfId="26575" priority="26413" stopIfTrue="1" operator="equal">
      <formula>"Pass"</formula>
    </cfRule>
    <cfRule type="cellIs" dxfId="26574" priority="26414" stopIfTrue="1" operator="equal">
      <formula>"Fail"</formula>
    </cfRule>
  </conditionalFormatting>
  <conditionalFormatting sqref="A691:A693">
    <cfRule type="cellIs" dxfId="26573" priority="26411" stopIfTrue="1" operator="equal">
      <formula>"Pass"</formula>
    </cfRule>
    <cfRule type="cellIs" dxfId="26572" priority="26412" stopIfTrue="1" operator="equal">
      <formula>"Fail"</formula>
    </cfRule>
  </conditionalFormatting>
  <conditionalFormatting sqref="A691:A693">
    <cfRule type="cellIs" dxfId="26571" priority="26409" stopIfTrue="1" operator="equal">
      <formula>"Pass"</formula>
    </cfRule>
    <cfRule type="cellIs" dxfId="26570" priority="26410" stopIfTrue="1" operator="equal">
      <formula>"Fail"</formula>
    </cfRule>
  </conditionalFormatting>
  <conditionalFormatting sqref="A691:A693">
    <cfRule type="cellIs" dxfId="26569" priority="26407" stopIfTrue="1" operator="equal">
      <formula>"Pass"</formula>
    </cfRule>
    <cfRule type="cellIs" dxfId="26568" priority="26408" stopIfTrue="1" operator="equal">
      <formula>"Fail"</formula>
    </cfRule>
  </conditionalFormatting>
  <conditionalFormatting sqref="A691:A693">
    <cfRule type="cellIs" dxfId="26567" priority="26405" stopIfTrue="1" operator="equal">
      <formula>"Pass"</formula>
    </cfRule>
    <cfRule type="cellIs" dxfId="26566" priority="26406" stopIfTrue="1" operator="equal">
      <formula>"Fail"</formula>
    </cfRule>
  </conditionalFormatting>
  <conditionalFormatting sqref="A691:A693">
    <cfRule type="cellIs" dxfId="26565" priority="26403" stopIfTrue="1" operator="equal">
      <formula>"Pass"</formula>
    </cfRule>
    <cfRule type="cellIs" dxfId="26564" priority="26404" stopIfTrue="1" operator="equal">
      <formula>"Fail"</formula>
    </cfRule>
  </conditionalFormatting>
  <conditionalFormatting sqref="A693">
    <cfRule type="cellIs" dxfId="26563" priority="26401" stopIfTrue="1" operator="equal">
      <formula>"Pass"</formula>
    </cfRule>
    <cfRule type="cellIs" dxfId="26562" priority="26402" stopIfTrue="1" operator="equal">
      <formula>"Fail"</formula>
    </cfRule>
  </conditionalFormatting>
  <conditionalFormatting sqref="A691:A693">
    <cfRule type="cellIs" dxfId="26561" priority="26399" stopIfTrue="1" operator="equal">
      <formula>"Pass"</formula>
    </cfRule>
    <cfRule type="cellIs" dxfId="26560" priority="26400" stopIfTrue="1" operator="equal">
      <formula>"Fail"</formula>
    </cfRule>
  </conditionalFormatting>
  <conditionalFormatting sqref="A691:A693">
    <cfRule type="cellIs" dxfId="26559" priority="26397" stopIfTrue="1" operator="equal">
      <formula>"Pass"</formula>
    </cfRule>
    <cfRule type="cellIs" dxfId="26558" priority="26398" stopIfTrue="1" operator="equal">
      <formula>"Fail"</formula>
    </cfRule>
  </conditionalFormatting>
  <conditionalFormatting sqref="A691:A693">
    <cfRule type="cellIs" dxfId="26557" priority="26395" stopIfTrue="1" operator="equal">
      <formula>"Pass"</formula>
    </cfRule>
    <cfRule type="cellIs" dxfId="26556" priority="26396" stopIfTrue="1" operator="equal">
      <formula>"Fail"</formula>
    </cfRule>
  </conditionalFormatting>
  <conditionalFormatting sqref="A691:A693">
    <cfRule type="cellIs" dxfId="26555" priority="26393" stopIfTrue="1" operator="equal">
      <formula>"Pass"</formula>
    </cfRule>
    <cfRule type="cellIs" dxfId="26554" priority="26394" stopIfTrue="1" operator="equal">
      <formula>"Fail"</formula>
    </cfRule>
  </conditionalFormatting>
  <conditionalFormatting sqref="A691:A693">
    <cfRule type="cellIs" dxfId="26553" priority="26391" stopIfTrue="1" operator="equal">
      <formula>"Pass"</formula>
    </cfRule>
    <cfRule type="cellIs" dxfId="26552" priority="26392" stopIfTrue="1" operator="equal">
      <formula>"Fail"</formula>
    </cfRule>
  </conditionalFormatting>
  <conditionalFormatting sqref="A691:A693">
    <cfRule type="cellIs" dxfId="26551" priority="26389" stopIfTrue="1" operator="equal">
      <formula>"Pass"</formula>
    </cfRule>
    <cfRule type="cellIs" dxfId="26550" priority="26390" stopIfTrue="1" operator="equal">
      <formula>"Fail"</formula>
    </cfRule>
  </conditionalFormatting>
  <conditionalFormatting sqref="A693">
    <cfRule type="cellIs" dxfId="26549" priority="26387" stopIfTrue="1" operator="equal">
      <formula>"Pass"</formula>
    </cfRule>
    <cfRule type="cellIs" dxfId="26548" priority="26388" stopIfTrue="1" operator="equal">
      <formula>"Fail"</formula>
    </cfRule>
  </conditionalFormatting>
  <conditionalFormatting sqref="A691:A693">
    <cfRule type="cellIs" dxfId="26547" priority="26385" stopIfTrue="1" operator="equal">
      <formula>"Pass"</formula>
    </cfRule>
    <cfRule type="cellIs" dxfId="26546" priority="26386" stopIfTrue="1" operator="equal">
      <formula>"Fail"</formula>
    </cfRule>
  </conditionalFormatting>
  <conditionalFormatting sqref="A691:A693">
    <cfRule type="cellIs" dxfId="26545" priority="26383" stopIfTrue="1" operator="equal">
      <formula>"Pass"</formula>
    </cfRule>
    <cfRule type="cellIs" dxfId="26544" priority="26384" stopIfTrue="1" operator="equal">
      <formula>"Fail"</formula>
    </cfRule>
  </conditionalFormatting>
  <conditionalFormatting sqref="A691:A693">
    <cfRule type="cellIs" dxfId="26543" priority="26381" stopIfTrue="1" operator="equal">
      <formula>"Pass"</formula>
    </cfRule>
    <cfRule type="cellIs" dxfId="26542" priority="26382" stopIfTrue="1" operator="equal">
      <formula>"Fail"</formula>
    </cfRule>
  </conditionalFormatting>
  <conditionalFormatting sqref="A691:A693">
    <cfRule type="cellIs" dxfId="26541" priority="26379" stopIfTrue="1" operator="equal">
      <formula>"Pass"</formula>
    </cfRule>
    <cfRule type="cellIs" dxfId="26540" priority="26380" stopIfTrue="1" operator="equal">
      <formula>"Fail"</formula>
    </cfRule>
  </conditionalFormatting>
  <conditionalFormatting sqref="A691:A693">
    <cfRule type="cellIs" dxfId="26539" priority="26377" stopIfTrue="1" operator="equal">
      <formula>"Pass"</formula>
    </cfRule>
    <cfRule type="cellIs" dxfId="26538" priority="26378" stopIfTrue="1" operator="equal">
      <formula>"Fail"</formula>
    </cfRule>
  </conditionalFormatting>
  <conditionalFormatting sqref="A691:A693">
    <cfRule type="cellIs" dxfId="26537" priority="26375" stopIfTrue="1" operator="equal">
      <formula>"Pass"</formula>
    </cfRule>
    <cfRule type="cellIs" dxfId="26536" priority="26376" stopIfTrue="1" operator="equal">
      <formula>"Fail"</formula>
    </cfRule>
  </conditionalFormatting>
  <conditionalFormatting sqref="A693">
    <cfRule type="cellIs" dxfId="26535" priority="26373" stopIfTrue="1" operator="equal">
      <formula>"Pass"</formula>
    </cfRule>
    <cfRule type="cellIs" dxfId="26534" priority="26374" stopIfTrue="1" operator="equal">
      <formula>"Fail"</formula>
    </cfRule>
  </conditionalFormatting>
  <conditionalFormatting sqref="A691:A693">
    <cfRule type="cellIs" dxfId="26533" priority="26371" stopIfTrue="1" operator="equal">
      <formula>"Pass"</formula>
    </cfRule>
    <cfRule type="cellIs" dxfId="26532" priority="26372" stopIfTrue="1" operator="equal">
      <formula>"Fail"</formula>
    </cfRule>
  </conditionalFormatting>
  <conditionalFormatting sqref="A691:A693">
    <cfRule type="cellIs" dxfId="26531" priority="26369" stopIfTrue="1" operator="equal">
      <formula>"Pass"</formula>
    </cfRule>
    <cfRule type="cellIs" dxfId="26530" priority="26370" stopIfTrue="1" operator="equal">
      <formula>"Fail"</formula>
    </cfRule>
  </conditionalFormatting>
  <conditionalFormatting sqref="A691:A693">
    <cfRule type="cellIs" dxfId="26529" priority="26367" stopIfTrue="1" operator="equal">
      <formula>"Pass"</formula>
    </cfRule>
    <cfRule type="cellIs" dxfId="26528" priority="26368" stopIfTrue="1" operator="equal">
      <formula>"Fail"</formula>
    </cfRule>
  </conditionalFormatting>
  <conditionalFormatting sqref="A691:A693">
    <cfRule type="cellIs" dxfId="26527" priority="26365" stopIfTrue="1" operator="equal">
      <formula>"Pass"</formula>
    </cfRule>
    <cfRule type="cellIs" dxfId="26526" priority="26366" stopIfTrue="1" operator="equal">
      <formula>"Fail"</formula>
    </cfRule>
  </conditionalFormatting>
  <conditionalFormatting sqref="A691:A693">
    <cfRule type="cellIs" dxfId="26525" priority="26363" stopIfTrue="1" operator="equal">
      <formula>"Pass"</formula>
    </cfRule>
    <cfRule type="cellIs" dxfId="26524" priority="26364" stopIfTrue="1" operator="equal">
      <formula>"Fail"</formula>
    </cfRule>
  </conditionalFormatting>
  <conditionalFormatting sqref="A691:A693">
    <cfRule type="cellIs" dxfId="26523" priority="26361" stopIfTrue="1" operator="equal">
      <formula>"Pass"</formula>
    </cfRule>
    <cfRule type="cellIs" dxfId="26522" priority="26362" stopIfTrue="1" operator="equal">
      <formula>"Fail"</formula>
    </cfRule>
  </conditionalFormatting>
  <conditionalFormatting sqref="A693">
    <cfRule type="cellIs" dxfId="26521" priority="26359" stopIfTrue="1" operator="equal">
      <formula>"Pass"</formula>
    </cfRule>
    <cfRule type="cellIs" dxfId="26520" priority="26360" stopIfTrue="1" operator="equal">
      <formula>"Fail"</formula>
    </cfRule>
  </conditionalFormatting>
  <conditionalFormatting sqref="A691:A693">
    <cfRule type="cellIs" dxfId="26519" priority="26357" stopIfTrue="1" operator="equal">
      <formula>"Pass"</formula>
    </cfRule>
    <cfRule type="cellIs" dxfId="26518" priority="26358" stopIfTrue="1" operator="equal">
      <formula>"Fail"</formula>
    </cfRule>
  </conditionalFormatting>
  <conditionalFormatting sqref="A691">
    <cfRule type="cellIs" dxfId="26517" priority="26355" stopIfTrue="1" operator="equal">
      <formula>"Pass"</formula>
    </cfRule>
    <cfRule type="cellIs" dxfId="26516" priority="26356" stopIfTrue="1" operator="equal">
      <formula>"Fail"</formula>
    </cfRule>
  </conditionalFormatting>
  <conditionalFormatting sqref="A691">
    <cfRule type="cellIs" dxfId="26515" priority="26353" stopIfTrue="1" operator="equal">
      <formula>"Pass"</formula>
    </cfRule>
    <cfRule type="cellIs" dxfId="26514" priority="26354" stopIfTrue="1" operator="equal">
      <formula>"Fail"</formula>
    </cfRule>
  </conditionalFormatting>
  <conditionalFormatting sqref="A691">
    <cfRule type="cellIs" dxfId="26513" priority="26351" stopIfTrue="1" operator="equal">
      <formula>"Pass"</formula>
    </cfRule>
    <cfRule type="cellIs" dxfId="26512" priority="26352" stopIfTrue="1" operator="equal">
      <formula>"Fail"</formula>
    </cfRule>
  </conditionalFormatting>
  <conditionalFormatting sqref="A691">
    <cfRule type="cellIs" dxfId="26511" priority="26349" stopIfTrue="1" operator="equal">
      <formula>"Pass"</formula>
    </cfRule>
    <cfRule type="cellIs" dxfId="26510" priority="26350" stopIfTrue="1" operator="equal">
      <formula>"Fail"</formula>
    </cfRule>
  </conditionalFormatting>
  <conditionalFormatting sqref="A691">
    <cfRule type="cellIs" dxfId="26509" priority="26347" stopIfTrue="1" operator="equal">
      <formula>"Pass"</formula>
    </cfRule>
    <cfRule type="cellIs" dxfId="26508" priority="26348" stopIfTrue="1" operator="equal">
      <formula>"Fail"</formula>
    </cfRule>
  </conditionalFormatting>
  <conditionalFormatting sqref="A691">
    <cfRule type="cellIs" dxfId="26507" priority="26345" stopIfTrue="1" operator="equal">
      <formula>"Pass"</formula>
    </cfRule>
    <cfRule type="cellIs" dxfId="26506" priority="26346" stopIfTrue="1" operator="equal">
      <formula>"Fail"</formula>
    </cfRule>
  </conditionalFormatting>
  <conditionalFormatting sqref="A691">
    <cfRule type="cellIs" dxfId="26505" priority="26343" stopIfTrue="1" operator="equal">
      <formula>"Pass"</formula>
    </cfRule>
    <cfRule type="cellIs" dxfId="26504" priority="26344" stopIfTrue="1" operator="equal">
      <formula>"Fail"</formula>
    </cfRule>
  </conditionalFormatting>
  <conditionalFormatting sqref="A691">
    <cfRule type="cellIs" dxfId="26503" priority="26341" stopIfTrue="1" operator="equal">
      <formula>"Pass"</formula>
    </cfRule>
    <cfRule type="cellIs" dxfId="26502" priority="26342" stopIfTrue="1" operator="equal">
      <formula>"Fail"</formula>
    </cfRule>
  </conditionalFormatting>
  <conditionalFormatting sqref="A691">
    <cfRule type="cellIs" dxfId="26501" priority="26339" stopIfTrue="1" operator="equal">
      <formula>"Pass"</formula>
    </cfRule>
    <cfRule type="cellIs" dxfId="26500" priority="26340" stopIfTrue="1" operator="equal">
      <formula>"Fail"</formula>
    </cfRule>
  </conditionalFormatting>
  <conditionalFormatting sqref="A691">
    <cfRule type="cellIs" dxfId="26499" priority="26337" stopIfTrue="1" operator="equal">
      <formula>"Pass"</formula>
    </cfRule>
    <cfRule type="cellIs" dxfId="26498" priority="26338" stopIfTrue="1" operator="equal">
      <formula>"Fail"</formula>
    </cfRule>
  </conditionalFormatting>
  <conditionalFormatting sqref="A691">
    <cfRule type="cellIs" dxfId="26497" priority="26335" stopIfTrue="1" operator="equal">
      <formula>"Pass"</formula>
    </cfRule>
    <cfRule type="cellIs" dxfId="26496" priority="26336" stopIfTrue="1" operator="equal">
      <formula>"Fail"</formula>
    </cfRule>
  </conditionalFormatting>
  <conditionalFormatting sqref="A691">
    <cfRule type="cellIs" dxfId="26495" priority="26333" stopIfTrue="1" operator="equal">
      <formula>"Pass"</formula>
    </cfRule>
    <cfRule type="cellIs" dxfId="26494" priority="26334" stopIfTrue="1" operator="equal">
      <formula>"Fail"</formula>
    </cfRule>
  </conditionalFormatting>
  <conditionalFormatting sqref="A691:A693">
    <cfRule type="cellIs" dxfId="26493" priority="26331" stopIfTrue="1" operator="equal">
      <formula>"Pass"</formula>
    </cfRule>
    <cfRule type="cellIs" dxfId="26492" priority="26332" stopIfTrue="1" operator="equal">
      <formula>"Fail"</formula>
    </cfRule>
  </conditionalFormatting>
  <conditionalFormatting sqref="A691:A693">
    <cfRule type="cellIs" dxfId="26491" priority="26329" stopIfTrue="1" operator="equal">
      <formula>"Pass"</formula>
    </cfRule>
    <cfRule type="cellIs" dxfId="26490" priority="26330" stopIfTrue="1" operator="equal">
      <formula>"Fail"</formula>
    </cfRule>
  </conditionalFormatting>
  <conditionalFormatting sqref="A691:A693">
    <cfRule type="cellIs" dxfId="26489" priority="26327" stopIfTrue="1" operator="equal">
      <formula>"Pass"</formula>
    </cfRule>
    <cfRule type="cellIs" dxfId="26488" priority="26328" stopIfTrue="1" operator="equal">
      <formula>"Fail"</formula>
    </cfRule>
  </conditionalFormatting>
  <conditionalFormatting sqref="A691:A693">
    <cfRule type="cellIs" dxfId="26487" priority="26325" stopIfTrue="1" operator="equal">
      <formula>"Pass"</formula>
    </cfRule>
    <cfRule type="cellIs" dxfId="26486" priority="26326" stopIfTrue="1" operator="equal">
      <formula>"Fail"</formula>
    </cfRule>
  </conditionalFormatting>
  <conditionalFormatting sqref="A691:A693">
    <cfRule type="cellIs" dxfId="26485" priority="26323" stopIfTrue="1" operator="equal">
      <formula>"Pass"</formula>
    </cfRule>
    <cfRule type="cellIs" dxfId="26484" priority="26324" stopIfTrue="1" operator="equal">
      <formula>"Fail"</formula>
    </cfRule>
  </conditionalFormatting>
  <conditionalFormatting sqref="A693">
    <cfRule type="cellIs" dxfId="26483" priority="26321" stopIfTrue="1" operator="equal">
      <formula>"Pass"</formula>
    </cfRule>
    <cfRule type="cellIs" dxfId="26482" priority="26322" stopIfTrue="1" operator="equal">
      <formula>"Fail"</formula>
    </cfRule>
  </conditionalFormatting>
  <conditionalFormatting sqref="A691:A693">
    <cfRule type="cellIs" dxfId="26481" priority="26319" stopIfTrue="1" operator="equal">
      <formula>"Pass"</formula>
    </cfRule>
    <cfRule type="cellIs" dxfId="26480" priority="26320" stopIfTrue="1" operator="equal">
      <formula>"Fail"</formula>
    </cfRule>
  </conditionalFormatting>
  <conditionalFormatting sqref="A691:A693">
    <cfRule type="cellIs" dxfId="26479" priority="26317" stopIfTrue="1" operator="equal">
      <formula>"Pass"</formula>
    </cfRule>
    <cfRule type="cellIs" dxfId="26478" priority="26318" stopIfTrue="1" operator="equal">
      <formula>"Fail"</formula>
    </cfRule>
  </conditionalFormatting>
  <conditionalFormatting sqref="A691:A693">
    <cfRule type="cellIs" dxfId="26477" priority="26315" stopIfTrue="1" operator="equal">
      <formula>"Pass"</formula>
    </cfRule>
    <cfRule type="cellIs" dxfId="26476" priority="26316" stopIfTrue="1" operator="equal">
      <formula>"Fail"</formula>
    </cfRule>
  </conditionalFormatting>
  <conditionalFormatting sqref="A691:A693">
    <cfRule type="cellIs" dxfId="26475" priority="26313" stopIfTrue="1" operator="equal">
      <formula>"Pass"</formula>
    </cfRule>
    <cfRule type="cellIs" dxfId="26474" priority="26314" stopIfTrue="1" operator="equal">
      <formula>"Fail"</formula>
    </cfRule>
  </conditionalFormatting>
  <conditionalFormatting sqref="A691:A693">
    <cfRule type="cellIs" dxfId="26473" priority="26311" stopIfTrue="1" operator="equal">
      <formula>"Pass"</formula>
    </cfRule>
    <cfRule type="cellIs" dxfId="26472" priority="26312" stopIfTrue="1" operator="equal">
      <formula>"Fail"</formula>
    </cfRule>
  </conditionalFormatting>
  <conditionalFormatting sqref="A691:A693">
    <cfRule type="cellIs" dxfId="26471" priority="26309" stopIfTrue="1" operator="equal">
      <formula>"Pass"</formula>
    </cfRule>
    <cfRule type="cellIs" dxfId="26470" priority="26310" stopIfTrue="1" operator="equal">
      <formula>"Fail"</formula>
    </cfRule>
  </conditionalFormatting>
  <conditionalFormatting sqref="A693">
    <cfRule type="cellIs" dxfId="26469" priority="26307" stopIfTrue="1" operator="equal">
      <formula>"Pass"</formula>
    </cfRule>
    <cfRule type="cellIs" dxfId="26468" priority="26308" stopIfTrue="1" operator="equal">
      <formula>"Fail"</formula>
    </cfRule>
  </conditionalFormatting>
  <conditionalFormatting sqref="A691:A693">
    <cfRule type="cellIs" dxfId="26467" priority="26305" stopIfTrue="1" operator="equal">
      <formula>"Pass"</formula>
    </cfRule>
    <cfRule type="cellIs" dxfId="26466" priority="26306" stopIfTrue="1" operator="equal">
      <formula>"Fail"</formula>
    </cfRule>
  </conditionalFormatting>
  <conditionalFormatting sqref="A694:A696">
    <cfRule type="cellIs" dxfId="26465" priority="26303" stopIfTrue="1" operator="equal">
      <formula>"Pass"</formula>
    </cfRule>
    <cfRule type="cellIs" dxfId="26464" priority="26304" stopIfTrue="1" operator="equal">
      <formula>"Fail"</formula>
    </cfRule>
  </conditionalFormatting>
  <conditionalFormatting sqref="A694:A696">
    <cfRule type="cellIs" dxfId="26463" priority="26301" stopIfTrue="1" operator="equal">
      <formula>"Pass"</formula>
    </cfRule>
    <cfRule type="cellIs" dxfId="26462" priority="26302" stopIfTrue="1" operator="equal">
      <formula>"Fail"</formula>
    </cfRule>
  </conditionalFormatting>
  <conditionalFormatting sqref="A694:A696">
    <cfRule type="cellIs" dxfId="26461" priority="26299" stopIfTrue="1" operator="equal">
      <formula>"Pass"</formula>
    </cfRule>
    <cfRule type="cellIs" dxfId="26460" priority="26300" stopIfTrue="1" operator="equal">
      <formula>"Fail"</formula>
    </cfRule>
  </conditionalFormatting>
  <conditionalFormatting sqref="A694:A696">
    <cfRule type="cellIs" dxfId="26459" priority="26297" stopIfTrue="1" operator="equal">
      <formula>"Pass"</formula>
    </cfRule>
    <cfRule type="cellIs" dxfId="26458" priority="26298" stopIfTrue="1" operator="equal">
      <formula>"Fail"</formula>
    </cfRule>
  </conditionalFormatting>
  <conditionalFormatting sqref="A694:A696">
    <cfRule type="cellIs" dxfId="26457" priority="26295" stopIfTrue="1" operator="equal">
      <formula>"Pass"</formula>
    </cfRule>
    <cfRule type="cellIs" dxfId="26456" priority="26296" stopIfTrue="1" operator="equal">
      <formula>"Fail"</formula>
    </cfRule>
  </conditionalFormatting>
  <conditionalFormatting sqref="A696">
    <cfRule type="cellIs" dxfId="26455" priority="26293" stopIfTrue="1" operator="equal">
      <formula>"Pass"</formula>
    </cfRule>
    <cfRule type="cellIs" dxfId="26454" priority="26294" stopIfTrue="1" operator="equal">
      <formula>"Fail"</formula>
    </cfRule>
  </conditionalFormatting>
  <conditionalFormatting sqref="A694:A696">
    <cfRule type="cellIs" dxfId="26453" priority="26291" stopIfTrue="1" operator="equal">
      <formula>"Pass"</formula>
    </cfRule>
    <cfRule type="cellIs" dxfId="26452" priority="26292" stopIfTrue="1" operator="equal">
      <formula>"Fail"</formula>
    </cfRule>
  </conditionalFormatting>
  <conditionalFormatting sqref="A694:A696">
    <cfRule type="cellIs" dxfId="26451" priority="26289" stopIfTrue="1" operator="equal">
      <formula>"Pass"</formula>
    </cfRule>
    <cfRule type="cellIs" dxfId="26450" priority="26290" stopIfTrue="1" operator="equal">
      <formula>"Fail"</formula>
    </cfRule>
  </conditionalFormatting>
  <conditionalFormatting sqref="A694:A696">
    <cfRule type="cellIs" dxfId="26449" priority="26287" stopIfTrue="1" operator="equal">
      <formula>"Pass"</formula>
    </cfRule>
    <cfRule type="cellIs" dxfId="26448" priority="26288" stopIfTrue="1" operator="equal">
      <formula>"Fail"</formula>
    </cfRule>
  </conditionalFormatting>
  <conditionalFormatting sqref="A694:A696">
    <cfRule type="cellIs" dxfId="26447" priority="26285" stopIfTrue="1" operator="equal">
      <formula>"Pass"</formula>
    </cfRule>
    <cfRule type="cellIs" dxfId="26446" priority="26286" stopIfTrue="1" operator="equal">
      <formula>"Fail"</formula>
    </cfRule>
  </conditionalFormatting>
  <conditionalFormatting sqref="A694:A696">
    <cfRule type="cellIs" dxfId="26445" priority="26283" stopIfTrue="1" operator="equal">
      <formula>"Pass"</formula>
    </cfRule>
    <cfRule type="cellIs" dxfId="26444" priority="26284" stopIfTrue="1" operator="equal">
      <formula>"Fail"</formula>
    </cfRule>
  </conditionalFormatting>
  <conditionalFormatting sqref="A694:A696">
    <cfRule type="cellIs" dxfId="26443" priority="26281" stopIfTrue="1" operator="equal">
      <formula>"Pass"</formula>
    </cfRule>
    <cfRule type="cellIs" dxfId="26442" priority="26282" stopIfTrue="1" operator="equal">
      <formula>"Fail"</formula>
    </cfRule>
  </conditionalFormatting>
  <conditionalFormatting sqref="A696">
    <cfRule type="cellIs" dxfId="26441" priority="26279" stopIfTrue="1" operator="equal">
      <formula>"Pass"</formula>
    </cfRule>
    <cfRule type="cellIs" dxfId="26440" priority="26280" stopIfTrue="1" operator="equal">
      <formula>"Fail"</formula>
    </cfRule>
  </conditionalFormatting>
  <conditionalFormatting sqref="A694:A696">
    <cfRule type="cellIs" dxfId="26439" priority="26277" stopIfTrue="1" operator="equal">
      <formula>"Pass"</formula>
    </cfRule>
    <cfRule type="cellIs" dxfId="26438" priority="26278" stopIfTrue="1" operator="equal">
      <formula>"Fail"</formula>
    </cfRule>
  </conditionalFormatting>
  <conditionalFormatting sqref="A694:A696">
    <cfRule type="cellIs" dxfId="26437" priority="26275" stopIfTrue="1" operator="equal">
      <formula>"Pass"</formula>
    </cfRule>
    <cfRule type="cellIs" dxfId="26436" priority="26276" stopIfTrue="1" operator="equal">
      <formula>"Fail"</formula>
    </cfRule>
  </conditionalFormatting>
  <conditionalFormatting sqref="A694:A696">
    <cfRule type="cellIs" dxfId="26435" priority="26273" stopIfTrue="1" operator="equal">
      <formula>"Pass"</formula>
    </cfRule>
    <cfRule type="cellIs" dxfId="26434" priority="26274" stopIfTrue="1" operator="equal">
      <formula>"Fail"</formula>
    </cfRule>
  </conditionalFormatting>
  <conditionalFormatting sqref="A694:A696">
    <cfRule type="cellIs" dxfId="26433" priority="26271" stopIfTrue="1" operator="equal">
      <formula>"Pass"</formula>
    </cfRule>
    <cfRule type="cellIs" dxfId="26432" priority="26272" stopIfTrue="1" operator="equal">
      <formula>"Fail"</formula>
    </cfRule>
  </conditionalFormatting>
  <conditionalFormatting sqref="A694:A696">
    <cfRule type="cellIs" dxfId="26431" priority="26269" stopIfTrue="1" operator="equal">
      <formula>"Pass"</formula>
    </cfRule>
    <cfRule type="cellIs" dxfId="26430" priority="26270" stopIfTrue="1" operator="equal">
      <formula>"Fail"</formula>
    </cfRule>
  </conditionalFormatting>
  <conditionalFormatting sqref="A694:A696">
    <cfRule type="cellIs" dxfId="26429" priority="26267" stopIfTrue="1" operator="equal">
      <formula>"Pass"</formula>
    </cfRule>
    <cfRule type="cellIs" dxfId="26428" priority="26268" stopIfTrue="1" operator="equal">
      <formula>"Fail"</formula>
    </cfRule>
  </conditionalFormatting>
  <conditionalFormatting sqref="A696">
    <cfRule type="cellIs" dxfId="26427" priority="26265" stopIfTrue="1" operator="equal">
      <formula>"Pass"</formula>
    </cfRule>
    <cfRule type="cellIs" dxfId="26426" priority="26266" stopIfTrue="1" operator="equal">
      <formula>"Fail"</formula>
    </cfRule>
  </conditionalFormatting>
  <conditionalFormatting sqref="A694:A696">
    <cfRule type="cellIs" dxfId="26425" priority="26263" stopIfTrue="1" operator="equal">
      <formula>"Pass"</formula>
    </cfRule>
    <cfRule type="cellIs" dxfId="26424" priority="26264" stopIfTrue="1" operator="equal">
      <formula>"Fail"</formula>
    </cfRule>
  </conditionalFormatting>
  <conditionalFormatting sqref="A694:A696">
    <cfRule type="cellIs" dxfId="26423" priority="26261" stopIfTrue="1" operator="equal">
      <formula>"Pass"</formula>
    </cfRule>
    <cfRule type="cellIs" dxfId="26422" priority="26262" stopIfTrue="1" operator="equal">
      <formula>"Fail"</formula>
    </cfRule>
  </conditionalFormatting>
  <conditionalFormatting sqref="A694:A696">
    <cfRule type="cellIs" dxfId="26421" priority="26259" stopIfTrue="1" operator="equal">
      <formula>"Pass"</formula>
    </cfRule>
    <cfRule type="cellIs" dxfId="26420" priority="26260" stopIfTrue="1" operator="equal">
      <formula>"Fail"</formula>
    </cfRule>
  </conditionalFormatting>
  <conditionalFormatting sqref="A694:A696">
    <cfRule type="cellIs" dxfId="26419" priority="26257" stopIfTrue="1" operator="equal">
      <formula>"Pass"</formula>
    </cfRule>
    <cfRule type="cellIs" dxfId="26418" priority="26258" stopIfTrue="1" operator="equal">
      <formula>"Fail"</formula>
    </cfRule>
  </conditionalFormatting>
  <conditionalFormatting sqref="A694:A696">
    <cfRule type="cellIs" dxfId="26417" priority="26255" stopIfTrue="1" operator="equal">
      <formula>"Pass"</formula>
    </cfRule>
    <cfRule type="cellIs" dxfId="26416" priority="26256" stopIfTrue="1" operator="equal">
      <formula>"Fail"</formula>
    </cfRule>
  </conditionalFormatting>
  <conditionalFormatting sqref="A694:A696">
    <cfRule type="cellIs" dxfId="26415" priority="26253" stopIfTrue="1" operator="equal">
      <formula>"Pass"</formula>
    </cfRule>
    <cfRule type="cellIs" dxfId="26414" priority="26254" stopIfTrue="1" operator="equal">
      <formula>"Fail"</formula>
    </cfRule>
  </conditionalFormatting>
  <conditionalFormatting sqref="A696">
    <cfRule type="cellIs" dxfId="26413" priority="26251" stopIfTrue="1" operator="equal">
      <formula>"Pass"</formula>
    </cfRule>
    <cfRule type="cellIs" dxfId="26412" priority="26252" stopIfTrue="1" operator="equal">
      <formula>"Fail"</formula>
    </cfRule>
  </conditionalFormatting>
  <conditionalFormatting sqref="A694:A696">
    <cfRule type="cellIs" dxfId="26411" priority="26249" stopIfTrue="1" operator="equal">
      <formula>"Pass"</formula>
    </cfRule>
    <cfRule type="cellIs" dxfId="26410" priority="26250" stopIfTrue="1" operator="equal">
      <formula>"Fail"</formula>
    </cfRule>
  </conditionalFormatting>
  <conditionalFormatting sqref="A694">
    <cfRule type="cellIs" dxfId="26409" priority="26247" stopIfTrue="1" operator="equal">
      <formula>"Pass"</formula>
    </cfRule>
    <cfRule type="cellIs" dxfId="26408" priority="26248" stopIfTrue="1" operator="equal">
      <formula>"Fail"</formula>
    </cfRule>
  </conditionalFormatting>
  <conditionalFormatting sqref="A694">
    <cfRule type="cellIs" dxfId="26407" priority="26245" stopIfTrue="1" operator="equal">
      <formula>"Pass"</formula>
    </cfRule>
    <cfRule type="cellIs" dxfId="26406" priority="26246" stopIfTrue="1" operator="equal">
      <formula>"Fail"</formula>
    </cfRule>
  </conditionalFormatting>
  <conditionalFormatting sqref="A694">
    <cfRule type="cellIs" dxfId="26405" priority="26243" stopIfTrue="1" operator="equal">
      <formula>"Pass"</formula>
    </cfRule>
    <cfRule type="cellIs" dxfId="26404" priority="26244" stopIfTrue="1" operator="equal">
      <formula>"Fail"</formula>
    </cfRule>
  </conditionalFormatting>
  <conditionalFormatting sqref="A694">
    <cfRule type="cellIs" dxfId="26403" priority="26241" stopIfTrue="1" operator="equal">
      <formula>"Pass"</formula>
    </cfRule>
    <cfRule type="cellIs" dxfId="26402" priority="26242" stopIfTrue="1" operator="equal">
      <formula>"Fail"</formula>
    </cfRule>
  </conditionalFormatting>
  <conditionalFormatting sqref="A694">
    <cfRule type="cellIs" dxfId="26401" priority="26239" stopIfTrue="1" operator="equal">
      <formula>"Pass"</formula>
    </cfRule>
    <cfRule type="cellIs" dxfId="26400" priority="26240" stopIfTrue="1" operator="equal">
      <formula>"Fail"</formula>
    </cfRule>
  </conditionalFormatting>
  <conditionalFormatting sqref="A694">
    <cfRule type="cellIs" dxfId="26399" priority="26237" stopIfTrue="1" operator="equal">
      <formula>"Pass"</formula>
    </cfRule>
    <cfRule type="cellIs" dxfId="26398" priority="26238" stopIfTrue="1" operator="equal">
      <formula>"Fail"</formula>
    </cfRule>
  </conditionalFormatting>
  <conditionalFormatting sqref="A694">
    <cfRule type="cellIs" dxfId="26397" priority="26235" stopIfTrue="1" operator="equal">
      <formula>"Pass"</formula>
    </cfRule>
    <cfRule type="cellIs" dxfId="26396" priority="26236" stopIfTrue="1" operator="equal">
      <formula>"Fail"</formula>
    </cfRule>
  </conditionalFormatting>
  <conditionalFormatting sqref="A694">
    <cfRule type="cellIs" dxfId="26395" priority="26233" stopIfTrue="1" operator="equal">
      <formula>"Pass"</formula>
    </cfRule>
    <cfRule type="cellIs" dxfId="26394" priority="26234" stopIfTrue="1" operator="equal">
      <formula>"Fail"</formula>
    </cfRule>
  </conditionalFormatting>
  <conditionalFormatting sqref="A694">
    <cfRule type="cellIs" dxfId="26393" priority="26231" stopIfTrue="1" operator="equal">
      <formula>"Pass"</formula>
    </cfRule>
    <cfRule type="cellIs" dxfId="26392" priority="26232" stopIfTrue="1" operator="equal">
      <formula>"Fail"</formula>
    </cfRule>
  </conditionalFormatting>
  <conditionalFormatting sqref="A694">
    <cfRule type="cellIs" dxfId="26391" priority="26229" stopIfTrue="1" operator="equal">
      <formula>"Pass"</formula>
    </cfRule>
    <cfRule type="cellIs" dxfId="26390" priority="26230" stopIfTrue="1" operator="equal">
      <formula>"Fail"</formula>
    </cfRule>
  </conditionalFormatting>
  <conditionalFormatting sqref="A694">
    <cfRule type="cellIs" dxfId="26389" priority="26227" stopIfTrue="1" operator="equal">
      <formula>"Pass"</formula>
    </cfRule>
    <cfRule type="cellIs" dxfId="26388" priority="26228" stopIfTrue="1" operator="equal">
      <formula>"Fail"</formula>
    </cfRule>
  </conditionalFormatting>
  <conditionalFormatting sqref="A694">
    <cfRule type="cellIs" dxfId="26387" priority="26225" stopIfTrue="1" operator="equal">
      <formula>"Pass"</formula>
    </cfRule>
    <cfRule type="cellIs" dxfId="26386" priority="26226" stopIfTrue="1" operator="equal">
      <formula>"Fail"</formula>
    </cfRule>
  </conditionalFormatting>
  <conditionalFormatting sqref="A694:A696">
    <cfRule type="cellIs" dxfId="26385" priority="26223" stopIfTrue="1" operator="equal">
      <formula>"Pass"</formula>
    </cfRule>
    <cfRule type="cellIs" dxfId="26384" priority="26224" stopIfTrue="1" operator="equal">
      <formula>"Fail"</formula>
    </cfRule>
  </conditionalFormatting>
  <conditionalFormatting sqref="A694:A696">
    <cfRule type="cellIs" dxfId="26383" priority="26221" stopIfTrue="1" operator="equal">
      <formula>"Pass"</formula>
    </cfRule>
    <cfRule type="cellIs" dxfId="26382" priority="26222" stopIfTrue="1" operator="equal">
      <formula>"Fail"</formula>
    </cfRule>
  </conditionalFormatting>
  <conditionalFormatting sqref="A694:A696">
    <cfRule type="cellIs" dxfId="26381" priority="26219" stopIfTrue="1" operator="equal">
      <formula>"Pass"</formula>
    </cfRule>
    <cfRule type="cellIs" dxfId="26380" priority="26220" stopIfTrue="1" operator="equal">
      <formula>"Fail"</formula>
    </cfRule>
  </conditionalFormatting>
  <conditionalFormatting sqref="A694:A696">
    <cfRule type="cellIs" dxfId="26379" priority="26217" stopIfTrue="1" operator="equal">
      <formula>"Pass"</formula>
    </cfRule>
    <cfRule type="cellIs" dxfId="26378" priority="26218" stopIfTrue="1" operator="equal">
      <formula>"Fail"</formula>
    </cfRule>
  </conditionalFormatting>
  <conditionalFormatting sqref="A694:A696">
    <cfRule type="cellIs" dxfId="26377" priority="26215" stopIfTrue="1" operator="equal">
      <formula>"Pass"</formula>
    </cfRule>
    <cfRule type="cellIs" dxfId="26376" priority="26216" stopIfTrue="1" operator="equal">
      <formula>"Fail"</formula>
    </cfRule>
  </conditionalFormatting>
  <conditionalFormatting sqref="A696">
    <cfRule type="cellIs" dxfId="26375" priority="26213" stopIfTrue="1" operator="equal">
      <formula>"Pass"</formula>
    </cfRule>
    <cfRule type="cellIs" dxfId="26374" priority="26214" stopIfTrue="1" operator="equal">
      <formula>"Fail"</formula>
    </cfRule>
  </conditionalFormatting>
  <conditionalFormatting sqref="A694:A696">
    <cfRule type="cellIs" dxfId="26373" priority="26211" stopIfTrue="1" operator="equal">
      <formula>"Pass"</formula>
    </cfRule>
    <cfRule type="cellIs" dxfId="26372" priority="26212" stopIfTrue="1" operator="equal">
      <formula>"Fail"</formula>
    </cfRule>
  </conditionalFormatting>
  <conditionalFormatting sqref="A694:A696">
    <cfRule type="cellIs" dxfId="26371" priority="26209" stopIfTrue="1" operator="equal">
      <formula>"Pass"</formula>
    </cfRule>
    <cfRule type="cellIs" dxfId="26370" priority="26210" stopIfTrue="1" operator="equal">
      <formula>"Fail"</formula>
    </cfRule>
  </conditionalFormatting>
  <conditionalFormatting sqref="A694:A696">
    <cfRule type="cellIs" dxfId="26369" priority="26207" stopIfTrue="1" operator="equal">
      <formula>"Pass"</formula>
    </cfRule>
    <cfRule type="cellIs" dxfId="26368" priority="26208" stopIfTrue="1" operator="equal">
      <formula>"Fail"</formula>
    </cfRule>
  </conditionalFormatting>
  <conditionalFormatting sqref="A694:A696">
    <cfRule type="cellIs" dxfId="26367" priority="26205" stopIfTrue="1" operator="equal">
      <formula>"Pass"</formula>
    </cfRule>
    <cfRule type="cellIs" dxfId="26366" priority="26206" stopIfTrue="1" operator="equal">
      <formula>"Fail"</formula>
    </cfRule>
  </conditionalFormatting>
  <conditionalFormatting sqref="A694:A696">
    <cfRule type="cellIs" dxfId="26365" priority="26203" stopIfTrue="1" operator="equal">
      <formula>"Pass"</formula>
    </cfRule>
    <cfRule type="cellIs" dxfId="26364" priority="26204" stopIfTrue="1" operator="equal">
      <formula>"Fail"</formula>
    </cfRule>
  </conditionalFormatting>
  <conditionalFormatting sqref="A694:A696">
    <cfRule type="cellIs" dxfId="26363" priority="26201" stopIfTrue="1" operator="equal">
      <formula>"Pass"</formula>
    </cfRule>
    <cfRule type="cellIs" dxfId="26362" priority="26202" stopIfTrue="1" operator="equal">
      <formula>"Fail"</formula>
    </cfRule>
  </conditionalFormatting>
  <conditionalFormatting sqref="A696">
    <cfRule type="cellIs" dxfId="26361" priority="26199" stopIfTrue="1" operator="equal">
      <formula>"Pass"</formula>
    </cfRule>
    <cfRule type="cellIs" dxfId="26360" priority="26200" stopIfTrue="1" operator="equal">
      <formula>"Fail"</formula>
    </cfRule>
  </conditionalFormatting>
  <conditionalFormatting sqref="A694:A696">
    <cfRule type="cellIs" dxfId="26359" priority="26197" stopIfTrue="1" operator="equal">
      <formula>"Pass"</formula>
    </cfRule>
    <cfRule type="cellIs" dxfId="26358" priority="26198" stopIfTrue="1" operator="equal">
      <formula>"Fail"</formula>
    </cfRule>
  </conditionalFormatting>
  <conditionalFormatting sqref="A697:A699">
    <cfRule type="cellIs" dxfId="26357" priority="26195" stopIfTrue="1" operator="equal">
      <formula>"Pass"</formula>
    </cfRule>
    <cfRule type="cellIs" dxfId="26356" priority="26196" stopIfTrue="1" operator="equal">
      <formula>"Fail"</formula>
    </cfRule>
  </conditionalFormatting>
  <conditionalFormatting sqref="A697:A699">
    <cfRule type="cellIs" dxfId="26355" priority="26193" stopIfTrue="1" operator="equal">
      <formula>"Pass"</formula>
    </cfRule>
    <cfRule type="cellIs" dxfId="26354" priority="26194" stopIfTrue="1" operator="equal">
      <formula>"Fail"</formula>
    </cfRule>
  </conditionalFormatting>
  <conditionalFormatting sqref="A697:A699">
    <cfRule type="cellIs" dxfId="26353" priority="26191" stopIfTrue="1" operator="equal">
      <formula>"Pass"</formula>
    </cfRule>
    <cfRule type="cellIs" dxfId="26352" priority="26192" stopIfTrue="1" operator="equal">
      <formula>"Fail"</formula>
    </cfRule>
  </conditionalFormatting>
  <conditionalFormatting sqref="A697:A699">
    <cfRule type="cellIs" dxfId="26351" priority="26189" stopIfTrue="1" operator="equal">
      <formula>"Pass"</formula>
    </cfRule>
    <cfRule type="cellIs" dxfId="26350" priority="26190" stopIfTrue="1" operator="equal">
      <formula>"Fail"</formula>
    </cfRule>
  </conditionalFormatting>
  <conditionalFormatting sqref="A697:A699">
    <cfRule type="cellIs" dxfId="26349" priority="26187" stopIfTrue="1" operator="equal">
      <formula>"Pass"</formula>
    </cfRule>
    <cfRule type="cellIs" dxfId="26348" priority="26188" stopIfTrue="1" operator="equal">
      <formula>"Fail"</formula>
    </cfRule>
  </conditionalFormatting>
  <conditionalFormatting sqref="A699">
    <cfRule type="cellIs" dxfId="26347" priority="26185" stopIfTrue="1" operator="equal">
      <formula>"Pass"</formula>
    </cfRule>
    <cfRule type="cellIs" dxfId="26346" priority="26186" stopIfTrue="1" operator="equal">
      <formula>"Fail"</formula>
    </cfRule>
  </conditionalFormatting>
  <conditionalFormatting sqref="A697:A699">
    <cfRule type="cellIs" dxfId="26345" priority="26183" stopIfTrue="1" operator="equal">
      <formula>"Pass"</formula>
    </cfRule>
    <cfRule type="cellIs" dxfId="26344" priority="26184" stopIfTrue="1" operator="equal">
      <formula>"Fail"</formula>
    </cfRule>
  </conditionalFormatting>
  <conditionalFormatting sqref="A697:A699">
    <cfRule type="cellIs" dxfId="26343" priority="26181" stopIfTrue="1" operator="equal">
      <formula>"Pass"</formula>
    </cfRule>
    <cfRule type="cellIs" dxfId="26342" priority="26182" stopIfTrue="1" operator="equal">
      <formula>"Fail"</formula>
    </cfRule>
  </conditionalFormatting>
  <conditionalFormatting sqref="A697:A699">
    <cfRule type="cellIs" dxfId="26341" priority="26179" stopIfTrue="1" operator="equal">
      <formula>"Pass"</formula>
    </cfRule>
    <cfRule type="cellIs" dxfId="26340" priority="26180" stopIfTrue="1" operator="equal">
      <formula>"Fail"</formula>
    </cfRule>
  </conditionalFormatting>
  <conditionalFormatting sqref="A697:A699">
    <cfRule type="cellIs" dxfId="26339" priority="26177" stopIfTrue="1" operator="equal">
      <formula>"Pass"</formula>
    </cfRule>
    <cfRule type="cellIs" dxfId="26338" priority="26178" stopIfTrue="1" operator="equal">
      <formula>"Fail"</formula>
    </cfRule>
  </conditionalFormatting>
  <conditionalFormatting sqref="A697:A699">
    <cfRule type="cellIs" dxfId="26337" priority="26175" stopIfTrue="1" operator="equal">
      <formula>"Pass"</formula>
    </cfRule>
    <cfRule type="cellIs" dxfId="26336" priority="26176" stopIfTrue="1" operator="equal">
      <formula>"Fail"</formula>
    </cfRule>
  </conditionalFormatting>
  <conditionalFormatting sqref="A697:A699">
    <cfRule type="cellIs" dxfId="26335" priority="26173" stopIfTrue="1" operator="equal">
      <formula>"Pass"</formula>
    </cfRule>
    <cfRule type="cellIs" dxfId="26334" priority="26174" stopIfTrue="1" operator="equal">
      <formula>"Fail"</formula>
    </cfRule>
  </conditionalFormatting>
  <conditionalFormatting sqref="A699">
    <cfRule type="cellIs" dxfId="26333" priority="26171" stopIfTrue="1" operator="equal">
      <formula>"Pass"</formula>
    </cfRule>
    <cfRule type="cellIs" dxfId="26332" priority="26172" stopIfTrue="1" operator="equal">
      <formula>"Fail"</formula>
    </cfRule>
  </conditionalFormatting>
  <conditionalFormatting sqref="A697:A699">
    <cfRule type="cellIs" dxfId="26331" priority="26169" stopIfTrue="1" operator="equal">
      <formula>"Pass"</formula>
    </cfRule>
    <cfRule type="cellIs" dxfId="26330" priority="26170" stopIfTrue="1" operator="equal">
      <formula>"Fail"</formula>
    </cfRule>
  </conditionalFormatting>
  <conditionalFormatting sqref="A697:A699">
    <cfRule type="cellIs" dxfId="26329" priority="26167" stopIfTrue="1" operator="equal">
      <formula>"Pass"</formula>
    </cfRule>
    <cfRule type="cellIs" dxfId="26328" priority="26168" stopIfTrue="1" operator="equal">
      <formula>"Fail"</formula>
    </cfRule>
  </conditionalFormatting>
  <conditionalFormatting sqref="A697:A699">
    <cfRule type="cellIs" dxfId="26327" priority="26165" stopIfTrue="1" operator="equal">
      <formula>"Pass"</formula>
    </cfRule>
    <cfRule type="cellIs" dxfId="26326" priority="26166" stopIfTrue="1" operator="equal">
      <formula>"Fail"</formula>
    </cfRule>
  </conditionalFormatting>
  <conditionalFormatting sqref="A697:A699">
    <cfRule type="cellIs" dxfId="26325" priority="26163" stopIfTrue="1" operator="equal">
      <formula>"Pass"</formula>
    </cfRule>
    <cfRule type="cellIs" dxfId="26324" priority="26164" stopIfTrue="1" operator="equal">
      <formula>"Fail"</formula>
    </cfRule>
  </conditionalFormatting>
  <conditionalFormatting sqref="A697:A699">
    <cfRule type="cellIs" dxfId="26323" priority="26161" stopIfTrue="1" operator="equal">
      <formula>"Pass"</formula>
    </cfRule>
    <cfRule type="cellIs" dxfId="26322" priority="26162" stopIfTrue="1" operator="equal">
      <formula>"Fail"</formula>
    </cfRule>
  </conditionalFormatting>
  <conditionalFormatting sqref="A697:A699">
    <cfRule type="cellIs" dxfId="26321" priority="26159" stopIfTrue="1" operator="equal">
      <formula>"Pass"</formula>
    </cfRule>
    <cfRule type="cellIs" dxfId="26320" priority="26160" stopIfTrue="1" operator="equal">
      <formula>"Fail"</formula>
    </cfRule>
  </conditionalFormatting>
  <conditionalFormatting sqref="A699">
    <cfRule type="cellIs" dxfId="26319" priority="26157" stopIfTrue="1" operator="equal">
      <formula>"Pass"</formula>
    </cfRule>
    <cfRule type="cellIs" dxfId="26318" priority="26158" stopIfTrue="1" operator="equal">
      <formula>"Fail"</formula>
    </cfRule>
  </conditionalFormatting>
  <conditionalFormatting sqref="A697:A699">
    <cfRule type="cellIs" dxfId="26317" priority="26155" stopIfTrue="1" operator="equal">
      <formula>"Pass"</formula>
    </cfRule>
    <cfRule type="cellIs" dxfId="26316" priority="26156" stopIfTrue="1" operator="equal">
      <formula>"Fail"</formula>
    </cfRule>
  </conditionalFormatting>
  <conditionalFormatting sqref="A697:A699">
    <cfRule type="cellIs" dxfId="26315" priority="26153" stopIfTrue="1" operator="equal">
      <formula>"Pass"</formula>
    </cfRule>
    <cfRule type="cellIs" dxfId="26314" priority="26154" stopIfTrue="1" operator="equal">
      <formula>"Fail"</formula>
    </cfRule>
  </conditionalFormatting>
  <conditionalFormatting sqref="A697:A699">
    <cfRule type="cellIs" dxfId="26313" priority="26151" stopIfTrue="1" operator="equal">
      <formula>"Pass"</formula>
    </cfRule>
    <cfRule type="cellIs" dxfId="26312" priority="26152" stopIfTrue="1" operator="equal">
      <formula>"Fail"</formula>
    </cfRule>
  </conditionalFormatting>
  <conditionalFormatting sqref="A697:A699">
    <cfRule type="cellIs" dxfId="26311" priority="26149" stopIfTrue="1" operator="equal">
      <formula>"Pass"</formula>
    </cfRule>
    <cfRule type="cellIs" dxfId="26310" priority="26150" stopIfTrue="1" operator="equal">
      <formula>"Fail"</formula>
    </cfRule>
  </conditionalFormatting>
  <conditionalFormatting sqref="A697:A699">
    <cfRule type="cellIs" dxfId="26309" priority="26147" stopIfTrue="1" operator="equal">
      <formula>"Pass"</formula>
    </cfRule>
    <cfRule type="cellIs" dxfId="26308" priority="26148" stopIfTrue="1" operator="equal">
      <formula>"Fail"</formula>
    </cfRule>
  </conditionalFormatting>
  <conditionalFormatting sqref="A697:A699">
    <cfRule type="cellIs" dxfId="26307" priority="26145" stopIfTrue="1" operator="equal">
      <formula>"Pass"</formula>
    </cfRule>
    <cfRule type="cellIs" dxfId="26306" priority="26146" stopIfTrue="1" operator="equal">
      <formula>"Fail"</formula>
    </cfRule>
  </conditionalFormatting>
  <conditionalFormatting sqref="A699">
    <cfRule type="cellIs" dxfId="26305" priority="26143" stopIfTrue="1" operator="equal">
      <formula>"Pass"</formula>
    </cfRule>
    <cfRule type="cellIs" dxfId="26304" priority="26144" stopIfTrue="1" operator="equal">
      <formula>"Fail"</formula>
    </cfRule>
  </conditionalFormatting>
  <conditionalFormatting sqref="A697:A699">
    <cfRule type="cellIs" dxfId="26303" priority="26141" stopIfTrue="1" operator="equal">
      <formula>"Pass"</formula>
    </cfRule>
    <cfRule type="cellIs" dxfId="26302" priority="26142" stopIfTrue="1" operator="equal">
      <formula>"Fail"</formula>
    </cfRule>
  </conditionalFormatting>
  <conditionalFormatting sqref="A697">
    <cfRule type="cellIs" dxfId="26301" priority="26139" stopIfTrue="1" operator="equal">
      <formula>"Pass"</formula>
    </cfRule>
    <cfRule type="cellIs" dxfId="26300" priority="26140" stopIfTrue="1" operator="equal">
      <formula>"Fail"</formula>
    </cfRule>
  </conditionalFormatting>
  <conditionalFormatting sqref="A697">
    <cfRule type="cellIs" dxfId="26299" priority="26137" stopIfTrue="1" operator="equal">
      <formula>"Pass"</formula>
    </cfRule>
    <cfRule type="cellIs" dxfId="26298" priority="26138" stopIfTrue="1" operator="equal">
      <formula>"Fail"</formula>
    </cfRule>
  </conditionalFormatting>
  <conditionalFormatting sqref="A697">
    <cfRule type="cellIs" dxfId="26297" priority="26135" stopIfTrue="1" operator="equal">
      <formula>"Pass"</formula>
    </cfRule>
    <cfRule type="cellIs" dxfId="26296" priority="26136" stopIfTrue="1" operator="equal">
      <formula>"Fail"</formula>
    </cfRule>
  </conditionalFormatting>
  <conditionalFormatting sqref="A697">
    <cfRule type="cellIs" dxfId="26295" priority="26133" stopIfTrue="1" operator="equal">
      <formula>"Pass"</formula>
    </cfRule>
    <cfRule type="cellIs" dxfId="26294" priority="26134" stopIfTrue="1" operator="equal">
      <formula>"Fail"</formula>
    </cfRule>
  </conditionalFormatting>
  <conditionalFormatting sqref="A697">
    <cfRule type="cellIs" dxfId="26293" priority="26131" stopIfTrue="1" operator="equal">
      <formula>"Pass"</formula>
    </cfRule>
    <cfRule type="cellIs" dxfId="26292" priority="26132" stopIfTrue="1" operator="equal">
      <formula>"Fail"</formula>
    </cfRule>
  </conditionalFormatting>
  <conditionalFormatting sqref="A697">
    <cfRule type="cellIs" dxfId="26291" priority="26129" stopIfTrue="1" operator="equal">
      <formula>"Pass"</formula>
    </cfRule>
    <cfRule type="cellIs" dxfId="26290" priority="26130" stopIfTrue="1" operator="equal">
      <formula>"Fail"</formula>
    </cfRule>
  </conditionalFormatting>
  <conditionalFormatting sqref="A697">
    <cfRule type="cellIs" dxfId="26289" priority="26127" stopIfTrue="1" operator="equal">
      <formula>"Pass"</formula>
    </cfRule>
    <cfRule type="cellIs" dxfId="26288" priority="26128" stopIfTrue="1" operator="equal">
      <formula>"Fail"</formula>
    </cfRule>
  </conditionalFormatting>
  <conditionalFormatting sqref="A697">
    <cfRule type="cellIs" dxfId="26287" priority="26125" stopIfTrue="1" operator="equal">
      <formula>"Pass"</formula>
    </cfRule>
    <cfRule type="cellIs" dxfId="26286" priority="26126" stopIfTrue="1" operator="equal">
      <formula>"Fail"</formula>
    </cfRule>
  </conditionalFormatting>
  <conditionalFormatting sqref="A697">
    <cfRule type="cellIs" dxfId="26285" priority="26123" stopIfTrue="1" operator="equal">
      <formula>"Pass"</formula>
    </cfRule>
    <cfRule type="cellIs" dxfId="26284" priority="26124" stopIfTrue="1" operator="equal">
      <formula>"Fail"</formula>
    </cfRule>
  </conditionalFormatting>
  <conditionalFormatting sqref="A697">
    <cfRule type="cellIs" dxfId="26283" priority="26121" stopIfTrue="1" operator="equal">
      <formula>"Pass"</formula>
    </cfRule>
    <cfRule type="cellIs" dxfId="26282" priority="26122" stopIfTrue="1" operator="equal">
      <formula>"Fail"</formula>
    </cfRule>
  </conditionalFormatting>
  <conditionalFormatting sqref="A697">
    <cfRule type="cellIs" dxfId="26281" priority="26119" stopIfTrue="1" operator="equal">
      <formula>"Pass"</formula>
    </cfRule>
    <cfRule type="cellIs" dxfId="26280" priority="26120" stopIfTrue="1" operator="equal">
      <formula>"Fail"</formula>
    </cfRule>
  </conditionalFormatting>
  <conditionalFormatting sqref="A697">
    <cfRule type="cellIs" dxfId="26279" priority="26117" stopIfTrue="1" operator="equal">
      <formula>"Pass"</formula>
    </cfRule>
    <cfRule type="cellIs" dxfId="26278" priority="26118" stopIfTrue="1" operator="equal">
      <formula>"Fail"</formula>
    </cfRule>
  </conditionalFormatting>
  <conditionalFormatting sqref="A697:A699">
    <cfRule type="cellIs" dxfId="26277" priority="26115" stopIfTrue="1" operator="equal">
      <formula>"Pass"</formula>
    </cfRule>
    <cfRule type="cellIs" dxfId="26276" priority="26116" stopIfTrue="1" operator="equal">
      <formula>"Fail"</formula>
    </cfRule>
  </conditionalFormatting>
  <conditionalFormatting sqref="A697:A699">
    <cfRule type="cellIs" dxfId="26275" priority="26113" stopIfTrue="1" operator="equal">
      <formula>"Pass"</formula>
    </cfRule>
    <cfRule type="cellIs" dxfId="26274" priority="26114" stopIfTrue="1" operator="equal">
      <formula>"Fail"</formula>
    </cfRule>
  </conditionalFormatting>
  <conditionalFormatting sqref="A697:A699">
    <cfRule type="cellIs" dxfId="26273" priority="26111" stopIfTrue="1" operator="equal">
      <formula>"Pass"</formula>
    </cfRule>
    <cfRule type="cellIs" dxfId="26272" priority="26112" stopIfTrue="1" operator="equal">
      <formula>"Fail"</formula>
    </cfRule>
  </conditionalFormatting>
  <conditionalFormatting sqref="A697:A699">
    <cfRule type="cellIs" dxfId="26271" priority="26109" stopIfTrue="1" operator="equal">
      <formula>"Pass"</formula>
    </cfRule>
    <cfRule type="cellIs" dxfId="26270" priority="26110" stopIfTrue="1" operator="equal">
      <formula>"Fail"</formula>
    </cfRule>
  </conditionalFormatting>
  <conditionalFormatting sqref="A697:A699">
    <cfRule type="cellIs" dxfId="26269" priority="26107" stopIfTrue="1" operator="equal">
      <formula>"Pass"</formula>
    </cfRule>
    <cfRule type="cellIs" dxfId="26268" priority="26108" stopIfTrue="1" operator="equal">
      <formula>"Fail"</formula>
    </cfRule>
  </conditionalFormatting>
  <conditionalFormatting sqref="A699">
    <cfRule type="cellIs" dxfId="26267" priority="26105" stopIfTrue="1" operator="equal">
      <formula>"Pass"</formula>
    </cfRule>
    <cfRule type="cellIs" dxfId="26266" priority="26106" stopIfTrue="1" operator="equal">
      <formula>"Fail"</formula>
    </cfRule>
  </conditionalFormatting>
  <conditionalFormatting sqref="A697:A699">
    <cfRule type="cellIs" dxfId="26265" priority="26103" stopIfTrue="1" operator="equal">
      <formula>"Pass"</formula>
    </cfRule>
    <cfRule type="cellIs" dxfId="26264" priority="26104" stopIfTrue="1" operator="equal">
      <formula>"Fail"</formula>
    </cfRule>
  </conditionalFormatting>
  <conditionalFormatting sqref="A697:A699">
    <cfRule type="cellIs" dxfId="26263" priority="26101" stopIfTrue="1" operator="equal">
      <formula>"Pass"</formula>
    </cfRule>
    <cfRule type="cellIs" dxfId="26262" priority="26102" stopIfTrue="1" operator="equal">
      <formula>"Fail"</formula>
    </cfRule>
  </conditionalFormatting>
  <conditionalFormatting sqref="A697:A699">
    <cfRule type="cellIs" dxfId="26261" priority="26099" stopIfTrue="1" operator="equal">
      <formula>"Pass"</formula>
    </cfRule>
    <cfRule type="cellIs" dxfId="26260" priority="26100" stopIfTrue="1" operator="equal">
      <formula>"Fail"</formula>
    </cfRule>
  </conditionalFormatting>
  <conditionalFormatting sqref="A697:A699">
    <cfRule type="cellIs" dxfId="26259" priority="26097" stopIfTrue="1" operator="equal">
      <formula>"Pass"</formula>
    </cfRule>
    <cfRule type="cellIs" dxfId="26258" priority="26098" stopIfTrue="1" operator="equal">
      <formula>"Fail"</formula>
    </cfRule>
  </conditionalFormatting>
  <conditionalFormatting sqref="A697:A699">
    <cfRule type="cellIs" dxfId="26257" priority="26095" stopIfTrue="1" operator="equal">
      <formula>"Pass"</formula>
    </cfRule>
    <cfRule type="cellIs" dxfId="26256" priority="26096" stopIfTrue="1" operator="equal">
      <formula>"Fail"</formula>
    </cfRule>
  </conditionalFormatting>
  <conditionalFormatting sqref="A697:A699">
    <cfRule type="cellIs" dxfId="26255" priority="26093" stopIfTrue="1" operator="equal">
      <formula>"Pass"</formula>
    </cfRule>
    <cfRule type="cellIs" dxfId="26254" priority="26094" stopIfTrue="1" operator="equal">
      <formula>"Fail"</formula>
    </cfRule>
  </conditionalFormatting>
  <conditionalFormatting sqref="A699">
    <cfRule type="cellIs" dxfId="26253" priority="26091" stopIfTrue="1" operator="equal">
      <formula>"Pass"</formula>
    </cfRule>
    <cfRule type="cellIs" dxfId="26252" priority="26092" stopIfTrue="1" operator="equal">
      <formula>"Fail"</formula>
    </cfRule>
  </conditionalFormatting>
  <conditionalFormatting sqref="A697:A699">
    <cfRule type="cellIs" dxfId="26251" priority="26089" stopIfTrue="1" operator="equal">
      <formula>"Pass"</formula>
    </cfRule>
    <cfRule type="cellIs" dxfId="26250" priority="26090" stopIfTrue="1" operator="equal">
      <formula>"Fail"</formula>
    </cfRule>
  </conditionalFormatting>
  <conditionalFormatting sqref="A718">
    <cfRule type="cellIs" dxfId="26249" priority="26087" stopIfTrue="1" operator="equal">
      <formula>"Pass"</formula>
    </cfRule>
    <cfRule type="cellIs" dxfId="26248" priority="26088" stopIfTrue="1" operator="equal">
      <formula>"Fail"</formula>
    </cfRule>
  </conditionalFormatting>
  <conditionalFormatting sqref="A718">
    <cfRule type="cellIs" dxfId="26247" priority="26085" stopIfTrue="1" operator="equal">
      <formula>"Pass"</formula>
    </cfRule>
    <cfRule type="cellIs" dxfId="26246" priority="26086" stopIfTrue="1" operator="equal">
      <formula>"Fail"</formula>
    </cfRule>
  </conditionalFormatting>
  <conditionalFormatting sqref="A718">
    <cfRule type="cellIs" dxfId="26245" priority="26083" stopIfTrue="1" operator="equal">
      <formula>"Pass"</formula>
    </cfRule>
    <cfRule type="cellIs" dxfId="26244" priority="26084" stopIfTrue="1" operator="equal">
      <formula>"Fail"</formula>
    </cfRule>
  </conditionalFormatting>
  <conditionalFormatting sqref="A718">
    <cfRule type="cellIs" dxfId="26243" priority="26081" stopIfTrue="1" operator="equal">
      <formula>"Pass"</formula>
    </cfRule>
    <cfRule type="cellIs" dxfId="26242" priority="26082" stopIfTrue="1" operator="equal">
      <formula>"Fail"</formula>
    </cfRule>
  </conditionalFormatting>
  <conditionalFormatting sqref="A718">
    <cfRule type="cellIs" dxfId="26241" priority="26079" stopIfTrue="1" operator="equal">
      <formula>"Pass"</formula>
    </cfRule>
    <cfRule type="cellIs" dxfId="26240" priority="26080" stopIfTrue="1" operator="equal">
      <formula>"Fail"</formula>
    </cfRule>
  </conditionalFormatting>
  <conditionalFormatting sqref="A718">
    <cfRule type="cellIs" dxfId="26239" priority="26077" stopIfTrue="1" operator="equal">
      <formula>"Pass"</formula>
    </cfRule>
    <cfRule type="cellIs" dxfId="26238" priority="26078" stopIfTrue="1" operator="equal">
      <formula>"Fail"</formula>
    </cfRule>
  </conditionalFormatting>
  <conditionalFormatting sqref="A718">
    <cfRule type="cellIs" dxfId="26237" priority="26075" stopIfTrue="1" operator="equal">
      <formula>"Pass"</formula>
    </cfRule>
    <cfRule type="cellIs" dxfId="26236" priority="26076" stopIfTrue="1" operator="equal">
      <formula>"Fail"</formula>
    </cfRule>
  </conditionalFormatting>
  <conditionalFormatting sqref="A718">
    <cfRule type="cellIs" dxfId="26235" priority="26073" stopIfTrue="1" operator="equal">
      <formula>"Pass"</formula>
    </cfRule>
    <cfRule type="cellIs" dxfId="26234" priority="26074" stopIfTrue="1" operator="equal">
      <formula>"Fail"</formula>
    </cfRule>
  </conditionalFormatting>
  <conditionalFormatting sqref="A718">
    <cfRule type="cellIs" dxfId="26233" priority="26071" stopIfTrue="1" operator="equal">
      <formula>"Pass"</formula>
    </cfRule>
    <cfRule type="cellIs" dxfId="26232" priority="26072" stopIfTrue="1" operator="equal">
      <formula>"Fail"</formula>
    </cfRule>
  </conditionalFormatting>
  <conditionalFormatting sqref="A718">
    <cfRule type="cellIs" dxfId="26231" priority="26069" stopIfTrue="1" operator="equal">
      <formula>"Pass"</formula>
    </cfRule>
    <cfRule type="cellIs" dxfId="26230" priority="26070" stopIfTrue="1" operator="equal">
      <formula>"Fail"</formula>
    </cfRule>
  </conditionalFormatting>
  <conditionalFormatting sqref="A718">
    <cfRule type="cellIs" dxfId="26229" priority="26067" stopIfTrue="1" operator="equal">
      <formula>"Pass"</formula>
    </cfRule>
    <cfRule type="cellIs" dxfId="26228" priority="26068" stopIfTrue="1" operator="equal">
      <formula>"Fail"</formula>
    </cfRule>
  </conditionalFormatting>
  <conditionalFormatting sqref="A718">
    <cfRule type="cellIs" dxfId="26227" priority="26065" stopIfTrue="1" operator="equal">
      <formula>"Pass"</formula>
    </cfRule>
    <cfRule type="cellIs" dxfId="26226" priority="26066" stopIfTrue="1" operator="equal">
      <formula>"Fail"</formula>
    </cfRule>
  </conditionalFormatting>
  <conditionalFormatting sqref="A718">
    <cfRule type="cellIs" dxfId="26225" priority="26063" stopIfTrue="1" operator="equal">
      <formula>"Pass"</formula>
    </cfRule>
    <cfRule type="cellIs" dxfId="26224" priority="26064" stopIfTrue="1" operator="equal">
      <formula>"Fail"</formula>
    </cfRule>
  </conditionalFormatting>
  <conditionalFormatting sqref="A718">
    <cfRule type="cellIs" dxfId="26223" priority="26061" stopIfTrue="1" operator="equal">
      <formula>"Pass"</formula>
    </cfRule>
    <cfRule type="cellIs" dxfId="26222" priority="26062" stopIfTrue="1" operator="equal">
      <formula>"Fail"</formula>
    </cfRule>
  </conditionalFormatting>
  <conditionalFormatting sqref="A718">
    <cfRule type="cellIs" dxfId="26221" priority="26059" stopIfTrue="1" operator="equal">
      <formula>"Pass"</formula>
    </cfRule>
    <cfRule type="cellIs" dxfId="26220" priority="26060" stopIfTrue="1" operator="equal">
      <formula>"Fail"</formula>
    </cfRule>
  </conditionalFormatting>
  <conditionalFormatting sqref="A718">
    <cfRule type="cellIs" dxfId="26219" priority="26057" stopIfTrue="1" operator="equal">
      <formula>"Pass"</formula>
    </cfRule>
    <cfRule type="cellIs" dxfId="26218" priority="26058" stopIfTrue="1" operator="equal">
      <formula>"Fail"</formula>
    </cfRule>
  </conditionalFormatting>
  <conditionalFormatting sqref="A718">
    <cfRule type="cellIs" dxfId="26217" priority="26055" stopIfTrue="1" operator="equal">
      <formula>"Pass"</formula>
    </cfRule>
    <cfRule type="cellIs" dxfId="26216" priority="26056" stopIfTrue="1" operator="equal">
      <formula>"Fail"</formula>
    </cfRule>
  </conditionalFormatting>
  <conditionalFormatting sqref="A718">
    <cfRule type="cellIs" dxfId="26215" priority="26053" stopIfTrue="1" operator="equal">
      <formula>"Pass"</formula>
    </cfRule>
    <cfRule type="cellIs" dxfId="26214" priority="26054" stopIfTrue="1" operator="equal">
      <formula>"Fail"</formula>
    </cfRule>
  </conditionalFormatting>
  <conditionalFormatting sqref="A718">
    <cfRule type="cellIs" dxfId="26213" priority="26051" stopIfTrue="1" operator="equal">
      <formula>"Pass"</formula>
    </cfRule>
    <cfRule type="cellIs" dxfId="26212" priority="26052" stopIfTrue="1" operator="equal">
      <formula>"Fail"</formula>
    </cfRule>
  </conditionalFormatting>
  <conditionalFormatting sqref="A718">
    <cfRule type="cellIs" dxfId="26211" priority="26049" stopIfTrue="1" operator="equal">
      <formula>"Pass"</formula>
    </cfRule>
    <cfRule type="cellIs" dxfId="26210" priority="26050" stopIfTrue="1" operator="equal">
      <formula>"Fail"</formula>
    </cfRule>
  </conditionalFormatting>
  <conditionalFormatting sqref="A718">
    <cfRule type="cellIs" dxfId="26209" priority="26047" stopIfTrue="1" operator="equal">
      <formula>"Pass"</formula>
    </cfRule>
    <cfRule type="cellIs" dxfId="26208" priority="26048" stopIfTrue="1" operator="equal">
      <formula>"Fail"</formula>
    </cfRule>
  </conditionalFormatting>
  <conditionalFormatting sqref="A718">
    <cfRule type="cellIs" dxfId="26207" priority="26045" stopIfTrue="1" operator="equal">
      <formula>"Pass"</formula>
    </cfRule>
    <cfRule type="cellIs" dxfId="26206" priority="26046" stopIfTrue="1" operator="equal">
      <formula>"Fail"</formula>
    </cfRule>
  </conditionalFormatting>
  <conditionalFormatting sqref="A718">
    <cfRule type="cellIs" dxfId="26205" priority="26043" stopIfTrue="1" operator="equal">
      <formula>"Pass"</formula>
    </cfRule>
    <cfRule type="cellIs" dxfId="26204" priority="26044" stopIfTrue="1" operator="equal">
      <formula>"Fail"</formula>
    </cfRule>
  </conditionalFormatting>
  <conditionalFormatting sqref="A718">
    <cfRule type="cellIs" dxfId="26203" priority="26041" stopIfTrue="1" operator="equal">
      <formula>"Pass"</formula>
    </cfRule>
    <cfRule type="cellIs" dxfId="26202" priority="26042" stopIfTrue="1" operator="equal">
      <formula>"Fail"</formula>
    </cfRule>
  </conditionalFormatting>
  <conditionalFormatting sqref="A718">
    <cfRule type="cellIs" dxfId="26201" priority="26039" stopIfTrue="1" operator="equal">
      <formula>"Pass"</formula>
    </cfRule>
    <cfRule type="cellIs" dxfId="26200" priority="26040" stopIfTrue="1" operator="equal">
      <formula>"Fail"</formula>
    </cfRule>
  </conditionalFormatting>
  <conditionalFormatting sqref="A718">
    <cfRule type="cellIs" dxfId="26199" priority="26037" stopIfTrue="1" operator="equal">
      <formula>"Pass"</formula>
    </cfRule>
    <cfRule type="cellIs" dxfId="26198" priority="26038" stopIfTrue="1" operator="equal">
      <formula>"Fail"</formula>
    </cfRule>
  </conditionalFormatting>
  <conditionalFormatting sqref="A718">
    <cfRule type="cellIs" dxfId="26197" priority="26035" stopIfTrue="1" operator="equal">
      <formula>"Pass"</formula>
    </cfRule>
    <cfRule type="cellIs" dxfId="26196" priority="26036" stopIfTrue="1" operator="equal">
      <formula>"Fail"</formula>
    </cfRule>
  </conditionalFormatting>
  <conditionalFormatting sqref="A718">
    <cfRule type="cellIs" dxfId="26195" priority="26033" stopIfTrue="1" operator="equal">
      <formula>"Pass"</formula>
    </cfRule>
    <cfRule type="cellIs" dxfId="26194" priority="26034" stopIfTrue="1" operator="equal">
      <formula>"Fail"</formula>
    </cfRule>
  </conditionalFormatting>
  <conditionalFormatting sqref="A718">
    <cfRule type="cellIs" dxfId="26193" priority="26031" stopIfTrue="1" operator="equal">
      <formula>"Pass"</formula>
    </cfRule>
    <cfRule type="cellIs" dxfId="26192" priority="26032" stopIfTrue="1" operator="equal">
      <formula>"Fail"</formula>
    </cfRule>
  </conditionalFormatting>
  <conditionalFormatting sqref="A718">
    <cfRule type="cellIs" dxfId="26191" priority="26029" stopIfTrue="1" operator="equal">
      <formula>"Pass"</formula>
    </cfRule>
    <cfRule type="cellIs" dxfId="26190" priority="26030" stopIfTrue="1" operator="equal">
      <formula>"Fail"</formula>
    </cfRule>
  </conditionalFormatting>
  <conditionalFormatting sqref="A721">
    <cfRule type="cellIs" dxfId="26189" priority="26027" stopIfTrue="1" operator="equal">
      <formula>"Pass"</formula>
    </cfRule>
    <cfRule type="cellIs" dxfId="26188" priority="26028" stopIfTrue="1" operator="equal">
      <formula>"Fail"</formula>
    </cfRule>
  </conditionalFormatting>
  <conditionalFormatting sqref="A721">
    <cfRule type="cellIs" dxfId="26187" priority="26025" stopIfTrue="1" operator="equal">
      <formula>"Pass"</formula>
    </cfRule>
    <cfRule type="cellIs" dxfId="26186" priority="26026" stopIfTrue="1" operator="equal">
      <formula>"Fail"</formula>
    </cfRule>
  </conditionalFormatting>
  <conditionalFormatting sqref="A721">
    <cfRule type="cellIs" dxfId="26185" priority="26023" stopIfTrue="1" operator="equal">
      <formula>"Pass"</formula>
    </cfRule>
    <cfRule type="cellIs" dxfId="26184" priority="26024" stopIfTrue="1" operator="equal">
      <formula>"Fail"</formula>
    </cfRule>
  </conditionalFormatting>
  <conditionalFormatting sqref="A721">
    <cfRule type="cellIs" dxfId="26183" priority="26021" stopIfTrue="1" operator="equal">
      <formula>"Pass"</formula>
    </cfRule>
    <cfRule type="cellIs" dxfId="26182" priority="26022" stopIfTrue="1" operator="equal">
      <formula>"Fail"</formula>
    </cfRule>
  </conditionalFormatting>
  <conditionalFormatting sqref="A721">
    <cfRule type="cellIs" dxfId="26181" priority="26019" stopIfTrue="1" operator="equal">
      <formula>"Pass"</formula>
    </cfRule>
    <cfRule type="cellIs" dxfId="26180" priority="26020" stopIfTrue="1" operator="equal">
      <formula>"Fail"</formula>
    </cfRule>
  </conditionalFormatting>
  <conditionalFormatting sqref="A721">
    <cfRule type="cellIs" dxfId="26179" priority="26017" stopIfTrue="1" operator="equal">
      <formula>"Pass"</formula>
    </cfRule>
    <cfRule type="cellIs" dxfId="26178" priority="26018" stopIfTrue="1" operator="equal">
      <formula>"Fail"</formula>
    </cfRule>
  </conditionalFormatting>
  <conditionalFormatting sqref="A721">
    <cfRule type="cellIs" dxfId="26177" priority="26015" stopIfTrue="1" operator="equal">
      <formula>"Pass"</formula>
    </cfRule>
    <cfRule type="cellIs" dxfId="26176" priority="26016" stopIfTrue="1" operator="equal">
      <formula>"Fail"</formula>
    </cfRule>
  </conditionalFormatting>
  <conditionalFormatting sqref="A721">
    <cfRule type="cellIs" dxfId="26175" priority="26013" stopIfTrue="1" operator="equal">
      <formula>"Pass"</formula>
    </cfRule>
    <cfRule type="cellIs" dxfId="26174" priority="26014" stopIfTrue="1" operator="equal">
      <formula>"Fail"</formula>
    </cfRule>
  </conditionalFormatting>
  <conditionalFormatting sqref="A721">
    <cfRule type="cellIs" dxfId="26173" priority="26011" stopIfTrue="1" operator="equal">
      <formula>"Pass"</formula>
    </cfRule>
    <cfRule type="cellIs" dxfId="26172" priority="26012" stopIfTrue="1" operator="equal">
      <formula>"Fail"</formula>
    </cfRule>
  </conditionalFormatting>
  <conditionalFormatting sqref="A721">
    <cfRule type="cellIs" dxfId="26171" priority="26009" stopIfTrue="1" operator="equal">
      <formula>"Pass"</formula>
    </cfRule>
    <cfRule type="cellIs" dxfId="26170" priority="26010" stopIfTrue="1" operator="equal">
      <formula>"Fail"</formula>
    </cfRule>
  </conditionalFormatting>
  <conditionalFormatting sqref="A721">
    <cfRule type="cellIs" dxfId="26169" priority="26007" stopIfTrue="1" operator="equal">
      <formula>"Pass"</formula>
    </cfRule>
    <cfRule type="cellIs" dxfId="26168" priority="26008" stopIfTrue="1" operator="equal">
      <formula>"Fail"</formula>
    </cfRule>
  </conditionalFormatting>
  <conditionalFormatting sqref="A721">
    <cfRule type="cellIs" dxfId="26167" priority="26005" stopIfTrue="1" operator="equal">
      <formula>"Pass"</formula>
    </cfRule>
    <cfRule type="cellIs" dxfId="26166" priority="26006" stopIfTrue="1" operator="equal">
      <formula>"Fail"</formula>
    </cfRule>
  </conditionalFormatting>
  <conditionalFormatting sqref="A721">
    <cfRule type="cellIs" dxfId="26165" priority="26003" stopIfTrue="1" operator="equal">
      <formula>"Pass"</formula>
    </cfRule>
    <cfRule type="cellIs" dxfId="26164" priority="26004" stopIfTrue="1" operator="equal">
      <formula>"Fail"</formula>
    </cfRule>
  </conditionalFormatting>
  <conditionalFormatting sqref="A721">
    <cfRule type="cellIs" dxfId="26163" priority="26001" stopIfTrue="1" operator="equal">
      <formula>"Pass"</formula>
    </cfRule>
    <cfRule type="cellIs" dxfId="26162" priority="26002" stopIfTrue="1" operator="equal">
      <formula>"Fail"</formula>
    </cfRule>
  </conditionalFormatting>
  <conditionalFormatting sqref="A721">
    <cfRule type="cellIs" dxfId="26161" priority="25999" stopIfTrue="1" operator="equal">
      <formula>"Pass"</formula>
    </cfRule>
    <cfRule type="cellIs" dxfId="26160" priority="26000" stopIfTrue="1" operator="equal">
      <formula>"Fail"</formula>
    </cfRule>
  </conditionalFormatting>
  <conditionalFormatting sqref="A721">
    <cfRule type="cellIs" dxfId="26159" priority="25997" stopIfTrue="1" operator="equal">
      <formula>"Pass"</formula>
    </cfRule>
    <cfRule type="cellIs" dxfId="26158" priority="25998" stopIfTrue="1" operator="equal">
      <formula>"Fail"</formula>
    </cfRule>
  </conditionalFormatting>
  <conditionalFormatting sqref="A721">
    <cfRule type="cellIs" dxfId="26157" priority="25995" stopIfTrue="1" operator="equal">
      <formula>"Pass"</formula>
    </cfRule>
    <cfRule type="cellIs" dxfId="26156" priority="25996" stopIfTrue="1" operator="equal">
      <formula>"Fail"</formula>
    </cfRule>
  </conditionalFormatting>
  <conditionalFormatting sqref="A721">
    <cfRule type="cellIs" dxfId="26155" priority="25993" stopIfTrue="1" operator="equal">
      <formula>"Pass"</formula>
    </cfRule>
    <cfRule type="cellIs" dxfId="26154" priority="25994" stopIfTrue="1" operator="equal">
      <formula>"Fail"</formula>
    </cfRule>
  </conditionalFormatting>
  <conditionalFormatting sqref="A721">
    <cfRule type="cellIs" dxfId="26153" priority="25991" stopIfTrue="1" operator="equal">
      <formula>"Pass"</formula>
    </cfRule>
    <cfRule type="cellIs" dxfId="26152" priority="25992" stopIfTrue="1" operator="equal">
      <formula>"Fail"</formula>
    </cfRule>
  </conditionalFormatting>
  <conditionalFormatting sqref="A721">
    <cfRule type="cellIs" dxfId="26151" priority="25989" stopIfTrue="1" operator="equal">
      <formula>"Pass"</formula>
    </cfRule>
    <cfRule type="cellIs" dxfId="26150" priority="25990" stopIfTrue="1" operator="equal">
      <formula>"Fail"</formula>
    </cfRule>
  </conditionalFormatting>
  <conditionalFormatting sqref="A721">
    <cfRule type="cellIs" dxfId="26149" priority="25987" stopIfTrue="1" operator="equal">
      <formula>"Pass"</formula>
    </cfRule>
    <cfRule type="cellIs" dxfId="26148" priority="25988" stopIfTrue="1" operator="equal">
      <formula>"Fail"</formula>
    </cfRule>
  </conditionalFormatting>
  <conditionalFormatting sqref="A721">
    <cfRule type="cellIs" dxfId="26147" priority="25985" stopIfTrue="1" operator="equal">
      <formula>"Pass"</formula>
    </cfRule>
    <cfRule type="cellIs" dxfId="26146" priority="25986" stopIfTrue="1" operator="equal">
      <formula>"Fail"</formula>
    </cfRule>
  </conditionalFormatting>
  <conditionalFormatting sqref="A721">
    <cfRule type="cellIs" dxfId="26145" priority="25983" stopIfTrue="1" operator="equal">
      <formula>"Pass"</formula>
    </cfRule>
    <cfRule type="cellIs" dxfId="26144" priority="25984" stopIfTrue="1" operator="equal">
      <formula>"Fail"</formula>
    </cfRule>
  </conditionalFormatting>
  <conditionalFormatting sqref="A721">
    <cfRule type="cellIs" dxfId="26143" priority="25981" stopIfTrue="1" operator="equal">
      <formula>"Pass"</formula>
    </cfRule>
    <cfRule type="cellIs" dxfId="26142" priority="25982" stopIfTrue="1" operator="equal">
      <formula>"Fail"</formula>
    </cfRule>
  </conditionalFormatting>
  <conditionalFormatting sqref="A721">
    <cfRule type="cellIs" dxfId="26141" priority="25979" stopIfTrue="1" operator="equal">
      <formula>"Pass"</formula>
    </cfRule>
    <cfRule type="cellIs" dxfId="26140" priority="25980" stopIfTrue="1" operator="equal">
      <formula>"Fail"</formula>
    </cfRule>
  </conditionalFormatting>
  <conditionalFormatting sqref="A721">
    <cfRule type="cellIs" dxfId="26139" priority="25977" stopIfTrue="1" operator="equal">
      <formula>"Pass"</formula>
    </cfRule>
    <cfRule type="cellIs" dxfId="26138" priority="25978" stopIfTrue="1" operator="equal">
      <formula>"Fail"</formula>
    </cfRule>
  </conditionalFormatting>
  <conditionalFormatting sqref="A721">
    <cfRule type="cellIs" dxfId="26137" priority="25975" stopIfTrue="1" operator="equal">
      <formula>"Pass"</formula>
    </cfRule>
    <cfRule type="cellIs" dxfId="26136" priority="25976" stopIfTrue="1" operator="equal">
      <formula>"Fail"</formula>
    </cfRule>
  </conditionalFormatting>
  <conditionalFormatting sqref="A721">
    <cfRule type="cellIs" dxfId="26135" priority="25973" stopIfTrue="1" operator="equal">
      <formula>"Pass"</formula>
    </cfRule>
    <cfRule type="cellIs" dxfId="26134" priority="25974" stopIfTrue="1" operator="equal">
      <formula>"Fail"</formula>
    </cfRule>
  </conditionalFormatting>
  <conditionalFormatting sqref="A721">
    <cfRule type="cellIs" dxfId="26133" priority="25971" stopIfTrue="1" operator="equal">
      <formula>"Pass"</formula>
    </cfRule>
    <cfRule type="cellIs" dxfId="26132" priority="25972" stopIfTrue="1" operator="equal">
      <formula>"Fail"</formula>
    </cfRule>
  </conditionalFormatting>
  <conditionalFormatting sqref="A721">
    <cfRule type="cellIs" dxfId="26131" priority="25969" stopIfTrue="1" operator="equal">
      <formula>"Pass"</formula>
    </cfRule>
    <cfRule type="cellIs" dxfId="26130" priority="25970" stopIfTrue="1" operator="equal">
      <formula>"Fail"</formula>
    </cfRule>
  </conditionalFormatting>
  <conditionalFormatting sqref="A724">
    <cfRule type="cellIs" dxfId="26129" priority="25967" stopIfTrue="1" operator="equal">
      <formula>"Pass"</formula>
    </cfRule>
    <cfRule type="cellIs" dxfId="26128" priority="25968" stopIfTrue="1" operator="equal">
      <formula>"Fail"</formula>
    </cfRule>
  </conditionalFormatting>
  <conditionalFormatting sqref="A724">
    <cfRule type="cellIs" dxfId="26127" priority="25965" stopIfTrue="1" operator="equal">
      <formula>"Pass"</formula>
    </cfRule>
    <cfRule type="cellIs" dxfId="26126" priority="25966" stopIfTrue="1" operator="equal">
      <formula>"Fail"</formula>
    </cfRule>
  </conditionalFormatting>
  <conditionalFormatting sqref="A724">
    <cfRule type="cellIs" dxfId="26125" priority="25963" stopIfTrue="1" operator="equal">
      <formula>"Pass"</formula>
    </cfRule>
    <cfRule type="cellIs" dxfId="26124" priority="25964" stopIfTrue="1" operator="equal">
      <formula>"Fail"</formula>
    </cfRule>
  </conditionalFormatting>
  <conditionalFormatting sqref="A724">
    <cfRule type="cellIs" dxfId="26123" priority="25961" stopIfTrue="1" operator="equal">
      <formula>"Pass"</formula>
    </cfRule>
    <cfRule type="cellIs" dxfId="26122" priority="25962" stopIfTrue="1" operator="equal">
      <formula>"Fail"</formula>
    </cfRule>
  </conditionalFormatting>
  <conditionalFormatting sqref="A724">
    <cfRule type="cellIs" dxfId="26121" priority="25959" stopIfTrue="1" operator="equal">
      <formula>"Pass"</formula>
    </cfRule>
    <cfRule type="cellIs" dxfId="26120" priority="25960" stopIfTrue="1" operator="equal">
      <formula>"Fail"</formula>
    </cfRule>
  </conditionalFormatting>
  <conditionalFormatting sqref="A724">
    <cfRule type="cellIs" dxfId="26119" priority="25957" stopIfTrue="1" operator="equal">
      <formula>"Pass"</formula>
    </cfRule>
    <cfRule type="cellIs" dxfId="26118" priority="25958" stopIfTrue="1" operator="equal">
      <formula>"Fail"</formula>
    </cfRule>
  </conditionalFormatting>
  <conditionalFormatting sqref="A724">
    <cfRule type="cellIs" dxfId="26117" priority="25955" stopIfTrue="1" operator="equal">
      <formula>"Pass"</formula>
    </cfRule>
    <cfRule type="cellIs" dxfId="26116" priority="25956" stopIfTrue="1" operator="equal">
      <formula>"Fail"</formula>
    </cfRule>
  </conditionalFormatting>
  <conditionalFormatting sqref="A724">
    <cfRule type="cellIs" dxfId="26115" priority="25953" stopIfTrue="1" operator="equal">
      <formula>"Pass"</formula>
    </cfRule>
    <cfRule type="cellIs" dxfId="26114" priority="25954" stopIfTrue="1" operator="equal">
      <formula>"Fail"</formula>
    </cfRule>
  </conditionalFormatting>
  <conditionalFormatting sqref="A724">
    <cfRule type="cellIs" dxfId="26113" priority="25951" stopIfTrue="1" operator="equal">
      <formula>"Pass"</formula>
    </cfRule>
    <cfRule type="cellIs" dxfId="26112" priority="25952" stopIfTrue="1" operator="equal">
      <formula>"Fail"</formula>
    </cfRule>
  </conditionalFormatting>
  <conditionalFormatting sqref="A724">
    <cfRule type="cellIs" dxfId="26111" priority="25949" stopIfTrue="1" operator="equal">
      <formula>"Pass"</formula>
    </cfRule>
    <cfRule type="cellIs" dxfId="26110" priority="25950" stopIfTrue="1" operator="equal">
      <formula>"Fail"</formula>
    </cfRule>
  </conditionalFormatting>
  <conditionalFormatting sqref="A724">
    <cfRule type="cellIs" dxfId="26109" priority="25947" stopIfTrue="1" operator="equal">
      <formula>"Pass"</formula>
    </cfRule>
    <cfRule type="cellIs" dxfId="26108" priority="25948" stopIfTrue="1" operator="equal">
      <formula>"Fail"</formula>
    </cfRule>
  </conditionalFormatting>
  <conditionalFormatting sqref="A724">
    <cfRule type="cellIs" dxfId="26107" priority="25945" stopIfTrue="1" operator="equal">
      <formula>"Pass"</formula>
    </cfRule>
    <cfRule type="cellIs" dxfId="26106" priority="25946" stopIfTrue="1" operator="equal">
      <formula>"Fail"</formula>
    </cfRule>
  </conditionalFormatting>
  <conditionalFormatting sqref="A724">
    <cfRule type="cellIs" dxfId="26105" priority="25943" stopIfTrue="1" operator="equal">
      <formula>"Pass"</formula>
    </cfRule>
    <cfRule type="cellIs" dxfId="26104" priority="25944" stopIfTrue="1" operator="equal">
      <formula>"Fail"</formula>
    </cfRule>
  </conditionalFormatting>
  <conditionalFormatting sqref="A724">
    <cfRule type="cellIs" dxfId="26103" priority="25941" stopIfTrue="1" operator="equal">
      <formula>"Pass"</formula>
    </cfRule>
    <cfRule type="cellIs" dxfId="26102" priority="25942" stopIfTrue="1" operator="equal">
      <formula>"Fail"</formula>
    </cfRule>
  </conditionalFormatting>
  <conditionalFormatting sqref="A724">
    <cfRule type="cellIs" dxfId="26101" priority="25939" stopIfTrue="1" operator="equal">
      <formula>"Pass"</formula>
    </cfRule>
    <cfRule type="cellIs" dxfId="26100" priority="25940" stopIfTrue="1" operator="equal">
      <formula>"Fail"</formula>
    </cfRule>
  </conditionalFormatting>
  <conditionalFormatting sqref="A724">
    <cfRule type="cellIs" dxfId="26099" priority="25937" stopIfTrue="1" operator="equal">
      <formula>"Pass"</formula>
    </cfRule>
    <cfRule type="cellIs" dxfId="26098" priority="25938" stopIfTrue="1" operator="equal">
      <formula>"Fail"</formula>
    </cfRule>
  </conditionalFormatting>
  <conditionalFormatting sqref="A724">
    <cfRule type="cellIs" dxfId="26097" priority="25935" stopIfTrue="1" operator="equal">
      <formula>"Pass"</formula>
    </cfRule>
    <cfRule type="cellIs" dxfId="26096" priority="25936" stopIfTrue="1" operator="equal">
      <formula>"Fail"</formula>
    </cfRule>
  </conditionalFormatting>
  <conditionalFormatting sqref="A724">
    <cfRule type="cellIs" dxfId="26095" priority="25933" stopIfTrue="1" operator="equal">
      <formula>"Pass"</formula>
    </cfRule>
    <cfRule type="cellIs" dxfId="26094" priority="25934" stopIfTrue="1" operator="equal">
      <formula>"Fail"</formula>
    </cfRule>
  </conditionalFormatting>
  <conditionalFormatting sqref="A724">
    <cfRule type="cellIs" dxfId="26093" priority="25931" stopIfTrue="1" operator="equal">
      <formula>"Pass"</formula>
    </cfRule>
    <cfRule type="cellIs" dxfId="26092" priority="25932" stopIfTrue="1" operator="equal">
      <formula>"Fail"</formula>
    </cfRule>
  </conditionalFormatting>
  <conditionalFormatting sqref="A724">
    <cfRule type="cellIs" dxfId="26091" priority="25929" stopIfTrue="1" operator="equal">
      <formula>"Pass"</formula>
    </cfRule>
    <cfRule type="cellIs" dxfId="26090" priority="25930" stopIfTrue="1" operator="equal">
      <formula>"Fail"</formula>
    </cfRule>
  </conditionalFormatting>
  <conditionalFormatting sqref="A724">
    <cfRule type="cellIs" dxfId="26089" priority="25927" stopIfTrue="1" operator="equal">
      <formula>"Pass"</formula>
    </cfRule>
    <cfRule type="cellIs" dxfId="26088" priority="25928" stopIfTrue="1" operator="equal">
      <formula>"Fail"</formula>
    </cfRule>
  </conditionalFormatting>
  <conditionalFormatting sqref="A724">
    <cfRule type="cellIs" dxfId="26087" priority="25925" stopIfTrue="1" operator="equal">
      <formula>"Pass"</formula>
    </cfRule>
    <cfRule type="cellIs" dxfId="26086" priority="25926" stopIfTrue="1" operator="equal">
      <formula>"Fail"</formula>
    </cfRule>
  </conditionalFormatting>
  <conditionalFormatting sqref="A724">
    <cfRule type="cellIs" dxfId="26085" priority="25923" stopIfTrue="1" operator="equal">
      <formula>"Pass"</formula>
    </cfRule>
    <cfRule type="cellIs" dxfId="26084" priority="25924" stopIfTrue="1" operator="equal">
      <formula>"Fail"</formula>
    </cfRule>
  </conditionalFormatting>
  <conditionalFormatting sqref="A724">
    <cfRule type="cellIs" dxfId="26083" priority="25921" stopIfTrue="1" operator="equal">
      <formula>"Pass"</formula>
    </cfRule>
    <cfRule type="cellIs" dxfId="26082" priority="25922" stopIfTrue="1" operator="equal">
      <formula>"Fail"</formula>
    </cfRule>
  </conditionalFormatting>
  <conditionalFormatting sqref="A724">
    <cfRule type="cellIs" dxfId="26081" priority="25919" stopIfTrue="1" operator="equal">
      <formula>"Pass"</formula>
    </cfRule>
    <cfRule type="cellIs" dxfId="26080" priority="25920" stopIfTrue="1" operator="equal">
      <formula>"Fail"</formula>
    </cfRule>
  </conditionalFormatting>
  <conditionalFormatting sqref="A724">
    <cfRule type="cellIs" dxfId="26079" priority="25917" stopIfTrue="1" operator="equal">
      <formula>"Pass"</formula>
    </cfRule>
    <cfRule type="cellIs" dxfId="26078" priority="25918" stopIfTrue="1" operator="equal">
      <formula>"Fail"</formula>
    </cfRule>
  </conditionalFormatting>
  <conditionalFormatting sqref="A724">
    <cfRule type="cellIs" dxfId="26077" priority="25915" stopIfTrue="1" operator="equal">
      <formula>"Pass"</formula>
    </cfRule>
    <cfRule type="cellIs" dxfId="26076" priority="25916" stopIfTrue="1" operator="equal">
      <formula>"Fail"</formula>
    </cfRule>
  </conditionalFormatting>
  <conditionalFormatting sqref="A724">
    <cfRule type="cellIs" dxfId="26075" priority="25913" stopIfTrue="1" operator="equal">
      <formula>"Pass"</formula>
    </cfRule>
    <cfRule type="cellIs" dxfId="26074" priority="25914" stopIfTrue="1" operator="equal">
      <formula>"Fail"</formula>
    </cfRule>
  </conditionalFormatting>
  <conditionalFormatting sqref="A724">
    <cfRule type="cellIs" dxfId="26073" priority="25911" stopIfTrue="1" operator="equal">
      <formula>"Pass"</formula>
    </cfRule>
    <cfRule type="cellIs" dxfId="26072" priority="25912" stopIfTrue="1" operator="equal">
      <formula>"Fail"</formula>
    </cfRule>
  </conditionalFormatting>
  <conditionalFormatting sqref="A724">
    <cfRule type="cellIs" dxfId="26071" priority="25909" stopIfTrue="1" operator="equal">
      <formula>"Pass"</formula>
    </cfRule>
    <cfRule type="cellIs" dxfId="26070" priority="25910" stopIfTrue="1" operator="equal">
      <formula>"Fail"</formula>
    </cfRule>
  </conditionalFormatting>
  <conditionalFormatting sqref="F736:H736 K736:N736">
    <cfRule type="cellIs" dxfId="26069" priority="25907" stopIfTrue="1" operator="equal">
      <formula>"Pass"</formula>
    </cfRule>
    <cfRule type="cellIs" dxfId="26068" priority="25908" stopIfTrue="1" operator="equal">
      <formula>"Fail"</formula>
    </cfRule>
  </conditionalFormatting>
  <conditionalFormatting sqref="H736">
    <cfRule type="cellIs" dxfId="26067" priority="25905" stopIfTrue="1" operator="equal">
      <formula>"Pass"</formula>
    </cfRule>
    <cfRule type="cellIs" dxfId="26066" priority="25906" stopIfTrue="1" operator="equal">
      <formula>"Fail"</formula>
    </cfRule>
  </conditionalFormatting>
  <conditionalFormatting sqref="F736 I736:M736">
    <cfRule type="cellIs" dxfId="26065" priority="25903" stopIfTrue="1" operator="equal">
      <formula>"Pass"</formula>
    </cfRule>
    <cfRule type="cellIs" dxfId="26064" priority="25904" stopIfTrue="1" operator="equal">
      <formula>"Fail"</formula>
    </cfRule>
  </conditionalFormatting>
  <conditionalFormatting sqref="F736:G736 J736:N736">
    <cfRule type="cellIs" dxfId="26063" priority="25901" stopIfTrue="1" operator="equal">
      <formula>"Pass"</formula>
    </cfRule>
    <cfRule type="cellIs" dxfId="26062" priority="25902" stopIfTrue="1" operator="equal">
      <formula>"Fail"</formula>
    </cfRule>
  </conditionalFormatting>
  <conditionalFormatting sqref="J736:N736 F736:G736">
    <cfRule type="cellIs" dxfId="26061" priority="25899" stopIfTrue="1" operator="equal">
      <formula>"Pass"</formula>
    </cfRule>
    <cfRule type="cellIs" dxfId="26060" priority="25900" stopIfTrue="1" operator="equal">
      <formula>"Fail"</formula>
    </cfRule>
  </conditionalFormatting>
  <conditionalFormatting sqref="K736:N736 F736:H736">
    <cfRule type="cellIs" dxfId="26059" priority="25897" stopIfTrue="1" operator="equal">
      <formula>"Pass"</formula>
    </cfRule>
    <cfRule type="cellIs" dxfId="26058" priority="25898" stopIfTrue="1" operator="equal">
      <formula>"Fail"</formula>
    </cfRule>
  </conditionalFormatting>
  <conditionalFormatting sqref="H736">
    <cfRule type="cellIs" dxfId="26057" priority="25895" stopIfTrue="1" operator="equal">
      <formula>"Pass"</formula>
    </cfRule>
    <cfRule type="cellIs" dxfId="26056" priority="25896" stopIfTrue="1" operator="equal">
      <formula>"Fail"</formula>
    </cfRule>
  </conditionalFormatting>
  <conditionalFormatting sqref="F736 I736:M736">
    <cfRule type="cellIs" dxfId="26055" priority="25893" stopIfTrue="1" operator="equal">
      <formula>"Pass"</formula>
    </cfRule>
    <cfRule type="cellIs" dxfId="26054" priority="25894" stopIfTrue="1" operator="equal">
      <formula>"Fail"</formula>
    </cfRule>
  </conditionalFormatting>
  <conditionalFormatting sqref="F736:G736 J736:N736">
    <cfRule type="cellIs" dxfId="26053" priority="25891" stopIfTrue="1" operator="equal">
      <formula>"Pass"</formula>
    </cfRule>
    <cfRule type="cellIs" dxfId="26052" priority="25892" stopIfTrue="1" operator="equal">
      <formula>"Fail"</formula>
    </cfRule>
  </conditionalFormatting>
  <conditionalFormatting sqref="J736:N736 F736:G736">
    <cfRule type="cellIs" dxfId="26051" priority="25889" stopIfTrue="1" operator="equal">
      <formula>"Pass"</formula>
    </cfRule>
    <cfRule type="cellIs" dxfId="26050" priority="25890" stopIfTrue="1" operator="equal">
      <formula>"Fail"</formula>
    </cfRule>
  </conditionalFormatting>
  <conditionalFormatting sqref="K736:N736 F736:H736">
    <cfRule type="cellIs" dxfId="26049" priority="25887" stopIfTrue="1" operator="equal">
      <formula>"Pass"</formula>
    </cfRule>
    <cfRule type="cellIs" dxfId="26048" priority="25888" stopIfTrue="1" operator="equal">
      <formula>"Fail"</formula>
    </cfRule>
  </conditionalFormatting>
  <conditionalFormatting sqref="H736">
    <cfRule type="cellIs" dxfId="26047" priority="25885" stopIfTrue="1" operator="equal">
      <formula>"Pass"</formula>
    </cfRule>
    <cfRule type="cellIs" dxfId="26046" priority="25886" stopIfTrue="1" operator="equal">
      <formula>"Fail"</formula>
    </cfRule>
  </conditionalFormatting>
  <conditionalFormatting sqref="F736 I736:M736">
    <cfRule type="cellIs" dxfId="26045" priority="25883" stopIfTrue="1" operator="equal">
      <formula>"Pass"</formula>
    </cfRule>
    <cfRule type="cellIs" dxfId="26044" priority="25884" stopIfTrue="1" operator="equal">
      <formula>"Fail"</formula>
    </cfRule>
  </conditionalFormatting>
  <conditionalFormatting sqref="F736:G736 J736:N736">
    <cfRule type="cellIs" dxfId="26043" priority="25881" stopIfTrue="1" operator="equal">
      <formula>"Pass"</formula>
    </cfRule>
    <cfRule type="cellIs" dxfId="26042" priority="25882" stopIfTrue="1" operator="equal">
      <formula>"Fail"</formula>
    </cfRule>
  </conditionalFormatting>
  <conditionalFormatting sqref="J736:N736 F736:G736">
    <cfRule type="cellIs" dxfId="26041" priority="25879" stopIfTrue="1" operator="equal">
      <formula>"Pass"</formula>
    </cfRule>
    <cfRule type="cellIs" dxfId="26040" priority="25880" stopIfTrue="1" operator="equal">
      <formula>"Fail"</formula>
    </cfRule>
  </conditionalFormatting>
  <conditionalFormatting sqref="K736:N736 F736:H736">
    <cfRule type="cellIs" dxfId="26039" priority="25877" stopIfTrue="1" operator="equal">
      <formula>"Pass"</formula>
    </cfRule>
    <cfRule type="cellIs" dxfId="26038" priority="25878" stopIfTrue="1" operator="equal">
      <formula>"Fail"</formula>
    </cfRule>
  </conditionalFormatting>
  <conditionalFormatting sqref="H745:H746">
    <cfRule type="cellIs" dxfId="26037" priority="25875" stopIfTrue="1" operator="equal">
      <formula>"Pass"</formula>
    </cfRule>
    <cfRule type="cellIs" dxfId="26036" priority="25876" stopIfTrue="1" operator="equal">
      <formula>"Fail"</formula>
    </cfRule>
  </conditionalFormatting>
  <conditionalFormatting sqref="F745 F747 I745:M746">
    <cfRule type="cellIs" dxfId="26035" priority="25873" stopIfTrue="1" operator="equal">
      <formula>"Pass"</formula>
    </cfRule>
    <cfRule type="cellIs" dxfId="26034" priority="25874" stopIfTrue="1" operator="equal">
      <formula>"Fail"</formula>
    </cfRule>
  </conditionalFormatting>
  <conditionalFormatting sqref="T747 T745 R745:R747 S746:S747">
    <cfRule type="cellIs" dxfId="26033" priority="25871" stopIfTrue="1" operator="equal">
      <formula>"Fail"</formula>
    </cfRule>
    <cfRule type="cellIs" dxfId="26032" priority="25872" stopIfTrue="1" operator="equal">
      <formula>"Pass"</formula>
    </cfRule>
  </conditionalFormatting>
  <conditionalFormatting sqref="F745:G745 F747:G747 J745:N746">
    <cfRule type="cellIs" dxfId="26031" priority="25869" stopIfTrue="1" operator="equal">
      <formula>"Pass"</formula>
    </cfRule>
    <cfRule type="cellIs" dxfId="26030" priority="25870" stopIfTrue="1" operator="equal">
      <formula>"Fail"</formula>
    </cfRule>
  </conditionalFormatting>
  <conditionalFormatting sqref="U747 U745 T745:T747 S746:S747">
    <cfRule type="cellIs" dxfId="26029" priority="25867" stopIfTrue="1" operator="equal">
      <formula>"Fail"</formula>
    </cfRule>
    <cfRule type="cellIs" dxfId="26028" priority="25868" stopIfTrue="1" operator="equal">
      <formula>"Pass"</formula>
    </cfRule>
  </conditionalFormatting>
  <conditionalFormatting sqref="J745:N746 F745:G747">
    <cfRule type="cellIs" dxfId="26027" priority="25865" stopIfTrue="1" operator="equal">
      <formula>"Pass"</formula>
    </cfRule>
    <cfRule type="cellIs" dxfId="26026" priority="25866" stopIfTrue="1" operator="equal">
      <formula>"Fail"</formula>
    </cfRule>
  </conditionalFormatting>
  <conditionalFormatting sqref="K745:O746 F745:H747">
    <cfRule type="cellIs" dxfId="26025" priority="25863" stopIfTrue="1" operator="equal">
      <formula>"Pass"</formula>
    </cfRule>
    <cfRule type="cellIs" dxfId="26024" priority="25864" stopIfTrue="1" operator="equal">
      <formula>"Fail"</formula>
    </cfRule>
  </conditionalFormatting>
  <conditionalFormatting sqref="T745">
    <cfRule type="cellIs" dxfId="26023" priority="25861" stopIfTrue="1" operator="equal">
      <formula>"Fail"</formula>
    </cfRule>
    <cfRule type="cellIs" dxfId="26022" priority="25862" stopIfTrue="1" operator="equal">
      <formula>"Pass"</formula>
    </cfRule>
  </conditionalFormatting>
  <conditionalFormatting sqref="F745:H745 K745:N745">
    <cfRule type="cellIs" dxfId="26021" priority="25859" stopIfTrue="1" operator="equal">
      <formula>"Pass"</formula>
    </cfRule>
    <cfRule type="cellIs" dxfId="26020" priority="25860" stopIfTrue="1" operator="equal">
      <formula>"Fail"</formula>
    </cfRule>
  </conditionalFormatting>
  <conditionalFormatting sqref="H745">
    <cfRule type="cellIs" dxfId="26019" priority="25857" stopIfTrue="1" operator="equal">
      <formula>"Pass"</formula>
    </cfRule>
    <cfRule type="cellIs" dxfId="26018" priority="25858" stopIfTrue="1" operator="equal">
      <formula>"Fail"</formula>
    </cfRule>
  </conditionalFormatting>
  <conditionalFormatting sqref="F745 I745:M745">
    <cfRule type="cellIs" dxfId="26017" priority="25855" stopIfTrue="1" operator="equal">
      <formula>"Pass"</formula>
    </cfRule>
    <cfRule type="cellIs" dxfId="26016" priority="25856" stopIfTrue="1" operator="equal">
      <formula>"Fail"</formula>
    </cfRule>
  </conditionalFormatting>
  <conditionalFormatting sqref="F745:G745 J745:N745">
    <cfRule type="cellIs" dxfId="26015" priority="25853" stopIfTrue="1" operator="equal">
      <formula>"Pass"</formula>
    </cfRule>
    <cfRule type="cellIs" dxfId="26014" priority="25854" stopIfTrue="1" operator="equal">
      <formula>"Fail"</formula>
    </cfRule>
  </conditionalFormatting>
  <conditionalFormatting sqref="J745:N745 F745:G745">
    <cfRule type="cellIs" dxfId="26013" priority="25851" stopIfTrue="1" operator="equal">
      <formula>"Pass"</formula>
    </cfRule>
    <cfRule type="cellIs" dxfId="26012" priority="25852" stopIfTrue="1" operator="equal">
      <formula>"Fail"</formula>
    </cfRule>
  </conditionalFormatting>
  <conditionalFormatting sqref="K745:N745 F745:H745">
    <cfRule type="cellIs" dxfId="26011" priority="25849" stopIfTrue="1" operator="equal">
      <formula>"Pass"</formula>
    </cfRule>
    <cfRule type="cellIs" dxfId="26010" priority="25850" stopIfTrue="1" operator="equal">
      <formula>"Fail"</formula>
    </cfRule>
  </conditionalFormatting>
  <conditionalFormatting sqref="H745">
    <cfRule type="cellIs" dxfId="26009" priority="25847" stopIfTrue="1" operator="equal">
      <formula>"Pass"</formula>
    </cfRule>
    <cfRule type="cellIs" dxfId="26008" priority="25848" stopIfTrue="1" operator="equal">
      <formula>"Fail"</formula>
    </cfRule>
  </conditionalFormatting>
  <conditionalFormatting sqref="F745 I745:M745">
    <cfRule type="cellIs" dxfId="26007" priority="25845" stopIfTrue="1" operator="equal">
      <formula>"Pass"</formula>
    </cfRule>
    <cfRule type="cellIs" dxfId="26006" priority="25846" stopIfTrue="1" operator="equal">
      <formula>"Fail"</formula>
    </cfRule>
  </conditionalFormatting>
  <conditionalFormatting sqref="F745:G745 J745:N745">
    <cfRule type="cellIs" dxfId="26005" priority="25843" stopIfTrue="1" operator="equal">
      <formula>"Pass"</formula>
    </cfRule>
    <cfRule type="cellIs" dxfId="26004" priority="25844" stopIfTrue="1" operator="equal">
      <formula>"Fail"</formula>
    </cfRule>
  </conditionalFormatting>
  <conditionalFormatting sqref="J745:N745 F745:G745">
    <cfRule type="cellIs" dxfId="26003" priority="25841" stopIfTrue="1" operator="equal">
      <formula>"Pass"</formula>
    </cfRule>
    <cfRule type="cellIs" dxfId="26002" priority="25842" stopIfTrue="1" operator="equal">
      <formula>"Fail"</formula>
    </cfRule>
  </conditionalFormatting>
  <conditionalFormatting sqref="K745:N745 F745:H745">
    <cfRule type="cellIs" dxfId="26001" priority="25839" stopIfTrue="1" operator="equal">
      <formula>"Pass"</formula>
    </cfRule>
    <cfRule type="cellIs" dxfId="26000" priority="25840" stopIfTrue="1" operator="equal">
      <formula>"Fail"</formula>
    </cfRule>
  </conditionalFormatting>
  <conditionalFormatting sqref="H745">
    <cfRule type="cellIs" dxfId="25999" priority="25837" stopIfTrue="1" operator="equal">
      <formula>"Pass"</formula>
    </cfRule>
    <cfRule type="cellIs" dxfId="25998" priority="25838" stopIfTrue="1" operator="equal">
      <formula>"Fail"</formula>
    </cfRule>
  </conditionalFormatting>
  <conditionalFormatting sqref="F745 I745:M745">
    <cfRule type="cellIs" dxfId="25997" priority="25835" stopIfTrue="1" operator="equal">
      <formula>"Pass"</formula>
    </cfRule>
    <cfRule type="cellIs" dxfId="25996" priority="25836" stopIfTrue="1" operator="equal">
      <formula>"Fail"</formula>
    </cfRule>
  </conditionalFormatting>
  <conditionalFormatting sqref="F745:G745 J745:N745">
    <cfRule type="cellIs" dxfId="25995" priority="25833" stopIfTrue="1" operator="equal">
      <formula>"Pass"</formula>
    </cfRule>
    <cfRule type="cellIs" dxfId="25994" priority="25834" stopIfTrue="1" operator="equal">
      <formula>"Fail"</formula>
    </cfRule>
  </conditionalFormatting>
  <conditionalFormatting sqref="J745:N745 F745:G745">
    <cfRule type="cellIs" dxfId="25993" priority="25831" stopIfTrue="1" operator="equal">
      <formula>"Pass"</formula>
    </cfRule>
    <cfRule type="cellIs" dxfId="25992" priority="25832" stopIfTrue="1" operator="equal">
      <formula>"Fail"</formula>
    </cfRule>
  </conditionalFormatting>
  <conditionalFormatting sqref="K745:N745 F745:H745">
    <cfRule type="cellIs" dxfId="25991" priority="25829" stopIfTrue="1" operator="equal">
      <formula>"Pass"</formula>
    </cfRule>
    <cfRule type="cellIs" dxfId="25990" priority="25830" stopIfTrue="1" operator="equal">
      <formula>"Fail"</formula>
    </cfRule>
  </conditionalFormatting>
  <conditionalFormatting sqref="J748:J749">
    <cfRule type="cellIs" dxfId="25989" priority="25827" stopIfTrue="1" operator="equal">
      <formula>"Pass"</formula>
    </cfRule>
    <cfRule type="cellIs" dxfId="25988" priority="25828" stopIfTrue="1" operator="equal">
      <formula>"Fail"</formula>
    </cfRule>
  </conditionalFormatting>
  <conditionalFormatting sqref="H748:H749 I749">
    <cfRule type="cellIs" dxfId="25987" priority="25825" stopIfTrue="1" operator="equal">
      <formula>"Pass"</formula>
    </cfRule>
    <cfRule type="cellIs" dxfId="25986" priority="25826" stopIfTrue="1" operator="equal">
      <formula>"Fail"</formula>
    </cfRule>
  </conditionalFormatting>
  <conditionalFormatting sqref="F748:G748 K748:N749">
    <cfRule type="cellIs" dxfId="25985" priority="25823" stopIfTrue="1" operator="equal">
      <formula>"Pass"</formula>
    </cfRule>
    <cfRule type="cellIs" dxfId="25984" priority="25824" stopIfTrue="1" operator="equal">
      <formula>"Fail"</formula>
    </cfRule>
  </conditionalFormatting>
  <conditionalFormatting sqref="T748:T749 U749">
    <cfRule type="cellIs" dxfId="25983" priority="25821" stopIfTrue="1" operator="equal">
      <formula>"Fail"</formula>
    </cfRule>
    <cfRule type="cellIs" dxfId="25982" priority="25822" stopIfTrue="1" operator="equal">
      <formula>"Pass"</formula>
    </cfRule>
  </conditionalFormatting>
  <conditionalFormatting sqref="U748">
    <cfRule type="cellIs" dxfId="25981" priority="25819" stopIfTrue="1" operator="equal">
      <formula>"Fail"</formula>
    </cfRule>
    <cfRule type="cellIs" dxfId="25980" priority="25820" stopIfTrue="1" operator="equal">
      <formula>"Pass"</formula>
    </cfRule>
  </conditionalFormatting>
  <conditionalFormatting sqref="U748">
    <cfRule type="cellIs" dxfId="25979" priority="25817" stopIfTrue="1" operator="equal">
      <formula>"Fail"</formula>
    </cfRule>
    <cfRule type="cellIs" dxfId="25978" priority="25818" stopIfTrue="1" operator="equal">
      <formula>"Pass"</formula>
    </cfRule>
  </conditionalFormatting>
  <conditionalFormatting sqref="J748:J749">
    <cfRule type="cellIs" dxfId="25977" priority="25815" stopIfTrue="1" operator="equal">
      <formula>"Pass"</formula>
    </cfRule>
    <cfRule type="cellIs" dxfId="25976" priority="25816" stopIfTrue="1" operator="equal">
      <formula>"Fail"</formula>
    </cfRule>
  </conditionalFormatting>
  <conditionalFormatting sqref="H748:H749 I749">
    <cfRule type="cellIs" dxfId="25975" priority="25813" stopIfTrue="1" operator="equal">
      <formula>"Pass"</formula>
    </cfRule>
    <cfRule type="cellIs" dxfId="25974" priority="25814" stopIfTrue="1" operator="equal">
      <formula>"Fail"</formula>
    </cfRule>
  </conditionalFormatting>
  <conditionalFormatting sqref="F748:G748 K748:N749">
    <cfRule type="cellIs" dxfId="25973" priority="25811" stopIfTrue="1" operator="equal">
      <formula>"Pass"</formula>
    </cfRule>
    <cfRule type="cellIs" dxfId="25972" priority="25812" stopIfTrue="1" operator="equal">
      <formula>"Fail"</formula>
    </cfRule>
  </conditionalFormatting>
  <conditionalFormatting sqref="T748:T749 U749">
    <cfRule type="cellIs" dxfId="25971" priority="25809" stopIfTrue="1" operator="equal">
      <formula>"Fail"</formula>
    </cfRule>
    <cfRule type="cellIs" dxfId="25970" priority="25810" stopIfTrue="1" operator="equal">
      <formula>"Pass"</formula>
    </cfRule>
  </conditionalFormatting>
  <conditionalFormatting sqref="U748">
    <cfRule type="cellIs" dxfId="25969" priority="25807" stopIfTrue="1" operator="equal">
      <formula>"Fail"</formula>
    </cfRule>
    <cfRule type="cellIs" dxfId="25968" priority="25808" stopIfTrue="1" operator="equal">
      <formula>"Pass"</formula>
    </cfRule>
  </conditionalFormatting>
  <conditionalFormatting sqref="U748">
    <cfRule type="cellIs" dxfId="25967" priority="25805" stopIfTrue="1" operator="equal">
      <formula>"Fail"</formula>
    </cfRule>
    <cfRule type="cellIs" dxfId="25966" priority="25806" stopIfTrue="1" operator="equal">
      <formula>"Pass"</formula>
    </cfRule>
  </conditionalFormatting>
  <conditionalFormatting sqref="F748:G748 K748:N748">
    <cfRule type="cellIs" dxfId="25965" priority="25803" stopIfTrue="1" operator="equal">
      <formula>"Pass"</formula>
    </cfRule>
    <cfRule type="cellIs" dxfId="25964" priority="25804" stopIfTrue="1" operator="equal">
      <formula>"Fail"</formula>
    </cfRule>
  </conditionalFormatting>
  <conditionalFormatting sqref="K749:N749">
    <cfRule type="cellIs" dxfId="25963" priority="25801" stopIfTrue="1" operator="equal">
      <formula>"Pass"</formula>
    </cfRule>
    <cfRule type="cellIs" dxfId="25962" priority="25802" stopIfTrue="1" operator="equal">
      <formula>"Fail"</formula>
    </cfRule>
  </conditionalFormatting>
  <conditionalFormatting sqref="U748">
    <cfRule type="cellIs" dxfId="25961" priority="25799" stopIfTrue="1" operator="equal">
      <formula>"Fail"</formula>
    </cfRule>
    <cfRule type="cellIs" dxfId="25960" priority="25800" stopIfTrue="1" operator="equal">
      <formula>"Pass"</formula>
    </cfRule>
  </conditionalFormatting>
  <conditionalFormatting sqref="H751:H752">
    <cfRule type="cellIs" dxfId="25959" priority="25797" stopIfTrue="1" operator="equal">
      <formula>"Pass"</formula>
    </cfRule>
    <cfRule type="cellIs" dxfId="25958" priority="25798" stopIfTrue="1" operator="equal">
      <formula>"Fail"</formula>
    </cfRule>
  </conditionalFormatting>
  <conditionalFormatting sqref="F751 I751:M752 F753">
    <cfRule type="cellIs" dxfId="25957" priority="25795" stopIfTrue="1" operator="equal">
      <formula>"Pass"</formula>
    </cfRule>
    <cfRule type="cellIs" dxfId="25956" priority="25796" stopIfTrue="1" operator="equal">
      <formula>"Fail"</formula>
    </cfRule>
  </conditionalFormatting>
  <conditionalFormatting sqref="T753 T751 R751:R753 S752:S753">
    <cfRule type="cellIs" dxfId="25955" priority="25793" stopIfTrue="1" operator="equal">
      <formula>"Fail"</formula>
    </cfRule>
    <cfRule type="cellIs" dxfId="25954" priority="25794" stopIfTrue="1" operator="equal">
      <formula>"Pass"</formula>
    </cfRule>
  </conditionalFormatting>
  <conditionalFormatting sqref="F751:G751 J751:N752 F753:G753">
    <cfRule type="cellIs" dxfId="25953" priority="25791" stopIfTrue="1" operator="equal">
      <formula>"Pass"</formula>
    </cfRule>
    <cfRule type="cellIs" dxfId="25952" priority="25792" stopIfTrue="1" operator="equal">
      <formula>"Fail"</formula>
    </cfRule>
  </conditionalFormatting>
  <conditionalFormatting sqref="U753 T751:T753 S752:S753">
    <cfRule type="cellIs" dxfId="25951" priority="25789" stopIfTrue="1" operator="equal">
      <formula>"Fail"</formula>
    </cfRule>
    <cfRule type="cellIs" dxfId="25950" priority="25790" stopIfTrue="1" operator="equal">
      <formula>"Pass"</formula>
    </cfRule>
  </conditionalFormatting>
  <conditionalFormatting sqref="U751">
    <cfRule type="cellIs" dxfId="25949" priority="25787" stopIfTrue="1" operator="equal">
      <formula>"Fail"</formula>
    </cfRule>
    <cfRule type="cellIs" dxfId="25948" priority="25788" stopIfTrue="1" operator="equal">
      <formula>"Pass"</formula>
    </cfRule>
  </conditionalFormatting>
  <conditionalFormatting sqref="F751:G751 J751:N751">
    <cfRule type="cellIs" dxfId="25947" priority="25785" stopIfTrue="1" operator="equal">
      <formula>"Pass"</formula>
    </cfRule>
    <cfRule type="cellIs" dxfId="25946" priority="25786" stopIfTrue="1" operator="equal">
      <formula>"Fail"</formula>
    </cfRule>
  </conditionalFormatting>
  <conditionalFormatting sqref="J752:N752">
    <cfRule type="cellIs" dxfId="25945" priority="25783" stopIfTrue="1" operator="equal">
      <formula>"Pass"</formula>
    </cfRule>
    <cfRule type="cellIs" dxfId="25944" priority="25784" stopIfTrue="1" operator="equal">
      <formula>"Fail"</formula>
    </cfRule>
  </conditionalFormatting>
  <conditionalFormatting sqref="A765 C765 K763:O764 F763:H765">
    <cfRule type="cellIs" dxfId="25943" priority="25781" stopIfTrue="1" operator="equal">
      <formula>"Pass"</formula>
    </cfRule>
    <cfRule type="cellIs" dxfId="25942" priority="25782" stopIfTrue="1" operator="equal">
      <formula>"Fail"</formula>
    </cfRule>
  </conditionalFormatting>
  <conditionalFormatting sqref="T763">
    <cfRule type="cellIs" dxfId="25941" priority="25779" stopIfTrue="1" operator="equal">
      <formula>"Fail"</formula>
    </cfRule>
    <cfRule type="cellIs" dxfId="25940" priority="25780" stopIfTrue="1" operator="equal">
      <formula>"Pass"</formula>
    </cfRule>
  </conditionalFormatting>
  <conditionalFormatting sqref="J766:J767">
    <cfRule type="cellIs" dxfId="25939" priority="25777" stopIfTrue="1" operator="equal">
      <formula>"Pass"</formula>
    </cfRule>
    <cfRule type="cellIs" dxfId="25938" priority="25778" stopIfTrue="1" operator="equal">
      <formula>"Fail"</formula>
    </cfRule>
  </conditionalFormatting>
  <conditionalFormatting sqref="H766:H767 I767">
    <cfRule type="cellIs" dxfId="25937" priority="25775" stopIfTrue="1" operator="equal">
      <formula>"Pass"</formula>
    </cfRule>
    <cfRule type="cellIs" dxfId="25936" priority="25776" stopIfTrue="1" operator="equal">
      <formula>"Fail"</formula>
    </cfRule>
  </conditionalFormatting>
  <conditionalFormatting sqref="F766:G766 K766:N767">
    <cfRule type="cellIs" dxfId="25935" priority="25773" stopIfTrue="1" operator="equal">
      <formula>"Pass"</formula>
    </cfRule>
    <cfRule type="cellIs" dxfId="25934" priority="25774" stopIfTrue="1" operator="equal">
      <formula>"Fail"</formula>
    </cfRule>
  </conditionalFormatting>
  <conditionalFormatting sqref="T766:T767 U767">
    <cfRule type="cellIs" dxfId="25933" priority="25771" stopIfTrue="1" operator="equal">
      <formula>"Fail"</formula>
    </cfRule>
    <cfRule type="cellIs" dxfId="25932" priority="25772" stopIfTrue="1" operator="equal">
      <formula>"Pass"</formula>
    </cfRule>
  </conditionalFormatting>
  <conditionalFormatting sqref="U766">
    <cfRule type="cellIs" dxfId="25931" priority="25769" stopIfTrue="1" operator="equal">
      <formula>"Fail"</formula>
    </cfRule>
    <cfRule type="cellIs" dxfId="25930" priority="25770" stopIfTrue="1" operator="equal">
      <formula>"Pass"</formula>
    </cfRule>
  </conditionalFormatting>
  <conditionalFormatting sqref="U766">
    <cfRule type="cellIs" dxfId="25929" priority="25767" stopIfTrue="1" operator="equal">
      <formula>"Fail"</formula>
    </cfRule>
    <cfRule type="cellIs" dxfId="25928" priority="25768" stopIfTrue="1" operator="equal">
      <formula>"Pass"</formula>
    </cfRule>
  </conditionalFormatting>
  <conditionalFormatting sqref="J766:J767">
    <cfRule type="cellIs" dxfId="25927" priority="25765" stopIfTrue="1" operator="equal">
      <formula>"Pass"</formula>
    </cfRule>
    <cfRule type="cellIs" dxfId="25926" priority="25766" stopIfTrue="1" operator="equal">
      <formula>"Fail"</formula>
    </cfRule>
  </conditionalFormatting>
  <conditionalFormatting sqref="H766:H767 I767">
    <cfRule type="cellIs" dxfId="25925" priority="25763" stopIfTrue="1" operator="equal">
      <formula>"Pass"</formula>
    </cfRule>
    <cfRule type="cellIs" dxfId="25924" priority="25764" stopIfTrue="1" operator="equal">
      <formula>"Fail"</formula>
    </cfRule>
  </conditionalFormatting>
  <conditionalFormatting sqref="F766:G766 K766:N767">
    <cfRule type="cellIs" dxfId="25923" priority="25761" stopIfTrue="1" operator="equal">
      <formula>"Pass"</formula>
    </cfRule>
    <cfRule type="cellIs" dxfId="25922" priority="25762" stopIfTrue="1" operator="equal">
      <formula>"Fail"</formula>
    </cfRule>
  </conditionalFormatting>
  <conditionalFormatting sqref="T766:T767 U767">
    <cfRule type="cellIs" dxfId="25921" priority="25759" stopIfTrue="1" operator="equal">
      <formula>"Fail"</formula>
    </cfRule>
    <cfRule type="cellIs" dxfId="25920" priority="25760" stopIfTrue="1" operator="equal">
      <formula>"Pass"</formula>
    </cfRule>
  </conditionalFormatting>
  <conditionalFormatting sqref="U766">
    <cfRule type="cellIs" dxfId="25919" priority="25757" stopIfTrue="1" operator="equal">
      <formula>"Fail"</formula>
    </cfRule>
    <cfRule type="cellIs" dxfId="25918" priority="25758" stopIfTrue="1" operator="equal">
      <formula>"Pass"</formula>
    </cfRule>
  </conditionalFormatting>
  <conditionalFormatting sqref="U766">
    <cfRule type="cellIs" dxfId="25917" priority="25755" stopIfTrue="1" operator="equal">
      <formula>"Fail"</formula>
    </cfRule>
    <cfRule type="cellIs" dxfId="25916" priority="25756" stopIfTrue="1" operator="equal">
      <formula>"Pass"</formula>
    </cfRule>
  </conditionalFormatting>
  <conditionalFormatting sqref="F766:G766 K766:N766">
    <cfRule type="cellIs" dxfId="25915" priority="25753" stopIfTrue="1" operator="equal">
      <formula>"Pass"</formula>
    </cfRule>
    <cfRule type="cellIs" dxfId="25914" priority="25754" stopIfTrue="1" operator="equal">
      <formula>"Fail"</formula>
    </cfRule>
  </conditionalFormatting>
  <conditionalFormatting sqref="K767:N767">
    <cfRule type="cellIs" dxfId="25913" priority="25751" stopIfTrue="1" operator="equal">
      <formula>"Pass"</formula>
    </cfRule>
    <cfRule type="cellIs" dxfId="25912" priority="25752" stopIfTrue="1" operator="equal">
      <formula>"Fail"</formula>
    </cfRule>
  </conditionalFormatting>
  <conditionalFormatting sqref="U766">
    <cfRule type="cellIs" dxfId="25911" priority="25749" stopIfTrue="1" operator="equal">
      <formula>"Fail"</formula>
    </cfRule>
    <cfRule type="cellIs" dxfId="25910" priority="25750" stopIfTrue="1" operator="equal">
      <formula>"Pass"</formula>
    </cfRule>
  </conditionalFormatting>
  <conditionalFormatting sqref="H769:H770">
    <cfRule type="cellIs" dxfId="25909" priority="25747" stopIfTrue="1" operator="equal">
      <formula>"Pass"</formula>
    </cfRule>
    <cfRule type="cellIs" dxfId="25908" priority="25748" stopIfTrue="1" operator="equal">
      <formula>"Fail"</formula>
    </cfRule>
  </conditionalFormatting>
  <conditionalFormatting sqref="F769 I769:M770 F771">
    <cfRule type="cellIs" dxfId="25907" priority="25745" stopIfTrue="1" operator="equal">
      <formula>"Pass"</formula>
    </cfRule>
    <cfRule type="cellIs" dxfId="25906" priority="25746" stopIfTrue="1" operator="equal">
      <formula>"Fail"</formula>
    </cfRule>
  </conditionalFormatting>
  <conditionalFormatting sqref="T771 T769 R769:R771 S770:S771">
    <cfRule type="cellIs" dxfId="25905" priority="25743" stopIfTrue="1" operator="equal">
      <formula>"Fail"</formula>
    </cfRule>
    <cfRule type="cellIs" dxfId="25904" priority="25744" stopIfTrue="1" operator="equal">
      <formula>"Pass"</formula>
    </cfRule>
  </conditionalFormatting>
  <conditionalFormatting sqref="F769:G769 J769:N770 F771:G771">
    <cfRule type="cellIs" dxfId="25903" priority="25741" stopIfTrue="1" operator="equal">
      <formula>"Pass"</formula>
    </cfRule>
    <cfRule type="cellIs" dxfId="25902" priority="25742" stopIfTrue="1" operator="equal">
      <formula>"Fail"</formula>
    </cfRule>
  </conditionalFormatting>
  <conditionalFormatting sqref="U771 T769:T771 S770:S771">
    <cfRule type="cellIs" dxfId="25901" priority="25739" stopIfTrue="1" operator="equal">
      <formula>"Fail"</formula>
    </cfRule>
    <cfRule type="cellIs" dxfId="25900" priority="25740" stopIfTrue="1" operator="equal">
      <formula>"Pass"</formula>
    </cfRule>
  </conditionalFormatting>
  <conditionalFormatting sqref="U769">
    <cfRule type="cellIs" dxfId="25899" priority="25737" stopIfTrue="1" operator="equal">
      <formula>"Fail"</formula>
    </cfRule>
    <cfRule type="cellIs" dxfId="25898" priority="25738" stopIfTrue="1" operator="equal">
      <formula>"Pass"</formula>
    </cfRule>
  </conditionalFormatting>
  <conditionalFormatting sqref="F769:G769 J769:N769">
    <cfRule type="cellIs" dxfId="25897" priority="25735" stopIfTrue="1" operator="equal">
      <formula>"Pass"</formula>
    </cfRule>
    <cfRule type="cellIs" dxfId="25896" priority="25736" stopIfTrue="1" operator="equal">
      <formula>"Fail"</formula>
    </cfRule>
  </conditionalFormatting>
  <conditionalFormatting sqref="J770:N770">
    <cfRule type="cellIs" dxfId="25895" priority="25733" stopIfTrue="1" operator="equal">
      <formula>"Pass"</formula>
    </cfRule>
    <cfRule type="cellIs" dxfId="25894" priority="25734" stopIfTrue="1" operator="equal">
      <formula>"Fail"</formula>
    </cfRule>
  </conditionalFormatting>
  <conditionalFormatting sqref="U766">
    <cfRule type="cellIs" dxfId="25893" priority="25731" stopIfTrue="1" operator="equal">
      <formula>"Fail"</formula>
    </cfRule>
    <cfRule type="cellIs" dxfId="25892" priority="25732" stopIfTrue="1" operator="equal">
      <formula>"Pass"</formula>
    </cfRule>
  </conditionalFormatting>
  <conditionalFormatting sqref="U769">
    <cfRule type="cellIs" dxfId="25891" priority="25729" stopIfTrue="1" operator="equal">
      <formula>"Fail"</formula>
    </cfRule>
    <cfRule type="cellIs" dxfId="25890" priority="25730" stopIfTrue="1" operator="equal">
      <formula>"Pass"</formula>
    </cfRule>
  </conditionalFormatting>
  <conditionalFormatting sqref="H772:H773">
    <cfRule type="cellIs" dxfId="25889" priority="25727" stopIfTrue="1" operator="equal">
      <formula>"Pass"</formula>
    </cfRule>
    <cfRule type="cellIs" dxfId="25888" priority="25728" stopIfTrue="1" operator="equal">
      <formula>"Fail"</formula>
    </cfRule>
  </conditionalFormatting>
  <conditionalFormatting sqref="F772 F774 I772:M773">
    <cfRule type="cellIs" dxfId="25887" priority="25725" stopIfTrue="1" operator="equal">
      <formula>"Pass"</formula>
    </cfRule>
    <cfRule type="cellIs" dxfId="25886" priority="25726" stopIfTrue="1" operator="equal">
      <formula>"Fail"</formula>
    </cfRule>
  </conditionalFormatting>
  <conditionalFormatting sqref="T774 T772 R772:R774 S773:S774">
    <cfRule type="cellIs" dxfId="25885" priority="25723" stopIfTrue="1" operator="equal">
      <formula>"Fail"</formula>
    </cfRule>
    <cfRule type="cellIs" dxfId="25884" priority="25724" stopIfTrue="1" operator="equal">
      <formula>"Pass"</formula>
    </cfRule>
  </conditionalFormatting>
  <conditionalFormatting sqref="F772:G772 F774:G774 J772:N773">
    <cfRule type="cellIs" dxfId="25883" priority="25721" stopIfTrue="1" operator="equal">
      <formula>"Pass"</formula>
    </cfRule>
    <cfRule type="cellIs" dxfId="25882" priority="25722" stopIfTrue="1" operator="equal">
      <formula>"Fail"</formula>
    </cfRule>
  </conditionalFormatting>
  <conditionalFormatting sqref="U774 U772 T772:T774 S773:S774">
    <cfRule type="cellIs" dxfId="25881" priority="25719" stopIfTrue="1" operator="equal">
      <formula>"Fail"</formula>
    </cfRule>
    <cfRule type="cellIs" dxfId="25880" priority="25720" stopIfTrue="1" operator="equal">
      <formula>"Pass"</formula>
    </cfRule>
  </conditionalFormatting>
  <conditionalFormatting sqref="J772:N773 F772:G774">
    <cfRule type="cellIs" dxfId="25879" priority="25717" stopIfTrue="1" operator="equal">
      <formula>"Pass"</formula>
    </cfRule>
    <cfRule type="cellIs" dxfId="25878" priority="25718" stopIfTrue="1" operator="equal">
      <formula>"Fail"</formula>
    </cfRule>
  </conditionalFormatting>
  <conditionalFormatting sqref="K772:O773 F772:H774">
    <cfRule type="cellIs" dxfId="25877" priority="25715" stopIfTrue="1" operator="equal">
      <formula>"Pass"</formula>
    </cfRule>
    <cfRule type="cellIs" dxfId="25876" priority="25716" stopIfTrue="1" operator="equal">
      <formula>"Fail"</formula>
    </cfRule>
  </conditionalFormatting>
  <conditionalFormatting sqref="T772">
    <cfRule type="cellIs" dxfId="25875" priority="25713" stopIfTrue="1" operator="equal">
      <formula>"Fail"</formula>
    </cfRule>
    <cfRule type="cellIs" dxfId="25874" priority="25714" stopIfTrue="1" operator="equal">
      <formula>"Pass"</formula>
    </cfRule>
  </conditionalFormatting>
  <conditionalFormatting sqref="J775:J776">
    <cfRule type="cellIs" dxfId="25873" priority="25711" stopIfTrue="1" operator="equal">
      <formula>"Pass"</formula>
    </cfRule>
    <cfRule type="cellIs" dxfId="25872" priority="25712" stopIfTrue="1" operator="equal">
      <formula>"Fail"</formula>
    </cfRule>
  </conditionalFormatting>
  <conditionalFormatting sqref="H775:H776 I776">
    <cfRule type="cellIs" dxfId="25871" priority="25709" stopIfTrue="1" operator="equal">
      <formula>"Pass"</formula>
    </cfRule>
    <cfRule type="cellIs" dxfId="25870" priority="25710" stopIfTrue="1" operator="equal">
      <formula>"Fail"</formula>
    </cfRule>
  </conditionalFormatting>
  <conditionalFormatting sqref="F777 F775:G775 K775:N776">
    <cfRule type="cellIs" dxfId="25869" priority="25707" stopIfTrue="1" operator="equal">
      <formula>"Pass"</formula>
    </cfRule>
    <cfRule type="cellIs" dxfId="25868" priority="25708" stopIfTrue="1" operator="equal">
      <formula>"Fail"</formula>
    </cfRule>
  </conditionalFormatting>
  <conditionalFormatting sqref="T775:T777 U776:U777">
    <cfRule type="cellIs" dxfId="25867" priority="25705" stopIfTrue="1" operator="equal">
      <formula>"Fail"</formula>
    </cfRule>
    <cfRule type="cellIs" dxfId="25866" priority="25706" stopIfTrue="1" operator="equal">
      <formula>"Pass"</formula>
    </cfRule>
  </conditionalFormatting>
  <conditionalFormatting sqref="U775">
    <cfRule type="cellIs" dxfId="25865" priority="25703" stopIfTrue="1" operator="equal">
      <formula>"Fail"</formula>
    </cfRule>
    <cfRule type="cellIs" dxfId="25864" priority="25704" stopIfTrue="1" operator="equal">
      <formula>"Pass"</formula>
    </cfRule>
  </conditionalFormatting>
  <conditionalFormatting sqref="U775">
    <cfRule type="cellIs" dxfId="25863" priority="25701" stopIfTrue="1" operator="equal">
      <formula>"Fail"</formula>
    </cfRule>
    <cfRule type="cellIs" dxfId="25862" priority="25702" stopIfTrue="1" operator="equal">
      <formula>"Pass"</formula>
    </cfRule>
  </conditionalFormatting>
  <conditionalFormatting sqref="J775:J776">
    <cfRule type="cellIs" dxfId="25861" priority="25699" stopIfTrue="1" operator="equal">
      <formula>"Pass"</formula>
    </cfRule>
    <cfRule type="cellIs" dxfId="25860" priority="25700" stopIfTrue="1" operator="equal">
      <formula>"Fail"</formula>
    </cfRule>
  </conditionalFormatting>
  <conditionalFormatting sqref="H775:H776 I776">
    <cfRule type="cellIs" dxfId="25859" priority="25697" stopIfTrue="1" operator="equal">
      <formula>"Pass"</formula>
    </cfRule>
    <cfRule type="cellIs" dxfId="25858" priority="25698" stopIfTrue="1" operator="equal">
      <formula>"Fail"</formula>
    </cfRule>
  </conditionalFormatting>
  <conditionalFormatting sqref="F777 F775:G775 K775:N776">
    <cfRule type="cellIs" dxfId="25857" priority="25695" stopIfTrue="1" operator="equal">
      <formula>"Pass"</formula>
    </cfRule>
    <cfRule type="cellIs" dxfId="25856" priority="25696" stopIfTrue="1" operator="equal">
      <formula>"Fail"</formula>
    </cfRule>
  </conditionalFormatting>
  <conditionalFormatting sqref="T775:T777 U776:U777">
    <cfRule type="cellIs" dxfId="25855" priority="25693" stopIfTrue="1" operator="equal">
      <formula>"Fail"</formula>
    </cfRule>
    <cfRule type="cellIs" dxfId="25854" priority="25694" stopIfTrue="1" operator="equal">
      <formula>"Pass"</formula>
    </cfRule>
  </conditionalFormatting>
  <conditionalFormatting sqref="U775">
    <cfRule type="cellIs" dxfId="25853" priority="25691" stopIfTrue="1" operator="equal">
      <formula>"Fail"</formula>
    </cfRule>
    <cfRule type="cellIs" dxfId="25852" priority="25692" stopIfTrue="1" operator="equal">
      <formula>"Pass"</formula>
    </cfRule>
  </conditionalFormatting>
  <conditionalFormatting sqref="U775">
    <cfRule type="cellIs" dxfId="25851" priority="25689" stopIfTrue="1" operator="equal">
      <formula>"Fail"</formula>
    </cfRule>
    <cfRule type="cellIs" dxfId="25850" priority="25690" stopIfTrue="1" operator="equal">
      <formula>"Pass"</formula>
    </cfRule>
  </conditionalFormatting>
  <conditionalFormatting sqref="F775:G775 K775:N775">
    <cfRule type="cellIs" dxfId="25849" priority="25687" stopIfTrue="1" operator="equal">
      <formula>"Pass"</formula>
    </cfRule>
    <cfRule type="cellIs" dxfId="25848" priority="25688" stopIfTrue="1" operator="equal">
      <formula>"Fail"</formula>
    </cfRule>
  </conditionalFormatting>
  <conditionalFormatting sqref="K776:N776">
    <cfRule type="cellIs" dxfId="25847" priority="25685" stopIfTrue="1" operator="equal">
      <formula>"Pass"</formula>
    </cfRule>
    <cfRule type="cellIs" dxfId="25846" priority="25686" stopIfTrue="1" operator="equal">
      <formula>"Fail"</formula>
    </cfRule>
  </conditionalFormatting>
  <conditionalFormatting sqref="U775">
    <cfRule type="cellIs" dxfId="25845" priority="25683" stopIfTrue="1" operator="equal">
      <formula>"Fail"</formula>
    </cfRule>
    <cfRule type="cellIs" dxfId="25844" priority="25684" stopIfTrue="1" operator="equal">
      <formula>"Pass"</formula>
    </cfRule>
  </conditionalFormatting>
  <conditionalFormatting sqref="H778:H779">
    <cfRule type="cellIs" dxfId="25843" priority="25681" stopIfTrue="1" operator="equal">
      <formula>"Pass"</formula>
    </cfRule>
    <cfRule type="cellIs" dxfId="25842" priority="25682" stopIfTrue="1" operator="equal">
      <formula>"Fail"</formula>
    </cfRule>
  </conditionalFormatting>
  <conditionalFormatting sqref="F778 I778:M779 F780">
    <cfRule type="cellIs" dxfId="25841" priority="25679" stopIfTrue="1" operator="equal">
      <formula>"Pass"</formula>
    </cfRule>
    <cfRule type="cellIs" dxfId="25840" priority="25680" stopIfTrue="1" operator="equal">
      <formula>"Fail"</formula>
    </cfRule>
  </conditionalFormatting>
  <conditionalFormatting sqref="T780 T778 R778:R780 S779:S780">
    <cfRule type="cellIs" dxfId="25839" priority="25677" stopIfTrue="1" operator="equal">
      <formula>"Fail"</formula>
    </cfRule>
    <cfRule type="cellIs" dxfId="25838" priority="25678" stopIfTrue="1" operator="equal">
      <formula>"Pass"</formula>
    </cfRule>
  </conditionalFormatting>
  <conditionalFormatting sqref="F778:G778 J778:N779 F780:G780">
    <cfRule type="cellIs" dxfId="25837" priority="25675" stopIfTrue="1" operator="equal">
      <formula>"Pass"</formula>
    </cfRule>
    <cfRule type="cellIs" dxfId="25836" priority="25676" stopIfTrue="1" operator="equal">
      <formula>"Fail"</formula>
    </cfRule>
  </conditionalFormatting>
  <conditionalFormatting sqref="U780 T778:T780 S779:S780">
    <cfRule type="cellIs" dxfId="25835" priority="25673" stopIfTrue="1" operator="equal">
      <formula>"Fail"</formula>
    </cfRule>
    <cfRule type="cellIs" dxfId="25834" priority="25674" stopIfTrue="1" operator="equal">
      <formula>"Pass"</formula>
    </cfRule>
  </conditionalFormatting>
  <conditionalFormatting sqref="U778">
    <cfRule type="cellIs" dxfId="25833" priority="25671" stopIfTrue="1" operator="equal">
      <formula>"Fail"</formula>
    </cfRule>
    <cfRule type="cellIs" dxfId="25832" priority="25672" stopIfTrue="1" operator="equal">
      <formula>"Pass"</formula>
    </cfRule>
  </conditionalFormatting>
  <conditionalFormatting sqref="F778:G778 J778:N778">
    <cfRule type="cellIs" dxfId="25831" priority="25669" stopIfTrue="1" operator="equal">
      <formula>"Pass"</formula>
    </cfRule>
    <cfRule type="cellIs" dxfId="25830" priority="25670" stopIfTrue="1" operator="equal">
      <formula>"Fail"</formula>
    </cfRule>
  </conditionalFormatting>
  <conditionalFormatting sqref="J779:N779">
    <cfRule type="cellIs" dxfId="25829" priority="25667" stopIfTrue="1" operator="equal">
      <formula>"Pass"</formula>
    </cfRule>
    <cfRule type="cellIs" dxfId="25828" priority="25668" stopIfTrue="1" operator="equal">
      <formula>"Fail"</formula>
    </cfRule>
  </conditionalFormatting>
  <conditionalFormatting sqref="K772:O773 F772:H774">
    <cfRule type="cellIs" dxfId="25827" priority="25665" stopIfTrue="1" operator="equal">
      <formula>"Pass"</formula>
    </cfRule>
    <cfRule type="cellIs" dxfId="25826" priority="25666" stopIfTrue="1" operator="equal">
      <formula>"Fail"</formula>
    </cfRule>
  </conditionalFormatting>
  <conditionalFormatting sqref="T772">
    <cfRule type="cellIs" dxfId="25825" priority="25663" stopIfTrue="1" operator="equal">
      <formula>"Fail"</formula>
    </cfRule>
    <cfRule type="cellIs" dxfId="25824" priority="25664" stopIfTrue="1" operator="equal">
      <formula>"Pass"</formula>
    </cfRule>
  </conditionalFormatting>
  <conditionalFormatting sqref="J775:J776">
    <cfRule type="cellIs" dxfId="25823" priority="25661" stopIfTrue="1" operator="equal">
      <formula>"Pass"</formula>
    </cfRule>
    <cfRule type="cellIs" dxfId="25822" priority="25662" stopIfTrue="1" operator="equal">
      <formula>"Fail"</formula>
    </cfRule>
  </conditionalFormatting>
  <conditionalFormatting sqref="H775:H776 I776">
    <cfRule type="cellIs" dxfId="25821" priority="25659" stopIfTrue="1" operator="equal">
      <formula>"Pass"</formula>
    </cfRule>
    <cfRule type="cellIs" dxfId="25820" priority="25660" stopIfTrue="1" operator="equal">
      <formula>"Fail"</formula>
    </cfRule>
  </conditionalFormatting>
  <conditionalFormatting sqref="F775:G775 K775:N776">
    <cfRule type="cellIs" dxfId="25819" priority="25657" stopIfTrue="1" operator="equal">
      <formula>"Pass"</formula>
    </cfRule>
    <cfRule type="cellIs" dxfId="25818" priority="25658" stopIfTrue="1" operator="equal">
      <formula>"Fail"</formula>
    </cfRule>
  </conditionalFormatting>
  <conditionalFormatting sqref="T775:T776 U776">
    <cfRule type="cellIs" dxfId="25817" priority="25655" stopIfTrue="1" operator="equal">
      <formula>"Fail"</formula>
    </cfRule>
    <cfRule type="cellIs" dxfId="25816" priority="25656" stopIfTrue="1" operator="equal">
      <formula>"Pass"</formula>
    </cfRule>
  </conditionalFormatting>
  <conditionalFormatting sqref="U775">
    <cfRule type="cellIs" dxfId="25815" priority="25653" stopIfTrue="1" operator="equal">
      <formula>"Fail"</formula>
    </cfRule>
    <cfRule type="cellIs" dxfId="25814" priority="25654" stopIfTrue="1" operator="equal">
      <formula>"Pass"</formula>
    </cfRule>
  </conditionalFormatting>
  <conditionalFormatting sqref="U775">
    <cfRule type="cellIs" dxfId="25813" priority="25651" stopIfTrue="1" operator="equal">
      <formula>"Fail"</formula>
    </cfRule>
    <cfRule type="cellIs" dxfId="25812" priority="25652" stopIfTrue="1" operator="equal">
      <formula>"Pass"</formula>
    </cfRule>
  </conditionalFormatting>
  <conditionalFormatting sqref="J775:J776">
    <cfRule type="cellIs" dxfId="25811" priority="25649" stopIfTrue="1" operator="equal">
      <formula>"Pass"</formula>
    </cfRule>
    <cfRule type="cellIs" dxfId="25810" priority="25650" stopIfTrue="1" operator="equal">
      <formula>"Fail"</formula>
    </cfRule>
  </conditionalFormatting>
  <conditionalFormatting sqref="H775:H776 I776">
    <cfRule type="cellIs" dxfId="25809" priority="25647" stopIfTrue="1" operator="equal">
      <formula>"Pass"</formula>
    </cfRule>
    <cfRule type="cellIs" dxfId="25808" priority="25648" stopIfTrue="1" operator="equal">
      <formula>"Fail"</formula>
    </cfRule>
  </conditionalFormatting>
  <conditionalFormatting sqref="F775:G775 K775:N776">
    <cfRule type="cellIs" dxfId="25807" priority="25645" stopIfTrue="1" operator="equal">
      <formula>"Pass"</formula>
    </cfRule>
    <cfRule type="cellIs" dxfId="25806" priority="25646" stopIfTrue="1" operator="equal">
      <formula>"Fail"</formula>
    </cfRule>
  </conditionalFormatting>
  <conditionalFormatting sqref="T775:T776 U776">
    <cfRule type="cellIs" dxfId="25805" priority="25643" stopIfTrue="1" operator="equal">
      <formula>"Fail"</formula>
    </cfRule>
    <cfRule type="cellIs" dxfId="25804" priority="25644" stopIfTrue="1" operator="equal">
      <formula>"Pass"</formula>
    </cfRule>
  </conditionalFormatting>
  <conditionalFormatting sqref="U775">
    <cfRule type="cellIs" dxfId="25803" priority="25641" stopIfTrue="1" operator="equal">
      <formula>"Fail"</formula>
    </cfRule>
    <cfRule type="cellIs" dxfId="25802" priority="25642" stopIfTrue="1" operator="equal">
      <formula>"Pass"</formula>
    </cfRule>
  </conditionalFormatting>
  <conditionalFormatting sqref="U775">
    <cfRule type="cellIs" dxfId="25801" priority="25639" stopIfTrue="1" operator="equal">
      <formula>"Fail"</formula>
    </cfRule>
    <cfRule type="cellIs" dxfId="25800" priority="25640" stopIfTrue="1" operator="equal">
      <formula>"Pass"</formula>
    </cfRule>
  </conditionalFormatting>
  <conditionalFormatting sqref="F775:G775 K775:N775">
    <cfRule type="cellIs" dxfId="25799" priority="25637" stopIfTrue="1" operator="equal">
      <formula>"Pass"</formula>
    </cfRule>
    <cfRule type="cellIs" dxfId="25798" priority="25638" stopIfTrue="1" operator="equal">
      <formula>"Fail"</formula>
    </cfRule>
  </conditionalFormatting>
  <conditionalFormatting sqref="K776:N776">
    <cfRule type="cellIs" dxfId="25797" priority="25635" stopIfTrue="1" operator="equal">
      <formula>"Pass"</formula>
    </cfRule>
    <cfRule type="cellIs" dxfId="25796" priority="25636" stopIfTrue="1" operator="equal">
      <formula>"Fail"</formula>
    </cfRule>
  </conditionalFormatting>
  <conditionalFormatting sqref="U775">
    <cfRule type="cellIs" dxfId="25795" priority="25633" stopIfTrue="1" operator="equal">
      <formula>"Fail"</formula>
    </cfRule>
    <cfRule type="cellIs" dxfId="25794" priority="25634" stopIfTrue="1" operator="equal">
      <formula>"Pass"</formula>
    </cfRule>
  </conditionalFormatting>
  <conditionalFormatting sqref="H778:H779">
    <cfRule type="cellIs" dxfId="25793" priority="25631" stopIfTrue="1" operator="equal">
      <formula>"Pass"</formula>
    </cfRule>
    <cfRule type="cellIs" dxfId="25792" priority="25632" stopIfTrue="1" operator="equal">
      <formula>"Fail"</formula>
    </cfRule>
  </conditionalFormatting>
  <conditionalFormatting sqref="F778 I778:M779 F780">
    <cfRule type="cellIs" dxfId="25791" priority="25629" stopIfTrue="1" operator="equal">
      <formula>"Pass"</formula>
    </cfRule>
    <cfRule type="cellIs" dxfId="25790" priority="25630" stopIfTrue="1" operator="equal">
      <formula>"Fail"</formula>
    </cfRule>
  </conditionalFormatting>
  <conditionalFormatting sqref="T780 T778 R778:R780 S779:S780">
    <cfRule type="cellIs" dxfId="25789" priority="25627" stopIfTrue="1" operator="equal">
      <formula>"Fail"</formula>
    </cfRule>
    <cfRule type="cellIs" dxfId="25788" priority="25628" stopIfTrue="1" operator="equal">
      <formula>"Pass"</formula>
    </cfRule>
  </conditionalFormatting>
  <conditionalFormatting sqref="F778:G778 J778:N779 F780:G780">
    <cfRule type="cellIs" dxfId="25787" priority="25625" stopIfTrue="1" operator="equal">
      <formula>"Pass"</formula>
    </cfRule>
    <cfRule type="cellIs" dxfId="25786" priority="25626" stopIfTrue="1" operator="equal">
      <formula>"Fail"</formula>
    </cfRule>
  </conditionalFormatting>
  <conditionalFormatting sqref="U780 T778:T780 S779:S780">
    <cfRule type="cellIs" dxfId="25785" priority="25623" stopIfTrue="1" operator="equal">
      <formula>"Fail"</formula>
    </cfRule>
    <cfRule type="cellIs" dxfId="25784" priority="25624" stopIfTrue="1" operator="equal">
      <formula>"Pass"</formula>
    </cfRule>
  </conditionalFormatting>
  <conditionalFormatting sqref="U778">
    <cfRule type="cellIs" dxfId="25783" priority="25621" stopIfTrue="1" operator="equal">
      <formula>"Fail"</formula>
    </cfRule>
    <cfRule type="cellIs" dxfId="25782" priority="25622" stopIfTrue="1" operator="equal">
      <formula>"Pass"</formula>
    </cfRule>
  </conditionalFormatting>
  <conditionalFormatting sqref="F778:G778 J778:N778">
    <cfRule type="cellIs" dxfId="25781" priority="25619" stopIfTrue="1" operator="equal">
      <formula>"Pass"</formula>
    </cfRule>
    <cfRule type="cellIs" dxfId="25780" priority="25620" stopIfTrue="1" operator="equal">
      <formula>"Fail"</formula>
    </cfRule>
  </conditionalFormatting>
  <conditionalFormatting sqref="J779:N779">
    <cfRule type="cellIs" dxfId="25779" priority="25617" stopIfTrue="1" operator="equal">
      <formula>"Pass"</formula>
    </cfRule>
    <cfRule type="cellIs" dxfId="25778" priority="25618" stopIfTrue="1" operator="equal">
      <formula>"Fail"</formula>
    </cfRule>
  </conditionalFormatting>
  <conditionalFormatting sqref="U775">
    <cfRule type="cellIs" dxfId="25777" priority="25615" stopIfTrue="1" operator="equal">
      <formula>"Fail"</formula>
    </cfRule>
    <cfRule type="cellIs" dxfId="25776" priority="25616" stopIfTrue="1" operator="equal">
      <formula>"Pass"</formula>
    </cfRule>
  </conditionalFormatting>
  <conditionalFormatting sqref="U778">
    <cfRule type="cellIs" dxfId="25775" priority="25613" stopIfTrue="1" operator="equal">
      <formula>"Fail"</formula>
    </cfRule>
    <cfRule type="cellIs" dxfId="25774" priority="25614" stopIfTrue="1" operator="equal">
      <formula>"Pass"</formula>
    </cfRule>
  </conditionalFormatting>
  <conditionalFormatting sqref="H781:H782">
    <cfRule type="cellIs" dxfId="25773" priority="25611" stopIfTrue="1" operator="equal">
      <formula>"Pass"</formula>
    </cfRule>
    <cfRule type="cellIs" dxfId="25772" priority="25612" stopIfTrue="1" operator="equal">
      <formula>"Fail"</formula>
    </cfRule>
  </conditionalFormatting>
  <conditionalFormatting sqref="E781:F781 E783:F783 I781:M782 A781:A789">
    <cfRule type="cellIs" dxfId="25771" priority="25609" stopIfTrue="1" operator="equal">
      <formula>"Pass"</formula>
    </cfRule>
    <cfRule type="cellIs" dxfId="25770" priority="25610" stopIfTrue="1" operator="equal">
      <formula>"Fail"</formula>
    </cfRule>
  </conditionalFormatting>
  <conditionalFormatting sqref="T783 T781 R781:R783 S782:S783">
    <cfRule type="cellIs" dxfId="25769" priority="25607" stopIfTrue="1" operator="equal">
      <formula>"Fail"</formula>
    </cfRule>
    <cfRule type="cellIs" dxfId="25768" priority="25608" stopIfTrue="1" operator="equal">
      <formula>"Pass"</formula>
    </cfRule>
  </conditionalFormatting>
  <conditionalFormatting sqref="F781:G781 F783:G783 A781:B783 J781:N782 A784:A789">
    <cfRule type="cellIs" dxfId="25767" priority="25605" stopIfTrue="1" operator="equal">
      <formula>"Pass"</formula>
    </cfRule>
    <cfRule type="cellIs" dxfId="25766" priority="25606" stopIfTrue="1" operator="equal">
      <formula>"Fail"</formula>
    </cfRule>
  </conditionalFormatting>
  <conditionalFormatting sqref="U783 U781 T781:T783 S782:S783">
    <cfRule type="cellIs" dxfId="25765" priority="25603" stopIfTrue="1" operator="equal">
      <formula>"Fail"</formula>
    </cfRule>
    <cfRule type="cellIs" dxfId="25764" priority="25604" stopIfTrue="1" operator="equal">
      <formula>"Pass"</formula>
    </cfRule>
  </conditionalFormatting>
  <conditionalFormatting sqref="A781:A789">
    <cfRule type="cellIs" dxfId="25763" priority="25601" stopIfTrue="1" operator="equal">
      <formula>"Pass"</formula>
    </cfRule>
    <cfRule type="cellIs" dxfId="25762" priority="25602" stopIfTrue="1" operator="equal">
      <formula>"Fail"</formula>
    </cfRule>
  </conditionalFormatting>
  <conditionalFormatting sqref="A781:A789">
    <cfRule type="cellIs" dxfId="25761" priority="25599" stopIfTrue="1" operator="equal">
      <formula>"Pass"</formula>
    </cfRule>
    <cfRule type="cellIs" dxfId="25760" priority="25600" stopIfTrue="1" operator="equal">
      <formula>"Fail"</formula>
    </cfRule>
  </conditionalFormatting>
  <conditionalFormatting sqref="A781:A789">
    <cfRule type="cellIs" dxfId="25759" priority="25597" stopIfTrue="1" operator="equal">
      <formula>"Pass"</formula>
    </cfRule>
    <cfRule type="cellIs" dxfId="25758" priority="25598" stopIfTrue="1" operator="equal">
      <formula>"Fail"</formula>
    </cfRule>
  </conditionalFormatting>
  <conditionalFormatting sqref="J781:N782 E781:G783">
    <cfRule type="cellIs" dxfId="25757" priority="25595" stopIfTrue="1" operator="equal">
      <formula>"Pass"</formula>
    </cfRule>
    <cfRule type="cellIs" dxfId="25756" priority="25596" stopIfTrue="1" operator="equal">
      <formula>"Fail"</formula>
    </cfRule>
  </conditionalFormatting>
  <conditionalFormatting sqref="A783 C783 K781:O782 F781:H783 A786 A789">
    <cfRule type="cellIs" dxfId="25755" priority="25593" stopIfTrue="1" operator="equal">
      <formula>"Pass"</formula>
    </cfRule>
    <cfRule type="cellIs" dxfId="25754" priority="25594" stopIfTrue="1" operator="equal">
      <formula>"Fail"</formula>
    </cfRule>
  </conditionalFormatting>
  <conditionalFormatting sqref="T781">
    <cfRule type="cellIs" dxfId="25753" priority="25591" stopIfTrue="1" operator="equal">
      <formula>"Fail"</formula>
    </cfRule>
    <cfRule type="cellIs" dxfId="25752" priority="25592" stopIfTrue="1" operator="equal">
      <formula>"Pass"</formula>
    </cfRule>
  </conditionalFormatting>
  <conditionalFormatting sqref="A781:A789">
    <cfRule type="cellIs" dxfId="25751" priority="25589" stopIfTrue="1" operator="equal">
      <formula>"Pass"</formula>
    </cfRule>
    <cfRule type="cellIs" dxfId="25750" priority="25590" stopIfTrue="1" operator="equal">
      <formula>"Fail"</formula>
    </cfRule>
  </conditionalFormatting>
  <conditionalFormatting sqref="A784">
    <cfRule type="cellIs" dxfId="25749" priority="25587" stopIfTrue="1" operator="equal">
      <formula>"Pass"</formula>
    </cfRule>
    <cfRule type="cellIs" dxfId="25748" priority="25588" stopIfTrue="1" operator="equal">
      <formula>"Fail"</formula>
    </cfRule>
  </conditionalFormatting>
  <conditionalFormatting sqref="A784">
    <cfRule type="cellIs" dxfId="25747" priority="25585" stopIfTrue="1" operator="equal">
      <formula>"Pass"</formula>
    </cfRule>
    <cfRule type="cellIs" dxfId="25746" priority="25586" stopIfTrue="1" operator="equal">
      <formula>"Fail"</formula>
    </cfRule>
  </conditionalFormatting>
  <conditionalFormatting sqref="A784">
    <cfRule type="cellIs" dxfId="25745" priority="25583" stopIfTrue="1" operator="equal">
      <formula>"Pass"</formula>
    </cfRule>
    <cfRule type="cellIs" dxfId="25744" priority="25584" stopIfTrue="1" operator="equal">
      <formula>"Fail"</formula>
    </cfRule>
  </conditionalFormatting>
  <conditionalFormatting sqref="A784">
    <cfRule type="cellIs" dxfId="25743" priority="25581" stopIfTrue="1" operator="equal">
      <formula>"Pass"</formula>
    </cfRule>
    <cfRule type="cellIs" dxfId="25742" priority="25582" stopIfTrue="1" operator="equal">
      <formula>"Fail"</formula>
    </cfRule>
  </conditionalFormatting>
  <conditionalFormatting sqref="A784">
    <cfRule type="cellIs" dxfId="25741" priority="25579" stopIfTrue="1" operator="equal">
      <formula>"Pass"</formula>
    </cfRule>
    <cfRule type="cellIs" dxfId="25740" priority="25580" stopIfTrue="1" operator="equal">
      <formula>"Fail"</formula>
    </cfRule>
  </conditionalFormatting>
  <conditionalFormatting sqref="A784">
    <cfRule type="cellIs" dxfId="25739" priority="25577" stopIfTrue="1" operator="equal">
      <formula>"Pass"</formula>
    </cfRule>
    <cfRule type="cellIs" dxfId="25738" priority="25578" stopIfTrue="1" operator="equal">
      <formula>"Fail"</formula>
    </cfRule>
  </conditionalFormatting>
  <conditionalFormatting sqref="A784">
    <cfRule type="cellIs" dxfId="25737" priority="25575" stopIfTrue="1" operator="equal">
      <formula>"Pass"</formula>
    </cfRule>
    <cfRule type="cellIs" dxfId="25736" priority="25576" stopIfTrue="1" operator="equal">
      <formula>"Fail"</formula>
    </cfRule>
  </conditionalFormatting>
  <conditionalFormatting sqref="A784">
    <cfRule type="cellIs" dxfId="25735" priority="25573" stopIfTrue="1" operator="equal">
      <formula>"Pass"</formula>
    </cfRule>
    <cfRule type="cellIs" dxfId="25734" priority="25574" stopIfTrue="1" operator="equal">
      <formula>"Fail"</formula>
    </cfRule>
  </conditionalFormatting>
  <conditionalFormatting sqref="A784">
    <cfRule type="cellIs" dxfId="25733" priority="25571" stopIfTrue="1" operator="equal">
      <formula>"Pass"</formula>
    </cfRule>
    <cfRule type="cellIs" dxfId="25732" priority="25572" stopIfTrue="1" operator="equal">
      <formula>"Fail"</formula>
    </cfRule>
  </conditionalFormatting>
  <conditionalFormatting sqref="A784">
    <cfRule type="cellIs" dxfId="25731" priority="25569" stopIfTrue="1" operator="equal">
      <formula>"Pass"</formula>
    </cfRule>
    <cfRule type="cellIs" dxfId="25730" priority="25570" stopIfTrue="1" operator="equal">
      <formula>"Fail"</formula>
    </cfRule>
  </conditionalFormatting>
  <conditionalFormatting sqref="A784">
    <cfRule type="cellIs" dxfId="25729" priority="25567" stopIfTrue="1" operator="equal">
      <formula>"Pass"</formula>
    </cfRule>
    <cfRule type="cellIs" dxfId="25728" priority="25568" stopIfTrue="1" operator="equal">
      <formula>"Fail"</formula>
    </cfRule>
  </conditionalFormatting>
  <conditionalFormatting sqref="A784">
    <cfRule type="cellIs" dxfId="25727" priority="25565" stopIfTrue="1" operator="equal">
      <formula>"Pass"</formula>
    </cfRule>
    <cfRule type="cellIs" dxfId="25726" priority="25566" stopIfTrue="1" operator="equal">
      <formula>"Fail"</formula>
    </cfRule>
  </conditionalFormatting>
  <conditionalFormatting sqref="J784:J785">
    <cfRule type="cellIs" dxfId="25725" priority="25563" stopIfTrue="1" operator="equal">
      <formula>"Pass"</formula>
    </cfRule>
    <cfRule type="cellIs" dxfId="25724" priority="25564" stopIfTrue="1" operator="equal">
      <formula>"Fail"</formula>
    </cfRule>
  </conditionalFormatting>
  <conditionalFormatting sqref="H784:H785 I785">
    <cfRule type="cellIs" dxfId="25723" priority="25561" stopIfTrue="1" operator="equal">
      <formula>"Pass"</formula>
    </cfRule>
    <cfRule type="cellIs" dxfId="25722" priority="25562" stopIfTrue="1" operator="equal">
      <formula>"Fail"</formula>
    </cfRule>
  </conditionalFormatting>
  <conditionalFormatting sqref="A784 C784 F786 F784:G784 K784:N785">
    <cfRule type="cellIs" dxfId="25721" priority="25559" stopIfTrue="1" operator="equal">
      <formula>"Pass"</formula>
    </cfRule>
    <cfRule type="cellIs" dxfId="25720" priority="25560" stopIfTrue="1" operator="equal">
      <formula>"Fail"</formula>
    </cfRule>
  </conditionalFormatting>
  <conditionalFormatting sqref="T784:T786 U785:U786">
    <cfRule type="cellIs" dxfId="25719" priority="25557" stopIfTrue="1" operator="equal">
      <formula>"Fail"</formula>
    </cfRule>
    <cfRule type="cellIs" dxfId="25718" priority="25558" stopIfTrue="1" operator="equal">
      <formula>"Pass"</formula>
    </cfRule>
  </conditionalFormatting>
  <conditionalFormatting sqref="A784">
    <cfRule type="cellIs" dxfId="25717" priority="25555" stopIfTrue="1" operator="equal">
      <formula>"Pass"</formula>
    </cfRule>
    <cfRule type="cellIs" dxfId="25716" priority="25556" stopIfTrue="1" operator="equal">
      <formula>"Fail"</formula>
    </cfRule>
  </conditionalFormatting>
  <conditionalFormatting sqref="A784">
    <cfRule type="cellIs" dxfId="25715" priority="25553" stopIfTrue="1" operator="equal">
      <formula>"Pass"</formula>
    </cfRule>
    <cfRule type="cellIs" dxfId="25714" priority="25554" stopIfTrue="1" operator="equal">
      <formula>"Fail"</formula>
    </cfRule>
  </conditionalFormatting>
  <conditionalFormatting sqref="A784">
    <cfRule type="cellIs" dxfId="25713" priority="25551" stopIfTrue="1" operator="equal">
      <formula>"Pass"</formula>
    </cfRule>
    <cfRule type="cellIs" dxfId="25712" priority="25552" stopIfTrue="1" operator="equal">
      <formula>"Fail"</formula>
    </cfRule>
  </conditionalFormatting>
  <conditionalFormatting sqref="A784">
    <cfRule type="cellIs" dxfId="25711" priority="25549" stopIfTrue="1" operator="equal">
      <formula>"Pass"</formula>
    </cfRule>
    <cfRule type="cellIs" dxfId="25710" priority="25550" stopIfTrue="1" operator="equal">
      <formula>"Fail"</formula>
    </cfRule>
  </conditionalFormatting>
  <conditionalFormatting sqref="A784">
    <cfRule type="cellIs" dxfId="25709" priority="25547" stopIfTrue="1" operator="equal">
      <formula>"Pass"</formula>
    </cfRule>
    <cfRule type="cellIs" dxfId="25708" priority="25548" stopIfTrue="1" operator="equal">
      <formula>"Fail"</formula>
    </cfRule>
  </conditionalFormatting>
  <conditionalFormatting sqref="A784">
    <cfRule type="cellIs" dxfId="25707" priority="25545" stopIfTrue="1" operator="equal">
      <formula>"Pass"</formula>
    </cfRule>
    <cfRule type="cellIs" dxfId="25706" priority="25546" stopIfTrue="1" operator="equal">
      <formula>"Fail"</formula>
    </cfRule>
  </conditionalFormatting>
  <conditionalFormatting sqref="A784">
    <cfRule type="cellIs" dxfId="25705" priority="25543" stopIfTrue="1" operator="equal">
      <formula>"Pass"</formula>
    </cfRule>
    <cfRule type="cellIs" dxfId="25704" priority="25544" stopIfTrue="1" operator="equal">
      <formula>"Fail"</formula>
    </cfRule>
  </conditionalFormatting>
  <conditionalFormatting sqref="A784">
    <cfRule type="cellIs" dxfId="25703" priority="25541" stopIfTrue="1" operator="equal">
      <formula>"Pass"</formula>
    </cfRule>
    <cfRule type="cellIs" dxfId="25702" priority="25542" stopIfTrue="1" operator="equal">
      <formula>"Fail"</formula>
    </cfRule>
  </conditionalFormatting>
  <conditionalFormatting sqref="A784">
    <cfRule type="cellIs" dxfId="25701" priority="25539" stopIfTrue="1" operator="equal">
      <formula>"Pass"</formula>
    </cfRule>
    <cfRule type="cellIs" dxfId="25700" priority="25540" stopIfTrue="1" operator="equal">
      <formula>"Fail"</formula>
    </cfRule>
  </conditionalFormatting>
  <conditionalFormatting sqref="A784">
    <cfRule type="cellIs" dxfId="25699" priority="25537" stopIfTrue="1" operator="equal">
      <formula>"Pass"</formula>
    </cfRule>
    <cfRule type="cellIs" dxfId="25698" priority="25538" stopIfTrue="1" operator="equal">
      <formula>"Fail"</formula>
    </cfRule>
  </conditionalFormatting>
  <conditionalFormatting sqref="A784">
    <cfRule type="cellIs" dxfId="25697" priority="25535" stopIfTrue="1" operator="equal">
      <formula>"Pass"</formula>
    </cfRule>
    <cfRule type="cellIs" dxfId="25696" priority="25536" stopIfTrue="1" operator="equal">
      <formula>"Fail"</formula>
    </cfRule>
  </conditionalFormatting>
  <conditionalFormatting sqref="A784">
    <cfRule type="cellIs" dxfId="25695" priority="25533" stopIfTrue="1" operator="equal">
      <formula>"Pass"</formula>
    </cfRule>
    <cfRule type="cellIs" dxfId="25694" priority="25534" stopIfTrue="1" operator="equal">
      <formula>"Fail"</formula>
    </cfRule>
  </conditionalFormatting>
  <conditionalFormatting sqref="A784">
    <cfRule type="cellIs" dxfId="25693" priority="25531" stopIfTrue="1" operator="equal">
      <formula>"Pass"</formula>
    </cfRule>
    <cfRule type="cellIs" dxfId="25692" priority="25532" stopIfTrue="1" operator="equal">
      <formula>"Fail"</formula>
    </cfRule>
  </conditionalFormatting>
  <conditionalFormatting sqref="A784">
    <cfRule type="cellIs" dxfId="25691" priority="25529" stopIfTrue="1" operator="equal">
      <formula>"Pass"</formula>
    </cfRule>
    <cfRule type="cellIs" dxfId="25690" priority="25530" stopIfTrue="1" operator="equal">
      <formula>"Fail"</formula>
    </cfRule>
  </conditionalFormatting>
  <conditionalFormatting sqref="A784">
    <cfRule type="cellIs" dxfId="25689" priority="25527" stopIfTrue="1" operator="equal">
      <formula>"Pass"</formula>
    </cfRule>
    <cfRule type="cellIs" dxfId="25688" priority="25528" stopIfTrue="1" operator="equal">
      <formula>"Fail"</formula>
    </cfRule>
  </conditionalFormatting>
  <conditionalFormatting sqref="A784">
    <cfRule type="cellIs" dxfId="25687" priority="25525" stopIfTrue="1" operator="equal">
      <formula>"Pass"</formula>
    </cfRule>
    <cfRule type="cellIs" dxfId="25686" priority="25526" stopIfTrue="1" operator="equal">
      <formula>"Fail"</formula>
    </cfRule>
  </conditionalFormatting>
  <conditionalFormatting sqref="U784">
    <cfRule type="cellIs" dxfId="25685" priority="25523" stopIfTrue="1" operator="equal">
      <formula>"Fail"</formula>
    </cfRule>
    <cfRule type="cellIs" dxfId="25684" priority="25524" stopIfTrue="1" operator="equal">
      <formula>"Pass"</formula>
    </cfRule>
  </conditionalFormatting>
  <conditionalFormatting sqref="U784">
    <cfRule type="cellIs" dxfId="25683" priority="25521" stopIfTrue="1" operator="equal">
      <formula>"Fail"</formula>
    </cfRule>
    <cfRule type="cellIs" dxfId="25682" priority="25522" stopIfTrue="1" operator="equal">
      <formula>"Pass"</formula>
    </cfRule>
  </conditionalFormatting>
  <conditionalFormatting sqref="J784:J785">
    <cfRule type="cellIs" dxfId="25681" priority="25519" stopIfTrue="1" operator="equal">
      <formula>"Pass"</formula>
    </cfRule>
    <cfRule type="cellIs" dxfId="25680" priority="25520" stopIfTrue="1" operator="equal">
      <formula>"Fail"</formula>
    </cfRule>
  </conditionalFormatting>
  <conditionalFormatting sqref="H784:H785 I785">
    <cfRule type="cellIs" dxfId="25679" priority="25517" stopIfTrue="1" operator="equal">
      <formula>"Pass"</formula>
    </cfRule>
    <cfRule type="cellIs" dxfId="25678" priority="25518" stopIfTrue="1" operator="equal">
      <formula>"Fail"</formula>
    </cfRule>
  </conditionalFormatting>
  <conditionalFormatting sqref="F786 F784:G784 K784:N785">
    <cfRule type="cellIs" dxfId="25677" priority="25515" stopIfTrue="1" operator="equal">
      <formula>"Pass"</formula>
    </cfRule>
    <cfRule type="cellIs" dxfId="25676" priority="25516" stopIfTrue="1" operator="equal">
      <formula>"Fail"</formula>
    </cfRule>
  </conditionalFormatting>
  <conditionalFormatting sqref="T784:T786 U785:U786">
    <cfRule type="cellIs" dxfId="25675" priority="25513" stopIfTrue="1" operator="equal">
      <formula>"Fail"</formula>
    </cfRule>
    <cfRule type="cellIs" dxfId="25674" priority="25514" stopIfTrue="1" operator="equal">
      <formula>"Pass"</formula>
    </cfRule>
  </conditionalFormatting>
  <conditionalFormatting sqref="U784">
    <cfRule type="cellIs" dxfId="25673" priority="25511" stopIfTrue="1" operator="equal">
      <formula>"Fail"</formula>
    </cfRule>
    <cfRule type="cellIs" dxfId="25672" priority="25512" stopIfTrue="1" operator="equal">
      <formula>"Pass"</formula>
    </cfRule>
  </conditionalFormatting>
  <conditionalFormatting sqref="U784">
    <cfRule type="cellIs" dxfId="25671" priority="25509" stopIfTrue="1" operator="equal">
      <formula>"Fail"</formula>
    </cfRule>
    <cfRule type="cellIs" dxfId="25670" priority="25510" stopIfTrue="1" operator="equal">
      <formula>"Pass"</formula>
    </cfRule>
  </conditionalFormatting>
  <conditionalFormatting sqref="F784:G784 K784:N784">
    <cfRule type="cellIs" dxfId="25669" priority="25507" stopIfTrue="1" operator="equal">
      <formula>"Pass"</formula>
    </cfRule>
    <cfRule type="cellIs" dxfId="25668" priority="25508" stopIfTrue="1" operator="equal">
      <formula>"Fail"</formula>
    </cfRule>
  </conditionalFormatting>
  <conditionalFormatting sqref="K785:N785">
    <cfRule type="cellIs" dxfId="25667" priority="25505" stopIfTrue="1" operator="equal">
      <formula>"Pass"</formula>
    </cfRule>
    <cfRule type="cellIs" dxfId="25666" priority="25506" stopIfTrue="1" operator="equal">
      <formula>"Fail"</formula>
    </cfRule>
  </conditionalFormatting>
  <conditionalFormatting sqref="U784">
    <cfRule type="cellIs" dxfId="25665" priority="25503" stopIfTrue="1" operator="equal">
      <formula>"Fail"</formula>
    </cfRule>
    <cfRule type="cellIs" dxfId="25664" priority="25504" stopIfTrue="1" operator="equal">
      <formula>"Pass"</formula>
    </cfRule>
  </conditionalFormatting>
  <conditionalFormatting sqref="H787:H788">
    <cfRule type="cellIs" dxfId="25663" priority="25501" stopIfTrue="1" operator="equal">
      <formula>"Pass"</formula>
    </cfRule>
    <cfRule type="cellIs" dxfId="25662" priority="25502" stopIfTrue="1" operator="equal">
      <formula>"Fail"</formula>
    </cfRule>
  </conditionalFormatting>
  <conditionalFormatting sqref="E787:F787 I787:M788 E789:F789 A787">
    <cfRule type="cellIs" dxfId="25661" priority="25499" stopIfTrue="1" operator="equal">
      <formula>"Pass"</formula>
    </cfRule>
    <cfRule type="cellIs" dxfId="25660" priority="25500" stopIfTrue="1" operator="equal">
      <formula>"Fail"</formula>
    </cfRule>
  </conditionalFormatting>
  <conditionalFormatting sqref="T789 T787 R787:R789 S788:S789">
    <cfRule type="cellIs" dxfId="25659" priority="25497" stopIfTrue="1" operator="equal">
      <formula>"Fail"</formula>
    </cfRule>
    <cfRule type="cellIs" dxfId="25658" priority="25498" stopIfTrue="1" operator="equal">
      <formula>"Pass"</formula>
    </cfRule>
  </conditionalFormatting>
  <conditionalFormatting sqref="F787:G787 J787:N788 F789:G789 B787:B789 A787">
    <cfRule type="cellIs" dxfId="25657" priority="25495" stopIfTrue="1" operator="equal">
      <formula>"Pass"</formula>
    </cfRule>
    <cfRule type="cellIs" dxfId="25656" priority="25496" stopIfTrue="1" operator="equal">
      <formula>"Fail"</formula>
    </cfRule>
  </conditionalFormatting>
  <conditionalFormatting sqref="U789 T787:T789 S788:S789">
    <cfRule type="cellIs" dxfId="25655" priority="25493" stopIfTrue="1" operator="equal">
      <formula>"Fail"</formula>
    </cfRule>
    <cfRule type="cellIs" dxfId="25654" priority="25494" stopIfTrue="1" operator="equal">
      <formula>"Pass"</formula>
    </cfRule>
  </conditionalFormatting>
  <conditionalFormatting sqref="A787">
    <cfRule type="cellIs" dxfId="25653" priority="25491" stopIfTrue="1" operator="equal">
      <formula>"Pass"</formula>
    </cfRule>
    <cfRule type="cellIs" dxfId="25652" priority="25492" stopIfTrue="1" operator="equal">
      <formula>"Fail"</formula>
    </cfRule>
  </conditionalFormatting>
  <conditionalFormatting sqref="A787">
    <cfRule type="cellIs" dxfId="25651" priority="25489" stopIfTrue="1" operator="equal">
      <formula>"Pass"</formula>
    </cfRule>
    <cfRule type="cellIs" dxfId="25650" priority="25490" stopIfTrue="1" operator="equal">
      <formula>"Fail"</formula>
    </cfRule>
  </conditionalFormatting>
  <conditionalFormatting sqref="A787">
    <cfRule type="cellIs" dxfId="25649" priority="25487" stopIfTrue="1" operator="equal">
      <formula>"Pass"</formula>
    </cfRule>
    <cfRule type="cellIs" dxfId="25648" priority="25488" stopIfTrue="1" operator="equal">
      <formula>"Fail"</formula>
    </cfRule>
  </conditionalFormatting>
  <conditionalFormatting sqref="A787">
    <cfRule type="cellIs" dxfId="25647" priority="25485" stopIfTrue="1" operator="equal">
      <formula>"Pass"</formula>
    </cfRule>
    <cfRule type="cellIs" dxfId="25646" priority="25486" stopIfTrue="1" operator="equal">
      <formula>"Fail"</formula>
    </cfRule>
  </conditionalFormatting>
  <conditionalFormatting sqref="A787">
    <cfRule type="cellIs" dxfId="25645" priority="25483" stopIfTrue="1" operator="equal">
      <formula>"Pass"</formula>
    </cfRule>
    <cfRule type="cellIs" dxfId="25644" priority="25484" stopIfTrue="1" operator="equal">
      <formula>"Fail"</formula>
    </cfRule>
  </conditionalFormatting>
  <conditionalFormatting sqref="A787">
    <cfRule type="cellIs" dxfId="25643" priority="25481" stopIfTrue="1" operator="equal">
      <formula>"Pass"</formula>
    </cfRule>
    <cfRule type="cellIs" dxfId="25642" priority="25482" stopIfTrue="1" operator="equal">
      <formula>"Fail"</formula>
    </cfRule>
  </conditionalFormatting>
  <conditionalFormatting sqref="A787">
    <cfRule type="cellIs" dxfId="25641" priority="25479" stopIfTrue="1" operator="equal">
      <formula>"Pass"</formula>
    </cfRule>
    <cfRule type="cellIs" dxfId="25640" priority="25480" stopIfTrue="1" operator="equal">
      <formula>"Fail"</formula>
    </cfRule>
  </conditionalFormatting>
  <conditionalFormatting sqref="A787">
    <cfRule type="cellIs" dxfId="25639" priority="25477" stopIfTrue="1" operator="equal">
      <formula>"Pass"</formula>
    </cfRule>
    <cfRule type="cellIs" dxfId="25638" priority="25478" stopIfTrue="1" operator="equal">
      <formula>"Fail"</formula>
    </cfRule>
  </conditionalFormatting>
  <conditionalFormatting sqref="A787">
    <cfRule type="cellIs" dxfId="25637" priority="25475" stopIfTrue="1" operator="equal">
      <formula>"Pass"</formula>
    </cfRule>
    <cfRule type="cellIs" dxfId="25636" priority="25476" stopIfTrue="1" operator="equal">
      <formula>"Fail"</formula>
    </cfRule>
  </conditionalFormatting>
  <conditionalFormatting sqref="A787">
    <cfRule type="cellIs" dxfId="25635" priority="25473" stopIfTrue="1" operator="equal">
      <formula>"Pass"</formula>
    </cfRule>
    <cfRule type="cellIs" dxfId="25634" priority="25474" stopIfTrue="1" operator="equal">
      <formula>"Fail"</formula>
    </cfRule>
  </conditionalFormatting>
  <conditionalFormatting sqref="U787">
    <cfRule type="cellIs" dxfId="25633" priority="25471" stopIfTrue="1" operator="equal">
      <formula>"Fail"</formula>
    </cfRule>
    <cfRule type="cellIs" dxfId="25632" priority="25472" stopIfTrue="1" operator="equal">
      <formula>"Pass"</formula>
    </cfRule>
  </conditionalFormatting>
  <conditionalFormatting sqref="F787:G787 J787:N787">
    <cfRule type="cellIs" dxfId="25631" priority="25469" stopIfTrue="1" operator="equal">
      <formula>"Pass"</formula>
    </cfRule>
    <cfRule type="cellIs" dxfId="25630" priority="25470" stopIfTrue="1" operator="equal">
      <formula>"Fail"</formula>
    </cfRule>
  </conditionalFormatting>
  <conditionalFormatting sqref="J788:N788">
    <cfRule type="cellIs" dxfId="25629" priority="25467" stopIfTrue="1" operator="equal">
      <formula>"Pass"</formula>
    </cfRule>
    <cfRule type="cellIs" dxfId="25628" priority="25468" stopIfTrue="1" operator="equal">
      <formula>"Fail"</formula>
    </cfRule>
  </conditionalFormatting>
  <conditionalFormatting sqref="A781:A789">
    <cfRule type="cellIs" dxfId="25627" priority="25465" stopIfTrue="1" operator="equal">
      <formula>"Pass"</formula>
    </cfRule>
    <cfRule type="cellIs" dxfId="25626" priority="25466" stopIfTrue="1" operator="equal">
      <formula>"Fail"</formula>
    </cfRule>
  </conditionalFormatting>
  <conditionalFormatting sqref="A781:A789">
    <cfRule type="cellIs" dxfId="25625" priority="25463" stopIfTrue="1" operator="equal">
      <formula>"Pass"</formula>
    </cfRule>
    <cfRule type="cellIs" dxfId="25624" priority="25464" stopIfTrue="1" operator="equal">
      <formula>"Fail"</formula>
    </cfRule>
  </conditionalFormatting>
  <conditionalFormatting sqref="A781:A789">
    <cfRule type="cellIs" dxfId="25623" priority="25461" stopIfTrue="1" operator="equal">
      <formula>"Pass"</formula>
    </cfRule>
    <cfRule type="cellIs" dxfId="25622" priority="25462" stopIfTrue="1" operator="equal">
      <formula>"Fail"</formula>
    </cfRule>
  </conditionalFormatting>
  <conditionalFormatting sqref="A781:A789">
    <cfRule type="cellIs" dxfId="25621" priority="25459" stopIfTrue="1" operator="equal">
      <formula>"Pass"</formula>
    </cfRule>
    <cfRule type="cellIs" dxfId="25620" priority="25460" stopIfTrue="1" operator="equal">
      <formula>"Fail"</formula>
    </cfRule>
  </conditionalFormatting>
  <conditionalFormatting sqref="A781:A789">
    <cfRule type="cellIs" dxfId="25619" priority="25457" stopIfTrue="1" operator="equal">
      <formula>"Pass"</formula>
    </cfRule>
    <cfRule type="cellIs" dxfId="25618" priority="25458" stopIfTrue="1" operator="equal">
      <formula>"Fail"</formula>
    </cfRule>
  </conditionalFormatting>
  <conditionalFormatting sqref="A783 A786 A789">
    <cfRule type="cellIs" dxfId="25617" priority="25455" stopIfTrue="1" operator="equal">
      <formula>"Pass"</formula>
    </cfRule>
    <cfRule type="cellIs" dxfId="25616" priority="25456" stopIfTrue="1" operator="equal">
      <formula>"Fail"</formula>
    </cfRule>
  </conditionalFormatting>
  <conditionalFormatting sqref="A781:A789">
    <cfRule type="cellIs" dxfId="25615" priority="25453" stopIfTrue="1" operator="equal">
      <formula>"Pass"</formula>
    </cfRule>
    <cfRule type="cellIs" dxfId="25614" priority="25454" stopIfTrue="1" operator="equal">
      <formula>"Fail"</formula>
    </cfRule>
  </conditionalFormatting>
  <conditionalFormatting sqref="A781:A789">
    <cfRule type="cellIs" dxfId="25613" priority="25451" stopIfTrue="1" operator="equal">
      <formula>"Pass"</formula>
    </cfRule>
    <cfRule type="cellIs" dxfId="25612" priority="25452" stopIfTrue="1" operator="equal">
      <formula>"Fail"</formula>
    </cfRule>
  </conditionalFormatting>
  <conditionalFormatting sqref="A781:A789">
    <cfRule type="cellIs" dxfId="25611" priority="25449" stopIfTrue="1" operator="equal">
      <formula>"Pass"</formula>
    </cfRule>
    <cfRule type="cellIs" dxfId="25610" priority="25450" stopIfTrue="1" operator="equal">
      <formula>"Fail"</formula>
    </cfRule>
  </conditionalFormatting>
  <conditionalFormatting sqref="A781:A789">
    <cfRule type="cellIs" dxfId="25609" priority="25447" stopIfTrue="1" operator="equal">
      <formula>"Pass"</formula>
    </cfRule>
    <cfRule type="cellIs" dxfId="25608" priority="25448" stopIfTrue="1" operator="equal">
      <formula>"Fail"</formula>
    </cfRule>
  </conditionalFormatting>
  <conditionalFormatting sqref="A781:A789">
    <cfRule type="cellIs" dxfId="25607" priority="25445" stopIfTrue="1" operator="equal">
      <formula>"Pass"</formula>
    </cfRule>
    <cfRule type="cellIs" dxfId="25606" priority="25446" stopIfTrue="1" operator="equal">
      <formula>"Fail"</formula>
    </cfRule>
  </conditionalFormatting>
  <conditionalFormatting sqref="A781:A789">
    <cfRule type="cellIs" dxfId="25605" priority="25443" stopIfTrue="1" operator="equal">
      <formula>"Pass"</formula>
    </cfRule>
    <cfRule type="cellIs" dxfId="25604" priority="25444" stopIfTrue="1" operator="equal">
      <formula>"Fail"</formula>
    </cfRule>
  </conditionalFormatting>
  <conditionalFormatting sqref="A783 A786 A789">
    <cfRule type="cellIs" dxfId="25603" priority="25441" stopIfTrue="1" operator="equal">
      <formula>"Pass"</formula>
    </cfRule>
    <cfRule type="cellIs" dxfId="25602" priority="25442" stopIfTrue="1" operator="equal">
      <formula>"Fail"</formula>
    </cfRule>
  </conditionalFormatting>
  <conditionalFormatting sqref="A781:A789">
    <cfRule type="cellIs" dxfId="25601" priority="25439" stopIfTrue="1" operator="equal">
      <formula>"Pass"</formula>
    </cfRule>
    <cfRule type="cellIs" dxfId="25600" priority="25440" stopIfTrue="1" operator="equal">
      <formula>"Fail"</formula>
    </cfRule>
  </conditionalFormatting>
  <conditionalFormatting sqref="H781:H782">
    <cfRule type="cellIs" dxfId="25599" priority="25437" stopIfTrue="1" operator="equal">
      <formula>"Pass"</formula>
    </cfRule>
    <cfRule type="cellIs" dxfId="25598" priority="25438" stopIfTrue="1" operator="equal">
      <formula>"Fail"</formula>
    </cfRule>
  </conditionalFormatting>
  <conditionalFormatting sqref="F781 F783 I781:M782">
    <cfRule type="cellIs" dxfId="25597" priority="25435" stopIfTrue="1" operator="equal">
      <formula>"Pass"</formula>
    </cfRule>
    <cfRule type="cellIs" dxfId="25596" priority="25436" stopIfTrue="1" operator="equal">
      <formula>"Fail"</formula>
    </cfRule>
  </conditionalFormatting>
  <conditionalFormatting sqref="T783 T781 R781:R783 S782:S783">
    <cfRule type="cellIs" dxfId="25595" priority="25433" stopIfTrue="1" operator="equal">
      <formula>"Fail"</formula>
    </cfRule>
    <cfRule type="cellIs" dxfId="25594" priority="25434" stopIfTrue="1" operator="equal">
      <formula>"Pass"</formula>
    </cfRule>
  </conditionalFormatting>
  <conditionalFormatting sqref="F781:G781 F783:G783 J781:N782">
    <cfRule type="cellIs" dxfId="25593" priority="25431" stopIfTrue="1" operator="equal">
      <formula>"Pass"</formula>
    </cfRule>
    <cfRule type="cellIs" dxfId="25592" priority="25432" stopIfTrue="1" operator="equal">
      <formula>"Fail"</formula>
    </cfRule>
  </conditionalFormatting>
  <conditionalFormatting sqref="U783 U781 T781:T783 S782:S783">
    <cfRule type="cellIs" dxfId="25591" priority="25429" stopIfTrue="1" operator="equal">
      <formula>"Fail"</formula>
    </cfRule>
    <cfRule type="cellIs" dxfId="25590" priority="25430" stopIfTrue="1" operator="equal">
      <formula>"Pass"</formula>
    </cfRule>
  </conditionalFormatting>
  <conditionalFormatting sqref="J781:N782 F781:G783">
    <cfRule type="cellIs" dxfId="25589" priority="25427" stopIfTrue="1" operator="equal">
      <formula>"Pass"</formula>
    </cfRule>
    <cfRule type="cellIs" dxfId="25588" priority="25428" stopIfTrue="1" operator="equal">
      <formula>"Fail"</formula>
    </cfRule>
  </conditionalFormatting>
  <conditionalFormatting sqref="K781:O782 F781:H783">
    <cfRule type="cellIs" dxfId="25587" priority="25425" stopIfTrue="1" operator="equal">
      <formula>"Pass"</formula>
    </cfRule>
    <cfRule type="cellIs" dxfId="25586" priority="25426" stopIfTrue="1" operator="equal">
      <formula>"Fail"</formula>
    </cfRule>
  </conditionalFormatting>
  <conditionalFormatting sqref="T781">
    <cfRule type="cellIs" dxfId="25585" priority="25423" stopIfTrue="1" operator="equal">
      <formula>"Fail"</formula>
    </cfRule>
    <cfRule type="cellIs" dxfId="25584" priority="25424" stopIfTrue="1" operator="equal">
      <formula>"Pass"</formula>
    </cfRule>
  </conditionalFormatting>
  <conditionalFormatting sqref="J784:J785">
    <cfRule type="cellIs" dxfId="25583" priority="25421" stopIfTrue="1" operator="equal">
      <formula>"Pass"</formula>
    </cfRule>
    <cfRule type="cellIs" dxfId="25582" priority="25422" stopIfTrue="1" operator="equal">
      <formula>"Fail"</formula>
    </cfRule>
  </conditionalFormatting>
  <conditionalFormatting sqref="H784:H785 I785">
    <cfRule type="cellIs" dxfId="25581" priority="25419" stopIfTrue="1" operator="equal">
      <formula>"Pass"</formula>
    </cfRule>
    <cfRule type="cellIs" dxfId="25580" priority="25420" stopIfTrue="1" operator="equal">
      <formula>"Fail"</formula>
    </cfRule>
  </conditionalFormatting>
  <conditionalFormatting sqref="F786 F784:G784 K784:N785">
    <cfRule type="cellIs" dxfId="25579" priority="25417" stopIfTrue="1" operator="equal">
      <formula>"Pass"</formula>
    </cfRule>
    <cfRule type="cellIs" dxfId="25578" priority="25418" stopIfTrue="1" operator="equal">
      <formula>"Fail"</formula>
    </cfRule>
  </conditionalFormatting>
  <conditionalFormatting sqref="T784:T786 U785:U786">
    <cfRule type="cellIs" dxfId="25577" priority="25415" stopIfTrue="1" operator="equal">
      <formula>"Fail"</formula>
    </cfRule>
    <cfRule type="cellIs" dxfId="25576" priority="25416" stopIfTrue="1" operator="equal">
      <formula>"Pass"</formula>
    </cfRule>
  </conditionalFormatting>
  <conditionalFormatting sqref="U784">
    <cfRule type="cellIs" dxfId="25575" priority="25413" stopIfTrue="1" operator="equal">
      <formula>"Fail"</formula>
    </cfRule>
    <cfRule type="cellIs" dxfId="25574" priority="25414" stopIfTrue="1" operator="equal">
      <formula>"Pass"</formula>
    </cfRule>
  </conditionalFormatting>
  <conditionalFormatting sqref="U784">
    <cfRule type="cellIs" dxfId="25573" priority="25411" stopIfTrue="1" operator="equal">
      <formula>"Fail"</formula>
    </cfRule>
    <cfRule type="cellIs" dxfId="25572" priority="25412" stopIfTrue="1" operator="equal">
      <formula>"Pass"</formula>
    </cfRule>
  </conditionalFormatting>
  <conditionalFormatting sqref="J784:J785">
    <cfRule type="cellIs" dxfId="25571" priority="25409" stopIfTrue="1" operator="equal">
      <formula>"Pass"</formula>
    </cfRule>
    <cfRule type="cellIs" dxfId="25570" priority="25410" stopIfTrue="1" operator="equal">
      <formula>"Fail"</formula>
    </cfRule>
  </conditionalFormatting>
  <conditionalFormatting sqref="H784:H785 I785">
    <cfRule type="cellIs" dxfId="25569" priority="25407" stopIfTrue="1" operator="equal">
      <formula>"Pass"</formula>
    </cfRule>
    <cfRule type="cellIs" dxfId="25568" priority="25408" stopIfTrue="1" operator="equal">
      <formula>"Fail"</formula>
    </cfRule>
  </conditionalFormatting>
  <conditionalFormatting sqref="F786 F784:G784 K784:N785">
    <cfRule type="cellIs" dxfId="25567" priority="25405" stopIfTrue="1" operator="equal">
      <formula>"Pass"</formula>
    </cfRule>
    <cfRule type="cellIs" dxfId="25566" priority="25406" stopIfTrue="1" operator="equal">
      <formula>"Fail"</formula>
    </cfRule>
  </conditionalFormatting>
  <conditionalFormatting sqref="T784:T786 U785:U786">
    <cfRule type="cellIs" dxfId="25565" priority="25403" stopIfTrue="1" operator="equal">
      <formula>"Fail"</formula>
    </cfRule>
    <cfRule type="cellIs" dxfId="25564" priority="25404" stopIfTrue="1" operator="equal">
      <formula>"Pass"</formula>
    </cfRule>
  </conditionalFormatting>
  <conditionalFormatting sqref="U784">
    <cfRule type="cellIs" dxfId="25563" priority="25401" stopIfTrue="1" operator="equal">
      <formula>"Fail"</formula>
    </cfRule>
    <cfRule type="cellIs" dxfId="25562" priority="25402" stopIfTrue="1" operator="equal">
      <formula>"Pass"</formula>
    </cfRule>
  </conditionalFormatting>
  <conditionalFormatting sqref="U784">
    <cfRule type="cellIs" dxfId="25561" priority="25399" stopIfTrue="1" operator="equal">
      <formula>"Fail"</formula>
    </cfRule>
    <cfRule type="cellIs" dxfId="25560" priority="25400" stopIfTrue="1" operator="equal">
      <formula>"Pass"</formula>
    </cfRule>
  </conditionalFormatting>
  <conditionalFormatting sqref="F784:G784 K784:N784">
    <cfRule type="cellIs" dxfId="25559" priority="25397" stopIfTrue="1" operator="equal">
      <formula>"Pass"</formula>
    </cfRule>
    <cfRule type="cellIs" dxfId="25558" priority="25398" stopIfTrue="1" operator="equal">
      <formula>"Fail"</formula>
    </cfRule>
  </conditionalFormatting>
  <conditionalFormatting sqref="K785:N785">
    <cfRule type="cellIs" dxfId="25557" priority="25395" stopIfTrue="1" operator="equal">
      <formula>"Pass"</formula>
    </cfRule>
    <cfRule type="cellIs" dxfId="25556" priority="25396" stopIfTrue="1" operator="equal">
      <formula>"Fail"</formula>
    </cfRule>
  </conditionalFormatting>
  <conditionalFormatting sqref="U784">
    <cfRule type="cellIs" dxfId="25555" priority="25393" stopIfTrue="1" operator="equal">
      <formula>"Fail"</formula>
    </cfRule>
    <cfRule type="cellIs" dxfId="25554" priority="25394" stopIfTrue="1" operator="equal">
      <formula>"Pass"</formula>
    </cfRule>
  </conditionalFormatting>
  <conditionalFormatting sqref="H787:H788">
    <cfRule type="cellIs" dxfId="25553" priority="25391" stopIfTrue="1" operator="equal">
      <formula>"Pass"</formula>
    </cfRule>
    <cfRule type="cellIs" dxfId="25552" priority="25392" stopIfTrue="1" operator="equal">
      <formula>"Fail"</formula>
    </cfRule>
  </conditionalFormatting>
  <conditionalFormatting sqref="F787 I787:M788 F789">
    <cfRule type="cellIs" dxfId="25551" priority="25389" stopIfTrue="1" operator="equal">
      <formula>"Pass"</formula>
    </cfRule>
    <cfRule type="cellIs" dxfId="25550" priority="25390" stopIfTrue="1" operator="equal">
      <formula>"Fail"</formula>
    </cfRule>
  </conditionalFormatting>
  <conditionalFormatting sqref="T789 T787 R787:R789 S788:S789">
    <cfRule type="cellIs" dxfId="25549" priority="25387" stopIfTrue="1" operator="equal">
      <formula>"Fail"</formula>
    </cfRule>
    <cfRule type="cellIs" dxfId="25548" priority="25388" stopIfTrue="1" operator="equal">
      <formula>"Pass"</formula>
    </cfRule>
  </conditionalFormatting>
  <conditionalFormatting sqref="F787:G787 J787:N788 F789:G789">
    <cfRule type="cellIs" dxfId="25547" priority="25385" stopIfTrue="1" operator="equal">
      <formula>"Pass"</formula>
    </cfRule>
    <cfRule type="cellIs" dxfId="25546" priority="25386" stopIfTrue="1" operator="equal">
      <formula>"Fail"</formula>
    </cfRule>
  </conditionalFormatting>
  <conditionalFormatting sqref="U789 T787:T789 S788:S789">
    <cfRule type="cellIs" dxfId="25545" priority="25383" stopIfTrue="1" operator="equal">
      <formula>"Fail"</formula>
    </cfRule>
    <cfRule type="cellIs" dxfId="25544" priority="25384" stopIfTrue="1" operator="equal">
      <formula>"Pass"</formula>
    </cfRule>
  </conditionalFormatting>
  <conditionalFormatting sqref="U787">
    <cfRule type="cellIs" dxfId="25543" priority="25381" stopIfTrue="1" operator="equal">
      <formula>"Fail"</formula>
    </cfRule>
    <cfRule type="cellIs" dxfId="25542" priority="25382" stopIfTrue="1" operator="equal">
      <formula>"Pass"</formula>
    </cfRule>
  </conditionalFormatting>
  <conditionalFormatting sqref="F787:G787 J787:N787">
    <cfRule type="cellIs" dxfId="25541" priority="25379" stopIfTrue="1" operator="equal">
      <formula>"Pass"</formula>
    </cfRule>
    <cfRule type="cellIs" dxfId="25540" priority="25380" stopIfTrue="1" operator="equal">
      <formula>"Fail"</formula>
    </cfRule>
  </conditionalFormatting>
  <conditionalFormatting sqref="J788:N788">
    <cfRule type="cellIs" dxfId="25539" priority="25377" stopIfTrue="1" operator="equal">
      <formula>"Pass"</formula>
    </cfRule>
    <cfRule type="cellIs" dxfId="25538" priority="25378" stopIfTrue="1" operator="equal">
      <formula>"Fail"</formula>
    </cfRule>
  </conditionalFormatting>
  <conditionalFormatting sqref="K781:O782 F781:H783">
    <cfRule type="cellIs" dxfId="25537" priority="25375" stopIfTrue="1" operator="equal">
      <formula>"Pass"</formula>
    </cfRule>
    <cfRule type="cellIs" dxfId="25536" priority="25376" stopIfTrue="1" operator="equal">
      <formula>"Fail"</formula>
    </cfRule>
  </conditionalFormatting>
  <conditionalFormatting sqref="T781">
    <cfRule type="cellIs" dxfId="25535" priority="25373" stopIfTrue="1" operator="equal">
      <formula>"Fail"</formula>
    </cfRule>
    <cfRule type="cellIs" dxfId="25534" priority="25374" stopIfTrue="1" operator="equal">
      <formula>"Pass"</formula>
    </cfRule>
  </conditionalFormatting>
  <conditionalFormatting sqref="J784:J785">
    <cfRule type="cellIs" dxfId="25533" priority="25371" stopIfTrue="1" operator="equal">
      <formula>"Pass"</formula>
    </cfRule>
    <cfRule type="cellIs" dxfId="25532" priority="25372" stopIfTrue="1" operator="equal">
      <formula>"Fail"</formula>
    </cfRule>
  </conditionalFormatting>
  <conditionalFormatting sqref="H784:H785 I785">
    <cfRule type="cellIs" dxfId="25531" priority="25369" stopIfTrue="1" operator="equal">
      <formula>"Pass"</formula>
    </cfRule>
    <cfRule type="cellIs" dxfId="25530" priority="25370" stopIfTrue="1" operator="equal">
      <formula>"Fail"</formula>
    </cfRule>
  </conditionalFormatting>
  <conditionalFormatting sqref="F784:G784 K784:N785">
    <cfRule type="cellIs" dxfId="25529" priority="25367" stopIfTrue="1" operator="equal">
      <formula>"Pass"</formula>
    </cfRule>
    <cfRule type="cellIs" dxfId="25528" priority="25368" stopIfTrue="1" operator="equal">
      <formula>"Fail"</formula>
    </cfRule>
  </conditionalFormatting>
  <conditionalFormatting sqref="T784:T785 U785">
    <cfRule type="cellIs" dxfId="25527" priority="25365" stopIfTrue="1" operator="equal">
      <formula>"Fail"</formula>
    </cfRule>
    <cfRule type="cellIs" dxfId="25526" priority="25366" stopIfTrue="1" operator="equal">
      <formula>"Pass"</formula>
    </cfRule>
  </conditionalFormatting>
  <conditionalFormatting sqref="U784">
    <cfRule type="cellIs" dxfId="25525" priority="25363" stopIfTrue="1" operator="equal">
      <formula>"Fail"</formula>
    </cfRule>
    <cfRule type="cellIs" dxfId="25524" priority="25364" stopIfTrue="1" operator="equal">
      <formula>"Pass"</formula>
    </cfRule>
  </conditionalFormatting>
  <conditionalFormatting sqref="U784">
    <cfRule type="cellIs" dxfId="25523" priority="25361" stopIfTrue="1" operator="equal">
      <formula>"Fail"</formula>
    </cfRule>
    <cfRule type="cellIs" dxfId="25522" priority="25362" stopIfTrue="1" operator="equal">
      <formula>"Pass"</formula>
    </cfRule>
  </conditionalFormatting>
  <conditionalFormatting sqref="J784:J785">
    <cfRule type="cellIs" dxfId="25521" priority="25359" stopIfTrue="1" operator="equal">
      <formula>"Pass"</formula>
    </cfRule>
    <cfRule type="cellIs" dxfId="25520" priority="25360" stopIfTrue="1" operator="equal">
      <formula>"Fail"</formula>
    </cfRule>
  </conditionalFormatting>
  <conditionalFormatting sqref="H784:H785 I785">
    <cfRule type="cellIs" dxfId="25519" priority="25357" stopIfTrue="1" operator="equal">
      <formula>"Pass"</formula>
    </cfRule>
    <cfRule type="cellIs" dxfId="25518" priority="25358" stopIfTrue="1" operator="equal">
      <formula>"Fail"</formula>
    </cfRule>
  </conditionalFormatting>
  <conditionalFormatting sqref="F784:G784 K784:N785">
    <cfRule type="cellIs" dxfId="25517" priority="25355" stopIfTrue="1" operator="equal">
      <formula>"Pass"</formula>
    </cfRule>
    <cfRule type="cellIs" dxfId="25516" priority="25356" stopIfTrue="1" operator="equal">
      <formula>"Fail"</formula>
    </cfRule>
  </conditionalFormatting>
  <conditionalFormatting sqref="T784:T785 U785">
    <cfRule type="cellIs" dxfId="25515" priority="25353" stopIfTrue="1" operator="equal">
      <formula>"Fail"</formula>
    </cfRule>
    <cfRule type="cellIs" dxfId="25514" priority="25354" stopIfTrue="1" operator="equal">
      <formula>"Pass"</formula>
    </cfRule>
  </conditionalFormatting>
  <conditionalFormatting sqref="U784">
    <cfRule type="cellIs" dxfId="25513" priority="25351" stopIfTrue="1" operator="equal">
      <formula>"Fail"</formula>
    </cfRule>
    <cfRule type="cellIs" dxfId="25512" priority="25352" stopIfTrue="1" operator="equal">
      <formula>"Pass"</formula>
    </cfRule>
  </conditionalFormatting>
  <conditionalFormatting sqref="U784">
    <cfRule type="cellIs" dxfId="25511" priority="25349" stopIfTrue="1" operator="equal">
      <formula>"Fail"</formula>
    </cfRule>
    <cfRule type="cellIs" dxfId="25510" priority="25350" stopIfTrue="1" operator="equal">
      <formula>"Pass"</formula>
    </cfRule>
  </conditionalFormatting>
  <conditionalFormatting sqref="F784:G784 K784:N784">
    <cfRule type="cellIs" dxfId="25509" priority="25347" stopIfTrue="1" operator="equal">
      <formula>"Pass"</formula>
    </cfRule>
    <cfRule type="cellIs" dxfId="25508" priority="25348" stopIfTrue="1" operator="equal">
      <formula>"Fail"</formula>
    </cfRule>
  </conditionalFormatting>
  <conditionalFormatting sqref="K785:N785">
    <cfRule type="cellIs" dxfId="25507" priority="25345" stopIfTrue="1" operator="equal">
      <formula>"Pass"</formula>
    </cfRule>
    <cfRule type="cellIs" dxfId="25506" priority="25346" stopIfTrue="1" operator="equal">
      <formula>"Fail"</formula>
    </cfRule>
  </conditionalFormatting>
  <conditionalFormatting sqref="U784">
    <cfRule type="cellIs" dxfId="25505" priority="25343" stopIfTrue="1" operator="equal">
      <formula>"Fail"</formula>
    </cfRule>
    <cfRule type="cellIs" dxfId="25504" priority="25344" stopIfTrue="1" operator="equal">
      <formula>"Pass"</formula>
    </cfRule>
  </conditionalFormatting>
  <conditionalFormatting sqref="H787:H788">
    <cfRule type="cellIs" dxfId="25503" priority="25341" stopIfTrue="1" operator="equal">
      <formula>"Pass"</formula>
    </cfRule>
    <cfRule type="cellIs" dxfId="25502" priority="25342" stopIfTrue="1" operator="equal">
      <formula>"Fail"</formula>
    </cfRule>
  </conditionalFormatting>
  <conditionalFormatting sqref="F787 I787:M788 F789">
    <cfRule type="cellIs" dxfId="25501" priority="25339" stopIfTrue="1" operator="equal">
      <formula>"Pass"</formula>
    </cfRule>
    <cfRule type="cellIs" dxfId="25500" priority="25340" stopIfTrue="1" operator="equal">
      <formula>"Fail"</formula>
    </cfRule>
  </conditionalFormatting>
  <conditionalFormatting sqref="T789 T787 R787:R789 S788:S789">
    <cfRule type="cellIs" dxfId="25499" priority="25337" stopIfTrue="1" operator="equal">
      <formula>"Fail"</formula>
    </cfRule>
    <cfRule type="cellIs" dxfId="25498" priority="25338" stopIfTrue="1" operator="equal">
      <formula>"Pass"</formula>
    </cfRule>
  </conditionalFormatting>
  <conditionalFormatting sqref="F787:G787 J787:N788 F789:G789">
    <cfRule type="cellIs" dxfId="25497" priority="25335" stopIfTrue="1" operator="equal">
      <formula>"Pass"</formula>
    </cfRule>
    <cfRule type="cellIs" dxfId="25496" priority="25336" stopIfTrue="1" operator="equal">
      <formula>"Fail"</formula>
    </cfRule>
  </conditionalFormatting>
  <conditionalFormatting sqref="U789 T787:T789 S788:S789">
    <cfRule type="cellIs" dxfId="25495" priority="25333" stopIfTrue="1" operator="equal">
      <formula>"Fail"</formula>
    </cfRule>
    <cfRule type="cellIs" dxfId="25494" priority="25334" stopIfTrue="1" operator="equal">
      <formula>"Pass"</formula>
    </cfRule>
  </conditionalFormatting>
  <conditionalFormatting sqref="U787">
    <cfRule type="cellIs" dxfId="25493" priority="25331" stopIfTrue="1" operator="equal">
      <formula>"Fail"</formula>
    </cfRule>
    <cfRule type="cellIs" dxfId="25492" priority="25332" stopIfTrue="1" operator="equal">
      <formula>"Pass"</formula>
    </cfRule>
  </conditionalFormatting>
  <conditionalFormatting sqref="F787:G787 J787:N787">
    <cfRule type="cellIs" dxfId="25491" priority="25329" stopIfTrue="1" operator="equal">
      <formula>"Pass"</formula>
    </cfRule>
    <cfRule type="cellIs" dxfId="25490" priority="25330" stopIfTrue="1" operator="equal">
      <formula>"Fail"</formula>
    </cfRule>
  </conditionalFormatting>
  <conditionalFormatting sqref="J788:N788">
    <cfRule type="cellIs" dxfId="25489" priority="25327" stopIfTrue="1" operator="equal">
      <formula>"Pass"</formula>
    </cfRule>
    <cfRule type="cellIs" dxfId="25488" priority="25328" stopIfTrue="1" operator="equal">
      <formula>"Fail"</formula>
    </cfRule>
  </conditionalFormatting>
  <conditionalFormatting sqref="U784">
    <cfRule type="cellIs" dxfId="25487" priority="25325" stopIfTrue="1" operator="equal">
      <formula>"Fail"</formula>
    </cfRule>
    <cfRule type="cellIs" dxfId="25486" priority="25326" stopIfTrue="1" operator="equal">
      <formula>"Pass"</formula>
    </cfRule>
  </conditionalFormatting>
  <conditionalFormatting sqref="U787">
    <cfRule type="cellIs" dxfId="25485" priority="25323" stopIfTrue="1" operator="equal">
      <formula>"Fail"</formula>
    </cfRule>
    <cfRule type="cellIs" dxfId="25484" priority="25324" stopIfTrue="1" operator="equal">
      <formula>"Pass"</formula>
    </cfRule>
  </conditionalFormatting>
  <conditionalFormatting sqref="U784">
    <cfRule type="cellIs" dxfId="25483" priority="25321" stopIfTrue="1" operator="equal">
      <formula>"Fail"</formula>
    </cfRule>
    <cfRule type="cellIs" dxfId="25482" priority="25322" stopIfTrue="1" operator="equal">
      <formula>"Pass"</formula>
    </cfRule>
  </conditionalFormatting>
  <conditionalFormatting sqref="U784">
    <cfRule type="cellIs" dxfId="25481" priority="25319" stopIfTrue="1" operator="equal">
      <formula>"Fail"</formula>
    </cfRule>
    <cfRule type="cellIs" dxfId="25480" priority="25320" stopIfTrue="1" operator="equal">
      <formula>"Pass"</formula>
    </cfRule>
  </conditionalFormatting>
  <conditionalFormatting sqref="U787">
    <cfRule type="cellIs" dxfId="25479" priority="25317" stopIfTrue="1" operator="equal">
      <formula>"Fail"</formula>
    </cfRule>
    <cfRule type="cellIs" dxfId="25478" priority="25318" stopIfTrue="1" operator="equal">
      <formula>"Pass"</formula>
    </cfRule>
  </conditionalFormatting>
  <conditionalFormatting sqref="U787">
    <cfRule type="cellIs" dxfId="25477" priority="25315" stopIfTrue="1" operator="equal">
      <formula>"Fail"</formula>
    </cfRule>
    <cfRule type="cellIs" dxfId="25476" priority="25316" stopIfTrue="1" operator="equal">
      <formula>"Pass"</formula>
    </cfRule>
  </conditionalFormatting>
  <conditionalFormatting sqref="H790:H791">
    <cfRule type="cellIs" dxfId="25475" priority="25313" stopIfTrue="1" operator="equal">
      <formula>"Pass"</formula>
    </cfRule>
    <cfRule type="cellIs" dxfId="25474" priority="25314" stopIfTrue="1" operator="equal">
      <formula>"Fail"</formula>
    </cfRule>
  </conditionalFormatting>
  <conditionalFormatting sqref="E790:F790 E792:F792 I790:M791 A790:A798">
    <cfRule type="cellIs" dxfId="25473" priority="25311" stopIfTrue="1" operator="equal">
      <formula>"Pass"</formula>
    </cfRule>
    <cfRule type="cellIs" dxfId="25472" priority="25312" stopIfTrue="1" operator="equal">
      <formula>"Fail"</formula>
    </cfRule>
  </conditionalFormatting>
  <conditionalFormatting sqref="T792 T790 R790:R792 S791:S792">
    <cfRule type="cellIs" dxfId="25471" priority="25309" stopIfTrue="1" operator="equal">
      <formula>"Fail"</formula>
    </cfRule>
    <cfRule type="cellIs" dxfId="25470" priority="25310" stopIfTrue="1" operator="equal">
      <formula>"Pass"</formula>
    </cfRule>
  </conditionalFormatting>
  <conditionalFormatting sqref="F790:G790 F792:G792 A790:B792 J790:N791 A793:A798">
    <cfRule type="cellIs" dxfId="25469" priority="25307" stopIfTrue="1" operator="equal">
      <formula>"Pass"</formula>
    </cfRule>
    <cfRule type="cellIs" dxfId="25468" priority="25308" stopIfTrue="1" operator="equal">
      <formula>"Fail"</formula>
    </cfRule>
  </conditionalFormatting>
  <conditionalFormatting sqref="U792 U790 T790:T792 S791:S792">
    <cfRule type="cellIs" dxfId="25467" priority="25305" stopIfTrue="1" operator="equal">
      <formula>"Fail"</formula>
    </cfRule>
    <cfRule type="cellIs" dxfId="25466" priority="25306" stopIfTrue="1" operator="equal">
      <formula>"Pass"</formula>
    </cfRule>
  </conditionalFormatting>
  <conditionalFormatting sqref="A790:A798">
    <cfRule type="cellIs" dxfId="25465" priority="25303" stopIfTrue="1" operator="equal">
      <formula>"Pass"</formula>
    </cfRule>
    <cfRule type="cellIs" dxfId="25464" priority="25304" stopIfTrue="1" operator="equal">
      <formula>"Fail"</formula>
    </cfRule>
  </conditionalFormatting>
  <conditionalFormatting sqref="A790:A798">
    <cfRule type="cellIs" dxfId="25463" priority="25301" stopIfTrue="1" operator="equal">
      <formula>"Pass"</formula>
    </cfRule>
    <cfRule type="cellIs" dxfId="25462" priority="25302" stopIfTrue="1" operator="equal">
      <formula>"Fail"</formula>
    </cfRule>
  </conditionalFormatting>
  <conditionalFormatting sqref="A790:A798">
    <cfRule type="cellIs" dxfId="25461" priority="25299" stopIfTrue="1" operator="equal">
      <formula>"Pass"</formula>
    </cfRule>
    <cfRule type="cellIs" dxfId="25460" priority="25300" stopIfTrue="1" operator="equal">
      <formula>"Fail"</formula>
    </cfRule>
  </conditionalFormatting>
  <conditionalFormatting sqref="J790:N791 E790:G792">
    <cfRule type="cellIs" dxfId="25459" priority="25297" stopIfTrue="1" operator="equal">
      <formula>"Pass"</formula>
    </cfRule>
    <cfRule type="cellIs" dxfId="25458" priority="25298" stopIfTrue="1" operator="equal">
      <formula>"Fail"</formula>
    </cfRule>
  </conditionalFormatting>
  <conditionalFormatting sqref="A792 C792 K790:O791 F790:H792 A795 A798">
    <cfRule type="cellIs" dxfId="25457" priority="25295" stopIfTrue="1" operator="equal">
      <formula>"Pass"</formula>
    </cfRule>
    <cfRule type="cellIs" dxfId="25456" priority="25296" stopIfTrue="1" operator="equal">
      <formula>"Fail"</formula>
    </cfRule>
  </conditionalFormatting>
  <conditionalFormatting sqref="T790">
    <cfRule type="cellIs" dxfId="25455" priority="25293" stopIfTrue="1" operator="equal">
      <formula>"Fail"</formula>
    </cfRule>
    <cfRule type="cellIs" dxfId="25454" priority="25294" stopIfTrue="1" operator="equal">
      <formula>"Pass"</formula>
    </cfRule>
  </conditionalFormatting>
  <conditionalFormatting sqref="A790:A798">
    <cfRule type="cellIs" dxfId="25453" priority="25291" stopIfTrue="1" operator="equal">
      <formula>"Pass"</formula>
    </cfRule>
    <cfRule type="cellIs" dxfId="25452" priority="25292" stopIfTrue="1" operator="equal">
      <formula>"Fail"</formula>
    </cfRule>
  </conditionalFormatting>
  <conditionalFormatting sqref="A793">
    <cfRule type="cellIs" dxfId="25451" priority="25289" stopIfTrue="1" operator="equal">
      <formula>"Pass"</formula>
    </cfRule>
    <cfRule type="cellIs" dxfId="25450" priority="25290" stopIfTrue="1" operator="equal">
      <formula>"Fail"</formula>
    </cfRule>
  </conditionalFormatting>
  <conditionalFormatting sqref="A793">
    <cfRule type="cellIs" dxfId="25449" priority="25287" stopIfTrue="1" operator="equal">
      <formula>"Pass"</formula>
    </cfRule>
    <cfRule type="cellIs" dxfId="25448" priority="25288" stopIfTrue="1" operator="equal">
      <formula>"Fail"</formula>
    </cfRule>
  </conditionalFormatting>
  <conditionalFormatting sqref="A793">
    <cfRule type="cellIs" dxfId="25447" priority="25285" stopIfTrue="1" operator="equal">
      <formula>"Pass"</formula>
    </cfRule>
    <cfRule type="cellIs" dxfId="25446" priority="25286" stopIfTrue="1" operator="equal">
      <formula>"Fail"</formula>
    </cfRule>
  </conditionalFormatting>
  <conditionalFormatting sqref="A793">
    <cfRule type="cellIs" dxfId="25445" priority="25283" stopIfTrue="1" operator="equal">
      <formula>"Pass"</formula>
    </cfRule>
    <cfRule type="cellIs" dxfId="25444" priority="25284" stopIfTrue="1" operator="equal">
      <formula>"Fail"</formula>
    </cfRule>
  </conditionalFormatting>
  <conditionalFormatting sqref="A793">
    <cfRule type="cellIs" dxfId="25443" priority="25281" stopIfTrue="1" operator="equal">
      <formula>"Pass"</formula>
    </cfRule>
    <cfRule type="cellIs" dxfId="25442" priority="25282" stopIfTrue="1" operator="equal">
      <formula>"Fail"</formula>
    </cfRule>
  </conditionalFormatting>
  <conditionalFormatting sqref="A793">
    <cfRule type="cellIs" dxfId="25441" priority="25279" stopIfTrue="1" operator="equal">
      <formula>"Pass"</formula>
    </cfRule>
    <cfRule type="cellIs" dxfId="25440" priority="25280" stopIfTrue="1" operator="equal">
      <formula>"Fail"</formula>
    </cfRule>
  </conditionalFormatting>
  <conditionalFormatting sqref="A793">
    <cfRule type="cellIs" dxfId="25439" priority="25277" stopIfTrue="1" operator="equal">
      <formula>"Pass"</formula>
    </cfRule>
    <cfRule type="cellIs" dxfId="25438" priority="25278" stopIfTrue="1" operator="equal">
      <formula>"Fail"</formula>
    </cfRule>
  </conditionalFormatting>
  <conditionalFormatting sqref="A793">
    <cfRule type="cellIs" dxfId="25437" priority="25275" stopIfTrue="1" operator="equal">
      <formula>"Pass"</formula>
    </cfRule>
    <cfRule type="cellIs" dxfId="25436" priority="25276" stopIfTrue="1" operator="equal">
      <formula>"Fail"</formula>
    </cfRule>
  </conditionalFormatting>
  <conditionalFormatting sqref="A793">
    <cfRule type="cellIs" dxfId="25435" priority="25273" stopIfTrue="1" operator="equal">
      <formula>"Pass"</formula>
    </cfRule>
    <cfRule type="cellIs" dxfId="25434" priority="25274" stopIfTrue="1" operator="equal">
      <formula>"Fail"</formula>
    </cfRule>
  </conditionalFormatting>
  <conditionalFormatting sqref="A793">
    <cfRule type="cellIs" dxfId="25433" priority="25271" stopIfTrue="1" operator="equal">
      <formula>"Pass"</formula>
    </cfRule>
    <cfRule type="cellIs" dxfId="25432" priority="25272" stopIfTrue="1" operator="equal">
      <formula>"Fail"</formula>
    </cfRule>
  </conditionalFormatting>
  <conditionalFormatting sqref="A793">
    <cfRule type="cellIs" dxfId="25431" priority="25269" stopIfTrue="1" operator="equal">
      <formula>"Pass"</formula>
    </cfRule>
    <cfRule type="cellIs" dxfId="25430" priority="25270" stopIfTrue="1" operator="equal">
      <formula>"Fail"</formula>
    </cfRule>
  </conditionalFormatting>
  <conditionalFormatting sqref="A793">
    <cfRule type="cellIs" dxfId="25429" priority="25267" stopIfTrue="1" operator="equal">
      <formula>"Pass"</formula>
    </cfRule>
    <cfRule type="cellIs" dxfId="25428" priority="25268" stopIfTrue="1" operator="equal">
      <formula>"Fail"</formula>
    </cfRule>
  </conditionalFormatting>
  <conditionalFormatting sqref="J793:J794">
    <cfRule type="cellIs" dxfId="25427" priority="25265" stopIfTrue="1" operator="equal">
      <formula>"Pass"</formula>
    </cfRule>
    <cfRule type="cellIs" dxfId="25426" priority="25266" stopIfTrue="1" operator="equal">
      <formula>"Fail"</formula>
    </cfRule>
  </conditionalFormatting>
  <conditionalFormatting sqref="H793:H794 I794">
    <cfRule type="cellIs" dxfId="25425" priority="25263" stopIfTrue="1" operator="equal">
      <formula>"Pass"</formula>
    </cfRule>
    <cfRule type="cellIs" dxfId="25424" priority="25264" stopIfTrue="1" operator="equal">
      <formula>"Fail"</formula>
    </cfRule>
  </conditionalFormatting>
  <conditionalFormatting sqref="A793 C793 F795 F793:G793 K793:N794">
    <cfRule type="cellIs" dxfId="25423" priority="25261" stopIfTrue="1" operator="equal">
      <formula>"Pass"</formula>
    </cfRule>
    <cfRule type="cellIs" dxfId="25422" priority="25262" stopIfTrue="1" operator="equal">
      <formula>"Fail"</formula>
    </cfRule>
  </conditionalFormatting>
  <conditionalFormatting sqref="T793:T795 U794:U795">
    <cfRule type="cellIs" dxfId="25421" priority="25259" stopIfTrue="1" operator="equal">
      <formula>"Fail"</formula>
    </cfRule>
    <cfRule type="cellIs" dxfId="25420" priority="25260" stopIfTrue="1" operator="equal">
      <formula>"Pass"</formula>
    </cfRule>
  </conditionalFormatting>
  <conditionalFormatting sqref="A793">
    <cfRule type="cellIs" dxfId="25419" priority="25257" stopIfTrue="1" operator="equal">
      <formula>"Pass"</formula>
    </cfRule>
    <cfRule type="cellIs" dxfId="25418" priority="25258" stopIfTrue="1" operator="equal">
      <formula>"Fail"</formula>
    </cfRule>
  </conditionalFormatting>
  <conditionalFormatting sqref="A793">
    <cfRule type="cellIs" dxfId="25417" priority="25255" stopIfTrue="1" operator="equal">
      <formula>"Pass"</formula>
    </cfRule>
    <cfRule type="cellIs" dxfId="25416" priority="25256" stopIfTrue="1" operator="equal">
      <formula>"Fail"</formula>
    </cfRule>
  </conditionalFormatting>
  <conditionalFormatting sqref="A793">
    <cfRule type="cellIs" dxfId="25415" priority="25253" stopIfTrue="1" operator="equal">
      <formula>"Pass"</formula>
    </cfRule>
    <cfRule type="cellIs" dxfId="25414" priority="25254" stopIfTrue="1" operator="equal">
      <formula>"Fail"</formula>
    </cfRule>
  </conditionalFormatting>
  <conditionalFormatting sqref="A793">
    <cfRule type="cellIs" dxfId="25413" priority="25251" stopIfTrue="1" operator="equal">
      <formula>"Pass"</formula>
    </cfRule>
    <cfRule type="cellIs" dxfId="25412" priority="25252" stopIfTrue="1" operator="equal">
      <formula>"Fail"</formula>
    </cfRule>
  </conditionalFormatting>
  <conditionalFormatting sqref="A793">
    <cfRule type="cellIs" dxfId="25411" priority="25249" stopIfTrue="1" operator="equal">
      <formula>"Pass"</formula>
    </cfRule>
    <cfRule type="cellIs" dxfId="25410" priority="25250" stopIfTrue="1" operator="equal">
      <formula>"Fail"</formula>
    </cfRule>
  </conditionalFormatting>
  <conditionalFormatting sqref="A793">
    <cfRule type="cellIs" dxfId="25409" priority="25247" stopIfTrue="1" operator="equal">
      <formula>"Pass"</formula>
    </cfRule>
    <cfRule type="cellIs" dxfId="25408" priority="25248" stopIfTrue="1" operator="equal">
      <formula>"Fail"</formula>
    </cfRule>
  </conditionalFormatting>
  <conditionalFormatting sqref="A793">
    <cfRule type="cellIs" dxfId="25407" priority="25245" stopIfTrue="1" operator="equal">
      <formula>"Pass"</formula>
    </cfRule>
    <cfRule type="cellIs" dxfId="25406" priority="25246" stopIfTrue="1" operator="equal">
      <formula>"Fail"</formula>
    </cfRule>
  </conditionalFormatting>
  <conditionalFormatting sqref="A793">
    <cfRule type="cellIs" dxfId="25405" priority="25243" stopIfTrue="1" operator="equal">
      <formula>"Pass"</formula>
    </cfRule>
    <cfRule type="cellIs" dxfId="25404" priority="25244" stopIfTrue="1" operator="equal">
      <formula>"Fail"</formula>
    </cfRule>
  </conditionalFormatting>
  <conditionalFormatting sqref="A793">
    <cfRule type="cellIs" dxfId="25403" priority="25241" stopIfTrue="1" operator="equal">
      <formula>"Pass"</formula>
    </cfRule>
    <cfRule type="cellIs" dxfId="25402" priority="25242" stopIfTrue="1" operator="equal">
      <formula>"Fail"</formula>
    </cfRule>
  </conditionalFormatting>
  <conditionalFormatting sqref="A793">
    <cfRule type="cellIs" dxfId="25401" priority="25239" stopIfTrue="1" operator="equal">
      <formula>"Pass"</formula>
    </cfRule>
    <cfRule type="cellIs" dxfId="25400" priority="25240" stopIfTrue="1" operator="equal">
      <formula>"Fail"</formula>
    </cfRule>
  </conditionalFormatting>
  <conditionalFormatting sqref="A793">
    <cfRule type="cellIs" dxfId="25399" priority="25237" stopIfTrue="1" operator="equal">
      <formula>"Pass"</formula>
    </cfRule>
    <cfRule type="cellIs" dxfId="25398" priority="25238" stopIfTrue="1" operator="equal">
      <formula>"Fail"</formula>
    </cfRule>
  </conditionalFormatting>
  <conditionalFormatting sqref="A793">
    <cfRule type="cellIs" dxfId="25397" priority="25235" stopIfTrue="1" operator="equal">
      <formula>"Pass"</formula>
    </cfRule>
    <cfRule type="cellIs" dxfId="25396" priority="25236" stopIfTrue="1" operator="equal">
      <formula>"Fail"</formula>
    </cfRule>
  </conditionalFormatting>
  <conditionalFormatting sqref="A793">
    <cfRule type="cellIs" dxfId="25395" priority="25233" stopIfTrue="1" operator="equal">
      <formula>"Pass"</formula>
    </cfRule>
    <cfRule type="cellIs" dxfId="25394" priority="25234" stopIfTrue="1" operator="equal">
      <formula>"Fail"</formula>
    </cfRule>
  </conditionalFormatting>
  <conditionalFormatting sqref="A793">
    <cfRule type="cellIs" dxfId="25393" priority="25231" stopIfTrue="1" operator="equal">
      <formula>"Pass"</formula>
    </cfRule>
    <cfRule type="cellIs" dxfId="25392" priority="25232" stopIfTrue="1" operator="equal">
      <formula>"Fail"</formula>
    </cfRule>
  </conditionalFormatting>
  <conditionalFormatting sqref="A793">
    <cfRule type="cellIs" dxfId="25391" priority="25229" stopIfTrue="1" operator="equal">
      <formula>"Pass"</formula>
    </cfRule>
    <cfRule type="cellIs" dxfId="25390" priority="25230" stopIfTrue="1" operator="equal">
      <formula>"Fail"</formula>
    </cfRule>
  </conditionalFormatting>
  <conditionalFormatting sqref="A793">
    <cfRule type="cellIs" dxfId="25389" priority="25227" stopIfTrue="1" operator="equal">
      <formula>"Pass"</formula>
    </cfRule>
    <cfRule type="cellIs" dxfId="25388" priority="25228" stopIfTrue="1" operator="equal">
      <formula>"Fail"</formula>
    </cfRule>
  </conditionalFormatting>
  <conditionalFormatting sqref="U793">
    <cfRule type="cellIs" dxfId="25387" priority="25225" stopIfTrue="1" operator="equal">
      <formula>"Fail"</formula>
    </cfRule>
    <cfRule type="cellIs" dxfId="25386" priority="25226" stopIfTrue="1" operator="equal">
      <formula>"Pass"</formula>
    </cfRule>
  </conditionalFormatting>
  <conditionalFormatting sqref="U793">
    <cfRule type="cellIs" dxfId="25385" priority="25223" stopIfTrue="1" operator="equal">
      <formula>"Fail"</formula>
    </cfRule>
    <cfRule type="cellIs" dxfId="25384" priority="25224" stopIfTrue="1" operator="equal">
      <formula>"Pass"</formula>
    </cfRule>
  </conditionalFormatting>
  <conditionalFormatting sqref="J793:J794">
    <cfRule type="cellIs" dxfId="25383" priority="25221" stopIfTrue="1" operator="equal">
      <formula>"Pass"</formula>
    </cfRule>
    <cfRule type="cellIs" dxfId="25382" priority="25222" stopIfTrue="1" operator="equal">
      <formula>"Fail"</formula>
    </cfRule>
  </conditionalFormatting>
  <conditionalFormatting sqref="H793:H794 I794">
    <cfRule type="cellIs" dxfId="25381" priority="25219" stopIfTrue="1" operator="equal">
      <formula>"Pass"</formula>
    </cfRule>
    <cfRule type="cellIs" dxfId="25380" priority="25220" stopIfTrue="1" operator="equal">
      <formula>"Fail"</formula>
    </cfRule>
  </conditionalFormatting>
  <conditionalFormatting sqref="F795 F793:G793 K793:N794">
    <cfRule type="cellIs" dxfId="25379" priority="25217" stopIfTrue="1" operator="equal">
      <formula>"Pass"</formula>
    </cfRule>
    <cfRule type="cellIs" dxfId="25378" priority="25218" stopIfTrue="1" operator="equal">
      <formula>"Fail"</formula>
    </cfRule>
  </conditionalFormatting>
  <conditionalFormatting sqref="T793:T795 U794:U795">
    <cfRule type="cellIs" dxfId="25377" priority="25215" stopIfTrue="1" operator="equal">
      <formula>"Fail"</formula>
    </cfRule>
    <cfRule type="cellIs" dxfId="25376" priority="25216" stopIfTrue="1" operator="equal">
      <formula>"Pass"</formula>
    </cfRule>
  </conditionalFormatting>
  <conditionalFormatting sqref="U793">
    <cfRule type="cellIs" dxfId="25375" priority="25213" stopIfTrue="1" operator="equal">
      <formula>"Fail"</formula>
    </cfRule>
    <cfRule type="cellIs" dxfId="25374" priority="25214" stopIfTrue="1" operator="equal">
      <formula>"Pass"</formula>
    </cfRule>
  </conditionalFormatting>
  <conditionalFormatting sqref="U793">
    <cfRule type="cellIs" dxfId="25373" priority="25211" stopIfTrue="1" operator="equal">
      <formula>"Fail"</formula>
    </cfRule>
    <cfRule type="cellIs" dxfId="25372" priority="25212" stopIfTrue="1" operator="equal">
      <formula>"Pass"</formula>
    </cfRule>
  </conditionalFormatting>
  <conditionalFormatting sqref="F793:G793 K793:N793">
    <cfRule type="cellIs" dxfId="25371" priority="25209" stopIfTrue="1" operator="equal">
      <formula>"Pass"</formula>
    </cfRule>
    <cfRule type="cellIs" dxfId="25370" priority="25210" stopIfTrue="1" operator="equal">
      <formula>"Fail"</formula>
    </cfRule>
  </conditionalFormatting>
  <conditionalFormatting sqref="K794:N794">
    <cfRule type="cellIs" dxfId="25369" priority="25207" stopIfTrue="1" operator="equal">
      <formula>"Pass"</formula>
    </cfRule>
    <cfRule type="cellIs" dxfId="25368" priority="25208" stopIfTrue="1" operator="equal">
      <formula>"Fail"</formula>
    </cfRule>
  </conditionalFormatting>
  <conditionalFormatting sqref="U793">
    <cfRule type="cellIs" dxfId="25367" priority="25205" stopIfTrue="1" operator="equal">
      <formula>"Fail"</formula>
    </cfRule>
    <cfRule type="cellIs" dxfId="25366" priority="25206" stopIfTrue="1" operator="equal">
      <formula>"Pass"</formula>
    </cfRule>
  </conditionalFormatting>
  <conditionalFormatting sqref="H796:H797">
    <cfRule type="cellIs" dxfId="25365" priority="25203" stopIfTrue="1" operator="equal">
      <formula>"Pass"</formula>
    </cfRule>
    <cfRule type="cellIs" dxfId="25364" priority="25204" stopIfTrue="1" operator="equal">
      <formula>"Fail"</formula>
    </cfRule>
  </conditionalFormatting>
  <conditionalFormatting sqref="E796:F796 I796:M797 E798:F798 A796">
    <cfRule type="cellIs" dxfId="25363" priority="25201" stopIfTrue="1" operator="equal">
      <formula>"Pass"</formula>
    </cfRule>
    <cfRule type="cellIs" dxfId="25362" priority="25202" stopIfTrue="1" operator="equal">
      <formula>"Fail"</formula>
    </cfRule>
  </conditionalFormatting>
  <conditionalFormatting sqref="T798 T796 R796:R798 S797:S798">
    <cfRule type="cellIs" dxfId="25361" priority="25199" stopIfTrue="1" operator="equal">
      <formula>"Fail"</formula>
    </cfRule>
    <cfRule type="cellIs" dxfId="25360" priority="25200" stopIfTrue="1" operator="equal">
      <formula>"Pass"</formula>
    </cfRule>
  </conditionalFormatting>
  <conditionalFormatting sqref="F796:G796 J796:N797 F798:G798 B796:B798 A796">
    <cfRule type="cellIs" dxfId="25359" priority="25197" stopIfTrue="1" operator="equal">
      <formula>"Pass"</formula>
    </cfRule>
    <cfRule type="cellIs" dxfId="25358" priority="25198" stopIfTrue="1" operator="equal">
      <formula>"Fail"</formula>
    </cfRule>
  </conditionalFormatting>
  <conditionalFormatting sqref="U798 T796:T798 S797:S798">
    <cfRule type="cellIs" dxfId="25357" priority="25195" stopIfTrue="1" operator="equal">
      <formula>"Fail"</formula>
    </cfRule>
    <cfRule type="cellIs" dxfId="25356" priority="25196" stopIfTrue="1" operator="equal">
      <formula>"Pass"</formula>
    </cfRule>
  </conditionalFormatting>
  <conditionalFormatting sqref="A796">
    <cfRule type="cellIs" dxfId="25355" priority="25193" stopIfTrue="1" operator="equal">
      <formula>"Pass"</formula>
    </cfRule>
    <cfRule type="cellIs" dxfId="25354" priority="25194" stopIfTrue="1" operator="equal">
      <formula>"Fail"</formula>
    </cfRule>
  </conditionalFormatting>
  <conditionalFormatting sqref="A796">
    <cfRule type="cellIs" dxfId="25353" priority="25191" stopIfTrue="1" operator="equal">
      <formula>"Pass"</formula>
    </cfRule>
    <cfRule type="cellIs" dxfId="25352" priority="25192" stopIfTrue="1" operator="equal">
      <formula>"Fail"</formula>
    </cfRule>
  </conditionalFormatting>
  <conditionalFormatting sqref="A796">
    <cfRule type="cellIs" dxfId="25351" priority="25189" stopIfTrue="1" operator="equal">
      <formula>"Pass"</formula>
    </cfRule>
    <cfRule type="cellIs" dxfId="25350" priority="25190" stopIfTrue="1" operator="equal">
      <formula>"Fail"</formula>
    </cfRule>
  </conditionalFormatting>
  <conditionalFormatting sqref="A796">
    <cfRule type="cellIs" dxfId="25349" priority="25187" stopIfTrue="1" operator="equal">
      <formula>"Pass"</formula>
    </cfRule>
    <cfRule type="cellIs" dxfId="25348" priority="25188" stopIfTrue="1" operator="equal">
      <formula>"Fail"</formula>
    </cfRule>
  </conditionalFormatting>
  <conditionalFormatting sqref="A796">
    <cfRule type="cellIs" dxfId="25347" priority="25185" stopIfTrue="1" operator="equal">
      <formula>"Pass"</formula>
    </cfRule>
    <cfRule type="cellIs" dxfId="25346" priority="25186" stopIfTrue="1" operator="equal">
      <formula>"Fail"</formula>
    </cfRule>
  </conditionalFormatting>
  <conditionalFormatting sqref="A796">
    <cfRule type="cellIs" dxfId="25345" priority="25183" stopIfTrue="1" operator="equal">
      <formula>"Pass"</formula>
    </cfRule>
    <cfRule type="cellIs" dxfId="25344" priority="25184" stopIfTrue="1" operator="equal">
      <formula>"Fail"</formula>
    </cfRule>
  </conditionalFormatting>
  <conditionalFormatting sqref="A796">
    <cfRule type="cellIs" dxfId="25343" priority="25181" stopIfTrue="1" operator="equal">
      <formula>"Pass"</formula>
    </cfRule>
    <cfRule type="cellIs" dxfId="25342" priority="25182" stopIfTrue="1" operator="equal">
      <formula>"Fail"</formula>
    </cfRule>
  </conditionalFormatting>
  <conditionalFormatting sqref="A796">
    <cfRule type="cellIs" dxfId="25341" priority="25179" stopIfTrue="1" operator="equal">
      <formula>"Pass"</formula>
    </cfRule>
    <cfRule type="cellIs" dxfId="25340" priority="25180" stopIfTrue="1" operator="equal">
      <formula>"Fail"</formula>
    </cfRule>
  </conditionalFormatting>
  <conditionalFormatting sqref="A796">
    <cfRule type="cellIs" dxfId="25339" priority="25177" stopIfTrue="1" operator="equal">
      <formula>"Pass"</formula>
    </cfRule>
    <cfRule type="cellIs" dxfId="25338" priority="25178" stopIfTrue="1" operator="equal">
      <formula>"Fail"</formula>
    </cfRule>
  </conditionalFormatting>
  <conditionalFormatting sqref="A796">
    <cfRule type="cellIs" dxfId="25337" priority="25175" stopIfTrue="1" operator="equal">
      <formula>"Pass"</formula>
    </cfRule>
    <cfRule type="cellIs" dxfId="25336" priority="25176" stopIfTrue="1" operator="equal">
      <formula>"Fail"</formula>
    </cfRule>
  </conditionalFormatting>
  <conditionalFormatting sqref="U796">
    <cfRule type="cellIs" dxfId="25335" priority="25173" stopIfTrue="1" operator="equal">
      <formula>"Fail"</formula>
    </cfRule>
    <cfRule type="cellIs" dxfId="25334" priority="25174" stopIfTrue="1" operator="equal">
      <formula>"Pass"</formula>
    </cfRule>
  </conditionalFormatting>
  <conditionalFormatting sqref="F796:G796 J796:N796">
    <cfRule type="cellIs" dxfId="25333" priority="25171" stopIfTrue="1" operator="equal">
      <formula>"Pass"</formula>
    </cfRule>
    <cfRule type="cellIs" dxfId="25332" priority="25172" stopIfTrue="1" operator="equal">
      <formula>"Fail"</formula>
    </cfRule>
  </conditionalFormatting>
  <conditionalFormatting sqref="J797:N797">
    <cfRule type="cellIs" dxfId="25331" priority="25169" stopIfTrue="1" operator="equal">
      <formula>"Pass"</formula>
    </cfRule>
    <cfRule type="cellIs" dxfId="25330" priority="25170" stopIfTrue="1" operator="equal">
      <formula>"Fail"</formula>
    </cfRule>
  </conditionalFormatting>
  <conditionalFormatting sqref="A790:A798">
    <cfRule type="cellIs" dxfId="25329" priority="25167" stopIfTrue="1" operator="equal">
      <formula>"Pass"</formula>
    </cfRule>
    <cfRule type="cellIs" dxfId="25328" priority="25168" stopIfTrue="1" operator="equal">
      <formula>"Fail"</formula>
    </cfRule>
  </conditionalFormatting>
  <conditionalFormatting sqref="A790:A798">
    <cfRule type="cellIs" dxfId="25327" priority="25165" stopIfTrue="1" operator="equal">
      <formula>"Pass"</formula>
    </cfRule>
    <cfRule type="cellIs" dxfId="25326" priority="25166" stopIfTrue="1" operator="equal">
      <formula>"Fail"</formula>
    </cfRule>
  </conditionalFormatting>
  <conditionalFormatting sqref="A790:A798">
    <cfRule type="cellIs" dxfId="25325" priority="25163" stopIfTrue="1" operator="equal">
      <formula>"Pass"</formula>
    </cfRule>
    <cfRule type="cellIs" dxfId="25324" priority="25164" stopIfTrue="1" operator="equal">
      <formula>"Fail"</formula>
    </cfRule>
  </conditionalFormatting>
  <conditionalFormatting sqref="A790:A798">
    <cfRule type="cellIs" dxfId="25323" priority="25161" stopIfTrue="1" operator="equal">
      <formula>"Pass"</formula>
    </cfRule>
    <cfRule type="cellIs" dxfId="25322" priority="25162" stopIfTrue="1" operator="equal">
      <formula>"Fail"</formula>
    </cfRule>
  </conditionalFormatting>
  <conditionalFormatting sqref="A790:A798">
    <cfRule type="cellIs" dxfId="25321" priority="25159" stopIfTrue="1" operator="equal">
      <formula>"Pass"</formula>
    </cfRule>
    <cfRule type="cellIs" dxfId="25320" priority="25160" stopIfTrue="1" operator="equal">
      <formula>"Fail"</formula>
    </cfRule>
  </conditionalFormatting>
  <conditionalFormatting sqref="A792 A795 A798">
    <cfRule type="cellIs" dxfId="25319" priority="25157" stopIfTrue="1" operator="equal">
      <formula>"Pass"</formula>
    </cfRule>
    <cfRule type="cellIs" dxfId="25318" priority="25158" stopIfTrue="1" operator="equal">
      <formula>"Fail"</formula>
    </cfRule>
  </conditionalFormatting>
  <conditionalFormatting sqref="A790:A798">
    <cfRule type="cellIs" dxfId="25317" priority="25155" stopIfTrue="1" operator="equal">
      <formula>"Pass"</formula>
    </cfRule>
    <cfRule type="cellIs" dxfId="25316" priority="25156" stopIfTrue="1" operator="equal">
      <formula>"Fail"</formula>
    </cfRule>
  </conditionalFormatting>
  <conditionalFormatting sqref="A790:A798">
    <cfRule type="cellIs" dxfId="25315" priority="25153" stopIfTrue="1" operator="equal">
      <formula>"Pass"</formula>
    </cfRule>
    <cfRule type="cellIs" dxfId="25314" priority="25154" stopIfTrue="1" operator="equal">
      <formula>"Fail"</formula>
    </cfRule>
  </conditionalFormatting>
  <conditionalFormatting sqref="A790:A798">
    <cfRule type="cellIs" dxfId="25313" priority="25151" stopIfTrue="1" operator="equal">
      <formula>"Pass"</formula>
    </cfRule>
    <cfRule type="cellIs" dxfId="25312" priority="25152" stopIfTrue="1" operator="equal">
      <formula>"Fail"</formula>
    </cfRule>
  </conditionalFormatting>
  <conditionalFormatting sqref="A790:A798">
    <cfRule type="cellIs" dxfId="25311" priority="25149" stopIfTrue="1" operator="equal">
      <formula>"Pass"</formula>
    </cfRule>
    <cfRule type="cellIs" dxfId="25310" priority="25150" stopIfTrue="1" operator="equal">
      <formula>"Fail"</formula>
    </cfRule>
  </conditionalFormatting>
  <conditionalFormatting sqref="A790:A798">
    <cfRule type="cellIs" dxfId="25309" priority="25147" stopIfTrue="1" operator="equal">
      <formula>"Pass"</formula>
    </cfRule>
    <cfRule type="cellIs" dxfId="25308" priority="25148" stopIfTrue="1" operator="equal">
      <formula>"Fail"</formula>
    </cfRule>
  </conditionalFormatting>
  <conditionalFormatting sqref="A790:A798">
    <cfRule type="cellIs" dxfId="25307" priority="25145" stopIfTrue="1" operator="equal">
      <formula>"Pass"</formula>
    </cfRule>
    <cfRule type="cellIs" dxfId="25306" priority="25146" stopIfTrue="1" operator="equal">
      <formula>"Fail"</formula>
    </cfRule>
  </conditionalFormatting>
  <conditionalFormatting sqref="A792 A795 A798">
    <cfRule type="cellIs" dxfId="25305" priority="25143" stopIfTrue="1" operator="equal">
      <formula>"Pass"</formula>
    </cfRule>
    <cfRule type="cellIs" dxfId="25304" priority="25144" stopIfTrue="1" operator="equal">
      <formula>"Fail"</formula>
    </cfRule>
  </conditionalFormatting>
  <conditionalFormatting sqref="A790:A798">
    <cfRule type="cellIs" dxfId="25303" priority="25141" stopIfTrue="1" operator="equal">
      <formula>"Pass"</formula>
    </cfRule>
    <cfRule type="cellIs" dxfId="25302" priority="25142" stopIfTrue="1" operator="equal">
      <formula>"Fail"</formula>
    </cfRule>
  </conditionalFormatting>
  <conditionalFormatting sqref="H790:H791">
    <cfRule type="cellIs" dxfId="25301" priority="25139" stopIfTrue="1" operator="equal">
      <formula>"Pass"</formula>
    </cfRule>
    <cfRule type="cellIs" dxfId="25300" priority="25140" stopIfTrue="1" operator="equal">
      <formula>"Fail"</formula>
    </cfRule>
  </conditionalFormatting>
  <conditionalFormatting sqref="F790 F792 I790:M791">
    <cfRule type="cellIs" dxfId="25299" priority="25137" stopIfTrue="1" operator="equal">
      <formula>"Pass"</formula>
    </cfRule>
    <cfRule type="cellIs" dxfId="25298" priority="25138" stopIfTrue="1" operator="equal">
      <formula>"Fail"</formula>
    </cfRule>
  </conditionalFormatting>
  <conditionalFormatting sqref="T792 T790 R790:R792 S791:S792">
    <cfRule type="cellIs" dxfId="25297" priority="25135" stopIfTrue="1" operator="equal">
      <formula>"Fail"</formula>
    </cfRule>
    <cfRule type="cellIs" dxfId="25296" priority="25136" stopIfTrue="1" operator="equal">
      <formula>"Pass"</formula>
    </cfRule>
  </conditionalFormatting>
  <conditionalFormatting sqref="F790:G790 F792:G792 J790:N791">
    <cfRule type="cellIs" dxfId="25295" priority="25133" stopIfTrue="1" operator="equal">
      <formula>"Pass"</formula>
    </cfRule>
    <cfRule type="cellIs" dxfId="25294" priority="25134" stopIfTrue="1" operator="equal">
      <formula>"Fail"</formula>
    </cfRule>
  </conditionalFormatting>
  <conditionalFormatting sqref="U792 U790 T790:T792 S791:S792">
    <cfRule type="cellIs" dxfId="25293" priority="25131" stopIfTrue="1" operator="equal">
      <formula>"Fail"</formula>
    </cfRule>
    <cfRule type="cellIs" dxfId="25292" priority="25132" stopIfTrue="1" operator="equal">
      <formula>"Pass"</formula>
    </cfRule>
  </conditionalFormatting>
  <conditionalFormatting sqref="J790:N791 F790:G792">
    <cfRule type="cellIs" dxfId="25291" priority="25129" stopIfTrue="1" operator="equal">
      <formula>"Pass"</formula>
    </cfRule>
    <cfRule type="cellIs" dxfId="25290" priority="25130" stopIfTrue="1" operator="equal">
      <formula>"Fail"</formula>
    </cfRule>
  </conditionalFormatting>
  <conditionalFormatting sqref="K790:O791 F790:H792">
    <cfRule type="cellIs" dxfId="25289" priority="25127" stopIfTrue="1" operator="equal">
      <formula>"Pass"</formula>
    </cfRule>
    <cfRule type="cellIs" dxfId="25288" priority="25128" stopIfTrue="1" operator="equal">
      <formula>"Fail"</formula>
    </cfRule>
  </conditionalFormatting>
  <conditionalFormatting sqref="T790">
    <cfRule type="cellIs" dxfId="25287" priority="25125" stopIfTrue="1" operator="equal">
      <formula>"Fail"</formula>
    </cfRule>
    <cfRule type="cellIs" dxfId="25286" priority="25126" stopIfTrue="1" operator="equal">
      <formula>"Pass"</formula>
    </cfRule>
  </conditionalFormatting>
  <conditionalFormatting sqref="J793:J794">
    <cfRule type="cellIs" dxfId="25285" priority="25123" stopIfTrue="1" operator="equal">
      <formula>"Pass"</formula>
    </cfRule>
    <cfRule type="cellIs" dxfId="25284" priority="25124" stopIfTrue="1" operator="equal">
      <formula>"Fail"</formula>
    </cfRule>
  </conditionalFormatting>
  <conditionalFormatting sqref="H793:H794 I794">
    <cfRule type="cellIs" dxfId="25283" priority="25121" stopIfTrue="1" operator="equal">
      <formula>"Pass"</formula>
    </cfRule>
    <cfRule type="cellIs" dxfId="25282" priority="25122" stopIfTrue="1" operator="equal">
      <formula>"Fail"</formula>
    </cfRule>
  </conditionalFormatting>
  <conditionalFormatting sqref="F795 F793:G793 K793:N794">
    <cfRule type="cellIs" dxfId="25281" priority="25119" stopIfTrue="1" operator="equal">
      <formula>"Pass"</formula>
    </cfRule>
    <cfRule type="cellIs" dxfId="25280" priority="25120" stopIfTrue="1" operator="equal">
      <formula>"Fail"</formula>
    </cfRule>
  </conditionalFormatting>
  <conditionalFormatting sqref="T793:T795 U794:U795">
    <cfRule type="cellIs" dxfId="25279" priority="25117" stopIfTrue="1" operator="equal">
      <formula>"Fail"</formula>
    </cfRule>
    <cfRule type="cellIs" dxfId="25278" priority="25118" stopIfTrue="1" operator="equal">
      <formula>"Pass"</formula>
    </cfRule>
  </conditionalFormatting>
  <conditionalFormatting sqref="U793">
    <cfRule type="cellIs" dxfId="25277" priority="25115" stopIfTrue="1" operator="equal">
      <formula>"Fail"</formula>
    </cfRule>
    <cfRule type="cellIs" dxfId="25276" priority="25116" stopIfTrue="1" operator="equal">
      <formula>"Pass"</formula>
    </cfRule>
  </conditionalFormatting>
  <conditionalFormatting sqref="U793">
    <cfRule type="cellIs" dxfId="25275" priority="25113" stopIfTrue="1" operator="equal">
      <formula>"Fail"</formula>
    </cfRule>
    <cfRule type="cellIs" dxfId="25274" priority="25114" stopIfTrue="1" operator="equal">
      <formula>"Pass"</formula>
    </cfRule>
  </conditionalFormatting>
  <conditionalFormatting sqref="J793:J794">
    <cfRule type="cellIs" dxfId="25273" priority="25111" stopIfTrue="1" operator="equal">
      <formula>"Pass"</formula>
    </cfRule>
    <cfRule type="cellIs" dxfId="25272" priority="25112" stopIfTrue="1" operator="equal">
      <formula>"Fail"</formula>
    </cfRule>
  </conditionalFormatting>
  <conditionalFormatting sqref="H793:H794 I794">
    <cfRule type="cellIs" dxfId="25271" priority="25109" stopIfTrue="1" operator="equal">
      <formula>"Pass"</formula>
    </cfRule>
    <cfRule type="cellIs" dxfId="25270" priority="25110" stopIfTrue="1" operator="equal">
      <formula>"Fail"</formula>
    </cfRule>
  </conditionalFormatting>
  <conditionalFormatting sqref="F795 F793:G793 K793:N794">
    <cfRule type="cellIs" dxfId="25269" priority="25107" stopIfTrue="1" operator="equal">
      <formula>"Pass"</formula>
    </cfRule>
    <cfRule type="cellIs" dxfId="25268" priority="25108" stopIfTrue="1" operator="equal">
      <formula>"Fail"</formula>
    </cfRule>
  </conditionalFormatting>
  <conditionalFormatting sqref="T793:T795 U794:U795">
    <cfRule type="cellIs" dxfId="25267" priority="25105" stopIfTrue="1" operator="equal">
      <formula>"Fail"</formula>
    </cfRule>
    <cfRule type="cellIs" dxfId="25266" priority="25106" stopIfTrue="1" operator="equal">
      <formula>"Pass"</formula>
    </cfRule>
  </conditionalFormatting>
  <conditionalFormatting sqref="U793">
    <cfRule type="cellIs" dxfId="25265" priority="25103" stopIfTrue="1" operator="equal">
      <formula>"Fail"</formula>
    </cfRule>
    <cfRule type="cellIs" dxfId="25264" priority="25104" stopIfTrue="1" operator="equal">
      <formula>"Pass"</formula>
    </cfRule>
  </conditionalFormatting>
  <conditionalFormatting sqref="U793">
    <cfRule type="cellIs" dxfId="25263" priority="25101" stopIfTrue="1" operator="equal">
      <formula>"Fail"</formula>
    </cfRule>
    <cfRule type="cellIs" dxfId="25262" priority="25102" stopIfTrue="1" operator="equal">
      <formula>"Pass"</formula>
    </cfRule>
  </conditionalFormatting>
  <conditionalFormatting sqref="F793:G793 K793:N793">
    <cfRule type="cellIs" dxfId="25261" priority="25099" stopIfTrue="1" operator="equal">
      <formula>"Pass"</formula>
    </cfRule>
    <cfRule type="cellIs" dxfId="25260" priority="25100" stopIfTrue="1" operator="equal">
      <formula>"Fail"</formula>
    </cfRule>
  </conditionalFormatting>
  <conditionalFormatting sqref="K794:N794">
    <cfRule type="cellIs" dxfId="25259" priority="25097" stopIfTrue="1" operator="equal">
      <formula>"Pass"</formula>
    </cfRule>
    <cfRule type="cellIs" dxfId="25258" priority="25098" stopIfTrue="1" operator="equal">
      <formula>"Fail"</formula>
    </cfRule>
  </conditionalFormatting>
  <conditionalFormatting sqref="U793">
    <cfRule type="cellIs" dxfId="25257" priority="25095" stopIfTrue="1" operator="equal">
      <formula>"Fail"</formula>
    </cfRule>
    <cfRule type="cellIs" dxfId="25256" priority="25096" stopIfTrue="1" operator="equal">
      <formula>"Pass"</formula>
    </cfRule>
  </conditionalFormatting>
  <conditionalFormatting sqref="H796:H797">
    <cfRule type="cellIs" dxfId="25255" priority="25093" stopIfTrue="1" operator="equal">
      <formula>"Pass"</formula>
    </cfRule>
    <cfRule type="cellIs" dxfId="25254" priority="25094" stopIfTrue="1" operator="equal">
      <formula>"Fail"</formula>
    </cfRule>
  </conditionalFormatting>
  <conditionalFormatting sqref="F796 I796:M797 F798">
    <cfRule type="cellIs" dxfId="25253" priority="25091" stopIfTrue="1" operator="equal">
      <formula>"Pass"</formula>
    </cfRule>
    <cfRule type="cellIs" dxfId="25252" priority="25092" stopIfTrue="1" operator="equal">
      <formula>"Fail"</formula>
    </cfRule>
  </conditionalFormatting>
  <conditionalFormatting sqref="T798 T796 R796:R798 S797:S798">
    <cfRule type="cellIs" dxfId="25251" priority="25089" stopIfTrue="1" operator="equal">
      <formula>"Fail"</formula>
    </cfRule>
    <cfRule type="cellIs" dxfId="25250" priority="25090" stopIfTrue="1" operator="equal">
      <formula>"Pass"</formula>
    </cfRule>
  </conditionalFormatting>
  <conditionalFormatting sqref="F796:G796 J796:N797 F798:G798">
    <cfRule type="cellIs" dxfId="25249" priority="25087" stopIfTrue="1" operator="equal">
      <formula>"Pass"</formula>
    </cfRule>
    <cfRule type="cellIs" dxfId="25248" priority="25088" stopIfTrue="1" operator="equal">
      <formula>"Fail"</formula>
    </cfRule>
  </conditionalFormatting>
  <conditionalFormatting sqref="U798 T796:T798 S797:S798">
    <cfRule type="cellIs" dxfId="25247" priority="25085" stopIfTrue="1" operator="equal">
      <formula>"Fail"</formula>
    </cfRule>
    <cfRule type="cellIs" dxfId="25246" priority="25086" stopIfTrue="1" operator="equal">
      <formula>"Pass"</formula>
    </cfRule>
  </conditionalFormatting>
  <conditionalFormatting sqref="U796">
    <cfRule type="cellIs" dxfId="25245" priority="25083" stopIfTrue="1" operator="equal">
      <formula>"Fail"</formula>
    </cfRule>
    <cfRule type="cellIs" dxfId="25244" priority="25084" stopIfTrue="1" operator="equal">
      <formula>"Pass"</formula>
    </cfRule>
  </conditionalFormatting>
  <conditionalFormatting sqref="F796:G796 J796:N796">
    <cfRule type="cellIs" dxfId="25243" priority="25081" stopIfTrue="1" operator="equal">
      <formula>"Pass"</formula>
    </cfRule>
    <cfRule type="cellIs" dxfId="25242" priority="25082" stopIfTrue="1" operator="equal">
      <formula>"Fail"</formula>
    </cfRule>
  </conditionalFormatting>
  <conditionalFormatting sqref="J797:N797">
    <cfRule type="cellIs" dxfId="25241" priority="25079" stopIfTrue="1" operator="equal">
      <formula>"Pass"</formula>
    </cfRule>
    <cfRule type="cellIs" dxfId="25240" priority="25080" stopIfTrue="1" operator="equal">
      <formula>"Fail"</formula>
    </cfRule>
  </conditionalFormatting>
  <conditionalFormatting sqref="K790:O791 F790:H792">
    <cfRule type="cellIs" dxfId="25239" priority="25077" stopIfTrue="1" operator="equal">
      <formula>"Pass"</formula>
    </cfRule>
    <cfRule type="cellIs" dxfId="25238" priority="25078" stopIfTrue="1" operator="equal">
      <formula>"Fail"</formula>
    </cfRule>
  </conditionalFormatting>
  <conditionalFormatting sqref="T790">
    <cfRule type="cellIs" dxfId="25237" priority="25075" stopIfTrue="1" operator="equal">
      <formula>"Fail"</formula>
    </cfRule>
    <cfRule type="cellIs" dxfId="25236" priority="25076" stopIfTrue="1" operator="equal">
      <formula>"Pass"</formula>
    </cfRule>
  </conditionalFormatting>
  <conditionalFormatting sqref="J793:J794">
    <cfRule type="cellIs" dxfId="25235" priority="25073" stopIfTrue="1" operator="equal">
      <formula>"Pass"</formula>
    </cfRule>
    <cfRule type="cellIs" dxfId="25234" priority="25074" stopIfTrue="1" operator="equal">
      <formula>"Fail"</formula>
    </cfRule>
  </conditionalFormatting>
  <conditionalFormatting sqref="H793:H794 I794">
    <cfRule type="cellIs" dxfId="25233" priority="25071" stopIfTrue="1" operator="equal">
      <formula>"Pass"</formula>
    </cfRule>
    <cfRule type="cellIs" dxfId="25232" priority="25072" stopIfTrue="1" operator="equal">
      <formula>"Fail"</formula>
    </cfRule>
  </conditionalFormatting>
  <conditionalFormatting sqref="F793:G793 K793:N794">
    <cfRule type="cellIs" dxfId="25231" priority="25069" stopIfTrue="1" operator="equal">
      <formula>"Pass"</formula>
    </cfRule>
    <cfRule type="cellIs" dxfId="25230" priority="25070" stopIfTrue="1" operator="equal">
      <formula>"Fail"</formula>
    </cfRule>
  </conditionalFormatting>
  <conditionalFormatting sqref="T793:T794 U794">
    <cfRule type="cellIs" dxfId="25229" priority="25067" stopIfTrue="1" operator="equal">
      <formula>"Fail"</formula>
    </cfRule>
    <cfRule type="cellIs" dxfId="25228" priority="25068" stopIfTrue="1" operator="equal">
      <formula>"Pass"</formula>
    </cfRule>
  </conditionalFormatting>
  <conditionalFormatting sqref="U793">
    <cfRule type="cellIs" dxfId="25227" priority="25065" stopIfTrue="1" operator="equal">
      <formula>"Fail"</formula>
    </cfRule>
    <cfRule type="cellIs" dxfId="25226" priority="25066" stopIfTrue="1" operator="equal">
      <formula>"Pass"</formula>
    </cfRule>
  </conditionalFormatting>
  <conditionalFormatting sqref="U793">
    <cfRule type="cellIs" dxfId="25225" priority="25063" stopIfTrue="1" operator="equal">
      <formula>"Fail"</formula>
    </cfRule>
    <cfRule type="cellIs" dxfId="25224" priority="25064" stopIfTrue="1" operator="equal">
      <formula>"Pass"</formula>
    </cfRule>
  </conditionalFormatting>
  <conditionalFormatting sqref="J793:J794">
    <cfRule type="cellIs" dxfId="25223" priority="25061" stopIfTrue="1" operator="equal">
      <formula>"Pass"</formula>
    </cfRule>
    <cfRule type="cellIs" dxfId="25222" priority="25062" stopIfTrue="1" operator="equal">
      <formula>"Fail"</formula>
    </cfRule>
  </conditionalFormatting>
  <conditionalFormatting sqref="H793:H794 I794">
    <cfRule type="cellIs" dxfId="25221" priority="25059" stopIfTrue="1" operator="equal">
      <formula>"Pass"</formula>
    </cfRule>
    <cfRule type="cellIs" dxfId="25220" priority="25060" stopIfTrue="1" operator="equal">
      <formula>"Fail"</formula>
    </cfRule>
  </conditionalFormatting>
  <conditionalFormatting sqref="F793:G793 K793:N794">
    <cfRule type="cellIs" dxfId="25219" priority="25057" stopIfTrue="1" operator="equal">
      <formula>"Pass"</formula>
    </cfRule>
    <cfRule type="cellIs" dxfId="25218" priority="25058" stopIfTrue="1" operator="equal">
      <formula>"Fail"</formula>
    </cfRule>
  </conditionalFormatting>
  <conditionalFormatting sqref="T793:T794 U794">
    <cfRule type="cellIs" dxfId="25217" priority="25055" stopIfTrue="1" operator="equal">
      <formula>"Fail"</formula>
    </cfRule>
    <cfRule type="cellIs" dxfId="25216" priority="25056" stopIfTrue="1" operator="equal">
      <formula>"Pass"</formula>
    </cfRule>
  </conditionalFormatting>
  <conditionalFormatting sqref="U793">
    <cfRule type="cellIs" dxfId="25215" priority="25053" stopIfTrue="1" operator="equal">
      <formula>"Fail"</formula>
    </cfRule>
    <cfRule type="cellIs" dxfId="25214" priority="25054" stopIfTrue="1" operator="equal">
      <formula>"Pass"</formula>
    </cfRule>
  </conditionalFormatting>
  <conditionalFormatting sqref="U793">
    <cfRule type="cellIs" dxfId="25213" priority="25051" stopIfTrue="1" operator="equal">
      <formula>"Fail"</formula>
    </cfRule>
    <cfRule type="cellIs" dxfId="25212" priority="25052" stopIfTrue="1" operator="equal">
      <formula>"Pass"</formula>
    </cfRule>
  </conditionalFormatting>
  <conditionalFormatting sqref="F793:G793 K793:N793">
    <cfRule type="cellIs" dxfId="25211" priority="25049" stopIfTrue="1" operator="equal">
      <formula>"Pass"</formula>
    </cfRule>
    <cfRule type="cellIs" dxfId="25210" priority="25050" stopIfTrue="1" operator="equal">
      <formula>"Fail"</formula>
    </cfRule>
  </conditionalFormatting>
  <conditionalFormatting sqref="K794:N794">
    <cfRule type="cellIs" dxfId="25209" priority="25047" stopIfTrue="1" operator="equal">
      <formula>"Pass"</formula>
    </cfRule>
    <cfRule type="cellIs" dxfId="25208" priority="25048" stopIfTrue="1" operator="equal">
      <formula>"Fail"</formula>
    </cfRule>
  </conditionalFormatting>
  <conditionalFormatting sqref="U793">
    <cfRule type="cellIs" dxfId="25207" priority="25045" stopIfTrue="1" operator="equal">
      <formula>"Fail"</formula>
    </cfRule>
    <cfRule type="cellIs" dxfId="25206" priority="25046" stopIfTrue="1" operator="equal">
      <formula>"Pass"</formula>
    </cfRule>
  </conditionalFormatting>
  <conditionalFormatting sqref="H796:H797">
    <cfRule type="cellIs" dxfId="25205" priority="25043" stopIfTrue="1" operator="equal">
      <formula>"Pass"</formula>
    </cfRule>
    <cfRule type="cellIs" dxfId="25204" priority="25044" stopIfTrue="1" operator="equal">
      <formula>"Fail"</formula>
    </cfRule>
  </conditionalFormatting>
  <conditionalFormatting sqref="F796 I796:M797 F798">
    <cfRule type="cellIs" dxfId="25203" priority="25041" stopIfTrue="1" operator="equal">
      <formula>"Pass"</formula>
    </cfRule>
    <cfRule type="cellIs" dxfId="25202" priority="25042" stopIfTrue="1" operator="equal">
      <formula>"Fail"</formula>
    </cfRule>
  </conditionalFormatting>
  <conditionalFormatting sqref="T798 T796 R796:R798 S797:S798">
    <cfRule type="cellIs" dxfId="25201" priority="25039" stopIfTrue="1" operator="equal">
      <formula>"Fail"</formula>
    </cfRule>
    <cfRule type="cellIs" dxfId="25200" priority="25040" stopIfTrue="1" operator="equal">
      <formula>"Pass"</formula>
    </cfRule>
  </conditionalFormatting>
  <conditionalFormatting sqref="F796:G796 J796:N797 F798:G798">
    <cfRule type="cellIs" dxfId="25199" priority="25037" stopIfTrue="1" operator="equal">
      <formula>"Pass"</formula>
    </cfRule>
    <cfRule type="cellIs" dxfId="25198" priority="25038" stopIfTrue="1" operator="equal">
      <formula>"Fail"</formula>
    </cfRule>
  </conditionalFormatting>
  <conditionalFormatting sqref="U798 T796:T798 S797:S798">
    <cfRule type="cellIs" dxfId="25197" priority="25035" stopIfTrue="1" operator="equal">
      <formula>"Fail"</formula>
    </cfRule>
    <cfRule type="cellIs" dxfId="25196" priority="25036" stopIfTrue="1" operator="equal">
      <formula>"Pass"</formula>
    </cfRule>
  </conditionalFormatting>
  <conditionalFormatting sqref="U796">
    <cfRule type="cellIs" dxfId="25195" priority="25033" stopIfTrue="1" operator="equal">
      <formula>"Fail"</formula>
    </cfRule>
    <cfRule type="cellIs" dxfId="25194" priority="25034" stopIfTrue="1" operator="equal">
      <formula>"Pass"</formula>
    </cfRule>
  </conditionalFormatting>
  <conditionalFormatting sqref="F796:G796 J796:N796">
    <cfRule type="cellIs" dxfId="25193" priority="25031" stopIfTrue="1" operator="equal">
      <formula>"Pass"</formula>
    </cfRule>
    <cfRule type="cellIs" dxfId="25192" priority="25032" stopIfTrue="1" operator="equal">
      <formula>"Fail"</formula>
    </cfRule>
  </conditionalFormatting>
  <conditionalFormatting sqref="J797:N797">
    <cfRule type="cellIs" dxfId="25191" priority="25029" stopIfTrue="1" operator="equal">
      <formula>"Pass"</formula>
    </cfRule>
    <cfRule type="cellIs" dxfId="25190" priority="25030" stopIfTrue="1" operator="equal">
      <formula>"Fail"</formula>
    </cfRule>
  </conditionalFormatting>
  <conditionalFormatting sqref="U793">
    <cfRule type="cellIs" dxfId="25189" priority="25027" stopIfTrue="1" operator="equal">
      <formula>"Fail"</formula>
    </cfRule>
    <cfRule type="cellIs" dxfId="25188" priority="25028" stopIfTrue="1" operator="equal">
      <formula>"Pass"</formula>
    </cfRule>
  </conditionalFormatting>
  <conditionalFormatting sqref="U796">
    <cfRule type="cellIs" dxfId="25187" priority="25025" stopIfTrue="1" operator="equal">
      <formula>"Fail"</formula>
    </cfRule>
    <cfRule type="cellIs" dxfId="25186" priority="25026" stopIfTrue="1" operator="equal">
      <formula>"Pass"</formula>
    </cfRule>
  </conditionalFormatting>
  <conditionalFormatting sqref="U793">
    <cfRule type="cellIs" dxfId="25185" priority="25023" stopIfTrue="1" operator="equal">
      <formula>"Fail"</formula>
    </cfRule>
    <cfRule type="cellIs" dxfId="25184" priority="25024" stopIfTrue="1" operator="equal">
      <formula>"Pass"</formula>
    </cfRule>
  </conditionalFormatting>
  <conditionalFormatting sqref="U793">
    <cfRule type="cellIs" dxfId="25183" priority="25021" stopIfTrue="1" operator="equal">
      <formula>"Fail"</formula>
    </cfRule>
    <cfRule type="cellIs" dxfId="25182" priority="25022" stopIfTrue="1" operator="equal">
      <formula>"Pass"</formula>
    </cfRule>
  </conditionalFormatting>
  <conditionalFormatting sqref="U796">
    <cfRule type="cellIs" dxfId="25181" priority="25019" stopIfTrue="1" operator="equal">
      <formula>"Fail"</formula>
    </cfRule>
    <cfRule type="cellIs" dxfId="25180" priority="25020" stopIfTrue="1" operator="equal">
      <formula>"Pass"</formula>
    </cfRule>
  </conditionalFormatting>
  <conditionalFormatting sqref="U796">
    <cfRule type="cellIs" dxfId="25179" priority="25017" stopIfTrue="1" operator="equal">
      <formula>"Fail"</formula>
    </cfRule>
    <cfRule type="cellIs" dxfId="25178" priority="25018" stopIfTrue="1" operator="equal">
      <formula>"Pass"</formula>
    </cfRule>
  </conditionalFormatting>
  <conditionalFormatting sqref="H799:H800">
    <cfRule type="cellIs" dxfId="25177" priority="25015" stopIfTrue="1" operator="equal">
      <formula>"Pass"</formula>
    </cfRule>
    <cfRule type="cellIs" dxfId="25176" priority="25016" stopIfTrue="1" operator="equal">
      <formula>"Fail"</formula>
    </cfRule>
  </conditionalFormatting>
  <conditionalFormatting sqref="E799:F799 E801:F801 I799:M800 A799:A807">
    <cfRule type="cellIs" dxfId="25175" priority="25013" stopIfTrue="1" operator="equal">
      <formula>"Pass"</formula>
    </cfRule>
    <cfRule type="cellIs" dxfId="25174" priority="25014" stopIfTrue="1" operator="equal">
      <formula>"Fail"</formula>
    </cfRule>
  </conditionalFormatting>
  <conditionalFormatting sqref="T801 T799 R799:R801 S800:S801">
    <cfRule type="cellIs" dxfId="25173" priority="25011" stopIfTrue="1" operator="equal">
      <formula>"Fail"</formula>
    </cfRule>
    <cfRule type="cellIs" dxfId="25172" priority="25012" stopIfTrue="1" operator="equal">
      <formula>"Pass"</formula>
    </cfRule>
  </conditionalFormatting>
  <conditionalFormatting sqref="F799:G799 F801:G801 A799:B801 J799:N800 A802:A807">
    <cfRule type="cellIs" dxfId="25171" priority="25009" stopIfTrue="1" operator="equal">
      <formula>"Pass"</formula>
    </cfRule>
    <cfRule type="cellIs" dxfId="25170" priority="25010" stopIfTrue="1" operator="equal">
      <formula>"Fail"</formula>
    </cfRule>
  </conditionalFormatting>
  <conditionalFormatting sqref="U801:V801 U799:V799 T799:T801 S800:S801">
    <cfRule type="cellIs" dxfId="25169" priority="25007" stopIfTrue="1" operator="equal">
      <formula>"Fail"</formula>
    </cfRule>
    <cfRule type="cellIs" dxfId="25168" priority="25008" stopIfTrue="1" operator="equal">
      <formula>"Pass"</formula>
    </cfRule>
  </conditionalFormatting>
  <conditionalFormatting sqref="A799:A807">
    <cfRule type="cellIs" dxfId="25167" priority="25005" stopIfTrue="1" operator="equal">
      <formula>"Pass"</formula>
    </cfRule>
    <cfRule type="cellIs" dxfId="25166" priority="25006" stopIfTrue="1" operator="equal">
      <formula>"Fail"</formula>
    </cfRule>
  </conditionalFormatting>
  <conditionalFormatting sqref="A799:A807">
    <cfRule type="cellIs" dxfId="25165" priority="25003" stopIfTrue="1" operator="equal">
      <formula>"Pass"</formula>
    </cfRule>
    <cfRule type="cellIs" dxfId="25164" priority="25004" stopIfTrue="1" operator="equal">
      <formula>"Fail"</formula>
    </cfRule>
  </conditionalFormatting>
  <conditionalFormatting sqref="A799:A807">
    <cfRule type="cellIs" dxfId="25163" priority="25001" stopIfTrue="1" operator="equal">
      <formula>"Pass"</formula>
    </cfRule>
    <cfRule type="cellIs" dxfId="25162" priority="25002" stopIfTrue="1" operator="equal">
      <formula>"Fail"</formula>
    </cfRule>
  </conditionalFormatting>
  <conditionalFormatting sqref="J799:N800 E799:G801">
    <cfRule type="cellIs" dxfId="25161" priority="24999" stopIfTrue="1" operator="equal">
      <formula>"Pass"</formula>
    </cfRule>
    <cfRule type="cellIs" dxfId="25160" priority="25000" stopIfTrue="1" operator="equal">
      <formula>"Fail"</formula>
    </cfRule>
  </conditionalFormatting>
  <conditionalFormatting sqref="A801 C801 K799:O800 F799:H801 A804 A807">
    <cfRule type="cellIs" dxfId="25159" priority="24997" stopIfTrue="1" operator="equal">
      <formula>"Pass"</formula>
    </cfRule>
    <cfRule type="cellIs" dxfId="25158" priority="24998" stopIfTrue="1" operator="equal">
      <formula>"Fail"</formula>
    </cfRule>
  </conditionalFormatting>
  <conditionalFormatting sqref="T799">
    <cfRule type="cellIs" dxfId="25157" priority="24995" stopIfTrue="1" operator="equal">
      <formula>"Fail"</formula>
    </cfRule>
    <cfRule type="cellIs" dxfId="25156" priority="24996" stopIfTrue="1" operator="equal">
      <formula>"Pass"</formula>
    </cfRule>
  </conditionalFormatting>
  <conditionalFormatting sqref="A799:A807">
    <cfRule type="cellIs" dxfId="25155" priority="24993" stopIfTrue="1" operator="equal">
      <formula>"Pass"</formula>
    </cfRule>
    <cfRule type="cellIs" dxfId="25154" priority="24994" stopIfTrue="1" operator="equal">
      <formula>"Fail"</formula>
    </cfRule>
  </conditionalFormatting>
  <conditionalFormatting sqref="A802">
    <cfRule type="cellIs" dxfId="25153" priority="24991" stopIfTrue="1" operator="equal">
      <formula>"Pass"</formula>
    </cfRule>
    <cfRule type="cellIs" dxfId="25152" priority="24992" stopIfTrue="1" operator="equal">
      <formula>"Fail"</formula>
    </cfRule>
  </conditionalFormatting>
  <conditionalFormatting sqref="A802">
    <cfRule type="cellIs" dxfId="25151" priority="24989" stopIfTrue="1" operator="equal">
      <formula>"Pass"</formula>
    </cfRule>
    <cfRule type="cellIs" dxfId="25150" priority="24990" stopIfTrue="1" operator="equal">
      <formula>"Fail"</formula>
    </cfRule>
  </conditionalFormatting>
  <conditionalFormatting sqref="A802">
    <cfRule type="cellIs" dxfId="25149" priority="24987" stopIfTrue="1" operator="equal">
      <formula>"Pass"</formula>
    </cfRule>
    <cfRule type="cellIs" dxfId="25148" priority="24988" stopIfTrue="1" operator="equal">
      <formula>"Fail"</formula>
    </cfRule>
  </conditionalFormatting>
  <conditionalFormatting sqref="A802">
    <cfRule type="cellIs" dxfId="25147" priority="24985" stopIfTrue="1" operator="equal">
      <formula>"Pass"</formula>
    </cfRule>
    <cfRule type="cellIs" dxfId="25146" priority="24986" stopIfTrue="1" operator="equal">
      <formula>"Fail"</formula>
    </cfRule>
  </conditionalFormatting>
  <conditionalFormatting sqref="A802">
    <cfRule type="cellIs" dxfId="25145" priority="24983" stopIfTrue="1" operator="equal">
      <formula>"Pass"</formula>
    </cfRule>
    <cfRule type="cellIs" dxfId="25144" priority="24984" stopIfTrue="1" operator="equal">
      <formula>"Fail"</formula>
    </cfRule>
  </conditionalFormatting>
  <conditionalFormatting sqref="A802">
    <cfRule type="cellIs" dxfId="25143" priority="24981" stopIfTrue="1" operator="equal">
      <formula>"Pass"</formula>
    </cfRule>
    <cfRule type="cellIs" dxfId="25142" priority="24982" stopIfTrue="1" operator="equal">
      <formula>"Fail"</formula>
    </cfRule>
  </conditionalFormatting>
  <conditionalFormatting sqref="A802">
    <cfRule type="cellIs" dxfId="25141" priority="24979" stopIfTrue="1" operator="equal">
      <formula>"Pass"</formula>
    </cfRule>
    <cfRule type="cellIs" dxfId="25140" priority="24980" stopIfTrue="1" operator="equal">
      <formula>"Fail"</formula>
    </cfRule>
  </conditionalFormatting>
  <conditionalFormatting sqref="A802">
    <cfRule type="cellIs" dxfId="25139" priority="24977" stopIfTrue="1" operator="equal">
      <formula>"Pass"</formula>
    </cfRule>
    <cfRule type="cellIs" dxfId="25138" priority="24978" stopIfTrue="1" operator="equal">
      <formula>"Fail"</formula>
    </cfRule>
  </conditionalFormatting>
  <conditionalFormatting sqref="A802">
    <cfRule type="cellIs" dxfId="25137" priority="24975" stopIfTrue="1" operator="equal">
      <formula>"Pass"</formula>
    </cfRule>
    <cfRule type="cellIs" dxfId="25136" priority="24976" stopIfTrue="1" operator="equal">
      <formula>"Fail"</formula>
    </cfRule>
  </conditionalFormatting>
  <conditionalFormatting sqref="A802">
    <cfRule type="cellIs" dxfId="25135" priority="24973" stopIfTrue="1" operator="equal">
      <formula>"Pass"</formula>
    </cfRule>
    <cfRule type="cellIs" dxfId="25134" priority="24974" stopIfTrue="1" operator="equal">
      <formula>"Fail"</formula>
    </cfRule>
  </conditionalFormatting>
  <conditionalFormatting sqref="A802">
    <cfRule type="cellIs" dxfId="25133" priority="24971" stopIfTrue="1" operator="equal">
      <formula>"Pass"</formula>
    </cfRule>
    <cfRule type="cellIs" dxfId="25132" priority="24972" stopIfTrue="1" operator="equal">
      <formula>"Fail"</formula>
    </cfRule>
  </conditionalFormatting>
  <conditionalFormatting sqref="A802">
    <cfRule type="cellIs" dxfId="25131" priority="24969" stopIfTrue="1" operator="equal">
      <formula>"Pass"</formula>
    </cfRule>
    <cfRule type="cellIs" dxfId="25130" priority="24970" stopIfTrue="1" operator="equal">
      <formula>"Fail"</formula>
    </cfRule>
  </conditionalFormatting>
  <conditionalFormatting sqref="J802:J803">
    <cfRule type="cellIs" dxfId="25129" priority="24967" stopIfTrue="1" operator="equal">
      <formula>"Pass"</formula>
    </cfRule>
    <cfRule type="cellIs" dxfId="25128" priority="24968" stopIfTrue="1" operator="equal">
      <formula>"Fail"</formula>
    </cfRule>
  </conditionalFormatting>
  <conditionalFormatting sqref="H802:H803 I803">
    <cfRule type="cellIs" dxfId="25127" priority="24965" stopIfTrue="1" operator="equal">
      <formula>"Pass"</formula>
    </cfRule>
    <cfRule type="cellIs" dxfId="25126" priority="24966" stopIfTrue="1" operator="equal">
      <formula>"Fail"</formula>
    </cfRule>
  </conditionalFormatting>
  <conditionalFormatting sqref="A802 C802 F804 F802:G802 K802:N803">
    <cfRule type="cellIs" dxfId="25125" priority="24963" stopIfTrue="1" operator="equal">
      <formula>"Pass"</formula>
    </cfRule>
    <cfRule type="cellIs" dxfId="25124" priority="24964" stopIfTrue="1" operator="equal">
      <formula>"Fail"</formula>
    </cfRule>
  </conditionalFormatting>
  <conditionalFormatting sqref="T802:T804 U803:V804">
    <cfRule type="cellIs" dxfId="25123" priority="24961" stopIfTrue="1" operator="equal">
      <formula>"Fail"</formula>
    </cfRule>
    <cfRule type="cellIs" dxfId="25122" priority="24962" stopIfTrue="1" operator="equal">
      <formula>"Pass"</formula>
    </cfRule>
  </conditionalFormatting>
  <conditionalFormatting sqref="A802">
    <cfRule type="cellIs" dxfId="25121" priority="24959" stopIfTrue="1" operator="equal">
      <formula>"Pass"</formula>
    </cfRule>
    <cfRule type="cellIs" dxfId="25120" priority="24960" stopIfTrue="1" operator="equal">
      <formula>"Fail"</formula>
    </cfRule>
  </conditionalFormatting>
  <conditionalFormatting sqref="A802">
    <cfRule type="cellIs" dxfId="25119" priority="24957" stopIfTrue="1" operator="equal">
      <formula>"Pass"</formula>
    </cfRule>
    <cfRule type="cellIs" dxfId="25118" priority="24958" stopIfTrue="1" operator="equal">
      <formula>"Fail"</formula>
    </cfRule>
  </conditionalFormatting>
  <conditionalFormatting sqref="A802">
    <cfRule type="cellIs" dxfId="25117" priority="24955" stopIfTrue="1" operator="equal">
      <formula>"Pass"</formula>
    </cfRule>
    <cfRule type="cellIs" dxfId="25116" priority="24956" stopIfTrue="1" operator="equal">
      <formula>"Fail"</formula>
    </cfRule>
  </conditionalFormatting>
  <conditionalFormatting sqref="A802">
    <cfRule type="cellIs" dxfId="25115" priority="24953" stopIfTrue="1" operator="equal">
      <formula>"Pass"</formula>
    </cfRule>
    <cfRule type="cellIs" dxfId="25114" priority="24954" stopIfTrue="1" operator="equal">
      <formula>"Fail"</formula>
    </cfRule>
  </conditionalFormatting>
  <conditionalFormatting sqref="A802">
    <cfRule type="cellIs" dxfId="25113" priority="24951" stopIfTrue="1" operator="equal">
      <formula>"Pass"</formula>
    </cfRule>
    <cfRule type="cellIs" dxfId="25112" priority="24952" stopIfTrue="1" operator="equal">
      <formula>"Fail"</formula>
    </cfRule>
  </conditionalFormatting>
  <conditionalFormatting sqref="A802">
    <cfRule type="cellIs" dxfId="25111" priority="24949" stopIfTrue="1" operator="equal">
      <formula>"Pass"</formula>
    </cfRule>
    <cfRule type="cellIs" dxfId="25110" priority="24950" stopIfTrue="1" operator="equal">
      <formula>"Fail"</formula>
    </cfRule>
  </conditionalFormatting>
  <conditionalFormatting sqref="A802">
    <cfRule type="cellIs" dxfId="25109" priority="24947" stopIfTrue="1" operator="equal">
      <formula>"Pass"</formula>
    </cfRule>
    <cfRule type="cellIs" dxfId="25108" priority="24948" stopIfTrue="1" operator="equal">
      <formula>"Fail"</formula>
    </cfRule>
  </conditionalFormatting>
  <conditionalFormatting sqref="A802">
    <cfRule type="cellIs" dxfId="25107" priority="24945" stopIfTrue="1" operator="equal">
      <formula>"Pass"</formula>
    </cfRule>
    <cfRule type="cellIs" dxfId="25106" priority="24946" stopIfTrue="1" operator="equal">
      <formula>"Fail"</formula>
    </cfRule>
  </conditionalFormatting>
  <conditionalFormatting sqref="A802">
    <cfRule type="cellIs" dxfId="25105" priority="24943" stopIfTrue="1" operator="equal">
      <formula>"Pass"</formula>
    </cfRule>
    <cfRule type="cellIs" dxfId="25104" priority="24944" stopIfTrue="1" operator="equal">
      <formula>"Fail"</formula>
    </cfRule>
  </conditionalFormatting>
  <conditionalFormatting sqref="A802">
    <cfRule type="cellIs" dxfId="25103" priority="24941" stopIfTrue="1" operator="equal">
      <formula>"Pass"</formula>
    </cfRule>
    <cfRule type="cellIs" dxfId="25102" priority="24942" stopIfTrue="1" operator="equal">
      <formula>"Fail"</formula>
    </cfRule>
  </conditionalFormatting>
  <conditionalFormatting sqref="A802">
    <cfRule type="cellIs" dxfId="25101" priority="24939" stopIfTrue="1" operator="equal">
      <formula>"Pass"</formula>
    </cfRule>
    <cfRule type="cellIs" dxfId="25100" priority="24940" stopIfTrue="1" operator="equal">
      <formula>"Fail"</formula>
    </cfRule>
  </conditionalFormatting>
  <conditionalFormatting sqref="A802">
    <cfRule type="cellIs" dxfId="25099" priority="24937" stopIfTrue="1" operator="equal">
      <formula>"Pass"</formula>
    </cfRule>
    <cfRule type="cellIs" dxfId="25098" priority="24938" stopIfTrue="1" operator="equal">
      <formula>"Fail"</formula>
    </cfRule>
  </conditionalFormatting>
  <conditionalFormatting sqref="A802">
    <cfRule type="cellIs" dxfId="25097" priority="24935" stopIfTrue="1" operator="equal">
      <formula>"Pass"</formula>
    </cfRule>
    <cfRule type="cellIs" dxfId="25096" priority="24936" stopIfTrue="1" operator="equal">
      <formula>"Fail"</formula>
    </cfRule>
  </conditionalFormatting>
  <conditionalFormatting sqref="A802">
    <cfRule type="cellIs" dxfId="25095" priority="24933" stopIfTrue="1" operator="equal">
      <formula>"Pass"</formula>
    </cfRule>
    <cfRule type="cellIs" dxfId="25094" priority="24934" stopIfTrue="1" operator="equal">
      <formula>"Fail"</formula>
    </cfRule>
  </conditionalFormatting>
  <conditionalFormatting sqref="A802">
    <cfRule type="cellIs" dxfId="25093" priority="24931" stopIfTrue="1" operator="equal">
      <formula>"Pass"</formula>
    </cfRule>
    <cfRule type="cellIs" dxfId="25092" priority="24932" stopIfTrue="1" operator="equal">
      <formula>"Fail"</formula>
    </cfRule>
  </conditionalFormatting>
  <conditionalFormatting sqref="A802">
    <cfRule type="cellIs" dxfId="25091" priority="24929" stopIfTrue="1" operator="equal">
      <formula>"Pass"</formula>
    </cfRule>
    <cfRule type="cellIs" dxfId="25090" priority="24930" stopIfTrue="1" operator="equal">
      <formula>"Fail"</formula>
    </cfRule>
  </conditionalFormatting>
  <conditionalFormatting sqref="U802:V802">
    <cfRule type="cellIs" dxfId="25089" priority="24927" stopIfTrue="1" operator="equal">
      <formula>"Fail"</formula>
    </cfRule>
    <cfRule type="cellIs" dxfId="25088" priority="24928" stopIfTrue="1" operator="equal">
      <formula>"Pass"</formula>
    </cfRule>
  </conditionalFormatting>
  <conditionalFormatting sqref="U802:V802">
    <cfRule type="cellIs" dxfId="25087" priority="24925" stopIfTrue="1" operator="equal">
      <formula>"Fail"</formula>
    </cfRule>
    <cfRule type="cellIs" dxfId="25086" priority="24926" stopIfTrue="1" operator="equal">
      <formula>"Pass"</formula>
    </cfRule>
  </conditionalFormatting>
  <conditionalFormatting sqref="J802:J803">
    <cfRule type="cellIs" dxfId="25085" priority="24923" stopIfTrue="1" operator="equal">
      <formula>"Pass"</formula>
    </cfRule>
    <cfRule type="cellIs" dxfId="25084" priority="24924" stopIfTrue="1" operator="equal">
      <formula>"Fail"</formula>
    </cfRule>
  </conditionalFormatting>
  <conditionalFormatting sqref="H802:H803 I803">
    <cfRule type="cellIs" dxfId="25083" priority="24921" stopIfTrue="1" operator="equal">
      <formula>"Pass"</formula>
    </cfRule>
    <cfRule type="cellIs" dxfId="25082" priority="24922" stopIfTrue="1" operator="equal">
      <formula>"Fail"</formula>
    </cfRule>
  </conditionalFormatting>
  <conditionalFormatting sqref="F804 F802:G802 K802:N803">
    <cfRule type="cellIs" dxfId="25081" priority="24919" stopIfTrue="1" operator="equal">
      <formula>"Pass"</formula>
    </cfRule>
    <cfRule type="cellIs" dxfId="25080" priority="24920" stopIfTrue="1" operator="equal">
      <formula>"Fail"</formula>
    </cfRule>
  </conditionalFormatting>
  <conditionalFormatting sqref="T802:T804 U803:V804">
    <cfRule type="cellIs" dxfId="25079" priority="24917" stopIfTrue="1" operator="equal">
      <formula>"Fail"</formula>
    </cfRule>
    <cfRule type="cellIs" dxfId="25078" priority="24918" stopIfTrue="1" operator="equal">
      <formula>"Pass"</formula>
    </cfRule>
  </conditionalFormatting>
  <conditionalFormatting sqref="U802:V802">
    <cfRule type="cellIs" dxfId="25077" priority="24915" stopIfTrue="1" operator="equal">
      <formula>"Fail"</formula>
    </cfRule>
    <cfRule type="cellIs" dxfId="25076" priority="24916" stopIfTrue="1" operator="equal">
      <formula>"Pass"</formula>
    </cfRule>
  </conditionalFormatting>
  <conditionalFormatting sqref="U802:V802">
    <cfRule type="cellIs" dxfId="25075" priority="24913" stopIfTrue="1" operator="equal">
      <formula>"Fail"</formula>
    </cfRule>
    <cfRule type="cellIs" dxfId="25074" priority="24914" stopIfTrue="1" operator="equal">
      <formula>"Pass"</formula>
    </cfRule>
  </conditionalFormatting>
  <conditionalFormatting sqref="F802:G802 K802:N802">
    <cfRule type="cellIs" dxfId="25073" priority="24911" stopIfTrue="1" operator="equal">
      <formula>"Pass"</formula>
    </cfRule>
    <cfRule type="cellIs" dxfId="25072" priority="24912" stopIfTrue="1" operator="equal">
      <formula>"Fail"</formula>
    </cfRule>
  </conditionalFormatting>
  <conditionalFormatting sqref="K803:N803">
    <cfRule type="cellIs" dxfId="25071" priority="24909" stopIfTrue="1" operator="equal">
      <formula>"Pass"</formula>
    </cfRule>
    <cfRule type="cellIs" dxfId="25070" priority="24910" stopIfTrue="1" operator="equal">
      <formula>"Fail"</formula>
    </cfRule>
  </conditionalFormatting>
  <conditionalFormatting sqref="U802:V802">
    <cfRule type="cellIs" dxfId="25069" priority="24907" stopIfTrue="1" operator="equal">
      <formula>"Fail"</formula>
    </cfRule>
    <cfRule type="cellIs" dxfId="25068" priority="24908" stopIfTrue="1" operator="equal">
      <formula>"Pass"</formula>
    </cfRule>
  </conditionalFormatting>
  <conditionalFormatting sqref="H805:H806">
    <cfRule type="cellIs" dxfId="25067" priority="24905" stopIfTrue="1" operator="equal">
      <formula>"Pass"</formula>
    </cfRule>
    <cfRule type="cellIs" dxfId="25066" priority="24906" stopIfTrue="1" operator="equal">
      <formula>"Fail"</formula>
    </cfRule>
  </conditionalFormatting>
  <conditionalFormatting sqref="E805:F805 I805:M806 E807:F807 A805">
    <cfRule type="cellIs" dxfId="25065" priority="24903" stopIfTrue="1" operator="equal">
      <formula>"Pass"</formula>
    </cfRule>
    <cfRule type="cellIs" dxfId="25064" priority="24904" stopIfTrue="1" operator="equal">
      <formula>"Fail"</formula>
    </cfRule>
  </conditionalFormatting>
  <conditionalFormatting sqref="T807 T805 R805:R807 S806:S807">
    <cfRule type="cellIs" dxfId="25063" priority="24901" stopIfTrue="1" operator="equal">
      <formula>"Fail"</formula>
    </cfRule>
    <cfRule type="cellIs" dxfId="25062" priority="24902" stopIfTrue="1" operator="equal">
      <formula>"Pass"</formula>
    </cfRule>
  </conditionalFormatting>
  <conditionalFormatting sqref="F805:G805 F807:G807 B805:B807 A805 J805:N806">
    <cfRule type="cellIs" dxfId="25061" priority="24899" stopIfTrue="1" operator="equal">
      <formula>"Pass"</formula>
    </cfRule>
    <cfRule type="cellIs" dxfId="25060" priority="24900" stopIfTrue="1" operator="equal">
      <formula>"Fail"</formula>
    </cfRule>
  </conditionalFormatting>
  <conditionalFormatting sqref="U807:V807 T805:T807 S806:S807">
    <cfRule type="cellIs" dxfId="25059" priority="24897" stopIfTrue="1" operator="equal">
      <formula>"Fail"</formula>
    </cfRule>
    <cfRule type="cellIs" dxfId="25058" priority="24898" stopIfTrue="1" operator="equal">
      <formula>"Pass"</formula>
    </cfRule>
  </conditionalFormatting>
  <conditionalFormatting sqref="A805">
    <cfRule type="cellIs" dxfId="25057" priority="24895" stopIfTrue="1" operator="equal">
      <formula>"Pass"</formula>
    </cfRule>
    <cfRule type="cellIs" dxfId="25056" priority="24896" stopIfTrue="1" operator="equal">
      <formula>"Fail"</formula>
    </cfRule>
  </conditionalFormatting>
  <conditionalFormatting sqref="A805">
    <cfRule type="cellIs" dxfId="25055" priority="24893" stopIfTrue="1" operator="equal">
      <formula>"Pass"</formula>
    </cfRule>
    <cfRule type="cellIs" dxfId="25054" priority="24894" stopIfTrue="1" operator="equal">
      <formula>"Fail"</formula>
    </cfRule>
  </conditionalFormatting>
  <conditionalFormatting sqref="A805">
    <cfRule type="cellIs" dxfId="25053" priority="24891" stopIfTrue="1" operator="equal">
      <formula>"Pass"</formula>
    </cfRule>
    <cfRule type="cellIs" dxfId="25052" priority="24892" stopIfTrue="1" operator="equal">
      <formula>"Fail"</formula>
    </cfRule>
  </conditionalFormatting>
  <conditionalFormatting sqref="A805">
    <cfRule type="cellIs" dxfId="25051" priority="24889" stopIfTrue="1" operator="equal">
      <formula>"Pass"</formula>
    </cfRule>
    <cfRule type="cellIs" dxfId="25050" priority="24890" stopIfTrue="1" operator="equal">
      <formula>"Fail"</formula>
    </cfRule>
  </conditionalFormatting>
  <conditionalFormatting sqref="A805">
    <cfRule type="cellIs" dxfId="25049" priority="24887" stopIfTrue="1" operator="equal">
      <formula>"Pass"</formula>
    </cfRule>
    <cfRule type="cellIs" dxfId="25048" priority="24888" stopIfTrue="1" operator="equal">
      <formula>"Fail"</formula>
    </cfRule>
  </conditionalFormatting>
  <conditionalFormatting sqref="A805">
    <cfRule type="cellIs" dxfId="25047" priority="24885" stopIfTrue="1" operator="equal">
      <formula>"Pass"</formula>
    </cfRule>
    <cfRule type="cellIs" dxfId="25046" priority="24886" stopIfTrue="1" operator="equal">
      <formula>"Fail"</formula>
    </cfRule>
  </conditionalFormatting>
  <conditionalFormatting sqref="A805">
    <cfRule type="cellIs" dxfId="25045" priority="24883" stopIfTrue="1" operator="equal">
      <formula>"Pass"</formula>
    </cfRule>
    <cfRule type="cellIs" dxfId="25044" priority="24884" stopIfTrue="1" operator="equal">
      <formula>"Fail"</formula>
    </cfRule>
  </conditionalFormatting>
  <conditionalFormatting sqref="A805">
    <cfRule type="cellIs" dxfId="25043" priority="24881" stopIfTrue="1" operator="equal">
      <formula>"Pass"</formula>
    </cfRule>
    <cfRule type="cellIs" dxfId="25042" priority="24882" stopIfTrue="1" operator="equal">
      <formula>"Fail"</formula>
    </cfRule>
  </conditionalFormatting>
  <conditionalFormatting sqref="A805">
    <cfRule type="cellIs" dxfId="25041" priority="24879" stopIfTrue="1" operator="equal">
      <formula>"Pass"</formula>
    </cfRule>
    <cfRule type="cellIs" dxfId="25040" priority="24880" stopIfTrue="1" operator="equal">
      <formula>"Fail"</formula>
    </cfRule>
  </conditionalFormatting>
  <conditionalFormatting sqref="A805">
    <cfRule type="cellIs" dxfId="25039" priority="24877" stopIfTrue="1" operator="equal">
      <formula>"Pass"</formula>
    </cfRule>
    <cfRule type="cellIs" dxfId="25038" priority="24878" stopIfTrue="1" operator="equal">
      <formula>"Fail"</formula>
    </cfRule>
  </conditionalFormatting>
  <conditionalFormatting sqref="U805:V805">
    <cfRule type="cellIs" dxfId="25037" priority="24875" stopIfTrue="1" operator="equal">
      <formula>"Fail"</formula>
    </cfRule>
    <cfRule type="cellIs" dxfId="25036" priority="24876" stopIfTrue="1" operator="equal">
      <formula>"Pass"</formula>
    </cfRule>
  </conditionalFormatting>
  <conditionalFormatting sqref="F805:G805 J805:N805">
    <cfRule type="cellIs" dxfId="25035" priority="24873" stopIfTrue="1" operator="equal">
      <formula>"Pass"</formula>
    </cfRule>
    <cfRule type="cellIs" dxfId="25034" priority="24874" stopIfTrue="1" operator="equal">
      <formula>"Fail"</formula>
    </cfRule>
  </conditionalFormatting>
  <conditionalFormatting sqref="J806:N806">
    <cfRule type="cellIs" dxfId="25033" priority="24871" stopIfTrue="1" operator="equal">
      <formula>"Pass"</formula>
    </cfRule>
    <cfRule type="cellIs" dxfId="25032" priority="24872" stopIfTrue="1" operator="equal">
      <formula>"Fail"</formula>
    </cfRule>
  </conditionalFormatting>
  <conditionalFormatting sqref="A799:A807">
    <cfRule type="cellIs" dxfId="25031" priority="24869" stopIfTrue="1" operator="equal">
      <formula>"Pass"</formula>
    </cfRule>
    <cfRule type="cellIs" dxfId="25030" priority="24870" stopIfTrue="1" operator="equal">
      <formula>"Fail"</formula>
    </cfRule>
  </conditionalFormatting>
  <conditionalFormatting sqref="A799:A807">
    <cfRule type="cellIs" dxfId="25029" priority="24867" stopIfTrue="1" operator="equal">
      <formula>"Pass"</formula>
    </cfRule>
    <cfRule type="cellIs" dxfId="25028" priority="24868" stopIfTrue="1" operator="equal">
      <formula>"Fail"</formula>
    </cfRule>
  </conditionalFormatting>
  <conditionalFormatting sqref="A799:A807">
    <cfRule type="cellIs" dxfId="25027" priority="24865" stopIfTrue="1" operator="equal">
      <formula>"Pass"</formula>
    </cfRule>
    <cfRule type="cellIs" dxfId="25026" priority="24866" stopIfTrue="1" operator="equal">
      <formula>"Fail"</formula>
    </cfRule>
  </conditionalFormatting>
  <conditionalFormatting sqref="A799:A807">
    <cfRule type="cellIs" dxfId="25025" priority="24863" stopIfTrue="1" operator="equal">
      <formula>"Pass"</formula>
    </cfRule>
    <cfRule type="cellIs" dxfId="25024" priority="24864" stopIfTrue="1" operator="equal">
      <formula>"Fail"</formula>
    </cfRule>
  </conditionalFormatting>
  <conditionalFormatting sqref="A799:A807">
    <cfRule type="cellIs" dxfId="25023" priority="24861" stopIfTrue="1" operator="equal">
      <formula>"Pass"</formula>
    </cfRule>
    <cfRule type="cellIs" dxfId="25022" priority="24862" stopIfTrue="1" operator="equal">
      <formula>"Fail"</formula>
    </cfRule>
  </conditionalFormatting>
  <conditionalFormatting sqref="A801 A804 A807">
    <cfRule type="cellIs" dxfId="25021" priority="24859" stopIfTrue="1" operator="equal">
      <formula>"Pass"</formula>
    </cfRule>
    <cfRule type="cellIs" dxfId="25020" priority="24860" stopIfTrue="1" operator="equal">
      <formula>"Fail"</formula>
    </cfRule>
  </conditionalFormatting>
  <conditionalFormatting sqref="A799:A807">
    <cfRule type="cellIs" dxfId="25019" priority="24857" stopIfTrue="1" operator="equal">
      <formula>"Pass"</formula>
    </cfRule>
    <cfRule type="cellIs" dxfId="25018" priority="24858" stopIfTrue="1" operator="equal">
      <formula>"Fail"</formula>
    </cfRule>
  </conditionalFormatting>
  <conditionalFormatting sqref="A799:A807">
    <cfRule type="cellIs" dxfId="25017" priority="24855" stopIfTrue="1" operator="equal">
      <formula>"Pass"</formula>
    </cfRule>
    <cfRule type="cellIs" dxfId="25016" priority="24856" stopIfTrue="1" operator="equal">
      <formula>"Fail"</formula>
    </cfRule>
  </conditionalFormatting>
  <conditionalFormatting sqref="A799:A807">
    <cfRule type="cellIs" dxfId="25015" priority="24853" stopIfTrue="1" operator="equal">
      <formula>"Pass"</formula>
    </cfRule>
    <cfRule type="cellIs" dxfId="25014" priority="24854" stopIfTrue="1" operator="equal">
      <formula>"Fail"</formula>
    </cfRule>
  </conditionalFormatting>
  <conditionalFormatting sqref="A799:A807">
    <cfRule type="cellIs" dxfId="25013" priority="24851" stopIfTrue="1" operator="equal">
      <formula>"Pass"</formula>
    </cfRule>
    <cfRule type="cellIs" dxfId="25012" priority="24852" stopIfTrue="1" operator="equal">
      <formula>"Fail"</formula>
    </cfRule>
  </conditionalFormatting>
  <conditionalFormatting sqref="A799:A807">
    <cfRule type="cellIs" dxfId="25011" priority="24849" stopIfTrue="1" operator="equal">
      <formula>"Pass"</formula>
    </cfRule>
    <cfRule type="cellIs" dxfId="25010" priority="24850" stopIfTrue="1" operator="equal">
      <formula>"Fail"</formula>
    </cfRule>
  </conditionalFormatting>
  <conditionalFormatting sqref="A799:A807">
    <cfRule type="cellIs" dxfId="25009" priority="24847" stopIfTrue="1" operator="equal">
      <formula>"Pass"</formula>
    </cfRule>
    <cfRule type="cellIs" dxfId="25008" priority="24848" stopIfTrue="1" operator="equal">
      <formula>"Fail"</formula>
    </cfRule>
  </conditionalFormatting>
  <conditionalFormatting sqref="A801 A804 A807">
    <cfRule type="cellIs" dxfId="25007" priority="24845" stopIfTrue="1" operator="equal">
      <formula>"Pass"</formula>
    </cfRule>
    <cfRule type="cellIs" dxfId="25006" priority="24846" stopIfTrue="1" operator="equal">
      <formula>"Fail"</formula>
    </cfRule>
  </conditionalFormatting>
  <conditionalFormatting sqref="A799:A807">
    <cfRule type="cellIs" dxfId="25005" priority="24843" stopIfTrue="1" operator="equal">
      <formula>"Pass"</formula>
    </cfRule>
    <cfRule type="cellIs" dxfId="25004" priority="24844" stopIfTrue="1" operator="equal">
      <formula>"Fail"</formula>
    </cfRule>
  </conditionalFormatting>
  <conditionalFormatting sqref="H799:H800">
    <cfRule type="cellIs" dxfId="25003" priority="24841" stopIfTrue="1" operator="equal">
      <formula>"Pass"</formula>
    </cfRule>
    <cfRule type="cellIs" dxfId="25002" priority="24842" stopIfTrue="1" operator="equal">
      <formula>"Fail"</formula>
    </cfRule>
  </conditionalFormatting>
  <conditionalFormatting sqref="F799 F801 I799:M800">
    <cfRule type="cellIs" dxfId="25001" priority="24839" stopIfTrue="1" operator="equal">
      <formula>"Pass"</formula>
    </cfRule>
    <cfRule type="cellIs" dxfId="25000" priority="24840" stopIfTrue="1" operator="equal">
      <formula>"Fail"</formula>
    </cfRule>
  </conditionalFormatting>
  <conditionalFormatting sqref="T801 T799 R799:R801 S800:S801">
    <cfRule type="cellIs" dxfId="24999" priority="24837" stopIfTrue="1" operator="equal">
      <formula>"Fail"</formula>
    </cfRule>
    <cfRule type="cellIs" dxfId="24998" priority="24838" stopIfTrue="1" operator="equal">
      <formula>"Pass"</formula>
    </cfRule>
  </conditionalFormatting>
  <conditionalFormatting sqref="F799:G799 F801:G801 J799:N800">
    <cfRule type="cellIs" dxfId="24997" priority="24835" stopIfTrue="1" operator="equal">
      <formula>"Pass"</formula>
    </cfRule>
    <cfRule type="cellIs" dxfId="24996" priority="24836" stopIfTrue="1" operator="equal">
      <formula>"Fail"</formula>
    </cfRule>
  </conditionalFormatting>
  <conditionalFormatting sqref="U801:V801 U799:V799 T799:T801 S800:S801">
    <cfRule type="cellIs" dxfId="24995" priority="24833" stopIfTrue="1" operator="equal">
      <formula>"Fail"</formula>
    </cfRule>
    <cfRule type="cellIs" dxfId="24994" priority="24834" stopIfTrue="1" operator="equal">
      <formula>"Pass"</formula>
    </cfRule>
  </conditionalFormatting>
  <conditionalFormatting sqref="J799:N800 F799:G801">
    <cfRule type="cellIs" dxfId="24993" priority="24831" stopIfTrue="1" operator="equal">
      <formula>"Pass"</formula>
    </cfRule>
    <cfRule type="cellIs" dxfId="24992" priority="24832" stopIfTrue="1" operator="equal">
      <formula>"Fail"</formula>
    </cfRule>
  </conditionalFormatting>
  <conditionalFormatting sqref="K799:O800 F799:H801">
    <cfRule type="cellIs" dxfId="24991" priority="24829" stopIfTrue="1" operator="equal">
      <formula>"Pass"</formula>
    </cfRule>
    <cfRule type="cellIs" dxfId="24990" priority="24830" stopIfTrue="1" operator="equal">
      <formula>"Fail"</formula>
    </cfRule>
  </conditionalFormatting>
  <conditionalFormatting sqref="T799">
    <cfRule type="cellIs" dxfId="24989" priority="24827" stopIfTrue="1" operator="equal">
      <formula>"Fail"</formula>
    </cfRule>
    <cfRule type="cellIs" dxfId="24988" priority="24828" stopIfTrue="1" operator="equal">
      <formula>"Pass"</formula>
    </cfRule>
  </conditionalFormatting>
  <conditionalFormatting sqref="J802:J803">
    <cfRule type="cellIs" dxfId="24987" priority="24825" stopIfTrue="1" operator="equal">
      <formula>"Pass"</formula>
    </cfRule>
    <cfRule type="cellIs" dxfId="24986" priority="24826" stopIfTrue="1" operator="equal">
      <formula>"Fail"</formula>
    </cfRule>
  </conditionalFormatting>
  <conditionalFormatting sqref="H802:H803 I803">
    <cfRule type="cellIs" dxfId="24985" priority="24823" stopIfTrue="1" operator="equal">
      <formula>"Pass"</formula>
    </cfRule>
    <cfRule type="cellIs" dxfId="24984" priority="24824" stopIfTrue="1" operator="equal">
      <formula>"Fail"</formula>
    </cfRule>
  </conditionalFormatting>
  <conditionalFormatting sqref="F804 F802:G802 K802:N803">
    <cfRule type="cellIs" dxfId="24983" priority="24821" stopIfTrue="1" operator="equal">
      <formula>"Pass"</formula>
    </cfRule>
    <cfRule type="cellIs" dxfId="24982" priority="24822" stopIfTrue="1" operator="equal">
      <formula>"Fail"</formula>
    </cfRule>
  </conditionalFormatting>
  <conditionalFormatting sqref="T802:T804 U803:V804">
    <cfRule type="cellIs" dxfId="24981" priority="24819" stopIfTrue="1" operator="equal">
      <formula>"Fail"</formula>
    </cfRule>
    <cfRule type="cellIs" dxfId="24980" priority="24820" stopIfTrue="1" operator="equal">
      <formula>"Pass"</formula>
    </cfRule>
  </conditionalFormatting>
  <conditionalFormatting sqref="U802:V802">
    <cfRule type="cellIs" dxfId="24979" priority="24817" stopIfTrue="1" operator="equal">
      <formula>"Fail"</formula>
    </cfRule>
    <cfRule type="cellIs" dxfId="24978" priority="24818" stopIfTrue="1" operator="equal">
      <formula>"Pass"</formula>
    </cfRule>
  </conditionalFormatting>
  <conditionalFormatting sqref="U802:V802">
    <cfRule type="cellIs" dxfId="24977" priority="24815" stopIfTrue="1" operator="equal">
      <formula>"Fail"</formula>
    </cfRule>
    <cfRule type="cellIs" dxfId="24976" priority="24816" stopIfTrue="1" operator="equal">
      <formula>"Pass"</formula>
    </cfRule>
  </conditionalFormatting>
  <conditionalFormatting sqref="J802:J803">
    <cfRule type="cellIs" dxfId="24975" priority="24813" stopIfTrue="1" operator="equal">
      <formula>"Pass"</formula>
    </cfRule>
    <cfRule type="cellIs" dxfId="24974" priority="24814" stopIfTrue="1" operator="equal">
      <formula>"Fail"</formula>
    </cfRule>
  </conditionalFormatting>
  <conditionalFormatting sqref="H802:H803 I803">
    <cfRule type="cellIs" dxfId="24973" priority="24811" stopIfTrue="1" operator="equal">
      <formula>"Pass"</formula>
    </cfRule>
    <cfRule type="cellIs" dxfId="24972" priority="24812" stopIfTrue="1" operator="equal">
      <formula>"Fail"</formula>
    </cfRule>
  </conditionalFormatting>
  <conditionalFormatting sqref="F804 F802:G802 K802:N803">
    <cfRule type="cellIs" dxfId="24971" priority="24809" stopIfTrue="1" operator="equal">
      <formula>"Pass"</formula>
    </cfRule>
    <cfRule type="cellIs" dxfId="24970" priority="24810" stopIfTrue="1" operator="equal">
      <formula>"Fail"</formula>
    </cfRule>
  </conditionalFormatting>
  <conditionalFormatting sqref="T802:T804 U803:V804">
    <cfRule type="cellIs" dxfId="24969" priority="24807" stopIfTrue="1" operator="equal">
      <formula>"Fail"</formula>
    </cfRule>
    <cfRule type="cellIs" dxfId="24968" priority="24808" stopIfTrue="1" operator="equal">
      <formula>"Pass"</formula>
    </cfRule>
  </conditionalFormatting>
  <conditionalFormatting sqref="U802:V802">
    <cfRule type="cellIs" dxfId="24967" priority="24805" stopIfTrue="1" operator="equal">
      <formula>"Fail"</formula>
    </cfRule>
    <cfRule type="cellIs" dxfId="24966" priority="24806" stopIfTrue="1" operator="equal">
      <formula>"Pass"</formula>
    </cfRule>
  </conditionalFormatting>
  <conditionalFormatting sqref="U802:V802">
    <cfRule type="cellIs" dxfId="24965" priority="24803" stopIfTrue="1" operator="equal">
      <formula>"Fail"</formula>
    </cfRule>
    <cfRule type="cellIs" dxfId="24964" priority="24804" stopIfTrue="1" operator="equal">
      <formula>"Pass"</formula>
    </cfRule>
  </conditionalFormatting>
  <conditionalFormatting sqref="F802:G802 K802:N802">
    <cfRule type="cellIs" dxfId="24963" priority="24801" stopIfTrue="1" operator="equal">
      <formula>"Pass"</formula>
    </cfRule>
    <cfRule type="cellIs" dxfId="24962" priority="24802" stopIfTrue="1" operator="equal">
      <formula>"Fail"</formula>
    </cfRule>
  </conditionalFormatting>
  <conditionalFormatting sqref="K803:N803">
    <cfRule type="cellIs" dxfId="24961" priority="24799" stopIfTrue="1" operator="equal">
      <formula>"Pass"</formula>
    </cfRule>
    <cfRule type="cellIs" dxfId="24960" priority="24800" stopIfTrue="1" operator="equal">
      <formula>"Fail"</formula>
    </cfRule>
  </conditionalFormatting>
  <conditionalFormatting sqref="U802:V802">
    <cfRule type="cellIs" dxfId="24959" priority="24797" stopIfTrue="1" operator="equal">
      <formula>"Fail"</formula>
    </cfRule>
    <cfRule type="cellIs" dxfId="24958" priority="24798" stopIfTrue="1" operator="equal">
      <formula>"Pass"</formula>
    </cfRule>
  </conditionalFormatting>
  <conditionalFormatting sqref="H805:H806">
    <cfRule type="cellIs" dxfId="24957" priority="24795" stopIfTrue="1" operator="equal">
      <formula>"Pass"</formula>
    </cfRule>
    <cfRule type="cellIs" dxfId="24956" priority="24796" stopIfTrue="1" operator="equal">
      <formula>"Fail"</formula>
    </cfRule>
  </conditionalFormatting>
  <conditionalFormatting sqref="F805 I805:M806 F807">
    <cfRule type="cellIs" dxfId="24955" priority="24793" stopIfTrue="1" operator="equal">
      <formula>"Pass"</formula>
    </cfRule>
    <cfRule type="cellIs" dxfId="24954" priority="24794" stopIfTrue="1" operator="equal">
      <formula>"Fail"</formula>
    </cfRule>
  </conditionalFormatting>
  <conditionalFormatting sqref="T807 T805 R805:R807 S806:S807">
    <cfRule type="cellIs" dxfId="24953" priority="24791" stopIfTrue="1" operator="equal">
      <formula>"Fail"</formula>
    </cfRule>
    <cfRule type="cellIs" dxfId="24952" priority="24792" stopIfTrue="1" operator="equal">
      <formula>"Pass"</formula>
    </cfRule>
  </conditionalFormatting>
  <conditionalFormatting sqref="F805:G805 F807:G807 J805:N806">
    <cfRule type="cellIs" dxfId="24951" priority="24789" stopIfTrue="1" operator="equal">
      <formula>"Pass"</formula>
    </cfRule>
    <cfRule type="cellIs" dxfId="24950" priority="24790" stopIfTrue="1" operator="equal">
      <formula>"Fail"</formula>
    </cfRule>
  </conditionalFormatting>
  <conditionalFormatting sqref="U807:V807 T805:T807 S806:S807">
    <cfRule type="cellIs" dxfId="24949" priority="24787" stopIfTrue="1" operator="equal">
      <formula>"Fail"</formula>
    </cfRule>
    <cfRule type="cellIs" dxfId="24948" priority="24788" stopIfTrue="1" operator="equal">
      <formula>"Pass"</formula>
    </cfRule>
  </conditionalFormatting>
  <conditionalFormatting sqref="U805:V805">
    <cfRule type="cellIs" dxfId="24947" priority="24785" stopIfTrue="1" operator="equal">
      <formula>"Fail"</formula>
    </cfRule>
    <cfRule type="cellIs" dxfId="24946" priority="24786" stopIfTrue="1" operator="equal">
      <formula>"Pass"</formula>
    </cfRule>
  </conditionalFormatting>
  <conditionalFormatting sqref="F805:G805 J805:N805">
    <cfRule type="cellIs" dxfId="24945" priority="24783" stopIfTrue="1" operator="equal">
      <formula>"Pass"</formula>
    </cfRule>
    <cfRule type="cellIs" dxfId="24944" priority="24784" stopIfTrue="1" operator="equal">
      <formula>"Fail"</formula>
    </cfRule>
  </conditionalFormatting>
  <conditionalFormatting sqref="J806:N806">
    <cfRule type="cellIs" dxfId="24943" priority="24781" stopIfTrue="1" operator="equal">
      <formula>"Pass"</formula>
    </cfRule>
    <cfRule type="cellIs" dxfId="24942" priority="24782" stopIfTrue="1" operator="equal">
      <formula>"Fail"</formula>
    </cfRule>
  </conditionalFormatting>
  <conditionalFormatting sqref="K799:O800 F799:H801">
    <cfRule type="cellIs" dxfId="24941" priority="24779" stopIfTrue="1" operator="equal">
      <formula>"Pass"</formula>
    </cfRule>
    <cfRule type="cellIs" dxfId="24940" priority="24780" stopIfTrue="1" operator="equal">
      <formula>"Fail"</formula>
    </cfRule>
  </conditionalFormatting>
  <conditionalFormatting sqref="T799">
    <cfRule type="cellIs" dxfId="24939" priority="24777" stopIfTrue="1" operator="equal">
      <formula>"Fail"</formula>
    </cfRule>
    <cfRule type="cellIs" dxfId="24938" priority="24778" stopIfTrue="1" operator="equal">
      <formula>"Pass"</formula>
    </cfRule>
  </conditionalFormatting>
  <conditionalFormatting sqref="J802:J803">
    <cfRule type="cellIs" dxfId="24937" priority="24775" stopIfTrue="1" operator="equal">
      <formula>"Pass"</formula>
    </cfRule>
    <cfRule type="cellIs" dxfId="24936" priority="24776" stopIfTrue="1" operator="equal">
      <formula>"Fail"</formula>
    </cfRule>
  </conditionalFormatting>
  <conditionalFormatting sqref="H802:H803 I803">
    <cfRule type="cellIs" dxfId="24935" priority="24773" stopIfTrue="1" operator="equal">
      <formula>"Pass"</formula>
    </cfRule>
    <cfRule type="cellIs" dxfId="24934" priority="24774" stopIfTrue="1" operator="equal">
      <formula>"Fail"</formula>
    </cfRule>
  </conditionalFormatting>
  <conditionalFormatting sqref="F802:G802 K802:N803">
    <cfRule type="cellIs" dxfId="24933" priority="24771" stopIfTrue="1" operator="equal">
      <formula>"Pass"</formula>
    </cfRule>
    <cfRule type="cellIs" dxfId="24932" priority="24772" stopIfTrue="1" operator="equal">
      <formula>"Fail"</formula>
    </cfRule>
  </conditionalFormatting>
  <conditionalFormatting sqref="T802:T803 U803:V803">
    <cfRule type="cellIs" dxfId="24931" priority="24769" stopIfTrue="1" operator="equal">
      <formula>"Fail"</formula>
    </cfRule>
    <cfRule type="cellIs" dxfId="24930" priority="24770" stopIfTrue="1" operator="equal">
      <formula>"Pass"</formula>
    </cfRule>
  </conditionalFormatting>
  <conditionalFormatting sqref="U802:V802">
    <cfRule type="cellIs" dxfId="24929" priority="24767" stopIfTrue="1" operator="equal">
      <formula>"Fail"</formula>
    </cfRule>
    <cfRule type="cellIs" dxfId="24928" priority="24768" stopIfTrue="1" operator="equal">
      <formula>"Pass"</formula>
    </cfRule>
  </conditionalFormatting>
  <conditionalFormatting sqref="U802:V802">
    <cfRule type="cellIs" dxfId="24927" priority="24765" stopIfTrue="1" operator="equal">
      <formula>"Fail"</formula>
    </cfRule>
    <cfRule type="cellIs" dxfId="24926" priority="24766" stopIfTrue="1" operator="equal">
      <formula>"Pass"</formula>
    </cfRule>
  </conditionalFormatting>
  <conditionalFormatting sqref="J802:J803">
    <cfRule type="cellIs" dxfId="24925" priority="24763" stopIfTrue="1" operator="equal">
      <formula>"Pass"</formula>
    </cfRule>
    <cfRule type="cellIs" dxfId="24924" priority="24764" stopIfTrue="1" operator="equal">
      <formula>"Fail"</formula>
    </cfRule>
  </conditionalFormatting>
  <conditionalFormatting sqref="H802:H803 I803">
    <cfRule type="cellIs" dxfId="24923" priority="24761" stopIfTrue="1" operator="equal">
      <formula>"Pass"</formula>
    </cfRule>
    <cfRule type="cellIs" dxfId="24922" priority="24762" stopIfTrue="1" operator="equal">
      <formula>"Fail"</formula>
    </cfRule>
  </conditionalFormatting>
  <conditionalFormatting sqref="F802:G802 K802:N803">
    <cfRule type="cellIs" dxfId="24921" priority="24759" stopIfTrue="1" operator="equal">
      <formula>"Pass"</formula>
    </cfRule>
    <cfRule type="cellIs" dxfId="24920" priority="24760" stopIfTrue="1" operator="equal">
      <formula>"Fail"</formula>
    </cfRule>
  </conditionalFormatting>
  <conditionalFormatting sqref="T802:T803 U803:V803">
    <cfRule type="cellIs" dxfId="24919" priority="24757" stopIfTrue="1" operator="equal">
      <formula>"Fail"</formula>
    </cfRule>
    <cfRule type="cellIs" dxfId="24918" priority="24758" stopIfTrue="1" operator="equal">
      <formula>"Pass"</formula>
    </cfRule>
  </conditionalFormatting>
  <conditionalFormatting sqref="U802:V802">
    <cfRule type="cellIs" dxfId="24917" priority="24755" stopIfTrue="1" operator="equal">
      <formula>"Fail"</formula>
    </cfRule>
    <cfRule type="cellIs" dxfId="24916" priority="24756" stopIfTrue="1" operator="equal">
      <formula>"Pass"</formula>
    </cfRule>
  </conditionalFormatting>
  <conditionalFormatting sqref="U802:V802">
    <cfRule type="cellIs" dxfId="24915" priority="24753" stopIfTrue="1" operator="equal">
      <formula>"Fail"</formula>
    </cfRule>
    <cfRule type="cellIs" dxfId="24914" priority="24754" stopIfTrue="1" operator="equal">
      <formula>"Pass"</formula>
    </cfRule>
  </conditionalFormatting>
  <conditionalFormatting sqref="F802:G802 K802:N802">
    <cfRule type="cellIs" dxfId="24913" priority="24751" stopIfTrue="1" operator="equal">
      <formula>"Pass"</formula>
    </cfRule>
    <cfRule type="cellIs" dxfId="24912" priority="24752" stopIfTrue="1" operator="equal">
      <formula>"Fail"</formula>
    </cfRule>
  </conditionalFormatting>
  <conditionalFormatting sqref="K803:N803">
    <cfRule type="cellIs" dxfId="24911" priority="24749" stopIfTrue="1" operator="equal">
      <formula>"Pass"</formula>
    </cfRule>
    <cfRule type="cellIs" dxfId="24910" priority="24750" stopIfTrue="1" operator="equal">
      <formula>"Fail"</formula>
    </cfRule>
  </conditionalFormatting>
  <conditionalFormatting sqref="U802:V802">
    <cfRule type="cellIs" dxfId="24909" priority="24747" stopIfTrue="1" operator="equal">
      <formula>"Fail"</formula>
    </cfRule>
    <cfRule type="cellIs" dxfId="24908" priority="24748" stopIfTrue="1" operator="equal">
      <formula>"Pass"</formula>
    </cfRule>
  </conditionalFormatting>
  <conditionalFormatting sqref="H805:H806">
    <cfRule type="cellIs" dxfId="24907" priority="24745" stopIfTrue="1" operator="equal">
      <formula>"Pass"</formula>
    </cfRule>
    <cfRule type="cellIs" dxfId="24906" priority="24746" stopIfTrue="1" operator="equal">
      <formula>"Fail"</formula>
    </cfRule>
  </conditionalFormatting>
  <conditionalFormatting sqref="F805 I805:M806 F807">
    <cfRule type="cellIs" dxfId="24905" priority="24743" stopIfTrue="1" operator="equal">
      <formula>"Pass"</formula>
    </cfRule>
    <cfRule type="cellIs" dxfId="24904" priority="24744" stopIfTrue="1" operator="equal">
      <formula>"Fail"</formula>
    </cfRule>
  </conditionalFormatting>
  <conditionalFormatting sqref="T807 T805 R805:R807 S806:S807">
    <cfRule type="cellIs" dxfId="24903" priority="24741" stopIfTrue="1" operator="equal">
      <formula>"Fail"</formula>
    </cfRule>
    <cfRule type="cellIs" dxfId="24902" priority="24742" stopIfTrue="1" operator="equal">
      <formula>"Pass"</formula>
    </cfRule>
  </conditionalFormatting>
  <conditionalFormatting sqref="F805:G805 F807:G807 J805:N806">
    <cfRule type="cellIs" dxfId="24901" priority="24739" stopIfTrue="1" operator="equal">
      <formula>"Pass"</formula>
    </cfRule>
    <cfRule type="cellIs" dxfId="24900" priority="24740" stopIfTrue="1" operator="equal">
      <formula>"Fail"</formula>
    </cfRule>
  </conditionalFormatting>
  <conditionalFormatting sqref="U807:V807 T805:T807 S806:S807">
    <cfRule type="cellIs" dxfId="24899" priority="24737" stopIfTrue="1" operator="equal">
      <formula>"Fail"</formula>
    </cfRule>
    <cfRule type="cellIs" dxfId="24898" priority="24738" stopIfTrue="1" operator="equal">
      <formula>"Pass"</formula>
    </cfRule>
  </conditionalFormatting>
  <conditionalFormatting sqref="U805:V805">
    <cfRule type="cellIs" dxfId="24897" priority="24735" stopIfTrue="1" operator="equal">
      <formula>"Fail"</formula>
    </cfRule>
    <cfRule type="cellIs" dxfId="24896" priority="24736" stopIfTrue="1" operator="equal">
      <formula>"Pass"</formula>
    </cfRule>
  </conditionalFormatting>
  <conditionalFormatting sqref="F805:G805 J805:N805">
    <cfRule type="cellIs" dxfId="24895" priority="24733" stopIfTrue="1" operator="equal">
      <formula>"Pass"</formula>
    </cfRule>
    <cfRule type="cellIs" dxfId="24894" priority="24734" stopIfTrue="1" operator="equal">
      <formula>"Fail"</formula>
    </cfRule>
  </conditionalFormatting>
  <conditionalFormatting sqref="J806:N806">
    <cfRule type="cellIs" dxfId="24893" priority="24731" stopIfTrue="1" operator="equal">
      <formula>"Pass"</formula>
    </cfRule>
    <cfRule type="cellIs" dxfId="24892" priority="24732" stopIfTrue="1" operator="equal">
      <formula>"Fail"</formula>
    </cfRule>
  </conditionalFormatting>
  <conditionalFormatting sqref="U802:V802">
    <cfRule type="cellIs" dxfId="24891" priority="24729" stopIfTrue="1" operator="equal">
      <formula>"Fail"</formula>
    </cfRule>
    <cfRule type="cellIs" dxfId="24890" priority="24730" stopIfTrue="1" operator="equal">
      <formula>"Pass"</formula>
    </cfRule>
  </conditionalFormatting>
  <conditionalFormatting sqref="U805:V805">
    <cfRule type="cellIs" dxfId="24889" priority="24727" stopIfTrue="1" operator="equal">
      <formula>"Fail"</formula>
    </cfRule>
    <cfRule type="cellIs" dxfId="24888" priority="24728" stopIfTrue="1" operator="equal">
      <formula>"Pass"</formula>
    </cfRule>
  </conditionalFormatting>
  <conditionalFormatting sqref="U802:V802">
    <cfRule type="cellIs" dxfId="24887" priority="24725" stopIfTrue="1" operator="equal">
      <formula>"Fail"</formula>
    </cfRule>
    <cfRule type="cellIs" dxfId="24886" priority="24726" stopIfTrue="1" operator="equal">
      <formula>"Pass"</formula>
    </cfRule>
  </conditionalFormatting>
  <conditionalFormatting sqref="U802:V802">
    <cfRule type="cellIs" dxfId="24885" priority="24723" stopIfTrue="1" operator="equal">
      <formula>"Fail"</formula>
    </cfRule>
    <cfRule type="cellIs" dxfId="24884" priority="24724" stopIfTrue="1" operator="equal">
      <formula>"Pass"</formula>
    </cfRule>
  </conditionalFormatting>
  <conditionalFormatting sqref="U805:V805">
    <cfRule type="cellIs" dxfId="24883" priority="24721" stopIfTrue="1" operator="equal">
      <formula>"Fail"</formula>
    </cfRule>
    <cfRule type="cellIs" dxfId="24882" priority="24722" stopIfTrue="1" operator="equal">
      <formula>"Pass"</formula>
    </cfRule>
  </conditionalFormatting>
  <conditionalFormatting sqref="U805:V805">
    <cfRule type="cellIs" dxfId="24881" priority="24719" stopIfTrue="1" operator="equal">
      <formula>"Fail"</formula>
    </cfRule>
    <cfRule type="cellIs" dxfId="24880" priority="24720" stopIfTrue="1" operator="equal">
      <formula>"Pass"</formula>
    </cfRule>
  </conditionalFormatting>
  <conditionalFormatting sqref="N805">
    <cfRule type="cellIs" dxfId="24879" priority="24717" stopIfTrue="1" operator="equal">
      <formula>"Pass"</formula>
    </cfRule>
    <cfRule type="cellIs" dxfId="24878" priority="24718" stopIfTrue="1" operator="equal">
      <formula>"Fail"</formula>
    </cfRule>
  </conditionalFormatting>
  <conditionalFormatting sqref="N805">
    <cfRule type="cellIs" dxfId="24877" priority="24715" stopIfTrue="1" operator="equal">
      <formula>"Pass"</formula>
    </cfRule>
    <cfRule type="cellIs" dxfId="24876" priority="24716" stopIfTrue="1" operator="equal">
      <formula>"Fail"</formula>
    </cfRule>
  </conditionalFormatting>
  <conditionalFormatting sqref="N805">
    <cfRule type="cellIs" dxfId="24875" priority="24713" stopIfTrue="1" operator="equal">
      <formula>"Pass"</formula>
    </cfRule>
    <cfRule type="cellIs" dxfId="24874" priority="24714" stopIfTrue="1" operator="equal">
      <formula>"Fail"</formula>
    </cfRule>
  </conditionalFormatting>
  <conditionalFormatting sqref="H808:H809">
    <cfRule type="cellIs" dxfId="24873" priority="24711" stopIfTrue="1" operator="equal">
      <formula>"Pass"</formula>
    </cfRule>
    <cfRule type="cellIs" dxfId="24872" priority="24712" stopIfTrue="1" operator="equal">
      <formula>"Fail"</formula>
    </cfRule>
  </conditionalFormatting>
  <conditionalFormatting sqref="E808:F808 E810:F810 I808:M809 A808:A816">
    <cfRule type="cellIs" dxfId="24871" priority="24709" stopIfTrue="1" operator="equal">
      <formula>"Pass"</formula>
    </cfRule>
    <cfRule type="cellIs" dxfId="24870" priority="24710" stopIfTrue="1" operator="equal">
      <formula>"Fail"</formula>
    </cfRule>
  </conditionalFormatting>
  <conditionalFormatting sqref="T810 T808 R808:R810 S809:S810">
    <cfRule type="cellIs" dxfId="24869" priority="24707" stopIfTrue="1" operator="equal">
      <formula>"Fail"</formula>
    </cfRule>
    <cfRule type="cellIs" dxfId="24868" priority="24708" stopIfTrue="1" operator="equal">
      <formula>"Pass"</formula>
    </cfRule>
  </conditionalFormatting>
  <conditionalFormatting sqref="F808:G808 F810:G810 A808:B810 J808:N809 A811:A816">
    <cfRule type="cellIs" dxfId="24867" priority="24705" stopIfTrue="1" operator="equal">
      <formula>"Pass"</formula>
    </cfRule>
    <cfRule type="cellIs" dxfId="24866" priority="24706" stopIfTrue="1" operator="equal">
      <formula>"Fail"</formula>
    </cfRule>
  </conditionalFormatting>
  <conditionalFormatting sqref="U810:V810 U808:V808 T808:T810 S809:S810">
    <cfRule type="cellIs" dxfId="24865" priority="24703" stopIfTrue="1" operator="equal">
      <formula>"Fail"</formula>
    </cfRule>
    <cfRule type="cellIs" dxfId="24864" priority="24704" stopIfTrue="1" operator="equal">
      <formula>"Pass"</formula>
    </cfRule>
  </conditionalFormatting>
  <conditionalFormatting sqref="A808:A816">
    <cfRule type="cellIs" dxfId="24863" priority="24701" stopIfTrue="1" operator="equal">
      <formula>"Pass"</formula>
    </cfRule>
    <cfRule type="cellIs" dxfId="24862" priority="24702" stopIfTrue="1" operator="equal">
      <formula>"Fail"</formula>
    </cfRule>
  </conditionalFormatting>
  <conditionalFormatting sqref="A808:A816">
    <cfRule type="cellIs" dxfId="24861" priority="24699" stopIfTrue="1" operator="equal">
      <formula>"Pass"</formula>
    </cfRule>
    <cfRule type="cellIs" dxfId="24860" priority="24700" stopIfTrue="1" operator="equal">
      <formula>"Fail"</formula>
    </cfRule>
  </conditionalFormatting>
  <conditionalFormatting sqref="A808:A816">
    <cfRule type="cellIs" dxfId="24859" priority="24697" stopIfTrue="1" operator="equal">
      <formula>"Pass"</formula>
    </cfRule>
    <cfRule type="cellIs" dxfId="24858" priority="24698" stopIfTrue="1" operator="equal">
      <formula>"Fail"</formula>
    </cfRule>
  </conditionalFormatting>
  <conditionalFormatting sqref="J808:N809 E808:G810">
    <cfRule type="cellIs" dxfId="24857" priority="24695" stopIfTrue="1" operator="equal">
      <formula>"Pass"</formula>
    </cfRule>
    <cfRule type="cellIs" dxfId="24856" priority="24696" stopIfTrue="1" operator="equal">
      <formula>"Fail"</formula>
    </cfRule>
  </conditionalFormatting>
  <conditionalFormatting sqref="A810 C810 K808:O809 F808:H810 A813 A816">
    <cfRule type="cellIs" dxfId="24855" priority="24693" stopIfTrue="1" operator="equal">
      <formula>"Pass"</formula>
    </cfRule>
    <cfRule type="cellIs" dxfId="24854" priority="24694" stopIfTrue="1" operator="equal">
      <formula>"Fail"</formula>
    </cfRule>
  </conditionalFormatting>
  <conditionalFormatting sqref="T808">
    <cfRule type="cellIs" dxfId="24853" priority="24691" stopIfTrue="1" operator="equal">
      <formula>"Fail"</formula>
    </cfRule>
    <cfRule type="cellIs" dxfId="24852" priority="24692" stopIfTrue="1" operator="equal">
      <formula>"Pass"</formula>
    </cfRule>
  </conditionalFormatting>
  <conditionalFormatting sqref="A808:A816">
    <cfRule type="cellIs" dxfId="24851" priority="24689" stopIfTrue="1" operator="equal">
      <formula>"Pass"</formula>
    </cfRule>
    <cfRule type="cellIs" dxfId="24850" priority="24690" stopIfTrue="1" operator="equal">
      <formula>"Fail"</formula>
    </cfRule>
  </conditionalFormatting>
  <conditionalFormatting sqref="A811">
    <cfRule type="cellIs" dxfId="24849" priority="24687" stopIfTrue="1" operator="equal">
      <formula>"Pass"</formula>
    </cfRule>
    <cfRule type="cellIs" dxfId="24848" priority="24688" stopIfTrue="1" operator="equal">
      <formula>"Fail"</formula>
    </cfRule>
  </conditionalFormatting>
  <conditionalFormatting sqref="A811">
    <cfRule type="cellIs" dxfId="24847" priority="24685" stopIfTrue="1" operator="equal">
      <formula>"Pass"</formula>
    </cfRule>
    <cfRule type="cellIs" dxfId="24846" priority="24686" stopIfTrue="1" operator="equal">
      <formula>"Fail"</formula>
    </cfRule>
  </conditionalFormatting>
  <conditionalFormatting sqref="A811">
    <cfRule type="cellIs" dxfId="24845" priority="24683" stopIfTrue="1" operator="equal">
      <formula>"Pass"</formula>
    </cfRule>
    <cfRule type="cellIs" dxfId="24844" priority="24684" stopIfTrue="1" operator="equal">
      <formula>"Fail"</formula>
    </cfRule>
  </conditionalFormatting>
  <conditionalFormatting sqref="A811">
    <cfRule type="cellIs" dxfId="24843" priority="24681" stopIfTrue="1" operator="equal">
      <formula>"Pass"</formula>
    </cfRule>
    <cfRule type="cellIs" dxfId="24842" priority="24682" stopIfTrue="1" operator="equal">
      <formula>"Fail"</formula>
    </cfRule>
  </conditionalFormatting>
  <conditionalFormatting sqref="A811">
    <cfRule type="cellIs" dxfId="24841" priority="24679" stopIfTrue="1" operator="equal">
      <formula>"Pass"</formula>
    </cfRule>
    <cfRule type="cellIs" dxfId="24840" priority="24680" stopIfTrue="1" operator="equal">
      <formula>"Fail"</formula>
    </cfRule>
  </conditionalFormatting>
  <conditionalFormatting sqref="A811">
    <cfRule type="cellIs" dxfId="24839" priority="24677" stopIfTrue="1" operator="equal">
      <formula>"Pass"</formula>
    </cfRule>
    <cfRule type="cellIs" dxfId="24838" priority="24678" stopIfTrue="1" operator="equal">
      <formula>"Fail"</formula>
    </cfRule>
  </conditionalFormatting>
  <conditionalFormatting sqref="A811">
    <cfRule type="cellIs" dxfId="24837" priority="24675" stopIfTrue="1" operator="equal">
      <formula>"Pass"</formula>
    </cfRule>
    <cfRule type="cellIs" dxfId="24836" priority="24676" stopIfTrue="1" operator="equal">
      <formula>"Fail"</formula>
    </cfRule>
  </conditionalFormatting>
  <conditionalFormatting sqref="A811">
    <cfRule type="cellIs" dxfId="24835" priority="24673" stopIfTrue="1" operator="equal">
      <formula>"Pass"</formula>
    </cfRule>
    <cfRule type="cellIs" dxfId="24834" priority="24674" stopIfTrue="1" operator="equal">
      <formula>"Fail"</formula>
    </cfRule>
  </conditionalFormatting>
  <conditionalFormatting sqref="A811">
    <cfRule type="cellIs" dxfId="24833" priority="24671" stopIfTrue="1" operator="equal">
      <formula>"Pass"</formula>
    </cfRule>
    <cfRule type="cellIs" dxfId="24832" priority="24672" stopIfTrue="1" operator="equal">
      <formula>"Fail"</formula>
    </cfRule>
  </conditionalFormatting>
  <conditionalFormatting sqref="A811">
    <cfRule type="cellIs" dxfId="24831" priority="24669" stopIfTrue="1" operator="equal">
      <formula>"Pass"</formula>
    </cfRule>
    <cfRule type="cellIs" dxfId="24830" priority="24670" stopIfTrue="1" operator="equal">
      <formula>"Fail"</formula>
    </cfRule>
  </conditionalFormatting>
  <conditionalFormatting sqref="A811">
    <cfRule type="cellIs" dxfId="24829" priority="24667" stopIfTrue="1" operator="equal">
      <formula>"Pass"</formula>
    </cfRule>
    <cfRule type="cellIs" dxfId="24828" priority="24668" stopIfTrue="1" operator="equal">
      <formula>"Fail"</formula>
    </cfRule>
  </conditionalFormatting>
  <conditionalFormatting sqref="A811">
    <cfRule type="cellIs" dxfId="24827" priority="24665" stopIfTrue="1" operator="equal">
      <formula>"Pass"</formula>
    </cfRule>
    <cfRule type="cellIs" dxfId="24826" priority="24666" stopIfTrue="1" operator="equal">
      <formula>"Fail"</formula>
    </cfRule>
  </conditionalFormatting>
  <conditionalFormatting sqref="J811:J812">
    <cfRule type="cellIs" dxfId="24825" priority="24663" stopIfTrue="1" operator="equal">
      <formula>"Pass"</formula>
    </cfRule>
    <cfRule type="cellIs" dxfId="24824" priority="24664" stopIfTrue="1" operator="equal">
      <formula>"Fail"</formula>
    </cfRule>
  </conditionalFormatting>
  <conditionalFormatting sqref="H811:H812 I812">
    <cfRule type="cellIs" dxfId="24823" priority="24661" stopIfTrue="1" operator="equal">
      <formula>"Pass"</formula>
    </cfRule>
    <cfRule type="cellIs" dxfId="24822" priority="24662" stopIfTrue="1" operator="equal">
      <formula>"Fail"</formula>
    </cfRule>
  </conditionalFormatting>
  <conditionalFormatting sqref="A811 C811 F813 F811:G811 K811:N812">
    <cfRule type="cellIs" dxfId="24821" priority="24659" stopIfTrue="1" operator="equal">
      <formula>"Pass"</formula>
    </cfRule>
    <cfRule type="cellIs" dxfId="24820" priority="24660" stopIfTrue="1" operator="equal">
      <formula>"Fail"</formula>
    </cfRule>
  </conditionalFormatting>
  <conditionalFormatting sqref="T811:T813 U812:V813">
    <cfRule type="cellIs" dxfId="24819" priority="24657" stopIfTrue="1" operator="equal">
      <formula>"Fail"</formula>
    </cfRule>
    <cfRule type="cellIs" dxfId="24818" priority="24658" stopIfTrue="1" operator="equal">
      <formula>"Pass"</formula>
    </cfRule>
  </conditionalFormatting>
  <conditionalFormatting sqref="A811">
    <cfRule type="cellIs" dxfId="24817" priority="24655" stopIfTrue="1" operator="equal">
      <formula>"Pass"</formula>
    </cfRule>
    <cfRule type="cellIs" dxfId="24816" priority="24656" stopIfTrue="1" operator="equal">
      <formula>"Fail"</formula>
    </cfRule>
  </conditionalFormatting>
  <conditionalFormatting sqref="A811">
    <cfRule type="cellIs" dxfId="24815" priority="24653" stopIfTrue="1" operator="equal">
      <formula>"Pass"</formula>
    </cfRule>
    <cfRule type="cellIs" dxfId="24814" priority="24654" stopIfTrue="1" operator="equal">
      <formula>"Fail"</formula>
    </cfRule>
  </conditionalFormatting>
  <conditionalFormatting sqref="A811">
    <cfRule type="cellIs" dxfId="24813" priority="24651" stopIfTrue="1" operator="equal">
      <formula>"Pass"</formula>
    </cfRule>
    <cfRule type="cellIs" dxfId="24812" priority="24652" stopIfTrue="1" operator="equal">
      <formula>"Fail"</formula>
    </cfRule>
  </conditionalFormatting>
  <conditionalFormatting sqref="A811">
    <cfRule type="cellIs" dxfId="24811" priority="24649" stopIfTrue="1" operator="equal">
      <formula>"Pass"</formula>
    </cfRule>
    <cfRule type="cellIs" dxfId="24810" priority="24650" stopIfTrue="1" operator="equal">
      <formula>"Fail"</formula>
    </cfRule>
  </conditionalFormatting>
  <conditionalFormatting sqref="A811">
    <cfRule type="cellIs" dxfId="24809" priority="24647" stopIfTrue="1" operator="equal">
      <formula>"Pass"</formula>
    </cfRule>
    <cfRule type="cellIs" dxfId="24808" priority="24648" stopIfTrue="1" operator="equal">
      <formula>"Fail"</formula>
    </cfRule>
  </conditionalFormatting>
  <conditionalFormatting sqref="A811">
    <cfRule type="cellIs" dxfId="24807" priority="24645" stopIfTrue="1" operator="equal">
      <formula>"Pass"</formula>
    </cfRule>
    <cfRule type="cellIs" dxfId="24806" priority="24646" stopIfTrue="1" operator="equal">
      <formula>"Fail"</formula>
    </cfRule>
  </conditionalFormatting>
  <conditionalFormatting sqref="A811">
    <cfRule type="cellIs" dxfId="24805" priority="24643" stopIfTrue="1" operator="equal">
      <formula>"Pass"</formula>
    </cfRule>
    <cfRule type="cellIs" dxfId="24804" priority="24644" stopIfTrue="1" operator="equal">
      <formula>"Fail"</formula>
    </cfRule>
  </conditionalFormatting>
  <conditionalFormatting sqref="A811">
    <cfRule type="cellIs" dxfId="24803" priority="24641" stopIfTrue="1" operator="equal">
      <formula>"Pass"</formula>
    </cfRule>
    <cfRule type="cellIs" dxfId="24802" priority="24642" stopIfTrue="1" operator="equal">
      <formula>"Fail"</formula>
    </cfRule>
  </conditionalFormatting>
  <conditionalFormatting sqref="A811">
    <cfRule type="cellIs" dxfId="24801" priority="24639" stopIfTrue="1" operator="equal">
      <formula>"Pass"</formula>
    </cfRule>
    <cfRule type="cellIs" dxfId="24800" priority="24640" stopIfTrue="1" operator="equal">
      <formula>"Fail"</formula>
    </cfRule>
  </conditionalFormatting>
  <conditionalFormatting sqref="A811">
    <cfRule type="cellIs" dxfId="24799" priority="24637" stopIfTrue="1" operator="equal">
      <formula>"Pass"</formula>
    </cfRule>
    <cfRule type="cellIs" dxfId="24798" priority="24638" stopIfTrue="1" operator="equal">
      <formula>"Fail"</formula>
    </cfRule>
  </conditionalFormatting>
  <conditionalFormatting sqref="A811">
    <cfRule type="cellIs" dxfId="24797" priority="24635" stopIfTrue="1" operator="equal">
      <formula>"Pass"</formula>
    </cfRule>
    <cfRule type="cellIs" dxfId="24796" priority="24636" stopIfTrue="1" operator="equal">
      <formula>"Fail"</formula>
    </cfRule>
  </conditionalFormatting>
  <conditionalFormatting sqref="A811">
    <cfRule type="cellIs" dxfId="24795" priority="24633" stopIfTrue="1" operator="equal">
      <formula>"Pass"</formula>
    </cfRule>
    <cfRule type="cellIs" dxfId="24794" priority="24634" stopIfTrue="1" operator="equal">
      <formula>"Fail"</formula>
    </cfRule>
  </conditionalFormatting>
  <conditionalFormatting sqref="A811">
    <cfRule type="cellIs" dxfId="24793" priority="24631" stopIfTrue="1" operator="equal">
      <formula>"Pass"</formula>
    </cfRule>
    <cfRule type="cellIs" dxfId="24792" priority="24632" stopIfTrue="1" operator="equal">
      <formula>"Fail"</formula>
    </cfRule>
  </conditionalFormatting>
  <conditionalFormatting sqref="A811">
    <cfRule type="cellIs" dxfId="24791" priority="24629" stopIfTrue="1" operator="equal">
      <formula>"Pass"</formula>
    </cfRule>
    <cfRule type="cellIs" dxfId="24790" priority="24630" stopIfTrue="1" operator="equal">
      <formula>"Fail"</formula>
    </cfRule>
  </conditionalFormatting>
  <conditionalFormatting sqref="A811">
    <cfRule type="cellIs" dxfId="24789" priority="24627" stopIfTrue="1" operator="equal">
      <formula>"Pass"</formula>
    </cfRule>
    <cfRule type="cellIs" dxfId="24788" priority="24628" stopIfTrue="1" operator="equal">
      <formula>"Fail"</formula>
    </cfRule>
  </conditionalFormatting>
  <conditionalFormatting sqref="A811">
    <cfRule type="cellIs" dxfId="24787" priority="24625" stopIfTrue="1" operator="equal">
      <formula>"Pass"</formula>
    </cfRule>
    <cfRule type="cellIs" dxfId="24786" priority="24626" stopIfTrue="1" operator="equal">
      <formula>"Fail"</formula>
    </cfRule>
  </conditionalFormatting>
  <conditionalFormatting sqref="U811:V811">
    <cfRule type="cellIs" dxfId="24785" priority="24623" stopIfTrue="1" operator="equal">
      <formula>"Fail"</formula>
    </cfRule>
    <cfRule type="cellIs" dxfId="24784" priority="24624" stopIfTrue="1" operator="equal">
      <formula>"Pass"</formula>
    </cfRule>
  </conditionalFormatting>
  <conditionalFormatting sqref="U811:V811">
    <cfRule type="cellIs" dxfId="24783" priority="24621" stopIfTrue="1" operator="equal">
      <formula>"Fail"</formula>
    </cfRule>
    <cfRule type="cellIs" dxfId="24782" priority="24622" stopIfTrue="1" operator="equal">
      <formula>"Pass"</formula>
    </cfRule>
  </conditionalFormatting>
  <conditionalFormatting sqref="J811:J812">
    <cfRule type="cellIs" dxfId="24781" priority="24619" stopIfTrue="1" operator="equal">
      <formula>"Pass"</formula>
    </cfRule>
    <cfRule type="cellIs" dxfId="24780" priority="24620" stopIfTrue="1" operator="equal">
      <formula>"Fail"</formula>
    </cfRule>
  </conditionalFormatting>
  <conditionalFormatting sqref="H811:H812 I812">
    <cfRule type="cellIs" dxfId="24779" priority="24617" stopIfTrue="1" operator="equal">
      <formula>"Pass"</formula>
    </cfRule>
    <cfRule type="cellIs" dxfId="24778" priority="24618" stopIfTrue="1" operator="equal">
      <formula>"Fail"</formula>
    </cfRule>
  </conditionalFormatting>
  <conditionalFormatting sqref="F813 F811:G811 K811:N812">
    <cfRule type="cellIs" dxfId="24777" priority="24615" stopIfTrue="1" operator="equal">
      <formula>"Pass"</formula>
    </cfRule>
    <cfRule type="cellIs" dxfId="24776" priority="24616" stopIfTrue="1" operator="equal">
      <formula>"Fail"</formula>
    </cfRule>
  </conditionalFormatting>
  <conditionalFormatting sqref="T811:T813 U812:V813">
    <cfRule type="cellIs" dxfId="24775" priority="24613" stopIfTrue="1" operator="equal">
      <formula>"Fail"</formula>
    </cfRule>
    <cfRule type="cellIs" dxfId="24774" priority="24614" stopIfTrue="1" operator="equal">
      <formula>"Pass"</formula>
    </cfRule>
  </conditionalFormatting>
  <conditionalFormatting sqref="U811:V811">
    <cfRule type="cellIs" dxfId="24773" priority="24611" stopIfTrue="1" operator="equal">
      <formula>"Fail"</formula>
    </cfRule>
    <cfRule type="cellIs" dxfId="24772" priority="24612" stopIfTrue="1" operator="equal">
      <formula>"Pass"</formula>
    </cfRule>
  </conditionalFormatting>
  <conditionalFormatting sqref="U811:V811">
    <cfRule type="cellIs" dxfId="24771" priority="24609" stopIfTrue="1" operator="equal">
      <formula>"Fail"</formula>
    </cfRule>
    <cfRule type="cellIs" dxfId="24770" priority="24610" stopIfTrue="1" operator="equal">
      <formula>"Pass"</formula>
    </cfRule>
  </conditionalFormatting>
  <conditionalFormatting sqref="F811:G811 K811:N811">
    <cfRule type="cellIs" dxfId="24769" priority="24607" stopIfTrue="1" operator="equal">
      <formula>"Pass"</formula>
    </cfRule>
    <cfRule type="cellIs" dxfId="24768" priority="24608" stopIfTrue="1" operator="equal">
      <formula>"Fail"</formula>
    </cfRule>
  </conditionalFormatting>
  <conditionalFormatting sqref="K812:N812">
    <cfRule type="cellIs" dxfId="24767" priority="24605" stopIfTrue="1" operator="equal">
      <formula>"Pass"</formula>
    </cfRule>
    <cfRule type="cellIs" dxfId="24766" priority="24606" stopIfTrue="1" operator="equal">
      <formula>"Fail"</formula>
    </cfRule>
  </conditionalFormatting>
  <conditionalFormatting sqref="U811:V811">
    <cfRule type="cellIs" dxfId="24765" priority="24603" stopIfTrue="1" operator="equal">
      <formula>"Fail"</formula>
    </cfRule>
    <cfRule type="cellIs" dxfId="24764" priority="24604" stopIfTrue="1" operator="equal">
      <formula>"Pass"</formula>
    </cfRule>
  </conditionalFormatting>
  <conditionalFormatting sqref="H814:H815">
    <cfRule type="cellIs" dxfId="24763" priority="24601" stopIfTrue="1" operator="equal">
      <formula>"Pass"</formula>
    </cfRule>
    <cfRule type="cellIs" dxfId="24762" priority="24602" stopIfTrue="1" operator="equal">
      <formula>"Fail"</formula>
    </cfRule>
  </conditionalFormatting>
  <conditionalFormatting sqref="E814:F814 I814:M815 E816:F816 A814">
    <cfRule type="cellIs" dxfId="24761" priority="24599" stopIfTrue="1" operator="equal">
      <formula>"Pass"</formula>
    </cfRule>
    <cfRule type="cellIs" dxfId="24760" priority="24600" stopIfTrue="1" operator="equal">
      <formula>"Fail"</formula>
    </cfRule>
  </conditionalFormatting>
  <conditionalFormatting sqref="T816 T814 R814:R816 S815:S816">
    <cfRule type="cellIs" dxfId="24759" priority="24597" stopIfTrue="1" operator="equal">
      <formula>"Fail"</formula>
    </cfRule>
    <cfRule type="cellIs" dxfId="24758" priority="24598" stopIfTrue="1" operator="equal">
      <formula>"Pass"</formula>
    </cfRule>
  </conditionalFormatting>
  <conditionalFormatting sqref="F814:G814 F816:G816 B814:B816 A814 J814:N815">
    <cfRule type="cellIs" dxfId="24757" priority="24595" stopIfTrue="1" operator="equal">
      <formula>"Pass"</formula>
    </cfRule>
    <cfRule type="cellIs" dxfId="24756" priority="24596" stopIfTrue="1" operator="equal">
      <formula>"Fail"</formula>
    </cfRule>
  </conditionalFormatting>
  <conditionalFormatting sqref="U816:V816 T814:T816 S815:S816">
    <cfRule type="cellIs" dxfId="24755" priority="24593" stopIfTrue="1" operator="equal">
      <formula>"Fail"</formula>
    </cfRule>
    <cfRule type="cellIs" dxfId="24754" priority="24594" stopIfTrue="1" operator="equal">
      <formula>"Pass"</formula>
    </cfRule>
  </conditionalFormatting>
  <conditionalFormatting sqref="A814">
    <cfRule type="cellIs" dxfId="24753" priority="24591" stopIfTrue="1" operator="equal">
      <formula>"Pass"</formula>
    </cfRule>
    <cfRule type="cellIs" dxfId="24752" priority="24592" stopIfTrue="1" operator="equal">
      <formula>"Fail"</formula>
    </cfRule>
  </conditionalFormatting>
  <conditionalFormatting sqref="A814">
    <cfRule type="cellIs" dxfId="24751" priority="24589" stopIfTrue="1" operator="equal">
      <formula>"Pass"</formula>
    </cfRule>
    <cfRule type="cellIs" dxfId="24750" priority="24590" stopIfTrue="1" operator="equal">
      <formula>"Fail"</formula>
    </cfRule>
  </conditionalFormatting>
  <conditionalFormatting sqref="A814">
    <cfRule type="cellIs" dxfId="24749" priority="24587" stopIfTrue="1" operator="equal">
      <formula>"Pass"</formula>
    </cfRule>
    <cfRule type="cellIs" dxfId="24748" priority="24588" stopIfTrue="1" operator="equal">
      <formula>"Fail"</formula>
    </cfRule>
  </conditionalFormatting>
  <conditionalFormatting sqref="A814">
    <cfRule type="cellIs" dxfId="24747" priority="24585" stopIfTrue="1" operator="equal">
      <formula>"Pass"</formula>
    </cfRule>
    <cfRule type="cellIs" dxfId="24746" priority="24586" stopIfTrue="1" operator="equal">
      <formula>"Fail"</formula>
    </cfRule>
  </conditionalFormatting>
  <conditionalFormatting sqref="A814">
    <cfRule type="cellIs" dxfId="24745" priority="24583" stopIfTrue="1" operator="equal">
      <formula>"Pass"</formula>
    </cfRule>
    <cfRule type="cellIs" dxfId="24744" priority="24584" stopIfTrue="1" operator="equal">
      <formula>"Fail"</formula>
    </cfRule>
  </conditionalFormatting>
  <conditionalFormatting sqref="A814">
    <cfRule type="cellIs" dxfId="24743" priority="24581" stopIfTrue="1" operator="equal">
      <formula>"Pass"</formula>
    </cfRule>
    <cfRule type="cellIs" dxfId="24742" priority="24582" stopIfTrue="1" operator="equal">
      <formula>"Fail"</formula>
    </cfRule>
  </conditionalFormatting>
  <conditionalFormatting sqref="A814">
    <cfRule type="cellIs" dxfId="24741" priority="24579" stopIfTrue="1" operator="equal">
      <formula>"Pass"</formula>
    </cfRule>
    <cfRule type="cellIs" dxfId="24740" priority="24580" stopIfTrue="1" operator="equal">
      <formula>"Fail"</formula>
    </cfRule>
  </conditionalFormatting>
  <conditionalFormatting sqref="A814">
    <cfRule type="cellIs" dxfId="24739" priority="24577" stopIfTrue="1" operator="equal">
      <formula>"Pass"</formula>
    </cfRule>
    <cfRule type="cellIs" dxfId="24738" priority="24578" stopIfTrue="1" operator="equal">
      <formula>"Fail"</formula>
    </cfRule>
  </conditionalFormatting>
  <conditionalFormatting sqref="A814">
    <cfRule type="cellIs" dxfId="24737" priority="24575" stopIfTrue="1" operator="equal">
      <formula>"Pass"</formula>
    </cfRule>
    <cfRule type="cellIs" dxfId="24736" priority="24576" stopIfTrue="1" operator="equal">
      <formula>"Fail"</formula>
    </cfRule>
  </conditionalFormatting>
  <conditionalFormatting sqref="A814">
    <cfRule type="cellIs" dxfId="24735" priority="24573" stopIfTrue="1" operator="equal">
      <formula>"Pass"</formula>
    </cfRule>
    <cfRule type="cellIs" dxfId="24734" priority="24574" stopIfTrue="1" operator="equal">
      <formula>"Fail"</formula>
    </cfRule>
  </conditionalFormatting>
  <conditionalFormatting sqref="U814:V814">
    <cfRule type="cellIs" dxfId="24733" priority="24571" stopIfTrue="1" operator="equal">
      <formula>"Fail"</formula>
    </cfRule>
    <cfRule type="cellIs" dxfId="24732" priority="24572" stopIfTrue="1" operator="equal">
      <formula>"Pass"</formula>
    </cfRule>
  </conditionalFormatting>
  <conditionalFormatting sqref="F814:G814 J814:N814">
    <cfRule type="cellIs" dxfId="24731" priority="24569" stopIfTrue="1" operator="equal">
      <formula>"Pass"</formula>
    </cfRule>
    <cfRule type="cellIs" dxfId="24730" priority="24570" stopIfTrue="1" operator="equal">
      <formula>"Fail"</formula>
    </cfRule>
  </conditionalFormatting>
  <conditionalFormatting sqref="J815:N815">
    <cfRule type="cellIs" dxfId="24729" priority="24567" stopIfTrue="1" operator="equal">
      <formula>"Pass"</formula>
    </cfRule>
    <cfRule type="cellIs" dxfId="24728" priority="24568" stopIfTrue="1" operator="equal">
      <formula>"Fail"</formula>
    </cfRule>
  </conditionalFormatting>
  <conditionalFormatting sqref="A808:A816">
    <cfRule type="cellIs" dxfId="24727" priority="24565" stopIfTrue="1" operator="equal">
      <formula>"Pass"</formula>
    </cfRule>
    <cfRule type="cellIs" dxfId="24726" priority="24566" stopIfTrue="1" operator="equal">
      <formula>"Fail"</formula>
    </cfRule>
  </conditionalFormatting>
  <conditionalFormatting sqref="A808:A816">
    <cfRule type="cellIs" dxfId="24725" priority="24563" stopIfTrue="1" operator="equal">
      <formula>"Pass"</formula>
    </cfRule>
    <cfRule type="cellIs" dxfId="24724" priority="24564" stopIfTrue="1" operator="equal">
      <formula>"Fail"</formula>
    </cfRule>
  </conditionalFormatting>
  <conditionalFormatting sqref="A808:A816">
    <cfRule type="cellIs" dxfId="24723" priority="24561" stopIfTrue="1" operator="equal">
      <formula>"Pass"</formula>
    </cfRule>
    <cfRule type="cellIs" dxfId="24722" priority="24562" stopIfTrue="1" operator="equal">
      <formula>"Fail"</formula>
    </cfRule>
  </conditionalFormatting>
  <conditionalFormatting sqref="A808:A816">
    <cfRule type="cellIs" dxfId="24721" priority="24559" stopIfTrue="1" operator="equal">
      <formula>"Pass"</formula>
    </cfRule>
    <cfRule type="cellIs" dxfId="24720" priority="24560" stopIfTrue="1" operator="equal">
      <formula>"Fail"</formula>
    </cfRule>
  </conditionalFormatting>
  <conditionalFormatting sqref="A808:A816">
    <cfRule type="cellIs" dxfId="24719" priority="24557" stopIfTrue="1" operator="equal">
      <formula>"Pass"</formula>
    </cfRule>
    <cfRule type="cellIs" dxfId="24718" priority="24558" stopIfTrue="1" operator="equal">
      <formula>"Fail"</formula>
    </cfRule>
  </conditionalFormatting>
  <conditionalFormatting sqref="A810 A813 A816">
    <cfRule type="cellIs" dxfId="24717" priority="24555" stopIfTrue="1" operator="equal">
      <formula>"Pass"</formula>
    </cfRule>
    <cfRule type="cellIs" dxfId="24716" priority="24556" stopIfTrue="1" operator="equal">
      <formula>"Fail"</formula>
    </cfRule>
  </conditionalFormatting>
  <conditionalFormatting sqref="A808:A816">
    <cfRule type="cellIs" dxfId="24715" priority="24553" stopIfTrue="1" operator="equal">
      <formula>"Pass"</formula>
    </cfRule>
    <cfRule type="cellIs" dxfId="24714" priority="24554" stopIfTrue="1" operator="equal">
      <formula>"Fail"</formula>
    </cfRule>
  </conditionalFormatting>
  <conditionalFormatting sqref="A808:A816">
    <cfRule type="cellIs" dxfId="24713" priority="24551" stopIfTrue="1" operator="equal">
      <formula>"Pass"</formula>
    </cfRule>
    <cfRule type="cellIs" dxfId="24712" priority="24552" stopIfTrue="1" operator="equal">
      <formula>"Fail"</formula>
    </cfRule>
  </conditionalFormatting>
  <conditionalFormatting sqref="A808:A816">
    <cfRule type="cellIs" dxfId="24711" priority="24549" stopIfTrue="1" operator="equal">
      <formula>"Pass"</formula>
    </cfRule>
    <cfRule type="cellIs" dxfId="24710" priority="24550" stopIfTrue="1" operator="equal">
      <formula>"Fail"</formula>
    </cfRule>
  </conditionalFormatting>
  <conditionalFormatting sqref="A808:A816">
    <cfRule type="cellIs" dxfId="24709" priority="24547" stopIfTrue="1" operator="equal">
      <formula>"Pass"</formula>
    </cfRule>
    <cfRule type="cellIs" dxfId="24708" priority="24548" stopIfTrue="1" operator="equal">
      <formula>"Fail"</formula>
    </cfRule>
  </conditionalFormatting>
  <conditionalFormatting sqref="A808:A816">
    <cfRule type="cellIs" dxfId="24707" priority="24545" stopIfTrue="1" operator="equal">
      <formula>"Pass"</formula>
    </cfRule>
    <cfRule type="cellIs" dxfId="24706" priority="24546" stopIfTrue="1" operator="equal">
      <formula>"Fail"</formula>
    </cfRule>
  </conditionalFormatting>
  <conditionalFormatting sqref="A808:A816">
    <cfRule type="cellIs" dxfId="24705" priority="24543" stopIfTrue="1" operator="equal">
      <formula>"Pass"</formula>
    </cfRule>
    <cfRule type="cellIs" dxfId="24704" priority="24544" stopIfTrue="1" operator="equal">
      <formula>"Fail"</formula>
    </cfRule>
  </conditionalFormatting>
  <conditionalFormatting sqref="A810 A813 A816">
    <cfRule type="cellIs" dxfId="24703" priority="24541" stopIfTrue="1" operator="equal">
      <formula>"Pass"</formula>
    </cfRule>
    <cfRule type="cellIs" dxfId="24702" priority="24542" stopIfTrue="1" operator="equal">
      <formula>"Fail"</formula>
    </cfRule>
  </conditionalFormatting>
  <conditionalFormatting sqref="A808:A816">
    <cfRule type="cellIs" dxfId="24701" priority="24539" stopIfTrue="1" operator="equal">
      <formula>"Pass"</formula>
    </cfRule>
    <cfRule type="cellIs" dxfId="24700" priority="24540" stopIfTrue="1" operator="equal">
      <formula>"Fail"</formula>
    </cfRule>
  </conditionalFormatting>
  <conditionalFormatting sqref="H808:H809">
    <cfRule type="cellIs" dxfId="24699" priority="24537" stopIfTrue="1" operator="equal">
      <formula>"Pass"</formula>
    </cfRule>
    <cfRule type="cellIs" dxfId="24698" priority="24538" stopIfTrue="1" operator="equal">
      <formula>"Fail"</formula>
    </cfRule>
  </conditionalFormatting>
  <conditionalFormatting sqref="F808 F810 I808:M809">
    <cfRule type="cellIs" dxfId="24697" priority="24535" stopIfTrue="1" operator="equal">
      <formula>"Pass"</formula>
    </cfRule>
    <cfRule type="cellIs" dxfId="24696" priority="24536" stopIfTrue="1" operator="equal">
      <formula>"Fail"</formula>
    </cfRule>
  </conditionalFormatting>
  <conditionalFormatting sqref="T810 T808 R808:R810 S809:S810">
    <cfRule type="cellIs" dxfId="24695" priority="24533" stopIfTrue="1" operator="equal">
      <formula>"Fail"</formula>
    </cfRule>
    <cfRule type="cellIs" dxfId="24694" priority="24534" stopIfTrue="1" operator="equal">
      <formula>"Pass"</formula>
    </cfRule>
  </conditionalFormatting>
  <conditionalFormatting sqref="F808:G808 F810:G810 J808:N809">
    <cfRule type="cellIs" dxfId="24693" priority="24531" stopIfTrue="1" operator="equal">
      <formula>"Pass"</formula>
    </cfRule>
    <cfRule type="cellIs" dxfId="24692" priority="24532" stopIfTrue="1" operator="equal">
      <formula>"Fail"</formula>
    </cfRule>
  </conditionalFormatting>
  <conditionalFormatting sqref="U810:V810 U808:V808 T808:T810 S809:S810">
    <cfRule type="cellIs" dxfId="24691" priority="24529" stopIfTrue="1" operator="equal">
      <formula>"Fail"</formula>
    </cfRule>
    <cfRule type="cellIs" dxfId="24690" priority="24530" stopIfTrue="1" operator="equal">
      <formula>"Pass"</formula>
    </cfRule>
  </conditionalFormatting>
  <conditionalFormatting sqref="J808:N809 F808:G810">
    <cfRule type="cellIs" dxfId="24689" priority="24527" stopIfTrue="1" operator="equal">
      <formula>"Pass"</formula>
    </cfRule>
    <cfRule type="cellIs" dxfId="24688" priority="24528" stopIfTrue="1" operator="equal">
      <formula>"Fail"</formula>
    </cfRule>
  </conditionalFormatting>
  <conditionalFormatting sqref="K808:O809 F808:H810">
    <cfRule type="cellIs" dxfId="24687" priority="24525" stopIfTrue="1" operator="equal">
      <formula>"Pass"</formula>
    </cfRule>
    <cfRule type="cellIs" dxfId="24686" priority="24526" stopIfTrue="1" operator="equal">
      <formula>"Fail"</formula>
    </cfRule>
  </conditionalFormatting>
  <conditionalFormatting sqref="T808">
    <cfRule type="cellIs" dxfId="24685" priority="24523" stopIfTrue="1" operator="equal">
      <formula>"Fail"</formula>
    </cfRule>
    <cfRule type="cellIs" dxfId="24684" priority="24524" stopIfTrue="1" operator="equal">
      <formula>"Pass"</formula>
    </cfRule>
  </conditionalFormatting>
  <conditionalFormatting sqref="J811:J812">
    <cfRule type="cellIs" dxfId="24683" priority="24521" stopIfTrue="1" operator="equal">
      <formula>"Pass"</formula>
    </cfRule>
    <cfRule type="cellIs" dxfId="24682" priority="24522" stopIfTrue="1" operator="equal">
      <formula>"Fail"</formula>
    </cfRule>
  </conditionalFormatting>
  <conditionalFormatting sqref="H811:H812 I812">
    <cfRule type="cellIs" dxfId="24681" priority="24519" stopIfTrue="1" operator="equal">
      <formula>"Pass"</formula>
    </cfRule>
    <cfRule type="cellIs" dxfId="24680" priority="24520" stopIfTrue="1" operator="equal">
      <formula>"Fail"</formula>
    </cfRule>
  </conditionalFormatting>
  <conditionalFormatting sqref="F813 F811:G811 K811:N812">
    <cfRule type="cellIs" dxfId="24679" priority="24517" stopIfTrue="1" operator="equal">
      <formula>"Pass"</formula>
    </cfRule>
    <cfRule type="cellIs" dxfId="24678" priority="24518" stopIfTrue="1" operator="equal">
      <formula>"Fail"</formula>
    </cfRule>
  </conditionalFormatting>
  <conditionalFormatting sqref="T811:T813 U812:V813">
    <cfRule type="cellIs" dxfId="24677" priority="24515" stopIfTrue="1" operator="equal">
      <formula>"Fail"</formula>
    </cfRule>
    <cfRule type="cellIs" dxfId="24676" priority="24516" stopIfTrue="1" operator="equal">
      <formula>"Pass"</formula>
    </cfRule>
  </conditionalFormatting>
  <conditionalFormatting sqref="U811:V811">
    <cfRule type="cellIs" dxfId="24675" priority="24513" stopIfTrue="1" operator="equal">
      <formula>"Fail"</formula>
    </cfRule>
    <cfRule type="cellIs" dxfId="24674" priority="24514" stopIfTrue="1" operator="equal">
      <formula>"Pass"</formula>
    </cfRule>
  </conditionalFormatting>
  <conditionalFormatting sqref="U811:V811">
    <cfRule type="cellIs" dxfId="24673" priority="24511" stopIfTrue="1" operator="equal">
      <formula>"Fail"</formula>
    </cfRule>
    <cfRule type="cellIs" dxfId="24672" priority="24512" stopIfTrue="1" operator="equal">
      <formula>"Pass"</formula>
    </cfRule>
  </conditionalFormatting>
  <conditionalFormatting sqref="J811:J812">
    <cfRule type="cellIs" dxfId="24671" priority="24509" stopIfTrue="1" operator="equal">
      <formula>"Pass"</formula>
    </cfRule>
    <cfRule type="cellIs" dxfId="24670" priority="24510" stopIfTrue="1" operator="equal">
      <formula>"Fail"</formula>
    </cfRule>
  </conditionalFormatting>
  <conditionalFormatting sqref="H811:H812 I812">
    <cfRule type="cellIs" dxfId="24669" priority="24507" stopIfTrue="1" operator="equal">
      <formula>"Pass"</formula>
    </cfRule>
    <cfRule type="cellIs" dxfId="24668" priority="24508" stopIfTrue="1" operator="equal">
      <formula>"Fail"</formula>
    </cfRule>
  </conditionalFormatting>
  <conditionalFormatting sqref="F813 F811:G811 K811:N812">
    <cfRule type="cellIs" dxfId="24667" priority="24505" stopIfTrue="1" operator="equal">
      <formula>"Pass"</formula>
    </cfRule>
    <cfRule type="cellIs" dxfId="24666" priority="24506" stopIfTrue="1" operator="equal">
      <formula>"Fail"</formula>
    </cfRule>
  </conditionalFormatting>
  <conditionalFormatting sqref="T811:T813 U812:V813">
    <cfRule type="cellIs" dxfId="24665" priority="24503" stopIfTrue="1" operator="equal">
      <formula>"Fail"</formula>
    </cfRule>
    <cfRule type="cellIs" dxfId="24664" priority="24504" stopIfTrue="1" operator="equal">
      <formula>"Pass"</formula>
    </cfRule>
  </conditionalFormatting>
  <conditionalFormatting sqref="U811:V811">
    <cfRule type="cellIs" dxfId="24663" priority="24501" stopIfTrue="1" operator="equal">
      <formula>"Fail"</formula>
    </cfRule>
    <cfRule type="cellIs" dxfId="24662" priority="24502" stopIfTrue="1" operator="equal">
      <formula>"Pass"</formula>
    </cfRule>
  </conditionalFormatting>
  <conditionalFormatting sqref="U811:V811">
    <cfRule type="cellIs" dxfId="24661" priority="24499" stopIfTrue="1" operator="equal">
      <formula>"Fail"</formula>
    </cfRule>
    <cfRule type="cellIs" dxfId="24660" priority="24500" stopIfTrue="1" operator="equal">
      <formula>"Pass"</formula>
    </cfRule>
  </conditionalFormatting>
  <conditionalFormatting sqref="F811:G811 K811:N811">
    <cfRule type="cellIs" dxfId="24659" priority="24497" stopIfTrue="1" operator="equal">
      <formula>"Pass"</formula>
    </cfRule>
    <cfRule type="cellIs" dxfId="24658" priority="24498" stopIfTrue="1" operator="equal">
      <formula>"Fail"</formula>
    </cfRule>
  </conditionalFormatting>
  <conditionalFormatting sqref="K812:N812">
    <cfRule type="cellIs" dxfId="24657" priority="24495" stopIfTrue="1" operator="equal">
      <formula>"Pass"</formula>
    </cfRule>
    <cfRule type="cellIs" dxfId="24656" priority="24496" stopIfTrue="1" operator="equal">
      <formula>"Fail"</formula>
    </cfRule>
  </conditionalFormatting>
  <conditionalFormatting sqref="U811:V811">
    <cfRule type="cellIs" dxfId="24655" priority="24493" stopIfTrue="1" operator="equal">
      <formula>"Fail"</formula>
    </cfRule>
    <cfRule type="cellIs" dxfId="24654" priority="24494" stopIfTrue="1" operator="equal">
      <formula>"Pass"</formula>
    </cfRule>
  </conditionalFormatting>
  <conditionalFormatting sqref="H814:H815">
    <cfRule type="cellIs" dxfId="24653" priority="24491" stopIfTrue="1" operator="equal">
      <formula>"Pass"</formula>
    </cfRule>
    <cfRule type="cellIs" dxfId="24652" priority="24492" stopIfTrue="1" operator="equal">
      <formula>"Fail"</formula>
    </cfRule>
  </conditionalFormatting>
  <conditionalFormatting sqref="F814 I814:M815 F816">
    <cfRule type="cellIs" dxfId="24651" priority="24489" stopIfTrue="1" operator="equal">
      <formula>"Pass"</formula>
    </cfRule>
    <cfRule type="cellIs" dxfId="24650" priority="24490" stopIfTrue="1" operator="equal">
      <formula>"Fail"</formula>
    </cfRule>
  </conditionalFormatting>
  <conditionalFormatting sqref="T816 T814 R814:R816 S815:S816">
    <cfRule type="cellIs" dxfId="24649" priority="24487" stopIfTrue="1" operator="equal">
      <formula>"Fail"</formula>
    </cfRule>
    <cfRule type="cellIs" dxfId="24648" priority="24488" stopIfTrue="1" operator="equal">
      <formula>"Pass"</formula>
    </cfRule>
  </conditionalFormatting>
  <conditionalFormatting sqref="F814:G814 F816:G816 J814:N815">
    <cfRule type="cellIs" dxfId="24647" priority="24485" stopIfTrue="1" operator="equal">
      <formula>"Pass"</formula>
    </cfRule>
    <cfRule type="cellIs" dxfId="24646" priority="24486" stopIfTrue="1" operator="equal">
      <formula>"Fail"</formula>
    </cfRule>
  </conditionalFormatting>
  <conditionalFormatting sqref="U816:V816 T814:T816 S815:S816">
    <cfRule type="cellIs" dxfId="24645" priority="24483" stopIfTrue="1" operator="equal">
      <formula>"Fail"</formula>
    </cfRule>
    <cfRule type="cellIs" dxfId="24644" priority="24484" stopIfTrue="1" operator="equal">
      <formula>"Pass"</formula>
    </cfRule>
  </conditionalFormatting>
  <conditionalFormatting sqref="U814:V814">
    <cfRule type="cellIs" dxfId="24643" priority="24481" stopIfTrue="1" operator="equal">
      <formula>"Fail"</formula>
    </cfRule>
    <cfRule type="cellIs" dxfId="24642" priority="24482" stopIfTrue="1" operator="equal">
      <formula>"Pass"</formula>
    </cfRule>
  </conditionalFormatting>
  <conditionalFormatting sqref="F814:G814 J814:N814">
    <cfRule type="cellIs" dxfId="24641" priority="24479" stopIfTrue="1" operator="equal">
      <formula>"Pass"</formula>
    </cfRule>
    <cfRule type="cellIs" dxfId="24640" priority="24480" stopIfTrue="1" operator="equal">
      <formula>"Fail"</formula>
    </cfRule>
  </conditionalFormatting>
  <conditionalFormatting sqref="J815:N815">
    <cfRule type="cellIs" dxfId="24639" priority="24477" stopIfTrue="1" operator="equal">
      <formula>"Pass"</formula>
    </cfRule>
    <cfRule type="cellIs" dxfId="24638" priority="24478" stopIfTrue="1" operator="equal">
      <formula>"Fail"</formula>
    </cfRule>
  </conditionalFormatting>
  <conditionalFormatting sqref="K808:O809 F808:H810">
    <cfRule type="cellIs" dxfId="24637" priority="24475" stopIfTrue="1" operator="equal">
      <formula>"Pass"</formula>
    </cfRule>
    <cfRule type="cellIs" dxfId="24636" priority="24476" stopIfTrue="1" operator="equal">
      <formula>"Fail"</formula>
    </cfRule>
  </conditionalFormatting>
  <conditionalFormatting sqref="T808">
    <cfRule type="cellIs" dxfId="24635" priority="24473" stopIfTrue="1" operator="equal">
      <formula>"Fail"</formula>
    </cfRule>
    <cfRule type="cellIs" dxfId="24634" priority="24474" stopIfTrue="1" operator="equal">
      <formula>"Pass"</formula>
    </cfRule>
  </conditionalFormatting>
  <conditionalFormatting sqref="J811:J812">
    <cfRule type="cellIs" dxfId="24633" priority="24471" stopIfTrue="1" operator="equal">
      <formula>"Pass"</formula>
    </cfRule>
    <cfRule type="cellIs" dxfId="24632" priority="24472" stopIfTrue="1" operator="equal">
      <formula>"Fail"</formula>
    </cfRule>
  </conditionalFormatting>
  <conditionalFormatting sqref="H811:H812 I812">
    <cfRule type="cellIs" dxfId="24631" priority="24469" stopIfTrue="1" operator="equal">
      <formula>"Pass"</formula>
    </cfRule>
    <cfRule type="cellIs" dxfId="24630" priority="24470" stopIfTrue="1" operator="equal">
      <formula>"Fail"</formula>
    </cfRule>
  </conditionalFormatting>
  <conditionalFormatting sqref="F811:G811 K811:N812">
    <cfRule type="cellIs" dxfId="24629" priority="24467" stopIfTrue="1" operator="equal">
      <formula>"Pass"</formula>
    </cfRule>
    <cfRule type="cellIs" dxfId="24628" priority="24468" stopIfTrue="1" operator="equal">
      <formula>"Fail"</formula>
    </cfRule>
  </conditionalFormatting>
  <conditionalFormatting sqref="T811:T812 U812:V812">
    <cfRule type="cellIs" dxfId="24627" priority="24465" stopIfTrue="1" operator="equal">
      <formula>"Fail"</formula>
    </cfRule>
    <cfRule type="cellIs" dxfId="24626" priority="24466" stopIfTrue="1" operator="equal">
      <formula>"Pass"</formula>
    </cfRule>
  </conditionalFormatting>
  <conditionalFormatting sqref="U811:V811">
    <cfRule type="cellIs" dxfId="24625" priority="24463" stopIfTrue="1" operator="equal">
      <formula>"Fail"</formula>
    </cfRule>
    <cfRule type="cellIs" dxfId="24624" priority="24464" stopIfTrue="1" operator="equal">
      <formula>"Pass"</formula>
    </cfRule>
  </conditionalFormatting>
  <conditionalFormatting sqref="U811:V811">
    <cfRule type="cellIs" dxfId="24623" priority="24461" stopIfTrue="1" operator="equal">
      <formula>"Fail"</formula>
    </cfRule>
    <cfRule type="cellIs" dxfId="24622" priority="24462" stopIfTrue="1" operator="equal">
      <formula>"Pass"</formula>
    </cfRule>
  </conditionalFormatting>
  <conditionalFormatting sqref="J811:J812">
    <cfRule type="cellIs" dxfId="24621" priority="24459" stopIfTrue="1" operator="equal">
      <formula>"Pass"</formula>
    </cfRule>
    <cfRule type="cellIs" dxfId="24620" priority="24460" stopIfTrue="1" operator="equal">
      <formula>"Fail"</formula>
    </cfRule>
  </conditionalFormatting>
  <conditionalFormatting sqref="H811:H812 I812">
    <cfRule type="cellIs" dxfId="24619" priority="24457" stopIfTrue="1" operator="equal">
      <formula>"Pass"</formula>
    </cfRule>
    <cfRule type="cellIs" dxfId="24618" priority="24458" stopIfTrue="1" operator="equal">
      <formula>"Fail"</formula>
    </cfRule>
  </conditionalFormatting>
  <conditionalFormatting sqref="F811:G811 K811:N812">
    <cfRule type="cellIs" dxfId="24617" priority="24455" stopIfTrue="1" operator="equal">
      <formula>"Pass"</formula>
    </cfRule>
    <cfRule type="cellIs" dxfId="24616" priority="24456" stopIfTrue="1" operator="equal">
      <formula>"Fail"</formula>
    </cfRule>
  </conditionalFormatting>
  <conditionalFormatting sqref="T811:T812 U812:V812">
    <cfRule type="cellIs" dxfId="24615" priority="24453" stopIfTrue="1" operator="equal">
      <formula>"Fail"</formula>
    </cfRule>
    <cfRule type="cellIs" dxfId="24614" priority="24454" stopIfTrue="1" operator="equal">
      <formula>"Pass"</formula>
    </cfRule>
  </conditionalFormatting>
  <conditionalFormatting sqref="U811:V811">
    <cfRule type="cellIs" dxfId="24613" priority="24451" stopIfTrue="1" operator="equal">
      <formula>"Fail"</formula>
    </cfRule>
    <cfRule type="cellIs" dxfId="24612" priority="24452" stopIfTrue="1" operator="equal">
      <formula>"Pass"</formula>
    </cfRule>
  </conditionalFormatting>
  <conditionalFormatting sqref="U811:V811">
    <cfRule type="cellIs" dxfId="24611" priority="24449" stopIfTrue="1" operator="equal">
      <formula>"Fail"</formula>
    </cfRule>
    <cfRule type="cellIs" dxfId="24610" priority="24450" stopIfTrue="1" operator="equal">
      <formula>"Pass"</formula>
    </cfRule>
  </conditionalFormatting>
  <conditionalFormatting sqref="F811:G811 K811:N811">
    <cfRule type="cellIs" dxfId="24609" priority="24447" stopIfTrue="1" operator="equal">
      <formula>"Pass"</formula>
    </cfRule>
    <cfRule type="cellIs" dxfId="24608" priority="24448" stopIfTrue="1" operator="equal">
      <formula>"Fail"</formula>
    </cfRule>
  </conditionalFormatting>
  <conditionalFormatting sqref="K812:N812">
    <cfRule type="cellIs" dxfId="24607" priority="24445" stopIfTrue="1" operator="equal">
      <formula>"Pass"</formula>
    </cfRule>
    <cfRule type="cellIs" dxfId="24606" priority="24446" stopIfTrue="1" operator="equal">
      <formula>"Fail"</formula>
    </cfRule>
  </conditionalFormatting>
  <conditionalFormatting sqref="U811:V811">
    <cfRule type="cellIs" dxfId="24605" priority="24443" stopIfTrue="1" operator="equal">
      <formula>"Fail"</formula>
    </cfRule>
    <cfRule type="cellIs" dxfId="24604" priority="24444" stopIfTrue="1" operator="equal">
      <formula>"Pass"</formula>
    </cfRule>
  </conditionalFormatting>
  <conditionalFormatting sqref="H814:H815">
    <cfRule type="cellIs" dxfId="24603" priority="24441" stopIfTrue="1" operator="equal">
      <formula>"Pass"</formula>
    </cfRule>
    <cfRule type="cellIs" dxfId="24602" priority="24442" stopIfTrue="1" operator="equal">
      <formula>"Fail"</formula>
    </cfRule>
  </conditionalFormatting>
  <conditionalFormatting sqref="F814 I814:M815 F816">
    <cfRule type="cellIs" dxfId="24601" priority="24439" stopIfTrue="1" operator="equal">
      <formula>"Pass"</formula>
    </cfRule>
    <cfRule type="cellIs" dxfId="24600" priority="24440" stopIfTrue="1" operator="equal">
      <formula>"Fail"</formula>
    </cfRule>
  </conditionalFormatting>
  <conditionalFormatting sqref="T816 T814 R814:R816 S815:S816">
    <cfRule type="cellIs" dxfId="24599" priority="24437" stopIfTrue="1" operator="equal">
      <formula>"Fail"</formula>
    </cfRule>
    <cfRule type="cellIs" dxfId="24598" priority="24438" stopIfTrue="1" operator="equal">
      <formula>"Pass"</formula>
    </cfRule>
  </conditionalFormatting>
  <conditionalFormatting sqref="F814:G814 F816:G816 J814:N815">
    <cfRule type="cellIs" dxfId="24597" priority="24435" stopIfTrue="1" operator="equal">
      <formula>"Pass"</formula>
    </cfRule>
    <cfRule type="cellIs" dxfId="24596" priority="24436" stopIfTrue="1" operator="equal">
      <formula>"Fail"</formula>
    </cfRule>
  </conditionalFormatting>
  <conditionalFormatting sqref="U816:V816 T814:T816 S815:S816">
    <cfRule type="cellIs" dxfId="24595" priority="24433" stopIfTrue="1" operator="equal">
      <formula>"Fail"</formula>
    </cfRule>
    <cfRule type="cellIs" dxfId="24594" priority="24434" stopIfTrue="1" operator="equal">
      <formula>"Pass"</formula>
    </cfRule>
  </conditionalFormatting>
  <conditionalFormatting sqref="U814:V814">
    <cfRule type="cellIs" dxfId="24593" priority="24431" stopIfTrue="1" operator="equal">
      <formula>"Fail"</formula>
    </cfRule>
    <cfRule type="cellIs" dxfId="24592" priority="24432" stopIfTrue="1" operator="equal">
      <formula>"Pass"</formula>
    </cfRule>
  </conditionalFormatting>
  <conditionalFormatting sqref="F814:G814 J814:N814">
    <cfRule type="cellIs" dxfId="24591" priority="24429" stopIfTrue="1" operator="equal">
      <formula>"Pass"</formula>
    </cfRule>
    <cfRule type="cellIs" dxfId="24590" priority="24430" stopIfTrue="1" operator="equal">
      <formula>"Fail"</formula>
    </cfRule>
  </conditionalFormatting>
  <conditionalFormatting sqref="J815:N815">
    <cfRule type="cellIs" dxfId="24589" priority="24427" stopIfTrue="1" operator="equal">
      <formula>"Pass"</formula>
    </cfRule>
    <cfRule type="cellIs" dxfId="24588" priority="24428" stopIfTrue="1" operator="equal">
      <formula>"Fail"</formula>
    </cfRule>
  </conditionalFormatting>
  <conditionalFormatting sqref="U811:V811">
    <cfRule type="cellIs" dxfId="24587" priority="24425" stopIfTrue="1" operator="equal">
      <formula>"Fail"</formula>
    </cfRule>
    <cfRule type="cellIs" dxfId="24586" priority="24426" stopIfTrue="1" operator="equal">
      <formula>"Pass"</formula>
    </cfRule>
  </conditionalFormatting>
  <conditionalFormatting sqref="U814:V814">
    <cfRule type="cellIs" dxfId="24585" priority="24423" stopIfTrue="1" operator="equal">
      <formula>"Fail"</formula>
    </cfRule>
    <cfRule type="cellIs" dxfId="24584" priority="24424" stopIfTrue="1" operator="equal">
      <formula>"Pass"</formula>
    </cfRule>
  </conditionalFormatting>
  <conditionalFormatting sqref="U811:V811">
    <cfRule type="cellIs" dxfId="24583" priority="24421" stopIfTrue="1" operator="equal">
      <formula>"Fail"</formula>
    </cfRule>
    <cfRule type="cellIs" dxfId="24582" priority="24422" stopIfTrue="1" operator="equal">
      <formula>"Pass"</formula>
    </cfRule>
  </conditionalFormatting>
  <conditionalFormatting sqref="U811:V811">
    <cfRule type="cellIs" dxfId="24581" priority="24419" stopIfTrue="1" operator="equal">
      <formula>"Fail"</formula>
    </cfRule>
    <cfRule type="cellIs" dxfId="24580" priority="24420" stopIfTrue="1" operator="equal">
      <formula>"Pass"</formula>
    </cfRule>
  </conditionalFormatting>
  <conditionalFormatting sqref="U814:V814">
    <cfRule type="cellIs" dxfId="24579" priority="24417" stopIfTrue="1" operator="equal">
      <formula>"Fail"</formula>
    </cfRule>
    <cfRule type="cellIs" dxfId="24578" priority="24418" stopIfTrue="1" operator="equal">
      <formula>"Pass"</formula>
    </cfRule>
  </conditionalFormatting>
  <conditionalFormatting sqref="U814:V814">
    <cfRule type="cellIs" dxfId="24577" priority="24415" stopIfTrue="1" operator="equal">
      <formula>"Fail"</formula>
    </cfRule>
    <cfRule type="cellIs" dxfId="24576" priority="24416" stopIfTrue="1" operator="equal">
      <formula>"Pass"</formula>
    </cfRule>
  </conditionalFormatting>
  <conditionalFormatting sqref="N814">
    <cfRule type="cellIs" dxfId="24575" priority="24413" stopIfTrue="1" operator="equal">
      <formula>"Pass"</formula>
    </cfRule>
    <cfRule type="cellIs" dxfId="24574" priority="24414" stopIfTrue="1" operator="equal">
      <formula>"Fail"</formula>
    </cfRule>
  </conditionalFormatting>
  <conditionalFormatting sqref="N814">
    <cfRule type="cellIs" dxfId="24573" priority="24411" stopIfTrue="1" operator="equal">
      <formula>"Pass"</formula>
    </cfRule>
    <cfRule type="cellIs" dxfId="24572" priority="24412" stopIfTrue="1" operator="equal">
      <formula>"Fail"</formula>
    </cfRule>
  </conditionalFormatting>
  <conditionalFormatting sqref="N814">
    <cfRule type="cellIs" dxfId="24571" priority="24409" stopIfTrue="1" operator="equal">
      <formula>"Pass"</formula>
    </cfRule>
    <cfRule type="cellIs" dxfId="24570" priority="24410" stopIfTrue="1" operator="equal">
      <formula>"Fail"</formula>
    </cfRule>
  </conditionalFormatting>
  <conditionalFormatting sqref="H817:H818">
    <cfRule type="cellIs" dxfId="24569" priority="24407" stopIfTrue="1" operator="equal">
      <formula>"Pass"</formula>
    </cfRule>
    <cfRule type="cellIs" dxfId="24568" priority="24408" stopIfTrue="1" operator="equal">
      <formula>"Fail"</formula>
    </cfRule>
  </conditionalFormatting>
  <conditionalFormatting sqref="E817:F817 E819:F819 I817:M818 A817:A825">
    <cfRule type="cellIs" dxfId="24567" priority="24405" stopIfTrue="1" operator="equal">
      <formula>"Pass"</formula>
    </cfRule>
    <cfRule type="cellIs" dxfId="24566" priority="24406" stopIfTrue="1" operator="equal">
      <formula>"Fail"</formula>
    </cfRule>
  </conditionalFormatting>
  <conditionalFormatting sqref="T819 T817 R817:R819 S818:S819">
    <cfRule type="cellIs" dxfId="24565" priority="24403" stopIfTrue="1" operator="equal">
      <formula>"Fail"</formula>
    </cfRule>
    <cfRule type="cellIs" dxfId="24564" priority="24404" stopIfTrue="1" operator="equal">
      <formula>"Pass"</formula>
    </cfRule>
  </conditionalFormatting>
  <conditionalFormatting sqref="F817:G817 F819:G819 A817:B819 J817:N818 A820:A825">
    <cfRule type="cellIs" dxfId="24563" priority="24401" stopIfTrue="1" operator="equal">
      <formula>"Pass"</formula>
    </cfRule>
    <cfRule type="cellIs" dxfId="24562" priority="24402" stopIfTrue="1" operator="equal">
      <formula>"Fail"</formula>
    </cfRule>
  </conditionalFormatting>
  <conditionalFormatting sqref="U819:V819 U817:V817 T817:T819 S818:S819">
    <cfRule type="cellIs" dxfId="24561" priority="24399" stopIfTrue="1" operator="equal">
      <formula>"Fail"</formula>
    </cfRule>
    <cfRule type="cellIs" dxfId="24560" priority="24400" stopIfTrue="1" operator="equal">
      <formula>"Pass"</formula>
    </cfRule>
  </conditionalFormatting>
  <conditionalFormatting sqref="A817:A825">
    <cfRule type="cellIs" dxfId="24559" priority="24397" stopIfTrue="1" operator="equal">
      <formula>"Pass"</formula>
    </cfRule>
    <cfRule type="cellIs" dxfId="24558" priority="24398" stopIfTrue="1" operator="equal">
      <formula>"Fail"</formula>
    </cfRule>
  </conditionalFormatting>
  <conditionalFormatting sqref="A817:A825">
    <cfRule type="cellIs" dxfId="24557" priority="24395" stopIfTrue="1" operator="equal">
      <formula>"Pass"</formula>
    </cfRule>
    <cfRule type="cellIs" dxfId="24556" priority="24396" stopIfTrue="1" operator="equal">
      <formula>"Fail"</formula>
    </cfRule>
  </conditionalFormatting>
  <conditionalFormatting sqref="A817:A825">
    <cfRule type="cellIs" dxfId="24555" priority="24393" stopIfTrue="1" operator="equal">
      <formula>"Pass"</formula>
    </cfRule>
    <cfRule type="cellIs" dxfId="24554" priority="24394" stopIfTrue="1" operator="equal">
      <formula>"Fail"</formula>
    </cfRule>
  </conditionalFormatting>
  <conditionalFormatting sqref="J817:N818 E817:G819">
    <cfRule type="cellIs" dxfId="24553" priority="24391" stopIfTrue="1" operator="equal">
      <formula>"Pass"</formula>
    </cfRule>
    <cfRule type="cellIs" dxfId="24552" priority="24392" stopIfTrue="1" operator="equal">
      <formula>"Fail"</formula>
    </cfRule>
  </conditionalFormatting>
  <conditionalFormatting sqref="A819 C819 K817:O818 F817:H819 A822 A825">
    <cfRule type="cellIs" dxfId="24551" priority="24389" stopIfTrue="1" operator="equal">
      <formula>"Pass"</formula>
    </cfRule>
    <cfRule type="cellIs" dxfId="24550" priority="24390" stopIfTrue="1" operator="equal">
      <formula>"Fail"</formula>
    </cfRule>
  </conditionalFormatting>
  <conditionalFormatting sqref="T817">
    <cfRule type="cellIs" dxfId="24549" priority="24387" stopIfTrue="1" operator="equal">
      <formula>"Fail"</formula>
    </cfRule>
    <cfRule type="cellIs" dxfId="24548" priority="24388" stopIfTrue="1" operator="equal">
      <formula>"Pass"</formula>
    </cfRule>
  </conditionalFormatting>
  <conditionalFormatting sqref="A817:A825">
    <cfRule type="cellIs" dxfId="24547" priority="24385" stopIfTrue="1" operator="equal">
      <formula>"Pass"</formula>
    </cfRule>
    <cfRule type="cellIs" dxfId="24546" priority="24386" stopIfTrue="1" operator="equal">
      <formula>"Fail"</formula>
    </cfRule>
  </conditionalFormatting>
  <conditionalFormatting sqref="A820">
    <cfRule type="cellIs" dxfId="24545" priority="24383" stopIfTrue="1" operator="equal">
      <formula>"Pass"</formula>
    </cfRule>
    <cfRule type="cellIs" dxfId="24544" priority="24384" stopIfTrue="1" operator="equal">
      <formula>"Fail"</formula>
    </cfRule>
  </conditionalFormatting>
  <conditionalFormatting sqref="A820">
    <cfRule type="cellIs" dxfId="24543" priority="24381" stopIfTrue="1" operator="equal">
      <formula>"Pass"</formula>
    </cfRule>
    <cfRule type="cellIs" dxfId="24542" priority="24382" stopIfTrue="1" operator="equal">
      <formula>"Fail"</formula>
    </cfRule>
  </conditionalFormatting>
  <conditionalFormatting sqref="A820">
    <cfRule type="cellIs" dxfId="24541" priority="24379" stopIfTrue="1" operator="equal">
      <formula>"Pass"</formula>
    </cfRule>
    <cfRule type="cellIs" dxfId="24540" priority="24380" stopIfTrue="1" operator="equal">
      <formula>"Fail"</formula>
    </cfRule>
  </conditionalFormatting>
  <conditionalFormatting sqref="A820">
    <cfRule type="cellIs" dxfId="24539" priority="24377" stopIfTrue="1" operator="equal">
      <formula>"Pass"</formula>
    </cfRule>
    <cfRule type="cellIs" dxfId="24538" priority="24378" stopIfTrue="1" operator="equal">
      <formula>"Fail"</formula>
    </cfRule>
  </conditionalFormatting>
  <conditionalFormatting sqref="A820">
    <cfRule type="cellIs" dxfId="24537" priority="24375" stopIfTrue="1" operator="equal">
      <formula>"Pass"</formula>
    </cfRule>
    <cfRule type="cellIs" dxfId="24536" priority="24376" stopIfTrue="1" operator="equal">
      <formula>"Fail"</formula>
    </cfRule>
  </conditionalFormatting>
  <conditionalFormatting sqref="A820">
    <cfRule type="cellIs" dxfId="24535" priority="24373" stopIfTrue="1" operator="equal">
      <formula>"Pass"</formula>
    </cfRule>
    <cfRule type="cellIs" dxfId="24534" priority="24374" stopIfTrue="1" operator="equal">
      <formula>"Fail"</formula>
    </cfRule>
  </conditionalFormatting>
  <conditionalFormatting sqref="A820">
    <cfRule type="cellIs" dxfId="24533" priority="24371" stopIfTrue="1" operator="equal">
      <formula>"Pass"</formula>
    </cfRule>
    <cfRule type="cellIs" dxfId="24532" priority="24372" stopIfTrue="1" operator="equal">
      <formula>"Fail"</formula>
    </cfRule>
  </conditionalFormatting>
  <conditionalFormatting sqref="A820">
    <cfRule type="cellIs" dxfId="24531" priority="24369" stopIfTrue="1" operator="equal">
      <formula>"Pass"</formula>
    </cfRule>
    <cfRule type="cellIs" dxfId="24530" priority="24370" stopIfTrue="1" operator="equal">
      <formula>"Fail"</formula>
    </cfRule>
  </conditionalFormatting>
  <conditionalFormatting sqref="A820">
    <cfRule type="cellIs" dxfId="24529" priority="24367" stopIfTrue="1" operator="equal">
      <formula>"Pass"</formula>
    </cfRule>
    <cfRule type="cellIs" dxfId="24528" priority="24368" stopIfTrue="1" operator="equal">
      <formula>"Fail"</formula>
    </cfRule>
  </conditionalFormatting>
  <conditionalFormatting sqref="A820">
    <cfRule type="cellIs" dxfId="24527" priority="24365" stopIfTrue="1" operator="equal">
      <formula>"Pass"</formula>
    </cfRule>
    <cfRule type="cellIs" dxfId="24526" priority="24366" stopIfTrue="1" operator="equal">
      <formula>"Fail"</formula>
    </cfRule>
  </conditionalFormatting>
  <conditionalFormatting sqref="A820">
    <cfRule type="cellIs" dxfId="24525" priority="24363" stopIfTrue="1" operator="equal">
      <formula>"Pass"</formula>
    </cfRule>
    <cfRule type="cellIs" dxfId="24524" priority="24364" stopIfTrue="1" operator="equal">
      <formula>"Fail"</formula>
    </cfRule>
  </conditionalFormatting>
  <conditionalFormatting sqref="A820">
    <cfRule type="cellIs" dxfId="24523" priority="24361" stopIfTrue="1" operator="equal">
      <formula>"Pass"</formula>
    </cfRule>
    <cfRule type="cellIs" dxfId="24522" priority="24362" stopIfTrue="1" operator="equal">
      <formula>"Fail"</formula>
    </cfRule>
  </conditionalFormatting>
  <conditionalFormatting sqref="J820:J821">
    <cfRule type="cellIs" dxfId="24521" priority="24359" stopIfTrue="1" operator="equal">
      <formula>"Pass"</formula>
    </cfRule>
    <cfRule type="cellIs" dxfId="24520" priority="24360" stopIfTrue="1" operator="equal">
      <formula>"Fail"</formula>
    </cfRule>
  </conditionalFormatting>
  <conditionalFormatting sqref="H820:H821 I821">
    <cfRule type="cellIs" dxfId="24519" priority="24357" stopIfTrue="1" operator="equal">
      <formula>"Pass"</formula>
    </cfRule>
    <cfRule type="cellIs" dxfId="24518" priority="24358" stopIfTrue="1" operator="equal">
      <formula>"Fail"</formula>
    </cfRule>
  </conditionalFormatting>
  <conditionalFormatting sqref="A820 C820 F822 F820:G820 K820:N821">
    <cfRule type="cellIs" dxfId="24517" priority="24355" stopIfTrue="1" operator="equal">
      <formula>"Pass"</formula>
    </cfRule>
    <cfRule type="cellIs" dxfId="24516" priority="24356" stopIfTrue="1" operator="equal">
      <formula>"Fail"</formula>
    </cfRule>
  </conditionalFormatting>
  <conditionalFormatting sqref="T820:T822 U821:V822">
    <cfRule type="cellIs" dxfId="24515" priority="24353" stopIfTrue="1" operator="equal">
      <formula>"Fail"</formula>
    </cfRule>
    <cfRule type="cellIs" dxfId="24514" priority="24354" stopIfTrue="1" operator="equal">
      <formula>"Pass"</formula>
    </cfRule>
  </conditionalFormatting>
  <conditionalFormatting sqref="A820">
    <cfRule type="cellIs" dxfId="24513" priority="24351" stopIfTrue="1" operator="equal">
      <formula>"Pass"</formula>
    </cfRule>
    <cfRule type="cellIs" dxfId="24512" priority="24352" stopIfTrue="1" operator="equal">
      <formula>"Fail"</formula>
    </cfRule>
  </conditionalFormatting>
  <conditionalFormatting sqref="A820">
    <cfRule type="cellIs" dxfId="24511" priority="24349" stopIfTrue="1" operator="equal">
      <formula>"Pass"</formula>
    </cfRule>
    <cfRule type="cellIs" dxfId="24510" priority="24350" stopIfTrue="1" operator="equal">
      <formula>"Fail"</formula>
    </cfRule>
  </conditionalFormatting>
  <conditionalFormatting sqref="A820">
    <cfRule type="cellIs" dxfId="24509" priority="24347" stopIfTrue="1" operator="equal">
      <formula>"Pass"</formula>
    </cfRule>
    <cfRule type="cellIs" dxfId="24508" priority="24348" stopIfTrue="1" operator="equal">
      <formula>"Fail"</formula>
    </cfRule>
  </conditionalFormatting>
  <conditionalFormatting sqref="A820">
    <cfRule type="cellIs" dxfId="24507" priority="24345" stopIfTrue="1" operator="equal">
      <formula>"Pass"</formula>
    </cfRule>
    <cfRule type="cellIs" dxfId="24506" priority="24346" stopIfTrue="1" operator="equal">
      <formula>"Fail"</formula>
    </cfRule>
  </conditionalFormatting>
  <conditionalFormatting sqref="A820">
    <cfRule type="cellIs" dxfId="24505" priority="24343" stopIfTrue="1" operator="equal">
      <formula>"Pass"</formula>
    </cfRule>
    <cfRule type="cellIs" dxfId="24504" priority="24344" stopIfTrue="1" operator="equal">
      <formula>"Fail"</formula>
    </cfRule>
  </conditionalFormatting>
  <conditionalFormatting sqref="A820">
    <cfRule type="cellIs" dxfId="24503" priority="24341" stopIfTrue="1" operator="equal">
      <formula>"Pass"</formula>
    </cfRule>
    <cfRule type="cellIs" dxfId="24502" priority="24342" stopIfTrue="1" operator="equal">
      <formula>"Fail"</formula>
    </cfRule>
  </conditionalFormatting>
  <conditionalFormatting sqref="A820">
    <cfRule type="cellIs" dxfId="24501" priority="24339" stopIfTrue="1" operator="equal">
      <formula>"Pass"</formula>
    </cfRule>
    <cfRule type="cellIs" dxfId="24500" priority="24340" stopIfTrue="1" operator="equal">
      <formula>"Fail"</formula>
    </cfRule>
  </conditionalFormatting>
  <conditionalFormatting sqref="A820">
    <cfRule type="cellIs" dxfId="24499" priority="24337" stopIfTrue="1" operator="equal">
      <formula>"Pass"</formula>
    </cfRule>
    <cfRule type="cellIs" dxfId="24498" priority="24338" stopIfTrue="1" operator="equal">
      <formula>"Fail"</formula>
    </cfRule>
  </conditionalFormatting>
  <conditionalFormatting sqref="A820">
    <cfRule type="cellIs" dxfId="24497" priority="24335" stopIfTrue="1" operator="equal">
      <formula>"Pass"</formula>
    </cfRule>
    <cfRule type="cellIs" dxfId="24496" priority="24336" stopIfTrue="1" operator="equal">
      <formula>"Fail"</formula>
    </cfRule>
  </conditionalFormatting>
  <conditionalFormatting sqref="A820">
    <cfRule type="cellIs" dxfId="24495" priority="24333" stopIfTrue="1" operator="equal">
      <formula>"Pass"</formula>
    </cfRule>
    <cfRule type="cellIs" dxfId="24494" priority="24334" stopIfTrue="1" operator="equal">
      <formula>"Fail"</formula>
    </cfRule>
  </conditionalFormatting>
  <conditionalFormatting sqref="A820">
    <cfRule type="cellIs" dxfId="24493" priority="24331" stopIfTrue="1" operator="equal">
      <formula>"Pass"</formula>
    </cfRule>
    <cfRule type="cellIs" dxfId="24492" priority="24332" stopIfTrue="1" operator="equal">
      <formula>"Fail"</formula>
    </cfRule>
  </conditionalFormatting>
  <conditionalFormatting sqref="A820">
    <cfRule type="cellIs" dxfId="24491" priority="24329" stopIfTrue="1" operator="equal">
      <formula>"Pass"</formula>
    </cfRule>
    <cfRule type="cellIs" dxfId="24490" priority="24330" stopIfTrue="1" operator="equal">
      <formula>"Fail"</formula>
    </cfRule>
  </conditionalFormatting>
  <conditionalFormatting sqref="A820">
    <cfRule type="cellIs" dxfId="24489" priority="24327" stopIfTrue="1" operator="equal">
      <formula>"Pass"</formula>
    </cfRule>
    <cfRule type="cellIs" dxfId="24488" priority="24328" stopIfTrue="1" operator="equal">
      <formula>"Fail"</formula>
    </cfRule>
  </conditionalFormatting>
  <conditionalFormatting sqref="A820">
    <cfRule type="cellIs" dxfId="24487" priority="24325" stopIfTrue="1" operator="equal">
      <formula>"Pass"</formula>
    </cfRule>
    <cfRule type="cellIs" dxfId="24486" priority="24326" stopIfTrue="1" operator="equal">
      <formula>"Fail"</formula>
    </cfRule>
  </conditionalFormatting>
  <conditionalFormatting sqref="A820">
    <cfRule type="cellIs" dxfId="24485" priority="24323" stopIfTrue="1" operator="equal">
      <formula>"Pass"</formula>
    </cfRule>
    <cfRule type="cellIs" dxfId="24484" priority="24324" stopIfTrue="1" operator="equal">
      <formula>"Fail"</formula>
    </cfRule>
  </conditionalFormatting>
  <conditionalFormatting sqref="A820">
    <cfRule type="cellIs" dxfId="24483" priority="24321" stopIfTrue="1" operator="equal">
      <formula>"Pass"</formula>
    </cfRule>
    <cfRule type="cellIs" dxfId="24482" priority="24322" stopIfTrue="1" operator="equal">
      <formula>"Fail"</formula>
    </cfRule>
  </conditionalFormatting>
  <conditionalFormatting sqref="U820:V820">
    <cfRule type="cellIs" dxfId="24481" priority="24319" stopIfTrue="1" operator="equal">
      <formula>"Fail"</formula>
    </cfRule>
    <cfRule type="cellIs" dxfId="24480" priority="24320" stopIfTrue="1" operator="equal">
      <formula>"Pass"</formula>
    </cfRule>
  </conditionalFormatting>
  <conditionalFormatting sqref="U820:V820">
    <cfRule type="cellIs" dxfId="24479" priority="24317" stopIfTrue="1" operator="equal">
      <formula>"Fail"</formula>
    </cfRule>
    <cfRule type="cellIs" dxfId="24478" priority="24318" stopIfTrue="1" operator="equal">
      <formula>"Pass"</formula>
    </cfRule>
  </conditionalFormatting>
  <conditionalFormatting sqref="J820:J821">
    <cfRule type="cellIs" dxfId="24477" priority="24315" stopIfTrue="1" operator="equal">
      <formula>"Pass"</formula>
    </cfRule>
    <cfRule type="cellIs" dxfId="24476" priority="24316" stopIfTrue="1" operator="equal">
      <formula>"Fail"</formula>
    </cfRule>
  </conditionalFormatting>
  <conditionalFormatting sqref="H820:H821 I821">
    <cfRule type="cellIs" dxfId="24475" priority="24313" stopIfTrue="1" operator="equal">
      <formula>"Pass"</formula>
    </cfRule>
    <cfRule type="cellIs" dxfId="24474" priority="24314" stopIfTrue="1" operator="equal">
      <formula>"Fail"</formula>
    </cfRule>
  </conditionalFormatting>
  <conditionalFormatting sqref="F822 F820:G820 K820:N821">
    <cfRule type="cellIs" dxfId="24473" priority="24311" stopIfTrue="1" operator="equal">
      <formula>"Pass"</formula>
    </cfRule>
    <cfRule type="cellIs" dxfId="24472" priority="24312" stopIfTrue="1" operator="equal">
      <formula>"Fail"</formula>
    </cfRule>
  </conditionalFormatting>
  <conditionalFormatting sqref="T820:T822 U821:V822">
    <cfRule type="cellIs" dxfId="24471" priority="24309" stopIfTrue="1" operator="equal">
      <formula>"Fail"</formula>
    </cfRule>
    <cfRule type="cellIs" dxfId="24470" priority="24310" stopIfTrue="1" operator="equal">
      <formula>"Pass"</formula>
    </cfRule>
  </conditionalFormatting>
  <conditionalFormatting sqref="U820:V820">
    <cfRule type="cellIs" dxfId="24469" priority="24307" stopIfTrue="1" operator="equal">
      <formula>"Fail"</formula>
    </cfRule>
    <cfRule type="cellIs" dxfId="24468" priority="24308" stopIfTrue="1" operator="equal">
      <formula>"Pass"</formula>
    </cfRule>
  </conditionalFormatting>
  <conditionalFormatting sqref="U820:V820">
    <cfRule type="cellIs" dxfId="24467" priority="24305" stopIfTrue="1" operator="equal">
      <formula>"Fail"</formula>
    </cfRule>
    <cfRule type="cellIs" dxfId="24466" priority="24306" stopIfTrue="1" operator="equal">
      <formula>"Pass"</formula>
    </cfRule>
  </conditionalFormatting>
  <conditionalFormatting sqref="F820:G820 K820:N820">
    <cfRule type="cellIs" dxfId="24465" priority="24303" stopIfTrue="1" operator="equal">
      <formula>"Pass"</formula>
    </cfRule>
    <cfRule type="cellIs" dxfId="24464" priority="24304" stopIfTrue="1" operator="equal">
      <formula>"Fail"</formula>
    </cfRule>
  </conditionalFormatting>
  <conditionalFormatting sqref="K821:N821">
    <cfRule type="cellIs" dxfId="24463" priority="24301" stopIfTrue="1" operator="equal">
      <formula>"Pass"</formula>
    </cfRule>
    <cfRule type="cellIs" dxfId="24462" priority="24302" stopIfTrue="1" operator="equal">
      <formula>"Fail"</formula>
    </cfRule>
  </conditionalFormatting>
  <conditionalFormatting sqref="U820:V820">
    <cfRule type="cellIs" dxfId="24461" priority="24299" stopIfTrue="1" operator="equal">
      <formula>"Fail"</formula>
    </cfRule>
    <cfRule type="cellIs" dxfId="24460" priority="24300" stopIfTrue="1" operator="equal">
      <formula>"Pass"</formula>
    </cfRule>
  </conditionalFormatting>
  <conditionalFormatting sqref="H823:H824">
    <cfRule type="cellIs" dxfId="24459" priority="24297" stopIfTrue="1" operator="equal">
      <formula>"Pass"</formula>
    </cfRule>
    <cfRule type="cellIs" dxfId="24458" priority="24298" stopIfTrue="1" operator="equal">
      <formula>"Fail"</formula>
    </cfRule>
  </conditionalFormatting>
  <conditionalFormatting sqref="E823:F823 I823:M824 E825:F825 A823">
    <cfRule type="cellIs" dxfId="24457" priority="24295" stopIfTrue="1" operator="equal">
      <formula>"Pass"</formula>
    </cfRule>
    <cfRule type="cellIs" dxfId="24456" priority="24296" stopIfTrue="1" operator="equal">
      <formula>"Fail"</formula>
    </cfRule>
  </conditionalFormatting>
  <conditionalFormatting sqref="T825 T823 R823:R825 S824:S825">
    <cfRule type="cellIs" dxfId="24455" priority="24293" stopIfTrue="1" operator="equal">
      <formula>"Fail"</formula>
    </cfRule>
    <cfRule type="cellIs" dxfId="24454" priority="24294" stopIfTrue="1" operator="equal">
      <formula>"Pass"</formula>
    </cfRule>
  </conditionalFormatting>
  <conditionalFormatting sqref="F823:G823 F825:G825 B823:B825 A823 J823:N824">
    <cfRule type="cellIs" dxfId="24453" priority="24291" stopIfTrue="1" operator="equal">
      <formula>"Pass"</formula>
    </cfRule>
    <cfRule type="cellIs" dxfId="24452" priority="24292" stopIfTrue="1" operator="equal">
      <formula>"Fail"</formula>
    </cfRule>
  </conditionalFormatting>
  <conditionalFormatting sqref="U825:V825 T823:T825 S824:S825">
    <cfRule type="cellIs" dxfId="24451" priority="24289" stopIfTrue="1" operator="equal">
      <formula>"Fail"</formula>
    </cfRule>
    <cfRule type="cellIs" dxfId="24450" priority="24290" stopIfTrue="1" operator="equal">
      <formula>"Pass"</formula>
    </cfRule>
  </conditionalFormatting>
  <conditionalFormatting sqref="A823">
    <cfRule type="cellIs" dxfId="24449" priority="24287" stopIfTrue="1" operator="equal">
      <formula>"Pass"</formula>
    </cfRule>
    <cfRule type="cellIs" dxfId="24448" priority="24288" stopIfTrue="1" operator="equal">
      <formula>"Fail"</formula>
    </cfRule>
  </conditionalFormatting>
  <conditionalFormatting sqref="A823">
    <cfRule type="cellIs" dxfId="24447" priority="24285" stopIfTrue="1" operator="equal">
      <formula>"Pass"</formula>
    </cfRule>
    <cfRule type="cellIs" dxfId="24446" priority="24286" stopIfTrue="1" operator="equal">
      <formula>"Fail"</formula>
    </cfRule>
  </conditionalFormatting>
  <conditionalFormatting sqref="A823">
    <cfRule type="cellIs" dxfId="24445" priority="24283" stopIfTrue="1" operator="equal">
      <formula>"Pass"</formula>
    </cfRule>
    <cfRule type="cellIs" dxfId="24444" priority="24284" stopIfTrue="1" operator="equal">
      <formula>"Fail"</formula>
    </cfRule>
  </conditionalFormatting>
  <conditionalFormatting sqref="A823">
    <cfRule type="cellIs" dxfId="24443" priority="24281" stopIfTrue="1" operator="equal">
      <formula>"Pass"</formula>
    </cfRule>
    <cfRule type="cellIs" dxfId="24442" priority="24282" stopIfTrue="1" operator="equal">
      <formula>"Fail"</formula>
    </cfRule>
  </conditionalFormatting>
  <conditionalFormatting sqref="A823">
    <cfRule type="cellIs" dxfId="24441" priority="24279" stopIfTrue="1" operator="equal">
      <formula>"Pass"</formula>
    </cfRule>
    <cfRule type="cellIs" dxfId="24440" priority="24280" stopIfTrue="1" operator="equal">
      <formula>"Fail"</formula>
    </cfRule>
  </conditionalFormatting>
  <conditionalFormatting sqref="A823">
    <cfRule type="cellIs" dxfId="24439" priority="24277" stopIfTrue="1" operator="equal">
      <formula>"Pass"</formula>
    </cfRule>
    <cfRule type="cellIs" dxfId="24438" priority="24278" stopIfTrue="1" operator="equal">
      <formula>"Fail"</formula>
    </cfRule>
  </conditionalFormatting>
  <conditionalFormatting sqref="A823">
    <cfRule type="cellIs" dxfId="24437" priority="24275" stopIfTrue="1" operator="equal">
      <formula>"Pass"</formula>
    </cfRule>
    <cfRule type="cellIs" dxfId="24436" priority="24276" stopIfTrue="1" operator="equal">
      <formula>"Fail"</formula>
    </cfRule>
  </conditionalFormatting>
  <conditionalFormatting sqref="A823">
    <cfRule type="cellIs" dxfId="24435" priority="24273" stopIfTrue="1" operator="equal">
      <formula>"Pass"</formula>
    </cfRule>
    <cfRule type="cellIs" dxfId="24434" priority="24274" stopIfTrue="1" operator="equal">
      <formula>"Fail"</formula>
    </cfRule>
  </conditionalFormatting>
  <conditionalFormatting sqref="A823">
    <cfRule type="cellIs" dxfId="24433" priority="24271" stopIfTrue="1" operator="equal">
      <formula>"Pass"</formula>
    </cfRule>
    <cfRule type="cellIs" dxfId="24432" priority="24272" stopIfTrue="1" operator="equal">
      <formula>"Fail"</formula>
    </cfRule>
  </conditionalFormatting>
  <conditionalFormatting sqref="A823">
    <cfRule type="cellIs" dxfId="24431" priority="24269" stopIfTrue="1" operator="equal">
      <formula>"Pass"</formula>
    </cfRule>
    <cfRule type="cellIs" dxfId="24430" priority="24270" stopIfTrue="1" operator="equal">
      <formula>"Fail"</formula>
    </cfRule>
  </conditionalFormatting>
  <conditionalFormatting sqref="U823:V823">
    <cfRule type="cellIs" dxfId="24429" priority="24267" stopIfTrue="1" operator="equal">
      <formula>"Fail"</formula>
    </cfRule>
    <cfRule type="cellIs" dxfId="24428" priority="24268" stopIfTrue="1" operator="equal">
      <formula>"Pass"</formula>
    </cfRule>
  </conditionalFormatting>
  <conditionalFormatting sqref="F823:G823 J823:N823">
    <cfRule type="cellIs" dxfId="24427" priority="24265" stopIfTrue="1" operator="equal">
      <formula>"Pass"</formula>
    </cfRule>
    <cfRule type="cellIs" dxfId="24426" priority="24266" stopIfTrue="1" operator="equal">
      <formula>"Fail"</formula>
    </cfRule>
  </conditionalFormatting>
  <conditionalFormatting sqref="J824:N824">
    <cfRule type="cellIs" dxfId="24425" priority="24263" stopIfTrue="1" operator="equal">
      <formula>"Pass"</formula>
    </cfRule>
    <cfRule type="cellIs" dxfId="24424" priority="24264" stopIfTrue="1" operator="equal">
      <formula>"Fail"</formula>
    </cfRule>
  </conditionalFormatting>
  <conditionalFormatting sqref="A817:A825">
    <cfRule type="cellIs" dxfId="24423" priority="24261" stopIfTrue="1" operator="equal">
      <formula>"Pass"</formula>
    </cfRule>
    <cfRule type="cellIs" dxfId="24422" priority="24262" stopIfTrue="1" operator="equal">
      <formula>"Fail"</formula>
    </cfRule>
  </conditionalFormatting>
  <conditionalFormatting sqref="A817:A825">
    <cfRule type="cellIs" dxfId="24421" priority="24259" stopIfTrue="1" operator="equal">
      <formula>"Pass"</formula>
    </cfRule>
    <cfRule type="cellIs" dxfId="24420" priority="24260" stopIfTrue="1" operator="equal">
      <formula>"Fail"</formula>
    </cfRule>
  </conditionalFormatting>
  <conditionalFormatting sqref="A817:A825">
    <cfRule type="cellIs" dxfId="24419" priority="24257" stopIfTrue="1" operator="equal">
      <formula>"Pass"</formula>
    </cfRule>
    <cfRule type="cellIs" dxfId="24418" priority="24258" stopIfTrue="1" operator="equal">
      <formula>"Fail"</formula>
    </cfRule>
  </conditionalFormatting>
  <conditionalFormatting sqref="A817:A825">
    <cfRule type="cellIs" dxfId="24417" priority="24255" stopIfTrue="1" operator="equal">
      <formula>"Pass"</formula>
    </cfRule>
    <cfRule type="cellIs" dxfId="24416" priority="24256" stopIfTrue="1" operator="equal">
      <formula>"Fail"</formula>
    </cfRule>
  </conditionalFormatting>
  <conditionalFormatting sqref="A817:A825">
    <cfRule type="cellIs" dxfId="24415" priority="24253" stopIfTrue="1" operator="equal">
      <formula>"Pass"</formula>
    </cfRule>
    <cfRule type="cellIs" dxfId="24414" priority="24254" stopIfTrue="1" operator="equal">
      <formula>"Fail"</formula>
    </cfRule>
  </conditionalFormatting>
  <conditionalFormatting sqref="A819 A822 A825">
    <cfRule type="cellIs" dxfId="24413" priority="24251" stopIfTrue="1" operator="equal">
      <formula>"Pass"</formula>
    </cfRule>
    <cfRule type="cellIs" dxfId="24412" priority="24252" stopIfTrue="1" operator="equal">
      <formula>"Fail"</formula>
    </cfRule>
  </conditionalFormatting>
  <conditionalFormatting sqref="A817:A825">
    <cfRule type="cellIs" dxfId="24411" priority="24249" stopIfTrue="1" operator="equal">
      <formula>"Pass"</formula>
    </cfRule>
    <cfRule type="cellIs" dxfId="24410" priority="24250" stopIfTrue="1" operator="equal">
      <formula>"Fail"</formula>
    </cfRule>
  </conditionalFormatting>
  <conditionalFormatting sqref="A817:A825">
    <cfRule type="cellIs" dxfId="24409" priority="24247" stopIfTrue="1" operator="equal">
      <formula>"Pass"</formula>
    </cfRule>
    <cfRule type="cellIs" dxfId="24408" priority="24248" stopIfTrue="1" operator="equal">
      <formula>"Fail"</formula>
    </cfRule>
  </conditionalFormatting>
  <conditionalFormatting sqref="A817:A825">
    <cfRule type="cellIs" dxfId="24407" priority="24245" stopIfTrue="1" operator="equal">
      <formula>"Pass"</formula>
    </cfRule>
    <cfRule type="cellIs" dxfId="24406" priority="24246" stopIfTrue="1" operator="equal">
      <formula>"Fail"</formula>
    </cfRule>
  </conditionalFormatting>
  <conditionalFormatting sqref="A817:A825">
    <cfRule type="cellIs" dxfId="24405" priority="24243" stopIfTrue="1" operator="equal">
      <formula>"Pass"</formula>
    </cfRule>
    <cfRule type="cellIs" dxfId="24404" priority="24244" stopIfTrue="1" operator="equal">
      <formula>"Fail"</formula>
    </cfRule>
  </conditionalFormatting>
  <conditionalFormatting sqref="A817:A825">
    <cfRule type="cellIs" dxfId="24403" priority="24241" stopIfTrue="1" operator="equal">
      <formula>"Pass"</formula>
    </cfRule>
    <cfRule type="cellIs" dxfId="24402" priority="24242" stopIfTrue="1" operator="equal">
      <formula>"Fail"</formula>
    </cfRule>
  </conditionalFormatting>
  <conditionalFormatting sqref="A817:A825">
    <cfRule type="cellIs" dxfId="24401" priority="24239" stopIfTrue="1" operator="equal">
      <formula>"Pass"</formula>
    </cfRule>
    <cfRule type="cellIs" dxfId="24400" priority="24240" stopIfTrue="1" operator="equal">
      <formula>"Fail"</formula>
    </cfRule>
  </conditionalFormatting>
  <conditionalFormatting sqref="A819 A822 A825">
    <cfRule type="cellIs" dxfId="24399" priority="24237" stopIfTrue="1" operator="equal">
      <formula>"Pass"</formula>
    </cfRule>
    <cfRule type="cellIs" dxfId="24398" priority="24238" stopIfTrue="1" operator="equal">
      <formula>"Fail"</formula>
    </cfRule>
  </conditionalFormatting>
  <conditionalFormatting sqref="A817:A825">
    <cfRule type="cellIs" dxfId="24397" priority="24235" stopIfTrue="1" operator="equal">
      <formula>"Pass"</formula>
    </cfRule>
    <cfRule type="cellIs" dxfId="24396" priority="24236" stopIfTrue="1" operator="equal">
      <formula>"Fail"</formula>
    </cfRule>
  </conditionalFormatting>
  <conditionalFormatting sqref="H817:H818">
    <cfRule type="cellIs" dxfId="24395" priority="24233" stopIfTrue="1" operator="equal">
      <formula>"Pass"</formula>
    </cfRule>
    <cfRule type="cellIs" dxfId="24394" priority="24234" stopIfTrue="1" operator="equal">
      <formula>"Fail"</formula>
    </cfRule>
  </conditionalFormatting>
  <conditionalFormatting sqref="F817 F819 I817:M818">
    <cfRule type="cellIs" dxfId="24393" priority="24231" stopIfTrue="1" operator="equal">
      <formula>"Pass"</formula>
    </cfRule>
    <cfRule type="cellIs" dxfId="24392" priority="24232" stopIfTrue="1" operator="equal">
      <formula>"Fail"</formula>
    </cfRule>
  </conditionalFormatting>
  <conditionalFormatting sqref="T819 T817 R817:R819 S818:S819">
    <cfRule type="cellIs" dxfId="24391" priority="24229" stopIfTrue="1" operator="equal">
      <formula>"Fail"</formula>
    </cfRule>
    <cfRule type="cellIs" dxfId="24390" priority="24230" stopIfTrue="1" operator="equal">
      <formula>"Pass"</formula>
    </cfRule>
  </conditionalFormatting>
  <conditionalFormatting sqref="F817:G817 F819:G819 J817:N818">
    <cfRule type="cellIs" dxfId="24389" priority="24227" stopIfTrue="1" operator="equal">
      <formula>"Pass"</formula>
    </cfRule>
    <cfRule type="cellIs" dxfId="24388" priority="24228" stopIfTrue="1" operator="equal">
      <formula>"Fail"</formula>
    </cfRule>
  </conditionalFormatting>
  <conditionalFormatting sqref="U819:V819 U817:V817 T817:T819 S818:S819">
    <cfRule type="cellIs" dxfId="24387" priority="24225" stopIfTrue="1" operator="equal">
      <formula>"Fail"</formula>
    </cfRule>
    <cfRule type="cellIs" dxfId="24386" priority="24226" stopIfTrue="1" operator="equal">
      <formula>"Pass"</formula>
    </cfRule>
  </conditionalFormatting>
  <conditionalFormatting sqref="J817:N818 F817:G819">
    <cfRule type="cellIs" dxfId="24385" priority="24223" stopIfTrue="1" operator="equal">
      <formula>"Pass"</formula>
    </cfRule>
    <cfRule type="cellIs" dxfId="24384" priority="24224" stopIfTrue="1" operator="equal">
      <formula>"Fail"</formula>
    </cfRule>
  </conditionalFormatting>
  <conditionalFormatting sqref="K817:O818 F817:H819">
    <cfRule type="cellIs" dxfId="24383" priority="24221" stopIfTrue="1" operator="equal">
      <formula>"Pass"</formula>
    </cfRule>
    <cfRule type="cellIs" dxfId="24382" priority="24222" stopIfTrue="1" operator="equal">
      <formula>"Fail"</formula>
    </cfRule>
  </conditionalFormatting>
  <conditionalFormatting sqref="T817">
    <cfRule type="cellIs" dxfId="24381" priority="24219" stopIfTrue="1" operator="equal">
      <formula>"Fail"</formula>
    </cfRule>
    <cfRule type="cellIs" dxfId="24380" priority="24220" stopIfTrue="1" operator="equal">
      <formula>"Pass"</formula>
    </cfRule>
  </conditionalFormatting>
  <conditionalFormatting sqref="J820:J821">
    <cfRule type="cellIs" dxfId="24379" priority="24217" stopIfTrue="1" operator="equal">
      <formula>"Pass"</formula>
    </cfRule>
    <cfRule type="cellIs" dxfId="24378" priority="24218" stopIfTrue="1" operator="equal">
      <formula>"Fail"</formula>
    </cfRule>
  </conditionalFormatting>
  <conditionalFormatting sqref="H820:H821 I821">
    <cfRule type="cellIs" dxfId="24377" priority="24215" stopIfTrue="1" operator="equal">
      <formula>"Pass"</formula>
    </cfRule>
    <cfRule type="cellIs" dxfId="24376" priority="24216" stopIfTrue="1" operator="equal">
      <formula>"Fail"</formula>
    </cfRule>
  </conditionalFormatting>
  <conditionalFormatting sqref="F822 F820:G820 K820:N821">
    <cfRule type="cellIs" dxfId="24375" priority="24213" stopIfTrue="1" operator="equal">
      <formula>"Pass"</formula>
    </cfRule>
    <cfRule type="cellIs" dxfId="24374" priority="24214" stopIfTrue="1" operator="equal">
      <formula>"Fail"</formula>
    </cfRule>
  </conditionalFormatting>
  <conditionalFormatting sqref="T820:T822 U821:V822">
    <cfRule type="cellIs" dxfId="24373" priority="24211" stopIfTrue="1" operator="equal">
      <formula>"Fail"</formula>
    </cfRule>
    <cfRule type="cellIs" dxfId="24372" priority="24212" stopIfTrue="1" operator="equal">
      <formula>"Pass"</formula>
    </cfRule>
  </conditionalFormatting>
  <conditionalFormatting sqref="U820:V820">
    <cfRule type="cellIs" dxfId="24371" priority="24209" stopIfTrue="1" operator="equal">
      <formula>"Fail"</formula>
    </cfRule>
    <cfRule type="cellIs" dxfId="24370" priority="24210" stopIfTrue="1" operator="equal">
      <formula>"Pass"</formula>
    </cfRule>
  </conditionalFormatting>
  <conditionalFormatting sqref="U820:V820">
    <cfRule type="cellIs" dxfId="24369" priority="24207" stopIfTrue="1" operator="equal">
      <formula>"Fail"</formula>
    </cfRule>
    <cfRule type="cellIs" dxfId="24368" priority="24208" stopIfTrue="1" operator="equal">
      <formula>"Pass"</formula>
    </cfRule>
  </conditionalFormatting>
  <conditionalFormatting sqref="J820:J821">
    <cfRule type="cellIs" dxfId="24367" priority="24205" stopIfTrue="1" operator="equal">
      <formula>"Pass"</formula>
    </cfRule>
    <cfRule type="cellIs" dxfId="24366" priority="24206" stopIfTrue="1" operator="equal">
      <formula>"Fail"</formula>
    </cfRule>
  </conditionalFormatting>
  <conditionalFormatting sqref="H820:H821 I821">
    <cfRule type="cellIs" dxfId="24365" priority="24203" stopIfTrue="1" operator="equal">
      <formula>"Pass"</formula>
    </cfRule>
    <cfRule type="cellIs" dxfId="24364" priority="24204" stopIfTrue="1" operator="equal">
      <formula>"Fail"</formula>
    </cfRule>
  </conditionalFormatting>
  <conditionalFormatting sqref="F822 F820:G820 K820:N821">
    <cfRule type="cellIs" dxfId="24363" priority="24201" stopIfTrue="1" operator="equal">
      <formula>"Pass"</formula>
    </cfRule>
    <cfRule type="cellIs" dxfId="24362" priority="24202" stopIfTrue="1" operator="equal">
      <formula>"Fail"</formula>
    </cfRule>
  </conditionalFormatting>
  <conditionalFormatting sqref="T820:T822 U821:V822">
    <cfRule type="cellIs" dxfId="24361" priority="24199" stopIfTrue="1" operator="equal">
      <formula>"Fail"</formula>
    </cfRule>
    <cfRule type="cellIs" dxfId="24360" priority="24200" stopIfTrue="1" operator="equal">
      <formula>"Pass"</formula>
    </cfRule>
  </conditionalFormatting>
  <conditionalFormatting sqref="U820:V820">
    <cfRule type="cellIs" dxfId="24359" priority="24197" stopIfTrue="1" operator="equal">
      <formula>"Fail"</formula>
    </cfRule>
    <cfRule type="cellIs" dxfId="24358" priority="24198" stopIfTrue="1" operator="equal">
      <formula>"Pass"</formula>
    </cfRule>
  </conditionalFormatting>
  <conditionalFormatting sqref="U820:V820">
    <cfRule type="cellIs" dxfId="24357" priority="24195" stopIfTrue="1" operator="equal">
      <formula>"Fail"</formula>
    </cfRule>
    <cfRule type="cellIs" dxfId="24356" priority="24196" stopIfTrue="1" operator="equal">
      <formula>"Pass"</formula>
    </cfRule>
  </conditionalFormatting>
  <conditionalFormatting sqref="F820:G820 K820:N820">
    <cfRule type="cellIs" dxfId="24355" priority="24193" stopIfTrue="1" operator="equal">
      <formula>"Pass"</formula>
    </cfRule>
    <cfRule type="cellIs" dxfId="24354" priority="24194" stopIfTrue="1" operator="equal">
      <formula>"Fail"</formula>
    </cfRule>
  </conditionalFormatting>
  <conditionalFormatting sqref="K821:N821">
    <cfRule type="cellIs" dxfId="24353" priority="24191" stopIfTrue="1" operator="equal">
      <formula>"Pass"</formula>
    </cfRule>
    <cfRule type="cellIs" dxfId="24352" priority="24192" stopIfTrue="1" operator="equal">
      <formula>"Fail"</formula>
    </cfRule>
  </conditionalFormatting>
  <conditionalFormatting sqref="U820:V820">
    <cfRule type="cellIs" dxfId="24351" priority="24189" stopIfTrue="1" operator="equal">
      <formula>"Fail"</formula>
    </cfRule>
    <cfRule type="cellIs" dxfId="24350" priority="24190" stopIfTrue="1" operator="equal">
      <formula>"Pass"</formula>
    </cfRule>
  </conditionalFormatting>
  <conditionalFormatting sqref="H823:H824">
    <cfRule type="cellIs" dxfId="24349" priority="24187" stopIfTrue="1" operator="equal">
      <formula>"Pass"</formula>
    </cfRule>
    <cfRule type="cellIs" dxfId="24348" priority="24188" stopIfTrue="1" operator="equal">
      <formula>"Fail"</formula>
    </cfRule>
  </conditionalFormatting>
  <conditionalFormatting sqref="F823 I823:M824 F825">
    <cfRule type="cellIs" dxfId="24347" priority="24185" stopIfTrue="1" operator="equal">
      <formula>"Pass"</formula>
    </cfRule>
    <cfRule type="cellIs" dxfId="24346" priority="24186" stopIfTrue="1" operator="equal">
      <formula>"Fail"</formula>
    </cfRule>
  </conditionalFormatting>
  <conditionalFormatting sqref="T825 T823 R823:R825 S824:S825">
    <cfRule type="cellIs" dxfId="24345" priority="24183" stopIfTrue="1" operator="equal">
      <formula>"Fail"</formula>
    </cfRule>
    <cfRule type="cellIs" dxfId="24344" priority="24184" stopIfTrue="1" operator="equal">
      <formula>"Pass"</formula>
    </cfRule>
  </conditionalFormatting>
  <conditionalFormatting sqref="F823:G823 F825:G825 J823:N824">
    <cfRule type="cellIs" dxfId="24343" priority="24181" stopIfTrue="1" operator="equal">
      <formula>"Pass"</formula>
    </cfRule>
    <cfRule type="cellIs" dxfId="24342" priority="24182" stopIfTrue="1" operator="equal">
      <formula>"Fail"</formula>
    </cfRule>
  </conditionalFormatting>
  <conditionalFormatting sqref="U825:V825 T823:T825 S824:S825">
    <cfRule type="cellIs" dxfId="24341" priority="24179" stopIfTrue="1" operator="equal">
      <formula>"Fail"</formula>
    </cfRule>
    <cfRule type="cellIs" dxfId="24340" priority="24180" stopIfTrue="1" operator="equal">
      <formula>"Pass"</formula>
    </cfRule>
  </conditionalFormatting>
  <conditionalFormatting sqref="U823:V823">
    <cfRule type="cellIs" dxfId="24339" priority="24177" stopIfTrue="1" operator="equal">
      <formula>"Fail"</formula>
    </cfRule>
    <cfRule type="cellIs" dxfId="24338" priority="24178" stopIfTrue="1" operator="equal">
      <formula>"Pass"</formula>
    </cfRule>
  </conditionalFormatting>
  <conditionalFormatting sqref="F823:G823 J823:N823">
    <cfRule type="cellIs" dxfId="24337" priority="24175" stopIfTrue="1" operator="equal">
      <formula>"Pass"</formula>
    </cfRule>
    <cfRule type="cellIs" dxfId="24336" priority="24176" stopIfTrue="1" operator="equal">
      <formula>"Fail"</formula>
    </cfRule>
  </conditionalFormatting>
  <conditionalFormatting sqref="J824:N824">
    <cfRule type="cellIs" dxfId="24335" priority="24173" stopIfTrue="1" operator="equal">
      <formula>"Pass"</formula>
    </cfRule>
    <cfRule type="cellIs" dxfId="24334" priority="24174" stopIfTrue="1" operator="equal">
      <formula>"Fail"</formula>
    </cfRule>
  </conditionalFormatting>
  <conditionalFormatting sqref="K817:O818 F817:H819">
    <cfRule type="cellIs" dxfId="24333" priority="24171" stopIfTrue="1" operator="equal">
      <formula>"Pass"</formula>
    </cfRule>
    <cfRule type="cellIs" dxfId="24332" priority="24172" stopIfTrue="1" operator="equal">
      <formula>"Fail"</formula>
    </cfRule>
  </conditionalFormatting>
  <conditionalFormatting sqref="T817">
    <cfRule type="cellIs" dxfId="24331" priority="24169" stopIfTrue="1" operator="equal">
      <formula>"Fail"</formula>
    </cfRule>
    <cfRule type="cellIs" dxfId="24330" priority="24170" stopIfTrue="1" operator="equal">
      <formula>"Pass"</formula>
    </cfRule>
  </conditionalFormatting>
  <conditionalFormatting sqref="J820:J821">
    <cfRule type="cellIs" dxfId="24329" priority="24167" stopIfTrue="1" operator="equal">
      <formula>"Pass"</formula>
    </cfRule>
    <cfRule type="cellIs" dxfId="24328" priority="24168" stopIfTrue="1" operator="equal">
      <formula>"Fail"</formula>
    </cfRule>
  </conditionalFormatting>
  <conditionalFormatting sqref="H820:H821 I821">
    <cfRule type="cellIs" dxfId="24327" priority="24165" stopIfTrue="1" operator="equal">
      <formula>"Pass"</formula>
    </cfRule>
    <cfRule type="cellIs" dxfId="24326" priority="24166" stopIfTrue="1" operator="equal">
      <formula>"Fail"</formula>
    </cfRule>
  </conditionalFormatting>
  <conditionalFormatting sqref="F820:G820 K820:N821">
    <cfRule type="cellIs" dxfId="24325" priority="24163" stopIfTrue="1" operator="equal">
      <formula>"Pass"</formula>
    </cfRule>
    <cfRule type="cellIs" dxfId="24324" priority="24164" stopIfTrue="1" operator="equal">
      <formula>"Fail"</formula>
    </cfRule>
  </conditionalFormatting>
  <conditionalFormatting sqref="T820:T821 U821:V821">
    <cfRule type="cellIs" dxfId="24323" priority="24161" stopIfTrue="1" operator="equal">
      <formula>"Fail"</formula>
    </cfRule>
    <cfRule type="cellIs" dxfId="24322" priority="24162" stopIfTrue="1" operator="equal">
      <formula>"Pass"</formula>
    </cfRule>
  </conditionalFormatting>
  <conditionalFormatting sqref="U820:V820">
    <cfRule type="cellIs" dxfId="24321" priority="24159" stopIfTrue="1" operator="equal">
      <formula>"Fail"</formula>
    </cfRule>
    <cfRule type="cellIs" dxfId="24320" priority="24160" stopIfTrue="1" operator="equal">
      <formula>"Pass"</formula>
    </cfRule>
  </conditionalFormatting>
  <conditionalFormatting sqref="U820:V820">
    <cfRule type="cellIs" dxfId="24319" priority="24157" stopIfTrue="1" operator="equal">
      <formula>"Fail"</formula>
    </cfRule>
    <cfRule type="cellIs" dxfId="24318" priority="24158" stopIfTrue="1" operator="equal">
      <formula>"Pass"</formula>
    </cfRule>
  </conditionalFormatting>
  <conditionalFormatting sqref="J820:J821">
    <cfRule type="cellIs" dxfId="24317" priority="24155" stopIfTrue="1" operator="equal">
      <formula>"Pass"</formula>
    </cfRule>
    <cfRule type="cellIs" dxfId="24316" priority="24156" stopIfTrue="1" operator="equal">
      <formula>"Fail"</formula>
    </cfRule>
  </conditionalFormatting>
  <conditionalFormatting sqref="H820:H821 I821">
    <cfRule type="cellIs" dxfId="24315" priority="24153" stopIfTrue="1" operator="equal">
      <formula>"Pass"</formula>
    </cfRule>
    <cfRule type="cellIs" dxfId="24314" priority="24154" stopIfTrue="1" operator="equal">
      <formula>"Fail"</formula>
    </cfRule>
  </conditionalFormatting>
  <conditionalFormatting sqref="F820:G820 K820:N821">
    <cfRule type="cellIs" dxfId="24313" priority="24151" stopIfTrue="1" operator="equal">
      <formula>"Pass"</formula>
    </cfRule>
    <cfRule type="cellIs" dxfId="24312" priority="24152" stopIfTrue="1" operator="equal">
      <formula>"Fail"</formula>
    </cfRule>
  </conditionalFormatting>
  <conditionalFormatting sqref="T820:T821 U821:V821">
    <cfRule type="cellIs" dxfId="24311" priority="24149" stopIfTrue="1" operator="equal">
      <formula>"Fail"</formula>
    </cfRule>
    <cfRule type="cellIs" dxfId="24310" priority="24150" stopIfTrue="1" operator="equal">
      <formula>"Pass"</formula>
    </cfRule>
  </conditionalFormatting>
  <conditionalFormatting sqref="U820:V820">
    <cfRule type="cellIs" dxfId="24309" priority="24147" stopIfTrue="1" operator="equal">
      <formula>"Fail"</formula>
    </cfRule>
    <cfRule type="cellIs" dxfId="24308" priority="24148" stopIfTrue="1" operator="equal">
      <formula>"Pass"</formula>
    </cfRule>
  </conditionalFormatting>
  <conditionalFormatting sqref="U820:V820">
    <cfRule type="cellIs" dxfId="24307" priority="24145" stopIfTrue="1" operator="equal">
      <formula>"Fail"</formula>
    </cfRule>
    <cfRule type="cellIs" dxfId="24306" priority="24146" stopIfTrue="1" operator="equal">
      <formula>"Pass"</formula>
    </cfRule>
  </conditionalFormatting>
  <conditionalFormatting sqref="F820:G820 K820:N820">
    <cfRule type="cellIs" dxfId="24305" priority="24143" stopIfTrue="1" operator="equal">
      <formula>"Pass"</formula>
    </cfRule>
    <cfRule type="cellIs" dxfId="24304" priority="24144" stopIfTrue="1" operator="equal">
      <formula>"Fail"</formula>
    </cfRule>
  </conditionalFormatting>
  <conditionalFormatting sqref="K821:N821">
    <cfRule type="cellIs" dxfId="24303" priority="24141" stopIfTrue="1" operator="equal">
      <formula>"Pass"</formula>
    </cfRule>
    <cfRule type="cellIs" dxfId="24302" priority="24142" stopIfTrue="1" operator="equal">
      <formula>"Fail"</formula>
    </cfRule>
  </conditionalFormatting>
  <conditionalFormatting sqref="U820:V820">
    <cfRule type="cellIs" dxfId="24301" priority="24139" stopIfTrue="1" operator="equal">
      <formula>"Fail"</formula>
    </cfRule>
    <cfRule type="cellIs" dxfId="24300" priority="24140" stopIfTrue="1" operator="equal">
      <formula>"Pass"</formula>
    </cfRule>
  </conditionalFormatting>
  <conditionalFormatting sqref="H823:H824">
    <cfRule type="cellIs" dxfId="24299" priority="24137" stopIfTrue="1" operator="equal">
      <formula>"Pass"</formula>
    </cfRule>
    <cfRule type="cellIs" dxfId="24298" priority="24138" stopIfTrue="1" operator="equal">
      <formula>"Fail"</formula>
    </cfRule>
  </conditionalFormatting>
  <conditionalFormatting sqref="F823 I823:M824 F825">
    <cfRule type="cellIs" dxfId="24297" priority="24135" stopIfTrue="1" operator="equal">
      <formula>"Pass"</formula>
    </cfRule>
    <cfRule type="cellIs" dxfId="24296" priority="24136" stopIfTrue="1" operator="equal">
      <formula>"Fail"</formula>
    </cfRule>
  </conditionalFormatting>
  <conditionalFormatting sqref="T825 T823 R823:R825 S824:S825">
    <cfRule type="cellIs" dxfId="24295" priority="24133" stopIfTrue="1" operator="equal">
      <formula>"Fail"</formula>
    </cfRule>
    <cfRule type="cellIs" dxfId="24294" priority="24134" stopIfTrue="1" operator="equal">
      <formula>"Pass"</formula>
    </cfRule>
  </conditionalFormatting>
  <conditionalFormatting sqref="F823:G823 F825:G825 J823:N824">
    <cfRule type="cellIs" dxfId="24293" priority="24131" stopIfTrue="1" operator="equal">
      <formula>"Pass"</formula>
    </cfRule>
    <cfRule type="cellIs" dxfId="24292" priority="24132" stopIfTrue="1" operator="equal">
      <formula>"Fail"</formula>
    </cfRule>
  </conditionalFormatting>
  <conditionalFormatting sqref="U825:V825 T823:T825 S824:S825">
    <cfRule type="cellIs" dxfId="24291" priority="24129" stopIfTrue="1" operator="equal">
      <formula>"Fail"</formula>
    </cfRule>
    <cfRule type="cellIs" dxfId="24290" priority="24130" stopIfTrue="1" operator="equal">
      <formula>"Pass"</formula>
    </cfRule>
  </conditionalFormatting>
  <conditionalFormatting sqref="U823:V823">
    <cfRule type="cellIs" dxfId="24289" priority="24127" stopIfTrue="1" operator="equal">
      <formula>"Fail"</formula>
    </cfRule>
    <cfRule type="cellIs" dxfId="24288" priority="24128" stopIfTrue="1" operator="equal">
      <formula>"Pass"</formula>
    </cfRule>
  </conditionalFormatting>
  <conditionalFormatting sqref="F823:G823 J823:N823">
    <cfRule type="cellIs" dxfId="24287" priority="24125" stopIfTrue="1" operator="equal">
      <formula>"Pass"</formula>
    </cfRule>
    <cfRule type="cellIs" dxfId="24286" priority="24126" stopIfTrue="1" operator="equal">
      <formula>"Fail"</formula>
    </cfRule>
  </conditionalFormatting>
  <conditionalFormatting sqref="J824:N824">
    <cfRule type="cellIs" dxfId="24285" priority="24123" stopIfTrue="1" operator="equal">
      <formula>"Pass"</formula>
    </cfRule>
    <cfRule type="cellIs" dxfId="24284" priority="24124" stopIfTrue="1" operator="equal">
      <formula>"Fail"</formula>
    </cfRule>
  </conditionalFormatting>
  <conditionalFormatting sqref="U820:V820">
    <cfRule type="cellIs" dxfId="24283" priority="24121" stopIfTrue="1" operator="equal">
      <formula>"Fail"</formula>
    </cfRule>
    <cfRule type="cellIs" dxfId="24282" priority="24122" stopIfTrue="1" operator="equal">
      <formula>"Pass"</formula>
    </cfRule>
  </conditionalFormatting>
  <conditionalFormatting sqref="U823:V823">
    <cfRule type="cellIs" dxfId="24281" priority="24119" stopIfTrue="1" operator="equal">
      <formula>"Fail"</formula>
    </cfRule>
    <cfRule type="cellIs" dxfId="24280" priority="24120" stopIfTrue="1" operator="equal">
      <formula>"Pass"</formula>
    </cfRule>
  </conditionalFormatting>
  <conditionalFormatting sqref="U820:V820">
    <cfRule type="cellIs" dxfId="24279" priority="24117" stopIfTrue="1" operator="equal">
      <formula>"Fail"</formula>
    </cfRule>
    <cfRule type="cellIs" dxfId="24278" priority="24118" stopIfTrue="1" operator="equal">
      <formula>"Pass"</formula>
    </cfRule>
  </conditionalFormatting>
  <conditionalFormatting sqref="U820:V820">
    <cfRule type="cellIs" dxfId="24277" priority="24115" stopIfTrue="1" operator="equal">
      <formula>"Fail"</formula>
    </cfRule>
    <cfRule type="cellIs" dxfId="24276" priority="24116" stopIfTrue="1" operator="equal">
      <formula>"Pass"</formula>
    </cfRule>
  </conditionalFormatting>
  <conditionalFormatting sqref="U823:V823">
    <cfRule type="cellIs" dxfId="24275" priority="24113" stopIfTrue="1" operator="equal">
      <formula>"Fail"</formula>
    </cfRule>
    <cfRule type="cellIs" dxfId="24274" priority="24114" stopIfTrue="1" operator="equal">
      <formula>"Pass"</formula>
    </cfRule>
  </conditionalFormatting>
  <conditionalFormatting sqref="U823:V823">
    <cfRule type="cellIs" dxfId="24273" priority="24111" stopIfTrue="1" operator="equal">
      <formula>"Fail"</formula>
    </cfRule>
    <cfRule type="cellIs" dxfId="24272" priority="24112" stopIfTrue="1" operator="equal">
      <formula>"Pass"</formula>
    </cfRule>
  </conditionalFormatting>
  <conditionalFormatting sqref="N823">
    <cfRule type="cellIs" dxfId="24271" priority="24109" stopIfTrue="1" operator="equal">
      <formula>"Pass"</formula>
    </cfRule>
    <cfRule type="cellIs" dxfId="24270" priority="24110" stopIfTrue="1" operator="equal">
      <formula>"Fail"</formula>
    </cfRule>
  </conditionalFormatting>
  <conditionalFormatting sqref="N823">
    <cfRule type="cellIs" dxfId="24269" priority="24107" stopIfTrue="1" operator="equal">
      <formula>"Pass"</formula>
    </cfRule>
    <cfRule type="cellIs" dxfId="24268" priority="24108" stopIfTrue="1" operator="equal">
      <formula>"Fail"</formula>
    </cfRule>
  </conditionalFormatting>
  <conditionalFormatting sqref="N823">
    <cfRule type="cellIs" dxfId="24267" priority="24105" stopIfTrue="1" operator="equal">
      <formula>"Pass"</formula>
    </cfRule>
    <cfRule type="cellIs" dxfId="24266" priority="24106" stopIfTrue="1" operator="equal">
      <formula>"Fail"</formula>
    </cfRule>
  </conditionalFormatting>
  <conditionalFormatting sqref="H826:H827">
    <cfRule type="cellIs" dxfId="24265" priority="24103" stopIfTrue="1" operator="equal">
      <formula>"Pass"</formula>
    </cfRule>
    <cfRule type="cellIs" dxfId="24264" priority="24104" stopIfTrue="1" operator="equal">
      <formula>"Fail"</formula>
    </cfRule>
  </conditionalFormatting>
  <conditionalFormatting sqref="E826:F826 E828:F828 I826:M827 A826:A834">
    <cfRule type="cellIs" dxfId="24263" priority="24101" stopIfTrue="1" operator="equal">
      <formula>"Pass"</formula>
    </cfRule>
    <cfRule type="cellIs" dxfId="24262" priority="24102" stopIfTrue="1" operator="equal">
      <formula>"Fail"</formula>
    </cfRule>
  </conditionalFormatting>
  <conditionalFormatting sqref="T828 T826 R826:R828 S827:S828">
    <cfRule type="cellIs" dxfId="24261" priority="24099" stopIfTrue="1" operator="equal">
      <formula>"Fail"</formula>
    </cfRule>
    <cfRule type="cellIs" dxfId="24260" priority="24100" stopIfTrue="1" operator="equal">
      <formula>"Pass"</formula>
    </cfRule>
  </conditionalFormatting>
  <conditionalFormatting sqref="F826:G826 F828:G828 A826:B828 J826:N827 A829:A834">
    <cfRule type="cellIs" dxfId="24259" priority="24097" stopIfTrue="1" operator="equal">
      <formula>"Pass"</formula>
    </cfRule>
    <cfRule type="cellIs" dxfId="24258" priority="24098" stopIfTrue="1" operator="equal">
      <formula>"Fail"</formula>
    </cfRule>
  </conditionalFormatting>
  <conditionalFormatting sqref="U828 U826 T826:T828 S827:S828">
    <cfRule type="cellIs" dxfId="24257" priority="24095" stopIfTrue="1" operator="equal">
      <formula>"Fail"</formula>
    </cfRule>
    <cfRule type="cellIs" dxfId="24256" priority="24096" stopIfTrue="1" operator="equal">
      <formula>"Pass"</formula>
    </cfRule>
  </conditionalFormatting>
  <conditionalFormatting sqref="A826:A834">
    <cfRule type="cellIs" dxfId="24255" priority="24093" stopIfTrue="1" operator="equal">
      <formula>"Pass"</formula>
    </cfRule>
    <cfRule type="cellIs" dxfId="24254" priority="24094" stopIfTrue="1" operator="equal">
      <formula>"Fail"</formula>
    </cfRule>
  </conditionalFormatting>
  <conditionalFormatting sqref="A826:A834">
    <cfRule type="cellIs" dxfId="24253" priority="24091" stopIfTrue="1" operator="equal">
      <formula>"Pass"</formula>
    </cfRule>
    <cfRule type="cellIs" dxfId="24252" priority="24092" stopIfTrue="1" operator="equal">
      <formula>"Fail"</formula>
    </cfRule>
  </conditionalFormatting>
  <conditionalFormatting sqref="A826:A834">
    <cfRule type="cellIs" dxfId="24251" priority="24089" stopIfTrue="1" operator="equal">
      <formula>"Pass"</formula>
    </cfRule>
    <cfRule type="cellIs" dxfId="24250" priority="24090" stopIfTrue="1" operator="equal">
      <formula>"Fail"</formula>
    </cfRule>
  </conditionalFormatting>
  <conditionalFormatting sqref="J826:N827 E826:G828">
    <cfRule type="cellIs" dxfId="24249" priority="24087" stopIfTrue="1" operator="equal">
      <formula>"Pass"</formula>
    </cfRule>
    <cfRule type="cellIs" dxfId="24248" priority="24088" stopIfTrue="1" operator="equal">
      <formula>"Fail"</formula>
    </cfRule>
  </conditionalFormatting>
  <conditionalFormatting sqref="A828 C828 K826:O827 F826:H828 A831 A834">
    <cfRule type="cellIs" dxfId="24247" priority="24085" stopIfTrue="1" operator="equal">
      <formula>"Pass"</formula>
    </cfRule>
    <cfRule type="cellIs" dxfId="24246" priority="24086" stopIfTrue="1" operator="equal">
      <formula>"Fail"</formula>
    </cfRule>
  </conditionalFormatting>
  <conditionalFormatting sqref="T826">
    <cfRule type="cellIs" dxfId="24245" priority="24083" stopIfTrue="1" operator="equal">
      <formula>"Fail"</formula>
    </cfRule>
    <cfRule type="cellIs" dxfId="24244" priority="24084" stopIfTrue="1" operator="equal">
      <formula>"Pass"</formula>
    </cfRule>
  </conditionalFormatting>
  <conditionalFormatting sqref="A826:A834">
    <cfRule type="cellIs" dxfId="24243" priority="24081" stopIfTrue="1" operator="equal">
      <formula>"Pass"</formula>
    </cfRule>
    <cfRule type="cellIs" dxfId="24242" priority="24082" stopIfTrue="1" operator="equal">
      <formula>"Fail"</formula>
    </cfRule>
  </conditionalFormatting>
  <conditionalFormatting sqref="A829">
    <cfRule type="cellIs" dxfId="24241" priority="24079" stopIfTrue="1" operator="equal">
      <formula>"Pass"</formula>
    </cfRule>
    <cfRule type="cellIs" dxfId="24240" priority="24080" stopIfTrue="1" operator="equal">
      <formula>"Fail"</formula>
    </cfRule>
  </conditionalFormatting>
  <conditionalFormatting sqref="A829">
    <cfRule type="cellIs" dxfId="24239" priority="24077" stopIfTrue="1" operator="equal">
      <formula>"Pass"</formula>
    </cfRule>
    <cfRule type="cellIs" dxfId="24238" priority="24078" stopIfTrue="1" operator="equal">
      <formula>"Fail"</formula>
    </cfRule>
  </conditionalFormatting>
  <conditionalFormatting sqref="A829">
    <cfRule type="cellIs" dxfId="24237" priority="24075" stopIfTrue="1" operator="equal">
      <formula>"Pass"</formula>
    </cfRule>
    <cfRule type="cellIs" dxfId="24236" priority="24076" stopIfTrue="1" operator="equal">
      <formula>"Fail"</formula>
    </cfRule>
  </conditionalFormatting>
  <conditionalFormatting sqref="A829">
    <cfRule type="cellIs" dxfId="24235" priority="24073" stopIfTrue="1" operator="equal">
      <formula>"Pass"</formula>
    </cfRule>
    <cfRule type="cellIs" dxfId="24234" priority="24074" stopIfTrue="1" operator="equal">
      <formula>"Fail"</formula>
    </cfRule>
  </conditionalFormatting>
  <conditionalFormatting sqref="A829">
    <cfRule type="cellIs" dxfId="24233" priority="24071" stopIfTrue="1" operator="equal">
      <formula>"Pass"</formula>
    </cfRule>
    <cfRule type="cellIs" dxfId="24232" priority="24072" stopIfTrue="1" operator="equal">
      <formula>"Fail"</formula>
    </cfRule>
  </conditionalFormatting>
  <conditionalFormatting sqref="A829">
    <cfRule type="cellIs" dxfId="24231" priority="24069" stopIfTrue="1" operator="equal">
      <formula>"Pass"</formula>
    </cfRule>
    <cfRule type="cellIs" dxfId="24230" priority="24070" stopIfTrue="1" operator="equal">
      <formula>"Fail"</formula>
    </cfRule>
  </conditionalFormatting>
  <conditionalFormatting sqref="A829">
    <cfRule type="cellIs" dxfId="24229" priority="24067" stopIfTrue="1" operator="equal">
      <formula>"Pass"</formula>
    </cfRule>
    <cfRule type="cellIs" dxfId="24228" priority="24068" stopIfTrue="1" operator="equal">
      <formula>"Fail"</formula>
    </cfRule>
  </conditionalFormatting>
  <conditionalFormatting sqref="A829">
    <cfRule type="cellIs" dxfId="24227" priority="24065" stopIfTrue="1" operator="equal">
      <formula>"Pass"</formula>
    </cfRule>
    <cfRule type="cellIs" dxfId="24226" priority="24066" stopIfTrue="1" operator="equal">
      <formula>"Fail"</formula>
    </cfRule>
  </conditionalFormatting>
  <conditionalFormatting sqref="A829">
    <cfRule type="cellIs" dxfId="24225" priority="24063" stopIfTrue="1" operator="equal">
      <formula>"Pass"</formula>
    </cfRule>
    <cfRule type="cellIs" dxfId="24224" priority="24064" stopIfTrue="1" operator="equal">
      <formula>"Fail"</formula>
    </cfRule>
  </conditionalFormatting>
  <conditionalFormatting sqref="A829">
    <cfRule type="cellIs" dxfId="24223" priority="24061" stopIfTrue="1" operator="equal">
      <formula>"Pass"</formula>
    </cfRule>
    <cfRule type="cellIs" dxfId="24222" priority="24062" stopIfTrue="1" operator="equal">
      <formula>"Fail"</formula>
    </cfRule>
  </conditionalFormatting>
  <conditionalFormatting sqref="A829">
    <cfRule type="cellIs" dxfId="24221" priority="24059" stopIfTrue="1" operator="equal">
      <formula>"Pass"</formula>
    </cfRule>
    <cfRule type="cellIs" dxfId="24220" priority="24060" stopIfTrue="1" operator="equal">
      <formula>"Fail"</formula>
    </cfRule>
  </conditionalFormatting>
  <conditionalFormatting sqref="A829">
    <cfRule type="cellIs" dxfId="24219" priority="24057" stopIfTrue="1" operator="equal">
      <formula>"Pass"</formula>
    </cfRule>
    <cfRule type="cellIs" dxfId="24218" priority="24058" stopIfTrue="1" operator="equal">
      <formula>"Fail"</formula>
    </cfRule>
  </conditionalFormatting>
  <conditionalFormatting sqref="J829:J830">
    <cfRule type="cellIs" dxfId="24217" priority="24055" stopIfTrue="1" operator="equal">
      <formula>"Pass"</formula>
    </cfRule>
    <cfRule type="cellIs" dxfId="24216" priority="24056" stopIfTrue="1" operator="equal">
      <formula>"Fail"</formula>
    </cfRule>
  </conditionalFormatting>
  <conditionalFormatting sqref="H829:H830 I830">
    <cfRule type="cellIs" dxfId="24215" priority="24053" stopIfTrue="1" operator="equal">
      <formula>"Pass"</formula>
    </cfRule>
    <cfRule type="cellIs" dxfId="24214" priority="24054" stopIfTrue="1" operator="equal">
      <formula>"Fail"</formula>
    </cfRule>
  </conditionalFormatting>
  <conditionalFormatting sqref="A829 C829 F831 F829:G829 K829:N830">
    <cfRule type="cellIs" dxfId="24213" priority="24051" stopIfTrue="1" operator="equal">
      <formula>"Pass"</formula>
    </cfRule>
    <cfRule type="cellIs" dxfId="24212" priority="24052" stopIfTrue="1" operator="equal">
      <formula>"Fail"</formula>
    </cfRule>
  </conditionalFormatting>
  <conditionalFormatting sqref="T829:T831 U830:U831">
    <cfRule type="cellIs" dxfId="24211" priority="24049" stopIfTrue="1" operator="equal">
      <formula>"Fail"</formula>
    </cfRule>
    <cfRule type="cellIs" dxfId="24210" priority="24050" stopIfTrue="1" operator="equal">
      <formula>"Pass"</formula>
    </cfRule>
  </conditionalFormatting>
  <conditionalFormatting sqref="A829">
    <cfRule type="cellIs" dxfId="24209" priority="24047" stopIfTrue="1" operator="equal">
      <formula>"Pass"</formula>
    </cfRule>
    <cfRule type="cellIs" dxfId="24208" priority="24048" stopIfTrue="1" operator="equal">
      <formula>"Fail"</formula>
    </cfRule>
  </conditionalFormatting>
  <conditionalFormatting sqref="A829">
    <cfRule type="cellIs" dxfId="24207" priority="24045" stopIfTrue="1" operator="equal">
      <formula>"Pass"</formula>
    </cfRule>
    <cfRule type="cellIs" dxfId="24206" priority="24046" stopIfTrue="1" operator="equal">
      <formula>"Fail"</formula>
    </cfRule>
  </conditionalFormatting>
  <conditionalFormatting sqref="A829">
    <cfRule type="cellIs" dxfId="24205" priority="24043" stopIfTrue="1" operator="equal">
      <formula>"Pass"</formula>
    </cfRule>
    <cfRule type="cellIs" dxfId="24204" priority="24044" stopIfTrue="1" operator="equal">
      <formula>"Fail"</formula>
    </cfRule>
  </conditionalFormatting>
  <conditionalFormatting sqref="A829">
    <cfRule type="cellIs" dxfId="24203" priority="24041" stopIfTrue="1" operator="equal">
      <formula>"Pass"</formula>
    </cfRule>
    <cfRule type="cellIs" dxfId="24202" priority="24042" stopIfTrue="1" operator="equal">
      <formula>"Fail"</formula>
    </cfRule>
  </conditionalFormatting>
  <conditionalFormatting sqref="A829">
    <cfRule type="cellIs" dxfId="24201" priority="24039" stopIfTrue="1" operator="equal">
      <formula>"Pass"</formula>
    </cfRule>
    <cfRule type="cellIs" dxfId="24200" priority="24040" stopIfTrue="1" operator="equal">
      <formula>"Fail"</formula>
    </cfRule>
  </conditionalFormatting>
  <conditionalFormatting sqref="A829">
    <cfRule type="cellIs" dxfId="24199" priority="24037" stopIfTrue="1" operator="equal">
      <formula>"Pass"</formula>
    </cfRule>
    <cfRule type="cellIs" dxfId="24198" priority="24038" stopIfTrue="1" operator="equal">
      <formula>"Fail"</formula>
    </cfRule>
  </conditionalFormatting>
  <conditionalFormatting sqref="A829">
    <cfRule type="cellIs" dxfId="24197" priority="24035" stopIfTrue="1" operator="equal">
      <formula>"Pass"</formula>
    </cfRule>
    <cfRule type="cellIs" dxfId="24196" priority="24036" stopIfTrue="1" operator="equal">
      <formula>"Fail"</formula>
    </cfRule>
  </conditionalFormatting>
  <conditionalFormatting sqref="A829">
    <cfRule type="cellIs" dxfId="24195" priority="24033" stopIfTrue="1" operator="equal">
      <formula>"Pass"</formula>
    </cfRule>
    <cfRule type="cellIs" dxfId="24194" priority="24034" stopIfTrue="1" operator="equal">
      <formula>"Fail"</formula>
    </cfRule>
  </conditionalFormatting>
  <conditionalFormatting sqref="A829">
    <cfRule type="cellIs" dxfId="24193" priority="24031" stopIfTrue="1" operator="equal">
      <formula>"Pass"</formula>
    </cfRule>
    <cfRule type="cellIs" dxfId="24192" priority="24032" stopIfTrue="1" operator="equal">
      <formula>"Fail"</formula>
    </cfRule>
  </conditionalFormatting>
  <conditionalFormatting sqref="A829">
    <cfRule type="cellIs" dxfId="24191" priority="24029" stopIfTrue="1" operator="equal">
      <formula>"Pass"</formula>
    </cfRule>
    <cfRule type="cellIs" dxfId="24190" priority="24030" stopIfTrue="1" operator="equal">
      <formula>"Fail"</formula>
    </cfRule>
  </conditionalFormatting>
  <conditionalFormatting sqref="A829">
    <cfRule type="cellIs" dxfId="24189" priority="24027" stopIfTrue="1" operator="equal">
      <formula>"Pass"</formula>
    </cfRule>
    <cfRule type="cellIs" dxfId="24188" priority="24028" stopIfTrue="1" operator="equal">
      <formula>"Fail"</formula>
    </cfRule>
  </conditionalFormatting>
  <conditionalFormatting sqref="A829">
    <cfRule type="cellIs" dxfId="24187" priority="24025" stopIfTrue="1" operator="equal">
      <formula>"Pass"</formula>
    </cfRule>
    <cfRule type="cellIs" dxfId="24186" priority="24026" stopIfTrue="1" operator="equal">
      <formula>"Fail"</formula>
    </cfRule>
  </conditionalFormatting>
  <conditionalFormatting sqref="A829">
    <cfRule type="cellIs" dxfId="24185" priority="24023" stopIfTrue="1" operator="equal">
      <formula>"Pass"</formula>
    </cfRule>
    <cfRule type="cellIs" dxfId="24184" priority="24024" stopIfTrue="1" operator="equal">
      <formula>"Fail"</formula>
    </cfRule>
  </conditionalFormatting>
  <conditionalFormatting sqref="A829">
    <cfRule type="cellIs" dxfId="24183" priority="24021" stopIfTrue="1" operator="equal">
      <formula>"Pass"</formula>
    </cfRule>
    <cfRule type="cellIs" dxfId="24182" priority="24022" stopIfTrue="1" operator="equal">
      <formula>"Fail"</formula>
    </cfRule>
  </conditionalFormatting>
  <conditionalFormatting sqref="A829">
    <cfRule type="cellIs" dxfId="24181" priority="24019" stopIfTrue="1" operator="equal">
      <formula>"Pass"</formula>
    </cfRule>
    <cfRule type="cellIs" dxfId="24180" priority="24020" stopIfTrue="1" operator="equal">
      <formula>"Fail"</formula>
    </cfRule>
  </conditionalFormatting>
  <conditionalFormatting sqref="A829">
    <cfRule type="cellIs" dxfId="24179" priority="24017" stopIfTrue="1" operator="equal">
      <formula>"Pass"</formula>
    </cfRule>
    <cfRule type="cellIs" dxfId="24178" priority="24018" stopIfTrue="1" operator="equal">
      <formula>"Fail"</formula>
    </cfRule>
  </conditionalFormatting>
  <conditionalFormatting sqref="U829">
    <cfRule type="cellIs" dxfId="24177" priority="24015" stopIfTrue="1" operator="equal">
      <formula>"Fail"</formula>
    </cfRule>
    <cfRule type="cellIs" dxfId="24176" priority="24016" stopIfTrue="1" operator="equal">
      <formula>"Pass"</formula>
    </cfRule>
  </conditionalFormatting>
  <conditionalFormatting sqref="U829">
    <cfRule type="cellIs" dxfId="24175" priority="24013" stopIfTrue="1" operator="equal">
      <formula>"Fail"</formula>
    </cfRule>
    <cfRule type="cellIs" dxfId="24174" priority="24014" stopIfTrue="1" operator="equal">
      <formula>"Pass"</formula>
    </cfRule>
  </conditionalFormatting>
  <conditionalFormatting sqref="J829:J830">
    <cfRule type="cellIs" dxfId="24173" priority="24011" stopIfTrue="1" operator="equal">
      <formula>"Pass"</formula>
    </cfRule>
    <cfRule type="cellIs" dxfId="24172" priority="24012" stopIfTrue="1" operator="equal">
      <formula>"Fail"</formula>
    </cfRule>
  </conditionalFormatting>
  <conditionalFormatting sqref="H829:H830 I830">
    <cfRule type="cellIs" dxfId="24171" priority="24009" stopIfTrue="1" operator="equal">
      <formula>"Pass"</formula>
    </cfRule>
    <cfRule type="cellIs" dxfId="24170" priority="24010" stopIfTrue="1" operator="equal">
      <formula>"Fail"</formula>
    </cfRule>
  </conditionalFormatting>
  <conditionalFormatting sqref="F831 F829:G829 K829:N830">
    <cfRule type="cellIs" dxfId="24169" priority="24007" stopIfTrue="1" operator="equal">
      <formula>"Pass"</formula>
    </cfRule>
    <cfRule type="cellIs" dxfId="24168" priority="24008" stopIfTrue="1" operator="equal">
      <formula>"Fail"</formula>
    </cfRule>
  </conditionalFormatting>
  <conditionalFormatting sqref="T829:T831 U830:U831">
    <cfRule type="cellIs" dxfId="24167" priority="24005" stopIfTrue="1" operator="equal">
      <formula>"Fail"</formula>
    </cfRule>
    <cfRule type="cellIs" dxfId="24166" priority="24006" stopIfTrue="1" operator="equal">
      <formula>"Pass"</formula>
    </cfRule>
  </conditionalFormatting>
  <conditionalFormatting sqref="U829">
    <cfRule type="cellIs" dxfId="24165" priority="24003" stopIfTrue="1" operator="equal">
      <formula>"Fail"</formula>
    </cfRule>
    <cfRule type="cellIs" dxfId="24164" priority="24004" stopIfTrue="1" operator="equal">
      <formula>"Pass"</formula>
    </cfRule>
  </conditionalFormatting>
  <conditionalFormatting sqref="U829">
    <cfRule type="cellIs" dxfId="24163" priority="24001" stopIfTrue="1" operator="equal">
      <formula>"Fail"</formula>
    </cfRule>
    <cfRule type="cellIs" dxfId="24162" priority="24002" stopIfTrue="1" operator="equal">
      <formula>"Pass"</formula>
    </cfRule>
  </conditionalFormatting>
  <conditionalFormatting sqref="F829:G829 K829:N829">
    <cfRule type="cellIs" dxfId="24161" priority="23999" stopIfTrue="1" operator="equal">
      <formula>"Pass"</formula>
    </cfRule>
    <cfRule type="cellIs" dxfId="24160" priority="24000" stopIfTrue="1" operator="equal">
      <formula>"Fail"</formula>
    </cfRule>
  </conditionalFormatting>
  <conditionalFormatting sqref="K830:N830">
    <cfRule type="cellIs" dxfId="24159" priority="23997" stopIfTrue="1" operator="equal">
      <formula>"Pass"</formula>
    </cfRule>
    <cfRule type="cellIs" dxfId="24158" priority="23998" stopIfTrue="1" operator="equal">
      <formula>"Fail"</formula>
    </cfRule>
  </conditionalFormatting>
  <conditionalFormatting sqref="U829">
    <cfRule type="cellIs" dxfId="24157" priority="23995" stopIfTrue="1" operator="equal">
      <formula>"Fail"</formula>
    </cfRule>
    <cfRule type="cellIs" dxfId="24156" priority="23996" stopIfTrue="1" operator="equal">
      <formula>"Pass"</formula>
    </cfRule>
  </conditionalFormatting>
  <conditionalFormatting sqref="H832:H833">
    <cfRule type="cellIs" dxfId="24155" priority="23993" stopIfTrue="1" operator="equal">
      <formula>"Pass"</formula>
    </cfRule>
    <cfRule type="cellIs" dxfId="24154" priority="23994" stopIfTrue="1" operator="equal">
      <formula>"Fail"</formula>
    </cfRule>
  </conditionalFormatting>
  <conditionalFormatting sqref="E832:F832 I832:M833 E834:F834 A832">
    <cfRule type="cellIs" dxfId="24153" priority="23991" stopIfTrue="1" operator="equal">
      <formula>"Pass"</formula>
    </cfRule>
    <cfRule type="cellIs" dxfId="24152" priority="23992" stopIfTrue="1" operator="equal">
      <formula>"Fail"</formula>
    </cfRule>
  </conditionalFormatting>
  <conditionalFormatting sqref="T834 T832 R832:R834 S833:S834">
    <cfRule type="cellIs" dxfId="24151" priority="23989" stopIfTrue="1" operator="equal">
      <formula>"Fail"</formula>
    </cfRule>
    <cfRule type="cellIs" dxfId="24150" priority="23990" stopIfTrue="1" operator="equal">
      <formula>"Pass"</formula>
    </cfRule>
  </conditionalFormatting>
  <conditionalFormatting sqref="F832:G832 F834:G834 B832:B834 A832 J832:N833">
    <cfRule type="cellIs" dxfId="24149" priority="23987" stopIfTrue="1" operator="equal">
      <formula>"Pass"</formula>
    </cfRule>
    <cfRule type="cellIs" dxfId="24148" priority="23988" stopIfTrue="1" operator="equal">
      <formula>"Fail"</formula>
    </cfRule>
  </conditionalFormatting>
  <conditionalFormatting sqref="U834 T832:T834 S833:S834">
    <cfRule type="cellIs" dxfId="24147" priority="23985" stopIfTrue="1" operator="equal">
      <formula>"Fail"</formula>
    </cfRule>
    <cfRule type="cellIs" dxfId="24146" priority="23986" stopIfTrue="1" operator="equal">
      <formula>"Pass"</formula>
    </cfRule>
  </conditionalFormatting>
  <conditionalFormatting sqref="A832">
    <cfRule type="cellIs" dxfId="24145" priority="23983" stopIfTrue="1" operator="equal">
      <formula>"Pass"</formula>
    </cfRule>
    <cfRule type="cellIs" dxfId="24144" priority="23984" stopIfTrue="1" operator="equal">
      <formula>"Fail"</formula>
    </cfRule>
  </conditionalFormatting>
  <conditionalFormatting sqref="A832">
    <cfRule type="cellIs" dxfId="24143" priority="23981" stopIfTrue="1" operator="equal">
      <formula>"Pass"</formula>
    </cfRule>
    <cfRule type="cellIs" dxfId="24142" priority="23982" stopIfTrue="1" operator="equal">
      <formula>"Fail"</formula>
    </cfRule>
  </conditionalFormatting>
  <conditionalFormatting sqref="A832">
    <cfRule type="cellIs" dxfId="24141" priority="23979" stopIfTrue="1" operator="equal">
      <formula>"Pass"</formula>
    </cfRule>
    <cfRule type="cellIs" dxfId="24140" priority="23980" stopIfTrue="1" operator="equal">
      <formula>"Fail"</formula>
    </cfRule>
  </conditionalFormatting>
  <conditionalFormatting sqref="A832">
    <cfRule type="cellIs" dxfId="24139" priority="23977" stopIfTrue="1" operator="equal">
      <formula>"Pass"</formula>
    </cfRule>
    <cfRule type="cellIs" dxfId="24138" priority="23978" stopIfTrue="1" operator="equal">
      <formula>"Fail"</formula>
    </cfRule>
  </conditionalFormatting>
  <conditionalFormatting sqref="A832">
    <cfRule type="cellIs" dxfId="24137" priority="23975" stopIfTrue="1" operator="equal">
      <formula>"Pass"</formula>
    </cfRule>
    <cfRule type="cellIs" dxfId="24136" priority="23976" stopIfTrue="1" operator="equal">
      <formula>"Fail"</formula>
    </cfRule>
  </conditionalFormatting>
  <conditionalFormatting sqref="A832">
    <cfRule type="cellIs" dxfId="24135" priority="23973" stopIfTrue="1" operator="equal">
      <formula>"Pass"</formula>
    </cfRule>
    <cfRule type="cellIs" dxfId="24134" priority="23974" stopIfTrue="1" operator="equal">
      <formula>"Fail"</formula>
    </cfRule>
  </conditionalFormatting>
  <conditionalFormatting sqref="A832">
    <cfRule type="cellIs" dxfId="24133" priority="23971" stopIfTrue="1" operator="equal">
      <formula>"Pass"</formula>
    </cfRule>
    <cfRule type="cellIs" dxfId="24132" priority="23972" stopIfTrue="1" operator="equal">
      <formula>"Fail"</formula>
    </cfRule>
  </conditionalFormatting>
  <conditionalFormatting sqref="A832">
    <cfRule type="cellIs" dxfId="24131" priority="23969" stopIfTrue="1" operator="equal">
      <formula>"Pass"</formula>
    </cfRule>
    <cfRule type="cellIs" dxfId="24130" priority="23970" stopIfTrue="1" operator="equal">
      <formula>"Fail"</formula>
    </cfRule>
  </conditionalFormatting>
  <conditionalFormatting sqref="A832">
    <cfRule type="cellIs" dxfId="24129" priority="23967" stopIfTrue="1" operator="equal">
      <formula>"Pass"</formula>
    </cfRule>
    <cfRule type="cellIs" dxfId="24128" priority="23968" stopIfTrue="1" operator="equal">
      <formula>"Fail"</formula>
    </cfRule>
  </conditionalFormatting>
  <conditionalFormatting sqref="A832">
    <cfRule type="cellIs" dxfId="24127" priority="23965" stopIfTrue="1" operator="equal">
      <formula>"Pass"</formula>
    </cfRule>
    <cfRule type="cellIs" dxfId="24126" priority="23966" stopIfTrue="1" operator="equal">
      <formula>"Fail"</formula>
    </cfRule>
  </conditionalFormatting>
  <conditionalFormatting sqref="U832">
    <cfRule type="cellIs" dxfId="24125" priority="23963" stopIfTrue="1" operator="equal">
      <formula>"Fail"</formula>
    </cfRule>
    <cfRule type="cellIs" dxfId="24124" priority="23964" stopIfTrue="1" operator="equal">
      <formula>"Pass"</formula>
    </cfRule>
  </conditionalFormatting>
  <conditionalFormatting sqref="F832:G832 J832:N832">
    <cfRule type="cellIs" dxfId="24123" priority="23961" stopIfTrue="1" operator="equal">
      <formula>"Pass"</formula>
    </cfRule>
    <cfRule type="cellIs" dxfId="24122" priority="23962" stopIfTrue="1" operator="equal">
      <formula>"Fail"</formula>
    </cfRule>
  </conditionalFormatting>
  <conditionalFormatting sqref="J833:N833">
    <cfRule type="cellIs" dxfId="24121" priority="23959" stopIfTrue="1" operator="equal">
      <formula>"Pass"</formula>
    </cfRule>
    <cfRule type="cellIs" dxfId="24120" priority="23960" stopIfTrue="1" operator="equal">
      <formula>"Fail"</formula>
    </cfRule>
  </conditionalFormatting>
  <conditionalFormatting sqref="A826:A834">
    <cfRule type="cellIs" dxfId="24119" priority="23957" stopIfTrue="1" operator="equal">
      <formula>"Pass"</formula>
    </cfRule>
    <cfRule type="cellIs" dxfId="24118" priority="23958" stopIfTrue="1" operator="equal">
      <formula>"Fail"</formula>
    </cfRule>
  </conditionalFormatting>
  <conditionalFormatting sqref="A826:A834">
    <cfRule type="cellIs" dxfId="24117" priority="23955" stopIfTrue="1" operator="equal">
      <formula>"Pass"</formula>
    </cfRule>
    <cfRule type="cellIs" dxfId="24116" priority="23956" stopIfTrue="1" operator="equal">
      <formula>"Fail"</formula>
    </cfRule>
  </conditionalFormatting>
  <conditionalFormatting sqref="A826:A834">
    <cfRule type="cellIs" dxfId="24115" priority="23953" stopIfTrue="1" operator="equal">
      <formula>"Pass"</formula>
    </cfRule>
    <cfRule type="cellIs" dxfId="24114" priority="23954" stopIfTrue="1" operator="equal">
      <formula>"Fail"</formula>
    </cfRule>
  </conditionalFormatting>
  <conditionalFormatting sqref="A826:A834">
    <cfRule type="cellIs" dxfId="24113" priority="23951" stopIfTrue="1" operator="equal">
      <formula>"Pass"</formula>
    </cfRule>
    <cfRule type="cellIs" dxfId="24112" priority="23952" stopIfTrue="1" operator="equal">
      <formula>"Fail"</formula>
    </cfRule>
  </conditionalFormatting>
  <conditionalFormatting sqref="A826:A834">
    <cfRule type="cellIs" dxfId="24111" priority="23949" stopIfTrue="1" operator="equal">
      <formula>"Pass"</formula>
    </cfRule>
    <cfRule type="cellIs" dxfId="24110" priority="23950" stopIfTrue="1" operator="equal">
      <formula>"Fail"</formula>
    </cfRule>
  </conditionalFormatting>
  <conditionalFormatting sqref="A828 A831 A834">
    <cfRule type="cellIs" dxfId="24109" priority="23947" stopIfTrue="1" operator="equal">
      <formula>"Pass"</formula>
    </cfRule>
    <cfRule type="cellIs" dxfId="24108" priority="23948" stopIfTrue="1" operator="equal">
      <formula>"Fail"</formula>
    </cfRule>
  </conditionalFormatting>
  <conditionalFormatting sqref="A826:A834">
    <cfRule type="cellIs" dxfId="24107" priority="23945" stopIfTrue="1" operator="equal">
      <formula>"Pass"</formula>
    </cfRule>
    <cfRule type="cellIs" dxfId="24106" priority="23946" stopIfTrue="1" operator="equal">
      <formula>"Fail"</formula>
    </cfRule>
  </conditionalFormatting>
  <conditionalFormatting sqref="A826:A834">
    <cfRule type="cellIs" dxfId="24105" priority="23943" stopIfTrue="1" operator="equal">
      <formula>"Pass"</formula>
    </cfRule>
    <cfRule type="cellIs" dxfId="24104" priority="23944" stopIfTrue="1" operator="equal">
      <formula>"Fail"</formula>
    </cfRule>
  </conditionalFormatting>
  <conditionalFormatting sqref="A826:A834">
    <cfRule type="cellIs" dxfId="24103" priority="23941" stopIfTrue="1" operator="equal">
      <formula>"Pass"</formula>
    </cfRule>
    <cfRule type="cellIs" dxfId="24102" priority="23942" stopIfTrue="1" operator="equal">
      <formula>"Fail"</formula>
    </cfRule>
  </conditionalFormatting>
  <conditionalFormatting sqref="A826:A834">
    <cfRule type="cellIs" dxfId="24101" priority="23939" stopIfTrue="1" operator="equal">
      <formula>"Pass"</formula>
    </cfRule>
    <cfRule type="cellIs" dxfId="24100" priority="23940" stopIfTrue="1" operator="equal">
      <formula>"Fail"</formula>
    </cfRule>
  </conditionalFormatting>
  <conditionalFormatting sqref="A826:A834">
    <cfRule type="cellIs" dxfId="24099" priority="23937" stopIfTrue="1" operator="equal">
      <formula>"Pass"</formula>
    </cfRule>
    <cfRule type="cellIs" dxfId="24098" priority="23938" stopIfTrue="1" operator="equal">
      <formula>"Fail"</formula>
    </cfRule>
  </conditionalFormatting>
  <conditionalFormatting sqref="A826:A834">
    <cfRule type="cellIs" dxfId="24097" priority="23935" stopIfTrue="1" operator="equal">
      <formula>"Pass"</formula>
    </cfRule>
    <cfRule type="cellIs" dxfId="24096" priority="23936" stopIfTrue="1" operator="equal">
      <formula>"Fail"</formula>
    </cfRule>
  </conditionalFormatting>
  <conditionalFormatting sqref="A828 A831 A834">
    <cfRule type="cellIs" dxfId="24095" priority="23933" stopIfTrue="1" operator="equal">
      <formula>"Pass"</formula>
    </cfRule>
    <cfRule type="cellIs" dxfId="24094" priority="23934" stopIfTrue="1" operator="equal">
      <formula>"Fail"</formula>
    </cfRule>
  </conditionalFormatting>
  <conditionalFormatting sqref="A826:A834">
    <cfRule type="cellIs" dxfId="24093" priority="23931" stopIfTrue="1" operator="equal">
      <formula>"Pass"</formula>
    </cfRule>
    <cfRule type="cellIs" dxfId="24092" priority="23932" stopIfTrue="1" operator="equal">
      <formula>"Fail"</formula>
    </cfRule>
  </conditionalFormatting>
  <conditionalFormatting sqref="H826:H827">
    <cfRule type="cellIs" dxfId="24091" priority="23929" stopIfTrue="1" operator="equal">
      <formula>"Pass"</formula>
    </cfRule>
    <cfRule type="cellIs" dxfId="24090" priority="23930" stopIfTrue="1" operator="equal">
      <formula>"Fail"</formula>
    </cfRule>
  </conditionalFormatting>
  <conditionalFormatting sqref="F826 F828 I826:M827">
    <cfRule type="cellIs" dxfId="24089" priority="23927" stopIfTrue="1" operator="equal">
      <formula>"Pass"</formula>
    </cfRule>
    <cfRule type="cellIs" dxfId="24088" priority="23928" stopIfTrue="1" operator="equal">
      <formula>"Fail"</formula>
    </cfRule>
  </conditionalFormatting>
  <conditionalFormatting sqref="T828 T826 R826:R828 S827:S828">
    <cfRule type="cellIs" dxfId="24087" priority="23925" stopIfTrue="1" operator="equal">
      <formula>"Fail"</formula>
    </cfRule>
    <cfRule type="cellIs" dxfId="24086" priority="23926" stopIfTrue="1" operator="equal">
      <formula>"Pass"</formula>
    </cfRule>
  </conditionalFormatting>
  <conditionalFormatting sqref="F826:G826 F828:G828 J826:N827">
    <cfRule type="cellIs" dxfId="24085" priority="23923" stopIfTrue="1" operator="equal">
      <formula>"Pass"</formula>
    </cfRule>
    <cfRule type="cellIs" dxfId="24084" priority="23924" stopIfTrue="1" operator="equal">
      <formula>"Fail"</formula>
    </cfRule>
  </conditionalFormatting>
  <conditionalFormatting sqref="U828 U826 T826:T828 S827:S828">
    <cfRule type="cellIs" dxfId="24083" priority="23921" stopIfTrue="1" operator="equal">
      <formula>"Fail"</formula>
    </cfRule>
    <cfRule type="cellIs" dxfId="24082" priority="23922" stopIfTrue="1" operator="equal">
      <formula>"Pass"</formula>
    </cfRule>
  </conditionalFormatting>
  <conditionalFormatting sqref="J826:N827 F826:G828">
    <cfRule type="cellIs" dxfId="24081" priority="23919" stopIfTrue="1" operator="equal">
      <formula>"Pass"</formula>
    </cfRule>
    <cfRule type="cellIs" dxfId="24080" priority="23920" stopIfTrue="1" operator="equal">
      <formula>"Fail"</formula>
    </cfRule>
  </conditionalFormatting>
  <conditionalFormatting sqref="K826:O827 F826:H828">
    <cfRule type="cellIs" dxfId="24079" priority="23917" stopIfTrue="1" operator="equal">
      <formula>"Pass"</formula>
    </cfRule>
    <cfRule type="cellIs" dxfId="24078" priority="23918" stopIfTrue="1" operator="equal">
      <formula>"Fail"</formula>
    </cfRule>
  </conditionalFormatting>
  <conditionalFormatting sqref="T826">
    <cfRule type="cellIs" dxfId="24077" priority="23915" stopIfTrue="1" operator="equal">
      <formula>"Fail"</formula>
    </cfRule>
    <cfRule type="cellIs" dxfId="24076" priority="23916" stopIfTrue="1" operator="equal">
      <formula>"Pass"</formula>
    </cfRule>
  </conditionalFormatting>
  <conditionalFormatting sqref="J829:J830">
    <cfRule type="cellIs" dxfId="24075" priority="23913" stopIfTrue="1" operator="equal">
      <formula>"Pass"</formula>
    </cfRule>
    <cfRule type="cellIs" dxfId="24074" priority="23914" stopIfTrue="1" operator="equal">
      <formula>"Fail"</formula>
    </cfRule>
  </conditionalFormatting>
  <conditionalFormatting sqref="H829:H830 I830">
    <cfRule type="cellIs" dxfId="24073" priority="23911" stopIfTrue="1" operator="equal">
      <formula>"Pass"</formula>
    </cfRule>
    <cfRule type="cellIs" dxfId="24072" priority="23912" stopIfTrue="1" operator="equal">
      <formula>"Fail"</formula>
    </cfRule>
  </conditionalFormatting>
  <conditionalFormatting sqref="F831 F829:G829 K829:N830">
    <cfRule type="cellIs" dxfId="24071" priority="23909" stopIfTrue="1" operator="equal">
      <formula>"Pass"</formula>
    </cfRule>
    <cfRule type="cellIs" dxfId="24070" priority="23910" stopIfTrue="1" operator="equal">
      <formula>"Fail"</formula>
    </cfRule>
  </conditionalFormatting>
  <conditionalFormatting sqref="T829:T831 U830:U831">
    <cfRule type="cellIs" dxfId="24069" priority="23907" stopIfTrue="1" operator="equal">
      <formula>"Fail"</formula>
    </cfRule>
    <cfRule type="cellIs" dxfId="24068" priority="23908" stopIfTrue="1" operator="equal">
      <formula>"Pass"</formula>
    </cfRule>
  </conditionalFormatting>
  <conditionalFormatting sqref="U829">
    <cfRule type="cellIs" dxfId="24067" priority="23905" stopIfTrue="1" operator="equal">
      <formula>"Fail"</formula>
    </cfRule>
    <cfRule type="cellIs" dxfId="24066" priority="23906" stopIfTrue="1" operator="equal">
      <formula>"Pass"</formula>
    </cfRule>
  </conditionalFormatting>
  <conditionalFormatting sqref="U829">
    <cfRule type="cellIs" dxfId="24065" priority="23903" stopIfTrue="1" operator="equal">
      <formula>"Fail"</formula>
    </cfRule>
    <cfRule type="cellIs" dxfId="24064" priority="23904" stopIfTrue="1" operator="equal">
      <formula>"Pass"</formula>
    </cfRule>
  </conditionalFormatting>
  <conditionalFormatting sqref="J829:J830">
    <cfRule type="cellIs" dxfId="24063" priority="23901" stopIfTrue="1" operator="equal">
      <formula>"Pass"</formula>
    </cfRule>
    <cfRule type="cellIs" dxfId="24062" priority="23902" stopIfTrue="1" operator="equal">
      <formula>"Fail"</formula>
    </cfRule>
  </conditionalFormatting>
  <conditionalFormatting sqref="H829:H830 I830">
    <cfRule type="cellIs" dxfId="24061" priority="23899" stopIfTrue="1" operator="equal">
      <formula>"Pass"</formula>
    </cfRule>
    <cfRule type="cellIs" dxfId="24060" priority="23900" stopIfTrue="1" operator="equal">
      <formula>"Fail"</formula>
    </cfRule>
  </conditionalFormatting>
  <conditionalFormatting sqref="F831 F829:G829 K829:N830">
    <cfRule type="cellIs" dxfId="24059" priority="23897" stopIfTrue="1" operator="equal">
      <formula>"Pass"</formula>
    </cfRule>
    <cfRule type="cellIs" dxfId="24058" priority="23898" stopIfTrue="1" operator="equal">
      <formula>"Fail"</formula>
    </cfRule>
  </conditionalFormatting>
  <conditionalFormatting sqref="T829:T831 U830:U831">
    <cfRule type="cellIs" dxfId="24057" priority="23895" stopIfTrue="1" operator="equal">
      <formula>"Fail"</formula>
    </cfRule>
    <cfRule type="cellIs" dxfId="24056" priority="23896" stopIfTrue="1" operator="equal">
      <formula>"Pass"</formula>
    </cfRule>
  </conditionalFormatting>
  <conditionalFormatting sqref="U829">
    <cfRule type="cellIs" dxfId="24055" priority="23893" stopIfTrue="1" operator="equal">
      <formula>"Fail"</formula>
    </cfRule>
    <cfRule type="cellIs" dxfId="24054" priority="23894" stopIfTrue="1" operator="equal">
      <formula>"Pass"</formula>
    </cfRule>
  </conditionalFormatting>
  <conditionalFormatting sqref="U829">
    <cfRule type="cellIs" dxfId="24053" priority="23891" stopIfTrue="1" operator="equal">
      <formula>"Fail"</formula>
    </cfRule>
    <cfRule type="cellIs" dxfId="24052" priority="23892" stopIfTrue="1" operator="equal">
      <formula>"Pass"</formula>
    </cfRule>
  </conditionalFormatting>
  <conditionalFormatting sqref="F829:G829 K829:N829">
    <cfRule type="cellIs" dxfId="24051" priority="23889" stopIfTrue="1" operator="equal">
      <formula>"Pass"</formula>
    </cfRule>
    <cfRule type="cellIs" dxfId="24050" priority="23890" stopIfTrue="1" operator="equal">
      <formula>"Fail"</formula>
    </cfRule>
  </conditionalFormatting>
  <conditionalFormatting sqref="K830:N830">
    <cfRule type="cellIs" dxfId="24049" priority="23887" stopIfTrue="1" operator="equal">
      <formula>"Pass"</formula>
    </cfRule>
    <cfRule type="cellIs" dxfId="24048" priority="23888" stopIfTrue="1" operator="equal">
      <formula>"Fail"</formula>
    </cfRule>
  </conditionalFormatting>
  <conditionalFormatting sqref="U829">
    <cfRule type="cellIs" dxfId="24047" priority="23885" stopIfTrue="1" operator="equal">
      <formula>"Fail"</formula>
    </cfRule>
    <cfRule type="cellIs" dxfId="24046" priority="23886" stopIfTrue="1" operator="equal">
      <formula>"Pass"</formula>
    </cfRule>
  </conditionalFormatting>
  <conditionalFormatting sqref="H832:H833">
    <cfRule type="cellIs" dxfId="24045" priority="23883" stopIfTrue="1" operator="equal">
      <formula>"Pass"</formula>
    </cfRule>
    <cfRule type="cellIs" dxfId="24044" priority="23884" stopIfTrue="1" operator="equal">
      <formula>"Fail"</formula>
    </cfRule>
  </conditionalFormatting>
  <conditionalFormatting sqref="F832 I832:M833 F834">
    <cfRule type="cellIs" dxfId="24043" priority="23881" stopIfTrue="1" operator="equal">
      <formula>"Pass"</formula>
    </cfRule>
    <cfRule type="cellIs" dxfId="24042" priority="23882" stopIfTrue="1" operator="equal">
      <formula>"Fail"</formula>
    </cfRule>
  </conditionalFormatting>
  <conditionalFormatting sqref="T834 T832 R832:R834 S833:S834">
    <cfRule type="cellIs" dxfId="24041" priority="23879" stopIfTrue="1" operator="equal">
      <formula>"Fail"</formula>
    </cfRule>
    <cfRule type="cellIs" dxfId="24040" priority="23880" stopIfTrue="1" operator="equal">
      <formula>"Pass"</formula>
    </cfRule>
  </conditionalFormatting>
  <conditionalFormatting sqref="F832:G832 F834:G834 J832:N833">
    <cfRule type="cellIs" dxfId="24039" priority="23877" stopIfTrue="1" operator="equal">
      <formula>"Pass"</formula>
    </cfRule>
    <cfRule type="cellIs" dxfId="24038" priority="23878" stopIfTrue="1" operator="equal">
      <formula>"Fail"</formula>
    </cfRule>
  </conditionalFormatting>
  <conditionalFormatting sqref="U834 T832:T834 S833:S834">
    <cfRule type="cellIs" dxfId="24037" priority="23875" stopIfTrue="1" operator="equal">
      <formula>"Fail"</formula>
    </cfRule>
    <cfRule type="cellIs" dxfId="24036" priority="23876" stopIfTrue="1" operator="equal">
      <formula>"Pass"</formula>
    </cfRule>
  </conditionalFormatting>
  <conditionalFormatting sqref="U832">
    <cfRule type="cellIs" dxfId="24035" priority="23873" stopIfTrue="1" operator="equal">
      <formula>"Fail"</formula>
    </cfRule>
    <cfRule type="cellIs" dxfId="24034" priority="23874" stopIfTrue="1" operator="equal">
      <formula>"Pass"</formula>
    </cfRule>
  </conditionalFormatting>
  <conditionalFormatting sqref="F832:G832 J832:N832">
    <cfRule type="cellIs" dxfId="24033" priority="23871" stopIfTrue="1" operator="equal">
      <formula>"Pass"</formula>
    </cfRule>
    <cfRule type="cellIs" dxfId="24032" priority="23872" stopIfTrue="1" operator="equal">
      <formula>"Fail"</formula>
    </cfRule>
  </conditionalFormatting>
  <conditionalFormatting sqref="J833:N833">
    <cfRule type="cellIs" dxfId="24031" priority="23869" stopIfTrue="1" operator="equal">
      <formula>"Pass"</formula>
    </cfRule>
    <cfRule type="cellIs" dxfId="24030" priority="23870" stopIfTrue="1" operator="equal">
      <formula>"Fail"</formula>
    </cfRule>
  </conditionalFormatting>
  <conditionalFormatting sqref="K826:O827 F826:H828">
    <cfRule type="cellIs" dxfId="24029" priority="23867" stopIfTrue="1" operator="equal">
      <formula>"Pass"</formula>
    </cfRule>
    <cfRule type="cellIs" dxfId="24028" priority="23868" stopIfTrue="1" operator="equal">
      <formula>"Fail"</formula>
    </cfRule>
  </conditionalFormatting>
  <conditionalFormatting sqref="T826">
    <cfRule type="cellIs" dxfId="24027" priority="23865" stopIfTrue="1" operator="equal">
      <formula>"Fail"</formula>
    </cfRule>
    <cfRule type="cellIs" dxfId="24026" priority="23866" stopIfTrue="1" operator="equal">
      <formula>"Pass"</formula>
    </cfRule>
  </conditionalFormatting>
  <conditionalFormatting sqref="J829:J830">
    <cfRule type="cellIs" dxfId="24025" priority="23863" stopIfTrue="1" operator="equal">
      <formula>"Pass"</formula>
    </cfRule>
    <cfRule type="cellIs" dxfId="24024" priority="23864" stopIfTrue="1" operator="equal">
      <formula>"Fail"</formula>
    </cfRule>
  </conditionalFormatting>
  <conditionalFormatting sqref="H829:H830 I830">
    <cfRule type="cellIs" dxfId="24023" priority="23861" stopIfTrue="1" operator="equal">
      <formula>"Pass"</formula>
    </cfRule>
    <cfRule type="cellIs" dxfId="24022" priority="23862" stopIfTrue="1" operator="equal">
      <formula>"Fail"</formula>
    </cfRule>
  </conditionalFormatting>
  <conditionalFormatting sqref="F829:G829 K829:N830">
    <cfRule type="cellIs" dxfId="24021" priority="23859" stopIfTrue="1" operator="equal">
      <formula>"Pass"</formula>
    </cfRule>
    <cfRule type="cellIs" dxfId="24020" priority="23860" stopIfTrue="1" operator="equal">
      <formula>"Fail"</formula>
    </cfRule>
  </conditionalFormatting>
  <conditionalFormatting sqref="T829:T830 U830">
    <cfRule type="cellIs" dxfId="24019" priority="23857" stopIfTrue="1" operator="equal">
      <formula>"Fail"</formula>
    </cfRule>
    <cfRule type="cellIs" dxfId="24018" priority="23858" stopIfTrue="1" operator="equal">
      <formula>"Pass"</formula>
    </cfRule>
  </conditionalFormatting>
  <conditionalFormatting sqref="U829">
    <cfRule type="cellIs" dxfId="24017" priority="23855" stopIfTrue="1" operator="equal">
      <formula>"Fail"</formula>
    </cfRule>
    <cfRule type="cellIs" dxfId="24016" priority="23856" stopIfTrue="1" operator="equal">
      <formula>"Pass"</formula>
    </cfRule>
  </conditionalFormatting>
  <conditionalFormatting sqref="U829">
    <cfRule type="cellIs" dxfId="24015" priority="23853" stopIfTrue="1" operator="equal">
      <formula>"Fail"</formula>
    </cfRule>
    <cfRule type="cellIs" dxfId="24014" priority="23854" stopIfTrue="1" operator="equal">
      <formula>"Pass"</formula>
    </cfRule>
  </conditionalFormatting>
  <conditionalFormatting sqref="J829:J830">
    <cfRule type="cellIs" dxfId="24013" priority="23851" stopIfTrue="1" operator="equal">
      <formula>"Pass"</formula>
    </cfRule>
    <cfRule type="cellIs" dxfId="24012" priority="23852" stopIfTrue="1" operator="equal">
      <formula>"Fail"</formula>
    </cfRule>
  </conditionalFormatting>
  <conditionalFormatting sqref="H829:H830 I830">
    <cfRule type="cellIs" dxfId="24011" priority="23849" stopIfTrue="1" operator="equal">
      <formula>"Pass"</formula>
    </cfRule>
    <cfRule type="cellIs" dxfId="24010" priority="23850" stopIfTrue="1" operator="equal">
      <formula>"Fail"</formula>
    </cfRule>
  </conditionalFormatting>
  <conditionalFormatting sqref="F829:G829 K829:N830">
    <cfRule type="cellIs" dxfId="24009" priority="23847" stopIfTrue="1" operator="equal">
      <formula>"Pass"</formula>
    </cfRule>
    <cfRule type="cellIs" dxfId="24008" priority="23848" stopIfTrue="1" operator="equal">
      <formula>"Fail"</formula>
    </cfRule>
  </conditionalFormatting>
  <conditionalFormatting sqref="T829:T830 U830">
    <cfRule type="cellIs" dxfId="24007" priority="23845" stopIfTrue="1" operator="equal">
      <formula>"Fail"</formula>
    </cfRule>
    <cfRule type="cellIs" dxfId="24006" priority="23846" stopIfTrue="1" operator="equal">
      <formula>"Pass"</formula>
    </cfRule>
  </conditionalFormatting>
  <conditionalFormatting sqref="U829">
    <cfRule type="cellIs" dxfId="24005" priority="23843" stopIfTrue="1" operator="equal">
      <formula>"Fail"</formula>
    </cfRule>
    <cfRule type="cellIs" dxfId="24004" priority="23844" stopIfTrue="1" operator="equal">
      <formula>"Pass"</formula>
    </cfRule>
  </conditionalFormatting>
  <conditionalFormatting sqref="U829">
    <cfRule type="cellIs" dxfId="24003" priority="23841" stopIfTrue="1" operator="equal">
      <formula>"Fail"</formula>
    </cfRule>
    <cfRule type="cellIs" dxfId="24002" priority="23842" stopIfTrue="1" operator="equal">
      <formula>"Pass"</formula>
    </cfRule>
  </conditionalFormatting>
  <conditionalFormatting sqref="F829:G829 K829:N829">
    <cfRule type="cellIs" dxfId="24001" priority="23839" stopIfTrue="1" operator="equal">
      <formula>"Pass"</formula>
    </cfRule>
    <cfRule type="cellIs" dxfId="24000" priority="23840" stopIfTrue="1" operator="equal">
      <formula>"Fail"</formula>
    </cfRule>
  </conditionalFormatting>
  <conditionalFormatting sqref="K830:N830">
    <cfRule type="cellIs" dxfId="23999" priority="23837" stopIfTrue="1" operator="equal">
      <formula>"Pass"</formula>
    </cfRule>
    <cfRule type="cellIs" dxfId="23998" priority="23838" stopIfTrue="1" operator="equal">
      <formula>"Fail"</formula>
    </cfRule>
  </conditionalFormatting>
  <conditionalFormatting sqref="U829">
    <cfRule type="cellIs" dxfId="23997" priority="23835" stopIfTrue="1" operator="equal">
      <formula>"Fail"</formula>
    </cfRule>
    <cfRule type="cellIs" dxfId="23996" priority="23836" stopIfTrue="1" operator="equal">
      <formula>"Pass"</formula>
    </cfRule>
  </conditionalFormatting>
  <conditionalFormatting sqref="H832:H833">
    <cfRule type="cellIs" dxfId="23995" priority="23833" stopIfTrue="1" operator="equal">
      <formula>"Pass"</formula>
    </cfRule>
    <cfRule type="cellIs" dxfId="23994" priority="23834" stopIfTrue="1" operator="equal">
      <formula>"Fail"</formula>
    </cfRule>
  </conditionalFormatting>
  <conditionalFormatting sqref="F832 I832:M833 F834">
    <cfRule type="cellIs" dxfId="23993" priority="23831" stopIfTrue="1" operator="equal">
      <formula>"Pass"</formula>
    </cfRule>
    <cfRule type="cellIs" dxfId="23992" priority="23832" stopIfTrue="1" operator="equal">
      <formula>"Fail"</formula>
    </cfRule>
  </conditionalFormatting>
  <conditionalFormatting sqref="T834 T832 R832:R834 S833:S834">
    <cfRule type="cellIs" dxfId="23991" priority="23829" stopIfTrue="1" operator="equal">
      <formula>"Fail"</formula>
    </cfRule>
    <cfRule type="cellIs" dxfId="23990" priority="23830" stopIfTrue="1" operator="equal">
      <formula>"Pass"</formula>
    </cfRule>
  </conditionalFormatting>
  <conditionalFormatting sqref="F832:G832 F834:G834 J832:N833">
    <cfRule type="cellIs" dxfId="23989" priority="23827" stopIfTrue="1" operator="equal">
      <formula>"Pass"</formula>
    </cfRule>
    <cfRule type="cellIs" dxfId="23988" priority="23828" stopIfTrue="1" operator="equal">
      <formula>"Fail"</formula>
    </cfRule>
  </conditionalFormatting>
  <conditionalFormatting sqref="U834 T832:T834 S833:S834">
    <cfRule type="cellIs" dxfId="23987" priority="23825" stopIfTrue="1" operator="equal">
      <formula>"Fail"</formula>
    </cfRule>
    <cfRule type="cellIs" dxfId="23986" priority="23826" stopIfTrue="1" operator="equal">
      <formula>"Pass"</formula>
    </cfRule>
  </conditionalFormatting>
  <conditionalFormatting sqref="U832">
    <cfRule type="cellIs" dxfId="23985" priority="23823" stopIfTrue="1" operator="equal">
      <formula>"Fail"</formula>
    </cfRule>
    <cfRule type="cellIs" dxfId="23984" priority="23824" stopIfTrue="1" operator="equal">
      <formula>"Pass"</formula>
    </cfRule>
  </conditionalFormatting>
  <conditionalFormatting sqref="F832:G832 J832:N832">
    <cfRule type="cellIs" dxfId="23983" priority="23821" stopIfTrue="1" operator="equal">
      <formula>"Pass"</formula>
    </cfRule>
    <cfRule type="cellIs" dxfId="23982" priority="23822" stopIfTrue="1" operator="equal">
      <formula>"Fail"</formula>
    </cfRule>
  </conditionalFormatting>
  <conditionalFormatting sqref="J833:N833">
    <cfRule type="cellIs" dxfId="23981" priority="23819" stopIfTrue="1" operator="equal">
      <formula>"Pass"</formula>
    </cfRule>
    <cfRule type="cellIs" dxfId="23980" priority="23820" stopIfTrue="1" operator="equal">
      <formula>"Fail"</formula>
    </cfRule>
  </conditionalFormatting>
  <conditionalFormatting sqref="U829">
    <cfRule type="cellIs" dxfId="23979" priority="23817" stopIfTrue="1" operator="equal">
      <formula>"Fail"</formula>
    </cfRule>
    <cfRule type="cellIs" dxfId="23978" priority="23818" stopIfTrue="1" operator="equal">
      <formula>"Pass"</formula>
    </cfRule>
  </conditionalFormatting>
  <conditionalFormatting sqref="U832">
    <cfRule type="cellIs" dxfId="23977" priority="23815" stopIfTrue="1" operator="equal">
      <formula>"Fail"</formula>
    </cfRule>
    <cfRule type="cellIs" dxfId="23976" priority="23816" stopIfTrue="1" operator="equal">
      <formula>"Pass"</formula>
    </cfRule>
  </conditionalFormatting>
  <conditionalFormatting sqref="U829">
    <cfRule type="cellIs" dxfId="23975" priority="23813" stopIfTrue="1" operator="equal">
      <formula>"Fail"</formula>
    </cfRule>
    <cfRule type="cellIs" dxfId="23974" priority="23814" stopIfTrue="1" operator="equal">
      <formula>"Pass"</formula>
    </cfRule>
  </conditionalFormatting>
  <conditionalFormatting sqref="U829">
    <cfRule type="cellIs" dxfId="23973" priority="23811" stopIfTrue="1" operator="equal">
      <formula>"Fail"</formula>
    </cfRule>
    <cfRule type="cellIs" dxfId="23972" priority="23812" stopIfTrue="1" operator="equal">
      <formula>"Pass"</formula>
    </cfRule>
  </conditionalFormatting>
  <conditionalFormatting sqref="U832">
    <cfRule type="cellIs" dxfId="23971" priority="23809" stopIfTrue="1" operator="equal">
      <formula>"Fail"</formula>
    </cfRule>
    <cfRule type="cellIs" dxfId="23970" priority="23810" stopIfTrue="1" operator="equal">
      <formula>"Pass"</formula>
    </cfRule>
  </conditionalFormatting>
  <conditionalFormatting sqref="U832">
    <cfRule type="cellIs" dxfId="23969" priority="23807" stopIfTrue="1" operator="equal">
      <formula>"Fail"</formula>
    </cfRule>
    <cfRule type="cellIs" dxfId="23968" priority="23808" stopIfTrue="1" operator="equal">
      <formula>"Pass"</formula>
    </cfRule>
  </conditionalFormatting>
  <conditionalFormatting sqref="N832">
    <cfRule type="cellIs" dxfId="23967" priority="23805" stopIfTrue="1" operator="equal">
      <formula>"Pass"</formula>
    </cfRule>
    <cfRule type="cellIs" dxfId="23966" priority="23806" stopIfTrue="1" operator="equal">
      <formula>"Fail"</formula>
    </cfRule>
  </conditionalFormatting>
  <conditionalFormatting sqref="N832">
    <cfRule type="cellIs" dxfId="23965" priority="23803" stopIfTrue="1" operator="equal">
      <formula>"Pass"</formula>
    </cfRule>
    <cfRule type="cellIs" dxfId="23964" priority="23804" stopIfTrue="1" operator="equal">
      <formula>"Fail"</formula>
    </cfRule>
  </conditionalFormatting>
  <conditionalFormatting sqref="N832">
    <cfRule type="cellIs" dxfId="23963" priority="23801" stopIfTrue="1" operator="equal">
      <formula>"Pass"</formula>
    </cfRule>
    <cfRule type="cellIs" dxfId="23962" priority="23802" stopIfTrue="1" operator="equal">
      <formula>"Fail"</formula>
    </cfRule>
  </conditionalFormatting>
  <conditionalFormatting sqref="H835:H836">
    <cfRule type="cellIs" dxfId="23961" priority="23799" stopIfTrue="1" operator="equal">
      <formula>"Pass"</formula>
    </cfRule>
    <cfRule type="cellIs" dxfId="23960" priority="23800" stopIfTrue="1" operator="equal">
      <formula>"Fail"</formula>
    </cfRule>
  </conditionalFormatting>
  <conditionalFormatting sqref="E835:F835 E837:F837 I835:M836 A835:A837">
    <cfRule type="cellIs" dxfId="23959" priority="23797" stopIfTrue="1" operator="equal">
      <formula>"Pass"</formula>
    </cfRule>
    <cfRule type="cellIs" dxfId="23958" priority="23798" stopIfTrue="1" operator="equal">
      <formula>"Fail"</formula>
    </cfRule>
  </conditionalFormatting>
  <conditionalFormatting sqref="T837 T835 R835:R837 S836:S837">
    <cfRule type="cellIs" dxfId="23957" priority="23795" stopIfTrue="1" operator="equal">
      <formula>"Fail"</formula>
    </cfRule>
    <cfRule type="cellIs" dxfId="23956" priority="23796" stopIfTrue="1" operator="equal">
      <formula>"Pass"</formula>
    </cfRule>
  </conditionalFormatting>
  <conditionalFormatting sqref="F835:G835 F837:G837 A835:B837 J835:N836">
    <cfRule type="cellIs" dxfId="23955" priority="23793" stopIfTrue="1" operator="equal">
      <formula>"Pass"</formula>
    </cfRule>
    <cfRule type="cellIs" dxfId="23954" priority="23794" stopIfTrue="1" operator="equal">
      <formula>"Fail"</formula>
    </cfRule>
  </conditionalFormatting>
  <conditionalFormatting sqref="U837 U835 T835:T837 S836:S837">
    <cfRule type="cellIs" dxfId="23953" priority="23791" stopIfTrue="1" operator="equal">
      <formula>"Fail"</formula>
    </cfRule>
    <cfRule type="cellIs" dxfId="23952" priority="23792" stopIfTrue="1" operator="equal">
      <formula>"Pass"</formula>
    </cfRule>
  </conditionalFormatting>
  <conditionalFormatting sqref="A835:A837">
    <cfRule type="cellIs" dxfId="23951" priority="23789" stopIfTrue="1" operator="equal">
      <formula>"Pass"</formula>
    </cfRule>
    <cfRule type="cellIs" dxfId="23950" priority="23790" stopIfTrue="1" operator="equal">
      <formula>"Fail"</formula>
    </cfRule>
  </conditionalFormatting>
  <conditionalFormatting sqref="A835:A837">
    <cfRule type="cellIs" dxfId="23949" priority="23787" stopIfTrue="1" operator="equal">
      <formula>"Pass"</formula>
    </cfRule>
    <cfRule type="cellIs" dxfId="23948" priority="23788" stopIfTrue="1" operator="equal">
      <formula>"Fail"</formula>
    </cfRule>
  </conditionalFormatting>
  <conditionalFormatting sqref="A835:A837">
    <cfRule type="cellIs" dxfId="23947" priority="23785" stopIfTrue="1" operator="equal">
      <formula>"Pass"</formula>
    </cfRule>
    <cfRule type="cellIs" dxfId="23946" priority="23786" stopIfTrue="1" operator="equal">
      <formula>"Fail"</formula>
    </cfRule>
  </conditionalFormatting>
  <conditionalFormatting sqref="J835:N836 E835:G837">
    <cfRule type="cellIs" dxfId="23945" priority="23783" stopIfTrue="1" operator="equal">
      <formula>"Pass"</formula>
    </cfRule>
    <cfRule type="cellIs" dxfId="23944" priority="23784" stopIfTrue="1" operator="equal">
      <formula>"Fail"</formula>
    </cfRule>
  </conditionalFormatting>
  <conditionalFormatting sqref="A837 C837 K835:O836 F835:H837">
    <cfRule type="cellIs" dxfId="23943" priority="23781" stopIfTrue="1" operator="equal">
      <formula>"Pass"</formula>
    </cfRule>
    <cfRule type="cellIs" dxfId="23942" priority="23782" stopIfTrue="1" operator="equal">
      <formula>"Fail"</formula>
    </cfRule>
  </conditionalFormatting>
  <conditionalFormatting sqref="T835">
    <cfRule type="cellIs" dxfId="23941" priority="23779" stopIfTrue="1" operator="equal">
      <formula>"Fail"</formula>
    </cfRule>
    <cfRule type="cellIs" dxfId="23940" priority="23780" stopIfTrue="1" operator="equal">
      <formula>"Pass"</formula>
    </cfRule>
  </conditionalFormatting>
  <conditionalFormatting sqref="A835:A837">
    <cfRule type="cellIs" dxfId="23939" priority="23777" stopIfTrue="1" operator="equal">
      <formula>"Pass"</formula>
    </cfRule>
    <cfRule type="cellIs" dxfId="23938" priority="23778" stopIfTrue="1" operator="equal">
      <formula>"Fail"</formula>
    </cfRule>
  </conditionalFormatting>
  <conditionalFormatting sqref="A835:A837">
    <cfRule type="cellIs" dxfId="23937" priority="23775" stopIfTrue="1" operator="equal">
      <formula>"Pass"</formula>
    </cfRule>
    <cfRule type="cellIs" dxfId="23936" priority="23776" stopIfTrue="1" operator="equal">
      <formula>"Fail"</formula>
    </cfRule>
  </conditionalFormatting>
  <conditionalFormatting sqref="A835:A837">
    <cfRule type="cellIs" dxfId="23935" priority="23773" stopIfTrue="1" operator="equal">
      <formula>"Pass"</formula>
    </cfRule>
    <cfRule type="cellIs" dxfId="23934" priority="23774" stopIfTrue="1" operator="equal">
      <formula>"Fail"</formula>
    </cfRule>
  </conditionalFormatting>
  <conditionalFormatting sqref="A835:A837">
    <cfRule type="cellIs" dxfId="23933" priority="23771" stopIfTrue="1" operator="equal">
      <formula>"Pass"</formula>
    </cfRule>
    <cfRule type="cellIs" dxfId="23932" priority="23772" stopIfTrue="1" operator="equal">
      <formula>"Fail"</formula>
    </cfRule>
  </conditionalFormatting>
  <conditionalFormatting sqref="A835:A837">
    <cfRule type="cellIs" dxfId="23931" priority="23769" stopIfTrue="1" operator="equal">
      <formula>"Pass"</formula>
    </cfRule>
    <cfRule type="cellIs" dxfId="23930" priority="23770" stopIfTrue="1" operator="equal">
      <formula>"Fail"</formula>
    </cfRule>
  </conditionalFormatting>
  <conditionalFormatting sqref="A835:A837">
    <cfRule type="cellIs" dxfId="23929" priority="23767" stopIfTrue="1" operator="equal">
      <formula>"Pass"</formula>
    </cfRule>
    <cfRule type="cellIs" dxfId="23928" priority="23768" stopIfTrue="1" operator="equal">
      <formula>"Fail"</formula>
    </cfRule>
  </conditionalFormatting>
  <conditionalFormatting sqref="A837">
    <cfRule type="cellIs" dxfId="23927" priority="23765" stopIfTrue="1" operator="equal">
      <formula>"Pass"</formula>
    </cfRule>
    <cfRule type="cellIs" dxfId="23926" priority="23766" stopIfTrue="1" operator="equal">
      <formula>"Fail"</formula>
    </cfRule>
  </conditionalFormatting>
  <conditionalFormatting sqref="A835:A837">
    <cfRule type="cellIs" dxfId="23925" priority="23763" stopIfTrue="1" operator="equal">
      <formula>"Pass"</formula>
    </cfRule>
    <cfRule type="cellIs" dxfId="23924" priority="23764" stopIfTrue="1" operator="equal">
      <formula>"Fail"</formula>
    </cfRule>
  </conditionalFormatting>
  <conditionalFormatting sqref="A835:A837">
    <cfRule type="cellIs" dxfId="23923" priority="23761" stopIfTrue="1" operator="equal">
      <formula>"Pass"</formula>
    </cfRule>
    <cfRule type="cellIs" dxfId="23922" priority="23762" stopIfTrue="1" operator="equal">
      <formula>"Fail"</formula>
    </cfRule>
  </conditionalFormatting>
  <conditionalFormatting sqref="A835:A837">
    <cfRule type="cellIs" dxfId="23921" priority="23759" stopIfTrue="1" operator="equal">
      <formula>"Pass"</formula>
    </cfRule>
    <cfRule type="cellIs" dxfId="23920" priority="23760" stopIfTrue="1" operator="equal">
      <formula>"Fail"</formula>
    </cfRule>
  </conditionalFormatting>
  <conditionalFormatting sqref="A835:A837">
    <cfRule type="cellIs" dxfId="23919" priority="23757" stopIfTrue="1" operator="equal">
      <formula>"Pass"</formula>
    </cfRule>
    <cfRule type="cellIs" dxfId="23918" priority="23758" stopIfTrue="1" operator="equal">
      <formula>"Fail"</formula>
    </cfRule>
  </conditionalFormatting>
  <conditionalFormatting sqref="A835:A837">
    <cfRule type="cellIs" dxfId="23917" priority="23755" stopIfTrue="1" operator="equal">
      <formula>"Pass"</formula>
    </cfRule>
    <cfRule type="cellIs" dxfId="23916" priority="23756" stopIfTrue="1" operator="equal">
      <formula>"Fail"</formula>
    </cfRule>
  </conditionalFormatting>
  <conditionalFormatting sqref="A835:A837">
    <cfRule type="cellIs" dxfId="23915" priority="23753" stopIfTrue="1" operator="equal">
      <formula>"Pass"</formula>
    </cfRule>
    <cfRule type="cellIs" dxfId="23914" priority="23754" stopIfTrue="1" operator="equal">
      <formula>"Fail"</formula>
    </cfRule>
  </conditionalFormatting>
  <conditionalFormatting sqref="A837">
    <cfRule type="cellIs" dxfId="23913" priority="23751" stopIfTrue="1" operator="equal">
      <formula>"Pass"</formula>
    </cfRule>
    <cfRule type="cellIs" dxfId="23912" priority="23752" stopIfTrue="1" operator="equal">
      <formula>"Fail"</formula>
    </cfRule>
  </conditionalFormatting>
  <conditionalFormatting sqref="A835:A837">
    <cfRule type="cellIs" dxfId="23911" priority="23749" stopIfTrue="1" operator="equal">
      <formula>"Pass"</formula>
    </cfRule>
    <cfRule type="cellIs" dxfId="23910" priority="23750" stopIfTrue="1" operator="equal">
      <formula>"Fail"</formula>
    </cfRule>
  </conditionalFormatting>
  <conditionalFormatting sqref="H835:H836">
    <cfRule type="cellIs" dxfId="23909" priority="23747" stopIfTrue="1" operator="equal">
      <formula>"Pass"</formula>
    </cfRule>
    <cfRule type="cellIs" dxfId="23908" priority="23748" stopIfTrue="1" operator="equal">
      <formula>"Fail"</formula>
    </cfRule>
  </conditionalFormatting>
  <conditionalFormatting sqref="F835 F837 I835:M836">
    <cfRule type="cellIs" dxfId="23907" priority="23745" stopIfTrue="1" operator="equal">
      <formula>"Pass"</formula>
    </cfRule>
    <cfRule type="cellIs" dxfId="23906" priority="23746" stopIfTrue="1" operator="equal">
      <formula>"Fail"</formula>
    </cfRule>
  </conditionalFormatting>
  <conditionalFormatting sqref="T837 T835 R835:R837 S836:S837">
    <cfRule type="cellIs" dxfId="23905" priority="23743" stopIfTrue="1" operator="equal">
      <formula>"Fail"</formula>
    </cfRule>
    <cfRule type="cellIs" dxfId="23904" priority="23744" stopIfTrue="1" operator="equal">
      <formula>"Pass"</formula>
    </cfRule>
  </conditionalFormatting>
  <conditionalFormatting sqref="F835:G835 F837:G837 J835:N836">
    <cfRule type="cellIs" dxfId="23903" priority="23741" stopIfTrue="1" operator="equal">
      <formula>"Pass"</formula>
    </cfRule>
    <cfRule type="cellIs" dxfId="23902" priority="23742" stopIfTrue="1" operator="equal">
      <formula>"Fail"</formula>
    </cfRule>
  </conditionalFormatting>
  <conditionalFormatting sqref="U837 U835 T835:T837 S836:S837">
    <cfRule type="cellIs" dxfId="23901" priority="23739" stopIfTrue="1" operator="equal">
      <formula>"Fail"</formula>
    </cfRule>
    <cfRule type="cellIs" dxfId="23900" priority="23740" stopIfTrue="1" operator="equal">
      <formula>"Pass"</formula>
    </cfRule>
  </conditionalFormatting>
  <conditionalFormatting sqref="J835:N836 F835:G837">
    <cfRule type="cellIs" dxfId="23899" priority="23737" stopIfTrue="1" operator="equal">
      <formula>"Pass"</formula>
    </cfRule>
    <cfRule type="cellIs" dxfId="23898" priority="23738" stopIfTrue="1" operator="equal">
      <formula>"Fail"</formula>
    </cfRule>
  </conditionalFormatting>
  <conditionalFormatting sqref="K835:O836 F835:H837">
    <cfRule type="cellIs" dxfId="23897" priority="23735" stopIfTrue="1" operator="equal">
      <formula>"Pass"</formula>
    </cfRule>
    <cfRule type="cellIs" dxfId="23896" priority="23736" stopIfTrue="1" operator="equal">
      <formula>"Fail"</formula>
    </cfRule>
  </conditionalFormatting>
  <conditionalFormatting sqref="T835">
    <cfRule type="cellIs" dxfId="23895" priority="23733" stopIfTrue="1" operator="equal">
      <formula>"Fail"</formula>
    </cfRule>
    <cfRule type="cellIs" dxfId="23894" priority="23734" stopIfTrue="1" operator="equal">
      <formula>"Pass"</formula>
    </cfRule>
  </conditionalFormatting>
  <conditionalFormatting sqref="K835:O836 F835:H837">
    <cfRule type="cellIs" dxfId="23893" priority="23731" stopIfTrue="1" operator="equal">
      <formula>"Pass"</formula>
    </cfRule>
    <cfRule type="cellIs" dxfId="23892" priority="23732" stopIfTrue="1" operator="equal">
      <formula>"Fail"</formula>
    </cfRule>
  </conditionalFormatting>
  <conditionalFormatting sqref="T835">
    <cfRule type="cellIs" dxfId="23891" priority="23729" stopIfTrue="1" operator="equal">
      <formula>"Fail"</formula>
    </cfRule>
    <cfRule type="cellIs" dxfId="23890" priority="23730" stopIfTrue="1" operator="equal">
      <formula>"Pass"</formula>
    </cfRule>
  </conditionalFormatting>
  <conditionalFormatting sqref="A838:A840">
    <cfRule type="cellIs" dxfId="23889" priority="23727" stopIfTrue="1" operator="equal">
      <formula>"Pass"</formula>
    </cfRule>
    <cfRule type="cellIs" dxfId="23888" priority="23728" stopIfTrue="1" operator="equal">
      <formula>"Fail"</formula>
    </cfRule>
  </conditionalFormatting>
  <conditionalFormatting sqref="A838:A840">
    <cfRule type="cellIs" dxfId="23887" priority="23725" stopIfTrue="1" operator="equal">
      <formula>"Pass"</formula>
    </cfRule>
    <cfRule type="cellIs" dxfId="23886" priority="23726" stopIfTrue="1" operator="equal">
      <formula>"Fail"</formula>
    </cfRule>
  </conditionalFormatting>
  <conditionalFormatting sqref="A838:A840">
    <cfRule type="cellIs" dxfId="23885" priority="23723" stopIfTrue="1" operator="equal">
      <formula>"Pass"</formula>
    </cfRule>
    <cfRule type="cellIs" dxfId="23884" priority="23724" stopIfTrue="1" operator="equal">
      <formula>"Fail"</formula>
    </cfRule>
  </conditionalFormatting>
  <conditionalFormatting sqref="A838:A840">
    <cfRule type="cellIs" dxfId="23883" priority="23721" stopIfTrue="1" operator="equal">
      <formula>"Pass"</formula>
    </cfRule>
    <cfRule type="cellIs" dxfId="23882" priority="23722" stopIfTrue="1" operator="equal">
      <formula>"Fail"</formula>
    </cfRule>
  </conditionalFormatting>
  <conditionalFormatting sqref="A838:A840">
    <cfRule type="cellIs" dxfId="23881" priority="23719" stopIfTrue="1" operator="equal">
      <formula>"Pass"</formula>
    </cfRule>
    <cfRule type="cellIs" dxfId="23880" priority="23720" stopIfTrue="1" operator="equal">
      <formula>"Fail"</formula>
    </cfRule>
  </conditionalFormatting>
  <conditionalFormatting sqref="A840">
    <cfRule type="cellIs" dxfId="23879" priority="23717" stopIfTrue="1" operator="equal">
      <formula>"Pass"</formula>
    </cfRule>
    <cfRule type="cellIs" dxfId="23878" priority="23718" stopIfTrue="1" operator="equal">
      <formula>"Fail"</formula>
    </cfRule>
  </conditionalFormatting>
  <conditionalFormatting sqref="A838:A840">
    <cfRule type="cellIs" dxfId="23877" priority="23715" stopIfTrue="1" operator="equal">
      <formula>"Pass"</formula>
    </cfRule>
    <cfRule type="cellIs" dxfId="23876" priority="23716" stopIfTrue="1" operator="equal">
      <formula>"Fail"</formula>
    </cfRule>
  </conditionalFormatting>
  <conditionalFormatting sqref="A838">
    <cfRule type="cellIs" dxfId="23875" priority="23713" stopIfTrue="1" operator="equal">
      <formula>"Pass"</formula>
    </cfRule>
    <cfRule type="cellIs" dxfId="23874" priority="23714" stopIfTrue="1" operator="equal">
      <formula>"Fail"</formula>
    </cfRule>
  </conditionalFormatting>
  <conditionalFormatting sqref="A838">
    <cfRule type="cellIs" dxfId="23873" priority="23711" stopIfTrue="1" operator="equal">
      <formula>"Pass"</formula>
    </cfRule>
    <cfRule type="cellIs" dxfId="23872" priority="23712" stopIfTrue="1" operator="equal">
      <formula>"Fail"</formula>
    </cfRule>
  </conditionalFormatting>
  <conditionalFormatting sqref="A838">
    <cfRule type="cellIs" dxfId="23871" priority="23709" stopIfTrue="1" operator="equal">
      <formula>"Pass"</formula>
    </cfRule>
    <cfRule type="cellIs" dxfId="23870" priority="23710" stopIfTrue="1" operator="equal">
      <formula>"Fail"</formula>
    </cfRule>
  </conditionalFormatting>
  <conditionalFormatting sqref="A838">
    <cfRule type="cellIs" dxfId="23869" priority="23707" stopIfTrue="1" operator="equal">
      <formula>"Pass"</formula>
    </cfRule>
    <cfRule type="cellIs" dxfId="23868" priority="23708" stopIfTrue="1" operator="equal">
      <formula>"Fail"</formula>
    </cfRule>
  </conditionalFormatting>
  <conditionalFormatting sqref="A838">
    <cfRule type="cellIs" dxfId="23867" priority="23705" stopIfTrue="1" operator="equal">
      <formula>"Pass"</formula>
    </cfRule>
    <cfRule type="cellIs" dxfId="23866" priority="23706" stopIfTrue="1" operator="equal">
      <formula>"Fail"</formula>
    </cfRule>
  </conditionalFormatting>
  <conditionalFormatting sqref="A838">
    <cfRule type="cellIs" dxfId="23865" priority="23703" stopIfTrue="1" operator="equal">
      <formula>"Pass"</formula>
    </cfRule>
    <cfRule type="cellIs" dxfId="23864" priority="23704" stopIfTrue="1" operator="equal">
      <formula>"Fail"</formula>
    </cfRule>
  </conditionalFormatting>
  <conditionalFormatting sqref="A838">
    <cfRule type="cellIs" dxfId="23863" priority="23701" stopIfTrue="1" operator="equal">
      <formula>"Pass"</formula>
    </cfRule>
    <cfRule type="cellIs" dxfId="23862" priority="23702" stopIfTrue="1" operator="equal">
      <formula>"Fail"</formula>
    </cfRule>
  </conditionalFormatting>
  <conditionalFormatting sqref="A838">
    <cfRule type="cellIs" dxfId="23861" priority="23699" stopIfTrue="1" operator="equal">
      <formula>"Pass"</formula>
    </cfRule>
    <cfRule type="cellIs" dxfId="23860" priority="23700" stopIfTrue="1" operator="equal">
      <formula>"Fail"</formula>
    </cfRule>
  </conditionalFormatting>
  <conditionalFormatting sqref="A838">
    <cfRule type="cellIs" dxfId="23859" priority="23697" stopIfTrue="1" operator="equal">
      <formula>"Pass"</formula>
    </cfRule>
    <cfRule type="cellIs" dxfId="23858" priority="23698" stopIfTrue="1" operator="equal">
      <formula>"Fail"</formula>
    </cfRule>
  </conditionalFormatting>
  <conditionalFormatting sqref="A838">
    <cfRule type="cellIs" dxfId="23857" priority="23695" stopIfTrue="1" operator="equal">
      <formula>"Pass"</formula>
    </cfRule>
    <cfRule type="cellIs" dxfId="23856" priority="23696" stopIfTrue="1" operator="equal">
      <formula>"Fail"</formula>
    </cfRule>
  </conditionalFormatting>
  <conditionalFormatting sqref="A838">
    <cfRule type="cellIs" dxfId="23855" priority="23693" stopIfTrue="1" operator="equal">
      <formula>"Pass"</formula>
    </cfRule>
    <cfRule type="cellIs" dxfId="23854" priority="23694" stopIfTrue="1" operator="equal">
      <formula>"Fail"</formula>
    </cfRule>
  </conditionalFormatting>
  <conditionalFormatting sqref="A838">
    <cfRule type="cellIs" dxfId="23853" priority="23691" stopIfTrue="1" operator="equal">
      <formula>"Pass"</formula>
    </cfRule>
    <cfRule type="cellIs" dxfId="23852" priority="23692" stopIfTrue="1" operator="equal">
      <formula>"Fail"</formula>
    </cfRule>
  </conditionalFormatting>
  <conditionalFormatting sqref="J838:J839">
    <cfRule type="cellIs" dxfId="23851" priority="23689" stopIfTrue="1" operator="equal">
      <formula>"Pass"</formula>
    </cfRule>
    <cfRule type="cellIs" dxfId="23850" priority="23690" stopIfTrue="1" operator="equal">
      <formula>"Fail"</formula>
    </cfRule>
  </conditionalFormatting>
  <conditionalFormatting sqref="H838:H839 I839">
    <cfRule type="cellIs" dxfId="23849" priority="23687" stopIfTrue="1" operator="equal">
      <formula>"Pass"</formula>
    </cfRule>
    <cfRule type="cellIs" dxfId="23848" priority="23688" stopIfTrue="1" operator="equal">
      <formula>"Fail"</formula>
    </cfRule>
  </conditionalFormatting>
  <conditionalFormatting sqref="A838 C838 F840 F838:G838 K838:N839">
    <cfRule type="cellIs" dxfId="23847" priority="23685" stopIfTrue="1" operator="equal">
      <formula>"Pass"</formula>
    </cfRule>
    <cfRule type="cellIs" dxfId="23846" priority="23686" stopIfTrue="1" operator="equal">
      <formula>"Fail"</formula>
    </cfRule>
  </conditionalFormatting>
  <conditionalFormatting sqref="T838:T840 U839:U840">
    <cfRule type="cellIs" dxfId="23845" priority="23683" stopIfTrue="1" operator="equal">
      <formula>"Fail"</formula>
    </cfRule>
    <cfRule type="cellIs" dxfId="23844" priority="23684" stopIfTrue="1" operator="equal">
      <formula>"Pass"</formula>
    </cfRule>
  </conditionalFormatting>
  <conditionalFormatting sqref="A838">
    <cfRule type="cellIs" dxfId="23843" priority="23681" stopIfTrue="1" operator="equal">
      <formula>"Pass"</formula>
    </cfRule>
    <cfRule type="cellIs" dxfId="23842" priority="23682" stopIfTrue="1" operator="equal">
      <formula>"Fail"</formula>
    </cfRule>
  </conditionalFormatting>
  <conditionalFormatting sqref="A838">
    <cfRule type="cellIs" dxfId="23841" priority="23679" stopIfTrue="1" operator="equal">
      <formula>"Pass"</formula>
    </cfRule>
    <cfRule type="cellIs" dxfId="23840" priority="23680" stopIfTrue="1" operator="equal">
      <formula>"Fail"</formula>
    </cfRule>
  </conditionalFormatting>
  <conditionalFormatting sqref="A838">
    <cfRule type="cellIs" dxfId="23839" priority="23677" stopIfTrue="1" operator="equal">
      <formula>"Pass"</formula>
    </cfRule>
    <cfRule type="cellIs" dxfId="23838" priority="23678" stopIfTrue="1" operator="equal">
      <formula>"Fail"</formula>
    </cfRule>
  </conditionalFormatting>
  <conditionalFormatting sqref="A838">
    <cfRule type="cellIs" dxfId="23837" priority="23675" stopIfTrue="1" operator="equal">
      <formula>"Pass"</formula>
    </cfRule>
    <cfRule type="cellIs" dxfId="23836" priority="23676" stopIfTrue="1" operator="equal">
      <formula>"Fail"</formula>
    </cfRule>
  </conditionalFormatting>
  <conditionalFormatting sqref="A838">
    <cfRule type="cellIs" dxfId="23835" priority="23673" stopIfTrue="1" operator="equal">
      <formula>"Pass"</formula>
    </cfRule>
    <cfRule type="cellIs" dxfId="23834" priority="23674" stopIfTrue="1" operator="equal">
      <formula>"Fail"</formula>
    </cfRule>
  </conditionalFormatting>
  <conditionalFormatting sqref="A838">
    <cfRule type="cellIs" dxfId="23833" priority="23671" stopIfTrue="1" operator="equal">
      <formula>"Pass"</formula>
    </cfRule>
    <cfRule type="cellIs" dxfId="23832" priority="23672" stopIfTrue="1" operator="equal">
      <formula>"Fail"</formula>
    </cfRule>
  </conditionalFormatting>
  <conditionalFormatting sqref="A838">
    <cfRule type="cellIs" dxfId="23831" priority="23669" stopIfTrue="1" operator="equal">
      <formula>"Pass"</formula>
    </cfRule>
    <cfRule type="cellIs" dxfId="23830" priority="23670" stopIfTrue="1" operator="equal">
      <formula>"Fail"</formula>
    </cfRule>
  </conditionalFormatting>
  <conditionalFormatting sqref="A838">
    <cfRule type="cellIs" dxfId="23829" priority="23667" stopIfTrue="1" operator="equal">
      <formula>"Pass"</formula>
    </cfRule>
    <cfRule type="cellIs" dxfId="23828" priority="23668" stopIfTrue="1" operator="equal">
      <formula>"Fail"</formula>
    </cfRule>
  </conditionalFormatting>
  <conditionalFormatting sqref="A838">
    <cfRule type="cellIs" dxfId="23827" priority="23665" stopIfTrue="1" operator="equal">
      <formula>"Pass"</formula>
    </cfRule>
    <cfRule type="cellIs" dxfId="23826" priority="23666" stopIfTrue="1" operator="equal">
      <formula>"Fail"</formula>
    </cfRule>
  </conditionalFormatting>
  <conditionalFormatting sqref="A838">
    <cfRule type="cellIs" dxfId="23825" priority="23663" stopIfTrue="1" operator="equal">
      <formula>"Pass"</formula>
    </cfRule>
    <cfRule type="cellIs" dxfId="23824" priority="23664" stopIfTrue="1" operator="equal">
      <formula>"Fail"</formula>
    </cfRule>
  </conditionalFormatting>
  <conditionalFormatting sqref="A838">
    <cfRule type="cellIs" dxfId="23823" priority="23661" stopIfTrue="1" operator="equal">
      <formula>"Pass"</formula>
    </cfRule>
    <cfRule type="cellIs" dxfId="23822" priority="23662" stopIfTrue="1" operator="equal">
      <formula>"Fail"</formula>
    </cfRule>
  </conditionalFormatting>
  <conditionalFormatting sqref="A838">
    <cfRule type="cellIs" dxfId="23821" priority="23659" stopIfTrue="1" operator="equal">
      <formula>"Pass"</formula>
    </cfRule>
    <cfRule type="cellIs" dxfId="23820" priority="23660" stopIfTrue="1" operator="equal">
      <formula>"Fail"</formula>
    </cfRule>
  </conditionalFormatting>
  <conditionalFormatting sqref="A838">
    <cfRule type="cellIs" dxfId="23819" priority="23657" stopIfTrue="1" operator="equal">
      <formula>"Pass"</formula>
    </cfRule>
    <cfRule type="cellIs" dxfId="23818" priority="23658" stopIfTrue="1" operator="equal">
      <formula>"Fail"</formula>
    </cfRule>
  </conditionalFormatting>
  <conditionalFormatting sqref="A838">
    <cfRule type="cellIs" dxfId="23817" priority="23655" stopIfTrue="1" operator="equal">
      <formula>"Pass"</formula>
    </cfRule>
    <cfRule type="cellIs" dxfId="23816" priority="23656" stopIfTrue="1" operator="equal">
      <formula>"Fail"</formula>
    </cfRule>
  </conditionalFormatting>
  <conditionalFormatting sqref="A838">
    <cfRule type="cellIs" dxfId="23815" priority="23653" stopIfTrue="1" operator="equal">
      <formula>"Pass"</formula>
    </cfRule>
    <cfRule type="cellIs" dxfId="23814" priority="23654" stopIfTrue="1" operator="equal">
      <formula>"Fail"</formula>
    </cfRule>
  </conditionalFormatting>
  <conditionalFormatting sqref="A838">
    <cfRule type="cellIs" dxfId="23813" priority="23651" stopIfTrue="1" operator="equal">
      <formula>"Pass"</formula>
    </cfRule>
    <cfRule type="cellIs" dxfId="23812" priority="23652" stopIfTrue="1" operator="equal">
      <formula>"Fail"</formula>
    </cfRule>
  </conditionalFormatting>
  <conditionalFormatting sqref="U838">
    <cfRule type="cellIs" dxfId="23811" priority="23649" stopIfTrue="1" operator="equal">
      <formula>"Fail"</formula>
    </cfRule>
    <cfRule type="cellIs" dxfId="23810" priority="23650" stopIfTrue="1" operator="equal">
      <formula>"Pass"</formula>
    </cfRule>
  </conditionalFormatting>
  <conditionalFormatting sqref="U838">
    <cfRule type="cellIs" dxfId="23809" priority="23647" stopIfTrue="1" operator="equal">
      <formula>"Fail"</formula>
    </cfRule>
    <cfRule type="cellIs" dxfId="23808" priority="23648" stopIfTrue="1" operator="equal">
      <formula>"Pass"</formula>
    </cfRule>
  </conditionalFormatting>
  <conditionalFormatting sqref="J838:J839">
    <cfRule type="cellIs" dxfId="23807" priority="23645" stopIfTrue="1" operator="equal">
      <formula>"Pass"</formula>
    </cfRule>
    <cfRule type="cellIs" dxfId="23806" priority="23646" stopIfTrue="1" operator="equal">
      <formula>"Fail"</formula>
    </cfRule>
  </conditionalFormatting>
  <conditionalFormatting sqref="H838:H839 I839">
    <cfRule type="cellIs" dxfId="23805" priority="23643" stopIfTrue="1" operator="equal">
      <formula>"Pass"</formula>
    </cfRule>
    <cfRule type="cellIs" dxfId="23804" priority="23644" stopIfTrue="1" operator="equal">
      <formula>"Fail"</formula>
    </cfRule>
  </conditionalFormatting>
  <conditionalFormatting sqref="F840 F838:G838 K838:N839">
    <cfRule type="cellIs" dxfId="23803" priority="23641" stopIfTrue="1" operator="equal">
      <formula>"Pass"</formula>
    </cfRule>
    <cfRule type="cellIs" dxfId="23802" priority="23642" stopIfTrue="1" operator="equal">
      <formula>"Fail"</formula>
    </cfRule>
  </conditionalFormatting>
  <conditionalFormatting sqref="T838:T840 U839:U840">
    <cfRule type="cellIs" dxfId="23801" priority="23639" stopIfTrue="1" operator="equal">
      <formula>"Fail"</formula>
    </cfRule>
    <cfRule type="cellIs" dxfId="23800" priority="23640" stopIfTrue="1" operator="equal">
      <formula>"Pass"</formula>
    </cfRule>
  </conditionalFormatting>
  <conditionalFormatting sqref="U838">
    <cfRule type="cellIs" dxfId="23799" priority="23637" stopIfTrue="1" operator="equal">
      <formula>"Fail"</formula>
    </cfRule>
    <cfRule type="cellIs" dxfId="23798" priority="23638" stopIfTrue="1" operator="equal">
      <formula>"Pass"</formula>
    </cfRule>
  </conditionalFormatting>
  <conditionalFormatting sqref="U838">
    <cfRule type="cellIs" dxfId="23797" priority="23635" stopIfTrue="1" operator="equal">
      <formula>"Fail"</formula>
    </cfRule>
    <cfRule type="cellIs" dxfId="23796" priority="23636" stopIfTrue="1" operator="equal">
      <formula>"Pass"</formula>
    </cfRule>
  </conditionalFormatting>
  <conditionalFormatting sqref="F838:G838 K838:N838">
    <cfRule type="cellIs" dxfId="23795" priority="23633" stopIfTrue="1" operator="equal">
      <formula>"Pass"</formula>
    </cfRule>
    <cfRule type="cellIs" dxfId="23794" priority="23634" stopIfTrue="1" operator="equal">
      <formula>"Fail"</formula>
    </cfRule>
  </conditionalFormatting>
  <conditionalFormatting sqref="K839:N839">
    <cfRule type="cellIs" dxfId="23793" priority="23631" stopIfTrue="1" operator="equal">
      <formula>"Pass"</formula>
    </cfRule>
    <cfRule type="cellIs" dxfId="23792" priority="23632" stopIfTrue="1" operator="equal">
      <formula>"Fail"</formula>
    </cfRule>
  </conditionalFormatting>
  <conditionalFormatting sqref="U838">
    <cfRule type="cellIs" dxfId="23791" priority="23629" stopIfTrue="1" operator="equal">
      <formula>"Fail"</formula>
    </cfRule>
    <cfRule type="cellIs" dxfId="23790" priority="23630" stopIfTrue="1" operator="equal">
      <formula>"Pass"</formula>
    </cfRule>
  </conditionalFormatting>
  <conditionalFormatting sqref="A838:A840">
    <cfRule type="cellIs" dxfId="23789" priority="23627" stopIfTrue="1" operator="equal">
      <formula>"Pass"</formula>
    </cfRule>
    <cfRule type="cellIs" dxfId="23788" priority="23628" stopIfTrue="1" operator="equal">
      <formula>"Fail"</formula>
    </cfRule>
  </conditionalFormatting>
  <conditionalFormatting sqref="A838:A840">
    <cfRule type="cellIs" dxfId="23787" priority="23625" stopIfTrue="1" operator="equal">
      <formula>"Pass"</formula>
    </cfRule>
    <cfRule type="cellIs" dxfId="23786" priority="23626" stopIfTrue="1" operator="equal">
      <formula>"Fail"</formula>
    </cfRule>
  </conditionalFormatting>
  <conditionalFormatting sqref="A838:A840">
    <cfRule type="cellIs" dxfId="23785" priority="23623" stopIfTrue="1" operator="equal">
      <formula>"Pass"</formula>
    </cfRule>
    <cfRule type="cellIs" dxfId="23784" priority="23624" stopIfTrue="1" operator="equal">
      <formula>"Fail"</formula>
    </cfRule>
  </conditionalFormatting>
  <conditionalFormatting sqref="A838:A840">
    <cfRule type="cellIs" dxfId="23783" priority="23621" stopIfTrue="1" operator="equal">
      <formula>"Pass"</formula>
    </cfRule>
    <cfRule type="cellIs" dxfId="23782" priority="23622" stopIfTrue="1" operator="equal">
      <formula>"Fail"</formula>
    </cfRule>
  </conditionalFormatting>
  <conditionalFormatting sqref="A838:A840">
    <cfRule type="cellIs" dxfId="23781" priority="23619" stopIfTrue="1" operator="equal">
      <formula>"Pass"</formula>
    </cfRule>
    <cfRule type="cellIs" dxfId="23780" priority="23620" stopIfTrue="1" operator="equal">
      <formula>"Fail"</formula>
    </cfRule>
  </conditionalFormatting>
  <conditionalFormatting sqref="A840">
    <cfRule type="cellIs" dxfId="23779" priority="23617" stopIfTrue="1" operator="equal">
      <formula>"Pass"</formula>
    </cfRule>
    <cfRule type="cellIs" dxfId="23778" priority="23618" stopIfTrue="1" operator="equal">
      <formula>"Fail"</formula>
    </cfRule>
  </conditionalFormatting>
  <conditionalFormatting sqref="A838:A840">
    <cfRule type="cellIs" dxfId="23777" priority="23615" stopIfTrue="1" operator="equal">
      <formula>"Pass"</formula>
    </cfRule>
    <cfRule type="cellIs" dxfId="23776" priority="23616" stopIfTrue="1" operator="equal">
      <formula>"Fail"</formula>
    </cfRule>
  </conditionalFormatting>
  <conditionalFormatting sqref="A838:A840">
    <cfRule type="cellIs" dxfId="23775" priority="23613" stopIfTrue="1" operator="equal">
      <formula>"Pass"</formula>
    </cfRule>
    <cfRule type="cellIs" dxfId="23774" priority="23614" stopIfTrue="1" operator="equal">
      <formula>"Fail"</formula>
    </cfRule>
  </conditionalFormatting>
  <conditionalFormatting sqref="A838:A840">
    <cfRule type="cellIs" dxfId="23773" priority="23611" stopIfTrue="1" operator="equal">
      <formula>"Pass"</formula>
    </cfRule>
    <cfRule type="cellIs" dxfId="23772" priority="23612" stopIfTrue="1" operator="equal">
      <formula>"Fail"</formula>
    </cfRule>
  </conditionalFormatting>
  <conditionalFormatting sqref="A838:A840">
    <cfRule type="cellIs" dxfId="23771" priority="23609" stopIfTrue="1" operator="equal">
      <formula>"Pass"</formula>
    </cfRule>
    <cfRule type="cellIs" dxfId="23770" priority="23610" stopIfTrue="1" operator="equal">
      <formula>"Fail"</formula>
    </cfRule>
  </conditionalFormatting>
  <conditionalFormatting sqref="A838:A840">
    <cfRule type="cellIs" dxfId="23769" priority="23607" stopIfTrue="1" operator="equal">
      <formula>"Pass"</formula>
    </cfRule>
    <cfRule type="cellIs" dxfId="23768" priority="23608" stopIfTrue="1" operator="equal">
      <formula>"Fail"</formula>
    </cfRule>
  </conditionalFormatting>
  <conditionalFormatting sqref="A838:A840">
    <cfRule type="cellIs" dxfId="23767" priority="23605" stopIfTrue="1" operator="equal">
      <formula>"Pass"</formula>
    </cfRule>
    <cfRule type="cellIs" dxfId="23766" priority="23606" stopIfTrue="1" operator="equal">
      <formula>"Fail"</formula>
    </cfRule>
  </conditionalFormatting>
  <conditionalFormatting sqref="A840">
    <cfRule type="cellIs" dxfId="23765" priority="23603" stopIfTrue="1" operator="equal">
      <formula>"Pass"</formula>
    </cfRule>
    <cfRule type="cellIs" dxfId="23764" priority="23604" stopIfTrue="1" operator="equal">
      <formula>"Fail"</formula>
    </cfRule>
  </conditionalFormatting>
  <conditionalFormatting sqref="A838:A840">
    <cfRule type="cellIs" dxfId="23763" priority="23601" stopIfTrue="1" operator="equal">
      <formula>"Pass"</formula>
    </cfRule>
    <cfRule type="cellIs" dxfId="23762" priority="23602" stopIfTrue="1" operator="equal">
      <formula>"Fail"</formula>
    </cfRule>
  </conditionalFormatting>
  <conditionalFormatting sqref="J838:J839">
    <cfRule type="cellIs" dxfId="23761" priority="23599" stopIfTrue="1" operator="equal">
      <formula>"Pass"</formula>
    </cfRule>
    <cfRule type="cellIs" dxfId="23760" priority="23600" stopIfTrue="1" operator="equal">
      <formula>"Fail"</formula>
    </cfRule>
  </conditionalFormatting>
  <conditionalFormatting sqref="H838:H839 I839">
    <cfRule type="cellIs" dxfId="23759" priority="23597" stopIfTrue="1" operator="equal">
      <formula>"Pass"</formula>
    </cfRule>
    <cfRule type="cellIs" dxfId="23758" priority="23598" stopIfTrue="1" operator="equal">
      <formula>"Fail"</formula>
    </cfRule>
  </conditionalFormatting>
  <conditionalFormatting sqref="F840 F838:G838 K838:N839">
    <cfRule type="cellIs" dxfId="23757" priority="23595" stopIfTrue="1" operator="equal">
      <formula>"Pass"</formula>
    </cfRule>
    <cfRule type="cellIs" dxfId="23756" priority="23596" stopIfTrue="1" operator="equal">
      <formula>"Fail"</formula>
    </cfRule>
  </conditionalFormatting>
  <conditionalFormatting sqref="T838:T840 U839:U840">
    <cfRule type="cellIs" dxfId="23755" priority="23593" stopIfTrue="1" operator="equal">
      <formula>"Fail"</formula>
    </cfRule>
    <cfRule type="cellIs" dxfId="23754" priority="23594" stopIfTrue="1" operator="equal">
      <formula>"Pass"</formula>
    </cfRule>
  </conditionalFormatting>
  <conditionalFormatting sqref="U838">
    <cfRule type="cellIs" dxfId="23753" priority="23591" stopIfTrue="1" operator="equal">
      <formula>"Fail"</formula>
    </cfRule>
    <cfRule type="cellIs" dxfId="23752" priority="23592" stopIfTrue="1" operator="equal">
      <formula>"Pass"</formula>
    </cfRule>
  </conditionalFormatting>
  <conditionalFormatting sqref="U838">
    <cfRule type="cellIs" dxfId="23751" priority="23589" stopIfTrue="1" operator="equal">
      <formula>"Fail"</formula>
    </cfRule>
    <cfRule type="cellIs" dxfId="23750" priority="23590" stopIfTrue="1" operator="equal">
      <formula>"Pass"</formula>
    </cfRule>
  </conditionalFormatting>
  <conditionalFormatting sqref="J838:J839">
    <cfRule type="cellIs" dxfId="23749" priority="23587" stopIfTrue="1" operator="equal">
      <formula>"Pass"</formula>
    </cfRule>
    <cfRule type="cellIs" dxfId="23748" priority="23588" stopIfTrue="1" operator="equal">
      <formula>"Fail"</formula>
    </cfRule>
  </conditionalFormatting>
  <conditionalFormatting sqref="H838:H839 I839">
    <cfRule type="cellIs" dxfId="23747" priority="23585" stopIfTrue="1" operator="equal">
      <formula>"Pass"</formula>
    </cfRule>
    <cfRule type="cellIs" dxfId="23746" priority="23586" stopIfTrue="1" operator="equal">
      <formula>"Fail"</formula>
    </cfRule>
  </conditionalFormatting>
  <conditionalFormatting sqref="F840 F838:G838 K838:N839">
    <cfRule type="cellIs" dxfId="23745" priority="23583" stopIfTrue="1" operator="equal">
      <formula>"Pass"</formula>
    </cfRule>
    <cfRule type="cellIs" dxfId="23744" priority="23584" stopIfTrue="1" operator="equal">
      <formula>"Fail"</formula>
    </cfRule>
  </conditionalFormatting>
  <conditionalFormatting sqref="T838:T840 U839:U840">
    <cfRule type="cellIs" dxfId="23743" priority="23581" stopIfTrue="1" operator="equal">
      <formula>"Fail"</formula>
    </cfRule>
    <cfRule type="cellIs" dxfId="23742" priority="23582" stopIfTrue="1" operator="equal">
      <formula>"Pass"</formula>
    </cfRule>
  </conditionalFormatting>
  <conditionalFormatting sqref="U838">
    <cfRule type="cellIs" dxfId="23741" priority="23579" stopIfTrue="1" operator="equal">
      <formula>"Fail"</formula>
    </cfRule>
    <cfRule type="cellIs" dxfId="23740" priority="23580" stopIfTrue="1" operator="equal">
      <formula>"Pass"</formula>
    </cfRule>
  </conditionalFormatting>
  <conditionalFormatting sqref="U838">
    <cfRule type="cellIs" dxfId="23739" priority="23577" stopIfTrue="1" operator="equal">
      <formula>"Fail"</formula>
    </cfRule>
    <cfRule type="cellIs" dxfId="23738" priority="23578" stopIfTrue="1" operator="equal">
      <formula>"Pass"</formula>
    </cfRule>
  </conditionalFormatting>
  <conditionalFormatting sqref="F838:G838 K838:N838">
    <cfRule type="cellIs" dxfId="23737" priority="23575" stopIfTrue="1" operator="equal">
      <formula>"Pass"</formula>
    </cfRule>
    <cfRule type="cellIs" dxfId="23736" priority="23576" stopIfTrue="1" operator="equal">
      <formula>"Fail"</formula>
    </cfRule>
  </conditionalFormatting>
  <conditionalFormatting sqref="K839:N839">
    <cfRule type="cellIs" dxfId="23735" priority="23573" stopIfTrue="1" operator="equal">
      <formula>"Pass"</formula>
    </cfRule>
    <cfRule type="cellIs" dxfId="23734" priority="23574" stopIfTrue="1" operator="equal">
      <formula>"Fail"</formula>
    </cfRule>
  </conditionalFormatting>
  <conditionalFormatting sqref="U838">
    <cfRule type="cellIs" dxfId="23733" priority="23571" stopIfTrue="1" operator="equal">
      <formula>"Fail"</formula>
    </cfRule>
    <cfRule type="cellIs" dxfId="23732" priority="23572" stopIfTrue="1" operator="equal">
      <formula>"Pass"</formula>
    </cfRule>
  </conditionalFormatting>
  <conditionalFormatting sqref="J838:J839">
    <cfRule type="cellIs" dxfId="23731" priority="23569" stopIfTrue="1" operator="equal">
      <formula>"Pass"</formula>
    </cfRule>
    <cfRule type="cellIs" dxfId="23730" priority="23570" stopIfTrue="1" operator="equal">
      <formula>"Fail"</formula>
    </cfRule>
  </conditionalFormatting>
  <conditionalFormatting sqref="H838:H839 I839">
    <cfRule type="cellIs" dxfId="23729" priority="23567" stopIfTrue="1" operator="equal">
      <formula>"Pass"</formula>
    </cfRule>
    <cfRule type="cellIs" dxfId="23728" priority="23568" stopIfTrue="1" operator="equal">
      <formula>"Fail"</formula>
    </cfRule>
  </conditionalFormatting>
  <conditionalFormatting sqref="F838:G838 K838:N839">
    <cfRule type="cellIs" dxfId="23727" priority="23565" stopIfTrue="1" operator="equal">
      <formula>"Pass"</formula>
    </cfRule>
    <cfRule type="cellIs" dxfId="23726" priority="23566" stopIfTrue="1" operator="equal">
      <formula>"Fail"</formula>
    </cfRule>
  </conditionalFormatting>
  <conditionalFormatting sqref="T838:T839 U839">
    <cfRule type="cellIs" dxfId="23725" priority="23563" stopIfTrue="1" operator="equal">
      <formula>"Fail"</formula>
    </cfRule>
    <cfRule type="cellIs" dxfId="23724" priority="23564" stopIfTrue="1" operator="equal">
      <formula>"Pass"</formula>
    </cfRule>
  </conditionalFormatting>
  <conditionalFormatting sqref="U838">
    <cfRule type="cellIs" dxfId="23723" priority="23561" stopIfTrue="1" operator="equal">
      <formula>"Fail"</formula>
    </cfRule>
    <cfRule type="cellIs" dxfId="23722" priority="23562" stopIfTrue="1" operator="equal">
      <formula>"Pass"</formula>
    </cfRule>
  </conditionalFormatting>
  <conditionalFormatting sqref="U838">
    <cfRule type="cellIs" dxfId="23721" priority="23559" stopIfTrue="1" operator="equal">
      <formula>"Fail"</formula>
    </cfRule>
    <cfRule type="cellIs" dxfId="23720" priority="23560" stopIfTrue="1" operator="equal">
      <formula>"Pass"</formula>
    </cfRule>
  </conditionalFormatting>
  <conditionalFormatting sqref="J838:J839">
    <cfRule type="cellIs" dxfId="23719" priority="23557" stopIfTrue="1" operator="equal">
      <formula>"Pass"</formula>
    </cfRule>
    <cfRule type="cellIs" dxfId="23718" priority="23558" stopIfTrue="1" operator="equal">
      <formula>"Fail"</formula>
    </cfRule>
  </conditionalFormatting>
  <conditionalFormatting sqref="H838:H839 I839">
    <cfRule type="cellIs" dxfId="23717" priority="23555" stopIfTrue="1" operator="equal">
      <formula>"Pass"</formula>
    </cfRule>
    <cfRule type="cellIs" dxfId="23716" priority="23556" stopIfTrue="1" operator="equal">
      <formula>"Fail"</formula>
    </cfRule>
  </conditionalFormatting>
  <conditionalFormatting sqref="F838:G838 K838:N839">
    <cfRule type="cellIs" dxfId="23715" priority="23553" stopIfTrue="1" operator="equal">
      <formula>"Pass"</formula>
    </cfRule>
    <cfRule type="cellIs" dxfId="23714" priority="23554" stopIfTrue="1" operator="equal">
      <formula>"Fail"</formula>
    </cfRule>
  </conditionalFormatting>
  <conditionalFormatting sqref="T838:T839 U839">
    <cfRule type="cellIs" dxfId="23713" priority="23551" stopIfTrue="1" operator="equal">
      <formula>"Fail"</formula>
    </cfRule>
    <cfRule type="cellIs" dxfId="23712" priority="23552" stopIfTrue="1" operator="equal">
      <formula>"Pass"</formula>
    </cfRule>
  </conditionalFormatting>
  <conditionalFormatting sqref="U838">
    <cfRule type="cellIs" dxfId="23711" priority="23549" stopIfTrue="1" operator="equal">
      <formula>"Fail"</formula>
    </cfRule>
    <cfRule type="cellIs" dxfId="23710" priority="23550" stopIfTrue="1" operator="equal">
      <formula>"Pass"</formula>
    </cfRule>
  </conditionalFormatting>
  <conditionalFormatting sqref="U838">
    <cfRule type="cellIs" dxfId="23709" priority="23547" stopIfTrue="1" operator="equal">
      <formula>"Fail"</formula>
    </cfRule>
    <cfRule type="cellIs" dxfId="23708" priority="23548" stopIfTrue="1" operator="equal">
      <formula>"Pass"</formula>
    </cfRule>
  </conditionalFormatting>
  <conditionalFormatting sqref="F838:G838 K838:N838">
    <cfRule type="cellIs" dxfId="23707" priority="23545" stopIfTrue="1" operator="equal">
      <formula>"Pass"</formula>
    </cfRule>
    <cfRule type="cellIs" dxfId="23706" priority="23546" stopIfTrue="1" operator="equal">
      <formula>"Fail"</formula>
    </cfRule>
  </conditionalFormatting>
  <conditionalFormatting sqref="K839:N839">
    <cfRule type="cellIs" dxfId="23705" priority="23543" stopIfTrue="1" operator="equal">
      <formula>"Pass"</formula>
    </cfRule>
    <cfRule type="cellIs" dxfId="23704" priority="23544" stopIfTrue="1" operator="equal">
      <formula>"Fail"</formula>
    </cfRule>
  </conditionalFormatting>
  <conditionalFormatting sqref="U838">
    <cfRule type="cellIs" dxfId="23703" priority="23541" stopIfTrue="1" operator="equal">
      <formula>"Fail"</formula>
    </cfRule>
    <cfRule type="cellIs" dxfId="23702" priority="23542" stopIfTrue="1" operator="equal">
      <formula>"Pass"</formula>
    </cfRule>
  </conditionalFormatting>
  <conditionalFormatting sqref="U838">
    <cfRule type="cellIs" dxfId="23701" priority="23539" stopIfTrue="1" operator="equal">
      <formula>"Fail"</formula>
    </cfRule>
    <cfRule type="cellIs" dxfId="23700" priority="23540" stopIfTrue="1" operator="equal">
      <formula>"Pass"</formula>
    </cfRule>
  </conditionalFormatting>
  <conditionalFormatting sqref="U838">
    <cfRule type="cellIs" dxfId="23699" priority="23537" stopIfTrue="1" operator="equal">
      <formula>"Fail"</formula>
    </cfRule>
    <cfRule type="cellIs" dxfId="23698" priority="23538" stopIfTrue="1" operator="equal">
      <formula>"Pass"</formula>
    </cfRule>
  </conditionalFormatting>
  <conditionalFormatting sqref="U838">
    <cfRule type="cellIs" dxfId="23697" priority="23535" stopIfTrue="1" operator="equal">
      <formula>"Fail"</formula>
    </cfRule>
    <cfRule type="cellIs" dxfId="23696" priority="23536" stopIfTrue="1" operator="equal">
      <formula>"Pass"</formula>
    </cfRule>
  </conditionalFormatting>
  <conditionalFormatting sqref="A841:A843">
    <cfRule type="cellIs" dxfId="23695" priority="23533" stopIfTrue="1" operator="equal">
      <formula>"Pass"</formula>
    </cfRule>
    <cfRule type="cellIs" dxfId="23694" priority="23534" stopIfTrue="1" operator="equal">
      <formula>"Fail"</formula>
    </cfRule>
  </conditionalFormatting>
  <conditionalFormatting sqref="A841:A843">
    <cfRule type="cellIs" dxfId="23693" priority="23531" stopIfTrue="1" operator="equal">
      <formula>"Pass"</formula>
    </cfRule>
    <cfRule type="cellIs" dxfId="23692" priority="23532" stopIfTrue="1" operator="equal">
      <formula>"Fail"</formula>
    </cfRule>
  </conditionalFormatting>
  <conditionalFormatting sqref="A841:A843">
    <cfRule type="cellIs" dxfId="23691" priority="23529" stopIfTrue="1" operator="equal">
      <formula>"Pass"</formula>
    </cfRule>
    <cfRule type="cellIs" dxfId="23690" priority="23530" stopIfTrue="1" operator="equal">
      <formula>"Fail"</formula>
    </cfRule>
  </conditionalFormatting>
  <conditionalFormatting sqref="A841:A843">
    <cfRule type="cellIs" dxfId="23689" priority="23527" stopIfTrue="1" operator="equal">
      <formula>"Pass"</formula>
    </cfRule>
    <cfRule type="cellIs" dxfId="23688" priority="23528" stopIfTrue="1" operator="equal">
      <formula>"Fail"</formula>
    </cfRule>
  </conditionalFormatting>
  <conditionalFormatting sqref="A841:A843">
    <cfRule type="cellIs" dxfId="23687" priority="23525" stopIfTrue="1" operator="equal">
      <formula>"Pass"</formula>
    </cfRule>
    <cfRule type="cellIs" dxfId="23686" priority="23526" stopIfTrue="1" operator="equal">
      <formula>"Fail"</formula>
    </cfRule>
  </conditionalFormatting>
  <conditionalFormatting sqref="A843">
    <cfRule type="cellIs" dxfId="23685" priority="23523" stopIfTrue="1" operator="equal">
      <formula>"Pass"</formula>
    </cfRule>
    <cfRule type="cellIs" dxfId="23684" priority="23524" stopIfTrue="1" operator="equal">
      <formula>"Fail"</formula>
    </cfRule>
  </conditionalFormatting>
  <conditionalFormatting sqref="A841:A843">
    <cfRule type="cellIs" dxfId="23683" priority="23521" stopIfTrue="1" operator="equal">
      <formula>"Pass"</formula>
    </cfRule>
    <cfRule type="cellIs" dxfId="23682" priority="23522" stopIfTrue="1" operator="equal">
      <formula>"Fail"</formula>
    </cfRule>
  </conditionalFormatting>
  <conditionalFormatting sqref="H841:H842">
    <cfRule type="cellIs" dxfId="23681" priority="23519" stopIfTrue="1" operator="equal">
      <formula>"Pass"</formula>
    </cfRule>
    <cfRule type="cellIs" dxfId="23680" priority="23520" stopIfTrue="1" operator="equal">
      <formula>"Fail"</formula>
    </cfRule>
  </conditionalFormatting>
  <conditionalFormatting sqref="E841:F841 I841:M842 E843:F843 A841">
    <cfRule type="cellIs" dxfId="23679" priority="23517" stopIfTrue="1" operator="equal">
      <formula>"Pass"</formula>
    </cfRule>
    <cfRule type="cellIs" dxfId="23678" priority="23518" stopIfTrue="1" operator="equal">
      <formula>"Fail"</formula>
    </cfRule>
  </conditionalFormatting>
  <conditionalFormatting sqref="T843 T841 R841:R843 S842:S843">
    <cfRule type="cellIs" dxfId="23677" priority="23515" stopIfTrue="1" operator="equal">
      <formula>"Fail"</formula>
    </cfRule>
    <cfRule type="cellIs" dxfId="23676" priority="23516" stopIfTrue="1" operator="equal">
      <formula>"Pass"</formula>
    </cfRule>
  </conditionalFormatting>
  <conditionalFormatting sqref="F841:G841 F843:G843 B841:B843 A841 J841:N842">
    <cfRule type="cellIs" dxfId="23675" priority="23513" stopIfTrue="1" operator="equal">
      <formula>"Pass"</formula>
    </cfRule>
    <cfRule type="cellIs" dxfId="23674" priority="23514" stopIfTrue="1" operator="equal">
      <formula>"Fail"</formula>
    </cfRule>
  </conditionalFormatting>
  <conditionalFormatting sqref="U843 T841:T843 S842:S843">
    <cfRule type="cellIs" dxfId="23673" priority="23511" stopIfTrue="1" operator="equal">
      <formula>"Fail"</formula>
    </cfRule>
    <cfRule type="cellIs" dxfId="23672" priority="23512" stopIfTrue="1" operator="equal">
      <formula>"Pass"</formula>
    </cfRule>
  </conditionalFormatting>
  <conditionalFormatting sqref="A841">
    <cfRule type="cellIs" dxfId="23671" priority="23509" stopIfTrue="1" operator="equal">
      <formula>"Pass"</formula>
    </cfRule>
    <cfRule type="cellIs" dxfId="23670" priority="23510" stopIfTrue="1" operator="equal">
      <formula>"Fail"</formula>
    </cfRule>
  </conditionalFormatting>
  <conditionalFormatting sqref="A841">
    <cfRule type="cellIs" dxfId="23669" priority="23507" stopIfTrue="1" operator="equal">
      <formula>"Pass"</formula>
    </cfRule>
    <cfRule type="cellIs" dxfId="23668" priority="23508" stopIfTrue="1" operator="equal">
      <formula>"Fail"</formula>
    </cfRule>
  </conditionalFormatting>
  <conditionalFormatting sqref="A841">
    <cfRule type="cellIs" dxfId="23667" priority="23505" stopIfTrue="1" operator="equal">
      <formula>"Pass"</formula>
    </cfRule>
    <cfRule type="cellIs" dxfId="23666" priority="23506" stopIfTrue="1" operator="equal">
      <formula>"Fail"</formula>
    </cfRule>
  </conditionalFormatting>
  <conditionalFormatting sqref="A841">
    <cfRule type="cellIs" dxfId="23665" priority="23503" stopIfTrue="1" operator="equal">
      <formula>"Pass"</formula>
    </cfRule>
    <cfRule type="cellIs" dxfId="23664" priority="23504" stopIfTrue="1" operator="equal">
      <formula>"Fail"</formula>
    </cfRule>
  </conditionalFormatting>
  <conditionalFormatting sqref="A841">
    <cfRule type="cellIs" dxfId="23663" priority="23501" stopIfTrue="1" operator="equal">
      <formula>"Pass"</formula>
    </cfRule>
    <cfRule type="cellIs" dxfId="23662" priority="23502" stopIfTrue="1" operator="equal">
      <formula>"Fail"</formula>
    </cfRule>
  </conditionalFormatting>
  <conditionalFormatting sqref="A841">
    <cfRule type="cellIs" dxfId="23661" priority="23499" stopIfTrue="1" operator="equal">
      <formula>"Pass"</formula>
    </cfRule>
    <cfRule type="cellIs" dxfId="23660" priority="23500" stopIfTrue="1" operator="equal">
      <formula>"Fail"</formula>
    </cfRule>
  </conditionalFormatting>
  <conditionalFormatting sqref="A841">
    <cfRule type="cellIs" dxfId="23659" priority="23497" stopIfTrue="1" operator="equal">
      <formula>"Pass"</formula>
    </cfRule>
    <cfRule type="cellIs" dxfId="23658" priority="23498" stopIfTrue="1" operator="equal">
      <formula>"Fail"</formula>
    </cfRule>
  </conditionalFormatting>
  <conditionalFormatting sqref="A841">
    <cfRule type="cellIs" dxfId="23657" priority="23495" stopIfTrue="1" operator="equal">
      <formula>"Pass"</formula>
    </cfRule>
    <cfRule type="cellIs" dxfId="23656" priority="23496" stopIfTrue="1" operator="equal">
      <formula>"Fail"</formula>
    </cfRule>
  </conditionalFormatting>
  <conditionalFormatting sqref="A841">
    <cfRule type="cellIs" dxfId="23655" priority="23493" stopIfTrue="1" operator="equal">
      <formula>"Pass"</formula>
    </cfRule>
    <cfRule type="cellIs" dxfId="23654" priority="23494" stopIfTrue="1" operator="equal">
      <formula>"Fail"</formula>
    </cfRule>
  </conditionalFormatting>
  <conditionalFormatting sqref="A841">
    <cfRule type="cellIs" dxfId="23653" priority="23491" stopIfTrue="1" operator="equal">
      <formula>"Pass"</formula>
    </cfRule>
    <cfRule type="cellIs" dxfId="23652" priority="23492" stopIfTrue="1" operator="equal">
      <formula>"Fail"</formula>
    </cfRule>
  </conditionalFormatting>
  <conditionalFormatting sqref="U841">
    <cfRule type="cellIs" dxfId="23651" priority="23489" stopIfTrue="1" operator="equal">
      <formula>"Fail"</formula>
    </cfRule>
    <cfRule type="cellIs" dxfId="23650" priority="23490" stopIfTrue="1" operator="equal">
      <formula>"Pass"</formula>
    </cfRule>
  </conditionalFormatting>
  <conditionalFormatting sqref="F841:G841 J841:N841">
    <cfRule type="cellIs" dxfId="23649" priority="23487" stopIfTrue="1" operator="equal">
      <formula>"Pass"</formula>
    </cfRule>
    <cfRule type="cellIs" dxfId="23648" priority="23488" stopIfTrue="1" operator="equal">
      <formula>"Fail"</formula>
    </cfRule>
  </conditionalFormatting>
  <conditionalFormatting sqref="J842:N842">
    <cfRule type="cellIs" dxfId="23647" priority="23485" stopIfTrue="1" operator="equal">
      <formula>"Pass"</formula>
    </cfRule>
    <cfRule type="cellIs" dxfId="23646" priority="23486" stopIfTrue="1" operator="equal">
      <formula>"Fail"</formula>
    </cfRule>
  </conditionalFormatting>
  <conditionalFormatting sqref="A841:A843">
    <cfRule type="cellIs" dxfId="23645" priority="23483" stopIfTrue="1" operator="equal">
      <formula>"Pass"</formula>
    </cfRule>
    <cfRule type="cellIs" dxfId="23644" priority="23484" stopIfTrue="1" operator="equal">
      <formula>"Fail"</formula>
    </cfRule>
  </conditionalFormatting>
  <conditionalFormatting sqref="A841:A843">
    <cfRule type="cellIs" dxfId="23643" priority="23481" stopIfTrue="1" operator="equal">
      <formula>"Pass"</formula>
    </cfRule>
    <cfRule type="cellIs" dxfId="23642" priority="23482" stopIfTrue="1" operator="equal">
      <formula>"Fail"</formula>
    </cfRule>
  </conditionalFormatting>
  <conditionalFormatting sqref="A841:A843">
    <cfRule type="cellIs" dxfId="23641" priority="23479" stopIfTrue="1" operator="equal">
      <formula>"Pass"</formula>
    </cfRule>
    <cfRule type="cellIs" dxfId="23640" priority="23480" stopIfTrue="1" operator="equal">
      <formula>"Fail"</formula>
    </cfRule>
  </conditionalFormatting>
  <conditionalFormatting sqref="A841:A843">
    <cfRule type="cellIs" dxfId="23639" priority="23477" stopIfTrue="1" operator="equal">
      <formula>"Pass"</formula>
    </cfRule>
    <cfRule type="cellIs" dxfId="23638" priority="23478" stopIfTrue="1" operator="equal">
      <formula>"Fail"</formula>
    </cfRule>
  </conditionalFormatting>
  <conditionalFormatting sqref="A841:A843">
    <cfRule type="cellIs" dxfId="23637" priority="23475" stopIfTrue="1" operator="equal">
      <formula>"Pass"</formula>
    </cfRule>
    <cfRule type="cellIs" dxfId="23636" priority="23476" stopIfTrue="1" operator="equal">
      <formula>"Fail"</formula>
    </cfRule>
  </conditionalFormatting>
  <conditionalFormatting sqref="A843">
    <cfRule type="cellIs" dxfId="23635" priority="23473" stopIfTrue="1" operator="equal">
      <formula>"Pass"</formula>
    </cfRule>
    <cfRule type="cellIs" dxfId="23634" priority="23474" stopIfTrue="1" operator="equal">
      <formula>"Fail"</formula>
    </cfRule>
  </conditionalFormatting>
  <conditionalFormatting sqref="A841:A843">
    <cfRule type="cellIs" dxfId="23633" priority="23471" stopIfTrue="1" operator="equal">
      <formula>"Pass"</formula>
    </cfRule>
    <cfRule type="cellIs" dxfId="23632" priority="23472" stopIfTrue="1" operator="equal">
      <formula>"Fail"</formula>
    </cfRule>
  </conditionalFormatting>
  <conditionalFormatting sqref="A841:A843">
    <cfRule type="cellIs" dxfId="23631" priority="23469" stopIfTrue="1" operator="equal">
      <formula>"Pass"</formula>
    </cfRule>
    <cfRule type="cellIs" dxfId="23630" priority="23470" stopIfTrue="1" operator="equal">
      <formula>"Fail"</formula>
    </cfRule>
  </conditionalFormatting>
  <conditionalFormatting sqref="A841:A843">
    <cfRule type="cellIs" dxfId="23629" priority="23467" stopIfTrue="1" operator="equal">
      <formula>"Pass"</formula>
    </cfRule>
    <cfRule type="cellIs" dxfId="23628" priority="23468" stopIfTrue="1" operator="equal">
      <formula>"Fail"</formula>
    </cfRule>
  </conditionalFormatting>
  <conditionalFormatting sqref="A841:A843">
    <cfRule type="cellIs" dxfId="23627" priority="23465" stopIfTrue="1" operator="equal">
      <formula>"Pass"</formula>
    </cfRule>
    <cfRule type="cellIs" dxfId="23626" priority="23466" stopIfTrue="1" operator="equal">
      <formula>"Fail"</formula>
    </cfRule>
  </conditionalFormatting>
  <conditionalFormatting sqref="A841:A843">
    <cfRule type="cellIs" dxfId="23625" priority="23463" stopIfTrue="1" operator="equal">
      <formula>"Pass"</formula>
    </cfRule>
    <cfRule type="cellIs" dxfId="23624" priority="23464" stopIfTrue="1" operator="equal">
      <formula>"Fail"</formula>
    </cfRule>
  </conditionalFormatting>
  <conditionalFormatting sqref="A841:A843">
    <cfRule type="cellIs" dxfId="23623" priority="23461" stopIfTrue="1" operator="equal">
      <formula>"Pass"</formula>
    </cfRule>
    <cfRule type="cellIs" dxfId="23622" priority="23462" stopIfTrue="1" operator="equal">
      <formula>"Fail"</formula>
    </cfRule>
  </conditionalFormatting>
  <conditionalFormatting sqref="A843">
    <cfRule type="cellIs" dxfId="23621" priority="23459" stopIfTrue="1" operator="equal">
      <formula>"Pass"</formula>
    </cfRule>
    <cfRule type="cellIs" dxfId="23620" priority="23460" stopIfTrue="1" operator="equal">
      <formula>"Fail"</formula>
    </cfRule>
  </conditionalFormatting>
  <conditionalFormatting sqref="A841:A843">
    <cfRule type="cellIs" dxfId="23619" priority="23457" stopIfTrue="1" operator="equal">
      <formula>"Pass"</formula>
    </cfRule>
    <cfRule type="cellIs" dxfId="23618" priority="23458" stopIfTrue="1" operator="equal">
      <formula>"Fail"</formula>
    </cfRule>
  </conditionalFormatting>
  <conditionalFormatting sqref="H841:H842">
    <cfRule type="cellIs" dxfId="23617" priority="23455" stopIfTrue="1" operator="equal">
      <formula>"Pass"</formula>
    </cfRule>
    <cfRule type="cellIs" dxfId="23616" priority="23456" stopIfTrue="1" operator="equal">
      <formula>"Fail"</formula>
    </cfRule>
  </conditionalFormatting>
  <conditionalFormatting sqref="F841 I841:M842 F843">
    <cfRule type="cellIs" dxfId="23615" priority="23453" stopIfTrue="1" operator="equal">
      <formula>"Pass"</formula>
    </cfRule>
    <cfRule type="cellIs" dxfId="23614" priority="23454" stopIfTrue="1" operator="equal">
      <formula>"Fail"</formula>
    </cfRule>
  </conditionalFormatting>
  <conditionalFormatting sqref="T843 T841 R841:R843 S842:S843">
    <cfRule type="cellIs" dxfId="23613" priority="23451" stopIfTrue="1" operator="equal">
      <formula>"Fail"</formula>
    </cfRule>
    <cfRule type="cellIs" dxfId="23612" priority="23452" stopIfTrue="1" operator="equal">
      <formula>"Pass"</formula>
    </cfRule>
  </conditionalFormatting>
  <conditionalFormatting sqref="F841:G841 F843:G843 J841:N842">
    <cfRule type="cellIs" dxfId="23611" priority="23449" stopIfTrue="1" operator="equal">
      <formula>"Pass"</formula>
    </cfRule>
    <cfRule type="cellIs" dxfId="23610" priority="23450" stopIfTrue="1" operator="equal">
      <formula>"Fail"</formula>
    </cfRule>
  </conditionalFormatting>
  <conditionalFormatting sqref="U843 T841:T843 S842:S843">
    <cfRule type="cellIs" dxfId="23609" priority="23447" stopIfTrue="1" operator="equal">
      <formula>"Fail"</formula>
    </cfRule>
    <cfRule type="cellIs" dxfId="23608" priority="23448" stopIfTrue="1" operator="equal">
      <formula>"Pass"</formula>
    </cfRule>
  </conditionalFormatting>
  <conditionalFormatting sqref="U841">
    <cfRule type="cellIs" dxfId="23607" priority="23445" stopIfTrue="1" operator="equal">
      <formula>"Fail"</formula>
    </cfRule>
    <cfRule type="cellIs" dxfId="23606" priority="23446" stopIfTrue="1" operator="equal">
      <formula>"Pass"</formula>
    </cfRule>
  </conditionalFormatting>
  <conditionalFormatting sqref="F841:G841 J841:N841">
    <cfRule type="cellIs" dxfId="23605" priority="23443" stopIfTrue="1" operator="equal">
      <formula>"Pass"</formula>
    </cfRule>
    <cfRule type="cellIs" dxfId="23604" priority="23444" stopIfTrue="1" operator="equal">
      <formula>"Fail"</formula>
    </cfRule>
  </conditionalFormatting>
  <conditionalFormatting sqref="J842:N842">
    <cfRule type="cellIs" dxfId="23603" priority="23441" stopIfTrue="1" operator="equal">
      <formula>"Pass"</formula>
    </cfRule>
    <cfRule type="cellIs" dxfId="23602" priority="23442" stopIfTrue="1" operator="equal">
      <formula>"Fail"</formula>
    </cfRule>
  </conditionalFormatting>
  <conditionalFormatting sqref="H841:H842">
    <cfRule type="cellIs" dxfId="23601" priority="23439" stopIfTrue="1" operator="equal">
      <formula>"Pass"</formula>
    </cfRule>
    <cfRule type="cellIs" dxfId="23600" priority="23440" stopIfTrue="1" operator="equal">
      <formula>"Fail"</formula>
    </cfRule>
  </conditionalFormatting>
  <conditionalFormatting sqref="F841 I841:M842 F843">
    <cfRule type="cellIs" dxfId="23599" priority="23437" stopIfTrue="1" operator="equal">
      <formula>"Pass"</formula>
    </cfRule>
    <cfRule type="cellIs" dxfId="23598" priority="23438" stopIfTrue="1" operator="equal">
      <formula>"Fail"</formula>
    </cfRule>
  </conditionalFormatting>
  <conditionalFormatting sqref="T843 T841 R841:R843 S842:S843">
    <cfRule type="cellIs" dxfId="23597" priority="23435" stopIfTrue="1" operator="equal">
      <formula>"Fail"</formula>
    </cfRule>
    <cfRule type="cellIs" dxfId="23596" priority="23436" stopIfTrue="1" operator="equal">
      <formula>"Pass"</formula>
    </cfRule>
  </conditionalFormatting>
  <conditionalFormatting sqref="F841:G841 F843:G843 J841:N842">
    <cfRule type="cellIs" dxfId="23595" priority="23433" stopIfTrue="1" operator="equal">
      <formula>"Pass"</formula>
    </cfRule>
    <cfRule type="cellIs" dxfId="23594" priority="23434" stopIfTrue="1" operator="equal">
      <formula>"Fail"</formula>
    </cfRule>
  </conditionalFormatting>
  <conditionalFormatting sqref="U843 T841:T843 S842:S843">
    <cfRule type="cellIs" dxfId="23593" priority="23431" stopIfTrue="1" operator="equal">
      <formula>"Fail"</formula>
    </cfRule>
    <cfRule type="cellIs" dxfId="23592" priority="23432" stopIfTrue="1" operator="equal">
      <formula>"Pass"</formula>
    </cfRule>
  </conditionalFormatting>
  <conditionalFormatting sqref="U841">
    <cfRule type="cellIs" dxfId="23591" priority="23429" stopIfTrue="1" operator="equal">
      <formula>"Fail"</formula>
    </cfRule>
    <cfRule type="cellIs" dxfId="23590" priority="23430" stopIfTrue="1" operator="equal">
      <formula>"Pass"</formula>
    </cfRule>
  </conditionalFormatting>
  <conditionalFormatting sqref="F841:G841 J841:N841">
    <cfRule type="cellIs" dxfId="23589" priority="23427" stopIfTrue="1" operator="equal">
      <formula>"Pass"</formula>
    </cfRule>
    <cfRule type="cellIs" dxfId="23588" priority="23428" stopIfTrue="1" operator="equal">
      <formula>"Fail"</formula>
    </cfRule>
  </conditionalFormatting>
  <conditionalFormatting sqref="J842:N842">
    <cfRule type="cellIs" dxfId="23587" priority="23425" stopIfTrue="1" operator="equal">
      <formula>"Pass"</formula>
    </cfRule>
    <cfRule type="cellIs" dxfId="23586" priority="23426" stopIfTrue="1" operator="equal">
      <formula>"Fail"</formula>
    </cfRule>
  </conditionalFormatting>
  <conditionalFormatting sqref="U841">
    <cfRule type="cellIs" dxfId="23585" priority="23423" stopIfTrue="1" operator="equal">
      <formula>"Fail"</formula>
    </cfRule>
    <cfRule type="cellIs" dxfId="23584" priority="23424" stopIfTrue="1" operator="equal">
      <formula>"Pass"</formula>
    </cfRule>
  </conditionalFormatting>
  <conditionalFormatting sqref="U841">
    <cfRule type="cellIs" dxfId="23583" priority="23421" stopIfTrue="1" operator="equal">
      <formula>"Fail"</formula>
    </cfRule>
    <cfRule type="cellIs" dxfId="23582" priority="23422" stopIfTrue="1" operator="equal">
      <formula>"Pass"</formula>
    </cfRule>
  </conditionalFormatting>
  <conditionalFormatting sqref="U841">
    <cfRule type="cellIs" dxfId="23581" priority="23419" stopIfTrue="1" operator="equal">
      <formula>"Fail"</formula>
    </cfRule>
    <cfRule type="cellIs" dxfId="23580" priority="23420" stopIfTrue="1" operator="equal">
      <formula>"Pass"</formula>
    </cfRule>
  </conditionalFormatting>
  <conditionalFormatting sqref="N841">
    <cfRule type="cellIs" dxfId="23579" priority="23417" stopIfTrue="1" operator="equal">
      <formula>"Pass"</formula>
    </cfRule>
    <cfRule type="cellIs" dxfId="23578" priority="23418" stopIfTrue="1" operator="equal">
      <formula>"Fail"</formula>
    </cfRule>
  </conditionalFormatting>
  <conditionalFormatting sqref="N841">
    <cfRule type="cellIs" dxfId="23577" priority="23415" stopIfTrue="1" operator="equal">
      <formula>"Pass"</formula>
    </cfRule>
    <cfRule type="cellIs" dxfId="23576" priority="23416" stopIfTrue="1" operator="equal">
      <formula>"Fail"</formula>
    </cfRule>
  </conditionalFormatting>
  <conditionalFormatting sqref="N841">
    <cfRule type="cellIs" dxfId="23575" priority="23413" stopIfTrue="1" operator="equal">
      <formula>"Pass"</formula>
    </cfRule>
    <cfRule type="cellIs" dxfId="23574" priority="23414" stopIfTrue="1" operator="equal">
      <formula>"Fail"</formula>
    </cfRule>
  </conditionalFormatting>
  <conditionalFormatting sqref="H844:H845">
    <cfRule type="cellIs" dxfId="23573" priority="23411" stopIfTrue="1" operator="equal">
      <formula>"Pass"</formula>
    </cfRule>
    <cfRule type="cellIs" dxfId="23572" priority="23412" stopIfTrue="1" operator="equal">
      <formula>"Fail"</formula>
    </cfRule>
  </conditionalFormatting>
  <conditionalFormatting sqref="E844:F844 E846:F846 I844:M845 A844:A846">
    <cfRule type="cellIs" dxfId="23571" priority="23409" stopIfTrue="1" operator="equal">
      <formula>"Pass"</formula>
    </cfRule>
    <cfRule type="cellIs" dxfId="23570" priority="23410" stopIfTrue="1" operator="equal">
      <formula>"Fail"</formula>
    </cfRule>
  </conditionalFormatting>
  <conditionalFormatting sqref="T846 T844 R844:R846 S845:S846">
    <cfRule type="cellIs" dxfId="23569" priority="23407" stopIfTrue="1" operator="equal">
      <formula>"Fail"</formula>
    </cfRule>
    <cfRule type="cellIs" dxfId="23568" priority="23408" stopIfTrue="1" operator="equal">
      <formula>"Pass"</formula>
    </cfRule>
  </conditionalFormatting>
  <conditionalFormatting sqref="F844:G844 F846:G846 A844:B846 J844:N845">
    <cfRule type="cellIs" dxfId="23567" priority="23405" stopIfTrue="1" operator="equal">
      <formula>"Pass"</formula>
    </cfRule>
    <cfRule type="cellIs" dxfId="23566" priority="23406" stopIfTrue="1" operator="equal">
      <formula>"Fail"</formula>
    </cfRule>
  </conditionalFormatting>
  <conditionalFormatting sqref="U846 U844 T844:T846 S845:S846">
    <cfRule type="cellIs" dxfId="23565" priority="23403" stopIfTrue="1" operator="equal">
      <formula>"Fail"</formula>
    </cfRule>
    <cfRule type="cellIs" dxfId="23564" priority="23404" stopIfTrue="1" operator="equal">
      <formula>"Pass"</formula>
    </cfRule>
  </conditionalFormatting>
  <conditionalFormatting sqref="A844:A846">
    <cfRule type="cellIs" dxfId="23563" priority="23401" stopIfTrue="1" operator="equal">
      <formula>"Pass"</formula>
    </cfRule>
    <cfRule type="cellIs" dxfId="23562" priority="23402" stopIfTrue="1" operator="equal">
      <formula>"Fail"</formula>
    </cfRule>
  </conditionalFormatting>
  <conditionalFormatting sqref="A844:A846">
    <cfRule type="cellIs" dxfId="23561" priority="23399" stopIfTrue="1" operator="equal">
      <formula>"Pass"</formula>
    </cfRule>
    <cfRule type="cellIs" dxfId="23560" priority="23400" stopIfTrue="1" operator="equal">
      <formula>"Fail"</formula>
    </cfRule>
  </conditionalFormatting>
  <conditionalFormatting sqref="A844:A846">
    <cfRule type="cellIs" dxfId="23559" priority="23397" stopIfTrue="1" operator="equal">
      <formula>"Pass"</formula>
    </cfRule>
    <cfRule type="cellIs" dxfId="23558" priority="23398" stopIfTrue="1" operator="equal">
      <formula>"Fail"</formula>
    </cfRule>
  </conditionalFormatting>
  <conditionalFormatting sqref="J844:N845 E844:G846">
    <cfRule type="cellIs" dxfId="23557" priority="23395" stopIfTrue="1" operator="equal">
      <formula>"Pass"</formula>
    </cfRule>
    <cfRule type="cellIs" dxfId="23556" priority="23396" stopIfTrue="1" operator="equal">
      <formula>"Fail"</formula>
    </cfRule>
  </conditionalFormatting>
  <conditionalFormatting sqref="A846 C846 K844:O845 F844:H846">
    <cfRule type="cellIs" dxfId="23555" priority="23393" stopIfTrue="1" operator="equal">
      <formula>"Pass"</formula>
    </cfRule>
    <cfRule type="cellIs" dxfId="23554" priority="23394" stopIfTrue="1" operator="equal">
      <formula>"Fail"</formula>
    </cfRule>
  </conditionalFormatting>
  <conditionalFormatting sqref="T844">
    <cfRule type="cellIs" dxfId="23553" priority="23391" stopIfTrue="1" operator="equal">
      <formula>"Fail"</formula>
    </cfRule>
    <cfRule type="cellIs" dxfId="23552" priority="23392" stopIfTrue="1" operator="equal">
      <formula>"Pass"</formula>
    </cfRule>
  </conditionalFormatting>
  <conditionalFormatting sqref="A844:A846">
    <cfRule type="cellIs" dxfId="23551" priority="23389" stopIfTrue="1" operator="equal">
      <formula>"Pass"</formula>
    </cfRule>
    <cfRule type="cellIs" dxfId="23550" priority="23390" stopIfTrue="1" operator="equal">
      <formula>"Fail"</formula>
    </cfRule>
  </conditionalFormatting>
  <conditionalFormatting sqref="A844:A846">
    <cfRule type="cellIs" dxfId="23549" priority="23387" stopIfTrue="1" operator="equal">
      <formula>"Pass"</formula>
    </cfRule>
    <cfRule type="cellIs" dxfId="23548" priority="23388" stopIfTrue="1" operator="equal">
      <formula>"Fail"</formula>
    </cfRule>
  </conditionalFormatting>
  <conditionalFormatting sqref="A844:A846">
    <cfRule type="cellIs" dxfId="23547" priority="23385" stopIfTrue="1" operator="equal">
      <formula>"Pass"</formula>
    </cfRule>
    <cfRule type="cellIs" dxfId="23546" priority="23386" stopIfTrue="1" operator="equal">
      <formula>"Fail"</formula>
    </cfRule>
  </conditionalFormatting>
  <conditionalFormatting sqref="A844:A846">
    <cfRule type="cellIs" dxfId="23545" priority="23383" stopIfTrue="1" operator="equal">
      <formula>"Pass"</formula>
    </cfRule>
    <cfRule type="cellIs" dxfId="23544" priority="23384" stopIfTrue="1" operator="equal">
      <formula>"Fail"</formula>
    </cfRule>
  </conditionalFormatting>
  <conditionalFormatting sqref="A844:A846">
    <cfRule type="cellIs" dxfId="23543" priority="23381" stopIfTrue="1" operator="equal">
      <formula>"Pass"</formula>
    </cfRule>
    <cfRule type="cellIs" dxfId="23542" priority="23382" stopIfTrue="1" operator="equal">
      <formula>"Fail"</formula>
    </cfRule>
  </conditionalFormatting>
  <conditionalFormatting sqref="A844:A846">
    <cfRule type="cellIs" dxfId="23541" priority="23379" stopIfTrue="1" operator="equal">
      <formula>"Pass"</formula>
    </cfRule>
    <cfRule type="cellIs" dxfId="23540" priority="23380" stopIfTrue="1" operator="equal">
      <formula>"Fail"</formula>
    </cfRule>
  </conditionalFormatting>
  <conditionalFormatting sqref="A846">
    <cfRule type="cellIs" dxfId="23539" priority="23377" stopIfTrue="1" operator="equal">
      <formula>"Pass"</formula>
    </cfRule>
    <cfRule type="cellIs" dxfId="23538" priority="23378" stopIfTrue="1" operator="equal">
      <formula>"Fail"</formula>
    </cfRule>
  </conditionalFormatting>
  <conditionalFormatting sqref="A844:A846">
    <cfRule type="cellIs" dxfId="23537" priority="23375" stopIfTrue="1" operator="equal">
      <formula>"Pass"</formula>
    </cfRule>
    <cfRule type="cellIs" dxfId="23536" priority="23376" stopIfTrue="1" operator="equal">
      <formula>"Fail"</formula>
    </cfRule>
  </conditionalFormatting>
  <conditionalFormatting sqref="A844:A846">
    <cfRule type="cellIs" dxfId="23535" priority="23373" stopIfTrue="1" operator="equal">
      <formula>"Pass"</formula>
    </cfRule>
    <cfRule type="cellIs" dxfId="23534" priority="23374" stopIfTrue="1" operator="equal">
      <formula>"Fail"</formula>
    </cfRule>
  </conditionalFormatting>
  <conditionalFormatting sqref="A844:A846">
    <cfRule type="cellIs" dxfId="23533" priority="23371" stopIfTrue="1" operator="equal">
      <formula>"Pass"</formula>
    </cfRule>
    <cfRule type="cellIs" dxfId="23532" priority="23372" stopIfTrue="1" operator="equal">
      <formula>"Fail"</formula>
    </cfRule>
  </conditionalFormatting>
  <conditionalFormatting sqref="A844:A846">
    <cfRule type="cellIs" dxfId="23531" priority="23369" stopIfTrue="1" operator="equal">
      <formula>"Pass"</formula>
    </cfRule>
    <cfRule type="cellIs" dxfId="23530" priority="23370" stopIfTrue="1" operator="equal">
      <formula>"Fail"</formula>
    </cfRule>
  </conditionalFormatting>
  <conditionalFormatting sqref="A844:A846">
    <cfRule type="cellIs" dxfId="23529" priority="23367" stopIfTrue="1" operator="equal">
      <formula>"Pass"</formula>
    </cfRule>
    <cfRule type="cellIs" dxfId="23528" priority="23368" stopIfTrue="1" operator="equal">
      <formula>"Fail"</formula>
    </cfRule>
  </conditionalFormatting>
  <conditionalFormatting sqref="A844:A846">
    <cfRule type="cellIs" dxfId="23527" priority="23365" stopIfTrue="1" operator="equal">
      <formula>"Pass"</formula>
    </cfRule>
    <cfRule type="cellIs" dxfId="23526" priority="23366" stopIfTrue="1" operator="equal">
      <formula>"Fail"</formula>
    </cfRule>
  </conditionalFormatting>
  <conditionalFormatting sqref="A846">
    <cfRule type="cellIs" dxfId="23525" priority="23363" stopIfTrue="1" operator="equal">
      <formula>"Pass"</formula>
    </cfRule>
    <cfRule type="cellIs" dxfId="23524" priority="23364" stopIfTrue="1" operator="equal">
      <formula>"Fail"</formula>
    </cfRule>
  </conditionalFormatting>
  <conditionalFormatting sqref="A844:A846">
    <cfRule type="cellIs" dxfId="23523" priority="23361" stopIfTrue="1" operator="equal">
      <formula>"Pass"</formula>
    </cfRule>
    <cfRule type="cellIs" dxfId="23522" priority="23362" stopIfTrue="1" operator="equal">
      <formula>"Fail"</formula>
    </cfRule>
  </conditionalFormatting>
  <conditionalFormatting sqref="H844:H845">
    <cfRule type="cellIs" dxfId="23521" priority="23359" stopIfTrue="1" operator="equal">
      <formula>"Pass"</formula>
    </cfRule>
    <cfRule type="cellIs" dxfId="23520" priority="23360" stopIfTrue="1" operator="equal">
      <formula>"Fail"</formula>
    </cfRule>
  </conditionalFormatting>
  <conditionalFormatting sqref="F844 F846 I844:M845">
    <cfRule type="cellIs" dxfId="23519" priority="23357" stopIfTrue="1" operator="equal">
      <formula>"Pass"</formula>
    </cfRule>
    <cfRule type="cellIs" dxfId="23518" priority="23358" stopIfTrue="1" operator="equal">
      <formula>"Fail"</formula>
    </cfRule>
  </conditionalFormatting>
  <conditionalFormatting sqref="T846 T844 R844:R846 S845:S846">
    <cfRule type="cellIs" dxfId="23517" priority="23355" stopIfTrue="1" operator="equal">
      <formula>"Fail"</formula>
    </cfRule>
    <cfRule type="cellIs" dxfId="23516" priority="23356" stopIfTrue="1" operator="equal">
      <formula>"Pass"</formula>
    </cfRule>
  </conditionalFormatting>
  <conditionalFormatting sqref="F844:G844 F846:G846 J844:N845">
    <cfRule type="cellIs" dxfId="23515" priority="23353" stopIfTrue="1" operator="equal">
      <formula>"Pass"</formula>
    </cfRule>
    <cfRule type="cellIs" dxfId="23514" priority="23354" stopIfTrue="1" operator="equal">
      <formula>"Fail"</formula>
    </cfRule>
  </conditionalFormatting>
  <conditionalFormatting sqref="U846 U844 T844:T846 S845:S846">
    <cfRule type="cellIs" dxfId="23513" priority="23351" stopIfTrue="1" operator="equal">
      <formula>"Fail"</formula>
    </cfRule>
    <cfRule type="cellIs" dxfId="23512" priority="23352" stopIfTrue="1" operator="equal">
      <formula>"Pass"</formula>
    </cfRule>
  </conditionalFormatting>
  <conditionalFormatting sqref="J844:N845 F844:G846">
    <cfRule type="cellIs" dxfId="23511" priority="23349" stopIfTrue="1" operator="equal">
      <formula>"Pass"</formula>
    </cfRule>
    <cfRule type="cellIs" dxfId="23510" priority="23350" stopIfTrue="1" operator="equal">
      <formula>"Fail"</formula>
    </cfRule>
  </conditionalFormatting>
  <conditionalFormatting sqref="K844:O845 F844:H846">
    <cfRule type="cellIs" dxfId="23509" priority="23347" stopIfTrue="1" operator="equal">
      <formula>"Pass"</formula>
    </cfRule>
    <cfRule type="cellIs" dxfId="23508" priority="23348" stopIfTrue="1" operator="equal">
      <formula>"Fail"</formula>
    </cfRule>
  </conditionalFormatting>
  <conditionalFormatting sqref="T844">
    <cfRule type="cellIs" dxfId="23507" priority="23345" stopIfTrue="1" operator="equal">
      <formula>"Fail"</formula>
    </cfRule>
    <cfRule type="cellIs" dxfId="23506" priority="23346" stopIfTrue="1" operator="equal">
      <formula>"Pass"</formula>
    </cfRule>
  </conditionalFormatting>
  <conditionalFormatting sqref="K844:O845 F844:H846">
    <cfRule type="cellIs" dxfId="23505" priority="23343" stopIfTrue="1" operator="equal">
      <formula>"Pass"</formula>
    </cfRule>
    <cfRule type="cellIs" dxfId="23504" priority="23344" stopIfTrue="1" operator="equal">
      <formula>"Fail"</formula>
    </cfRule>
  </conditionalFormatting>
  <conditionalFormatting sqref="T844">
    <cfRule type="cellIs" dxfId="23503" priority="23341" stopIfTrue="1" operator="equal">
      <formula>"Fail"</formula>
    </cfRule>
    <cfRule type="cellIs" dxfId="23502" priority="23342" stopIfTrue="1" operator="equal">
      <formula>"Pass"</formula>
    </cfRule>
  </conditionalFormatting>
  <conditionalFormatting sqref="A847:A849">
    <cfRule type="cellIs" dxfId="23501" priority="23339" stopIfTrue="1" operator="equal">
      <formula>"Pass"</formula>
    </cfRule>
    <cfRule type="cellIs" dxfId="23500" priority="23340" stopIfTrue="1" operator="equal">
      <formula>"Fail"</formula>
    </cfRule>
  </conditionalFormatting>
  <conditionalFormatting sqref="A847:A849">
    <cfRule type="cellIs" dxfId="23499" priority="23337" stopIfTrue="1" operator="equal">
      <formula>"Pass"</formula>
    </cfRule>
    <cfRule type="cellIs" dxfId="23498" priority="23338" stopIfTrue="1" operator="equal">
      <formula>"Fail"</formula>
    </cfRule>
  </conditionalFormatting>
  <conditionalFormatting sqref="A847:A849">
    <cfRule type="cellIs" dxfId="23497" priority="23335" stopIfTrue="1" operator="equal">
      <formula>"Pass"</formula>
    </cfRule>
    <cfRule type="cellIs" dxfId="23496" priority="23336" stopIfTrue="1" operator="equal">
      <formula>"Fail"</formula>
    </cfRule>
  </conditionalFormatting>
  <conditionalFormatting sqref="A847:A849">
    <cfRule type="cellIs" dxfId="23495" priority="23333" stopIfTrue="1" operator="equal">
      <formula>"Pass"</formula>
    </cfRule>
    <cfRule type="cellIs" dxfId="23494" priority="23334" stopIfTrue="1" operator="equal">
      <formula>"Fail"</formula>
    </cfRule>
  </conditionalFormatting>
  <conditionalFormatting sqref="A847:A849">
    <cfRule type="cellIs" dxfId="23493" priority="23331" stopIfTrue="1" operator="equal">
      <formula>"Pass"</formula>
    </cfRule>
    <cfRule type="cellIs" dxfId="23492" priority="23332" stopIfTrue="1" operator="equal">
      <formula>"Fail"</formula>
    </cfRule>
  </conditionalFormatting>
  <conditionalFormatting sqref="A849">
    <cfRule type="cellIs" dxfId="23491" priority="23329" stopIfTrue="1" operator="equal">
      <formula>"Pass"</formula>
    </cfRule>
    <cfRule type="cellIs" dxfId="23490" priority="23330" stopIfTrue="1" operator="equal">
      <formula>"Fail"</formula>
    </cfRule>
  </conditionalFormatting>
  <conditionalFormatting sqref="A847:A849">
    <cfRule type="cellIs" dxfId="23489" priority="23327" stopIfTrue="1" operator="equal">
      <formula>"Pass"</formula>
    </cfRule>
    <cfRule type="cellIs" dxfId="23488" priority="23328" stopIfTrue="1" operator="equal">
      <formula>"Fail"</formula>
    </cfRule>
  </conditionalFormatting>
  <conditionalFormatting sqref="A847">
    <cfRule type="cellIs" dxfId="23487" priority="23325" stopIfTrue="1" operator="equal">
      <formula>"Pass"</formula>
    </cfRule>
    <cfRule type="cellIs" dxfId="23486" priority="23326" stopIfTrue="1" operator="equal">
      <formula>"Fail"</formula>
    </cfRule>
  </conditionalFormatting>
  <conditionalFormatting sqref="A847">
    <cfRule type="cellIs" dxfId="23485" priority="23323" stopIfTrue="1" operator="equal">
      <formula>"Pass"</formula>
    </cfRule>
    <cfRule type="cellIs" dxfId="23484" priority="23324" stopIfTrue="1" operator="equal">
      <formula>"Fail"</formula>
    </cfRule>
  </conditionalFormatting>
  <conditionalFormatting sqref="A847">
    <cfRule type="cellIs" dxfId="23483" priority="23321" stopIfTrue="1" operator="equal">
      <formula>"Pass"</formula>
    </cfRule>
    <cfRule type="cellIs" dxfId="23482" priority="23322" stopIfTrue="1" operator="equal">
      <formula>"Fail"</formula>
    </cfRule>
  </conditionalFormatting>
  <conditionalFormatting sqref="A847">
    <cfRule type="cellIs" dxfId="23481" priority="23319" stopIfTrue="1" operator="equal">
      <formula>"Pass"</formula>
    </cfRule>
    <cfRule type="cellIs" dxfId="23480" priority="23320" stopIfTrue="1" operator="equal">
      <formula>"Fail"</formula>
    </cfRule>
  </conditionalFormatting>
  <conditionalFormatting sqref="A847">
    <cfRule type="cellIs" dxfId="23479" priority="23317" stopIfTrue="1" operator="equal">
      <formula>"Pass"</formula>
    </cfRule>
    <cfRule type="cellIs" dxfId="23478" priority="23318" stopIfTrue="1" operator="equal">
      <formula>"Fail"</formula>
    </cfRule>
  </conditionalFormatting>
  <conditionalFormatting sqref="A847">
    <cfRule type="cellIs" dxfId="23477" priority="23315" stopIfTrue="1" operator="equal">
      <formula>"Pass"</formula>
    </cfRule>
    <cfRule type="cellIs" dxfId="23476" priority="23316" stopIfTrue="1" operator="equal">
      <formula>"Fail"</formula>
    </cfRule>
  </conditionalFormatting>
  <conditionalFormatting sqref="A847">
    <cfRule type="cellIs" dxfId="23475" priority="23313" stopIfTrue="1" operator="equal">
      <formula>"Pass"</formula>
    </cfRule>
    <cfRule type="cellIs" dxfId="23474" priority="23314" stopIfTrue="1" operator="equal">
      <formula>"Fail"</formula>
    </cfRule>
  </conditionalFormatting>
  <conditionalFormatting sqref="A847">
    <cfRule type="cellIs" dxfId="23473" priority="23311" stopIfTrue="1" operator="equal">
      <formula>"Pass"</formula>
    </cfRule>
    <cfRule type="cellIs" dxfId="23472" priority="23312" stopIfTrue="1" operator="equal">
      <formula>"Fail"</formula>
    </cfRule>
  </conditionalFormatting>
  <conditionalFormatting sqref="A847">
    <cfRule type="cellIs" dxfId="23471" priority="23309" stopIfTrue="1" operator="equal">
      <formula>"Pass"</formula>
    </cfRule>
    <cfRule type="cellIs" dxfId="23470" priority="23310" stopIfTrue="1" operator="equal">
      <formula>"Fail"</formula>
    </cfRule>
  </conditionalFormatting>
  <conditionalFormatting sqref="A847">
    <cfRule type="cellIs" dxfId="23469" priority="23307" stopIfTrue="1" operator="equal">
      <formula>"Pass"</formula>
    </cfRule>
    <cfRule type="cellIs" dxfId="23468" priority="23308" stopIfTrue="1" operator="equal">
      <formula>"Fail"</formula>
    </cfRule>
  </conditionalFormatting>
  <conditionalFormatting sqref="A847">
    <cfRule type="cellIs" dxfId="23467" priority="23305" stopIfTrue="1" operator="equal">
      <formula>"Pass"</formula>
    </cfRule>
    <cfRule type="cellIs" dxfId="23466" priority="23306" stopIfTrue="1" operator="equal">
      <formula>"Fail"</formula>
    </cfRule>
  </conditionalFormatting>
  <conditionalFormatting sqref="A847">
    <cfRule type="cellIs" dxfId="23465" priority="23303" stopIfTrue="1" operator="equal">
      <formula>"Pass"</formula>
    </cfRule>
    <cfRule type="cellIs" dxfId="23464" priority="23304" stopIfTrue="1" operator="equal">
      <formula>"Fail"</formula>
    </cfRule>
  </conditionalFormatting>
  <conditionalFormatting sqref="J847:J848">
    <cfRule type="cellIs" dxfId="23463" priority="23301" stopIfTrue="1" operator="equal">
      <formula>"Pass"</formula>
    </cfRule>
    <cfRule type="cellIs" dxfId="23462" priority="23302" stopIfTrue="1" operator="equal">
      <formula>"Fail"</formula>
    </cfRule>
  </conditionalFormatting>
  <conditionalFormatting sqref="H847:H848 I848">
    <cfRule type="cellIs" dxfId="23461" priority="23299" stopIfTrue="1" operator="equal">
      <formula>"Pass"</formula>
    </cfRule>
    <cfRule type="cellIs" dxfId="23460" priority="23300" stopIfTrue="1" operator="equal">
      <formula>"Fail"</formula>
    </cfRule>
  </conditionalFormatting>
  <conditionalFormatting sqref="A847 C847 F849 F847:G847 K847:N848">
    <cfRule type="cellIs" dxfId="23459" priority="23297" stopIfTrue="1" operator="equal">
      <formula>"Pass"</formula>
    </cfRule>
    <cfRule type="cellIs" dxfId="23458" priority="23298" stopIfTrue="1" operator="equal">
      <formula>"Fail"</formula>
    </cfRule>
  </conditionalFormatting>
  <conditionalFormatting sqref="T847:T849 U848:U849">
    <cfRule type="cellIs" dxfId="23457" priority="23295" stopIfTrue="1" operator="equal">
      <formula>"Fail"</formula>
    </cfRule>
    <cfRule type="cellIs" dxfId="23456" priority="23296" stopIfTrue="1" operator="equal">
      <formula>"Pass"</formula>
    </cfRule>
  </conditionalFormatting>
  <conditionalFormatting sqref="A847">
    <cfRule type="cellIs" dxfId="23455" priority="23293" stopIfTrue="1" operator="equal">
      <formula>"Pass"</formula>
    </cfRule>
    <cfRule type="cellIs" dxfId="23454" priority="23294" stopIfTrue="1" operator="equal">
      <formula>"Fail"</formula>
    </cfRule>
  </conditionalFormatting>
  <conditionalFormatting sqref="A847">
    <cfRule type="cellIs" dxfId="23453" priority="23291" stopIfTrue="1" operator="equal">
      <formula>"Pass"</formula>
    </cfRule>
    <cfRule type="cellIs" dxfId="23452" priority="23292" stopIfTrue="1" operator="equal">
      <formula>"Fail"</formula>
    </cfRule>
  </conditionalFormatting>
  <conditionalFormatting sqref="A847">
    <cfRule type="cellIs" dxfId="23451" priority="23289" stopIfTrue="1" operator="equal">
      <formula>"Pass"</formula>
    </cfRule>
    <cfRule type="cellIs" dxfId="23450" priority="23290" stopIfTrue="1" operator="equal">
      <formula>"Fail"</formula>
    </cfRule>
  </conditionalFormatting>
  <conditionalFormatting sqref="A847">
    <cfRule type="cellIs" dxfId="23449" priority="23287" stopIfTrue="1" operator="equal">
      <formula>"Pass"</formula>
    </cfRule>
    <cfRule type="cellIs" dxfId="23448" priority="23288" stopIfTrue="1" operator="equal">
      <formula>"Fail"</formula>
    </cfRule>
  </conditionalFormatting>
  <conditionalFormatting sqref="A847">
    <cfRule type="cellIs" dxfId="23447" priority="23285" stopIfTrue="1" operator="equal">
      <formula>"Pass"</formula>
    </cfRule>
    <cfRule type="cellIs" dxfId="23446" priority="23286" stopIfTrue="1" operator="equal">
      <formula>"Fail"</formula>
    </cfRule>
  </conditionalFormatting>
  <conditionalFormatting sqref="A847">
    <cfRule type="cellIs" dxfId="23445" priority="23283" stopIfTrue="1" operator="equal">
      <formula>"Pass"</formula>
    </cfRule>
    <cfRule type="cellIs" dxfId="23444" priority="23284" stopIfTrue="1" operator="equal">
      <formula>"Fail"</formula>
    </cfRule>
  </conditionalFormatting>
  <conditionalFormatting sqref="A847">
    <cfRule type="cellIs" dxfId="23443" priority="23281" stopIfTrue="1" operator="equal">
      <formula>"Pass"</formula>
    </cfRule>
    <cfRule type="cellIs" dxfId="23442" priority="23282" stopIfTrue="1" operator="equal">
      <formula>"Fail"</formula>
    </cfRule>
  </conditionalFormatting>
  <conditionalFormatting sqref="A847">
    <cfRule type="cellIs" dxfId="23441" priority="23279" stopIfTrue="1" operator="equal">
      <formula>"Pass"</formula>
    </cfRule>
    <cfRule type="cellIs" dxfId="23440" priority="23280" stopIfTrue="1" operator="equal">
      <formula>"Fail"</formula>
    </cfRule>
  </conditionalFormatting>
  <conditionalFormatting sqref="A847">
    <cfRule type="cellIs" dxfId="23439" priority="23277" stopIfTrue="1" operator="equal">
      <formula>"Pass"</formula>
    </cfRule>
    <cfRule type="cellIs" dxfId="23438" priority="23278" stopIfTrue="1" operator="equal">
      <formula>"Fail"</formula>
    </cfRule>
  </conditionalFormatting>
  <conditionalFormatting sqref="A847">
    <cfRule type="cellIs" dxfId="23437" priority="23275" stopIfTrue="1" operator="equal">
      <formula>"Pass"</formula>
    </cfRule>
    <cfRule type="cellIs" dxfId="23436" priority="23276" stopIfTrue="1" operator="equal">
      <formula>"Fail"</formula>
    </cfRule>
  </conditionalFormatting>
  <conditionalFormatting sqref="A847">
    <cfRule type="cellIs" dxfId="23435" priority="23273" stopIfTrue="1" operator="equal">
      <formula>"Pass"</formula>
    </cfRule>
    <cfRule type="cellIs" dxfId="23434" priority="23274" stopIfTrue="1" operator="equal">
      <formula>"Fail"</formula>
    </cfRule>
  </conditionalFormatting>
  <conditionalFormatting sqref="A847">
    <cfRule type="cellIs" dxfId="23433" priority="23271" stopIfTrue="1" operator="equal">
      <formula>"Pass"</formula>
    </cfRule>
    <cfRule type="cellIs" dxfId="23432" priority="23272" stopIfTrue="1" operator="equal">
      <formula>"Fail"</formula>
    </cfRule>
  </conditionalFormatting>
  <conditionalFormatting sqref="A847">
    <cfRule type="cellIs" dxfId="23431" priority="23269" stopIfTrue="1" operator="equal">
      <formula>"Pass"</formula>
    </cfRule>
    <cfRule type="cellIs" dxfId="23430" priority="23270" stopIfTrue="1" operator="equal">
      <formula>"Fail"</formula>
    </cfRule>
  </conditionalFormatting>
  <conditionalFormatting sqref="A847">
    <cfRule type="cellIs" dxfId="23429" priority="23267" stopIfTrue="1" operator="equal">
      <formula>"Pass"</formula>
    </cfRule>
    <cfRule type="cellIs" dxfId="23428" priority="23268" stopIfTrue="1" operator="equal">
      <formula>"Fail"</formula>
    </cfRule>
  </conditionalFormatting>
  <conditionalFormatting sqref="A847">
    <cfRule type="cellIs" dxfId="23427" priority="23265" stopIfTrue="1" operator="equal">
      <formula>"Pass"</formula>
    </cfRule>
    <cfRule type="cellIs" dxfId="23426" priority="23266" stopIfTrue="1" operator="equal">
      <formula>"Fail"</formula>
    </cfRule>
  </conditionalFormatting>
  <conditionalFormatting sqref="A847">
    <cfRule type="cellIs" dxfId="23425" priority="23263" stopIfTrue="1" operator="equal">
      <formula>"Pass"</formula>
    </cfRule>
    <cfRule type="cellIs" dxfId="23424" priority="23264" stopIfTrue="1" operator="equal">
      <formula>"Fail"</formula>
    </cfRule>
  </conditionalFormatting>
  <conditionalFormatting sqref="U847">
    <cfRule type="cellIs" dxfId="23423" priority="23261" stopIfTrue="1" operator="equal">
      <formula>"Fail"</formula>
    </cfRule>
    <cfRule type="cellIs" dxfId="23422" priority="23262" stopIfTrue="1" operator="equal">
      <formula>"Pass"</formula>
    </cfRule>
  </conditionalFormatting>
  <conditionalFormatting sqref="U847">
    <cfRule type="cellIs" dxfId="23421" priority="23259" stopIfTrue="1" operator="equal">
      <formula>"Fail"</formula>
    </cfRule>
    <cfRule type="cellIs" dxfId="23420" priority="23260" stopIfTrue="1" operator="equal">
      <formula>"Pass"</formula>
    </cfRule>
  </conditionalFormatting>
  <conditionalFormatting sqref="J847:J848">
    <cfRule type="cellIs" dxfId="23419" priority="23257" stopIfTrue="1" operator="equal">
      <formula>"Pass"</formula>
    </cfRule>
    <cfRule type="cellIs" dxfId="23418" priority="23258" stopIfTrue="1" operator="equal">
      <formula>"Fail"</formula>
    </cfRule>
  </conditionalFormatting>
  <conditionalFormatting sqref="H847:H848 I848">
    <cfRule type="cellIs" dxfId="23417" priority="23255" stopIfTrue="1" operator="equal">
      <formula>"Pass"</formula>
    </cfRule>
    <cfRule type="cellIs" dxfId="23416" priority="23256" stopIfTrue="1" operator="equal">
      <formula>"Fail"</formula>
    </cfRule>
  </conditionalFormatting>
  <conditionalFormatting sqref="F849 F847:G847 K847:N848">
    <cfRule type="cellIs" dxfId="23415" priority="23253" stopIfTrue="1" operator="equal">
      <formula>"Pass"</formula>
    </cfRule>
    <cfRule type="cellIs" dxfId="23414" priority="23254" stopIfTrue="1" operator="equal">
      <formula>"Fail"</formula>
    </cfRule>
  </conditionalFormatting>
  <conditionalFormatting sqref="T847:T849 U848:U849">
    <cfRule type="cellIs" dxfId="23413" priority="23251" stopIfTrue="1" operator="equal">
      <formula>"Fail"</formula>
    </cfRule>
    <cfRule type="cellIs" dxfId="23412" priority="23252" stopIfTrue="1" operator="equal">
      <formula>"Pass"</formula>
    </cfRule>
  </conditionalFormatting>
  <conditionalFormatting sqref="U847">
    <cfRule type="cellIs" dxfId="23411" priority="23249" stopIfTrue="1" operator="equal">
      <formula>"Fail"</formula>
    </cfRule>
    <cfRule type="cellIs" dxfId="23410" priority="23250" stopIfTrue="1" operator="equal">
      <formula>"Pass"</formula>
    </cfRule>
  </conditionalFormatting>
  <conditionalFormatting sqref="U847">
    <cfRule type="cellIs" dxfId="23409" priority="23247" stopIfTrue="1" operator="equal">
      <formula>"Fail"</formula>
    </cfRule>
    <cfRule type="cellIs" dxfId="23408" priority="23248" stopIfTrue="1" operator="equal">
      <formula>"Pass"</formula>
    </cfRule>
  </conditionalFormatting>
  <conditionalFormatting sqref="F847:G847 K847:N847">
    <cfRule type="cellIs" dxfId="23407" priority="23245" stopIfTrue="1" operator="equal">
      <formula>"Pass"</formula>
    </cfRule>
    <cfRule type="cellIs" dxfId="23406" priority="23246" stopIfTrue="1" operator="equal">
      <formula>"Fail"</formula>
    </cfRule>
  </conditionalFormatting>
  <conditionalFormatting sqref="K848:N848">
    <cfRule type="cellIs" dxfId="23405" priority="23243" stopIfTrue="1" operator="equal">
      <formula>"Pass"</formula>
    </cfRule>
    <cfRule type="cellIs" dxfId="23404" priority="23244" stopIfTrue="1" operator="equal">
      <formula>"Fail"</formula>
    </cfRule>
  </conditionalFormatting>
  <conditionalFormatting sqref="U847">
    <cfRule type="cellIs" dxfId="23403" priority="23241" stopIfTrue="1" operator="equal">
      <formula>"Fail"</formula>
    </cfRule>
    <cfRule type="cellIs" dxfId="23402" priority="23242" stopIfTrue="1" operator="equal">
      <formula>"Pass"</formula>
    </cfRule>
  </conditionalFormatting>
  <conditionalFormatting sqref="A847:A849">
    <cfRule type="cellIs" dxfId="23401" priority="23239" stopIfTrue="1" operator="equal">
      <formula>"Pass"</formula>
    </cfRule>
    <cfRule type="cellIs" dxfId="23400" priority="23240" stopIfTrue="1" operator="equal">
      <formula>"Fail"</formula>
    </cfRule>
  </conditionalFormatting>
  <conditionalFormatting sqref="A847:A849">
    <cfRule type="cellIs" dxfId="23399" priority="23237" stopIfTrue="1" operator="equal">
      <formula>"Pass"</formula>
    </cfRule>
    <cfRule type="cellIs" dxfId="23398" priority="23238" stopIfTrue="1" operator="equal">
      <formula>"Fail"</formula>
    </cfRule>
  </conditionalFormatting>
  <conditionalFormatting sqref="A847:A849">
    <cfRule type="cellIs" dxfId="23397" priority="23235" stopIfTrue="1" operator="equal">
      <formula>"Pass"</formula>
    </cfRule>
    <cfRule type="cellIs" dxfId="23396" priority="23236" stopIfTrue="1" operator="equal">
      <formula>"Fail"</formula>
    </cfRule>
  </conditionalFormatting>
  <conditionalFormatting sqref="A847:A849">
    <cfRule type="cellIs" dxfId="23395" priority="23233" stopIfTrue="1" operator="equal">
      <formula>"Pass"</formula>
    </cfRule>
    <cfRule type="cellIs" dxfId="23394" priority="23234" stopIfTrue="1" operator="equal">
      <formula>"Fail"</formula>
    </cfRule>
  </conditionalFormatting>
  <conditionalFormatting sqref="A847:A849">
    <cfRule type="cellIs" dxfId="23393" priority="23231" stopIfTrue="1" operator="equal">
      <formula>"Pass"</formula>
    </cfRule>
    <cfRule type="cellIs" dxfId="23392" priority="23232" stopIfTrue="1" operator="equal">
      <formula>"Fail"</formula>
    </cfRule>
  </conditionalFormatting>
  <conditionalFormatting sqref="A849">
    <cfRule type="cellIs" dxfId="23391" priority="23229" stopIfTrue="1" operator="equal">
      <formula>"Pass"</formula>
    </cfRule>
    <cfRule type="cellIs" dxfId="23390" priority="23230" stopIfTrue="1" operator="equal">
      <formula>"Fail"</formula>
    </cfRule>
  </conditionalFormatting>
  <conditionalFormatting sqref="A847:A849">
    <cfRule type="cellIs" dxfId="23389" priority="23227" stopIfTrue="1" operator="equal">
      <formula>"Pass"</formula>
    </cfRule>
    <cfRule type="cellIs" dxfId="23388" priority="23228" stopIfTrue="1" operator="equal">
      <formula>"Fail"</formula>
    </cfRule>
  </conditionalFormatting>
  <conditionalFormatting sqref="A847:A849">
    <cfRule type="cellIs" dxfId="23387" priority="23225" stopIfTrue="1" operator="equal">
      <formula>"Pass"</formula>
    </cfRule>
    <cfRule type="cellIs" dxfId="23386" priority="23226" stopIfTrue="1" operator="equal">
      <formula>"Fail"</formula>
    </cfRule>
  </conditionalFormatting>
  <conditionalFormatting sqref="A847:A849">
    <cfRule type="cellIs" dxfId="23385" priority="23223" stopIfTrue="1" operator="equal">
      <formula>"Pass"</formula>
    </cfRule>
    <cfRule type="cellIs" dxfId="23384" priority="23224" stopIfTrue="1" operator="equal">
      <formula>"Fail"</formula>
    </cfRule>
  </conditionalFormatting>
  <conditionalFormatting sqref="A847:A849">
    <cfRule type="cellIs" dxfId="23383" priority="23221" stopIfTrue="1" operator="equal">
      <formula>"Pass"</formula>
    </cfRule>
    <cfRule type="cellIs" dxfId="23382" priority="23222" stopIfTrue="1" operator="equal">
      <formula>"Fail"</formula>
    </cfRule>
  </conditionalFormatting>
  <conditionalFormatting sqref="A847:A849">
    <cfRule type="cellIs" dxfId="23381" priority="23219" stopIfTrue="1" operator="equal">
      <formula>"Pass"</formula>
    </cfRule>
    <cfRule type="cellIs" dxfId="23380" priority="23220" stopIfTrue="1" operator="equal">
      <formula>"Fail"</formula>
    </cfRule>
  </conditionalFormatting>
  <conditionalFormatting sqref="A847:A849">
    <cfRule type="cellIs" dxfId="23379" priority="23217" stopIfTrue="1" operator="equal">
      <formula>"Pass"</formula>
    </cfRule>
    <cfRule type="cellIs" dxfId="23378" priority="23218" stopIfTrue="1" operator="equal">
      <formula>"Fail"</formula>
    </cfRule>
  </conditionalFormatting>
  <conditionalFormatting sqref="A849">
    <cfRule type="cellIs" dxfId="23377" priority="23215" stopIfTrue="1" operator="equal">
      <formula>"Pass"</formula>
    </cfRule>
    <cfRule type="cellIs" dxfId="23376" priority="23216" stopIfTrue="1" operator="equal">
      <formula>"Fail"</formula>
    </cfRule>
  </conditionalFormatting>
  <conditionalFormatting sqref="A847:A849">
    <cfRule type="cellIs" dxfId="23375" priority="23213" stopIfTrue="1" operator="equal">
      <formula>"Pass"</formula>
    </cfRule>
    <cfRule type="cellIs" dxfId="23374" priority="23214" stopIfTrue="1" operator="equal">
      <formula>"Fail"</formula>
    </cfRule>
  </conditionalFormatting>
  <conditionalFormatting sqref="J847:J848">
    <cfRule type="cellIs" dxfId="23373" priority="23211" stopIfTrue="1" operator="equal">
      <formula>"Pass"</formula>
    </cfRule>
    <cfRule type="cellIs" dxfId="23372" priority="23212" stopIfTrue="1" operator="equal">
      <formula>"Fail"</formula>
    </cfRule>
  </conditionalFormatting>
  <conditionalFormatting sqref="H847:H848 I848">
    <cfRule type="cellIs" dxfId="23371" priority="23209" stopIfTrue="1" operator="equal">
      <formula>"Pass"</formula>
    </cfRule>
    <cfRule type="cellIs" dxfId="23370" priority="23210" stopIfTrue="1" operator="equal">
      <formula>"Fail"</formula>
    </cfRule>
  </conditionalFormatting>
  <conditionalFormatting sqref="F849 F847:G847 K847:N848">
    <cfRule type="cellIs" dxfId="23369" priority="23207" stopIfTrue="1" operator="equal">
      <formula>"Pass"</formula>
    </cfRule>
    <cfRule type="cellIs" dxfId="23368" priority="23208" stopIfTrue="1" operator="equal">
      <formula>"Fail"</formula>
    </cfRule>
  </conditionalFormatting>
  <conditionalFormatting sqref="T847:T849 U848:U849">
    <cfRule type="cellIs" dxfId="23367" priority="23205" stopIfTrue="1" operator="equal">
      <formula>"Fail"</formula>
    </cfRule>
    <cfRule type="cellIs" dxfId="23366" priority="23206" stopIfTrue="1" operator="equal">
      <formula>"Pass"</formula>
    </cfRule>
  </conditionalFormatting>
  <conditionalFormatting sqref="U847">
    <cfRule type="cellIs" dxfId="23365" priority="23203" stopIfTrue="1" operator="equal">
      <formula>"Fail"</formula>
    </cfRule>
    <cfRule type="cellIs" dxfId="23364" priority="23204" stopIfTrue="1" operator="equal">
      <formula>"Pass"</formula>
    </cfRule>
  </conditionalFormatting>
  <conditionalFormatting sqref="U847">
    <cfRule type="cellIs" dxfId="23363" priority="23201" stopIfTrue="1" operator="equal">
      <formula>"Fail"</formula>
    </cfRule>
    <cfRule type="cellIs" dxfId="23362" priority="23202" stopIfTrue="1" operator="equal">
      <formula>"Pass"</formula>
    </cfRule>
  </conditionalFormatting>
  <conditionalFormatting sqref="J847:J848">
    <cfRule type="cellIs" dxfId="23361" priority="23199" stopIfTrue="1" operator="equal">
      <formula>"Pass"</formula>
    </cfRule>
    <cfRule type="cellIs" dxfId="23360" priority="23200" stopIfTrue="1" operator="equal">
      <formula>"Fail"</formula>
    </cfRule>
  </conditionalFormatting>
  <conditionalFormatting sqref="H847:H848 I848">
    <cfRule type="cellIs" dxfId="23359" priority="23197" stopIfTrue="1" operator="equal">
      <formula>"Pass"</formula>
    </cfRule>
    <cfRule type="cellIs" dxfId="23358" priority="23198" stopIfTrue="1" operator="equal">
      <formula>"Fail"</formula>
    </cfRule>
  </conditionalFormatting>
  <conditionalFormatting sqref="F849 F847:G847 K847:N848">
    <cfRule type="cellIs" dxfId="23357" priority="23195" stopIfTrue="1" operator="equal">
      <formula>"Pass"</formula>
    </cfRule>
    <cfRule type="cellIs" dxfId="23356" priority="23196" stopIfTrue="1" operator="equal">
      <formula>"Fail"</formula>
    </cfRule>
  </conditionalFormatting>
  <conditionalFormatting sqref="T847:T849 U848:U849">
    <cfRule type="cellIs" dxfId="23355" priority="23193" stopIfTrue="1" operator="equal">
      <formula>"Fail"</formula>
    </cfRule>
    <cfRule type="cellIs" dxfId="23354" priority="23194" stopIfTrue="1" operator="equal">
      <formula>"Pass"</formula>
    </cfRule>
  </conditionalFormatting>
  <conditionalFormatting sqref="U847">
    <cfRule type="cellIs" dxfId="23353" priority="23191" stopIfTrue="1" operator="equal">
      <formula>"Fail"</formula>
    </cfRule>
    <cfRule type="cellIs" dxfId="23352" priority="23192" stopIfTrue="1" operator="equal">
      <formula>"Pass"</formula>
    </cfRule>
  </conditionalFormatting>
  <conditionalFormatting sqref="U847">
    <cfRule type="cellIs" dxfId="23351" priority="23189" stopIfTrue="1" operator="equal">
      <formula>"Fail"</formula>
    </cfRule>
    <cfRule type="cellIs" dxfId="23350" priority="23190" stopIfTrue="1" operator="equal">
      <formula>"Pass"</formula>
    </cfRule>
  </conditionalFormatting>
  <conditionalFormatting sqref="F847:G847 K847:N847">
    <cfRule type="cellIs" dxfId="23349" priority="23187" stopIfTrue="1" operator="equal">
      <formula>"Pass"</formula>
    </cfRule>
    <cfRule type="cellIs" dxfId="23348" priority="23188" stopIfTrue="1" operator="equal">
      <formula>"Fail"</formula>
    </cfRule>
  </conditionalFormatting>
  <conditionalFormatting sqref="K848:N848">
    <cfRule type="cellIs" dxfId="23347" priority="23185" stopIfTrue="1" operator="equal">
      <formula>"Pass"</formula>
    </cfRule>
    <cfRule type="cellIs" dxfId="23346" priority="23186" stopIfTrue="1" operator="equal">
      <formula>"Fail"</formula>
    </cfRule>
  </conditionalFormatting>
  <conditionalFormatting sqref="U847">
    <cfRule type="cellIs" dxfId="23345" priority="23183" stopIfTrue="1" operator="equal">
      <formula>"Fail"</formula>
    </cfRule>
    <cfRule type="cellIs" dxfId="23344" priority="23184" stopIfTrue="1" operator="equal">
      <formula>"Pass"</formula>
    </cfRule>
  </conditionalFormatting>
  <conditionalFormatting sqref="J847:J848">
    <cfRule type="cellIs" dxfId="23343" priority="23181" stopIfTrue="1" operator="equal">
      <formula>"Pass"</formula>
    </cfRule>
    <cfRule type="cellIs" dxfId="23342" priority="23182" stopIfTrue="1" operator="equal">
      <formula>"Fail"</formula>
    </cfRule>
  </conditionalFormatting>
  <conditionalFormatting sqref="H847:H848 I848">
    <cfRule type="cellIs" dxfId="23341" priority="23179" stopIfTrue="1" operator="equal">
      <formula>"Pass"</formula>
    </cfRule>
    <cfRule type="cellIs" dxfId="23340" priority="23180" stopIfTrue="1" operator="equal">
      <formula>"Fail"</formula>
    </cfRule>
  </conditionalFormatting>
  <conditionalFormatting sqref="F847:G847 K847:N848">
    <cfRule type="cellIs" dxfId="23339" priority="23177" stopIfTrue="1" operator="equal">
      <formula>"Pass"</formula>
    </cfRule>
    <cfRule type="cellIs" dxfId="23338" priority="23178" stopIfTrue="1" operator="equal">
      <formula>"Fail"</formula>
    </cfRule>
  </conditionalFormatting>
  <conditionalFormatting sqref="T847:T848 U848">
    <cfRule type="cellIs" dxfId="23337" priority="23175" stopIfTrue="1" operator="equal">
      <formula>"Fail"</formula>
    </cfRule>
    <cfRule type="cellIs" dxfId="23336" priority="23176" stopIfTrue="1" operator="equal">
      <formula>"Pass"</formula>
    </cfRule>
  </conditionalFormatting>
  <conditionalFormatting sqref="U847">
    <cfRule type="cellIs" dxfId="23335" priority="23173" stopIfTrue="1" operator="equal">
      <formula>"Fail"</formula>
    </cfRule>
    <cfRule type="cellIs" dxfId="23334" priority="23174" stopIfTrue="1" operator="equal">
      <formula>"Pass"</formula>
    </cfRule>
  </conditionalFormatting>
  <conditionalFormatting sqref="U847">
    <cfRule type="cellIs" dxfId="23333" priority="23171" stopIfTrue="1" operator="equal">
      <formula>"Fail"</formula>
    </cfRule>
    <cfRule type="cellIs" dxfId="23332" priority="23172" stopIfTrue="1" operator="equal">
      <formula>"Pass"</formula>
    </cfRule>
  </conditionalFormatting>
  <conditionalFormatting sqref="J847:J848">
    <cfRule type="cellIs" dxfId="23331" priority="23169" stopIfTrue="1" operator="equal">
      <formula>"Pass"</formula>
    </cfRule>
    <cfRule type="cellIs" dxfId="23330" priority="23170" stopIfTrue="1" operator="equal">
      <formula>"Fail"</formula>
    </cfRule>
  </conditionalFormatting>
  <conditionalFormatting sqref="H847:H848 I848">
    <cfRule type="cellIs" dxfId="23329" priority="23167" stopIfTrue="1" operator="equal">
      <formula>"Pass"</formula>
    </cfRule>
    <cfRule type="cellIs" dxfId="23328" priority="23168" stopIfTrue="1" operator="equal">
      <formula>"Fail"</formula>
    </cfRule>
  </conditionalFormatting>
  <conditionalFormatting sqref="F847:G847 K847:N848">
    <cfRule type="cellIs" dxfId="23327" priority="23165" stopIfTrue="1" operator="equal">
      <formula>"Pass"</formula>
    </cfRule>
    <cfRule type="cellIs" dxfId="23326" priority="23166" stopIfTrue="1" operator="equal">
      <formula>"Fail"</formula>
    </cfRule>
  </conditionalFormatting>
  <conditionalFormatting sqref="T847:T848 U848">
    <cfRule type="cellIs" dxfId="23325" priority="23163" stopIfTrue="1" operator="equal">
      <formula>"Fail"</formula>
    </cfRule>
    <cfRule type="cellIs" dxfId="23324" priority="23164" stopIfTrue="1" operator="equal">
      <formula>"Pass"</formula>
    </cfRule>
  </conditionalFormatting>
  <conditionalFormatting sqref="U847">
    <cfRule type="cellIs" dxfId="23323" priority="23161" stopIfTrue="1" operator="equal">
      <formula>"Fail"</formula>
    </cfRule>
    <cfRule type="cellIs" dxfId="23322" priority="23162" stopIfTrue="1" operator="equal">
      <formula>"Pass"</formula>
    </cfRule>
  </conditionalFormatting>
  <conditionalFormatting sqref="U847">
    <cfRule type="cellIs" dxfId="23321" priority="23159" stopIfTrue="1" operator="equal">
      <formula>"Fail"</formula>
    </cfRule>
    <cfRule type="cellIs" dxfId="23320" priority="23160" stopIfTrue="1" operator="equal">
      <formula>"Pass"</formula>
    </cfRule>
  </conditionalFormatting>
  <conditionalFormatting sqref="F847:G847 K847:N847">
    <cfRule type="cellIs" dxfId="23319" priority="23157" stopIfTrue="1" operator="equal">
      <formula>"Pass"</formula>
    </cfRule>
    <cfRule type="cellIs" dxfId="23318" priority="23158" stopIfTrue="1" operator="equal">
      <formula>"Fail"</formula>
    </cfRule>
  </conditionalFormatting>
  <conditionalFormatting sqref="K848:N848">
    <cfRule type="cellIs" dxfId="23317" priority="23155" stopIfTrue="1" operator="equal">
      <formula>"Pass"</formula>
    </cfRule>
    <cfRule type="cellIs" dxfId="23316" priority="23156" stopIfTrue="1" operator="equal">
      <formula>"Fail"</formula>
    </cfRule>
  </conditionalFormatting>
  <conditionalFormatting sqref="U847">
    <cfRule type="cellIs" dxfId="23315" priority="23153" stopIfTrue="1" operator="equal">
      <formula>"Fail"</formula>
    </cfRule>
    <cfRule type="cellIs" dxfId="23314" priority="23154" stopIfTrue="1" operator="equal">
      <formula>"Pass"</formula>
    </cfRule>
  </conditionalFormatting>
  <conditionalFormatting sqref="U847">
    <cfRule type="cellIs" dxfId="23313" priority="23151" stopIfTrue="1" operator="equal">
      <formula>"Fail"</formula>
    </cfRule>
    <cfRule type="cellIs" dxfId="23312" priority="23152" stopIfTrue="1" operator="equal">
      <formula>"Pass"</formula>
    </cfRule>
  </conditionalFormatting>
  <conditionalFormatting sqref="U847">
    <cfRule type="cellIs" dxfId="23311" priority="23149" stopIfTrue="1" operator="equal">
      <formula>"Fail"</formula>
    </cfRule>
    <cfRule type="cellIs" dxfId="23310" priority="23150" stopIfTrue="1" operator="equal">
      <formula>"Pass"</formula>
    </cfRule>
  </conditionalFormatting>
  <conditionalFormatting sqref="U847">
    <cfRule type="cellIs" dxfId="23309" priority="23147" stopIfTrue="1" operator="equal">
      <formula>"Fail"</formula>
    </cfRule>
    <cfRule type="cellIs" dxfId="23308" priority="23148" stopIfTrue="1" operator="equal">
      <formula>"Pass"</formula>
    </cfRule>
  </conditionalFormatting>
  <conditionalFormatting sqref="A850:A852">
    <cfRule type="cellIs" dxfId="23307" priority="23145" stopIfTrue="1" operator="equal">
      <formula>"Pass"</formula>
    </cfRule>
    <cfRule type="cellIs" dxfId="23306" priority="23146" stopIfTrue="1" operator="equal">
      <formula>"Fail"</formula>
    </cfRule>
  </conditionalFormatting>
  <conditionalFormatting sqref="A850:A852">
    <cfRule type="cellIs" dxfId="23305" priority="23143" stopIfTrue="1" operator="equal">
      <formula>"Pass"</formula>
    </cfRule>
    <cfRule type="cellIs" dxfId="23304" priority="23144" stopIfTrue="1" operator="equal">
      <formula>"Fail"</formula>
    </cfRule>
  </conditionalFormatting>
  <conditionalFormatting sqref="A850:A852">
    <cfRule type="cellIs" dxfId="23303" priority="23141" stopIfTrue="1" operator="equal">
      <formula>"Pass"</formula>
    </cfRule>
    <cfRule type="cellIs" dxfId="23302" priority="23142" stopIfTrue="1" operator="equal">
      <formula>"Fail"</formula>
    </cfRule>
  </conditionalFormatting>
  <conditionalFormatting sqref="A850:A852">
    <cfRule type="cellIs" dxfId="23301" priority="23139" stopIfTrue="1" operator="equal">
      <formula>"Pass"</formula>
    </cfRule>
    <cfRule type="cellIs" dxfId="23300" priority="23140" stopIfTrue="1" operator="equal">
      <formula>"Fail"</formula>
    </cfRule>
  </conditionalFormatting>
  <conditionalFormatting sqref="A850:A852">
    <cfRule type="cellIs" dxfId="23299" priority="23137" stopIfTrue="1" operator="equal">
      <formula>"Pass"</formula>
    </cfRule>
    <cfRule type="cellIs" dxfId="23298" priority="23138" stopIfTrue="1" operator="equal">
      <formula>"Fail"</formula>
    </cfRule>
  </conditionalFormatting>
  <conditionalFormatting sqref="A852">
    <cfRule type="cellIs" dxfId="23297" priority="23135" stopIfTrue="1" operator="equal">
      <formula>"Pass"</formula>
    </cfRule>
    <cfRule type="cellIs" dxfId="23296" priority="23136" stopIfTrue="1" operator="equal">
      <formula>"Fail"</formula>
    </cfRule>
  </conditionalFormatting>
  <conditionalFormatting sqref="A850:A852">
    <cfRule type="cellIs" dxfId="23295" priority="23133" stopIfTrue="1" operator="equal">
      <formula>"Pass"</formula>
    </cfRule>
    <cfRule type="cellIs" dxfId="23294" priority="23134" stopIfTrue="1" operator="equal">
      <formula>"Fail"</formula>
    </cfRule>
  </conditionalFormatting>
  <conditionalFormatting sqref="H850:H851">
    <cfRule type="cellIs" dxfId="23293" priority="23131" stopIfTrue="1" operator="equal">
      <formula>"Pass"</formula>
    </cfRule>
    <cfRule type="cellIs" dxfId="23292" priority="23132" stopIfTrue="1" operator="equal">
      <formula>"Fail"</formula>
    </cfRule>
  </conditionalFormatting>
  <conditionalFormatting sqref="E850:F850 I850:M851 E852:F852 A850">
    <cfRule type="cellIs" dxfId="23291" priority="23129" stopIfTrue="1" operator="equal">
      <formula>"Pass"</formula>
    </cfRule>
    <cfRule type="cellIs" dxfId="23290" priority="23130" stopIfTrue="1" operator="equal">
      <formula>"Fail"</formula>
    </cfRule>
  </conditionalFormatting>
  <conditionalFormatting sqref="T852 T850 R850:R852 S851:S852">
    <cfRule type="cellIs" dxfId="23289" priority="23127" stopIfTrue="1" operator="equal">
      <formula>"Fail"</formula>
    </cfRule>
    <cfRule type="cellIs" dxfId="23288" priority="23128" stopIfTrue="1" operator="equal">
      <formula>"Pass"</formula>
    </cfRule>
  </conditionalFormatting>
  <conditionalFormatting sqref="F850:G850 F852:G852 B850:B852 A850 J850:N851">
    <cfRule type="cellIs" dxfId="23287" priority="23125" stopIfTrue="1" operator="equal">
      <formula>"Pass"</formula>
    </cfRule>
    <cfRule type="cellIs" dxfId="23286" priority="23126" stopIfTrue="1" operator="equal">
      <formula>"Fail"</formula>
    </cfRule>
  </conditionalFormatting>
  <conditionalFormatting sqref="U852 T850:T852 S851:S852">
    <cfRule type="cellIs" dxfId="23285" priority="23123" stopIfTrue="1" operator="equal">
      <formula>"Fail"</formula>
    </cfRule>
    <cfRule type="cellIs" dxfId="23284" priority="23124" stopIfTrue="1" operator="equal">
      <formula>"Pass"</formula>
    </cfRule>
  </conditionalFormatting>
  <conditionalFormatting sqref="A850">
    <cfRule type="cellIs" dxfId="23283" priority="23121" stopIfTrue="1" operator="equal">
      <formula>"Pass"</formula>
    </cfRule>
    <cfRule type="cellIs" dxfId="23282" priority="23122" stopIfTrue="1" operator="equal">
      <formula>"Fail"</formula>
    </cfRule>
  </conditionalFormatting>
  <conditionalFormatting sqref="A850">
    <cfRule type="cellIs" dxfId="23281" priority="23119" stopIfTrue="1" operator="equal">
      <formula>"Pass"</formula>
    </cfRule>
    <cfRule type="cellIs" dxfId="23280" priority="23120" stopIfTrue="1" operator="equal">
      <formula>"Fail"</formula>
    </cfRule>
  </conditionalFormatting>
  <conditionalFormatting sqref="A850">
    <cfRule type="cellIs" dxfId="23279" priority="23117" stopIfTrue="1" operator="equal">
      <formula>"Pass"</formula>
    </cfRule>
    <cfRule type="cellIs" dxfId="23278" priority="23118" stopIfTrue="1" operator="equal">
      <formula>"Fail"</formula>
    </cfRule>
  </conditionalFormatting>
  <conditionalFormatting sqref="A850">
    <cfRule type="cellIs" dxfId="23277" priority="23115" stopIfTrue="1" operator="equal">
      <formula>"Pass"</formula>
    </cfRule>
    <cfRule type="cellIs" dxfId="23276" priority="23116" stopIfTrue="1" operator="equal">
      <formula>"Fail"</formula>
    </cfRule>
  </conditionalFormatting>
  <conditionalFormatting sqref="A850">
    <cfRule type="cellIs" dxfId="23275" priority="23113" stopIfTrue="1" operator="equal">
      <formula>"Pass"</formula>
    </cfRule>
    <cfRule type="cellIs" dxfId="23274" priority="23114" stopIfTrue="1" operator="equal">
      <formula>"Fail"</formula>
    </cfRule>
  </conditionalFormatting>
  <conditionalFormatting sqref="A850">
    <cfRule type="cellIs" dxfId="23273" priority="23111" stopIfTrue="1" operator="equal">
      <formula>"Pass"</formula>
    </cfRule>
    <cfRule type="cellIs" dxfId="23272" priority="23112" stopIfTrue="1" operator="equal">
      <formula>"Fail"</formula>
    </cfRule>
  </conditionalFormatting>
  <conditionalFormatting sqref="A850">
    <cfRule type="cellIs" dxfId="23271" priority="23109" stopIfTrue="1" operator="equal">
      <formula>"Pass"</formula>
    </cfRule>
    <cfRule type="cellIs" dxfId="23270" priority="23110" stopIfTrue="1" operator="equal">
      <formula>"Fail"</formula>
    </cfRule>
  </conditionalFormatting>
  <conditionalFormatting sqref="A850">
    <cfRule type="cellIs" dxfId="23269" priority="23107" stopIfTrue="1" operator="equal">
      <formula>"Pass"</formula>
    </cfRule>
    <cfRule type="cellIs" dxfId="23268" priority="23108" stopIfTrue="1" operator="equal">
      <formula>"Fail"</formula>
    </cfRule>
  </conditionalFormatting>
  <conditionalFormatting sqref="A850">
    <cfRule type="cellIs" dxfId="23267" priority="23105" stopIfTrue="1" operator="equal">
      <formula>"Pass"</formula>
    </cfRule>
    <cfRule type="cellIs" dxfId="23266" priority="23106" stopIfTrue="1" operator="equal">
      <formula>"Fail"</formula>
    </cfRule>
  </conditionalFormatting>
  <conditionalFormatting sqref="A850">
    <cfRule type="cellIs" dxfId="23265" priority="23103" stopIfTrue="1" operator="equal">
      <formula>"Pass"</formula>
    </cfRule>
    <cfRule type="cellIs" dxfId="23264" priority="23104" stopIfTrue="1" operator="equal">
      <formula>"Fail"</formula>
    </cfRule>
  </conditionalFormatting>
  <conditionalFormatting sqref="U850">
    <cfRule type="cellIs" dxfId="23263" priority="23101" stopIfTrue="1" operator="equal">
      <formula>"Fail"</formula>
    </cfRule>
    <cfRule type="cellIs" dxfId="23262" priority="23102" stopIfTrue="1" operator="equal">
      <formula>"Pass"</formula>
    </cfRule>
  </conditionalFormatting>
  <conditionalFormatting sqref="F850:G850 J850:N850">
    <cfRule type="cellIs" dxfId="23261" priority="23099" stopIfTrue="1" operator="equal">
      <formula>"Pass"</formula>
    </cfRule>
    <cfRule type="cellIs" dxfId="23260" priority="23100" stopIfTrue="1" operator="equal">
      <formula>"Fail"</formula>
    </cfRule>
  </conditionalFormatting>
  <conditionalFormatting sqref="J851:N851">
    <cfRule type="cellIs" dxfId="23259" priority="23097" stopIfTrue="1" operator="equal">
      <formula>"Pass"</formula>
    </cfRule>
    <cfRule type="cellIs" dxfId="23258" priority="23098" stopIfTrue="1" operator="equal">
      <formula>"Fail"</formula>
    </cfRule>
  </conditionalFormatting>
  <conditionalFormatting sqref="A850:A852">
    <cfRule type="cellIs" dxfId="23257" priority="23095" stopIfTrue="1" operator="equal">
      <formula>"Pass"</formula>
    </cfRule>
    <cfRule type="cellIs" dxfId="23256" priority="23096" stopIfTrue="1" operator="equal">
      <formula>"Fail"</formula>
    </cfRule>
  </conditionalFormatting>
  <conditionalFormatting sqref="A850:A852">
    <cfRule type="cellIs" dxfId="23255" priority="23093" stopIfTrue="1" operator="equal">
      <formula>"Pass"</formula>
    </cfRule>
    <cfRule type="cellIs" dxfId="23254" priority="23094" stopIfTrue="1" operator="equal">
      <formula>"Fail"</formula>
    </cfRule>
  </conditionalFormatting>
  <conditionalFormatting sqref="A850:A852">
    <cfRule type="cellIs" dxfId="23253" priority="23091" stopIfTrue="1" operator="equal">
      <formula>"Pass"</formula>
    </cfRule>
    <cfRule type="cellIs" dxfId="23252" priority="23092" stopIfTrue="1" operator="equal">
      <formula>"Fail"</formula>
    </cfRule>
  </conditionalFormatting>
  <conditionalFormatting sqref="A850:A852">
    <cfRule type="cellIs" dxfId="23251" priority="23089" stopIfTrue="1" operator="equal">
      <formula>"Pass"</formula>
    </cfRule>
    <cfRule type="cellIs" dxfId="23250" priority="23090" stopIfTrue="1" operator="equal">
      <formula>"Fail"</formula>
    </cfRule>
  </conditionalFormatting>
  <conditionalFormatting sqref="A850:A852">
    <cfRule type="cellIs" dxfId="23249" priority="23087" stopIfTrue="1" operator="equal">
      <formula>"Pass"</formula>
    </cfRule>
    <cfRule type="cellIs" dxfId="23248" priority="23088" stopIfTrue="1" operator="equal">
      <formula>"Fail"</formula>
    </cfRule>
  </conditionalFormatting>
  <conditionalFormatting sqref="A852">
    <cfRule type="cellIs" dxfId="23247" priority="23085" stopIfTrue="1" operator="equal">
      <formula>"Pass"</formula>
    </cfRule>
    <cfRule type="cellIs" dxfId="23246" priority="23086" stopIfTrue="1" operator="equal">
      <formula>"Fail"</formula>
    </cfRule>
  </conditionalFormatting>
  <conditionalFormatting sqref="A850:A852">
    <cfRule type="cellIs" dxfId="23245" priority="23083" stopIfTrue="1" operator="equal">
      <formula>"Pass"</formula>
    </cfRule>
    <cfRule type="cellIs" dxfId="23244" priority="23084" stopIfTrue="1" operator="equal">
      <formula>"Fail"</formula>
    </cfRule>
  </conditionalFormatting>
  <conditionalFormatting sqref="A850:A852">
    <cfRule type="cellIs" dxfId="23243" priority="23081" stopIfTrue="1" operator="equal">
      <formula>"Pass"</formula>
    </cfRule>
    <cfRule type="cellIs" dxfId="23242" priority="23082" stopIfTrue="1" operator="equal">
      <formula>"Fail"</formula>
    </cfRule>
  </conditionalFormatting>
  <conditionalFormatting sqref="A850:A852">
    <cfRule type="cellIs" dxfId="23241" priority="23079" stopIfTrue="1" operator="equal">
      <formula>"Pass"</formula>
    </cfRule>
    <cfRule type="cellIs" dxfId="23240" priority="23080" stopIfTrue="1" operator="equal">
      <formula>"Fail"</formula>
    </cfRule>
  </conditionalFormatting>
  <conditionalFormatting sqref="A850:A852">
    <cfRule type="cellIs" dxfId="23239" priority="23077" stopIfTrue="1" operator="equal">
      <formula>"Pass"</formula>
    </cfRule>
    <cfRule type="cellIs" dxfId="23238" priority="23078" stopIfTrue="1" operator="equal">
      <formula>"Fail"</formula>
    </cfRule>
  </conditionalFormatting>
  <conditionalFormatting sqref="A850:A852">
    <cfRule type="cellIs" dxfId="23237" priority="23075" stopIfTrue="1" operator="equal">
      <formula>"Pass"</formula>
    </cfRule>
    <cfRule type="cellIs" dxfId="23236" priority="23076" stopIfTrue="1" operator="equal">
      <formula>"Fail"</formula>
    </cfRule>
  </conditionalFormatting>
  <conditionalFormatting sqref="A850:A852">
    <cfRule type="cellIs" dxfId="23235" priority="23073" stopIfTrue="1" operator="equal">
      <formula>"Pass"</formula>
    </cfRule>
    <cfRule type="cellIs" dxfId="23234" priority="23074" stopIfTrue="1" operator="equal">
      <formula>"Fail"</formula>
    </cfRule>
  </conditionalFormatting>
  <conditionalFormatting sqref="A852">
    <cfRule type="cellIs" dxfId="23233" priority="23071" stopIfTrue="1" operator="equal">
      <formula>"Pass"</formula>
    </cfRule>
    <cfRule type="cellIs" dxfId="23232" priority="23072" stopIfTrue="1" operator="equal">
      <formula>"Fail"</formula>
    </cfRule>
  </conditionalFormatting>
  <conditionalFormatting sqref="A850:A852">
    <cfRule type="cellIs" dxfId="23231" priority="23069" stopIfTrue="1" operator="equal">
      <formula>"Pass"</formula>
    </cfRule>
    <cfRule type="cellIs" dxfId="23230" priority="23070" stopIfTrue="1" operator="equal">
      <formula>"Fail"</formula>
    </cfRule>
  </conditionalFormatting>
  <conditionalFormatting sqref="H850:H851">
    <cfRule type="cellIs" dxfId="23229" priority="23067" stopIfTrue="1" operator="equal">
      <formula>"Pass"</formula>
    </cfRule>
    <cfRule type="cellIs" dxfId="23228" priority="23068" stopIfTrue="1" operator="equal">
      <formula>"Fail"</formula>
    </cfRule>
  </conditionalFormatting>
  <conditionalFormatting sqref="F850 I850:M851 F852">
    <cfRule type="cellIs" dxfId="23227" priority="23065" stopIfTrue="1" operator="equal">
      <formula>"Pass"</formula>
    </cfRule>
    <cfRule type="cellIs" dxfId="23226" priority="23066" stopIfTrue="1" operator="equal">
      <formula>"Fail"</formula>
    </cfRule>
  </conditionalFormatting>
  <conditionalFormatting sqref="T852 T850 R850:R852 S851:S852">
    <cfRule type="cellIs" dxfId="23225" priority="23063" stopIfTrue="1" operator="equal">
      <formula>"Fail"</formula>
    </cfRule>
    <cfRule type="cellIs" dxfId="23224" priority="23064" stopIfTrue="1" operator="equal">
      <formula>"Pass"</formula>
    </cfRule>
  </conditionalFormatting>
  <conditionalFormatting sqref="F850:G850 F852:G852 J850:N851">
    <cfRule type="cellIs" dxfId="23223" priority="23061" stopIfTrue="1" operator="equal">
      <formula>"Pass"</formula>
    </cfRule>
    <cfRule type="cellIs" dxfId="23222" priority="23062" stopIfTrue="1" operator="equal">
      <formula>"Fail"</formula>
    </cfRule>
  </conditionalFormatting>
  <conditionalFormatting sqref="U852 T850:T852 S851:S852">
    <cfRule type="cellIs" dxfId="23221" priority="23059" stopIfTrue="1" operator="equal">
      <formula>"Fail"</formula>
    </cfRule>
    <cfRule type="cellIs" dxfId="23220" priority="23060" stopIfTrue="1" operator="equal">
      <formula>"Pass"</formula>
    </cfRule>
  </conditionalFormatting>
  <conditionalFormatting sqref="U850">
    <cfRule type="cellIs" dxfId="23219" priority="23057" stopIfTrue="1" operator="equal">
      <formula>"Fail"</formula>
    </cfRule>
    <cfRule type="cellIs" dxfId="23218" priority="23058" stopIfTrue="1" operator="equal">
      <formula>"Pass"</formula>
    </cfRule>
  </conditionalFormatting>
  <conditionalFormatting sqref="F850:G850 J850:N850">
    <cfRule type="cellIs" dxfId="23217" priority="23055" stopIfTrue="1" operator="equal">
      <formula>"Pass"</formula>
    </cfRule>
    <cfRule type="cellIs" dxfId="23216" priority="23056" stopIfTrue="1" operator="equal">
      <formula>"Fail"</formula>
    </cfRule>
  </conditionalFormatting>
  <conditionalFormatting sqref="J851:N851">
    <cfRule type="cellIs" dxfId="23215" priority="23053" stopIfTrue="1" operator="equal">
      <formula>"Pass"</formula>
    </cfRule>
    <cfRule type="cellIs" dxfId="23214" priority="23054" stopIfTrue="1" operator="equal">
      <formula>"Fail"</formula>
    </cfRule>
  </conditionalFormatting>
  <conditionalFormatting sqref="H850:H851">
    <cfRule type="cellIs" dxfId="23213" priority="23051" stopIfTrue="1" operator="equal">
      <formula>"Pass"</formula>
    </cfRule>
    <cfRule type="cellIs" dxfId="23212" priority="23052" stopIfTrue="1" operator="equal">
      <formula>"Fail"</formula>
    </cfRule>
  </conditionalFormatting>
  <conditionalFormatting sqref="F850 I850:M851 F852">
    <cfRule type="cellIs" dxfId="23211" priority="23049" stopIfTrue="1" operator="equal">
      <formula>"Pass"</formula>
    </cfRule>
    <cfRule type="cellIs" dxfId="23210" priority="23050" stopIfTrue="1" operator="equal">
      <formula>"Fail"</formula>
    </cfRule>
  </conditionalFormatting>
  <conditionalFormatting sqref="T852 T850 R850:R852 S851:S852">
    <cfRule type="cellIs" dxfId="23209" priority="23047" stopIfTrue="1" operator="equal">
      <formula>"Fail"</formula>
    </cfRule>
    <cfRule type="cellIs" dxfId="23208" priority="23048" stopIfTrue="1" operator="equal">
      <formula>"Pass"</formula>
    </cfRule>
  </conditionalFormatting>
  <conditionalFormatting sqref="F850:G850 F852:G852 J850:N851">
    <cfRule type="cellIs" dxfId="23207" priority="23045" stopIfTrue="1" operator="equal">
      <formula>"Pass"</formula>
    </cfRule>
    <cfRule type="cellIs" dxfId="23206" priority="23046" stopIfTrue="1" operator="equal">
      <formula>"Fail"</formula>
    </cfRule>
  </conditionalFormatting>
  <conditionalFormatting sqref="U852 T850:T852 S851:S852">
    <cfRule type="cellIs" dxfId="23205" priority="23043" stopIfTrue="1" operator="equal">
      <formula>"Fail"</formula>
    </cfRule>
    <cfRule type="cellIs" dxfId="23204" priority="23044" stopIfTrue="1" operator="equal">
      <formula>"Pass"</formula>
    </cfRule>
  </conditionalFormatting>
  <conditionalFormatting sqref="U850">
    <cfRule type="cellIs" dxfId="23203" priority="23041" stopIfTrue="1" operator="equal">
      <formula>"Fail"</formula>
    </cfRule>
    <cfRule type="cellIs" dxfId="23202" priority="23042" stopIfTrue="1" operator="equal">
      <formula>"Pass"</formula>
    </cfRule>
  </conditionalFormatting>
  <conditionalFormatting sqref="F850:G850 J850:N850">
    <cfRule type="cellIs" dxfId="23201" priority="23039" stopIfTrue="1" operator="equal">
      <formula>"Pass"</formula>
    </cfRule>
    <cfRule type="cellIs" dxfId="23200" priority="23040" stopIfTrue="1" operator="equal">
      <formula>"Fail"</formula>
    </cfRule>
  </conditionalFormatting>
  <conditionalFormatting sqref="J851:N851">
    <cfRule type="cellIs" dxfId="23199" priority="23037" stopIfTrue="1" operator="equal">
      <formula>"Pass"</formula>
    </cfRule>
    <cfRule type="cellIs" dxfId="23198" priority="23038" stopIfTrue="1" operator="equal">
      <formula>"Fail"</formula>
    </cfRule>
  </conditionalFormatting>
  <conditionalFormatting sqref="U850">
    <cfRule type="cellIs" dxfId="23197" priority="23035" stopIfTrue="1" operator="equal">
      <formula>"Fail"</formula>
    </cfRule>
    <cfRule type="cellIs" dxfId="23196" priority="23036" stopIfTrue="1" operator="equal">
      <formula>"Pass"</formula>
    </cfRule>
  </conditionalFormatting>
  <conditionalFormatting sqref="U850">
    <cfRule type="cellIs" dxfId="23195" priority="23033" stopIfTrue="1" operator="equal">
      <formula>"Fail"</formula>
    </cfRule>
    <cfRule type="cellIs" dxfId="23194" priority="23034" stopIfTrue="1" operator="equal">
      <formula>"Pass"</formula>
    </cfRule>
  </conditionalFormatting>
  <conditionalFormatting sqref="U850">
    <cfRule type="cellIs" dxfId="23193" priority="23031" stopIfTrue="1" operator="equal">
      <formula>"Fail"</formula>
    </cfRule>
    <cfRule type="cellIs" dxfId="23192" priority="23032" stopIfTrue="1" operator="equal">
      <formula>"Pass"</formula>
    </cfRule>
  </conditionalFormatting>
  <conditionalFormatting sqref="N850">
    <cfRule type="cellIs" dxfId="23191" priority="23029" stopIfTrue="1" operator="equal">
      <formula>"Pass"</formula>
    </cfRule>
    <cfRule type="cellIs" dxfId="23190" priority="23030" stopIfTrue="1" operator="equal">
      <formula>"Fail"</formula>
    </cfRule>
  </conditionalFormatting>
  <conditionalFormatting sqref="N850">
    <cfRule type="cellIs" dxfId="23189" priority="23027" stopIfTrue="1" operator="equal">
      <formula>"Pass"</formula>
    </cfRule>
    <cfRule type="cellIs" dxfId="23188" priority="23028" stopIfTrue="1" operator="equal">
      <formula>"Fail"</formula>
    </cfRule>
  </conditionalFormatting>
  <conditionalFormatting sqref="N850">
    <cfRule type="cellIs" dxfId="23187" priority="23025" stopIfTrue="1" operator="equal">
      <formula>"Pass"</formula>
    </cfRule>
    <cfRule type="cellIs" dxfId="23186" priority="23026" stopIfTrue="1" operator="equal">
      <formula>"Fail"</formula>
    </cfRule>
  </conditionalFormatting>
  <conditionalFormatting sqref="A847:A849">
    <cfRule type="cellIs" dxfId="23185" priority="23023" stopIfTrue="1" operator="equal">
      <formula>"Pass"</formula>
    </cfRule>
    <cfRule type="cellIs" dxfId="23184" priority="23024" stopIfTrue="1" operator="equal">
      <formula>"Fail"</formula>
    </cfRule>
  </conditionalFormatting>
  <conditionalFormatting sqref="A847:A849">
    <cfRule type="cellIs" dxfId="23183" priority="23021" stopIfTrue="1" operator="equal">
      <formula>"Pass"</formula>
    </cfRule>
    <cfRule type="cellIs" dxfId="23182" priority="23022" stopIfTrue="1" operator="equal">
      <formula>"Fail"</formula>
    </cfRule>
  </conditionalFormatting>
  <conditionalFormatting sqref="A847:A849">
    <cfRule type="cellIs" dxfId="23181" priority="23019" stopIfTrue="1" operator="equal">
      <formula>"Pass"</formula>
    </cfRule>
    <cfRule type="cellIs" dxfId="23180" priority="23020" stopIfTrue="1" operator="equal">
      <formula>"Fail"</formula>
    </cfRule>
  </conditionalFormatting>
  <conditionalFormatting sqref="A847:A849">
    <cfRule type="cellIs" dxfId="23179" priority="23017" stopIfTrue="1" operator="equal">
      <formula>"Pass"</formula>
    </cfRule>
    <cfRule type="cellIs" dxfId="23178" priority="23018" stopIfTrue="1" operator="equal">
      <formula>"Fail"</formula>
    </cfRule>
  </conditionalFormatting>
  <conditionalFormatting sqref="A847:A849">
    <cfRule type="cellIs" dxfId="23177" priority="23015" stopIfTrue="1" operator="equal">
      <formula>"Pass"</formula>
    </cfRule>
    <cfRule type="cellIs" dxfId="23176" priority="23016" stopIfTrue="1" operator="equal">
      <formula>"Fail"</formula>
    </cfRule>
  </conditionalFormatting>
  <conditionalFormatting sqref="A849">
    <cfRule type="cellIs" dxfId="23175" priority="23013" stopIfTrue="1" operator="equal">
      <formula>"Pass"</formula>
    </cfRule>
    <cfRule type="cellIs" dxfId="23174" priority="23014" stopIfTrue="1" operator="equal">
      <formula>"Fail"</formula>
    </cfRule>
  </conditionalFormatting>
  <conditionalFormatting sqref="A847:A849">
    <cfRule type="cellIs" dxfId="23173" priority="23011" stopIfTrue="1" operator="equal">
      <formula>"Pass"</formula>
    </cfRule>
    <cfRule type="cellIs" dxfId="23172" priority="23012" stopIfTrue="1" operator="equal">
      <formula>"Fail"</formula>
    </cfRule>
  </conditionalFormatting>
  <conditionalFormatting sqref="A847:A849">
    <cfRule type="cellIs" dxfId="23171" priority="23009" stopIfTrue="1" operator="equal">
      <formula>"Pass"</formula>
    </cfRule>
    <cfRule type="cellIs" dxfId="23170" priority="23010" stopIfTrue="1" operator="equal">
      <formula>"Fail"</formula>
    </cfRule>
  </conditionalFormatting>
  <conditionalFormatting sqref="A847:A849">
    <cfRule type="cellIs" dxfId="23169" priority="23007" stopIfTrue="1" operator="equal">
      <formula>"Pass"</formula>
    </cfRule>
    <cfRule type="cellIs" dxfId="23168" priority="23008" stopIfTrue="1" operator="equal">
      <formula>"Fail"</formula>
    </cfRule>
  </conditionalFormatting>
  <conditionalFormatting sqref="A847:A849">
    <cfRule type="cellIs" dxfId="23167" priority="23005" stopIfTrue="1" operator="equal">
      <formula>"Pass"</formula>
    </cfRule>
    <cfRule type="cellIs" dxfId="23166" priority="23006" stopIfTrue="1" operator="equal">
      <formula>"Fail"</formula>
    </cfRule>
  </conditionalFormatting>
  <conditionalFormatting sqref="A847:A849">
    <cfRule type="cellIs" dxfId="23165" priority="23003" stopIfTrue="1" operator="equal">
      <formula>"Pass"</formula>
    </cfRule>
    <cfRule type="cellIs" dxfId="23164" priority="23004" stopIfTrue="1" operator="equal">
      <formula>"Fail"</formula>
    </cfRule>
  </conditionalFormatting>
  <conditionalFormatting sqref="A847:A849">
    <cfRule type="cellIs" dxfId="23163" priority="23001" stopIfTrue="1" operator="equal">
      <formula>"Pass"</formula>
    </cfRule>
    <cfRule type="cellIs" dxfId="23162" priority="23002" stopIfTrue="1" operator="equal">
      <formula>"Fail"</formula>
    </cfRule>
  </conditionalFormatting>
  <conditionalFormatting sqref="A849">
    <cfRule type="cellIs" dxfId="23161" priority="22999" stopIfTrue="1" operator="equal">
      <formula>"Pass"</formula>
    </cfRule>
    <cfRule type="cellIs" dxfId="23160" priority="23000" stopIfTrue="1" operator="equal">
      <formula>"Fail"</formula>
    </cfRule>
  </conditionalFormatting>
  <conditionalFormatting sqref="A847:A849">
    <cfRule type="cellIs" dxfId="23159" priority="22997" stopIfTrue="1" operator="equal">
      <formula>"Pass"</formula>
    </cfRule>
    <cfRule type="cellIs" dxfId="23158" priority="22998" stopIfTrue="1" operator="equal">
      <formula>"Fail"</formula>
    </cfRule>
  </conditionalFormatting>
  <conditionalFormatting sqref="A847:A849">
    <cfRule type="cellIs" dxfId="23157" priority="22995" stopIfTrue="1" operator="equal">
      <formula>"Pass"</formula>
    </cfRule>
    <cfRule type="cellIs" dxfId="23156" priority="22996" stopIfTrue="1" operator="equal">
      <formula>"Fail"</formula>
    </cfRule>
  </conditionalFormatting>
  <conditionalFormatting sqref="A847:A849">
    <cfRule type="cellIs" dxfId="23155" priority="22993" stopIfTrue="1" operator="equal">
      <formula>"Pass"</formula>
    </cfRule>
    <cfRule type="cellIs" dxfId="23154" priority="22994" stopIfTrue="1" operator="equal">
      <formula>"Fail"</formula>
    </cfRule>
  </conditionalFormatting>
  <conditionalFormatting sqref="A847:A849">
    <cfRule type="cellIs" dxfId="23153" priority="22991" stopIfTrue="1" operator="equal">
      <formula>"Pass"</formula>
    </cfRule>
    <cfRule type="cellIs" dxfId="23152" priority="22992" stopIfTrue="1" operator="equal">
      <formula>"Fail"</formula>
    </cfRule>
  </conditionalFormatting>
  <conditionalFormatting sqref="A847:A849">
    <cfRule type="cellIs" dxfId="23151" priority="22989" stopIfTrue="1" operator="equal">
      <formula>"Pass"</formula>
    </cfRule>
    <cfRule type="cellIs" dxfId="23150" priority="22990" stopIfTrue="1" operator="equal">
      <formula>"Fail"</formula>
    </cfRule>
  </conditionalFormatting>
  <conditionalFormatting sqref="A847:A849">
    <cfRule type="cellIs" dxfId="23149" priority="22987" stopIfTrue="1" operator="equal">
      <formula>"Pass"</formula>
    </cfRule>
    <cfRule type="cellIs" dxfId="23148" priority="22988" stopIfTrue="1" operator="equal">
      <formula>"Fail"</formula>
    </cfRule>
  </conditionalFormatting>
  <conditionalFormatting sqref="A849">
    <cfRule type="cellIs" dxfId="23147" priority="22985" stopIfTrue="1" operator="equal">
      <formula>"Pass"</formula>
    </cfRule>
    <cfRule type="cellIs" dxfId="23146" priority="22986" stopIfTrue="1" operator="equal">
      <formula>"Fail"</formula>
    </cfRule>
  </conditionalFormatting>
  <conditionalFormatting sqref="A847:A849">
    <cfRule type="cellIs" dxfId="23145" priority="22983" stopIfTrue="1" operator="equal">
      <formula>"Pass"</formula>
    </cfRule>
    <cfRule type="cellIs" dxfId="23144" priority="22984" stopIfTrue="1" operator="equal">
      <formula>"Fail"</formula>
    </cfRule>
  </conditionalFormatting>
  <conditionalFormatting sqref="A850:A852">
    <cfRule type="cellIs" dxfId="23143" priority="22981" stopIfTrue="1" operator="equal">
      <formula>"Pass"</formula>
    </cfRule>
    <cfRule type="cellIs" dxfId="23142" priority="22982" stopIfTrue="1" operator="equal">
      <formula>"Fail"</formula>
    </cfRule>
  </conditionalFormatting>
  <conditionalFormatting sqref="A850:A852">
    <cfRule type="cellIs" dxfId="23141" priority="22979" stopIfTrue="1" operator="equal">
      <formula>"Pass"</formula>
    </cfRule>
    <cfRule type="cellIs" dxfId="23140" priority="22980" stopIfTrue="1" operator="equal">
      <formula>"Fail"</formula>
    </cfRule>
  </conditionalFormatting>
  <conditionalFormatting sqref="A850:A852">
    <cfRule type="cellIs" dxfId="23139" priority="22977" stopIfTrue="1" operator="equal">
      <formula>"Pass"</formula>
    </cfRule>
    <cfRule type="cellIs" dxfId="23138" priority="22978" stopIfTrue="1" operator="equal">
      <formula>"Fail"</formula>
    </cfRule>
  </conditionalFormatting>
  <conditionalFormatting sqref="A850:A852">
    <cfRule type="cellIs" dxfId="23137" priority="22975" stopIfTrue="1" operator="equal">
      <formula>"Pass"</formula>
    </cfRule>
    <cfRule type="cellIs" dxfId="23136" priority="22976" stopIfTrue="1" operator="equal">
      <formula>"Fail"</formula>
    </cfRule>
  </conditionalFormatting>
  <conditionalFormatting sqref="A850:A852">
    <cfRule type="cellIs" dxfId="23135" priority="22973" stopIfTrue="1" operator="equal">
      <formula>"Pass"</formula>
    </cfRule>
    <cfRule type="cellIs" dxfId="23134" priority="22974" stopIfTrue="1" operator="equal">
      <formula>"Fail"</formula>
    </cfRule>
  </conditionalFormatting>
  <conditionalFormatting sqref="A852">
    <cfRule type="cellIs" dxfId="23133" priority="22971" stopIfTrue="1" operator="equal">
      <formula>"Pass"</formula>
    </cfRule>
    <cfRule type="cellIs" dxfId="23132" priority="22972" stopIfTrue="1" operator="equal">
      <formula>"Fail"</formula>
    </cfRule>
  </conditionalFormatting>
  <conditionalFormatting sqref="A850:A852">
    <cfRule type="cellIs" dxfId="23131" priority="22969" stopIfTrue="1" operator="equal">
      <formula>"Pass"</formula>
    </cfRule>
    <cfRule type="cellIs" dxfId="23130" priority="22970" stopIfTrue="1" operator="equal">
      <formula>"Fail"</formula>
    </cfRule>
  </conditionalFormatting>
  <conditionalFormatting sqref="A850:A852">
    <cfRule type="cellIs" dxfId="23129" priority="22967" stopIfTrue="1" operator="equal">
      <formula>"Pass"</formula>
    </cfRule>
    <cfRule type="cellIs" dxfId="23128" priority="22968" stopIfTrue="1" operator="equal">
      <formula>"Fail"</formula>
    </cfRule>
  </conditionalFormatting>
  <conditionalFormatting sqref="A850:A852">
    <cfRule type="cellIs" dxfId="23127" priority="22965" stopIfTrue="1" operator="equal">
      <formula>"Pass"</formula>
    </cfRule>
    <cfRule type="cellIs" dxfId="23126" priority="22966" stopIfTrue="1" operator="equal">
      <formula>"Fail"</formula>
    </cfRule>
  </conditionalFormatting>
  <conditionalFormatting sqref="A850:A852">
    <cfRule type="cellIs" dxfId="23125" priority="22963" stopIfTrue="1" operator="equal">
      <formula>"Pass"</formula>
    </cfRule>
    <cfRule type="cellIs" dxfId="23124" priority="22964" stopIfTrue="1" operator="equal">
      <formula>"Fail"</formula>
    </cfRule>
  </conditionalFormatting>
  <conditionalFormatting sqref="A850:A852">
    <cfRule type="cellIs" dxfId="23123" priority="22961" stopIfTrue="1" operator="equal">
      <formula>"Pass"</formula>
    </cfRule>
    <cfRule type="cellIs" dxfId="23122" priority="22962" stopIfTrue="1" operator="equal">
      <formula>"Fail"</formula>
    </cfRule>
  </conditionalFormatting>
  <conditionalFormatting sqref="A850:A852">
    <cfRule type="cellIs" dxfId="23121" priority="22959" stopIfTrue="1" operator="equal">
      <formula>"Pass"</formula>
    </cfRule>
    <cfRule type="cellIs" dxfId="23120" priority="22960" stopIfTrue="1" operator="equal">
      <formula>"Fail"</formula>
    </cfRule>
  </conditionalFormatting>
  <conditionalFormatting sqref="A852">
    <cfRule type="cellIs" dxfId="23119" priority="22957" stopIfTrue="1" operator="equal">
      <formula>"Pass"</formula>
    </cfRule>
    <cfRule type="cellIs" dxfId="23118" priority="22958" stopIfTrue="1" operator="equal">
      <formula>"Fail"</formula>
    </cfRule>
  </conditionalFormatting>
  <conditionalFormatting sqref="A850:A852">
    <cfRule type="cellIs" dxfId="23117" priority="22955" stopIfTrue="1" operator="equal">
      <formula>"Pass"</formula>
    </cfRule>
    <cfRule type="cellIs" dxfId="23116" priority="22956" stopIfTrue="1" operator="equal">
      <formula>"Fail"</formula>
    </cfRule>
  </conditionalFormatting>
  <conditionalFormatting sqref="A850:A852">
    <cfRule type="cellIs" dxfId="23115" priority="22953" stopIfTrue="1" operator="equal">
      <formula>"Pass"</formula>
    </cfRule>
    <cfRule type="cellIs" dxfId="23114" priority="22954" stopIfTrue="1" operator="equal">
      <formula>"Fail"</formula>
    </cfRule>
  </conditionalFormatting>
  <conditionalFormatting sqref="A850:A852">
    <cfRule type="cellIs" dxfId="23113" priority="22951" stopIfTrue="1" operator="equal">
      <formula>"Pass"</formula>
    </cfRule>
    <cfRule type="cellIs" dxfId="23112" priority="22952" stopIfTrue="1" operator="equal">
      <formula>"Fail"</formula>
    </cfRule>
  </conditionalFormatting>
  <conditionalFormatting sqref="A850:A852">
    <cfRule type="cellIs" dxfId="23111" priority="22949" stopIfTrue="1" operator="equal">
      <formula>"Pass"</formula>
    </cfRule>
    <cfRule type="cellIs" dxfId="23110" priority="22950" stopIfTrue="1" operator="equal">
      <formula>"Fail"</formula>
    </cfRule>
  </conditionalFormatting>
  <conditionalFormatting sqref="A850:A852">
    <cfRule type="cellIs" dxfId="23109" priority="22947" stopIfTrue="1" operator="equal">
      <formula>"Pass"</formula>
    </cfRule>
    <cfRule type="cellIs" dxfId="23108" priority="22948" stopIfTrue="1" operator="equal">
      <formula>"Fail"</formula>
    </cfRule>
  </conditionalFormatting>
  <conditionalFormatting sqref="A850:A852">
    <cfRule type="cellIs" dxfId="23107" priority="22945" stopIfTrue="1" operator="equal">
      <formula>"Pass"</formula>
    </cfRule>
    <cfRule type="cellIs" dxfId="23106" priority="22946" stopIfTrue="1" operator="equal">
      <formula>"Fail"</formula>
    </cfRule>
  </conditionalFormatting>
  <conditionalFormatting sqref="A852">
    <cfRule type="cellIs" dxfId="23105" priority="22943" stopIfTrue="1" operator="equal">
      <formula>"Pass"</formula>
    </cfRule>
    <cfRule type="cellIs" dxfId="23104" priority="22944" stopIfTrue="1" operator="equal">
      <formula>"Fail"</formula>
    </cfRule>
  </conditionalFormatting>
  <conditionalFormatting sqref="A850:A852">
    <cfRule type="cellIs" dxfId="23103" priority="22941" stopIfTrue="1" operator="equal">
      <formula>"Pass"</formula>
    </cfRule>
    <cfRule type="cellIs" dxfId="23102" priority="22942" stopIfTrue="1" operator="equal">
      <formula>"Fail"</formula>
    </cfRule>
  </conditionalFormatting>
  <conditionalFormatting sqref="H853:H854">
    <cfRule type="cellIs" dxfId="23101" priority="22939" stopIfTrue="1" operator="equal">
      <formula>"Pass"</formula>
    </cfRule>
    <cfRule type="cellIs" dxfId="23100" priority="22940" stopIfTrue="1" operator="equal">
      <formula>"Fail"</formula>
    </cfRule>
  </conditionalFormatting>
  <conditionalFormatting sqref="E853:F853 E855:F855 I853:M854 A853:A855">
    <cfRule type="cellIs" dxfId="23099" priority="22937" stopIfTrue="1" operator="equal">
      <formula>"Pass"</formula>
    </cfRule>
    <cfRule type="cellIs" dxfId="23098" priority="22938" stopIfTrue="1" operator="equal">
      <formula>"Fail"</formula>
    </cfRule>
  </conditionalFormatting>
  <conditionalFormatting sqref="T855 T853 R853:R855 S854:S855">
    <cfRule type="cellIs" dxfId="23097" priority="22935" stopIfTrue="1" operator="equal">
      <formula>"Fail"</formula>
    </cfRule>
    <cfRule type="cellIs" dxfId="23096" priority="22936" stopIfTrue="1" operator="equal">
      <formula>"Pass"</formula>
    </cfRule>
  </conditionalFormatting>
  <conditionalFormatting sqref="F853:G853 F855:G855 A853:B855 J853:N854">
    <cfRule type="cellIs" dxfId="23095" priority="22933" stopIfTrue="1" operator="equal">
      <formula>"Pass"</formula>
    </cfRule>
    <cfRule type="cellIs" dxfId="23094" priority="22934" stopIfTrue="1" operator="equal">
      <formula>"Fail"</formula>
    </cfRule>
  </conditionalFormatting>
  <conditionalFormatting sqref="U855 U853 T853:T855 S854:S855">
    <cfRule type="cellIs" dxfId="23093" priority="22931" stopIfTrue="1" operator="equal">
      <formula>"Fail"</formula>
    </cfRule>
    <cfRule type="cellIs" dxfId="23092" priority="22932" stopIfTrue="1" operator="equal">
      <formula>"Pass"</formula>
    </cfRule>
  </conditionalFormatting>
  <conditionalFormatting sqref="A853:A855">
    <cfRule type="cellIs" dxfId="23091" priority="22929" stopIfTrue="1" operator="equal">
      <formula>"Pass"</formula>
    </cfRule>
    <cfRule type="cellIs" dxfId="23090" priority="22930" stopIfTrue="1" operator="equal">
      <formula>"Fail"</formula>
    </cfRule>
  </conditionalFormatting>
  <conditionalFormatting sqref="A853:A855">
    <cfRule type="cellIs" dxfId="23089" priority="22927" stopIfTrue="1" operator="equal">
      <formula>"Pass"</formula>
    </cfRule>
    <cfRule type="cellIs" dxfId="23088" priority="22928" stopIfTrue="1" operator="equal">
      <formula>"Fail"</formula>
    </cfRule>
  </conditionalFormatting>
  <conditionalFormatting sqref="A853:A855">
    <cfRule type="cellIs" dxfId="23087" priority="22925" stopIfTrue="1" operator="equal">
      <formula>"Pass"</formula>
    </cfRule>
    <cfRule type="cellIs" dxfId="23086" priority="22926" stopIfTrue="1" operator="equal">
      <formula>"Fail"</formula>
    </cfRule>
  </conditionalFormatting>
  <conditionalFormatting sqref="J853:N854 E853:G855">
    <cfRule type="cellIs" dxfId="23085" priority="22923" stopIfTrue="1" operator="equal">
      <formula>"Pass"</formula>
    </cfRule>
    <cfRule type="cellIs" dxfId="23084" priority="22924" stopIfTrue="1" operator="equal">
      <formula>"Fail"</formula>
    </cfRule>
  </conditionalFormatting>
  <conditionalFormatting sqref="A855 C855 K853:O854 F853:H855">
    <cfRule type="cellIs" dxfId="23083" priority="22921" stopIfTrue="1" operator="equal">
      <formula>"Pass"</formula>
    </cfRule>
    <cfRule type="cellIs" dxfId="23082" priority="22922" stopIfTrue="1" operator="equal">
      <formula>"Fail"</formula>
    </cfRule>
  </conditionalFormatting>
  <conditionalFormatting sqref="T853">
    <cfRule type="cellIs" dxfId="23081" priority="22919" stopIfTrue="1" operator="equal">
      <formula>"Fail"</formula>
    </cfRule>
    <cfRule type="cellIs" dxfId="23080" priority="22920" stopIfTrue="1" operator="equal">
      <formula>"Pass"</formula>
    </cfRule>
  </conditionalFormatting>
  <conditionalFormatting sqref="A853:A855">
    <cfRule type="cellIs" dxfId="23079" priority="22917" stopIfTrue="1" operator="equal">
      <formula>"Pass"</formula>
    </cfRule>
    <cfRule type="cellIs" dxfId="23078" priority="22918" stopIfTrue="1" operator="equal">
      <formula>"Fail"</formula>
    </cfRule>
  </conditionalFormatting>
  <conditionalFormatting sqref="A853:A855">
    <cfRule type="cellIs" dxfId="23077" priority="22915" stopIfTrue="1" operator="equal">
      <formula>"Pass"</formula>
    </cfRule>
    <cfRule type="cellIs" dxfId="23076" priority="22916" stopIfTrue="1" operator="equal">
      <formula>"Fail"</formula>
    </cfRule>
  </conditionalFormatting>
  <conditionalFormatting sqref="A853:A855">
    <cfRule type="cellIs" dxfId="23075" priority="22913" stopIfTrue="1" operator="equal">
      <formula>"Pass"</formula>
    </cfRule>
    <cfRule type="cellIs" dxfId="23074" priority="22914" stopIfTrue="1" operator="equal">
      <formula>"Fail"</formula>
    </cfRule>
  </conditionalFormatting>
  <conditionalFormatting sqref="A853:A855">
    <cfRule type="cellIs" dxfId="23073" priority="22911" stopIfTrue="1" operator="equal">
      <formula>"Pass"</formula>
    </cfRule>
    <cfRule type="cellIs" dxfId="23072" priority="22912" stopIfTrue="1" operator="equal">
      <formula>"Fail"</formula>
    </cfRule>
  </conditionalFormatting>
  <conditionalFormatting sqref="A853:A855">
    <cfRule type="cellIs" dxfId="23071" priority="22909" stopIfTrue="1" operator="equal">
      <formula>"Pass"</formula>
    </cfRule>
    <cfRule type="cellIs" dxfId="23070" priority="22910" stopIfTrue="1" operator="equal">
      <formula>"Fail"</formula>
    </cfRule>
  </conditionalFormatting>
  <conditionalFormatting sqref="A853:A855">
    <cfRule type="cellIs" dxfId="23069" priority="22907" stopIfTrue="1" operator="equal">
      <formula>"Pass"</formula>
    </cfRule>
    <cfRule type="cellIs" dxfId="23068" priority="22908" stopIfTrue="1" operator="equal">
      <formula>"Fail"</formula>
    </cfRule>
  </conditionalFormatting>
  <conditionalFormatting sqref="A855">
    <cfRule type="cellIs" dxfId="23067" priority="22905" stopIfTrue="1" operator="equal">
      <formula>"Pass"</formula>
    </cfRule>
    <cfRule type="cellIs" dxfId="23066" priority="22906" stopIfTrue="1" operator="equal">
      <formula>"Fail"</formula>
    </cfRule>
  </conditionalFormatting>
  <conditionalFormatting sqref="A853:A855">
    <cfRule type="cellIs" dxfId="23065" priority="22903" stopIfTrue="1" operator="equal">
      <formula>"Pass"</formula>
    </cfRule>
    <cfRule type="cellIs" dxfId="23064" priority="22904" stopIfTrue="1" operator="equal">
      <formula>"Fail"</formula>
    </cfRule>
  </conditionalFormatting>
  <conditionalFormatting sqref="A853:A855">
    <cfRule type="cellIs" dxfId="23063" priority="22901" stopIfTrue="1" operator="equal">
      <formula>"Pass"</formula>
    </cfRule>
    <cfRule type="cellIs" dxfId="23062" priority="22902" stopIfTrue="1" operator="equal">
      <formula>"Fail"</formula>
    </cfRule>
  </conditionalFormatting>
  <conditionalFormatting sqref="A853:A855">
    <cfRule type="cellIs" dxfId="23061" priority="22899" stopIfTrue="1" operator="equal">
      <formula>"Pass"</formula>
    </cfRule>
    <cfRule type="cellIs" dxfId="23060" priority="22900" stopIfTrue="1" operator="equal">
      <formula>"Fail"</formula>
    </cfRule>
  </conditionalFormatting>
  <conditionalFormatting sqref="A853:A855">
    <cfRule type="cellIs" dxfId="23059" priority="22897" stopIfTrue="1" operator="equal">
      <formula>"Pass"</formula>
    </cfRule>
    <cfRule type="cellIs" dxfId="23058" priority="22898" stopIfTrue="1" operator="equal">
      <formula>"Fail"</formula>
    </cfRule>
  </conditionalFormatting>
  <conditionalFormatting sqref="A853:A855">
    <cfRule type="cellIs" dxfId="23057" priority="22895" stopIfTrue="1" operator="equal">
      <formula>"Pass"</formula>
    </cfRule>
    <cfRule type="cellIs" dxfId="23056" priority="22896" stopIfTrue="1" operator="equal">
      <formula>"Fail"</formula>
    </cfRule>
  </conditionalFormatting>
  <conditionalFormatting sqref="A853:A855">
    <cfRule type="cellIs" dxfId="23055" priority="22893" stopIfTrue="1" operator="equal">
      <formula>"Pass"</formula>
    </cfRule>
    <cfRule type="cellIs" dxfId="23054" priority="22894" stopIfTrue="1" operator="equal">
      <formula>"Fail"</formula>
    </cfRule>
  </conditionalFormatting>
  <conditionalFormatting sqref="A855">
    <cfRule type="cellIs" dxfId="23053" priority="22891" stopIfTrue="1" operator="equal">
      <formula>"Pass"</formula>
    </cfRule>
    <cfRule type="cellIs" dxfId="23052" priority="22892" stopIfTrue="1" operator="equal">
      <formula>"Fail"</formula>
    </cfRule>
  </conditionalFormatting>
  <conditionalFormatting sqref="A853:A855">
    <cfRule type="cellIs" dxfId="23051" priority="22889" stopIfTrue="1" operator="equal">
      <formula>"Pass"</formula>
    </cfRule>
    <cfRule type="cellIs" dxfId="23050" priority="22890" stopIfTrue="1" operator="equal">
      <formula>"Fail"</formula>
    </cfRule>
  </conditionalFormatting>
  <conditionalFormatting sqref="H853:H854">
    <cfRule type="cellIs" dxfId="23049" priority="22887" stopIfTrue="1" operator="equal">
      <formula>"Pass"</formula>
    </cfRule>
    <cfRule type="cellIs" dxfId="23048" priority="22888" stopIfTrue="1" operator="equal">
      <formula>"Fail"</formula>
    </cfRule>
  </conditionalFormatting>
  <conditionalFormatting sqref="F853 F855 I853:M854">
    <cfRule type="cellIs" dxfId="23047" priority="22885" stopIfTrue="1" operator="equal">
      <formula>"Pass"</formula>
    </cfRule>
    <cfRule type="cellIs" dxfId="23046" priority="22886" stopIfTrue="1" operator="equal">
      <formula>"Fail"</formula>
    </cfRule>
  </conditionalFormatting>
  <conditionalFormatting sqref="T855 T853 R853:R855 S854:S855">
    <cfRule type="cellIs" dxfId="23045" priority="22883" stopIfTrue="1" operator="equal">
      <formula>"Fail"</formula>
    </cfRule>
    <cfRule type="cellIs" dxfId="23044" priority="22884" stopIfTrue="1" operator="equal">
      <formula>"Pass"</formula>
    </cfRule>
  </conditionalFormatting>
  <conditionalFormatting sqref="F853:G853 F855:G855 J853:N854">
    <cfRule type="cellIs" dxfId="23043" priority="22881" stopIfTrue="1" operator="equal">
      <formula>"Pass"</formula>
    </cfRule>
    <cfRule type="cellIs" dxfId="23042" priority="22882" stopIfTrue="1" operator="equal">
      <formula>"Fail"</formula>
    </cfRule>
  </conditionalFormatting>
  <conditionalFormatting sqref="U855 U853 T853:T855 S854:S855">
    <cfRule type="cellIs" dxfId="23041" priority="22879" stopIfTrue="1" operator="equal">
      <formula>"Fail"</formula>
    </cfRule>
    <cfRule type="cellIs" dxfId="23040" priority="22880" stopIfTrue="1" operator="equal">
      <formula>"Pass"</formula>
    </cfRule>
  </conditionalFormatting>
  <conditionalFormatting sqref="J853:N854 F853:G855">
    <cfRule type="cellIs" dxfId="23039" priority="22877" stopIfTrue="1" operator="equal">
      <formula>"Pass"</formula>
    </cfRule>
    <cfRule type="cellIs" dxfId="23038" priority="22878" stopIfTrue="1" operator="equal">
      <formula>"Fail"</formula>
    </cfRule>
  </conditionalFormatting>
  <conditionalFormatting sqref="K853:O854 F853:H855">
    <cfRule type="cellIs" dxfId="23037" priority="22875" stopIfTrue="1" operator="equal">
      <formula>"Pass"</formula>
    </cfRule>
    <cfRule type="cellIs" dxfId="23036" priority="22876" stopIfTrue="1" operator="equal">
      <formula>"Fail"</formula>
    </cfRule>
  </conditionalFormatting>
  <conditionalFormatting sqref="T853">
    <cfRule type="cellIs" dxfId="23035" priority="22873" stopIfTrue="1" operator="equal">
      <formula>"Fail"</formula>
    </cfRule>
    <cfRule type="cellIs" dxfId="23034" priority="22874" stopIfTrue="1" operator="equal">
      <formula>"Pass"</formula>
    </cfRule>
  </conditionalFormatting>
  <conditionalFormatting sqref="K853:O854 F853:H855">
    <cfRule type="cellIs" dxfId="23033" priority="22871" stopIfTrue="1" operator="equal">
      <formula>"Pass"</formula>
    </cfRule>
    <cfRule type="cellIs" dxfId="23032" priority="22872" stopIfTrue="1" operator="equal">
      <formula>"Fail"</formula>
    </cfRule>
  </conditionalFormatting>
  <conditionalFormatting sqref="T853">
    <cfRule type="cellIs" dxfId="23031" priority="22869" stopIfTrue="1" operator="equal">
      <formula>"Fail"</formula>
    </cfRule>
    <cfRule type="cellIs" dxfId="23030" priority="22870" stopIfTrue="1" operator="equal">
      <formula>"Pass"</formula>
    </cfRule>
  </conditionalFormatting>
  <conditionalFormatting sqref="H853:H854">
    <cfRule type="cellIs" dxfId="23029" priority="22867" stopIfTrue="1" operator="equal">
      <formula>"Pass"</formula>
    </cfRule>
    <cfRule type="cellIs" dxfId="23028" priority="22868" stopIfTrue="1" operator="equal">
      <formula>"Fail"</formula>
    </cfRule>
  </conditionalFormatting>
  <conditionalFormatting sqref="E853:F853 E855:F855 I853:M854 A853:A855">
    <cfRule type="cellIs" dxfId="23027" priority="22865" stopIfTrue="1" operator="equal">
      <formula>"Pass"</formula>
    </cfRule>
    <cfRule type="cellIs" dxfId="23026" priority="22866" stopIfTrue="1" operator="equal">
      <formula>"Fail"</formula>
    </cfRule>
  </conditionalFormatting>
  <conditionalFormatting sqref="T855 T853 R853:R855 S854:S855">
    <cfRule type="cellIs" dxfId="23025" priority="22863" stopIfTrue="1" operator="equal">
      <formula>"Fail"</formula>
    </cfRule>
    <cfRule type="cellIs" dxfId="23024" priority="22864" stopIfTrue="1" operator="equal">
      <formula>"Pass"</formula>
    </cfRule>
  </conditionalFormatting>
  <conditionalFormatting sqref="F853:G853 F855:G855 A853:B855 J853:N854">
    <cfRule type="cellIs" dxfId="23023" priority="22861" stopIfTrue="1" operator="equal">
      <formula>"Pass"</formula>
    </cfRule>
    <cfRule type="cellIs" dxfId="23022" priority="22862" stopIfTrue="1" operator="equal">
      <formula>"Fail"</formula>
    </cfRule>
  </conditionalFormatting>
  <conditionalFormatting sqref="U855 U853 T853:T855 S854:S855">
    <cfRule type="cellIs" dxfId="23021" priority="22859" stopIfTrue="1" operator="equal">
      <formula>"Fail"</formula>
    </cfRule>
    <cfRule type="cellIs" dxfId="23020" priority="22860" stopIfTrue="1" operator="equal">
      <formula>"Pass"</formula>
    </cfRule>
  </conditionalFormatting>
  <conditionalFormatting sqref="A853:A855">
    <cfRule type="cellIs" dxfId="23019" priority="22857" stopIfTrue="1" operator="equal">
      <formula>"Pass"</formula>
    </cfRule>
    <cfRule type="cellIs" dxfId="23018" priority="22858" stopIfTrue="1" operator="equal">
      <formula>"Fail"</formula>
    </cfRule>
  </conditionalFormatting>
  <conditionalFormatting sqref="A853:A855">
    <cfRule type="cellIs" dxfId="23017" priority="22855" stopIfTrue="1" operator="equal">
      <formula>"Pass"</formula>
    </cfRule>
    <cfRule type="cellIs" dxfId="23016" priority="22856" stopIfTrue="1" operator="equal">
      <formula>"Fail"</formula>
    </cfRule>
  </conditionalFormatting>
  <conditionalFormatting sqref="A853:A855">
    <cfRule type="cellIs" dxfId="23015" priority="22853" stopIfTrue="1" operator="equal">
      <formula>"Pass"</formula>
    </cfRule>
    <cfRule type="cellIs" dxfId="23014" priority="22854" stopIfTrue="1" operator="equal">
      <formula>"Fail"</formula>
    </cfRule>
  </conditionalFormatting>
  <conditionalFormatting sqref="J853:N854 E853:G855">
    <cfRule type="cellIs" dxfId="23013" priority="22851" stopIfTrue="1" operator="equal">
      <formula>"Pass"</formula>
    </cfRule>
    <cfRule type="cellIs" dxfId="23012" priority="22852" stopIfTrue="1" operator="equal">
      <formula>"Fail"</formula>
    </cfRule>
  </conditionalFormatting>
  <conditionalFormatting sqref="A855 C855 K853:O854 F853:H855">
    <cfRule type="cellIs" dxfId="23011" priority="22849" stopIfTrue="1" operator="equal">
      <formula>"Pass"</formula>
    </cfRule>
    <cfRule type="cellIs" dxfId="23010" priority="22850" stopIfTrue="1" operator="equal">
      <formula>"Fail"</formula>
    </cfRule>
  </conditionalFormatting>
  <conditionalFormatting sqref="T853">
    <cfRule type="cellIs" dxfId="23009" priority="22847" stopIfTrue="1" operator="equal">
      <formula>"Fail"</formula>
    </cfRule>
    <cfRule type="cellIs" dxfId="23008" priority="22848" stopIfTrue="1" operator="equal">
      <formula>"Pass"</formula>
    </cfRule>
  </conditionalFormatting>
  <conditionalFormatting sqref="A853:A855">
    <cfRule type="cellIs" dxfId="23007" priority="22845" stopIfTrue="1" operator="equal">
      <formula>"Pass"</formula>
    </cfRule>
    <cfRule type="cellIs" dxfId="23006" priority="22846" stopIfTrue="1" operator="equal">
      <formula>"Fail"</formula>
    </cfRule>
  </conditionalFormatting>
  <conditionalFormatting sqref="A853:A855">
    <cfRule type="cellIs" dxfId="23005" priority="22843" stopIfTrue="1" operator="equal">
      <formula>"Pass"</formula>
    </cfRule>
    <cfRule type="cellIs" dxfId="23004" priority="22844" stopIfTrue="1" operator="equal">
      <formula>"Fail"</formula>
    </cfRule>
  </conditionalFormatting>
  <conditionalFormatting sqref="A853:A855">
    <cfRule type="cellIs" dxfId="23003" priority="22841" stopIfTrue="1" operator="equal">
      <formula>"Pass"</formula>
    </cfRule>
    <cfRule type="cellIs" dxfId="23002" priority="22842" stopIfTrue="1" operator="equal">
      <formula>"Fail"</formula>
    </cfRule>
  </conditionalFormatting>
  <conditionalFormatting sqref="A853:A855">
    <cfRule type="cellIs" dxfId="23001" priority="22839" stopIfTrue="1" operator="equal">
      <formula>"Pass"</formula>
    </cfRule>
    <cfRule type="cellIs" dxfId="23000" priority="22840" stopIfTrue="1" operator="equal">
      <formula>"Fail"</formula>
    </cfRule>
  </conditionalFormatting>
  <conditionalFormatting sqref="A853:A855">
    <cfRule type="cellIs" dxfId="22999" priority="22837" stopIfTrue="1" operator="equal">
      <formula>"Pass"</formula>
    </cfRule>
    <cfRule type="cellIs" dxfId="22998" priority="22838" stopIfTrue="1" operator="equal">
      <formula>"Fail"</formula>
    </cfRule>
  </conditionalFormatting>
  <conditionalFormatting sqref="A853:A855">
    <cfRule type="cellIs" dxfId="22997" priority="22835" stopIfTrue="1" operator="equal">
      <formula>"Pass"</formula>
    </cfRule>
    <cfRule type="cellIs" dxfId="22996" priority="22836" stopIfTrue="1" operator="equal">
      <formula>"Fail"</formula>
    </cfRule>
  </conditionalFormatting>
  <conditionalFormatting sqref="A855">
    <cfRule type="cellIs" dxfId="22995" priority="22833" stopIfTrue="1" operator="equal">
      <formula>"Pass"</formula>
    </cfRule>
    <cfRule type="cellIs" dxfId="22994" priority="22834" stopIfTrue="1" operator="equal">
      <formula>"Fail"</formula>
    </cfRule>
  </conditionalFormatting>
  <conditionalFormatting sqref="A853:A855">
    <cfRule type="cellIs" dxfId="22993" priority="22831" stopIfTrue="1" operator="equal">
      <formula>"Pass"</formula>
    </cfRule>
    <cfRule type="cellIs" dxfId="22992" priority="22832" stopIfTrue="1" operator="equal">
      <formula>"Fail"</formula>
    </cfRule>
  </conditionalFormatting>
  <conditionalFormatting sqref="A853:A855">
    <cfRule type="cellIs" dxfId="22991" priority="22829" stopIfTrue="1" operator="equal">
      <formula>"Pass"</formula>
    </cfRule>
    <cfRule type="cellIs" dxfId="22990" priority="22830" stopIfTrue="1" operator="equal">
      <formula>"Fail"</formula>
    </cfRule>
  </conditionalFormatting>
  <conditionalFormatting sqref="A853:A855">
    <cfRule type="cellIs" dxfId="22989" priority="22827" stopIfTrue="1" operator="equal">
      <formula>"Pass"</formula>
    </cfRule>
    <cfRule type="cellIs" dxfId="22988" priority="22828" stopIfTrue="1" operator="equal">
      <formula>"Fail"</formula>
    </cfRule>
  </conditionalFormatting>
  <conditionalFormatting sqref="A853:A855">
    <cfRule type="cellIs" dxfId="22987" priority="22825" stopIfTrue="1" operator="equal">
      <formula>"Pass"</formula>
    </cfRule>
    <cfRule type="cellIs" dxfId="22986" priority="22826" stopIfTrue="1" operator="equal">
      <formula>"Fail"</formula>
    </cfRule>
  </conditionalFormatting>
  <conditionalFormatting sqref="A853:A855">
    <cfRule type="cellIs" dxfId="22985" priority="22823" stopIfTrue="1" operator="equal">
      <formula>"Pass"</formula>
    </cfRule>
    <cfRule type="cellIs" dxfId="22984" priority="22824" stopIfTrue="1" operator="equal">
      <formula>"Fail"</formula>
    </cfRule>
  </conditionalFormatting>
  <conditionalFormatting sqref="A853:A855">
    <cfRule type="cellIs" dxfId="22983" priority="22821" stopIfTrue="1" operator="equal">
      <formula>"Pass"</formula>
    </cfRule>
    <cfRule type="cellIs" dxfId="22982" priority="22822" stopIfTrue="1" operator="equal">
      <formula>"Fail"</formula>
    </cfRule>
  </conditionalFormatting>
  <conditionalFormatting sqref="A855">
    <cfRule type="cellIs" dxfId="22981" priority="22819" stopIfTrue="1" operator="equal">
      <formula>"Pass"</formula>
    </cfRule>
    <cfRule type="cellIs" dxfId="22980" priority="22820" stopIfTrue="1" operator="equal">
      <formula>"Fail"</formula>
    </cfRule>
  </conditionalFormatting>
  <conditionalFormatting sqref="A853:A855">
    <cfRule type="cellIs" dxfId="22979" priority="22817" stopIfTrue="1" operator="equal">
      <formula>"Pass"</formula>
    </cfRule>
    <cfRule type="cellIs" dxfId="22978" priority="22818" stopIfTrue="1" operator="equal">
      <formula>"Fail"</formula>
    </cfRule>
  </conditionalFormatting>
  <conditionalFormatting sqref="H853:H854">
    <cfRule type="cellIs" dxfId="22977" priority="22815" stopIfTrue="1" operator="equal">
      <formula>"Pass"</formula>
    </cfRule>
    <cfRule type="cellIs" dxfId="22976" priority="22816" stopIfTrue="1" operator="equal">
      <formula>"Fail"</formula>
    </cfRule>
  </conditionalFormatting>
  <conditionalFormatting sqref="F853 F855 I853:M854">
    <cfRule type="cellIs" dxfId="22975" priority="22813" stopIfTrue="1" operator="equal">
      <formula>"Pass"</formula>
    </cfRule>
    <cfRule type="cellIs" dxfId="22974" priority="22814" stopIfTrue="1" operator="equal">
      <formula>"Fail"</formula>
    </cfRule>
  </conditionalFormatting>
  <conditionalFormatting sqref="T855 T853 R853:R855 S854:S855">
    <cfRule type="cellIs" dxfId="22973" priority="22811" stopIfTrue="1" operator="equal">
      <formula>"Fail"</formula>
    </cfRule>
    <cfRule type="cellIs" dxfId="22972" priority="22812" stopIfTrue="1" operator="equal">
      <formula>"Pass"</formula>
    </cfRule>
  </conditionalFormatting>
  <conditionalFormatting sqref="F853:G853 F855:G855 J853:N854">
    <cfRule type="cellIs" dxfId="22971" priority="22809" stopIfTrue="1" operator="equal">
      <formula>"Pass"</formula>
    </cfRule>
    <cfRule type="cellIs" dxfId="22970" priority="22810" stopIfTrue="1" operator="equal">
      <formula>"Fail"</formula>
    </cfRule>
  </conditionalFormatting>
  <conditionalFormatting sqref="U855 U853 T853:T855 S854:S855">
    <cfRule type="cellIs" dxfId="22969" priority="22807" stopIfTrue="1" operator="equal">
      <formula>"Fail"</formula>
    </cfRule>
    <cfRule type="cellIs" dxfId="22968" priority="22808" stopIfTrue="1" operator="equal">
      <formula>"Pass"</formula>
    </cfRule>
  </conditionalFormatting>
  <conditionalFormatting sqref="J853:N854 F853:G855">
    <cfRule type="cellIs" dxfId="22967" priority="22805" stopIfTrue="1" operator="equal">
      <formula>"Pass"</formula>
    </cfRule>
    <cfRule type="cellIs" dxfId="22966" priority="22806" stopIfTrue="1" operator="equal">
      <formula>"Fail"</formula>
    </cfRule>
  </conditionalFormatting>
  <conditionalFormatting sqref="K853:O854 F853:H855">
    <cfRule type="cellIs" dxfId="22965" priority="22803" stopIfTrue="1" operator="equal">
      <formula>"Pass"</formula>
    </cfRule>
    <cfRule type="cellIs" dxfId="22964" priority="22804" stopIfTrue="1" operator="equal">
      <formula>"Fail"</formula>
    </cfRule>
  </conditionalFormatting>
  <conditionalFormatting sqref="T853">
    <cfRule type="cellIs" dxfId="22963" priority="22801" stopIfTrue="1" operator="equal">
      <formula>"Fail"</formula>
    </cfRule>
    <cfRule type="cellIs" dxfId="22962" priority="22802" stopIfTrue="1" operator="equal">
      <formula>"Pass"</formula>
    </cfRule>
  </conditionalFormatting>
  <conditionalFormatting sqref="K853:O854 F853:H855">
    <cfRule type="cellIs" dxfId="22961" priority="22799" stopIfTrue="1" operator="equal">
      <formula>"Pass"</formula>
    </cfRule>
    <cfRule type="cellIs" dxfId="22960" priority="22800" stopIfTrue="1" operator="equal">
      <formula>"Fail"</formula>
    </cfRule>
  </conditionalFormatting>
  <conditionalFormatting sqref="T853">
    <cfRule type="cellIs" dxfId="22959" priority="22797" stopIfTrue="1" operator="equal">
      <formula>"Fail"</formula>
    </cfRule>
    <cfRule type="cellIs" dxfId="22958" priority="22798" stopIfTrue="1" operator="equal">
      <formula>"Pass"</formula>
    </cfRule>
  </conditionalFormatting>
  <conditionalFormatting sqref="A856:A858">
    <cfRule type="cellIs" dxfId="22957" priority="22795" stopIfTrue="1" operator="equal">
      <formula>"Pass"</formula>
    </cfRule>
    <cfRule type="cellIs" dxfId="22956" priority="22796" stopIfTrue="1" operator="equal">
      <formula>"Fail"</formula>
    </cfRule>
  </conditionalFormatting>
  <conditionalFormatting sqref="A856:A858">
    <cfRule type="cellIs" dxfId="22955" priority="22793" stopIfTrue="1" operator="equal">
      <formula>"Pass"</formula>
    </cfRule>
    <cfRule type="cellIs" dxfId="22954" priority="22794" stopIfTrue="1" operator="equal">
      <formula>"Fail"</formula>
    </cfRule>
  </conditionalFormatting>
  <conditionalFormatting sqref="A856:A858">
    <cfRule type="cellIs" dxfId="22953" priority="22791" stopIfTrue="1" operator="equal">
      <formula>"Pass"</formula>
    </cfRule>
    <cfRule type="cellIs" dxfId="22952" priority="22792" stopIfTrue="1" operator="equal">
      <formula>"Fail"</formula>
    </cfRule>
  </conditionalFormatting>
  <conditionalFormatting sqref="A856:A858">
    <cfRule type="cellIs" dxfId="22951" priority="22789" stopIfTrue="1" operator="equal">
      <formula>"Pass"</formula>
    </cfRule>
    <cfRule type="cellIs" dxfId="22950" priority="22790" stopIfTrue="1" operator="equal">
      <formula>"Fail"</formula>
    </cfRule>
  </conditionalFormatting>
  <conditionalFormatting sqref="A856:A858">
    <cfRule type="cellIs" dxfId="22949" priority="22787" stopIfTrue="1" operator="equal">
      <formula>"Pass"</formula>
    </cfRule>
    <cfRule type="cellIs" dxfId="22948" priority="22788" stopIfTrue="1" operator="equal">
      <formula>"Fail"</formula>
    </cfRule>
  </conditionalFormatting>
  <conditionalFormatting sqref="A858">
    <cfRule type="cellIs" dxfId="22947" priority="22785" stopIfTrue="1" operator="equal">
      <formula>"Pass"</formula>
    </cfRule>
    <cfRule type="cellIs" dxfId="22946" priority="22786" stopIfTrue="1" operator="equal">
      <formula>"Fail"</formula>
    </cfRule>
  </conditionalFormatting>
  <conditionalFormatting sqref="A856:A858">
    <cfRule type="cellIs" dxfId="22945" priority="22783" stopIfTrue="1" operator="equal">
      <formula>"Pass"</formula>
    </cfRule>
    <cfRule type="cellIs" dxfId="22944" priority="22784" stopIfTrue="1" operator="equal">
      <formula>"Fail"</formula>
    </cfRule>
  </conditionalFormatting>
  <conditionalFormatting sqref="A856">
    <cfRule type="cellIs" dxfId="22943" priority="22781" stopIfTrue="1" operator="equal">
      <formula>"Pass"</formula>
    </cfRule>
    <cfRule type="cellIs" dxfId="22942" priority="22782" stopIfTrue="1" operator="equal">
      <formula>"Fail"</formula>
    </cfRule>
  </conditionalFormatting>
  <conditionalFormatting sqref="A856">
    <cfRule type="cellIs" dxfId="22941" priority="22779" stopIfTrue="1" operator="equal">
      <formula>"Pass"</formula>
    </cfRule>
    <cfRule type="cellIs" dxfId="22940" priority="22780" stopIfTrue="1" operator="equal">
      <formula>"Fail"</formula>
    </cfRule>
  </conditionalFormatting>
  <conditionalFormatting sqref="A856">
    <cfRule type="cellIs" dxfId="22939" priority="22777" stopIfTrue="1" operator="equal">
      <formula>"Pass"</formula>
    </cfRule>
    <cfRule type="cellIs" dxfId="22938" priority="22778" stopIfTrue="1" operator="equal">
      <formula>"Fail"</formula>
    </cfRule>
  </conditionalFormatting>
  <conditionalFormatting sqref="A856">
    <cfRule type="cellIs" dxfId="22937" priority="22775" stopIfTrue="1" operator="equal">
      <formula>"Pass"</formula>
    </cfRule>
    <cfRule type="cellIs" dxfId="22936" priority="22776" stopIfTrue="1" operator="equal">
      <formula>"Fail"</formula>
    </cfRule>
  </conditionalFormatting>
  <conditionalFormatting sqref="A856">
    <cfRule type="cellIs" dxfId="22935" priority="22773" stopIfTrue="1" operator="equal">
      <formula>"Pass"</formula>
    </cfRule>
    <cfRule type="cellIs" dxfId="22934" priority="22774" stopIfTrue="1" operator="equal">
      <formula>"Fail"</formula>
    </cfRule>
  </conditionalFormatting>
  <conditionalFormatting sqref="A856">
    <cfRule type="cellIs" dxfId="22933" priority="22771" stopIfTrue="1" operator="equal">
      <formula>"Pass"</formula>
    </cfRule>
    <cfRule type="cellIs" dxfId="22932" priority="22772" stopIfTrue="1" operator="equal">
      <formula>"Fail"</formula>
    </cfRule>
  </conditionalFormatting>
  <conditionalFormatting sqref="A856">
    <cfRule type="cellIs" dxfId="22931" priority="22769" stopIfTrue="1" operator="equal">
      <formula>"Pass"</formula>
    </cfRule>
    <cfRule type="cellIs" dxfId="22930" priority="22770" stopIfTrue="1" operator="equal">
      <formula>"Fail"</formula>
    </cfRule>
  </conditionalFormatting>
  <conditionalFormatting sqref="A856">
    <cfRule type="cellIs" dxfId="22929" priority="22767" stopIfTrue="1" operator="equal">
      <formula>"Pass"</formula>
    </cfRule>
    <cfRule type="cellIs" dxfId="22928" priority="22768" stopIfTrue="1" operator="equal">
      <formula>"Fail"</formula>
    </cfRule>
  </conditionalFormatting>
  <conditionalFormatting sqref="A856">
    <cfRule type="cellIs" dxfId="22927" priority="22765" stopIfTrue="1" operator="equal">
      <formula>"Pass"</formula>
    </cfRule>
    <cfRule type="cellIs" dxfId="22926" priority="22766" stopIfTrue="1" operator="equal">
      <formula>"Fail"</formula>
    </cfRule>
  </conditionalFormatting>
  <conditionalFormatting sqref="A856">
    <cfRule type="cellIs" dxfId="22925" priority="22763" stopIfTrue="1" operator="equal">
      <formula>"Pass"</formula>
    </cfRule>
    <cfRule type="cellIs" dxfId="22924" priority="22764" stopIfTrue="1" operator="equal">
      <formula>"Fail"</formula>
    </cfRule>
  </conditionalFormatting>
  <conditionalFormatting sqref="A856">
    <cfRule type="cellIs" dxfId="22923" priority="22761" stopIfTrue="1" operator="equal">
      <formula>"Pass"</formula>
    </cfRule>
    <cfRule type="cellIs" dxfId="22922" priority="22762" stopIfTrue="1" operator="equal">
      <formula>"Fail"</formula>
    </cfRule>
  </conditionalFormatting>
  <conditionalFormatting sqref="A856">
    <cfRule type="cellIs" dxfId="22921" priority="22759" stopIfTrue="1" operator="equal">
      <formula>"Pass"</formula>
    </cfRule>
    <cfRule type="cellIs" dxfId="22920" priority="22760" stopIfTrue="1" operator="equal">
      <formula>"Fail"</formula>
    </cfRule>
  </conditionalFormatting>
  <conditionalFormatting sqref="J856:J857">
    <cfRule type="cellIs" dxfId="22919" priority="22757" stopIfTrue="1" operator="equal">
      <formula>"Pass"</formula>
    </cfRule>
    <cfRule type="cellIs" dxfId="22918" priority="22758" stopIfTrue="1" operator="equal">
      <formula>"Fail"</formula>
    </cfRule>
  </conditionalFormatting>
  <conditionalFormatting sqref="H856:H857 I857">
    <cfRule type="cellIs" dxfId="22917" priority="22755" stopIfTrue="1" operator="equal">
      <formula>"Pass"</formula>
    </cfRule>
    <cfRule type="cellIs" dxfId="22916" priority="22756" stopIfTrue="1" operator="equal">
      <formula>"Fail"</formula>
    </cfRule>
  </conditionalFormatting>
  <conditionalFormatting sqref="A856 C856 F858 F856:G856 K856:N857">
    <cfRule type="cellIs" dxfId="22915" priority="22753" stopIfTrue="1" operator="equal">
      <formula>"Pass"</formula>
    </cfRule>
    <cfRule type="cellIs" dxfId="22914" priority="22754" stopIfTrue="1" operator="equal">
      <formula>"Fail"</formula>
    </cfRule>
  </conditionalFormatting>
  <conditionalFormatting sqref="T856:T858 U857:U858">
    <cfRule type="cellIs" dxfId="22913" priority="22751" stopIfTrue="1" operator="equal">
      <formula>"Fail"</formula>
    </cfRule>
    <cfRule type="cellIs" dxfId="22912" priority="22752" stopIfTrue="1" operator="equal">
      <formula>"Pass"</formula>
    </cfRule>
  </conditionalFormatting>
  <conditionalFormatting sqref="A856">
    <cfRule type="cellIs" dxfId="22911" priority="22749" stopIfTrue="1" operator="equal">
      <formula>"Pass"</formula>
    </cfRule>
    <cfRule type="cellIs" dxfId="22910" priority="22750" stopIfTrue="1" operator="equal">
      <formula>"Fail"</formula>
    </cfRule>
  </conditionalFormatting>
  <conditionalFormatting sqref="A856">
    <cfRule type="cellIs" dxfId="22909" priority="22747" stopIfTrue="1" operator="equal">
      <formula>"Pass"</formula>
    </cfRule>
    <cfRule type="cellIs" dxfId="22908" priority="22748" stopIfTrue="1" operator="equal">
      <formula>"Fail"</formula>
    </cfRule>
  </conditionalFormatting>
  <conditionalFormatting sqref="A856">
    <cfRule type="cellIs" dxfId="22907" priority="22745" stopIfTrue="1" operator="equal">
      <formula>"Pass"</formula>
    </cfRule>
    <cfRule type="cellIs" dxfId="22906" priority="22746" stopIfTrue="1" operator="equal">
      <formula>"Fail"</formula>
    </cfRule>
  </conditionalFormatting>
  <conditionalFormatting sqref="A856">
    <cfRule type="cellIs" dxfId="22905" priority="22743" stopIfTrue="1" operator="equal">
      <formula>"Pass"</formula>
    </cfRule>
    <cfRule type="cellIs" dxfId="22904" priority="22744" stopIfTrue="1" operator="equal">
      <formula>"Fail"</formula>
    </cfRule>
  </conditionalFormatting>
  <conditionalFormatting sqref="A856">
    <cfRule type="cellIs" dxfId="22903" priority="22741" stopIfTrue="1" operator="equal">
      <formula>"Pass"</formula>
    </cfRule>
    <cfRule type="cellIs" dxfId="22902" priority="22742" stopIfTrue="1" operator="equal">
      <formula>"Fail"</formula>
    </cfRule>
  </conditionalFormatting>
  <conditionalFormatting sqref="A856">
    <cfRule type="cellIs" dxfId="22901" priority="22739" stopIfTrue="1" operator="equal">
      <formula>"Pass"</formula>
    </cfRule>
    <cfRule type="cellIs" dxfId="22900" priority="22740" stopIfTrue="1" operator="equal">
      <formula>"Fail"</formula>
    </cfRule>
  </conditionalFormatting>
  <conditionalFormatting sqref="A856">
    <cfRule type="cellIs" dxfId="22899" priority="22737" stopIfTrue="1" operator="equal">
      <formula>"Pass"</formula>
    </cfRule>
    <cfRule type="cellIs" dxfId="22898" priority="22738" stopIfTrue="1" operator="equal">
      <formula>"Fail"</formula>
    </cfRule>
  </conditionalFormatting>
  <conditionalFormatting sqref="A856">
    <cfRule type="cellIs" dxfId="22897" priority="22735" stopIfTrue="1" operator="equal">
      <formula>"Pass"</formula>
    </cfRule>
    <cfRule type="cellIs" dxfId="22896" priority="22736" stopIfTrue="1" operator="equal">
      <formula>"Fail"</formula>
    </cfRule>
  </conditionalFormatting>
  <conditionalFormatting sqref="A856">
    <cfRule type="cellIs" dxfId="22895" priority="22733" stopIfTrue="1" operator="equal">
      <formula>"Pass"</formula>
    </cfRule>
    <cfRule type="cellIs" dxfId="22894" priority="22734" stopIfTrue="1" operator="equal">
      <formula>"Fail"</formula>
    </cfRule>
  </conditionalFormatting>
  <conditionalFormatting sqref="A856">
    <cfRule type="cellIs" dxfId="22893" priority="22731" stopIfTrue="1" operator="equal">
      <formula>"Pass"</formula>
    </cfRule>
    <cfRule type="cellIs" dxfId="22892" priority="22732" stopIfTrue="1" operator="equal">
      <formula>"Fail"</formula>
    </cfRule>
  </conditionalFormatting>
  <conditionalFormatting sqref="A856">
    <cfRule type="cellIs" dxfId="22891" priority="22729" stopIfTrue="1" operator="equal">
      <formula>"Pass"</formula>
    </cfRule>
    <cfRule type="cellIs" dxfId="22890" priority="22730" stopIfTrue="1" operator="equal">
      <formula>"Fail"</formula>
    </cfRule>
  </conditionalFormatting>
  <conditionalFormatting sqref="A856">
    <cfRule type="cellIs" dxfId="22889" priority="22727" stopIfTrue="1" operator="equal">
      <formula>"Pass"</formula>
    </cfRule>
    <cfRule type="cellIs" dxfId="22888" priority="22728" stopIfTrue="1" operator="equal">
      <formula>"Fail"</formula>
    </cfRule>
  </conditionalFormatting>
  <conditionalFormatting sqref="A856">
    <cfRule type="cellIs" dxfId="22887" priority="22725" stopIfTrue="1" operator="equal">
      <formula>"Pass"</formula>
    </cfRule>
    <cfRule type="cellIs" dxfId="22886" priority="22726" stopIfTrue="1" operator="equal">
      <formula>"Fail"</formula>
    </cfRule>
  </conditionalFormatting>
  <conditionalFormatting sqref="A856">
    <cfRule type="cellIs" dxfId="22885" priority="22723" stopIfTrue="1" operator="equal">
      <formula>"Pass"</formula>
    </cfRule>
    <cfRule type="cellIs" dxfId="22884" priority="22724" stopIfTrue="1" operator="equal">
      <formula>"Fail"</formula>
    </cfRule>
  </conditionalFormatting>
  <conditionalFormatting sqref="A856">
    <cfRule type="cellIs" dxfId="22883" priority="22721" stopIfTrue="1" operator="equal">
      <formula>"Pass"</formula>
    </cfRule>
    <cfRule type="cellIs" dxfId="22882" priority="22722" stopIfTrue="1" operator="equal">
      <formula>"Fail"</formula>
    </cfRule>
  </conditionalFormatting>
  <conditionalFormatting sqref="A856">
    <cfRule type="cellIs" dxfId="22881" priority="22719" stopIfTrue="1" operator="equal">
      <formula>"Pass"</formula>
    </cfRule>
    <cfRule type="cellIs" dxfId="22880" priority="22720" stopIfTrue="1" operator="equal">
      <formula>"Fail"</formula>
    </cfRule>
  </conditionalFormatting>
  <conditionalFormatting sqref="U856">
    <cfRule type="cellIs" dxfId="22879" priority="22717" stopIfTrue="1" operator="equal">
      <formula>"Fail"</formula>
    </cfRule>
    <cfRule type="cellIs" dxfId="22878" priority="22718" stopIfTrue="1" operator="equal">
      <formula>"Pass"</formula>
    </cfRule>
  </conditionalFormatting>
  <conditionalFormatting sqref="U856">
    <cfRule type="cellIs" dxfId="22877" priority="22715" stopIfTrue="1" operator="equal">
      <formula>"Fail"</formula>
    </cfRule>
    <cfRule type="cellIs" dxfId="22876" priority="22716" stopIfTrue="1" operator="equal">
      <formula>"Pass"</formula>
    </cfRule>
  </conditionalFormatting>
  <conditionalFormatting sqref="J856:J857">
    <cfRule type="cellIs" dxfId="22875" priority="22713" stopIfTrue="1" operator="equal">
      <formula>"Pass"</formula>
    </cfRule>
    <cfRule type="cellIs" dxfId="22874" priority="22714" stopIfTrue="1" operator="equal">
      <formula>"Fail"</formula>
    </cfRule>
  </conditionalFormatting>
  <conditionalFormatting sqref="H856:H857 I857">
    <cfRule type="cellIs" dxfId="22873" priority="22711" stopIfTrue="1" operator="equal">
      <formula>"Pass"</formula>
    </cfRule>
    <cfRule type="cellIs" dxfId="22872" priority="22712" stopIfTrue="1" operator="equal">
      <formula>"Fail"</formula>
    </cfRule>
  </conditionalFormatting>
  <conditionalFormatting sqref="F858 F856:G856 K856:N857">
    <cfRule type="cellIs" dxfId="22871" priority="22709" stopIfTrue="1" operator="equal">
      <formula>"Pass"</formula>
    </cfRule>
    <cfRule type="cellIs" dxfId="22870" priority="22710" stopIfTrue="1" operator="equal">
      <formula>"Fail"</formula>
    </cfRule>
  </conditionalFormatting>
  <conditionalFormatting sqref="T856:T858 U857:U858">
    <cfRule type="cellIs" dxfId="22869" priority="22707" stopIfTrue="1" operator="equal">
      <formula>"Fail"</formula>
    </cfRule>
    <cfRule type="cellIs" dxfId="22868" priority="22708" stopIfTrue="1" operator="equal">
      <formula>"Pass"</formula>
    </cfRule>
  </conditionalFormatting>
  <conditionalFormatting sqref="U856">
    <cfRule type="cellIs" dxfId="22867" priority="22705" stopIfTrue="1" operator="equal">
      <formula>"Fail"</formula>
    </cfRule>
    <cfRule type="cellIs" dxfId="22866" priority="22706" stopIfTrue="1" operator="equal">
      <formula>"Pass"</formula>
    </cfRule>
  </conditionalFormatting>
  <conditionalFormatting sqref="U856">
    <cfRule type="cellIs" dxfId="22865" priority="22703" stopIfTrue="1" operator="equal">
      <formula>"Fail"</formula>
    </cfRule>
    <cfRule type="cellIs" dxfId="22864" priority="22704" stopIfTrue="1" operator="equal">
      <formula>"Pass"</formula>
    </cfRule>
  </conditionalFormatting>
  <conditionalFormatting sqref="F856:G856 K856:N856">
    <cfRule type="cellIs" dxfId="22863" priority="22701" stopIfTrue="1" operator="equal">
      <formula>"Pass"</formula>
    </cfRule>
    <cfRule type="cellIs" dxfId="22862" priority="22702" stopIfTrue="1" operator="equal">
      <formula>"Fail"</formula>
    </cfRule>
  </conditionalFormatting>
  <conditionalFormatting sqref="K857:N857">
    <cfRule type="cellIs" dxfId="22861" priority="22699" stopIfTrue="1" operator="equal">
      <formula>"Pass"</formula>
    </cfRule>
    <cfRule type="cellIs" dxfId="22860" priority="22700" stopIfTrue="1" operator="equal">
      <formula>"Fail"</formula>
    </cfRule>
  </conditionalFormatting>
  <conditionalFormatting sqref="U856">
    <cfRule type="cellIs" dxfId="22859" priority="22697" stopIfTrue="1" operator="equal">
      <formula>"Fail"</formula>
    </cfRule>
    <cfRule type="cellIs" dxfId="22858" priority="22698" stopIfTrue="1" operator="equal">
      <formula>"Pass"</formula>
    </cfRule>
  </conditionalFormatting>
  <conditionalFormatting sqref="A856:A858">
    <cfRule type="cellIs" dxfId="22857" priority="22695" stopIfTrue="1" operator="equal">
      <formula>"Pass"</formula>
    </cfRule>
    <cfRule type="cellIs" dxfId="22856" priority="22696" stopIfTrue="1" operator="equal">
      <formula>"Fail"</formula>
    </cfRule>
  </conditionalFormatting>
  <conditionalFormatting sqref="A856:A858">
    <cfRule type="cellIs" dxfId="22855" priority="22693" stopIfTrue="1" operator="equal">
      <formula>"Pass"</formula>
    </cfRule>
    <cfRule type="cellIs" dxfId="22854" priority="22694" stopIfTrue="1" operator="equal">
      <formula>"Fail"</formula>
    </cfRule>
  </conditionalFormatting>
  <conditionalFormatting sqref="A856:A858">
    <cfRule type="cellIs" dxfId="22853" priority="22691" stopIfTrue="1" operator="equal">
      <formula>"Pass"</formula>
    </cfRule>
    <cfRule type="cellIs" dxfId="22852" priority="22692" stopIfTrue="1" operator="equal">
      <formula>"Fail"</formula>
    </cfRule>
  </conditionalFormatting>
  <conditionalFormatting sqref="A856:A858">
    <cfRule type="cellIs" dxfId="22851" priority="22689" stopIfTrue="1" operator="equal">
      <formula>"Pass"</formula>
    </cfRule>
    <cfRule type="cellIs" dxfId="22850" priority="22690" stopIfTrue="1" operator="equal">
      <formula>"Fail"</formula>
    </cfRule>
  </conditionalFormatting>
  <conditionalFormatting sqref="A856:A858">
    <cfRule type="cellIs" dxfId="22849" priority="22687" stopIfTrue="1" operator="equal">
      <formula>"Pass"</formula>
    </cfRule>
    <cfRule type="cellIs" dxfId="22848" priority="22688" stopIfTrue="1" operator="equal">
      <formula>"Fail"</formula>
    </cfRule>
  </conditionalFormatting>
  <conditionalFormatting sqref="A858">
    <cfRule type="cellIs" dxfId="22847" priority="22685" stopIfTrue="1" operator="equal">
      <formula>"Pass"</formula>
    </cfRule>
    <cfRule type="cellIs" dxfId="22846" priority="22686" stopIfTrue="1" operator="equal">
      <formula>"Fail"</formula>
    </cfRule>
  </conditionalFormatting>
  <conditionalFormatting sqref="A856:A858">
    <cfRule type="cellIs" dxfId="22845" priority="22683" stopIfTrue="1" operator="equal">
      <formula>"Pass"</formula>
    </cfRule>
    <cfRule type="cellIs" dxfId="22844" priority="22684" stopIfTrue="1" operator="equal">
      <formula>"Fail"</formula>
    </cfRule>
  </conditionalFormatting>
  <conditionalFormatting sqref="A856:A858">
    <cfRule type="cellIs" dxfId="22843" priority="22681" stopIfTrue="1" operator="equal">
      <formula>"Pass"</formula>
    </cfRule>
    <cfRule type="cellIs" dxfId="22842" priority="22682" stopIfTrue="1" operator="equal">
      <formula>"Fail"</formula>
    </cfRule>
  </conditionalFormatting>
  <conditionalFormatting sqref="A856:A858">
    <cfRule type="cellIs" dxfId="22841" priority="22679" stopIfTrue="1" operator="equal">
      <formula>"Pass"</formula>
    </cfRule>
    <cfRule type="cellIs" dxfId="22840" priority="22680" stopIfTrue="1" operator="equal">
      <formula>"Fail"</formula>
    </cfRule>
  </conditionalFormatting>
  <conditionalFormatting sqref="A856:A858">
    <cfRule type="cellIs" dxfId="22839" priority="22677" stopIfTrue="1" operator="equal">
      <formula>"Pass"</formula>
    </cfRule>
    <cfRule type="cellIs" dxfId="22838" priority="22678" stopIfTrue="1" operator="equal">
      <formula>"Fail"</formula>
    </cfRule>
  </conditionalFormatting>
  <conditionalFormatting sqref="A856:A858">
    <cfRule type="cellIs" dxfId="22837" priority="22675" stopIfTrue="1" operator="equal">
      <formula>"Pass"</formula>
    </cfRule>
    <cfRule type="cellIs" dxfId="22836" priority="22676" stopIfTrue="1" operator="equal">
      <formula>"Fail"</formula>
    </cfRule>
  </conditionalFormatting>
  <conditionalFormatting sqref="A856:A858">
    <cfRule type="cellIs" dxfId="22835" priority="22673" stopIfTrue="1" operator="equal">
      <formula>"Pass"</formula>
    </cfRule>
    <cfRule type="cellIs" dxfId="22834" priority="22674" stopIfTrue="1" operator="equal">
      <formula>"Fail"</formula>
    </cfRule>
  </conditionalFormatting>
  <conditionalFormatting sqref="A858">
    <cfRule type="cellIs" dxfId="22833" priority="22671" stopIfTrue="1" operator="equal">
      <formula>"Pass"</formula>
    </cfRule>
    <cfRule type="cellIs" dxfId="22832" priority="22672" stopIfTrue="1" operator="equal">
      <formula>"Fail"</formula>
    </cfRule>
  </conditionalFormatting>
  <conditionalFormatting sqref="A856:A858">
    <cfRule type="cellIs" dxfId="22831" priority="22669" stopIfTrue="1" operator="equal">
      <formula>"Pass"</formula>
    </cfRule>
    <cfRule type="cellIs" dxfId="22830" priority="22670" stopIfTrue="1" operator="equal">
      <formula>"Fail"</formula>
    </cfRule>
  </conditionalFormatting>
  <conditionalFormatting sqref="J856:J857">
    <cfRule type="cellIs" dxfId="22829" priority="22667" stopIfTrue="1" operator="equal">
      <formula>"Pass"</formula>
    </cfRule>
    <cfRule type="cellIs" dxfId="22828" priority="22668" stopIfTrue="1" operator="equal">
      <formula>"Fail"</formula>
    </cfRule>
  </conditionalFormatting>
  <conditionalFormatting sqref="H856:H857 I857">
    <cfRule type="cellIs" dxfId="22827" priority="22665" stopIfTrue="1" operator="equal">
      <formula>"Pass"</formula>
    </cfRule>
    <cfRule type="cellIs" dxfId="22826" priority="22666" stopIfTrue="1" operator="equal">
      <formula>"Fail"</formula>
    </cfRule>
  </conditionalFormatting>
  <conditionalFormatting sqref="F858 F856:G856 K856:N857">
    <cfRule type="cellIs" dxfId="22825" priority="22663" stopIfTrue="1" operator="equal">
      <formula>"Pass"</formula>
    </cfRule>
    <cfRule type="cellIs" dxfId="22824" priority="22664" stopIfTrue="1" operator="equal">
      <formula>"Fail"</formula>
    </cfRule>
  </conditionalFormatting>
  <conditionalFormatting sqref="T856:T858 U857:U858">
    <cfRule type="cellIs" dxfId="22823" priority="22661" stopIfTrue="1" operator="equal">
      <formula>"Fail"</formula>
    </cfRule>
    <cfRule type="cellIs" dxfId="22822" priority="22662" stopIfTrue="1" operator="equal">
      <formula>"Pass"</formula>
    </cfRule>
  </conditionalFormatting>
  <conditionalFormatting sqref="U856">
    <cfRule type="cellIs" dxfId="22821" priority="22659" stopIfTrue="1" operator="equal">
      <formula>"Fail"</formula>
    </cfRule>
    <cfRule type="cellIs" dxfId="22820" priority="22660" stopIfTrue="1" operator="equal">
      <formula>"Pass"</formula>
    </cfRule>
  </conditionalFormatting>
  <conditionalFormatting sqref="U856">
    <cfRule type="cellIs" dxfId="22819" priority="22657" stopIfTrue="1" operator="equal">
      <formula>"Fail"</formula>
    </cfRule>
    <cfRule type="cellIs" dxfId="22818" priority="22658" stopIfTrue="1" operator="equal">
      <formula>"Pass"</formula>
    </cfRule>
  </conditionalFormatting>
  <conditionalFormatting sqref="J856:J857">
    <cfRule type="cellIs" dxfId="22817" priority="22655" stopIfTrue="1" operator="equal">
      <formula>"Pass"</formula>
    </cfRule>
    <cfRule type="cellIs" dxfId="22816" priority="22656" stopIfTrue="1" operator="equal">
      <formula>"Fail"</formula>
    </cfRule>
  </conditionalFormatting>
  <conditionalFormatting sqref="H856:H857 I857">
    <cfRule type="cellIs" dxfId="22815" priority="22653" stopIfTrue="1" operator="equal">
      <formula>"Pass"</formula>
    </cfRule>
    <cfRule type="cellIs" dxfId="22814" priority="22654" stopIfTrue="1" operator="equal">
      <formula>"Fail"</formula>
    </cfRule>
  </conditionalFormatting>
  <conditionalFormatting sqref="F858 F856:G856 K856:N857">
    <cfRule type="cellIs" dxfId="22813" priority="22651" stopIfTrue="1" operator="equal">
      <formula>"Pass"</formula>
    </cfRule>
    <cfRule type="cellIs" dxfId="22812" priority="22652" stopIfTrue="1" operator="equal">
      <formula>"Fail"</formula>
    </cfRule>
  </conditionalFormatting>
  <conditionalFormatting sqref="T856:T858 U857:U858">
    <cfRule type="cellIs" dxfId="22811" priority="22649" stopIfTrue="1" operator="equal">
      <formula>"Fail"</formula>
    </cfRule>
    <cfRule type="cellIs" dxfId="22810" priority="22650" stopIfTrue="1" operator="equal">
      <formula>"Pass"</formula>
    </cfRule>
  </conditionalFormatting>
  <conditionalFormatting sqref="U856">
    <cfRule type="cellIs" dxfId="22809" priority="22647" stopIfTrue="1" operator="equal">
      <formula>"Fail"</formula>
    </cfRule>
    <cfRule type="cellIs" dxfId="22808" priority="22648" stopIfTrue="1" operator="equal">
      <formula>"Pass"</formula>
    </cfRule>
  </conditionalFormatting>
  <conditionalFormatting sqref="U856">
    <cfRule type="cellIs" dxfId="22807" priority="22645" stopIfTrue="1" operator="equal">
      <formula>"Fail"</formula>
    </cfRule>
    <cfRule type="cellIs" dxfId="22806" priority="22646" stopIfTrue="1" operator="equal">
      <formula>"Pass"</formula>
    </cfRule>
  </conditionalFormatting>
  <conditionalFormatting sqref="F856:G856 K856:N856">
    <cfRule type="cellIs" dxfId="22805" priority="22643" stopIfTrue="1" operator="equal">
      <formula>"Pass"</formula>
    </cfRule>
    <cfRule type="cellIs" dxfId="22804" priority="22644" stopIfTrue="1" operator="equal">
      <formula>"Fail"</formula>
    </cfRule>
  </conditionalFormatting>
  <conditionalFormatting sqref="K857:N857">
    <cfRule type="cellIs" dxfId="22803" priority="22641" stopIfTrue="1" operator="equal">
      <formula>"Pass"</formula>
    </cfRule>
    <cfRule type="cellIs" dxfId="22802" priority="22642" stopIfTrue="1" operator="equal">
      <formula>"Fail"</formula>
    </cfRule>
  </conditionalFormatting>
  <conditionalFormatting sqref="U856">
    <cfRule type="cellIs" dxfId="22801" priority="22639" stopIfTrue="1" operator="equal">
      <formula>"Fail"</formula>
    </cfRule>
    <cfRule type="cellIs" dxfId="22800" priority="22640" stopIfTrue="1" operator="equal">
      <formula>"Pass"</formula>
    </cfRule>
  </conditionalFormatting>
  <conditionalFormatting sqref="J856:J857">
    <cfRule type="cellIs" dxfId="22799" priority="22637" stopIfTrue="1" operator="equal">
      <formula>"Pass"</formula>
    </cfRule>
    <cfRule type="cellIs" dxfId="22798" priority="22638" stopIfTrue="1" operator="equal">
      <formula>"Fail"</formula>
    </cfRule>
  </conditionalFormatting>
  <conditionalFormatting sqref="H856:H857 I857">
    <cfRule type="cellIs" dxfId="22797" priority="22635" stopIfTrue="1" operator="equal">
      <formula>"Pass"</formula>
    </cfRule>
    <cfRule type="cellIs" dxfId="22796" priority="22636" stopIfTrue="1" operator="equal">
      <formula>"Fail"</formula>
    </cfRule>
  </conditionalFormatting>
  <conditionalFormatting sqref="F856:G856 K856:N857">
    <cfRule type="cellIs" dxfId="22795" priority="22633" stopIfTrue="1" operator="equal">
      <formula>"Pass"</formula>
    </cfRule>
    <cfRule type="cellIs" dxfId="22794" priority="22634" stopIfTrue="1" operator="equal">
      <formula>"Fail"</formula>
    </cfRule>
  </conditionalFormatting>
  <conditionalFormatting sqref="T856:T857 U857">
    <cfRule type="cellIs" dxfId="22793" priority="22631" stopIfTrue="1" operator="equal">
      <formula>"Fail"</formula>
    </cfRule>
    <cfRule type="cellIs" dxfId="22792" priority="22632" stopIfTrue="1" operator="equal">
      <formula>"Pass"</formula>
    </cfRule>
  </conditionalFormatting>
  <conditionalFormatting sqref="U856">
    <cfRule type="cellIs" dxfId="22791" priority="22629" stopIfTrue="1" operator="equal">
      <formula>"Fail"</formula>
    </cfRule>
    <cfRule type="cellIs" dxfId="22790" priority="22630" stopIfTrue="1" operator="equal">
      <formula>"Pass"</formula>
    </cfRule>
  </conditionalFormatting>
  <conditionalFormatting sqref="U856">
    <cfRule type="cellIs" dxfId="22789" priority="22627" stopIfTrue="1" operator="equal">
      <formula>"Fail"</formula>
    </cfRule>
    <cfRule type="cellIs" dxfId="22788" priority="22628" stopIfTrue="1" operator="equal">
      <formula>"Pass"</formula>
    </cfRule>
  </conditionalFormatting>
  <conditionalFormatting sqref="J856:J857">
    <cfRule type="cellIs" dxfId="22787" priority="22625" stopIfTrue="1" operator="equal">
      <formula>"Pass"</formula>
    </cfRule>
    <cfRule type="cellIs" dxfId="22786" priority="22626" stopIfTrue="1" operator="equal">
      <formula>"Fail"</formula>
    </cfRule>
  </conditionalFormatting>
  <conditionalFormatting sqref="H856:H857 I857">
    <cfRule type="cellIs" dxfId="22785" priority="22623" stopIfTrue="1" operator="equal">
      <formula>"Pass"</formula>
    </cfRule>
    <cfRule type="cellIs" dxfId="22784" priority="22624" stopIfTrue="1" operator="equal">
      <formula>"Fail"</formula>
    </cfRule>
  </conditionalFormatting>
  <conditionalFormatting sqref="F856:G856 K856:N857">
    <cfRule type="cellIs" dxfId="22783" priority="22621" stopIfTrue="1" operator="equal">
      <formula>"Pass"</formula>
    </cfRule>
    <cfRule type="cellIs" dxfId="22782" priority="22622" stopIfTrue="1" operator="equal">
      <formula>"Fail"</formula>
    </cfRule>
  </conditionalFormatting>
  <conditionalFormatting sqref="T856:T857 U857">
    <cfRule type="cellIs" dxfId="22781" priority="22619" stopIfTrue="1" operator="equal">
      <formula>"Fail"</formula>
    </cfRule>
    <cfRule type="cellIs" dxfId="22780" priority="22620" stopIfTrue="1" operator="equal">
      <formula>"Pass"</formula>
    </cfRule>
  </conditionalFormatting>
  <conditionalFormatting sqref="U856">
    <cfRule type="cellIs" dxfId="22779" priority="22617" stopIfTrue="1" operator="equal">
      <formula>"Fail"</formula>
    </cfRule>
    <cfRule type="cellIs" dxfId="22778" priority="22618" stopIfTrue="1" operator="equal">
      <formula>"Pass"</formula>
    </cfRule>
  </conditionalFormatting>
  <conditionalFormatting sqref="U856">
    <cfRule type="cellIs" dxfId="22777" priority="22615" stopIfTrue="1" operator="equal">
      <formula>"Fail"</formula>
    </cfRule>
    <cfRule type="cellIs" dxfId="22776" priority="22616" stopIfTrue="1" operator="equal">
      <formula>"Pass"</formula>
    </cfRule>
  </conditionalFormatting>
  <conditionalFormatting sqref="F856:G856 K856:N856">
    <cfRule type="cellIs" dxfId="22775" priority="22613" stopIfTrue="1" operator="equal">
      <formula>"Pass"</formula>
    </cfRule>
    <cfRule type="cellIs" dxfId="22774" priority="22614" stopIfTrue="1" operator="equal">
      <formula>"Fail"</formula>
    </cfRule>
  </conditionalFormatting>
  <conditionalFormatting sqref="K857:N857">
    <cfRule type="cellIs" dxfId="22773" priority="22611" stopIfTrue="1" operator="equal">
      <formula>"Pass"</formula>
    </cfRule>
    <cfRule type="cellIs" dxfId="22772" priority="22612" stopIfTrue="1" operator="equal">
      <formula>"Fail"</formula>
    </cfRule>
  </conditionalFormatting>
  <conditionalFormatting sqref="U856">
    <cfRule type="cellIs" dxfId="22771" priority="22609" stopIfTrue="1" operator="equal">
      <formula>"Fail"</formula>
    </cfRule>
    <cfRule type="cellIs" dxfId="22770" priority="22610" stopIfTrue="1" operator="equal">
      <formula>"Pass"</formula>
    </cfRule>
  </conditionalFormatting>
  <conditionalFormatting sqref="U856">
    <cfRule type="cellIs" dxfId="22769" priority="22607" stopIfTrue="1" operator="equal">
      <formula>"Fail"</formula>
    </cfRule>
    <cfRule type="cellIs" dxfId="22768" priority="22608" stopIfTrue="1" operator="equal">
      <formula>"Pass"</formula>
    </cfRule>
  </conditionalFormatting>
  <conditionalFormatting sqref="U856">
    <cfRule type="cellIs" dxfId="22767" priority="22605" stopIfTrue="1" operator="equal">
      <formula>"Fail"</formula>
    </cfRule>
    <cfRule type="cellIs" dxfId="22766" priority="22606" stopIfTrue="1" operator="equal">
      <formula>"Pass"</formula>
    </cfRule>
  </conditionalFormatting>
  <conditionalFormatting sqref="U856">
    <cfRule type="cellIs" dxfId="22765" priority="22603" stopIfTrue="1" operator="equal">
      <formula>"Fail"</formula>
    </cfRule>
    <cfRule type="cellIs" dxfId="22764" priority="22604" stopIfTrue="1" operator="equal">
      <formula>"Pass"</formula>
    </cfRule>
  </conditionalFormatting>
  <conditionalFormatting sqref="A859:A861">
    <cfRule type="cellIs" dxfId="22763" priority="22601" stopIfTrue="1" operator="equal">
      <formula>"Pass"</formula>
    </cfRule>
    <cfRule type="cellIs" dxfId="22762" priority="22602" stopIfTrue="1" operator="equal">
      <formula>"Fail"</formula>
    </cfRule>
  </conditionalFormatting>
  <conditionalFormatting sqref="A859:A861">
    <cfRule type="cellIs" dxfId="22761" priority="22599" stopIfTrue="1" operator="equal">
      <formula>"Pass"</formula>
    </cfRule>
    <cfRule type="cellIs" dxfId="22760" priority="22600" stopIfTrue="1" operator="equal">
      <formula>"Fail"</formula>
    </cfRule>
  </conditionalFormatting>
  <conditionalFormatting sqref="A859:A861">
    <cfRule type="cellIs" dxfId="22759" priority="22597" stopIfTrue="1" operator="equal">
      <formula>"Pass"</formula>
    </cfRule>
    <cfRule type="cellIs" dxfId="22758" priority="22598" stopIfTrue="1" operator="equal">
      <formula>"Fail"</formula>
    </cfRule>
  </conditionalFormatting>
  <conditionalFormatting sqref="A859:A861">
    <cfRule type="cellIs" dxfId="22757" priority="22595" stopIfTrue="1" operator="equal">
      <formula>"Pass"</formula>
    </cfRule>
    <cfRule type="cellIs" dxfId="22756" priority="22596" stopIfTrue="1" operator="equal">
      <formula>"Fail"</formula>
    </cfRule>
  </conditionalFormatting>
  <conditionalFormatting sqref="A859:A861">
    <cfRule type="cellIs" dxfId="22755" priority="22593" stopIfTrue="1" operator="equal">
      <formula>"Pass"</formula>
    </cfRule>
    <cfRule type="cellIs" dxfId="22754" priority="22594" stopIfTrue="1" operator="equal">
      <formula>"Fail"</formula>
    </cfRule>
  </conditionalFormatting>
  <conditionalFormatting sqref="A861">
    <cfRule type="cellIs" dxfId="22753" priority="22591" stopIfTrue="1" operator="equal">
      <formula>"Pass"</formula>
    </cfRule>
    <cfRule type="cellIs" dxfId="22752" priority="22592" stopIfTrue="1" operator="equal">
      <formula>"Fail"</formula>
    </cfRule>
  </conditionalFormatting>
  <conditionalFormatting sqref="A859:A861">
    <cfRule type="cellIs" dxfId="22751" priority="22589" stopIfTrue="1" operator="equal">
      <formula>"Pass"</formula>
    </cfRule>
    <cfRule type="cellIs" dxfId="22750" priority="22590" stopIfTrue="1" operator="equal">
      <formula>"Fail"</formula>
    </cfRule>
  </conditionalFormatting>
  <conditionalFormatting sqref="H859:H860">
    <cfRule type="cellIs" dxfId="22749" priority="22587" stopIfTrue="1" operator="equal">
      <formula>"Pass"</formula>
    </cfRule>
    <cfRule type="cellIs" dxfId="22748" priority="22588" stopIfTrue="1" operator="equal">
      <formula>"Fail"</formula>
    </cfRule>
  </conditionalFormatting>
  <conditionalFormatting sqref="E859:F859 I859:M860 E861:F861 A859">
    <cfRule type="cellIs" dxfId="22747" priority="22585" stopIfTrue="1" operator="equal">
      <formula>"Pass"</formula>
    </cfRule>
    <cfRule type="cellIs" dxfId="22746" priority="22586" stopIfTrue="1" operator="equal">
      <formula>"Fail"</formula>
    </cfRule>
  </conditionalFormatting>
  <conditionalFormatting sqref="T861 T859 R859:R861 S860:S861">
    <cfRule type="cellIs" dxfId="22745" priority="22583" stopIfTrue="1" operator="equal">
      <formula>"Fail"</formula>
    </cfRule>
    <cfRule type="cellIs" dxfId="22744" priority="22584" stopIfTrue="1" operator="equal">
      <formula>"Pass"</formula>
    </cfRule>
  </conditionalFormatting>
  <conditionalFormatting sqref="F859:G859 F861:G861 B859:B861 A859 J859:N860">
    <cfRule type="cellIs" dxfId="22743" priority="22581" stopIfTrue="1" operator="equal">
      <formula>"Pass"</formula>
    </cfRule>
    <cfRule type="cellIs" dxfId="22742" priority="22582" stopIfTrue="1" operator="equal">
      <formula>"Fail"</formula>
    </cfRule>
  </conditionalFormatting>
  <conditionalFormatting sqref="U861 T859:T861 S860:S861">
    <cfRule type="cellIs" dxfId="22741" priority="22579" stopIfTrue="1" operator="equal">
      <formula>"Fail"</formula>
    </cfRule>
    <cfRule type="cellIs" dxfId="22740" priority="22580" stopIfTrue="1" operator="equal">
      <formula>"Pass"</formula>
    </cfRule>
  </conditionalFormatting>
  <conditionalFormatting sqref="A859">
    <cfRule type="cellIs" dxfId="22739" priority="22577" stopIfTrue="1" operator="equal">
      <formula>"Pass"</formula>
    </cfRule>
    <cfRule type="cellIs" dxfId="22738" priority="22578" stopIfTrue="1" operator="equal">
      <formula>"Fail"</formula>
    </cfRule>
  </conditionalFormatting>
  <conditionalFormatting sqref="A859">
    <cfRule type="cellIs" dxfId="22737" priority="22575" stopIfTrue="1" operator="equal">
      <formula>"Pass"</formula>
    </cfRule>
    <cfRule type="cellIs" dxfId="22736" priority="22576" stopIfTrue="1" operator="equal">
      <formula>"Fail"</formula>
    </cfRule>
  </conditionalFormatting>
  <conditionalFormatting sqref="A859">
    <cfRule type="cellIs" dxfId="22735" priority="22573" stopIfTrue="1" operator="equal">
      <formula>"Pass"</formula>
    </cfRule>
    <cfRule type="cellIs" dxfId="22734" priority="22574" stopIfTrue="1" operator="equal">
      <formula>"Fail"</formula>
    </cfRule>
  </conditionalFormatting>
  <conditionalFormatting sqref="A859">
    <cfRule type="cellIs" dxfId="22733" priority="22571" stopIfTrue="1" operator="equal">
      <formula>"Pass"</formula>
    </cfRule>
    <cfRule type="cellIs" dxfId="22732" priority="22572" stopIfTrue="1" operator="equal">
      <formula>"Fail"</formula>
    </cfRule>
  </conditionalFormatting>
  <conditionalFormatting sqref="A859">
    <cfRule type="cellIs" dxfId="22731" priority="22569" stopIfTrue="1" operator="equal">
      <formula>"Pass"</formula>
    </cfRule>
    <cfRule type="cellIs" dxfId="22730" priority="22570" stopIfTrue="1" operator="equal">
      <formula>"Fail"</formula>
    </cfRule>
  </conditionalFormatting>
  <conditionalFormatting sqref="A859">
    <cfRule type="cellIs" dxfId="22729" priority="22567" stopIfTrue="1" operator="equal">
      <formula>"Pass"</formula>
    </cfRule>
    <cfRule type="cellIs" dxfId="22728" priority="22568" stopIfTrue="1" operator="equal">
      <formula>"Fail"</formula>
    </cfRule>
  </conditionalFormatting>
  <conditionalFormatting sqref="A859">
    <cfRule type="cellIs" dxfId="22727" priority="22565" stopIfTrue="1" operator="equal">
      <formula>"Pass"</formula>
    </cfRule>
    <cfRule type="cellIs" dxfId="22726" priority="22566" stopIfTrue="1" operator="equal">
      <formula>"Fail"</formula>
    </cfRule>
  </conditionalFormatting>
  <conditionalFormatting sqref="A859">
    <cfRule type="cellIs" dxfId="22725" priority="22563" stopIfTrue="1" operator="equal">
      <formula>"Pass"</formula>
    </cfRule>
    <cfRule type="cellIs" dxfId="22724" priority="22564" stopIfTrue="1" operator="equal">
      <formula>"Fail"</formula>
    </cfRule>
  </conditionalFormatting>
  <conditionalFormatting sqref="A859">
    <cfRule type="cellIs" dxfId="22723" priority="22561" stopIfTrue="1" operator="equal">
      <formula>"Pass"</formula>
    </cfRule>
    <cfRule type="cellIs" dxfId="22722" priority="22562" stopIfTrue="1" operator="equal">
      <formula>"Fail"</formula>
    </cfRule>
  </conditionalFormatting>
  <conditionalFormatting sqref="A859">
    <cfRule type="cellIs" dxfId="22721" priority="22559" stopIfTrue="1" operator="equal">
      <formula>"Pass"</formula>
    </cfRule>
    <cfRule type="cellIs" dxfId="22720" priority="22560" stopIfTrue="1" operator="equal">
      <formula>"Fail"</formula>
    </cfRule>
  </conditionalFormatting>
  <conditionalFormatting sqref="U859">
    <cfRule type="cellIs" dxfId="22719" priority="22557" stopIfTrue="1" operator="equal">
      <formula>"Fail"</formula>
    </cfRule>
    <cfRule type="cellIs" dxfId="22718" priority="22558" stopIfTrue="1" operator="equal">
      <formula>"Pass"</formula>
    </cfRule>
  </conditionalFormatting>
  <conditionalFormatting sqref="F859:G859 J859:N859">
    <cfRule type="cellIs" dxfId="22717" priority="22555" stopIfTrue="1" operator="equal">
      <formula>"Pass"</formula>
    </cfRule>
    <cfRule type="cellIs" dxfId="22716" priority="22556" stopIfTrue="1" operator="equal">
      <formula>"Fail"</formula>
    </cfRule>
  </conditionalFormatting>
  <conditionalFormatting sqref="J860:N860">
    <cfRule type="cellIs" dxfId="22715" priority="22553" stopIfTrue="1" operator="equal">
      <formula>"Pass"</formula>
    </cfRule>
    <cfRule type="cellIs" dxfId="22714" priority="22554" stopIfTrue="1" operator="equal">
      <formula>"Fail"</formula>
    </cfRule>
  </conditionalFormatting>
  <conditionalFormatting sqref="A859:A861">
    <cfRule type="cellIs" dxfId="22713" priority="22551" stopIfTrue="1" operator="equal">
      <formula>"Pass"</formula>
    </cfRule>
    <cfRule type="cellIs" dxfId="22712" priority="22552" stopIfTrue="1" operator="equal">
      <formula>"Fail"</formula>
    </cfRule>
  </conditionalFormatting>
  <conditionalFormatting sqref="A859:A861">
    <cfRule type="cellIs" dxfId="22711" priority="22549" stopIfTrue="1" operator="equal">
      <formula>"Pass"</formula>
    </cfRule>
    <cfRule type="cellIs" dxfId="22710" priority="22550" stopIfTrue="1" operator="equal">
      <formula>"Fail"</formula>
    </cfRule>
  </conditionalFormatting>
  <conditionalFormatting sqref="A859:A861">
    <cfRule type="cellIs" dxfId="22709" priority="22547" stopIfTrue="1" operator="equal">
      <formula>"Pass"</formula>
    </cfRule>
    <cfRule type="cellIs" dxfId="22708" priority="22548" stopIfTrue="1" operator="equal">
      <formula>"Fail"</formula>
    </cfRule>
  </conditionalFormatting>
  <conditionalFormatting sqref="A859:A861">
    <cfRule type="cellIs" dxfId="22707" priority="22545" stopIfTrue="1" operator="equal">
      <formula>"Pass"</formula>
    </cfRule>
    <cfRule type="cellIs" dxfId="22706" priority="22546" stopIfTrue="1" operator="equal">
      <formula>"Fail"</formula>
    </cfRule>
  </conditionalFormatting>
  <conditionalFormatting sqref="A859:A861">
    <cfRule type="cellIs" dxfId="22705" priority="22543" stopIfTrue="1" operator="equal">
      <formula>"Pass"</formula>
    </cfRule>
    <cfRule type="cellIs" dxfId="22704" priority="22544" stopIfTrue="1" operator="equal">
      <formula>"Fail"</formula>
    </cfRule>
  </conditionalFormatting>
  <conditionalFormatting sqref="A861">
    <cfRule type="cellIs" dxfId="22703" priority="22541" stopIfTrue="1" operator="equal">
      <formula>"Pass"</formula>
    </cfRule>
    <cfRule type="cellIs" dxfId="22702" priority="22542" stopIfTrue="1" operator="equal">
      <formula>"Fail"</formula>
    </cfRule>
  </conditionalFormatting>
  <conditionalFormatting sqref="A859:A861">
    <cfRule type="cellIs" dxfId="22701" priority="22539" stopIfTrue="1" operator="equal">
      <formula>"Pass"</formula>
    </cfRule>
    <cfRule type="cellIs" dxfId="22700" priority="22540" stopIfTrue="1" operator="equal">
      <formula>"Fail"</formula>
    </cfRule>
  </conditionalFormatting>
  <conditionalFormatting sqref="A859:A861">
    <cfRule type="cellIs" dxfId="22699" priority="22537" stopIfTrue="1" operator="equal">
      <formula>"Pass"</formula>
    </cfRule>
    <cfRule type="cellIs" dxfId="22698" priority="22538" stopIfTrue="1" operator="equal">
      <formula>"Fail"</formula>
    </cfRule>
  </conditionalFormatting>
  <conditionalFormatting sqref="A859:A861">
    <cfRule type="cellIs" dxfId="22697" priority="22535" stopIfTrue="1" operator="equal">
      <formula>"Pass"</formula>
    </cfRule>
    <cfRule type="cellIs" dxfId="22696" priority="22536" stopIfTrue="1" operator="equal">
      <formula>"Fail"</formula>
    </cfRule>
  </conditionalFormatting>
  <conditionalFormatting sqref="A859:A861">
    <cfRule type="cellIs" dxfId="22695" priority="22533" stopIfTrue="1" operator="equal">
      <formula>"Pass"</formula>
    </cfRule>
    <cfRule type="cellIs" dxfId="22694" priority="22534" stopIfTrue="1" operator="equal">
      <formula>"Fail"</formula>
    </cfRule>
  </conditionalFormatting>
  <conditionalFormatting sqref="A859:A861">
    <cfRule type="cellIs" dxfId="22693" priority="22531" stopIfTrue="1" operator="equal">
      <formula>"Pass"</formula>
    </cfRule>
    <cfRule type="cellIs" dxfId="22692" priority="22532" stopIfTrue="1" operator="equal">
      <formula>"Fail"</formula>
    </cfRule>
  </conditionalFormatting>
  <conditionalFormatting sqref="A859:A861">
    <cfRule type="cellIs" dxfId="22691" priority="22529" stopIfTrue="1" operator="equal">
      <formula>"Pass"</formula>
    </cfRule>
    <cfRule type="cellIs" dxfId="22690" priority="22530" stopIfTrue="1" operator="equal">
      <formula>"Fail"</formula>
    </cfRule>
  </conditionalFormatting>
  <conditionalFormatting sqref="A861">
    <cfRule type="cellIs" dxfId="22689" priority="22527" stopIfTrue="1" operator="equal">
      <formula>"Pass"</formula>
    </cfRule>
    <cfRule type="cellIs" dxfId="22688" priority="22528" stopIfTrue="1" operator="equal">
      <formula>"Fail"</formula>
    </cfRule>
  </conditionalFormatting>
  <conditionalFormatting sqref="A859:A861">
    <cfRule type="cellIs" dxfId="22687" priority="22525" stopIfTrue="1" operator="equal">
      <formula>"Pass"</formula>
    </cfRule>
    <cfRule type="cellIs" dxfId="22686" priority="22526" stopIfTrue="1" operator="equal">
      <formula>"Fail"</formula>
    </cfRule>
  </conditionalFormatting>
  <conditionalFormatting sqref="H859:H860">
    <cfRule type="cellIs" dxfId="22685" priority="22523" stopIfTrue="1" operator="equal">
      <formula>"Pass"</formula>
    </cfRule>
    <cfRule type="cellIs" dxfId="22684" priority="22524" stopIfTrue="1" operator="equal">
      <formula>"Fail"</formula>
    </cfRule>
  </conditionalFormatting>
  <conditionalFormatting sqref="F859 I859:M860 F861">
    <cfRule type="cellIs" dxfId="22683" priority="22521" stopIfTrue="1" operator="equal">
      <formula>"Pass"</formula>
    </cfRule>
    <cfRule type="cellIs" dxfId="22682" priority="22522" stopIfTrue="1" operator="equal">
      <formula>"Fail"</formula>
    </cfRule>
  </conditionalFormatting>
  <conditionalFormatting sqref="T861 T859 R859:R861 S860:S861">
    <cfRule type="cellIs" dxfId="22681" priority="22519" stopIfTrue="1" operator="equal">
      <formula>"Fail"</formula>
    </cfRule>
    <cfRule type="cellIs" dxfId="22680" priority="22520" stopIfTrue="1" operator="equal">
      <formula>"Pass"</formula>
    </cfRule>
  </conditionalFormatting>
  <conditionalFormatting sqref="F859:G859 F861:G861 J859:N860">
    <cfRule type="cellIs" dxfId="22679" priority="22517" stopIfTrue="1" operator="equal">
      <formula>"Pass"</formula>
    </cfRule>
    <cfRule type="cellIs" dxfId="22678" priority="22518" stopIfTrue="1" operator="equal">
      <formula>"Fail"</formula>
    </cfRule>
  </conditionalFormatting>
  <conditionalFormatting sqref="U861 T859:T861 S860:S861">
    <cfRule type="cellIs" dxfId="22677" priority="22515" stopIfTrue="1" operator="equal">
      <formula>"Fail"</formula>
    </cfRule>
    <cfRule type="cellIs" dxfId="22676" priority="22516" stopIfTrue="1" operator="equal">
      <formula>"Pass"</formula>
    </cfRule>
  </conditionalFormatting>
  <conditionalFormatting sqref="U859">
    <cfRule type="cellIs" dxfId="22675" priority="22513" stopIfTrue="1" operator="equal">
      <formula>"Fail"</formula>
    </cfRule>
    <cfRule type="cellIs" dxfId="22674" priority="22514" stopIfTrue="1" operator="equal">
      <formula>"Pass"</formula>
    </cfRule>
  </conditionalFormatting>
  <conditionalFormatting sqref="F859:G859 J859:N859">
    <cfRule type="cellIs" dxfId="22673" priority="22511" stopIfTrue="1" operator="equal">
      <formula>"Pass"</formula>
    </cfRule>
    <cfRule type="cellIs" dxfId="22672" priority="22512" stopIfTrue="1" operator="equal">
      <formula>"Fail"</formula>
    </cfRule>
  </conditionalFormatting>
  <conditionalFormatting sqref="J860:N860">
    <cfRule type="cellIs" dxfId="22671" priority="22509" stopIfTrue="1" operator="equal">
      <formula>"Pass"</formula>
    </cfRule>
    <cfRule type="cellIs" dxfId="22670" priority="22510" stopIfTrue="1" operator="equal">
      <formula>"Fail"</formula>
    </cfRule>
  </conditionalFormatting>
  <conditionalFormatting sqref="H859:H860">
    <cfRule type="cellIs" dxfId="22669" priority="22507" stopIfTrue="1" operator="equal">
      <formula>"Pass"</formula>
    </cfRule>
    <cfRule type="cellIs" dxfId="22668" priority="22508" stopIfTrue="1" operator="equal">
      <formula>"Fail"</formula>
    </cfRule>
  </conditionalFormatting>
  <conditionalFormatting sqref="F859 I859:M860 F861">
    <cfRule type="cellIs" dxfId="22667" priority="22505" stopIfTrue="1" operator="equal">
      <formula>"Pass"</formula>
    </cfRule>
    <cfRule type="cellIs" dxfId="22666" priority="22506" stopIfTrue="1" operator="equal">
      <formula>"Fail"</formula>
    </cfRule>
  </conditionalFormatting>
  <conditionalFormatting sqref="T861 T859 R859:R861 S860:S861">
    <cfRule type="cellIs" dxfId="22665" priority="22503" stopIfTrue="1" operator="equal">
      <formula>"Fail"</formula>
    </cfRule>
    <cfRule type="cellIs" dxfId="22664" priority="22504" stopIfTrue="1" operator="equal">
      <formula>"Pass"</formula>
    </cfRule>
  </conditionalFormatting>
  <conditionalFormatting sqref="F859:G859 F861:G861 J859:N860">
    <cfRule type="cellIs" dxfId="22663" priority="22501" stopIfTrue="1" operator="equal">
      <formula>"Pass"</formula>
    </cfRule>
    <cfRule type="cellIs" dxfId="22662" priority="22502" stopIfTrue="1" operator="equal">
      <formula>"Fail"</formula>
    </cfRule>
  </conditionalFormatting>
  <conditionalFormatting sqref="U861 T859:T861 S860:S861">
    <cfRule type="cellIs" dxfId="22661" priority="22499" stopIfTrue="1" operator="equal">
      <formula>"Fail"</formula>
    </cfRule>
    <cfRule type="cellIs" dxfId="22660" priority="22500" stopIfTrue="1" operator="equal">
      <formula>"Pass"</formula>
    </cfRule>
  </conditionalFormatting>
  <conditionalFormatting sqref="U859">
    <cfRule type="cellIs" dxfId="22659" priority="22497" stopIfTrue="1" operator="equal">
      <formula>"Fail"</formula>
    </cfRule>
    <cfRule type="cellIs" dxfId="22658" priority="22498" stopIfTrue="1" operator="equal">
      <formula>"Pass"</formula>
    </cfRule>
  </conditionalFormatting>
  <conditionalFormatting sqref="F859:G859 J859:N859">
    <cfRule type="cellIs" dxfId="22657" priority="22495" stopIfTrue="1" operator="equal">
      <formula>"Pass"</formula>
    </cfRule>
    <cfRule type="cellIs" dxfId="22656" priority="22496" stopIfTrue="1" operator="equal">
      <formula>"Fail"</formula>
    </cfRule>
  </conditionalFormatting>
  <conditionalFormatting sqref="J860:N860">
    <cfRule type="cellIs" dxfId="22655" priority="22493" stopIfTrue="1" operator="equal">
      <formula>"Pass"</formula>
    </cfRule>
    <cfRule type="cellIs" dxfId="22654" priority="22494" stopIfTrue="1" operator="equal">
      <formula>"Fail"</formula>
    </cfRule>
  </conditionalFormatting>
  <conditionalFormatting sqref="U859">
    <cfRule type="cellIs" dxfId="22653" priority="22491" stopIfTrue="1" operator="equal">
      <formula>"Fail"</formula>
    </cfRule>
    <cfRule type="cellIs" dxfId="22652" priority="22492" stopIfTrue="1" operator="equal">
      <formula>"Pass"</formula>
    </cfRule>
  </conditionalFormatting>
  <conditionalFormatting sqref="U859">
    <cfRule type="cellIs" dxfId="22651" priority="22489" stopIfTrue="1" operator="equal">
      <formula>"Fail"</formula>
    </cfRule>
    <cfRule type="cellIs" dxfId="22650" priority="22490" stopIfTrue="1" operator="equal">
      <formula>"Pass"</formula>
    </cfRule>
  </conditionalFormatting>
  <conditionalFormatting sqref="U859">
    <cfRule type="cellIs" dxfId="22649" priority="22487" stopIfTrue="1" operator="equal">
      <formula>"Fail"</formula>
    </cfRule>
    <cfRule type="cellIs" dxfId="22648" priority="22488" stopIfTrue="1" operator="equal">
      <formula>"Pass"</formula>
    </cfRule>
  </conditionalFormatting>
  <conditionalFormatting sqref="N859">
    <cfRule type="cellIs" dxfId="22647" priority="22485" stopIfTrue="1" operator="equal">
      <formula>"Pass"</formula>
    </cfRule>
    <cfRule type="cellIs" dxfId="22646" priority="22486" stopIfTrue="1" operator="equal">
      <formula>"Fail"</formula>
    </cfRule>
  </conditionalFormatting>
  <conditionalFormatting sqref="N859">
    <cfRule type="cellIs" dxfId="22645" priority="22483" stopIfTrue="1" operator="equal">
      <formula>"Pass"</formula>
    </cfRule>
    <cfRule type="cellIs" dxfId="22644" priority="22484" stopIfTrue="1" operator="equal">
      <formula>"Fail"</formula>
    </cfRule>
  </conditionalFormatting>
  <conditionalFormatting sqref="N859">
    <cfRule type="cellIs" dxfId="22643" priority="22481" stopIfTrue="1" operator="equal">
      <formula>"Pass"</formula>
    </cfRule>
    <cfRule type="cellIs" dxfId="22642" priority="22482" stopIfTrue="1" operator="equal">
      <formula>"Fail"</formula>
    </cfRule>
  </conditionalFormatting>
  <conditionalFormatting sqref="A856:A858">
    <cfRule type="cellIs" dxfId="22641" priority="22479" stopIfTrue="1" operator="equal">
      <formula>"Pass"</formula>
    </cfRule>
    <cfRule type="cellIs" dxfId="22640" priority="22480" stopIfTrue="1" operator="equal">
      <formula>"Fail"</formula>
    </cfRule>
  </conditionalFormatting>
  <conditionalFormatting sqref="A856:A858">
    <cfRule type="cellIs" dxfId="22639" priority="22477" stopIfTrue="1" operator="equal">
      <formula>"Pass"</formula>
    </cfRule>
    <cfRule type="cellIs" dxfId="22638" priority="22478" stopIfTrue="1" operator="equal">
      <formula>"Fail"</formula>
    </cfRule>
  </conditionalFormatting>
  <conditionalFormatting sqref="A856:A858">
    <cfRule type="cellIs" dxfId="22637" priority="22475" stopIfTrue="1" operator="equal">
      <formula>"Pass"</formula>
    </cfRule>
    <cfRule type="cellIs" dxfId="22636" priority="22476" stopIfTrue="1" operator="equal">
      <formula>"Fail"</formula>
    </cfRule>
  </conditionalFormatting>
  <conditionalFormatting sqref="A856:A858">
    <cfRule type="cellIs" dxfId="22635" priority="22473" stopIfTrue="1" operator="equal">
      <formula>"Pass"</formula>
    </cfRule>
    <cfRule type="cellIs" dxfId="22634" priority="22474" stopIfTrue="1" operator="equal">
      <formula>"Fail"</formula>
    </cfRule>
  </conditionalFormatting>
  <conditionalFormatting sqref="A856:A858">
    <cfRule type="cellIs" dxfId="22633" priority="22471" stopIfTrue="1" operator="equal">
      <formula>"Pass"</formula>
    </cfRule>
    <cfRule type="cellIs" dxfId="22632" priority="22472" stopIfTrue="1" operator="equal">
      <formula>"Fail"</formula>
    </cfRule>
  </conditionalFormatting>
  <conditionalFormatting sqref="A858">
    <cfRule type="cellIs" dxfId="22631" priority="22469" stopIfTrue="1" operator="equal">
      <formula>"Pass"</formula>
    </cfRule>
    <cfRule type="cellIs" dxfId="22630" priority="22470" stopIfTrue="1" operator="equal">
      <formula>"Fail"</formula>
    </cfRule>
  </conditionalFormatting>
  <conditionalFormatting sqref="A856:A858">
    <cfRule type="cellIs" dxfId="22629" priority="22467" stopIfTrue="1" operator="equal">
      <formula>"Pass"</formula>
    </cfRule>
    <cfRule type="cellIs" dxfId="22628" priority="22468" stopIfTrue="1" operator="equal">
      <formula>"Fail"</formula>
    </cfRule>
  </conditionalFormatting>
  <conditionalFormatting sqref="A856:A858">
    <cfRule type="cellIs" dxfId="22627" priority="22465" stopIfTrue="1" operator="equal">
      <formula>"Pass"</formula>
    </cfRule>
    <cfRule type="cellIs" dxfId="22626" priority="22466" stopIfTrue="1" operator="equal">
      <formula>"Fail"</formula>
    </cfRule>
  </conditionalFormatting>
  <conditionalFormatting sqref="A856:A858">
    <cfRule type="cellIs" dxfId="22625" priority="22463" stopIfTrue="1" operator="equal">
      <formula>"Pass"</formula>
    </cfRule>
    <cfRule type="cellIs" dxfId="22624" priority="22464" stopIfTrue="1" operator="equal">
      <formula>"Fail"</formula>
    </cfRule>
  </conditionalFormatting>
  <conditionalFormatting sqref="A856:A858">
    <cfRule type="cellIs" dxfId="22623" priority="22461" stopIfTrue="1" operator="equal">
      <formula>"Pass"</formula>
    </cfRule>
    <cfRule type="cellIs" dxfId="22622" priority="22462" stopIfTrue="1" operator="equal">
      <formula>"Fail"</formula>
    </cfRule>
  </conditionalFormatting>
  <conditionalFormatting sqref="A856:A858">
    <cfRule type="cellIs" dxfId="22621" priority="22459" stopIfTrue="1" operator="equal">
      <formula>"Pass"</formula>
    </cfRule>
    <cfRule type="cellIs" dxfId="22620" priority="22460" stopIfTrue="1" operator="equal">
      <formula>"Fail"</formula>
    </cfRule>
  </conditionalFormatting>
  <conditionalFormatting sqref="A856:A858">
    <cfRule type="cellIs" dxfId="22619" priority="22457" stopIfTrue="1" operator="equal">
      <formula>"Pass"</formula>
    </cfRule>
    <cfRule type="cellIs" dxfId="22618" priority="22458" stopIfTrue="1" operator="equal">
      <formula>"Fail"</formula>
    </cfRule>
  </conditionalFormatting>
  <conditionalFormatting sqref="A858">
    <cfRule type="cellIs" dxfId="22617" priority="22455" stopIfTrue="1" operator="equal">
      <formula>"Pass"</formula>
    </cfRule>
    <cfRule type="cellIs" dxfId="22616" priority="22456" stopIfTrue="1" operator="equal">
      <formula>"Fail"</formula>
    </cfRule>
  </conditionalFormatting>
  <conditionalFormatting sqref="A856:A858">
    <cfRule type="cellIs" dxfId="22615" priority="22453" stopIfTrue="1" operator="equal">
      <formula>"Pass"</formula>
    </cfRule>
    <cfRule type="cellIs" dxfId="22614" priority="22454" stopIfTrue="1" operator="equal">
      <formula>"Fail"</formula>
    </cfRule>
  </conditionalFormatting>
  <conditionalFormatting sqref="A856:A858">
    <cfRule type="cellIs" dxfId="22613" priority="22451" stopIfTrue="1" operator="equal">
      <formula>"Pass"</formula>
    </cfRule>
    <cfRule type="cellIs" dxfId="22612" priority="22452" stopIfTrue="1" operator="equal">
      <formula>"Fail"</formula>
    </cfRule>
  </conditionalFormatting>
  <conditionalFormatting sqref="A856:A858">
    <cfRule type="cellIs" dxfId="22611" priority="22449" stopIfTrue="1" operator="equal">
      <formula>"Pass"</formula>
    </cfRule>
    <cfRule type="cellIs" dxfId="22610" priority="22450" stopIfTrue="1" operator="equal">
      <formula>"Fail"</formula>
    </cfRule>
  </conditionalFormatting>
  <conditionalFormatting sqref="A856:A858">
    <cfRule type="cellIs" dxfId="22609" priority="22447" stopIfTrue="1" operator="equal">
      <formula>"Pass"</formula>
    </cfRule>
    <cfRule type="cellIs" dxfId="22608" priority="22448" stopIfTrue="1" operator="equal">
      <formula>"Fail"</formula>
    </cfRule>
  </conditionalFormatting>
  <conditionalFormatting sqref="A856:A858">
    <cfRule type="cellIs" dxfId="22607" priority="22445" stopIfTrue="1" operator="equal">
      <formula>"Pass"</formula>
    </cfRule>
    <cfRule type="cellIs" dxfId="22606" priority="22446" stopIfTrue="1" operator="equal">
      <formula>"Fail"</formula>
    </cfRule>
  </conditionalFormatting>
  <conditionalFormatting sqref="A856:A858">
    <cfRule type="cellIs" dxfId="22605" priority="22443" stopIfTrue="1" operator="equal">
      <formula>"Pass"</formula>
    </cfRule>
    <cfRule type="cellIs" dxfId="22604" priority="22444" stopIfTrue="1" operator="equal">
      <formula>"Fail"</formula>
    </cfRule>
  </conditionalFormatting>
  <conditionalFormatting sqref="A858">
    <cfRule type="cellIs" dxfId="22603" priority="22441" stopIfTrue="1" operator="equal">
      <formula>"Pass"</formula>
    </cfRule>
    <cfRule type="cellIs" dxfId="22602" priority="22442" stopIfTrue="1" operator="equal">
      <formula>"Fail"</formula>
    </cfRule>
  </conditionalFormatting>
  <conditionalFormatting sqref="A856:A858">
    <cfRule type="cellIs" dxfId="22601" priority="22439" stopIfTrue="1" operator="equal">
      <formula>"Pass"</formula>
    </cfRule>
    <cfRule type="cellIs" dxfId="22600" priority="22440" stopIfTrue="1" operator="equal">
      <formula>"Fail"</formula>
    </cfRule>
  </conditionalFormatting>
  <conditionalFormatting sqref="A859:A861">
    <cfRule type="cellIs" dxfId="22599" priority="22437" stopIfTrue="1" operator="equal">
      <formula>"Pass"</formula>
    </cfRule>
    <cfRule type="cellIs" dxfId="22598" priority="22438" stopIfTrue="1" operator="equal">
      <formula>"Fail"</formula>
    </cfRule>
  </conditionalFormatting>
  <conditionalFormatting sqref="A859:A861">
    <cfRule type="cellIs" dxfId="22597" priority="22435" stopIfTrue="1" operator="equal">
      <formula>"Pass"</formula>
    </cfRule>
    <cfRule type="cellIs" dxfId="22596" priority="22436" stopIfTrue="1" operator="equal">
      <formula>"Fail"</formula>
    </cfRule>
  </conditionalFormatting>
  <conditionalFormatting sqref="A859:A861">
    <cfRule type="cellIs" dxfId="22595" priority="22433" stopIfTrue="1" operator="equal">
      <formula>"Pass"</formula>
    </cfRule>
    <cfRule type="cellIs" dxfId="22594" priority="22434" stopIfTrue="1" operator="equal">
      <formula>"Fail"</formula>
    </cfRule>
  </conditionalFormatting>
  <conditionalFormatting sqref="A859:A861">
    <cfRule type="cellIs" dxfId="22593" priority="22431" stopIfTrue="1" operator="equal">
      <formula>"Pass"</formula>
    </cfRule>
    <cfRule type="cellIs" dxfId="22592" priority="22432" stopIfTrue="1" operator="equal">
      <formula>"Fail"</formula>
    </cfRule>
  </conditionalFormatting>
  <conditionalFormatting sqref="A859:A861">
    <cfRule type="cellIs" dxfId="22591" priority="22429" stopIfTrue="1" operator="equal">
      <formula>"Pass"</formula>
    </cfRule>
    <cfRule type="cellIs" dxfId="22590" priority="22430" stopIfTrue="1" operator="equal">
      <formula>"Fail"</formula>
    </cfRule>
  </conditionalFormatting>
  <conditionalFormatting sqref="A861">
    <cfRule type="cellIs" dxfId="22589" priority="22427" stopIfTrue="1" operator="equal">
      <formula>"Pass"</formula>
    </cfRule>
    <cfRule type="cellIs" dxfId="22588" priority="22428" stopIfTrue="1" operator="equal">
      <formula>"Fail"</formula>
    </cfRule>
  </conditionalFormatting>
  <conditionalFormatting sqref="A859:A861">
    <cfRule type="cellIs" dxfId="22587" priority="22425" stopIfTrue="1" operator="equal">
      <formula>"Pass"</formula>
    </cfRule>
    <cfRule type="cellIs" dxfId="22586" priority="22426" stopIfTrue="1" operator="equal">
      <formula>"Fail"</formula>
    </cfRule>
  </conditionalFormatting>
  <conditionalFormatting sqref="A859:A861">
    <cfRule type="cellIs" dxfId="22585" priority="22423" stopIfTrue="1" operator="equal">
      <formula>"Pass"</formula>
    </cfRule>
    <cfRule type="cellIs" dxfId="22584" priority="22424" stopIfTrue="1" operator="equal">
      <formula>"Fail"</formula>
    </cfRule>
  </conditionalFormatting>
  <conditionalFormatting sqref="A859:A861">
    <cfRule type="cellIs" dxfId="22583" priority="22421" stopIfTrue="1" operator="equal">
      <formula>"Pass"</formula>
    </cfRule>
    <cfRule type="cellIs" dxfId="22582" priority="22422" stopIfTrue="1" operator="equal">
      <formula>"Fail"</formula>
    </cfRule>
  </conditionalFormatting>
  <conditionalFormatting sqref="A859:A861">
    <cfRule type="cellIs" dxfId="22581" priority="22419" stopIfTrue="1" operator="equal">
      <formula>"Pass"</formula>
    </cfRule>
    <cfRule type="cellIs" dxfId="22580" priority="22420" stopIfTrue="1" operator="equal">
      <formula>"Fail"</formula>
    </cfRule>
  </conditionalFormatting>
  <conditionalFormatting sqref="A859:A861">
    <cfRule type="cellIs" dxfId="22579" priority="22417" stopIfTrue="1" operator="equal">
      <formula>"Pass"</formula>
    </cfRule>
    <cfRule type="cellIs" dxfId="22578" priority="22418" stopIfTrue="1" operator="equal">
      <formula>"Fail"</formula>
    </cfRule>
  </conditionalFormatting>
  <conditionalFormatting sqref="A859:A861">
    <cfRule type="cellIs" dxfId="22577" priority="22415" stopIfTrue="1" operator="equal">
      <formula>"Pass"</formula>
    </cfRule>
    <cfRule type="cellIs" dxfId="22576" priority="22416" stopIfTrue="1" operator="equal">
      <formula>"Fail"</formula>
    </cfRule>
  </conditionalFormatting>
  <conditionalFormatting sqref="A861">
    <cfRule type="cellIs" dxfId="22575" priority="22413" stopIfTrue="1" operator="equal">
      <formula>"Pass"</formula>
    </cfRule>
    <cfRule type="cellIs" dxfId="22574" priority="22414" stopIfTrue="1" operator="equal">
      <formula>"Fail"</formula>
    </cfRule>
  </conditionalFormatting>
  <conditionalFormatting sqref="A859:A861">
    <cfRule type="cellIs" dxfId="22573" priority="22411" stopIfTrue="1" operator="equal">
      <formula>"Pass"</formula>
    </cfRule>
    <cfRule type="cellIs" dxfId="22572" priority="22412" stopIfTrue="1" operator="equal">
      <formula>"Fail"</formula>
    </cfRule>
  </conditionalFormatting>
  <conditionalFormatting sqref="A859:A861">
    <cfRule type="cellIs" dxfId="22571" priority="22409" stopIfTrue="1" operator="equal">
      <formula>"Pass"</formula>
    </cfRule>
    <cfRule type="cellIs" dxfId="22570" priority="22410" stopIfTrue="1" operator="equal">
      <formula>"Fail"</formula>
    </cfRule>
  </conditionalFormatting>
  <conditionalFormatting sqref="A859:A861">
    <cfRule type="cellIs" dxfId="22569" priority="22407" stopIfTrue="1" operator="equal">
      <formula>"Pass"</formula>
    </cfRule>
    <cfRule type="cellIs" dxfId="22568" priority="22408" stopIfTrue="1" operator="equal">
      <formula>"Fail"</formula>
    </cfRule>
  </conditionalFormatting>
  <conditionalFormatting sqref="A859:A861">
    <cfRule type="cellIs" dxfId="22567" priority="22405" stopIfTrue="1" operator="equal">
      <formula>"Pass"</formula>
    </cfRule>
    <cfRule type="cellIs" dxfId="22566" priority="22406" stopIfTrue="1" operator="equal">
      <formula>"Fail"</formula>
    </cfRule>
  </conditionalFormatting>
  <conditionalFormatting sqref="A859:A861">
    <cfRule type="cellIs" dxfId="22565" priority="22403" stopIfTrue="1" operator="equal">
      <formula>"Pass"</formula>
    </cfRule>
    <cfRule type="cellIs" dxfId="22564" priority="22404" stopIfTrue="1" operator="equal">
      <formula>"Fail"</formula>
    </cfRule>
  </conditionalFormatting>
  <conditionalFormatting sqref="A859:A861">
    <cfRule type="cellIs" dxfId="22563" priority="22401" stopIfTrue="1" operator="equal">
      <formula>"Pass"</formula>
    </cfRule>
    <cfRule type="cellIs" dxfId="22562" priority="22402" stopIfTrue="1" operator="equal">
      <formula>"Fail"</formula>
    </cfRule>
  </conditionalFormatting>
  <conditionalFormatting sqref="A861">
    <cfRule type="cellIs" dxfId="22561" priority="22399" stopIfTrue="1" operator="equal">
      <formula>"Pass"</formula>
    </cfRule>
    <cfRule type="cellIs" dxfId="22560" priority="22400" stopIfTrue="1" operator="equal">
      <formula>"Fail"</formula>
    </cfRule>
  </conditionalFormatting>
  <conditionalFormatting sqref="A859:A861">
    <cfRule type="cellIs" dxfId="22559" priority="22397" stopIfTrue="1" operator="equal">
      <formula>"Pass"</formula>
    </cfRule>
    <cfRule type="cellIs" dxfId="22558" priority="22398" stopIfTrue="1" operator="equal">
      <formula>"Fail"</formula>
    </cfRule>
  </conditionalFormatting>
  <conditionalFormatting sqref="H862:H863">
    <cfRule type="cellIs" dxfId="22557" priority="22395" stopIfTrue="1" operator="equal">
      <formula>"Pass"</formula>
    </cfRule>
    <cfRule type="cellIs" dxfId="22556" priority="22396" stopIfTrue="1" operator="equal">
      <formula>"Fail"</formula>
    </cfRule>
  </conditionalFormatting>
  <conditionalFormatting sqref="E862:F862 E864:F864 I862:M863 A862:A864">
    <cfRule type="cellIs" dxfId="22555" priority="22393" stopIfTrue="1" operator="equal">
      <formula>"Pass"</formula>
    </cfRule>
    <cfRule type="cellIs" dxfId="22554" priority="22394" stopIfTrue="1" operator="equal">
      <formula>"Fail"</formula>
    </cfRule>
  </conditionalFormatting>
  <conditionalFormatting sqref="T864 T862 R862:R864 S863:S864">
    <cfRule type="cellIs" dxfId="22553" priority="22391" stopIfTrue="1" operator="equal">
      <formula>"Fail"</formula>
    </cfRule>
    <cfRule type="cellIs" dxfId="22552" priority="22392" stopIfTrue="1" operator="equal">
      <formula>"Pass"</formula>
    </cfRule>
  </conditionalFormatting>
  <conditionalFormatting sqref="F862:G862 F864:G864 A862:B864 J862:N863">
    <cfRule type="cellIs" dxfId="22551" priority="22389" stopIfTrue="1" operator="equal">
      <formula>"Pass"</formula>
    </cfRule>
    <cfRule type="cellIs" dxfId="22550" priority="22390" stopIfTrue="1" operator="equal">
      <formula>"Fail"</formula>
    </cfRule>
  </conditionalFormatting>
  <conditionalFormatting sqref="U864 U862 T862:T864 S863:S864">
    <cfRule type="cellIs" dxfId="22549" priority="22387" stopIfTrue="1" operator="equal">
      <formula>"Fail"</formula>
    </cfRule>
    <cfRule type="cellIs" dxfId="22548" priority="22388" stopIfTrue="1" operator="equal">
      <formula>"Pass"</formula>
    </cfRule>
  </conditionalFormatting>
  <conditionalFormatting sqref="A862:A864">
    <cfRule type="cellIs" dxfId="22547" priority="22385" stopIfTrue="1" operator="equal">
      <formula>"Pass"</formula>
    </cfRule>
    <cfRule type="cellIs" dxfId="22546" priority="22386" stopIfTrue="1" operator="equal">
      <formula>"Fail"</formula>
    </cfRule>
  </conditionalFormatting>
  <conditionalFormatting sqref="A862:A864">
    <cfRule type="cellIs" dxfId="22545" priority="22383" stopIfTrue="1" operator="equal">
      <formula>"Pass"</formula>
    </cfRule>
    <cfRule type="cellIs" dxfId="22544" priority="22384" stopIfTrue="1" operator="equal">
      <formula>"Fail"</formula>
    </cfRule>
  </conditionalFormatting>
  <conditionalFormatting sqref="A862:A864">
    <cfRule type="cellIs" dxfId="22543" priority="22381" stopIfTrue="1" operator="equal">
      <formula>"Pass"</formula>
    </cfRule>
    <cfRule type="cellIs" dxfId="22542" priority="22382" stopIfTrue="1" operator="equal">
      <formula>"Fail"</formula>
    </cfRule>
  </conditionalFormatting>
  <conditionalFormatting sqref="J862:N863 E862:G864">
    <cfRule type="cellIs" dxfId="22541" priority="22379" stopIfTrue="1" operator="equal">
      <formula>"Pass"</formula>
    </cfRule>
    <cfRule type="cellIs" dxfId="22540" priority="22380" stopIfTrue="1" operator="equal">
      <formula>"Fail"</formula>
    </cfRule>
  </conditionalFormatting>
  <conditionalFormatting sqref="A864 C864 K862:O863 F862:H864">
    <cfRule type="cellIs" dxfId="22539" priority="22377" stopIfTrue="1" operator="equal">
      <formula>"Pass"</formula>
    </cfRule>
    <cfRule type="cellIs" dxfId="22538" priority="22378" stopIfTrue="1" operator="equal">
      <formula>"Fail"</formula>
    </cfRule>
  </conditionalFormatting>
  <conditionalFormatting sqref="T862">
    <cfRule type="cellIs" dxfId="22537" priority="22375" stopIfTrue="1" operator="equal">
      <formula>"Fail"</formula>
    </cfRule>
    <cfRule type="cellIs" dxfId="22536" priority="22376" stopIfTrue="1" operator="equal">
      <formula>"Pass"</formula>
    </cfRule>
  </conditionalFormatting>
  <conditionalFormatting sqref="A862:A864">
    <cfRule type="cellIs" dxfId="22535" priority="22373" stopIfTrue="1" operator="equal">
      <formula>"Pass"</formula>
    </cfRule>
    <cfRule type="cellIs" dxfId="22534" priority="22374" stopIfTrue="1" operator="equal">
      <formula>"Fail"</formula>
    </cfRule>
  </conditionalFormatting>
  <conditionalFormatting sqref="A862:A864">
    <cfRule type="cellIs" dxfId="22533" priority="22371" stopIfTrue="1" operator="equal">
      <formula>"Pass"</formula>
    </cfRule>
    <cfRule type="cellIs" dxfId="22532" priority="22372" stopIfTrue="1" operator="equal">
      <formula>"Fail"</formula>
    </cfRule>
  </conditionalFormatting>
  <conditionalFormatting sqref="A862:A864">
    <cfRule type="cellIs" dxfId="22531" priority="22369" stopIfTrue="1" operator="equal">
      <formula>"Pass"</formula>
    </cfRule>
    <cfRule type="cellIs" dxfId="22530" priority="22370" stopIfTrue="1" operator="equal">
      <formula>"Fail"</formula>
    </cfRule>
  </conditionalFormatting>
  <conditionalFormatting sqref="A862:A864">
    <cfRule type="cellIs" dxfId="22529" priority="22367" stopIfTrue="1" operator="equal">
      <formula>"Pass"</formula>
    </cfRule>
    <cfRule type="cellIs" dxfId="22528" priority="22368" stopIfTrue="1" operator="equal">
      <formula>"Fail"</formula>
    </cfRule>
  </conditionalFormatting>
  <conditionalFormatting sqref="A862:A864">
    <cfRule type="cellIs" dxfId="22527" priority="22365" stopIfTrue="1" operator="equal">
      <formula>"Pass"</formula>
    </cfRule>
    <cfRule type="cellIs" dxfId="22526" priority="22366" stopIfTrue="1" operator="equal">
      <formula>"Fail"</formula>
    </cfRule>
  </conditionalFormatting>
  <conditionalFormatting sqref="A862:A864">
    <cfRule type="cellIs" dxfId="22525" priority="22363" stopIfTrue="1" operator="equal">
      <formula>"Pass"</formula>
    </cfRule>
    <cfRule type="cellIs" dxfId="22524" priority="22364" stopIfTrue="1" operator="equal">
      <formula>"Fail"</formula>
    </cfRule>
  </conditionalFormatting>
  <conditionalFormatting sqref="A864">
    <cfRule type="cellIs" dxfId="22523" priority="22361" stopIfTrue="1" operator="equal">
      <formula>"Pass"</formula>
    </cfRule>
    <cfRule type="cellIs" dxfId="22522" priority="22362" stopIfTrue="1" operator="equal">
      <formula>"Fail"</formula>
    </cfRule>
  </conditionalFormatting>
  <conditionalFormatting sqref="A862:A864">
    <cfRule type="cellIs" dxfId="22521" priority="22359" stopIfTrue="1" operator="equal">
      <formula>"Pass"</formula>
    </cfRule>
    <cfRule type="cellIs" dxfId="22520" priority="22360" stopIfTrue="1" operator="equal">
      <formula>"Fail"</formula>
    </cfRule>
  </conditionalFormatting>
  <conditionalFormatting sqref="A862:A864">
    <cfRule type="cellIs" dxfId="22519" priority="22357" stopIfTrue="1" operator="equal">
      <formula>"Pass"</formula>
    </cfRule>
    <cfRule type="cellIs" dxfId="22518" priority="22358" stopIfTrue="1" operator="equal">
      <formula>"Fail"</formula>
    </cfRule>
  </conditionalFormatting>
  <conditionalFormatting sqref="A862:A864">
    <cfRule type="cellIs" dxfId="22517" priority="22355" stopIfTrue="1" operator="equal">
      <formula>"Pass"</formula>
    </cfRule>
    <cfRule type="cellIs" dxfId="22516" priority="22356" stopIfTrue="1" operator="equal">
      <formula>"Fail"</formula>
    </cfRule>
  </conditionalFormatting>
  <conditionalFormatting sqref="A862:A864">
    <cfRule type="cellIs" dxfId="22515" priority="22353" stopIfTrue="1" operator="equal">
      <formula>"Pass"</formula>
    </cfRule>
    <cfRule type="cellIs" dxfId="22514" priority="22354" stopIfTrue="1" operator="equal">
      <formula>"Fail"</formula>
    </cfRule>
  </conditionalFormatting>
  <conditionalFormatting sqref="A862:A864">
    <cfRule type="cellIs" dxfId="22513" priority="22351" stopIfTrue="1" operator="equal">
      <formula>"Pass"</formula>
    </cfRule>
    <cfRule type="cellIs" dxfId="22512" priority="22352" stopIfTrue="1" operator="equal">
      <formula>"Fail"</formula>
    </cfRule>
  </conditionalFormatting>
  <conditionalFormatting sqref="A862:A864">
    <cfRule type="cellIs" dxfId="22511" priority="22349" stopIfTrue="1" operator="equal">
      <formula>"Pass"</formula>
    </cfRule>
    <cfRule type="cellIs" dxfId="22510" priority="22350" stopIfTrue="1" operator="equal">
      <formula>"Fail"</formula>
    </cfRule>
  </conditionalFormatting>
  <conditionalFormatting sqref="A864">
    <cfRule type="cellIs" dxfId="22509" priority="22347" stopIfTrue="1" operator="equal">
      <formula>"Pass"</formula>
    </cfRule>
    <cfRule type="cellIs" dxfId="22508" priority="22348" stopIfTrue="1" operator="equal">
      <formula>"Fail"</formula>
    </cfRule>
  </conditionalFormatting>
  <conditionalFormatting sqref="A862:A864">
    <cfRule type="cellIs" dxfId="22507" priority="22345" stopIfTrue="1" operator="equal">
      <formula>"Pass"</formula>
    </cfRule>
    <cfRule type="cellIs" dxfId="22506" priority="22346" stopIfTrue="1" operator="equal">
      <formula>"Fail"</formula>
    </cfRule>
  </conditionalFormatting>
  <conditionalFormatting sqref="H862:H863">
    <cfRule type="cellIs" dxfId="22505" priority="22343" stopIfTrue="1" operator="equal">
      <formula>"Pass"</formula>
    </cfRule>
    <cfRule type="cellIs" dxfId="22504" priority="22344" stopIfTrue="1" operator="equal">
      <formula>"Fail"</formula>
    </cfRule>
  </conditionalFormatting>
  <conditionalFormatting sqref="F862 F864 I862:M863">
    <cfRule type="cellIs" dxfId="22503" priority="22341" stopIfTrue="1" operator="equal">
      <formula>"Pass"</formula>
    </cfRule>
    <cfRule type="cellIs" dxfId="22502" priority="22342" stopIfTrue="1" operator="equal">
      <formula>"Fail"</formula>
    </cfRule>
  </conditionalFormatting>
  <conditionalFormatting sqref="T864 T862 R862:R864 S863:S864">
    <cfRule type="cellIs" dxfId="22501" priority="22339" stopIfTrue="1" operator="equal">
      <formula>"Fail"</formula>
    </cfRule>
    <cfRule type="cellIs" dxfId="22500" priority="22340" stopIfTrue="1" operator="equal">
      <formula>"Pass"</formula>
    </cfRule>
  </conditionalFormatting>
  <conditionalFormatting sqref="F862:G862 F864:G864 J862:N863">
    <cfRule type="cellIs" dxfId="22499" priority="22337" stopIfTrue="1" operator="equal">
      <formula>"Pass"</formula>
    </cfRule>
    <cfRule type="cellIs" dxfId="22498" priority="22338" stopIfTrue="1" operator="equal">
      <formula>"Fail"</formula>
    </cfRule>
  </conditionalFormatting>
  <conditionalFormatting sqref="U864 U862 T862:T864 S863:S864">
    <cfRule type="cellIs" dxfId="22497" priority="22335" stopIfTrue="1" operator="equal">
      <formula>"Fail"</formula>
    </cfRule>
    <cfRule type="cellIs" dxfId="22496" priority="22336" stopIfTrue="1" operator="equal">
      <formula>"Pass"</formula>
    </cfRule>
  </conditionalFormatting>
  <conditionalFormatting sqref="J862:N863 F862:G864">
    <cfRule type="cellIs" dxfId="22495" priority="22333" stopIfTrue="1" operator="equal">
      <formula>"Pass"</formula>
    </cfRule>
    <cfRule type="cellIs" dxfId="22494" priority="22334" stopIfTrue="1" operator="equal">
      <formula>"Fail"</formula>
    </cfRule>
  </conditionalFormatting>
  <conditionalFormatting sqref="K862:O863 F862:H864">
    <cfRule type="cellIs" dxfId="22493" priority="22331" stopIfTrue="1" operator="equal">
      <formula>"Pass"</formula>
    </cfRule>
    <cfRule type="cellIs" dxfId="22492" priority="22332" stopIfTrue="1" operator="equal">
      <formula>"Fail"</formula>
    </cfRule>
  </conditionalFormatting>
  <conditionalFormatting sqref="T862">
    <cfRule type="cellIs" dxfId="22491" priority="22329" stopIfTrue="1" operator="equal">
      <formula>"Fail"</formula>
    </cfRule>
    <cfRule type="cellIs" dxfId="22490" priority="22330" stopIfTrue="1" operator="equal">
      <formula>"Pass"</formula>
    </cfRule>
  </conditionalFormatting>
  <conditionalFormatting sqref="K862:O863 F862:H864">
    <cfRule type="cellIs" dxfId="22489" priority="22327" stopIfTrue="1" operator="equal">
      <formula>"Pass"</formula>
    </cfRule>
    <cfRule type="cellIs" dxfId="22488" priority="22328" stopIfTrue="1" operator="equal">
      <formula>"Fail"</formula>
    </cfRule>
  </conditionalFormatting>
  <conditionalFormatting sqref="T862">
    <cfRule type="cellIs" dxfId="22487" priority="22325" stopIfTrue="1" operator="equal">
      <formula>"Fail"</formula>
    </cfRule>
    <cfRule type="cellIs" dxfId="22486" priority="22326" stopIfTrue="1" operator="equal">
      <formula>"Pass"</formula>
    </cfRule>
  </conditionalFormatting>
  <conditionalFormatting sqref="H862:H863">
    <cfRule type="cellIs" dxfId="22485" priority="22323" stopIfTrue="1" operator="equal">
      <formula>"Pass"</formula>
    </cfRule>
    <cfRule type="cellIs" dxfId="22484" priority="22324" stopIfTrue="1" operator="equal">
      <formula>"Fail"</formula>
    </cfRule>
  </conditionalFormatting>
  <conditionalFormatting sqref="E862:F862 E864:F864 I862:M863 A862:A864">
    <cfRule type="cellIs" dxfId="22483" priority="22321" stopIfTrue="1" operator="equal">
      <formula>"Pass"</formula>
    </cfRule>
    <cfRule type="cellIs" dxfId="22482" priority="22322" stopIfTrue="1" operator="equal">
      <formula>"Fail"</formula>
    </cfRule>
  </conditionalFormatting>
  <conditionalFormatting sqref="T864 T862 R862:R864 S863:S864">
    <cfRule type="cellIs" dxfId="22481" priority="22319" stopIfTrue="1" operator="equal">
      <formula>"Fail"</formula>
    </cfRule>
    <cfRule type="cellIs" dxfId="22480" priority="22320" stopIfTrue="1" operator="equal">
      <formula>"Pass"</formula>
    </cfRule>
  </conditionalFormatting>
  <conditionalFormatting sqref="F862:G862 F864:G864 A862:B864 J862:N863">
    <cfRule type="cellIs" dxfId="22479" priority="22317" stopIfTrue="1" operator="equal">
      <formula>"Pass"</formula>
    </cfRule>
    <cfRule type="cellIs" dxfId="22478" priority="22318" stopIfTrue="1" operator="equal">
      <formula>"Fail"</formula>
    </cfRule>
  </conditionalFormatting>
  <conditionalFormatting sqref="U864 U862 T862:T864 S863:S864">
    <cfRule type="cellIs" dxfId="22477" priority="22315" stopIfTrue="1" operator="equal">
      <formula>"Fail"</formula>
    </cfRule>
    <cfRule type="cellIs" dxfId="22476" priority="22316" stopIfTrue="1" operator="equal">
      <formula>"Pass"</formula>
    </cfRule>
  </conditionalFormatting>
  <conditionalFormatting sqref="A862:A864">
    <cfRule type="cellIs" dxfId="22475" priority="22313" stopIfTrue="1" operator="equal">
      <formula>"Pass"</formula>
    </cfRule>
    <cfRule type="cellIs" dxfId="22474" priority="22314" stopIfTrue="1" operator="equal">
      <formula>"Fail"</formula>
    </cfRule>
  </conditionalFormatting>
  <conditionalFormatting sqref="A862:A864">
    <cfRule type="cellIs" dxfId="22473" priority="22311" stopIfTrue="1" operator="equal">
      <formula>"Pass"</formula>
    </cfRule>
    <cfRule type="cellIs" dxfId="22472" priority="22312" stopIfTrue="1" operator="equal">
      <formula>"Fail"</formula>
    </cfRule>
  </conditionalFormatting>
  <conditionalFormatting sqref="A862:A864">
    <cfRule type="cellIs" dxfId="22471" priority="22309" stopIfTrue="1" operator="equal">
      <formula>"Pass"</formula>
    </cfRule>
    <cfRule type="cellIs" dxfId="22470" priority="22310" stopIfTrue="1" operator="equal">
      <formula>"Fail"</formula>
    </cfRule>
  </conditionalFormatting>
  <conditionalFormatting sqref="J862:N863 E862:G864">
    <cfRule type="cellIs" dxfId="22469" priority="22307" stopIfTrue="1" operator="equal">
      <formula>"Pass"</formula>
    </cfRule>
    <cfRule type="cellIs" dxfId="22468" priority="22308" stopIfTrue="1" operator="equal">
      <formula>"Fail"</formula>
    </cfRule>
  </conditionalFormatting>
  <conditionalFormatting sqref="A864 C864 K862:O863 F862:H864">
    <cfRule type="cellIs" dxfId="22467" priority="22305" stopIfTrue="1" operator="equal">
      <formula>"Pass"</formula>
    </cfRule>
    <cfRule type="cellIs" dxfId="22466" priority="22306" stopIfTrue="1" operator="equal">
      <formula>"Fail"</formula>
    </cfRule>
  </conditionalFormatting>
  <conditionalFormatting sqref="T862">
    <cfRule type="cellIs" dxfId="22465" priority="22303" stopIfTrue="1" operator="equal">
      <formula>"Fail"</formula>
    </cfRule>
    <cfRule type="cellIs" dxfId="22464" priority="22304" stopIfTrue="1" operator="equal">
      <formula>"Pass"</formula>
    </cfRule>
  </conditionalFormatting>
  <conditionalFormatting sqref="A862:A864">
    <cfRule type="cellIs" dxfId="22463" priority="22301" stopIfTrue="1" operator="equal">
      <formula>"Pass"</formula>
    </cfRule>
    <cfRule type="cellIs" dxfId="22462" priority="22302" stopIfTrue="1" operator="equal">
      <formula>"Fail"</formula>
    </cfRule>
  </conditionalFormatting>
  <conditionalFormatting sqref="A862:A864">
    <cfRule type="cellIs" dxfId="22461" priority="22299" stopIfTrue="1" operator="equal">
      <formula>"Pass"</formula>
    </cfRule>
    <cfRule type="cellIs" dxfId="22460" priority="22300" stopIfTrue="1" operator="equal">
      <formula>"Fail"</formula>
    </cfRule>
  </conditionalFormatting>
  <conditionalFormatting sqref="A862:A864">
    <cfRule type="cellIs" dxfId="22459" priority="22297" stopIfTrue="1" operator="equal">
      <formula>"Pass"</formula>
    </cfRule>
    <cfRule type="cellIs" dxfId="22458" priority="22298" stopIfTrue="1" operator="equal">
      <formula>"Fail"</formula>
    </cfRule>
  </conditionalFormatting>
  <conditionalFormatting sqref="A862:A864">
    <cfRule type="cellIs" dxfId="22457" priority="22295" stopIfTrue="1" operator="equal">
      <formula>"Pass"</formula>
    </cfRule>
    <cfRule type="cellIs" dxfId="22456" priority="22296" stopIfTrue="1" operator="equal">
      <formula>"Fail"</formula>
    </cfRule>
  </conditionalFormatting>
  <conditionalFormatting sqref="A862:A864">
    <cfRule type="cellIs" dxfId="22455" priority="22293" stopIfTrue="1" operator="equal">
      <formula>"Pass"</formula>
    </cfRule>
    <cfRule type="cellIs" dxfId="22454" priority="22294" stopIfTrue="1" operator="equal">
      <formula>"Fail"</formula>
    </cfRule>
  </conditionalFormatting>
  <conditionalFormatting sqref="A862:A864">
    <cfRule type="cellIs" dxfId="22453" priority="22291" stopIfTrue="1" operator="equal">
      <formula>"Pass"</formula>
    </cfRule>
    <cfRule type="cellIs" dxfId="22452" priority="22292" stopIfTrue="1" operator="equal">
      <formula>"Fail"</formula>
    </cfRule>
  </conditionalFormatting>
  <conditionalFormatting sqref="A864">
    <cfRule type="cellIs" dxfId="22451" priority="22289" stopIfTrue="1" operator="equal">
      <formula>"Pass"</formula>
    </cfRule>
    <cfRule type="cellIs" dxfId="22450" priority="22290" stopIfTrue="1" operator="equal">
      <formula>"Fail"</formula>
    </cfRule>
  </conditionalFormatting>
  <conditionalFormatting sqref="A862:A864">
    <cfRule type="cellIs" dxfId="22449" priority="22287" stopIfTrue="1" operator="equal">
      <formula>"Pass"</formula>
    </cfRule>
    <cfRule type="cellIs" dxfId="22448" priority="22288" stopIfTrue="1" operator="equal">
      <formula>"Fail"</formula>
    </cfRule>
  </conditionalFormatting>
  <conditionalFormatting sqref="A862:A864">
    <cfRule type="cellIs" dxfId="22447" priority="22285" stopIfTrue="1" operator="equal">
      <formula>"Pass"</formula>
    </cfRule>
    <cfRule type="cellIs" dxfId="22446" priority="22286" stopIfTrue="1" operator="equal">
      <formula>"Fail"</formula>
    </cfRule>
  </conditionalFormatting>
  <conditionalFormatting sqref="A862:A864">
    <cfRule type="cellIs" dxfId="22445" priority="22283" stopIfTrue="1" operator="equal">
      <formula>"Pass"</formula>
    </cfRule>
    <cfRule type="cellIs" dxfId="22444" priority="22284" stopIfTrue="1" operator="equal">
      <formula>"Fail"</formula>
    </cfRule>
  </conditionalFormatting>
  <conditionalFormatting sqref="A862:A864">
    <cfRule type="cellIs" dxfId="22443" priority="22281" stopIfTrue="1" operator="equal">
      <formula>"Pass"</formula>
    </cfRule>
    <cfRule type="cellIs" dxfId="22442" priority="22282" stopIfTrue="1" operator="equal">
      <formula>"Fail"</formula>
    </cfRule>
  </conditionalFormatting>
  <conditionalFormatting sqref="A862:A864">
    <cfRule type="cellIs" dxfId="22441" priority="22279" stopIfTrue="1" operator="equal">
      <formula>"Pass"</formula>
    </cfRule>
    <cfRule type="cellIs" dxfId="22440" priority="22280" stopIfTrue="1" operator="equal">
      <formula>"Fail"</formula>
    </cfRule>
  </conditionalFormatting>
  <conditionalFormatting sqref="A862:A864">
    <cfRule type="cellIs" dxfId="22439" priority="22277" stopIfTrue="1" operator="equal">
      <formula>"Pass"</formula>
    </cfRule>
    <cfRule type="cellIs" dxfId="22438" priority="22278" stopIfTrue="1" operator="equal">
      <formula>"Fail"</formula>
    </cfRule>
  </conditionalFormatting>
  <conditionalFormatting sqref="A864">
    <cfRule type="cellIs" dxfId="22437" priority="22275" stopIfTrue="1" operator="equal">
      <formula>"Pass"</formula>
    </cfRule>
    <cfRule type="cellIs" dxfId="22436" priority="22276" stopIfTrue="1" operator="equal">
      <formula>"Fail"</formula>
    </cfRule>
  </conditionalFormatting>
  <conditionalFormatting sqref="A862:A864">
    <cfRule type="cellIs" dxfId="22435" priority="22273" stopIfTrue="1" operator="equal">
      <formula>"Pass"</formula>
    </cfRule>
    <cfRule type="cellIs" dxfId="22434" priority="22274" stopIfTrue="1" operator="equal">
      <formula>"Fail"</formula>
    </cfRule>
  </conditionalFormatting>
  <conditionalFormatting sqref="H862:H863">
    <cfRule type="cellIs" dxfId="22433" priority="22271" stopIfTrue="1" operator="equal">
      <formula>"Pass"</formula>
    </cfRule>
    <cfRule type="cellIs" dxfId="22432" priority="22272" stopIfTrue="1" operator="equal">
      <formula>"Fail"</formula>
    </cfRule>
  </conditionalFormatting>
  <conditionalFormatting sqref="F862 F864 I862:M863">
    <cfRule type="cellIs" dxfId="22431" priority="22269" stopIfTrue="1" operator="equal">
      <formula>"Pass"</formula>
    </cfRule>
    <cfRule type="cellIs" dxfId="22430" priority="22270" stopIfTrue="1" operator="equal">
      <formula>"Fail"</formula>
    </cfRule>
  </conditionalFormatting>
  <conditionalFormatting sqref="T864 T862 R862:R864 S863:S864">
    <cfRule type="cellIs" dxfId="22429" priority="22267" stopIfTrue="1" operator="equal">
      <formula>"Fail"</formula>
    </cfRule>
    <cfRule type="cellIs" dxfId="22428" priority="22268" stopIfTrue="1" operator="equal">
      <formula>"Pass"</formula>
    </cfRule>
  </conditionalFormatting>
  <conditionalFormatting sqref="F862:G862 F864:G864 J862:N863">
    <cfRule type="cellIs" dxfId="22427" priority="22265" stopIfTrue="1" operator="equal">
      <formula>"Pass"</formula>
    </cfRule>
    <cfRule type="cellIs" dxfId="22426" priority="22266" stopIfTrue="1" operator="equal">
      <formula>"Fail"</formula>
    </cfRule>
  </conditionalFormatting>
  <conditionalFormatting sqref="U864 U862 T862:T864 S863:S864">
    <cfRule type="cellIs" dxfId="22425" priority="22263" stopIfTrue="1" operator="equal">
      <formula>"Fail"</formula>
    </cfRule>
    <cfRule type="cellIs" dxfId="22424" priority="22264" stopIfTrue="1" operator="equal">
      <formula>"Pass"</formula>
    </cfRule>
  </conditionalFormatting>
  <conditionalFormatting sqref="J862:N863 F862:G864">
    <cfRule type="cellIs" dxfId="22423" priority="22261" stopIfTrue="1" operator="equal">
      <formula>"Pass"</formula>
    </cfRule>
    <cfRule type="cellIs" dxfId="22422" priority="22262" stopIfTrue="1" operator="equal">
      <formula>"Fail"</formula>
    </cfRule>
  </conditionalFormatting>
  <conditionalFormatting sqref="K862:O863 F862:H864">
    <cfRule type="cellIs" dxfId="22421" priority="22259" stopIfTrue="1" operator="equal">
      <formula>"Pass"</formula>
    </cfRule>
    <cfRule type="cellIs" dxfId="22420" priority="22260" stopIfTrue="1" operator="equal">
      <formula>"Fail"</formula>
    </cfRule>
  </conditionalFormatting>
  <conditionalFormatting sqref="T862">
    <cfRule type="cellIs" dxfId="22419" priority="22257" stopIfTrue="1" operator="equal">
      <formula>"Fail"</formula>
    </cfRule>
    <cfRule type="cellIs" dxfId="22418" priority="22258" stopIfTrue="1" operator="equal">
      <formula>"Pass"</formula>
    </cfRule>
  </conditionalFormatting>
  <conditionalFormatting sqref="K862:O863 F862:H864">
    <cfRule type="cellIs" dxfId="22417" priority="22255" stopIfTrue="1" operator="equal">
      <formula>"Pass"</formula>
    </cfRule>
    <cfRule type="cellIs" dxfId="22416" priority="22256" stopIfTrue="1" operator="equal">
      <formula>"Fail"</formula>
    </cfRule>
  </conditionalFormatting>
  <conditionalFormatting sqref="T862">
    <cfRule type="cellIs" dxfId="22415" priority="22253" stopIfTrue="1" operator="equal">
      <formula>"Fail"</formula>
    </cfRule>
    <cfRule type="cellIs" dxfId="22414" priority="22254" stopIfTrue="1" operator="equal">
      <formula>"Pass"</formula>
    </cfRule>
  </conditionalFormatting>
  <conditionalFormatting sqref="A865:A867">
    <cfRule type="cellIs" dxfId="22413" priority="22251" stopIfTrue="1" operator="equal">
      <formula>"Pass"</formula>
    </cfRule>
    <cfRule type="cellIs" dxfId="22412" priority="22252" stopIfTrue="1" operator="equal">
      <formula>"Fail"</formula>
    </cfRule>
  </conditionalFormatting>
  <conditionalFormatting sqref="A865:A867">
    <cfRule type="cellIs" dxfId="22411" priority="22249" stopIfTrue="1" operator="equal">
      <formula>"Pass"</formula>
    </cfRule>
    <cfRule type="cellIs" dxfId="22410" priority="22250" stopIfTrue="1" operator="equal">
      <formula>"Fail"</formula>
    </cfRule>
  </conditionalFormatting>
  <conditionalFormatting sqref="A865:A867">
    <cfRule type="cellIs" dxfId="22409" priority="22247" stopIfTrue="1" operator="equal">
      <formula>"Pass"</formula>
    </cfRule>
    <cfRule type="cellIs" dxfId="22408" priority="22248" stopIfTrue="1" operator="equal">
      <formula>"Fail"</formula>
    </cfRule>
  </conditionalFormatting>
  <conditionalFormatting sqref="A865:A867">
    <cfRule type="cellIs" dxfId="22407" priority="22245" stopIfTrue="1" operator="equal">
      <formula>"Pass"</formula>
    </cfRule>
    <cfRule type="cellIs" dxfId="22406" priority="22246" stopIfTrue="1" operator="equal">
      <formula>"Fail"</formula>
    </cfRule>
  </conditionalFormatting>
  <conditionalFormatting sqref="A865:A867">
    <cfRule type="cellIs" dxfId="22405" priority="22243" stopIfTrue="1" operator="equal">
      <formula>"Pass"</formula>
    </cfRule>
    <cfRule type="cellIs" dxfId="22404" priority="22244" stopIfTrue="1" operator="equal">
      <formula>"Fail"</formula>
    </cfRule>
  </conditionalFormatting>
  <conditionalFormatting sqref="A867">
    <cfRule type="cellIs" dxfId="22403" priority="22241" stopIfTrue="1" operator="equal">
      <formula>"Pass"</formula>
    </cfRule>
    <cfRule type="cellIs" dxfId="22402" priority="22242" stopIfTrue="1" operator="equal">
      <formula>"Fail"</formula>
    </cfRule>
  </conditionalFormatting>
  <conditionalFormatting sqref="A865:A867">
    <cfRule type="cellIs" dxfId="22401" priority="22239" stopIfTrue="1" operator="equal">
      <formula>"Pass"</formula>
    </cfRule>
    <cfRule type="cellIs" dxfId="22400" priority="22240" stopIfTrue="1" operator="equal">
      <formula>"Fail"</formula>
    </cfRule>
  </conditionalFormatting>
  <conditionalFormatting sqref="A865">
    <cfRule type="cellIs" dxfId="22399" priority="22237" stopIfTrue="1" operator="equal">
      <formula>"Pass"</formula>
    </cfRule>
    <cfRule type="cellIs" dxfId="22398" priority="22238" stopIfTrue="1" operator="equal">
      <formula>"Fail"</formula>
    </cfRule>
  </conditionalFormatting>
  <conditionalFormatting sqref="A865">
    <cfRule type="cellIs" dxfId="22397" priority="22235" stopIfTrue="1" operator="equal">
      <formula>"Pass"</formula>
    </cfRule>
    <cfRule type="cellIs" dxfId="22396" priority="22236" stopIfTrue="1" operator="equal">
      <formula>"Fail"</formula>
    </cfRule>
  </conditionalFormatting>
  <conditionalFormatting sqref="A865">
    <cfRule type="cellIs" dxfId="22395" priority="22233" stopIfTrue="1" operator="equal">
      <formula>"Pass"</formula>
    </cfRule>
    <cfRule type="cellIs" dxfId="22394" priority="22234" stopIfTrue="1" operator="equal">
      <formula>"Fail"</formula>
    </cfRule>
  </conditionalFormatting>
  <conditionalFormatting sqref="A865">
    <cfRule type="cellIs" dxfId="22393" priority="22231" stopIfTrue="1" operator="equal">
      <formula>"Pass"</formula>
    </cfRule>
    <cfRule type="cellIs" dxfId="22392" priority="22232" stopIfTrue="1" operator="equal">
      <formula>"Fail"</formula>
    </cfRule>
  </conditionalFormatting>
  <conditionalFormatting sqref="A865">
    <cfRule type="cellIs" dxfId="22391" priority="22229" stopIfTrue="1" operator="equal">
      <formula>"Pass"</formula>
    </cfRule>
    <cfRule type="cellIs" dxfId="22390" priority="22230" stopIfTrue="1" operator="equal">
      <formula>"Fail"</formula>
    </cfRule>
  </conditionalFormatting>
  <conditionalFormatting sqref="A865">
    <cfRule type="cellIs" dxfId="22389" priority="22227" stopIfTrue="1" operator="equal">
      <formula>"Pass"</formula>
    </cfRule>
    <cfRule type="cellIs" dxfId="22388" priority="22228" stopIfTrue="1" operator="equal">
      <formula>"Fail"</formula>
    </cfRule>
  </conditionalFormatting>
  <conditionalFormatting sqref="A865">
    <cfRule type="cellIs" dxfId="22387" priority="22225" stopIfTrue="1" operator="equal">
      <formula>"Pass"</formula>
    </cfRule>
    <cfRule type="cellIs" dxfId="22386" priority="22226" stopIfTrue="1" operator="equal">
      <formula>"Fail"</formula>
    </cfRule>
  </conditionalFormatting>
  <conditionalFormatting sqref="A865">
    <cfRule type="cellIs" dxfId="22385" priority="22223" stopIfTrue="1" operator="equal">
      <formula>"Pass"</formula>
    </cfRule>
    <cfRule type="cellIs" dxfId="22384" priority="22224" stopIfTrue="1" operator="equal">
      <formula>"Fail"</formula>
    </cfRule>
  </conditionalFormatting>
  <conditionalFormatting sqref="A865">
    <cfRule type="cellIs" dxfId="22383" priority="22221" stopIfTrue="1" operator="equal">
      <formula>"Pass"</formula>
    </cfRule>
    <cfRule type="cellIs" dxfId="22382" priority="22222" stopIfTrue="1" operator="equal">
      <formula>"Fail"</formula>
    </cfRule>
  </conditionalFormatting>
  <conditionalFormatting sqref="A865">
    <cfRule type="cellIs" dxfId="22381" priority="22219" stopIfTrue="1" operator="equal">
      <formula>"Pass"</formula>
    </cfRule>
    <cfRule type="cellIs" dxfId="22380" priority="22220" stopIfTrue="1" operator="equal">
      <formula>"Fail"</formula>
    </cfRule>
  </conditionalFormatting>
  <conditionalFormatting sqref="A865">
    <cfRule type="cellIs" dxfId="22379" priority="22217" stopIfTrue="1" operator="equal">
      <formula>"Pass"</formula>
    </cfRule>
    <cfRule type="cellIs" dxfId="22378" priority="22218" stopIfTrue="1" operator="equal">
      <formula>"Fail"</formula>
    </cfRule>
  </conditionalFormatting>
  <conditionalFormatting sqref="A865">
    <cfRule type="cellIs" dxfId="22377" priority="22215" stopIfTrue="1" operator="equal">
      <formula>"Pass"</formula>
    </cfRule>
    <cfRule type="cellIs" dxfId="22376" priority="22216" stopIfTrue="1" operator="equal">
      <formula>"Fail"</formula>
    </cfRule>
  </conditionalFormatting>
  <conditionalFormatting sqref="J865:J866">
    <cfRule type="cellIs" dxfId="22375" priority="22213" stopIfTrue="1" operator="equal">
      <formula>"Pass"</formula>
    </cfRule>
    <cfRule type="cellIs" dxfId="22374" priority="22214" stopIfTrue="1" operator="equal">
      <formula>"Fail"</formula>
    </cfRule>
  </conditionalFormatting>
  <conditionalFormatting sqref="H865:H866 I866">
    <cfRule type="cellIs" dxfId="22373" priority="22211" stopIfTrue="1" operator="equal">
      <formula>"Pass"</formula>
    </cfRule>
    <cfRule type="cellIs" dxfId="22372" priority="22212" stopIfTrue="1" operator="equal">
      <formula>"Fail"</formula>
    </cfRule>
  </conditionalFormatting>
  <conditionalFormatting sqref="A865 C865 F867 F865:G865 K865:N866">
    <cfRule type="cellIs" dxfId="22371" priority="22209" stopIfTrue="1" operator="equal">
      <formula>"Pass"</formula>
    </cfRule>
    <cfRule type="cellIs" dxfId="22370" priority="22210" stopIfTrue="1" operator="equal">
      <formula>"Fail"</formula>
    </cfRule>
  </conditionalFormatting>
  <conditionalFormatting sqref="T865:T867 U866:U867">
    <cfRule type="cellIs" dxfId="22369" priority="22207" stopIfTrue="1" operator="equal">
      <formula>"Fail"</formula>
    </cfRule>
    <cfRule type="cellIs" dxfId="22368" priority="22208" stopIfTrue="1" operator="equal">
      <formula>"Pass"</formula>
    </cfRule>
  </conditionalFormatting>
  <conditionalFormatting sqref="A865">
    <cfRule type="cellIs" dxfId="22367" priority="22205" stopIfTrue="1" operator="equal">
      <formula>"Pass"</formula>
    </cfRule>
    <cfRule type="cellIs" dxfId="22366" priority="22206" stopIfTrue="1" operator="equal">
      <formula>"Fail"</formula>
    </cfRule>
  </conditionalFormatting>
  <conditionalFormatting sqref="A865">
    <cfRule type="cellIs" dxfId="22365" priority="22203" stopIfTrue="1" operator="equal">
      <formula>"Pass"</formula>
    </cfRule>
    <cfRule type="cellIs" dxfId="22364" priority="22204" stopIfTrue="1" operator="equal">
      <formula>"Fail"</formula>
    </cfRule>
  </conditionalFormatting>
  <conditionalFormatting sqref="A865">
    <cfRule type="cellIs" dxfId="22363" priority="22201" stopIfTrue="1" operator="equal">
      <formula>"Pass"</formula>
    </cfRule>
    <cfRule type="cellIs" dxfId="22362" priority="22202" stopIfTrue="1" operator="equal">
      <formula>"Fail"</formula>
    </cfRule>
  </conditionalFormatting>
  <conditionalFormatting sqref="A865">
    <cfRule type="cellIs" dxfId="22361" priority="22199" stopIfTrue="1" operator="equal">
      <formula>"Pass"</formula>
    </cfRule>
    <cfRule type="cellIs" dxfId="22360" priority="22200" stopIfTrue="1" operator="equal">
      <formula>"Fail"</formula>
    </cfRule>
  </conditionalFormatting>
  <conditionalFormatting sqref="A865">
    <cfRule type="cellIs" dxfId="22359" priority="22197" stopIfTrue="1" operator="equal">
      <formula>"Pass"</formula>
    </cfRule>
    <cfRule type="cellIs" dxfId="22358" priority="22198" stopIfTrue="1" operator="equal">
      <formula>"Fail"</formula>
    </cfRule>
  </conditionalFormatting>
  <conditionalFormatting sqref="A865">
    <cfRule type="cellIs" dxfId="22357" priority="22195" stopIfTrue="1" operator="equal">
      <formula>"Pass"</formula>
    </cfRule>
    <cfRule type="cellIs" dxfId="22356" priority="22196" stopIfTrue="1" operator="equal">
      <formula>"Fail"</formula>
    </cfRule>
  </conditionalFormatting>
  <conditionalFormatting sqref="A865">
    <cfRule type="cellIs" dxfId="22355" priority="22193" stopIfTrue="1" operator="equal">
      <formula>"Pass"</formula>
    </cfRule>
    <cfRule type="cellIs" dxfId="22354" priority="22194" stopIfTrue="1" operator="equal">
      <formula>"Fail"</formula>
    </cfRule>
  </conditionalFormatting>
  <conditionalFormatting sqref="A865">
    <cfRule type="cellIs" dxfId="22353" priority="22191" stopIfTrue="1" operator="equal">
      <formula>"Pass"</formula>
    </cfRule>
    <cfRule type="cellIs" dxfId="22352" priority="22192" stopIfTrue="1" operator="equal">
      <formula>"Fail"</formula>
    </cfRule>
  </conditionalFormatting>
  <conditionalFormatting sqref="A865">
    <cfRule type="cellIs" dxfId="22351" priority="22189" stopIfTrue="1" operator="equal">
      <formula>"Pass"</formula>
    </cfRule>
    <cfRule type="cellIs" dxfId="22350" priority="22190" stopIfTrue="1" operator="equal">
      <formula>"Fail"</formula>
    </cfRule>
  </conditionalFormatting>
  <conditionalFormatting sqref="A865">
    <cfRule type="cellIs" dxfId="22349" priority="22187" stopIfTrue="1" operator="equal">
      <formula>"Pass"</formula>
    </cfRule>
    <cfRule type="cellIs" dxfId="22348" priority="22188" stopIfTrue="1" operator="equal">
      <formula>"Fail"</formula>
    </cfRule>
  </conditionalFormatting>
  <conditionalFormatting sqref="A865">
    <cfRule type="cellIs" dxfId="22347" priority="22185" stopIfTrue="1" operator="equal">
      <formula>"Pass"</formula>
    </cfRule>
    <cfRule type="cellIs" dxfId="22346" priority="22186" stopIfTrue="1" operator="equal">
      <formula>"Fail"</formula>
    </cfRule>
  </conditionalFormatting>
  <conditionalFormatting sqref="A865">
    <cfRule type="cellIs" dxfId="22345" priority="22183" stopIfTrue="1" operator="equal">
      <formula>"Pass"</formula>
    </cfRule>
    <cfRule type="cellIs" dxfId="22344" priority="22184" stopIfTrue="1" operator="equal">
      <formula>"Fail"</formula>
    </cfRule>
  </conditionalFormatting>
  <conditionalFormatting sqref="A865">
    <cfRule type="cellIs" dxfId="22343" priority="22181" stopIfTrue="1" operator="equal">
      <formula>"Pass"</formula>
    </cfRule>
    <cfRule type="cellIs" dxfId="22342" priority="22182" stopIfTrue="1" operator="equal">
      <formula>"Fail"</formula>
    </cfRule>
  </conditionalFormatting>
  <conditionalFormatting sqref="A865">
    <cfRule type="cellIs" dxfId="22341" priority="22179" stopIfTrue="1" operator="equal">
      <formula>"Pass"</formula>
    </cfRule>
    <cfRule type="cellIs" dxfId="22340" priority="22180" stopIfTrue="1" operator="equal">
      <formula>"Fail"</formula>
    </cfRule>
  </conditionalFormatting>
  <conditionalFormatting sqref="A865">
    <cfRule type="cellIs" dxfId="22339" priority="22177" stopIfTrue="1" operator="equal">
      <formula>"Pass"</formula>
    </cfRule>
    <cfRule type="cellIs" dxfId="22338" priority="22178" stopIfTrue="1" operator="equal">
      <formula>"Fail"</formula>
    </cfRule>
  </conditionalFormatting>
  <conditionalFormatting sqref="A865">
    <cfRule type="cellIs" dxfId="22337" priority="22175" stopIfTrue="1" operator="equal">
      <formula>"Pass"</formula>
    </cfRule>
    <cfRule type="cellIs" dxfId="22336" priority="22176" stopIfTrue="1" operator="equal">
      <formula>"Fail"</formula>
    </cfRule>
  </conditionalFormatting>
  <conditionalFormatting sqref="U865">
    <cfRule type="cellIs" dxfId="22335" priority="22173" stopIfTrue="1" operator="equal">
      <formula>"Fail"</formula>
    </cfRule>
    <cfRule type="cellIs" dxfId="22334" priority="22174" stopIfTrue="1" operator="equal">
      <formula>"Pass"</formula>
    </cfRule>
  </conditionalFormatting>
  <conditionalFormatting sqref="U865">
    <cfRule type="cellIs" dxfId="22333" priority="22171" stopIfTrue="1" operator="equal">
      <formula>"Fail"</formula>
    </cfRule>
    <cfRule type="cellIs" dxfId="22332" priority="22172" stopIfTrue="1" operator="equal">
      <formula>"Pass"</formula>
    </cfRule>
  </conditionalFormatting>
  <conditionalFormatting sqref="J865:J866">
    <cfRule type="cellIs" dxfId="22331" priority="22169" stopIfTrue="1" operator="equal">
      <formula>"Pass"</formula>
    </cfRule>
    <cfRule type="cellIs" dxfId="22330" priority="22170" stopIfTrue="1" operator="equal">
      <formula>"Fail"</formula>
    </cfRule>
  </conditionalFormatting>
  <conditionalFormatting sqref="H865:H866 I866">
    <cfRule type="cellIs" dxfId="22329" priority="22167" stopIfTrue="1" operator="equal">
      <formula>"Pass"</formula>
    </cfRule>
    <cfRule type="cellIs" dxfId="22328" priority="22168" stopIfTrue="1" operator="equal">
      <formula>"Fail"</formula>
    </cfRule>
  </conditionalFormatting>
  <conditionalFormatting sqref="F867 F865:G865 K865:N866">
    <cfRule type="cellIs" dxfId="22327" priority="22165" stopIfTrue="1" operator="equal">
      <formula>"Pass"</formula>
    </cfRule>
    <cfRule type="cellIs" dxfId="22326" priority="22166" stopIfTrue="1" operator="equal">
      <formula>"Fail"</formula>
    </cfRule>
  </conditionalFormatting>
  <conditionalFormatting sqref="T865:T867 U866:U867">
    <cfRule type="cellIs" dxfId="22325" priority="22163" stopIfTrue="1" operator="equal">
      <formula>"Fail"</formula>
    </cfRule>
    <cfRule type="cellIs" dxfId="22324" priority="22164" stopIfTrue="1" operator="equal">
      <formula>"Pass"</formula>
    </cfRule>
  </conditionalFormatting>
  <conditionalFormatting sqref="U865">
    <cfRule type="cellIs" dxfId="22323" priority="22161" stopIfTrue="1" operator="equal">
      <formula>"Fail"</formula>
    </cfRule>
    <cfRule type="cellIs" dxfId="22322" priority="22162" stopIfTrue="1" operator="equal">
      <formula>"Pass"</formula>
    </cfRule>
  </conditionalFormatting>
  <conditionalFormatting sqref="U865">
    <cfRule type="cellIs" dxfId="22321" priority="22159" stopIfTrue="1" operator="equal">
      <formula>"Fail"</formula>
    </cfRule>
    <cfRule type="cellIs" dxfId="22320" priority="22160" stopIfTrue="1" operator="equal">
      <formula>"Pass"</formula>
    </cfRule>
  </conditionalFormatting>
  <conditionalFormatting sqref="F865:G865 K865:N865">
    <cfRule type="cellIs" dxfId="22319" priority="22157" stopIfTrue="1" operator="equal">
      <formula>"Pass"</formula>
    </cfRule>
    <cfRule type="cellIs" dxfId="22318" priority="22158" stopIfTrue="1" operator="equal">
      <formula>"Fail"</formula>
    </cfRule>
  </conditionalFormatting>
  <conditionalFormatting sqref="K866:N866">
    <cfRule type="cellIs" dxfId="22317" priority="22155" stopIfTrue="1" operator="equal">
      <formula>"Pass"</formula>
    </cfRule>
    <cfRule type="cellIs" dxfId="22316" priority="22156" stopIfTrue="1" operator="equal">
      <formula>"Fail"</formula>
    </cfRule>
  </conditionalFormatting>
  <conditionalFormatting sqref="U865">
    <cfRule type="cellIs" dxfId="22315" priority="22153" stopIfTrue="1" operator="equal">
      <formula>"Fail"</formula>
    </cfRule>
    <cfRule type="cellIs" dxfId="22314" priority="22154" stopIfTrue="1" operator="equal">
      <formula>"Pass"</formula>
    </cfRule>
  </conditionalFormatting>
  <conditionalFormatting sqref="A865:A867">
    <cfRule type="cellIs" dxfId="22313" priority="22151" stopIfTrue="1" operator="equal">
      <formula>"Pass"</formula>
    </cfRule>
    <cfRule type="cellIs" dxfId="22312" priority="22152" stopIfTrue="1" operator="equal">
      <formula>"Fail"</formula>
    </cfRule>
  </conditionalFormatting>
  <conditionalFormatting sqref="A865:A867">
    <cfRule type="cellIs" dxfId="22311" priority="22149" stopIfTrue="1" operator="equal">
      <formula>"Pass"</formula>
    </cfRule>
    <cfRule type="cellIs" dxfId="22310" priority="22150" stopIfTrue="1" operator="equal">
      <formula>"Fail"</formula>
    </cfRule>
  </conditionalFormatting>
  <conditionalFormatting sqref="A865:A867">
    <cfRule type="cellIs" dxfId="22309" priority="22147" stopIfTrue="1" operator="equal">
      <formula>"Pass"</formula>
    </cfRule>
    <cfRule type="cellIs" dxfId="22308" priority="22148" stopIfTrue="1" operator="equal">
      <formula>"Fail"</formula>
    </cfRule>
  </conditionalFormatting>
  <conditionalFormatting sqref="A865:A867">
    <cfRule type="cellIs" dxfId="22307" priority="22145" stopIfTrue="1" operator="equal">
      <formula>"Pass"</formula>
    </cfRule>
    <cfRule type="cellIs" dxfId="22306" priority="22146" stopIfTrue="1" operator="equal">
      <formula>"Fail"</formula>
    </cfRule>
  </conditionalFormatting>
  <conditionalFormatting sqref="A865:A867">
    <cfRule type="cellIs" dxfId="22305" priority="22143" stopIfTrue="1" operator="equal">
      <formula>"Pass"</formula>
    </cfRule>
    <cfRule type="cellIs" dxfId="22304" priority="22144" stopIfTrue="1" operator="equal">
      <formula>"Fail"</formula>
    </cfRule>
  </conditionalFormatting>
  <conditionalFormatting sqref="A867">
    <cfRule type="cellIs" dxfId="22303" priority="22141" stopIfTrue="1" operator="equal">
      <formula>"Pass"</formula>
    </cfRule>
    <cfRule type="cellIs" dxfId="22302" priority="22142" stopIfTrue="1" operator="equal">
      <formula>"Fail"</formula>
    </cfRule>
  </conditionalFormatting>
  <conditionalFormatting sqref="A865:A867">
    <cfRule type="cellIs" dxfId="22301" priority="22139" stopIfTrue="1" operator="equal">
      <formula>"Pass"</formula>
    </cfRule>
    <cfRule type="cellIs" dxfId="22300" priority="22140" stopIfTrue="1" operator="equal">
      <formula>"Fail"</formula>
    </cfRule>
  </conditionalFormatting>
  <conditionalFormatting sqref="A865:A867">
    <cfRule type="cellIs" dxfId="22299" priority="22137" stopIfTrue="1" operator="equal">
      <formula>"Pass"</formula>
    </cfRule>
    <cfRule type="cellIs" dxfId="22298" priority="22138" stopIfTrue="1" operator="equal">
      <formula>"Fail"</formula>
    </cfRule>
  </conditionalFormatting>
  <conditionalFormatting sqref="A865:A867">
    <cfRule type="cellIs" dxfId="22297" priority="22135" stopIfTrue="1" operator="equal">
      <formula>"Pass"</formula>
    </cfRule>
    <cfRule type="cellIs" dxfId="22296" priority="22136" stopIfTrue="1" operator="equal">
      <formula>"Fail"</formula>
    </cfRule>
  </conditionalFormatting>
  <conditionalFormatting sqref="A865:A867">
    <cfRule type="cellIs" dxfId="22295" priority="22133" stopIfTrue="1" operator="equal">
      <formula>"Pass"</formula>
    </cfRule>
    <cfRule type="cellIs" dxfId="22294" priority="22134" stopIfTrue="1" operator="equal">
      <formula>"Fail"</formula>
    </cfRule>
  </conditionalFormatting>
  <conditionalFormatting sqref="A865:A867">
    <cfRule type="cellIs" dxfId="22293" priority="22131" stopIfTrue="1" operator="equal">
      <formula>"Pass"</formula>
    </cfRule>
    <cfRule type="cellIs" dxfId="22292" priority="22132" stopIfTrue="1" operator="equal">
      <formula>"Fail"</formula>
    </cfRule>
  </conditionalFormatting>
  <conditionalFormatting sqref="A865:A867">
    <cfRule type="cellIs" dxfId="22291" priority="22129" stopIfTrue="1" operator="equal">
      <formula>"Pass"</formula>
    </cfRule>
    <cfRule type="cellIs" dxfId="22290" priority="22130" stopIfTrue="1" operator="equal">
      <formula>"Fail"</formula>
    </cfRule>
  </conditionalFormatting>
  <conditionalFormatting sqref="A867">
    <cfRule type="cellIs" dxfId="22289" priority="22127" stopIfTrue="1" operator="equal">
      <formula>"Pass"</formula>
    </cfRule>
    <cfRule type="cellIs" dxfId="22288" priority="22128" stopIfTrue="1" operator="equal">
      <formula>"Fail"</formula>
    </cfRule>
  </conditionalFormatting>
  <conditionalFormatting sqref="A865:A867">
    <cfRule type="cellIs" dxfId="22287" priority="22125" stopIfTrue="1" operator="equal">
      <formula>"Pass"</formula>
    </cfRule>
    <cfRule type="cellIs" dxfId="22286" priority="22126" stopIfTrue="1" operator="equal">
      <formula>"Fail"</formula>
    </cfRule>
  </conditionalFormatting>
  <conditionalFormatting sqref="J865:J866">
    <cfRule type="cellIs" dxfId="22285" priority="22123" stopIfTrue="1" operator="equal">
      <formula>"Pass"</formula>
    </cfRule>
    <cfRule type="cellIs" dxfId="22284" priority="22124" stopIfTrue="1" operator="equal">
      <formula>"Fail"</formula>
    </cfRule>
  </conditionalFormatting>
  <conditionalFormatting sqref="H865:H866 I866">
    <cfRule type="cellIs" dxfId="22283" priority="22121" stopIfTrue="1" operator="equal">
      <formula>"Pass"</formula>
    </cfRule>
    <cfRule type="cellIs" dxfId="22282" priority="22122" stopIfTrue="1" operator="equal">
      <formula>"Fail"</formula>
    </cfRule>
  </conditionalFormatting>
  <conditionalFormatting sqref="F867 F865:G865 K865:N866">
    <cfRule type="cellIs" dxfId="22281" priority="22119" stopIfTrue="1" operator="equal">
      <formula>"Pass"</formula>
    </cfRule>
    <cfRule type="cellIs" dxfId="22280" priority="22120" stopIfTrue="1" operator="equal">
      <formula>"Fail"</formula>
    </cfRule>
  </conditionalFormatting>
  <conditionalFormatting sqref="T865:T867 U866:U867">
    <cfRule type="cellIs" dxfId="22279" priority="22117" stopIfTrue="1" operator="equal">
      <formula>"Fail"</formula>
    </cfRule>
    <cfRule type="cellIs" dxfId="22278" priority="22118" stopIfTrue="1" operator="equal">
      <formula>"Pass"</formula>
    </cfRule>
  </conditionalFormatting>
  <conditionalFormatting sqref="U865">
    <cfRule type="cellIs" dxfId="22277" priority="22115" stopIfTrue="1" operator="equal">
      <formula>"Fail"</formula>
    </cfRule>
    <cfRule type="cellIs" dxfId="22276" priority="22116" stopIfTrue="1" operator="equal">
      <formula>"Pass"</formula>
    </cfRule>
  </conditionalFormatting>
  <conditionalFormatting sqref="U865">
    <cfRule type="cellIs" dxfId="22275" priority="22113" stopIfTrue="1" operator="equal">
      <formula>"Fail"</formula>
    </cfRule>
    <cfRule type="cellIs" dxfId="22274" priority="22114" stopIfTrue="1" operator="equal">
      <formula>"Pass"</formula>
    </cfRule>
  </conditionalFormatting>
  <conditionalFormatting sqref="J865:J866">
    <cfRule type="cellIs" dxfId="22273" priority="22111" stopIfTrue="1" operator="equal">
      <formula>"Pass"</formula>
    </cfRule>
    <cfRule type="cellIs" dxfId="22272" priority="22112" stopIfTrue="1" operator="equal">
      <formula>"Fail"</formula>
    </cfRule>
  </conditionalFormatting>
  <conditionalFormatting sqref="H865:H866 I866">
    <cfRule type="cellIs" dxfId="22271" priority="22109" stopIfTrue="1" operator="equal">
      <formula>"Pass"</formula>
    </cfRule>
    <cfRule type="cellIs" dxfId="22270" priority="22110" stopIfTrue="1" operator="equal">
      <formula>"Fail"</formula>
    </cfRule>
  </conditionalFormatting>
  <conditionalFormatting sqref="F867 F865:G865 K865:N866">
    <cfRule type="cellIs" dxfId="22269" priority="22107" stopIfTrue="1" operator="equal">
      <formula>"Pass"</formula>
    </cfRule>
    <cfRule type="cellIs" dxfId="22268" priority="22108" stopIfTrue="1" operator="equal">
      <formula>"Fail"</formula>
    </cfRule>
  </conditionalFormatting>
  <conditionalFormatting sqref="T865:T867 U866:U867">
    <cfRule type="cellIs" dxfId="22267" priority="22105" stopIfTrue="1" operator="equal">
      <formula>"Fail"</formula>
    </cfRule>
    <cfRule type="cellIs" dxfId="22266" priority="22106" stopIfTrue="1" operator="equal">
      <formula>"Pass"</formula>
    </cfRule>
  </conditionalFormatting>
  <conditionalFormatting sqref="U865">
    <cfRule type="cellIs" dxfId="22265" priority="22103" stopIfTrue="1" operator="equal">
      <formula>"Fail"</formula>
    </cfRule>
    <cfRule type="cellIs" dxfId="22264" priority="22104" stopIfTrue="1" operator="equal">
      <formula>"Pass"</formula>
    </cfRule>
  </conditionalFormatting>
  <conditionalFormatting sqref="U865">
    <cfRule type="cellIs" dxfId="22263" priority="22101" stopIfTrue="1" operator="equal">
      <formula>"Fail"</formula>
    </cfRule>
    <cfRule type="cellIs" dxfId="22262" priority="22102" stopIfTrue="1" operator="equal">
      <formula>"Pass"</formula>
    </cfRule>
  </conditionalFormatting>
  <conditionalFormatting sqref="F865:G865 K865:N865">
    <cfRule type="cellIs" dxfId="22261" priority="22099" stopIfTrue="1" operator="equal">
      <formula>"Pass"</formula>
    </cfRule>
    <cfRule type="cellIs" dxfId="22260" priority="22100" stopIfTrue="1" operator="equal">
      <formula>"Fail"</formula>
    </cfRule>
  </conditionalFormatting>
  <conditionalFormatting sqref="K866:N866">
    <cfRule type="cellIs" dxfId="22259" priority="22097" stopIfTrue="1" operator="equal">
      <formula>"Pass"</formula>
    </cfRule>
    <cfRule type="cellIs" dxfId="22258" priority="22098" stopIfTrue="1" operator="equal">
      <formula>"Fail"</formula>
    </cfRule>
  </conditionalFormatting>
  <conditionalFormatting sqref="U865">
    <cfRule type="cellIs" dxfId="22257" priority="22095" stopIfTrue="1" operator="equal">
      <formula>"Fail"</formula>
    </cfRule>
    <cfRule type="cellIs" dxfId="22256" priority="22096" stopIfTrue="1" operator="equal">
      <formula>"Pass"</formula>
    </cfRule>
  </conditionalFormatting>
  <conditionalFormatting sqref="J865:J866">
    <cfRule type="cellIs" dxfId="22255" priority="22093" stopIfTrue="1" operator="equal">
      <formula>"Pass"</formula>
    </cfRule>
    <cfRule type="cellIs" dxfId="22254" priority="22094" stopIfTrue="1" operator="equal">
      <formula>"Fail"</formula>
    </cfRule>
  </conditionalFormatting>
  <conditionalFormatting sqref="H865:H866 I866">
    <cfRule type="cellIs" dxfId="22253" priority="22091" stopIfTrue="1" operator="equal">
      <formula>"Pass"</formula>
    </cfRule>
    <cfRule type="cellIs" dxfId="22252" priority="22092" stopIfTrue="1" operator="equal">
      <formula>"Fail"</formula>
    </cfRule>
  </conditionalFormatting>
  <conditionalFormatting sqref="F865:G865 K865:N866">
    <cfRule type="cellIs" dxfId="22251" priority="22089" stopIfTrue="1" operator="equal">
      <formula>"Pass"</formula>
    </cfRule>
    <cfRule type="cellIs" dxfId="22250" priority="22090" stopIfTrue="1" operator="equal">
      <formula>"Fail"</formula>
    </cfRule>
  </conditionalFormatting>
  <conditionalFormatting sqref="T865:T866 U866">
    <cfRule type="cellIs" dxfId="22249" priority="22087" stopIfTrue="1" operator="equal">
      <formula>"Fail"</formula>
    </cfRule>
    <cfRule type="cellIs" dxfId="22248" priority="22088" stopIfTrue="1" operator="equal">
      <formula>"Pass"</formula>
    </cfRule>
  </conditionalFormatting>
  <conditionalFormatting sqref="U865">
    <cfRule type="cellIs" dxfId="22247" priority="22085" stopIfTrue="1" operator="equal">
      <formula>"Fail"</formula>
    </cfRule>
    <cfRule type="cellIs" dxfId="22246" priority="22086" stopIfTrue="1" operator="equal">
      <formula>"Pass"</formula>
    </cfRule>
  </conditionalFormatting>
  <conditionalFormatting sqref="U865">
    <cfRule type="cellIs" dxfId="22245" priority="22083" stopIfTrue="1" operator="equal">
      <formula>"Fail"</formula>
    </cfRule>
    <cfRule type="cellIs" dxfId="22244" priority="22084" stopIfTrue="1" operator="equal">
      <formula>"Pass"</formula>
    </cfRule>
  </conditionalFormatting>
  <conditionalFormatting sqref="J865:J866">
    <cfRule type="cellIs" dxfId="22243" priority="22081" stopIfTrue="1" operator="equal">
      <formula>"Pass"</formula>
    </cfRule>
    <cfRule type="cellIs" dxfId="22242" priority="22082" stopIfTrue="1" operator="equal">
      <formula>"Fail"</formula>
    </cfRule>
  </conditionalFormatting>
  <conditionalFormatting sqref="H865:H866 I866">
    <cfRule type="cellIs" dxfId="22241" priority="22079" stopIfTrue="1" operator="equal">
      <formula>"Pass"</formula>
    </cfRule>
    <cfRule type="cellIs" dxfId="22240" priority="22080" stopIfTrue="1" operator="equal">
      <formula>"Fail"</formula>
    </cfRule>
  </conditionalFormatting>
  <conditionalFormatting sqref="F865:G865 K865:N866">
    <cfRule type="cellIs" dxfId="22239" priority="22077" stopIfTrue="1" operator="equal">
      <formula>"Pass"</formula>
    </cfRule>
    <cfRule type="cellIs" dxfId="22238" priority="22078" stopIfTrue="1" operator="equal">
      <formula>"Fail"</formula>
    </cfRule>
  </conditionalFormatting>
  <conditionalFormatting sqref="T865:T866 U866">
    <cfRule type="cellIs" dxfId="22237" priority="22075" stopIfTrue="1" operator="equal">
      <formula>"Fail"</formula>
    </cfRule>
    <cfRule type="cellIs" dxfId="22236" priority="22076" stopIfTrue="1" operator="equal">
      <formula>"Pass"</formula>
    </cfRule>
  </conditionalFormatting>
  <conditionalFormatting sqref="U865">
    <cfRule type="cellIs" dxfId="22235" priority="22073" stopIfTrue="1" operator="equal">
      <formula>"Fail"</formula>
    </cfRule>
    <cfRule type="cellIs" dxfId="22234" priority="22074" stopIfTrue="1" operator="equal">
      <formula>"Pass"</formula>
    </cfRule>
  </conditionalFormatting>
  <conditionalFormatting sqref="U865">
    <cfRule type="cellIs" dxfId="22233" priority="22071" stopIfTrue="1" operator="equal">
      <formula>"Fail"</formula>
    </cfRule>
    <cfRule type="cellIs" dxfId="22232" priority="22072" stopIfTrue="1" operator="equal">
      <formula>"Pass"</formula>
    </cfRule>
  </conditionalFormatting>
  <conditionalFormatting sqref="F865:G865 K865:N865">
    <cfRule type="cellIs" dxfId="22231" priority="22069" stopIfTrue="1" operator="equal">
      <formula>"Pass"</formula>
    </cfRule>
    <cfRule type="cellIs" dxfId="22230" priority="22070" stopIfTrue="1" operator="equal">
      <formula>"Fail"</formula>
    </cfRule>
  </conditionalFormatting>
  <conditionalFormatting sqref="K866:N866">
    <cfRule type="cellIs" dxfId="22229" priority="22067" stopIfTrue="1" operator="equal">
      <formula>"Pass"</formula>
    </cfRule>
    <cfRule type="cellIs" dxfId="22228" priority="22068" stopIfTrue="1" operator="equal">
      <formula>"Fail"</formula>
    </cfRule>
  </conditionalFormatting>
  <conditionalFormatting sqref="U865">
    <cfRule type="cellIs" dxfId="22227" priority="22065" stopIfTrue="1" operator="equal">
      <formula>"Fail"</formula>
    </cfRule>
    <cfRule type="cellIs" dxfId="22226" priority="22066" stopIfTrue="1" operator="equal">
      <formula>"Pass"</formula>
    </cfRule>
  </conditionalFormatting>
  <conditionalFormatting sqref="U865">
    <cfRule type="cellIs" dxfId="22225" priority="22063" stopIfTrue="1" operator="equal">
      <formula>"Fail"</formula>
    </cfRule>
    <cfRule type="cellIs" dxfId="22224" priority="22064" stopIfTrue="1" operator="equal">
      <formula>"Pass"</formula>
    </cfRule>
  </conditionalFormatting>
  <conditionalFormatting sqref="U865">
    <cfRule type="cellIs" dxfId="22223" priority="22061" stopIfTrue="1" operator="equal">
      <formula>"Fail"</formula>
    </cfRule>
    <cfRule type="cellIs" dxfId="22222" priority="22062" stopIfTrue="1" operator="equal">
      <formula>"Pass"</formula>
    </cfRule>
  </conditionalFormatting>
  <conditionalFormatting sqref="U865">
    <cfRule type="cellIs" dxfId="22221" priority="22059" stopIfTrue="1" operator="equal">
      <formula>"Fail"</formula>
    </cfRule>
    <cfRule type="cellIs" dxfId="22220" priority="22060" stopIfTrue="1" operator="equal">
      <formula>"Pass"</formula>
    </cfRule>
  </conditionalFormatting>
  <conditionalFormatting sqref="A868:A870">
    <cfRule type="cellIs" dxfId="22219" priority="22057" stopIfTrue="1" operator="equal">
      <formula>"Pass"</formula>
    </cfRule>
    <cfRule type="cellIs" dxfId="22218" priority="22058" stopIfTrue="1" operator="equal">
      <formula>"Fail"</formula>
    </cfRule>
  </conditionalFormatting>
  <conditionalFormatting sqref="A868:A870">
    <cfRule type="cellIs" dxfId="22217" priority="22055" stopIfTrue="1" operator="equal">
      <formula>"Pass"</formula>
    </cfRule>
    <cfRule type="cellIs" dxfId="22216" priority="22056" stopIfTrue="1" operator="equal">
      <formula>"Fail"</formula>
    </cfRule>
  </conditionalFormatting>
  <conditionalFormatting sqref="A868:A870">
    <cfRule type="cellIs" dxfId="22215" priority="22053" stopIfTrue="1" operator="equal">
      <formula>"Pass"</formula>
    </cfRule>
    <cfRule type="cellIs" dxfId="22214" priority="22054" stopIfTrue="1" operator="equal">
      <formula>"Fail"</formula>
    </cfRule>
  </conditionalFormatting>
  <conditionalFormatting sqref="A868:A870">
    <cfRule type="cellIs" dxfId="22213" priority="22051" stopIfTrue="1" operator="equal">
      <formula>"Pass"</formula>
    </cfRule>
    <cfRule type="cellIs" dxfId="22212" priority="22052" stopIfTrue="1" operator="equal">
      <formula>"Fail"</formula>
    </cfRule>
  </conditionalFormatting>
  <conditionalFormatting sqref="A868:A870">
    <cfRule type="cellIs" dxfId="22211" priority="22049" stopIfTrue="1" operator="equal">
      <formula>"Pass"</formula>
    </cfRule>
    <cfRule type="cellIs" dxfId="22210" priority="22050" stopIfTrue="1" operator="equal">
      <formula>"Fail"</formula>
    </cfRule>
  </conditionalFormatting>
  <conditionalFormatting sqref="A870">
    <cfRule type="cellIs" dxfId="22209" priority="22047" stopIfTrue="1" operator="equal">
      <formula>"Pass"</formula>
    </cfRule>
    <cfRule type="cellIs" dxfId="22208" priority="22048" stopIfTrue="1" operator="equal">
      <formula>"Fail"</formula>
    </cfRule>
  </conditionalFormatting>
  <conditionalFormatting sqref="A868:A870">
    <cfRule type="cellIs" dxfId="22207" priority="22045" stopIfTrue="1" operator="equal">
      <formula>"Pass"</formula>
    </cfRule>
    <cfRule type="cellIs" dxfId="22206" priority="22046" stopIfTrue="1" operator="equal">
      <formula>"Fail"</formula>
    </cfRule>
  </conditionalFormatting>
  <conditionalFormatting sqref="H868:H869">
    <cfRule type="cellIs" dxfId="22205" priority="22043" stopIfTrue="1" operator="equal">
      <formula>"Pass"</formula>
    </cfRule>
    <cfRule type="cellIs" dxfId="22204" priority="22044" stopIfTrue="1" operator="equal">
      <formula>"Fail"</formula>
    </cfRule>
  </conditionalFormatting>
  <conditionalFormatting sqref="E868:F868 I868:M869 E870:F870 A868">
    <cfRule type="cellIs" dxfId="22203" priority="22041" stopIfTrue="1" operator="equal">
      <formula>"Pass"</formula>
    </cfRule>
    <cfRule type="cellIs" dxfId="22202" priority="22042" stopIfTrue="1" operator="equal">
      <formula>"Fail"</formula>
    </cfRule>
  </conditionalFormatting>
  <conditionalFormatting sqref="T870 T868 R868:R870 S869:S870">
    <cfRule type="cellIs" dxfId="22201" priority="22039" stopIfTrue="1" operator="equal">
      <formula>"Fail"</formula>
    </cfRule>
    <cfRule type="cellIs" dxfId="22200" priority="22040" stopIfTrue="1" operator="equal">
      <formula>"Pass"</formula>
    </cfRule>
  </conditionalFormatting>
  <conditionalFormatting sqref="F868:G868 F870:G870 B868:B870 A868 J868:N869">
    <cfRule type="cellIs" dxfId="22199" priority="22037" stopIfTrue="1" operator="equal">
      <formula>"Pass"</formula>
    </cfRule>
    <cfRule type="cellIs" dxfId="22198" priority="22038" stopIfTrue="1" operator="equal">
      <formula>"Fail"</formula>
    </cfRule>
  </conditionalFormatting>
  <conditionalFormatting sqref="U870 T868:T870 S869:S870">
    <cfRule type="cellIs" dxfId="22197" priority="22035" stopIfTrue="1" operator="equal">
      <formula>"Fail"</formula>
    </cfRule>
    <cfRule type="cellIs" dxfId="22196" priority="22036" stopIfTrue="1" operator="equal">
      <formula>"Pass"</formula>
    </cfRule>
  </conditionalFormatting>
  <conditionalFormatting sqref="A868">
    <cfRule type="cellIs" dxfId="22195" priority="22033" stopIfTrue="1" operator="equal">
      <formula>"Pass"</formula>
    </cfRule>
    <cfRule type="cellIs" dxfId="22194" priority="22034" stopIfTrue="1" operator="equal">
      <formula>"Fail"</formula>
    </cfRule>
  </conditionalFormatting>
  <conditionalFormatting sqref="A868">
    <cfRule type="cellIs" dxfId="22193" priority="22031" stopIfTrue="1" operator="equal">
      <formula>"Pass"</formula>
    </cfRule>
    <cfRule type="cellIs" dxfId="22192" priority="22032" stopIfTrue="1" operator="equal">
      <formula>"Fail"</formula>
    </cfRule>
  </conditionalFormatting>
  <conditionalFormatting sqref="A868">
    <cfRule type="cellIs" dxfId="22191" priority="22029" stopIfTrue="1" operator="equal">
      <formula>"Pass"</formula>
    </cfRule>
    <cfRule type="cellIs" dxfId="22190" priority="22030" stopIfTrue="1" operator="equal">
      <formula>"Fail"</formula>
    </cfRule>
  </conditionalFormatting>
  <conditionalFormatting sqref="A868">
    <cfRule type="cellIs" dxfId="22189" priority="22027" stopIfTrue="1" operator="equal">
      <formula>"Pass"</formula>
    </cfRule>
    <cfRule type="cellIs" dxfId="22188" priority="22028" stopIfTrue="1" operator="equal">
      <formula>"Fail"</formula>
    </cfRule>
  </conditionalFormatting>
  <conditionalFormatting sqref="A868">
    <cfRule type="cellIs" dxfId="22187" priority="22025" stopIfTrue="1" operator="equal">
      <formula>"Pass"</formula>
    </cfRule>
    <cfRule type="cellIs" dxfId="22186" priority="22026" stopIfTrue="1" operator="equal">
      <formula>"Fail"</formula>
    </cfRule>
  </conditionalFormatting>
  <conditionalFormatting sqref="A868">
    <cfRule type="cellIs" dxfId="22185" priority="22023" stopIfTrue="1" operator="equal">
      <formula>"Pass"</formula>
    </cfRule>
    <cfRule type="cellIs" dxfId="22184" priority="22024" stopIfTrue="1" operator="equal">
      <formula>"Fail"</formula>
    </cfRule>
  </conditionalFormatting>
  <conditionalFormatting sqref="A868">
    <cfRule type="cellIs" dxfId="22183" priority="22021" stopIfTrue="1" operator="equal">
      <formula>"Pass"</formula>
    </cfRule>
    <cfRule type="cellIs" dxfId="22182" priority="22022" stopIfTrue="1" operator="equal">
      <formula>"Fail"</formula>
    </cfRule>
  </conditionalFormatting>
  <conditionalFormatting sqref="A868">
    <cfRule type="cellIs" dxfId="22181" priority="22019" stopIfTrue="1" operator="equal">
      <formula>"Pass"</formula>
    </cfRule>
    <cfRule type="cellIs" dxfId="22180" priority="22020" stopIfTrue="1" operator="equal">
      <formula>"Fail"</formula>
    </cfRule>
  </conditionalFormatting>
  <conditionalFormatting sqref="A868">
    <cfRule type="cellIs" dxfId="22179" priority="22017" stopIfTrue="1" operator="equal">
      <formula>"Pass"</formula>
    </cfRule>
    <cfRule type="cellIs" dxfId="22178" priority="22018" stopIfTrue="1" operator="equal">
      <formula>"Fail"</formula>
    </cfRule>
  </conditionalFormatting>
  <conditionalFormatting sqref="A868">
    <cfRule type="cellIs" dxfId="22177" priority="22015" stopIfTrue="1" operator="equal">
      <formula>"Pass"</formula>
    </cfRule>
    <cfRule type="cellIs" dxfId="22176" priority="22016" stopIfTrue="1" operator="equal">
      <formula>"Fail"</formula>
    </cfRule>
  </conditionalFormatting>
  <conditionalFormatting sqref="U868">
    <cfRule type="cellIs" dxfId="22175" priority="22013" stopIfTrue="1" operator="equal">
      <formula>"Fail"</formula>
    </cfRule>
    <cfRule type="cellIs" dxfId="22174" priority="22014" stopIfTrue="1" operator="equal">
      <formula>"Pass"</formula>
    </cfRule>
  </conditionalFormatting>
  <conditionalFormatting sqref="F868:G868 J868:N868">
    <cfRule type="cellIs" dxfId="22173" priority="22011" stopIfTrue="1" operator="equal">
      <formula>"Pass"</formula>
    </cfRule>
    <cfRule type="cellIs" dxfId="22172" priority="22012" stopIfTrue="1" operator="equal">
      <formula>"Fail"</formula>
    </cfRule>
  </conditionalFormatting>
  <conditionalFormatting sqref="J869:N869">
    <cfRule type="cellIs" dxfId="22171" priority="22009" stopIfTrue="1" operator="equal">
      <formula>"Pass"</formula>
    </cfRule>
    <cfRule type="cellIs" dxfId="22170" priority="22010" stopIfTrue="1" operator="equal">
      <formula>"Fail"</formula>
    </cfRule>
  </conditionalFormatting>
  <conditionalFormatting sqref="A868:A870">
    <cfRule type="cellIs" dxfId="22169" priority="22007" stopIfTrue="1" operator="equal">
      <formula>"Pass"</formula>
    </cfRule>
    <cfRule type="cellIs" dxfId="22168" priority="22008" stopIfTrue="1" operator="equal">
      <formula>"Fail"</formula>
    </cfRule>
  </conditionalFormatting>
  <conditionalFormatting sqref="A868:A870">
    <cfRule type="cellIs" dxfId="22167" priority="22005" stopIfTrue="1" operator="equal">
      <formula>"Pass"</formula>
    </cfRule>
    <cfRule type="cellIs" dxfId="22166" priority="22006" stopIfTrue="1" operator="equal">
      <formula>"Fail"</formula>
    </cfRule>
  </conditionalFormatting>
  <conditionalFormatting sqref="A868:A870">
    <cfRule type="cellIs" dxfId="22165" priority="22003" stopIfTrue="1" operator="equal">
      <formula>"Pass"</formula>
    </cfRule>
    <cfRule type="cellIs" dxfId="22164" priority="22004" stopIfTrue="1" operator="equal">
      <formula>"Fail"</formula>
    </cfRule>
  </conditionalFormatting>
  <conditionalFormatting sqref="A868:A870">
    <cfRule type="cellIs" dxfId="22163" priority="22001" stopIfTrue="1" operator="equal">
      <formula>"Pass"</formula>
    </cfRule>
    <cfRule type="cellIs" dxfId="22162" priority="22002" stopIfTrue="1" operator="equal">
      <formula>"Fail"</formula>
    </cfRule>
  </conditionalFormatting>
  <conditionalFormatting sqref="A868:A870">
    <cfRule type="cellIs" dxfId="22161" priority="21999" stopIfTrue="1" operator="equal">
      <formula>"Pass"</formula>
    </cfRule>
    <cfRule type="cellIs" dxfId="22160" priority="22000" stopIfTrue="1" operator="equal">
      <formula>"Fail"</formula>
    </cfRule>
  </conditionalFormatting>
  <conditionalFormatting sqref="A870">
    <cfRule type="cellIs" dxfId="22159" priority="21997" stopIfTrue="1" operator="equal">
      <formula>"Pass"</formula>
    </cfRule>
    <cfRule type="cellIs" dxfId="22158" priority="21998" stopIfTrue="1" operator="equal">
      <formula>"Fail"</formula>
    </cfRule>
  </conditionalFormatting>
  <conditionalFormatting sqref="A868:A870">
    <cfRule type="cellIs" dxfId="22157" priority="21995" stopIfTrue="1" operator="equal">
      <formula>"Pass"</formula>
    </cfRule>
    <cfRule type="cellIs" dxfId="22156" priority="21996" stopIfTrue="1" operator="equal">
      <formula>"Fail"</formula>
    </cfRule>
  </conditionalFormatting>
  <conditionalFormatting sqref="A868:A870">
    <cfRule type="cellIs" dxfId="22155" priority="21993" stopIfTrue="1" operator="equal">
      <formula>"Pass"</formula>
    </cfRule>
    <cfRule type="cellIs" dxfId="22154" priority="21994" stopIfTrue="1" operator="equal">
      <formula>"Fail"</formula>
    </cfRule>
  </conditionalFormatting>
  <conditionalFormatting sqref="A868:A870">
    <cfRule type="cellIs" dxfId="22153" priority="21991" stopIfTrue="1" operator="equal">
      <formula>"Pass"</formula>
    </cfRule>
    <cfRule type="cellIs" dxfId="22152" priority="21992" stopIfTrue="1" operator="equal">
      <formula>"Fail"</formula>
    </cfRule>
  </conditionalFormatting>
  <conditionalFormatting sqref="A868:A870">
    <cfRule type="cellIs" dxfId="22151" priority="21989" stopIfTrue="1" operator="equal">
      <formula>"Pass"</formula>
    </cfRule>
    <cfRule type="cellIs" dxfId="22150" priority="21990" stopIfTrue="1" operator="equal">
      <formula>"Fail"</formula>
    </cfRule>
  </conditionalFormatting>
  <conditionalFormatting sqref="A868:A870">
    <cfRule type="cellIs" dxfId="22149" priority="21987" stopIfTrue="1" operator="equal">
      <formula>"Pass"</formula>
    </cfRule>
    <cfRule type="cellIs" dxfId="22148" priority="21988" stopIfTrue="1" operator="equal">
      <formula>"Fail"</formula>
    </cfRule>
  </conditionalFormatting>
  <conditionalFormatting sqref="A868:A870">
    <cfRule type="cellIs" dxfId="22147" priority="21985" stopIfTrue="1" operator="equal">
      <formula>"Pass"</formula>
    </cfRule>
    <cfRule type="cellIs" dxfId="22146" priority="21986" stopIfTrue="1" operator="equal">
      <formula>"Fail"</formula>
    </cfRule>
  </conditionalFormatting>
  <conditionalFormatting sqref="A870">
    <cfRule type="cellIs" dxfId="22145" priority="21983" stopIfTrue="1" operator="equal">
      <formula>"Pass"</formula>
    </cfRule>
    <cfRule type="cellIs" dxfId="22144" priority="21984" stopIfTrue="1" operator="equal">
      <formula>"Fail"</formula>
    </cfRule>
  </conditionalFormatting>
  <conditionalFormatting sqref="A868:A870">
    <cfRule type="cellIs" dxfId="22143" priority="21981" stopIfTrue="1" operator="equal">
      <formula>"Pass"</formula>
    </cfRule>
    <cfRule type="cellIs" dxfId="22142" priority="21982" stopIfTrue="1" operator="equal">
      <formula>"Fail"</formula>
    </cfRule>
  </conditionalFormatting>
  <conditionalFormatting sqref="H868:H869">
    <cfRule type="cellIs" dxfId="22141" priority="21979" stopIfTrue="1" operator="equal">
      <formula>"Pass"</formula>
    </cfRule>
    <cfRule type="cellIs" dxfId="22140" priority="21980" stopIfTrue="1" operator="equal">
      <formula>"Fail"</formula>
    </cfRule>
  </conditionalFormatting>
  <conditionalFormatting sqref="F868 I868:M869 F870">
    <cfRule type="cellIs" dxfId="22139" priority="21977" stopIfTrue="1" operator="equal">
      <formula>"Pass"</formula>
    </cfRule>
    <cfRule type="cellIs" dxfId="22138" priority="21978" stopIfTrue="1" operator="equal">
      <formula>"Fail"</formula>
    </cfRule>
  </conditionalFormatting>
  <conditionalFormatting sqref="T870 T868 R868:R870 S869:S870">
    <cfRule type="cellIs" dxfId="22137" priority="21975" stopIfTrue="1" operator="equal">
      <formula>"Fail"</formula>
    </cfRule>
    <cfRule type="cellIs" dxfId="22136" priority="21976" stopIfTrue="1" operator="equal">
      <formula>"Pass"</formula>
    </cfRule>
  </conditionalFormatting>
  <conditionalFormatting sqref="F868:G868 F870:G870 J868:N869">
    <cfRule type="cellIs" dxfId="22135" priority="21973" stopIfTrue="1" operator="equal">
      <formula>"Pass"</formula>
    </cfRule>
    <cfRule type="cellIs" dxfId="22134" priority="21974" stopIfTrue="1" operator="equal">
      <formula>"Fail"</formula>
    </cfRule>
  </conditionalFormatting>
  <conditionalFormatting sqref="U870 T868:T870 S869:S870">
    <cfRule type="cellIs" dxfId="22133" priority="21971" stopIfTrue="1" operator="equal">
      <formula>"Fail"</formula>
    </cfRule>
    <cfRule type="cellIs" dxfId="22132" priority="21972" stopIfTrue="1" operator="equal">
      <formula>"Pass"</formula>
    </cfRule>
  </conditionalFormatting>
  <conditionalFormatting sqref="U868">
    <cfRule type="cellIs" dxfId="22131" priority="21969" stopIfTrue="1" operator="equal">
      <formula>"Fail"</formula>
    </cfRule>
    <cfRule type="cellIs" dxfId="22130" priority="21970" stopIfTrue="1" operator="equal">
      <formula>"Pass"</formula>
    </cfRule>
  </conditionalFormatting>
  <conditionalFormatting sqref="F868:G868 J868:N868">
    <cfRule type="cellIs" dxfId="22129" priority="21967" stopIfTrue="1" operator="equal">
      <formula>"Pass"</formula>
    </cfRule>
    <cfRule type="cellIs" dxfId="22128" priority="21968" stopIfTrue="1" operator="equal">
      <formula>"Fail"</formula>
    </cfRule>
  </conditionalFormatting>
  <conditionalFormatting sqref="J869:N869">
    <cfRule type="cellIs" dxfId="22127" priority="21965" stopIfTrue="1" operator="equal">
      <formula>"Pass"</formula>
    </cfRule>
    <cfRule type="cellIs" dxfId="22126" priority="21966" stopIfTrue="1" operator="equal">
      <formula>"Fail"</formula>
    </cfRule>
  </conditionalFormatting>
  <conditionalFormatting sqref="H868:H869">
    <cfRule type="cellIs" dxfId="22125" priority="21963" stopIfTrue="1" operator="equal">
      <formula>"Pass"</formula>
    </cfRule>
    <cfRule type="cellIs" dxfId="22124" priority="21964" stopIfTrue="1" operator="equal">
      <formula>"Fail"</formula>
    </cfRule>
  </conditionalFormatting>
  <conditionalFormatting sqref="F868 I868:M869 F870">
    <cfRule type="cellIs" dxfId="22123" priority="21961" stopIfTrue="1" operator="equal">
      <formula>"Pass"</formula>
    </cfRule>
    <cfRule type="cellIs" dxfId="22122" priority="21962" stopIfTrue="1" operator="equal">
      <formula>"Fail"</formula>
    </cfRule>
  </conditionalFormatting>
  <conditionalFormatting sqref="T870 T868 R868:R870 S869:S870">
    <cfRule type="cellIs" dxfId="22121" priority="21959" stopIfTrue="1" operator="equal">
      <formula>"Fail"</formula>
    </cfRule>
    <cfRule type="cellIs" dxfId="22120" priority="21960" stopIfTrue="1" operator="equal">
      <formula>"Pass"</formula>
    </cfRule>
  </conditionalFormatting>
  <conditionalFormatting sqref="F868:G868 F870:G870 J868:N869">
    <cfRule type="cellIs" dxfId="22119" priority="21957" stopIfTrue="1" operator="equal">
      <formula>"Pass"</formula>
    </cfRule>
    <cfRule type="cellIs" dxfId="22118" priority="21958" stopIfTrue="1" operator="equal">
      <formula>"Fail"</formula>
    </cfRule>
  </conditionalFormatting>
  <conditionalFormatting sqref="U870 T868:T870 S869:S870">
    <cfRule type="cellIs" dxfId="22117" priority="21955" stopIfTrue="1" operator="equal">
      <formula>"Fail"</formula>
    </cfRule>
    <cfRule type="cellIs" dxfId="22116" priority="21956" stopIfTrue="1" operator="equal">
      <formula>"Pass"</formula>
    </cfRule>
  </conditionalFormatting>
  <conditionalFormatting sqref="U868">
    <cfRule type="cellIs" dxfId="22115" priority="21953" stopIfTrue="1" operator="equal">
      <formula>"Fail"</formula>
    </cfRule>
    <cfRule type="cellIs" dxfId="22114" priority="21954" stopIfTrue="1" operator="equal">
      <formula>"Pass"</formula>
    </cfRule>
  </conditionalFormatting>
  <conditionalFormatting sqref="F868:G868 J868:N868">
    <cfRule type="cellIs" dxfId="22113" priority="21951" stopIfTrue="1" operator="equal">
      <formula>"Pass"</formula>
    </cfRule>
    <cfRule type="cellIs" dxfId="22112" priority="21952" stopIfTrue="1" operator="equal">
      <formula>"Fail"</formula>
    </cfRule>
  </conditionalFormatting>
  <conditionalFormatting sqref="J869:N869">
    <cfRule type="cellIs" dxfId="22111" priority="21949" stopIfTrue="1" operator="equal">
      <formula>"Pass"</formula>
    </cfRule>
    <cfRule type="cellIs" dxfId="22110" priority="21950" stopIfTrue="1" operator="equal">
      <formula>"Fail"</formula>
    </cfRule>
  </conditionalFormatting>
  <conditionalFormatting sqref="U868">
    <cfRule type="cellIs" dxfId="22109" priority="21947" stopIfTrue="1" operator="equal">
      <formula>"Fail"</formula>
    </cfRule>
    <cfRule type="cellIs" dxfId="22108" priority="21948" stopIfTrue="1" operator="equal">
      <formula>"Pass"</formula>
    </cfRule>
  </conditionalFormatting>
  <conditionalFormatting sqref="U868">
    <cfRule type="cellIs" dxfId="22107" priority="21945" stopIfTrue="1" operator="equal">
      <formula>"Fail"</formula>
    </cfRule>
    <cfRule type="cellIs" dxfId="22106" priority="21946" stopIfTrue="1" operator="equal">
      <formula>"Pass"</formula>
    </cfRule>
  </conditionalFormatting>
  <conditionalFormatting sqref="U868">
    <cfRule type="cellIs" dxfId="22105" priority="21943" stopIfTrue="1" operator="equal">
      <formula>"Fail"</formula>
    </cfRule>
    <cfRule type="cellIs" dxfId="22104" priority="21944" stopIfTrue="1" operator="equal">
      <formula>"Pass"</formula>
    </cfRule>
  </conditionalFormatting>
  <conditionalFormatting sqref="N868">
    <cfRule type="cellIs" dxfId="22103" priority="21941" stopIfTrue="1" operator="equal">
      <formula>"Pass"</formula>
    </cfRule>
    <cfRule type="cellIs" dxfId="22102" priority="21942" stopIfTrue="1" operator="equal">
      <formula>"Fail"</formula>
    </cfRule>
  </conditionalFormatting>
  <conditionalFormatting sqref="N868">
    <cfRule type="cellIs" dxfId="22101" priority="21939" stopIfTrue="1" operator="equal">
      <formula>"Pass"</formula>
    </cfRule>
    <cfRule type="cellIs" dxfId="22100" priority="21940" stopIfTrue="1" operator="equal">
      <formula>"Fail"</formula>
    </cfRule>
  </conditionalFormatting>
  <conditionalFormatting sqref="N868">
    <cfRule type="cellIs" dxfId="22099" priority="21937" stopIfTrue="1" operator="equal">
      <formula>"Pass"</formula>
    </cfRule>
    <cfRule type="cellIs" dxfId="22098" priority="21938" stopIfTrue="1" operator="equal">
      <formula>"Fail"</formula>
    </cfRule>
  </conditionalFormatting>
  <conditionalFormatting sqref="A865:A867">
    <cfRule type="cellIs" dxfId="22097" priority="21935" stopIfTrue="1" operator="equal">
      <formula>"Pass"</formula>
    </cfRule>
    <cfRule type="cellIs" dxfId="22096" priority="21936" stopIfTrue="1" operator="equal">
      <formula>"Fail"</formula>
    </cfRule>
  </conditionalFormatting>
  <conditionalFormatting sqref="A865:A867">
    <cfRule type="cellIs" dxfId="22095" priority="21933" stopIfTrue="1" operator="equal">
      <formula>"Pass"</formula>
    </cfRule>
    <cfRule type="cellIs" dxfId="22094" priority="21934" stopIfTrue="1" operator="equal">
      <formula>"Fail"</formula>
    </cfRule>
  </conditionalFormatting>
  <conditionalFormatting sqref="A865:A867">
    <cfRule type="cellIs" dxfId="22093" priority="21931" stopIfTrue="1" operator="equal">
      <formula>"Pass"</formula>
    </cfRule>
    <cfRule type="cellIs" dxfId="22092" priority="21932" stopIfTrue="1" operator="equal">
      <formula>"Fail"</formula>
    </cfRule>
  </conditionalFormatting>
  <conditionalFormatting sqref="A865:A867">
    <cfRule type="cellIs" dxfId="22091" priority="21929" stopIfTrue="1" operator="equal">
      <formula>"Pass"</formula>
    </cfRule>
    <cfRule type="cellIs" dxfId="22090" priority="21930" stopIfTrue="1" operator="equal">
      <formula>"Fail"</formula>
    </cfRule>
  </conditionalFormatting>
  <conditionalFormatting sqref="A865:A867">
    <cfRule type="cellIs" dxfId="22089" priority="21927" stopIfTrue="1" operator="equal">
      <formula>"Pass"</formula>
    </cfRule>
    <cfRule type="cellIs" dxfId="22088" priority="21928" stopIfTrue="1" operator="equal">
      <formula>"Fail"</formula>
    </cfRule>
  </conditionalFormatting>
  <conditionalFormatting sqref="A867">
    <cfRule type="cellIs" dxfId="22087" priority="21925" stopIfTrue="1" operator="equal">
      <formula>"Pass"</formula>
    </cfRule>
    <cfRule type="cellIs" dxfId="22086" priority="21926" stopIfTrue="1" operator="equal">
      <formula>"Fail"</formula>
    </cfRule>
  </conditionalFormatting>
  <conditionalFormatting sqref="A865:A867">
    <cfRule type="cellIs" dxfId="22085" priority="21923" stopIfTrue="1" operator="equal">
      <formula>"Pass"</formula>
    </cfRule>
    <cfRule type="cellIs" dxfId="22084" priority="21924" stopIfTrue="1" operator="equal">
      <formula>"Fail"</formula>
    </cfRule>
  </conditionalFormatting>
  <conditionalFormatting sqref="A865:A867">
    <cfRule type="cellIs" dxfId="22083" priority="21921" stopIfTrue="1" operator="equal">
      <formula>"Pass"</formula>
    </cfRule>
    <cfRule type="cellIs" dxfId="22082" priority="21922" stopIfTrue="1" operator="equal">
      <formula>"Fail"</formula>
    </cfRule>
  </conditionalFormatting>
  <conditionalFormatting sqref="A865:A867">
    <cfRule type="cellIs" dxfId="22081" priority="21919" stopIfTrue="1" operator="equal">
      <formula>"Pass"</formula>
    </cfRule>
    <cfRule type="cellIs" dxfId="22080" priority="21920" stopIfTrue="1" operator="equal">
      <formula>"Fail"</formula>
    </cfRule>
  </conditionalFormatting>
  <conditionalFormatting sqref="A865:A867">
    <cfRule type="cellIs" dxfId="22079" priority="21917" stopIfTrue="1" operator="equal">
      <formula>"Pass"</formula>
    </cfRule>
    <cfRule type="cellIs" dxfId="22078" priority="21918" stopIfTrue="1" operator="equal">
      <formula>"Fail"</formula>
    </cfRule>
  </conditionalFormatting>
  <conditionalFormatting sqref="A865:A867">
    <cfRule type="cellIs" dxfId="22077" priority="21915" stopIfTrue="1" operator="equal">
      <formula>"Pass"</formula>
    </cfRule>
    <cfRule type="cellIs" dxfId="22076" priority="21916" stopIfTrue="1" operator="equal">
      <formula>"Fail"</formula>
    </cfRule>
  </conditionalFormatting>
  <conditionalFormatting sqref="A865:A867">
    <cfRule type="cellIs" dxfId="22075" priority="21913" stopIfTrue="1" operator="equal">
      <formula>"Pass"</formula>
    </cfRule>
    <cfRule type="cellIs" dxfId="22074" priority="21914" stopIfTrue="1" operator="equal">
      <formula>"Fail"</formula>
    </cfRule>
  </conditionalFormatting>
  <conditionalFormatting sqref="A867">
    <cfRule type="cellIs" dxfId="22073" priority="21911" stopIfTrue="1" operator="equal">
      <formula>"Pass"</formula>
    </cfRule>
    <cfRule type="cellIs" dxfId="22072" priority="21912" stopIfTrue="1" operator="equal">
      <formula>"Fail"</formula>
    </cfRule>
  </conditionalFormatting>
  <conditionalFormatting sqref="A865:A867">
    <cfRule type="cellIs" dxfId="22071" priority="21909" stopIfTrue="1" operator="equal">
      <formula>"Pass"</formula>
    </cfRule>
    <cfRule type="cellIs" dxfId="22070" priority="21910" stopIfTrue="1" operator="equal">
      <formula>"Fail"</formula>
    </cfRule>
  </conditionalFormatting>
  <conditionalFormatting sqref="A865:A867">
    <cfRule type="cellIs" dxfId="22069" priority="21907" stopIfTrue="1" operator="equal">
      <formula>"Pass"</formula>
    </cfRule>
    <cfRule type="cellIs" dxfId="22068" priority="21908" stopIfTrue="1" operator="equal">
      <formula>"Fail"</formula>
    </cfRule>
  </conditionalFormatting>
  <conditionalFormatting sqref="A865:A867">
    <cfRule type="cellIs" dxfId="22067" priority="21905" stopIfTrue="1" operator="equal">
      <formula>"Pass"</formula>
    </cfRule>
    <cfRule type="cellIs" dxfId="22066" priority="21906" stopIfTrue="1" operator="equal">
      <formula>"Fail"</formula>
    </cfRule>
  </conditionalFormatting>
  <conditionalFormatting sqref="A865:A867">
    <cfRule type="cellIs" dxfId="22065" priority="21903" stopIfTrue="1" operator="equal">
      <formula>"Pass"</formula>
    </cfRule>
    <cfRule type="cellIs" dxfId="22064" priority="21904" stopIfTrue="1" operator="equal">
      <formula>"Fail"</formula>
    </cfRule>
  </conditionalFormatting>
  <conditionalFormatting sqref="A865:A867">
    <cfRule type="cellIs" dxfId="22063" priority="21901" stopIfTrue="1" operator="equal">
      <formula>"Pass"</formula>
    </cfRule>
    <cfRule type="cellIs" dxfId="22062" priority="21902" stopIfTrue="1" operator="equal">
      <formula>"Fail"</formula>
    </cfRule>
  </conditionalFormatting>
  <conditionalFormatting sqref="A865:A867">
    <cfRule type="cellIs" dxfId="22061" priority="21899" stopIfTrue="1" operator="equal">
      <formula>"Pass"</formula>
    </cfRule>
    <cfRule type="cellIs" dxfId="22060" priority="21900" stopIfTrue="1" operator="equal">
      <formula>"Fail"</formula>
    </cfRule>
  </conditionalFormatting>
  <conditionalFormatting sqref="A867">
    <cfRule type="cellIs" dxfId="22059" priority="21897" stopIfTrue="1" operator="equal">
      <formula>"Pass"</formula>
    </cfRule>
    <cfRule type="cellIs" dxfId="22058" priority="21898" stopIfTrue="1" operator="equal">
      <formula>"Fail"</formula>
    </cfRule>
  </conditionalFormatting>
  <conditionalFormatting sqref="A865:A867">
    <cfRule type="cellIs" dxfId="22057" priority="21895" stopIfTrue="1" operator="equal">
      <formula>"Pass"</formula>
    </cfRule>
    <cfRule type="cellIs" dxfId="22056" priority="21896" stopIfTrue="1" operator="equal">
      <formula>"Fail"</formula>
    </cfRule>
  </conditionalFormatting>
  <conditionalFormatting sqref="A868:A870">
    <cfRule type="cellIs" dxfId="22055" priority="21893" stopIfTrue="1" operator="equal">
      <formula>"Pass"</formula>
    </cfRule>
    <cfRule type="cellIs" dxfId="22054" priority="21894" stopIfTrue="1" operator="equal">
      <formula>"Fail"</formula>
    </cfRule>
  </conditionalFormatting>
  <conditionalFormatting sqref="A868:A870">
    <cfRule type="cellIs" dxfId="22053" priority="21891" stopIfTrue="1" operator="equal">
      <formula>"Pass"</formula>
    </cfRule>
    <cfRule type="cellIs" dxfId="22052" priority="21892" stopIfTrue="1" operator="equal">
      <formula>"Fail"</formula>
    </cfRule>
  </conditionalFormatting>
  <conditionalFormatting sqref="A868:A870">
    <cfRule type="cellIs" dxfId="22051" priority="21889" stopIfTrue="1" operator="equal">
      <formula>"Pass"</formula>
    </cfRule>
    <cfRule type="cellIs" dxfId="22050" priority="21890" stopIfTrue="1" operator="equal">
      <formula>"Fail"</formula>
    </cfRule>
  </conditionalFormatting>
  <conditionalFormatting sqref="A868:A870">
    <cfRule type="cellIs" dxfId="22049" priority="21887" stopIfTrue="1" operator="equal">
      <formula>"Pass"</formula>
    </cfRule>
    <cfRule type="cellIs" dxfId="22048" priority="21888" stopIfTrue="1" operator="equal">
      <formula>"Fail"</formula>
    </cfRule>
  </conditionalFormatting>
  <conditionalFormatting sqref="A868:A870">
    <cfRule type="cellIs" dxfId="22047" priority="21885" stopIfTrue="1" operator="equal">
      <formula>"Pass"</formula>
    </cfRule>
    <cfRule type="cellIs" dxfId="22046" priority="21886" stopIfTrue="1" operator="equal">
      <formula>"Fail"</formula>
    </cfRule>
  </conditionalFormatting>
  <conditionalFormatting sqref="A870">
    <cfRule type="cellIs" dxfId="22045" priority="21883" stopIfTrue="1" operator="equal">
      <formula>"Pass"</formula>
    </cfRule>
    <cfRule type="cellIs" dxfId="22044" priority="21884" stopIfTrue="1" operator="equal">
      <formula>"Fail"</formula>
    </cfRule>
  </conditionalFormatting>
  <conditionalFormatting sqref="A868:A870">
    <cfRule type="cellIs" dxfId="22043" priority="21881" stopIfTrue="1" operator="equal">
      <formula>"Pass"</formula>
    </cfRule>
    <cfRule type="cellIs" dxfId="22042" priority="21882" stopIfTrue="1" operator="equal">
      <formula>"Fail"</formula>
    </cfRule>
  </conditionalFormatting>
  <conditionalFormatting sqref="A868:A870">
    <cfRule type="cellIs" dxfId="22041" priority="21879" stopIfTrue="1" operator="equal">
      <formula>"Pass"</formula>
    </cfRule>
    <cfRule type="cellIs" dxfId="22040" priority="21880" stopIfTrue="1" operator="equal">
      <formula>"Fail"</formula>
    </cfRule>
  </conditionalFormatting>
  <conditionalFormatting sqref="A868:A870">
    <cfRule type="cellIs" dxfId="22039" priority="21877" stopIfTrue="1" operator="equal">
      <formula>"Pass"</formula>
    </cfRule>
    <cfRule type="cellIs" dxfId="22038" priority="21878" stopIfTrue="1" operator="equal">
      <formula>"Fail"</formula>
    </cfRule>
  </conditionalFormatting>
  <conditionalFormatting sqref="A868:A870">
    <cfRule type="cellIs" dxfId="22037" priority="21875" stopIfTrue="1" operator="equal">
      <formula>"Pass"</formula>
    </cfRule>
    <cfRule type="cellIs" dxfId="22036" priority="21876" stopIfTrue="1" operator="equal">
      <formula>"Fail"</formula>
    </cfRule>
  </conditionalFormatting>
  <conditionalFormatting sqref="A868:A870">
    <cfRule type="cellIs" dxfId="22035" priority="21873" stopIfTrue="1" operator="equal">
      <formula>"Pass"</formula>
    </cfRule>
    <cfRule type="cellIs" dxfId="22034" priority="21874" stopIfTrue="1" operator="equal">
      <formula>"Fail"</formula>
    </cfRule>
  </conditionalFormatting>
  <conditionalFormatting sqref="A868:A870">
    <cfRule type="cellIs" dxfId="22033" priority="21871" stopIfTrue="1" operator="equal">
      <formula>"Pass"</formula>
    </cfRule>
    <cfRule type="cellIs" dxfId="22032" priority="21872" stopIfTrue="1" operator="equal">
      <formula>"Fail"</formula>
    </cfRule>
  </conditionalFormatting>
  <conditionalFormatting sqref="A870">
    <cfRule type="cellIs" dxfId="22031" priority="21869" stopIfTrue="1" operator="equal">
      <formula>"Pass"</formula>
    </cfRule>
    <cfRule type="cellIs" dxfId="22030" priority="21870" stopIfTrue="1" operator="equal">
      <formula>"Fail"</formula>
    </cfRule>
  </conditionalFormatting>
  <conditionalFormatting sqref="A868:A870">
    <cfRule type="cellIs" dxfId="22029" priority="21867" stopIfTrue="1" operator="equal">
      <formula>"Pass"</formula>
    </cfRule>
    <cfRule type="cellIs" dxfId="22028" priority="21868" stopIfTrue="1" operator="equal">
      <formula>"Fail"</formula>
    </cfRule>
  </conditionalFormatting>
  <conditionalFormatting sqref="A868:A870">
    <cfRule type="cellIs" dxfId="22027" priority="21865" stopIfTrue="1" operator="equal">
      <formula>"Pass"</formula>
    </cfRule>
    <cfRule type="cellIs" dxfId="22026" priority="21866" stopIfTrue="1" operator="equal">
      <formula>"Fail"</formula>
    </cfRule>
  </conditionalFormatting>
  <conditionalFormatting sqref="A868:A870">
    <cfRule type="cellIs" dxfId="22025" priority="21863" stopIfTrue="1" operator="equal">
      <formula>"Pass"</formula>
    </cfRule>
    <cfRule type="cellIs" dxfId="22024" priority="21864" stopIfTrue="1" operator="equal">
      <formula>"Fail"</formula>
    </cfRule>
  </conditionalFormatting>
  <conditionalFormatting sqref="A868:A870">
    <cfRule type="cellIs" dxfId="22023" priority="21861" stopIfTrue="1" operator="equal">
      <formula>"Pass"</formula>
    </cfRule>
    <cfRule type="cellIs" dxfId="22022" priority="21862" stopIfTrue="1" operator="equal">
      <formula>"Fail"</formula>
    </cfRule>
  </conditionalFormatting>
  <conditionalFormatting sqref="A868:A870">
    <cfRule type="cellIs" dxfId="22021" priority="21859" stopIfTrue="1" operator="equal">
      <formula>"Pass"</formula>
    </cfRule>
    <cfRule type="cellIs" dxfId="22020" priority="21860" stopIfTrue="1" operator="equal">
      <formula>"Fail"</formula>
    </cfRule>
  </conditionalFormatting>
  <conditionalFormatting sqref="A868:A870">
    <cfRule type="cellIs" dxfId="22019" priority="21857" stopIfTrue="1" operator="equal">
      <formula>"Pass"</formula>
    </cfRule>
    <cfRule type="cellIs" dxfId="22018" priority="21858" stopIfTrue="1" operator="equal">
      <formula>"Fail"</formula>
    </cfRule>
  </conditionalFormatting>
  <conditionalFormatting sqref="A870">
    <cfRule type="cellIs" dxfId="22017" priority="21855" stopIfTrue="1" operator="equal">
      <formula>"Pass"</formula>
    </cfRule>
    <cfRule type="cellIs" dxfId="22016" priority="21856" stopIfTrue="1" operator="equal">
      <formula>"Fail"</formula>
    </cfRule>
  </conditionalFormatting>
  <conditionalFormatting sqref="A868:A870">
    <cfRule type="cellIs" dxfId="22015" priority="21853" stopIfTrue="1" operator="equal">
      <formula>"Pass"</formula>
    </cfRule>
    <cfRule type="cellIs" dxfId="22014" priority="21854" stopIfTrue="1" operator="equal">
      <formula>"Fail"</formula>
    </cfRule>
  </conditionalFormatting>
  <conditionalFormatting sqref="H871:H872">
    <cfRule type="cellIs" dxfId="22013" priority="21851" stopIfTrue="1" operator="equal">
      <formula>"Pass"</formula>
    </cfRule>
    <cfRule type="cellIs" dxfId="22012" priority="21852" stopIfTrue="1" operator="equal">
      <formula>"Fail"</formula>
    </cfRule>
  </conditionalFormatting>
  <conditionalFormatting sqref="E871:F871 E873:F873 I871:M872 A871:A873">
    <cfRule type="cellIs" dxfId="22011" priority="21849" stopIfTrue="1" operator="equal">
      <formula>"Pass"</formula>
    </cfRule>
    <cfRule type="cellIs" dxfId="22010" priority="21850" stopIfTrue="1" operator="equal">
      <formula>"Fail"</formula>
    </cfRule>
  </conditionalFormatting>
  <conditionalFormatting sqref="T873 T871 R871:R873 S872:S873">
    <cfRule type="cellIs" dxfId="22009" priority="21847" stopIfTrue="1" operator="equal">
      <formula>"Fail"</formula>
    </cfRule>
    <cfRule type="cellIs" dxfId="22008" priority="21848" stopIfTrue="1" operator="equal">
      <formula>"Pass"</formula>
    </cfRule>
  </conditionalFormatting>
  <conditionalFormatting sqref="F871:G871 F873:G873 A871:B873 J871:N872">
    <cfRule type="cellIs" dxfId="22007" priority="21845" stopIfTrue="1" operator="equal">
      <formula>"Pass"</formula>
    </cfRule>
    <cfRule type="cellIs" dxfId="22006" priority="21846" stopIfTrue="1" operator="equal">
      <formula>"Fail"</formula>
    </cfRule>
  </conditionalFormatting>
  <conditionalFormatting sqref="U873 U871 T871:T873 S872:S873">
    <cfRule type="cellIs" dxfId="22005" priority="21843" stopIfTrue="1" operator="equal">
      <formula>"Fail"</formula>
    </cfRule>
    <cfRule type="cellIs" dxfId="22004" priority="21844" stopIfTrue="1" operator="equal">
      <formula>"Pass"</formula>
    </cfRule>
  </conditionalFormatting>
  <conditionalFormatting sqref="A871:A873">
    <cfRule type="cellIs" dxfId="22003" priority="21841" stopIfTrue="1" operator="equal">
      <formula>"Pass"</formula>
    </cfRule>
    <cfRule type="cellIs" dxfId="22002" priority="21842" stopIfTrue="1" operator="equal">
      <formula>"Fail"</formula>
    </cfRule>
  </conditionalFormatting>
  <conditionalFormatting sqref="A871:A873">
    <cfRule type="cellIs" dxfId="22001" priority="21839" stopIfTrue="1" operator="equal">
      <formula>"Pass"</formula>
    </cfRule>
    <cfRule type="cellIs" dxfId="22000" priority="21840" stopIfTrue="1" operator="equal">
      <formula>"Fail"</formula>
    </cfRule>
  </conditionalFormatting>
  <conditionalFormatting sqref="A871:A873">
    <cfRule type="cellIs" dxfId="21999" priority="21837" stopIfTrue="1" operator="equal">
      <formula>"Pass"</formula>
    </cfRule>
    <cfRule type="cellIs" dxfId="21998" priority="21838" stopIfTrue="1" operator="equal">
      <formula>"Fail"</formula>
    </cfRule>
  </conditionalFormatting>
  <conditionalFormatting sqref="J871:N872 E871:G873">
    <cfRule type="cellIs" dxfId="21997" priority="21835" stopIfTrue="1" operator="equal">
      <formula>"Pass"</formula>
    </cfRule>
    <cfRule type="cellIs" dxfId="21996" priority="21836" stopIfTrue="1" operator="equal">
      <formula>"Fail"</formula>
    </cfRule>
  </conditionalFormatting>
  <conditionalFormatting sqref="A873 C873 K871:O872 F871:H873">
    <cfRule type="cellIs" dxfId="21995" priority="21833" stopIfTrue="1" operator="equal">
      <formula>"Pass"</formula>
    </cfRule>
    <cfRule type="cellIs" dxfId="21994" priority="21834" stopIfTrue="1" operator="equal">
      <formula>"Fail"</formula>
    </cfRule>
  </conditionalFormatting>
  <conditionalFormatting sqref="T871">
    <cfRule type="cellIs" dxfId="21993" priority="21831" stopIfTrue="1" operator="equal">
      <formula>"Fail"</formula>
    </cfRule>
    <cfRule type="cellIs" dxfId="21992" priority="21832" stopIfTrue="1" operator="equal">
      <formula>"Pass"</formula>
    </cfRule>
  </conditionalFormatting>
  <conditionalFormatting sqref="A871:A873">
    <cfRule type="cellIs" dxfId="21991" priority="21829" stopIfTrue="1" operator="equal">
      <formula>"Pass"</formula>
    </cfRule>
    <cfRule type="cellIs" dxfId="21990" priority="21830" stopIfTrue="1" operator="equal">
      <formula>"Fail"</formula>
    </cfRule>
  </conditionalFormatting>
  <conditionalFormatting sqref="A871:A873">
    <cfRule type="cellIs" dxfId="21989" priority="21827" stopIfTrue="1" operator="equal">
      <formula>"Pass"</formula>
    </cfRule>
    <cfRule type="cellIs" dxfId="21988" priority="21828" stopIfTrue="1" operator="equal">
      <formula>"Fail"</formula>
    </cfRule>
  </conditionalFormatting>
  <conditionalFormatting sqref="A871:A873">
    <cfRule type="cellIs" dxfId="21987" priority="21825" stopIfTrue="1" operator="equal">
      <formula>"Pass"</formula>
    </cfRule>
    <cfRule type="cellIs" dxfId="21986" priority="21826" stopIfTrue="1" operator="equal">
      <formula>"Fail"</formula>
    </cfRule>
  </conditionalFormatting>
  <conditionalFormatting sqref="A871:A873">
    <cfRule type="cellIs" dxfId="21985" priority="21823" stopIfTrue="1" operator="equal">
      <formula>"Pass"</formula>
    </cfRule>
    <cfRule type="cellIs" dxfId="21984" priority="21824" stopIfTrue="1" operator="equal">
      <formula>"Fail"</formula>
    </cfRule>
  </conditionalFormatting>
  <conditionalFormatting sqref="A871:A873">
    <cfRule type="cellIs" dxfId="21983" priority="21821" stopIfTrue="1" operator="equal">
      <formula>"Pass"</formula>
    </cfRule>
    <cfRule type="cellIs" dxfId="21982" priority="21822" stopIfTrue="1" operator="equal">
      <formula>"Fail"</formula>
    </cfRule>
  </conditionalFormatting>
  <conditionalFormatting sqref="A871:A873">
    <cfRule type="cellIs" dxfId="21981" priority="21819" stopIfTrue="1" operator="equal">
      <formula>"Pass"</formula>
    </cfRule>
    <cfRule type="cellIs" dxfId="21980" priority="21820" stopIfTrue="1" operator="equal">
      <formula>"Fail"</formula>
    </cfRule>
  </conditionalFormatting>
  <conditionalFormatting sqref="A873">
    <cfRule type="cellIs" dxfId="21979" priority="21817" stopIfTrue="1" operator="equal">
      <formula>"Pass"</formula>
    </cfRule>
    <cfRule type="cellIs" dxfId="21978" priority="21818" stopIfTrue="1" operator="equal">
      <formula>"Fail"</formula>
    </cfRule>
  </conditionalFormatting>
  <conditionalFormatting sqref="A871:A873">
    <cfRule type="cellIs" dxfId="21977" priority="21815" stopIfTrue="1" operator="equal">
      <formula>"Pass"</formula>
    </cfRule>
    <cfRule type="cellIs" dxfId="21976" priority="21816" stopIfTrue="1" operator="equal">
      <formula>"Fail"</formula>
    </cfRule>
  </conditionalFormatting>
  <conditionalFormatting sqref="A871:A873">
    <cfRule type="cellIs" dxfId="21975" priority="21813" stopIfTrue="1" operator="equal">
      <formula>"Pass"</formula>
    </cfRule>
    <cfRule type="cellIs" dxfId="21974" priority="21814" stopIfTrue="1" operator="equal">
      <formula>"Fail"</formula>
    </cfRule>
  </conditionalFormatting>
  <conditionalFormatting sqref="A871:A873">
    <cfRule type="cellIs" dxfId="21973" priority="21811" stopIfTrue="1" operator="equal">
      <formula>"Pass"</formula>
    </cfRule>
    <cfRule type="cellIs" dxfId="21972" priority="21812" stopIfTrue="1" operator="equal">
      <formula>"Fail"</formula>
    </cfRule>
  </conditionalFormatting>
  <conditionalFormatting sqref="A871:A873">
    <cfRule type="cellIs" dxfId="21971" priority="21809" stopIfTrue="1" operator="equal">
      <formula>"Pass"</formula>
    </cfRule>
    <cfRule type="cellIs" dxfId="21970" priority="21810" stopIfTrue="1" operator="equal">
      <formula>"Fail"</formula>
    </cfRule>
  </conditionalFormatting>
  <conditionalFormatting sqref="A871:A873">
    <cfRule type="cellIs" dxfId="21969" priority="21807" stopIfTrue="1" operator="equal">
      <formula>"Pass"</formula>
    </cfRule>
    <cfRule type="cellIs" dxfId="21968" priority="21808" stopIfTrue="1" operator="equal">
      <formula>"Fail"</formula>
    </cfRule>
  </conditionalFormatting>
  <conditionalFormatting sqref="A871:A873">
    <cfRule type="cellIs" dxfId="21967" priority="21805" stopIfTrue="1" operator="equal">
      <formula>"Pass"</formula>
    </cfRule>
    <cfRule type="cellIs" dxfId="21966" priority="21806" stopIfTrue="1" operator="equal">
      <formula>"Fail"</formula>
    </cfRule>
  </conditionalFormatting>
  <conditionalFormatting sqref="A873">
    <cfRule type="cellIs" dxfId="21965" priority="21803" stopIfTrue="1" operator="equal">
      <formula>"Pass"</formula>
    </cfRule>
    <cfRule type="cellIs" dxfId="21964" priority="21804" stopIfTrue="1" operator="equal">
      <formula>"Fail"</formula>
    </cfRule>
  </conditionalFormatting>
  <conditionalFormatting sqref="A871:A873">
    <cfRule type="cellIs" dxfId="21963" priority="21801" stopIfTrue="1" operator="equal">
      <formula>"Pass"</formula>
    </cfRule>
    <cfRule type="cellIs" dxfId="21962" priority="21802" stopIfTrue="1" operator="equal">
      <formula>"Fail"</formula>
    </cfRule>
  </conditionalFormatting>
  <conditionalFormatting sqref="H871:H872">
    <cfRule type="cellIs" dxfId="21961" priority="21799" stopIfTrue="1" operator="equal">
      <formula>"Pass"</formula>
    </cfRule>
    <cfRule type="cellIs" dxfId="21960" priority="21800" stopIfTrue="1" operator="equal">
      <formula>"Fail"</formula>
    </cfRule>
  </conditionalFormatting>
  <conditionalFormatting sqref="F871 F873 I871:M872">
    <cfRule type="cellIs" dxfId="21959" priority="21797" stopIfTrue="1" operator="equal">
      <formula>"Pass"</formula>
    </cfRule>
    <cfRule type="cellIs" dxfId="21958" priority="21798" stopIfTrue="1" operator="equal">
      <formula>"Fail"</formula>
    </cfRule>
  </conditionalFormatting>
  <conditionalFormatting sqref="T873 T871 R871:R873 S872:S873">
    <cfRule type="cellIs" dxfId="21957" priority="21795" stopIfTrue="1" operator="equal">
      <formula>"Fail"</formula>
    </cfRule>
    <cfRule type="cellIs" dxfId="21956" priority="21796" stopIfTrue="1" operator="equal">
      <formula>"Pass"</formula>
    </cfRule>
  </conditionalFormatting>
  <conditionalFormatting sqref="F871:G871 F873:G873 J871:N872">
    <cfRule type="cellIs" dxfId="21955" priority="21793" stopIfTrue="1" operator="equal">
      <formula>"Pass"</formula>
    </cfRule>
    <cfRule type="cellIs" dxfId="21954" priority="21794" stopIfTrue="1" operator="equal">
      <formula>"Fail"</formula>
    </cfRule>
  </conditionalFormatting>
  <conditionalFormatting sqref="U873 U871 T871:T873 S872:S873">
    <cfRule type="cellIs" dxfId="21953" priority="21791" stopIfTrue="1" operator="equal">
      <formula>"Fail"</formula>
    </cfRule>
    <cfRule type="cellIs" dxfId="21952" priority="21792" stopIfTrue="1" operator="equal">
      <formula>"Pass"</formula>
    </cfRule>
  </conditionalFormatting>
  <conditionalFormatting sqref="J871:N872 F871:G873">
    <cfRule type="cellIs" dxfId="21951" priority="21789" stopIfTrue="1" operator="equal">
      <formula>"Pass"</formula>
    </cfRule>
    <cfRule type="cellIs" dxfId="21950" priority="21790" stopIfTrue="1" operator="equal">
      <formula>"Fail"</formula>
    </cfRule>
  </conditionalFormatting>
  <conditionalFormatting sqref="K871:O872 F871:H873">
    <cfRule type="cellIs" dxfId="21949" priority="21787" stopIfTrue="1" operator="equal">
      <formula>"Pass"</formula>
    </cfRule>
    <cfRule type="cellIs" dxfId="21948" priority="21788" stopIfTrue="1" operator="equal">
      <formula>"Fail"</formula>
    </cfRule>
  </conditionalFormatting>
  <conditionalFormatting sqref="T871">
    <cfRule type="cellIs" dxfId="21947" priority="21785" stopIfTrue="1" operator="equal">
      <formula>"Fail"</formula>
    </cfRule>
    <cfRule type="cellIs" dxfId="21946" priority="21786" stopIfTrue="1" operator="equal">
      <formula>"Pass"</formula>
    </cfRule>
  </conditionalFormatting>
  <conditionalFormatting sqref="K871:O872 F871:H873">
    <cfRule type="cellIs" dxfId="21945" priority="21783" stopIfTrue="1" operator="equal">
      <formula>"Pass"</formula>
    </cfRule>
    <cfRule type="cellIs" dxfId="21944" priority="21784" stopIfTrue="1" operator="equal">
      <formula>"Fail"</formula>
    </cfRule>
  </conditionalFormatting>
  <conditionalFormatting sqref="T871">
    <cfRule type="cellIs" dxfId="21943" priority="21781" stopIfTrue="1" operator="equal">
      <formula>"Fail"</formula>
    </cfRule>
    <cfRule type="cellIs" dxfId="21942" priority="21782" stopIfTrue="1" operator="equal">
      <formula>"Pass"</formula>
    </cfRule>
  </conditionalFormatting>
  <conditionalFormatting sqref="H871:H872">
    <cfRule type="cellIs" dxfId="21941" priority="21779" stopIfTrue="1" operator="equal">
      <formula>"Pass"</formula>
    </cfRule>
    <cfRule type="cellIs" dxfId="21940" priority="21780" stopIfTrue="1" operator="equal">
      <formula>"Fail"</formula>
    </cfRule>
  </conditionalFormatting>
  <conditionalFormatting sqref="E871:F871 E873:F873 I871:M872 A871:A873">
    <cfRule type="cellIs" dxfId="21939" priority="21777" stopIfTrue="1" operator="equal">
      <formula>"Pass"</formula>
    </cfRule>
    <cfRule type="cellIs" dxfId="21938" priority="21778" stopIfTrue="1" operator="equal">
      <formula>"Fail"</formula>
    </cfRule>
  </conditionalFormatting>
  <conditionalFormatting sqref="T873 T871 R871:R873 S872:S873">
    <cfRule type="cellIs" dxfId="21937" priority="21775" stopIfTrue="1" operator="equal">
      <formula>"Fail"</formula>
    </cfRule>
    <cfRule type="cellIs" dxfId="21936" priority="21776" stopIfTrue="1" operator="equal">
      <formula>"Pass"</formula>
    </cfRule>
  </conditionalFormatting>
  <conditionalFormatting sqref="F871:G871 F873:G873 A871:B873 J871:N872">
    <cfRule type="cellIs" dxfId="21935" priority="21773" stopIfTrue="1" operator="equal">
      <formula>"Pass"</formula>
    </cfRule>
    <cfRule type="cellIs" dxfId="21934" priority="21774" stopIfTrue="1" operator="equal">
      <formula>"Fail"</formula>
    </cfRule>
  </conditionalFormatting>
  <conditionalFormatting sqref="U873 U871 T871:T873 S872:S873">
    <cfRule type="cellIs" dxfId="21933" priority="21771" stopIfTrue="1" operator="equal">
      <formula>"Fail"</formula>
    </cfRule>
    <cfRule type="cellIs" dxfId="21932" priority="21772" stopIfTrue="1" operator="equal">
      <formula>"Pass"</formula>
    </cfRule>
  </conditionalFormatting>
  <conditionalFormatting sqref="A871:A873">
    <cfRule type="cellIs" dxfId="21931" priority="21769" stopIfTrue="1" operator="equal">
      <formula>"Pass"</formula>
    </cfRule>
    <cfRule type="cellIs" dxfId="21930" priority="21770" stopIfTrue="1" operator="equal">
      <formula>"Fail"</formula>
    </cfRule>
  </conditionalFormatting>
  <conditionalFormatting sqref="A871:A873">
    <cfRule type="cellIs" dxfId="21929" priority="21767" stopIfTrue="1" operator="equal">
      <formula>"Pass"</formula>
    </cfRule>
    <cfRule type="cellIs" dxfId="21928" priority="21768" stopIfTrue="1" operator="equal">
      <formula>"Fail"</formula>
    </cfRule>
  </conditionalFormatting>
  <conditionalFormatting sqref="A871:A873">
    <cfRule type="cellIs" dxfId="21927" priority="21765" stopIfTrue="1" operator="equal">
      <formula>"Pass"</formula>
    </cfRule>
    <cfRule type="cellIs" dxfId="21926" priority="21766" stopIfTrue="1" operator="equal">
      <formula>"Fail"</formula>
    </cfRule>
  </conditionalFormatting>
  <conditionalFormatting sqref="J871:N872 E871:G873">
    <cfRule type="cellIs" dxfId="21925" priority="21763" stopIfTrue="1" operator="equal">
      <formula>"Pass"</formula>
    </cfRule>
    <cfRule type="cellIs" dxfId="21924" priority="21764" stopIfTrue="1" operator="equal">
      <formula>"Fail"</formula>
    </cfRule>
  </conditionalFormatting>
  <conditionalFormatting sqref="A873 C873 K871:O872 F871:H873">
    <cfRule type="cellIs" dxfId="21923" priority="21761" stopIfTrue="1" operator="equal">
      <formula>"Pass"</formula>
    </cfRule>
    <cfRule type="cellIs" dxfId="21922" priority="21762" stopIfTrue="1" operator="equal">
      <formula>"Fail"</formula>
    </cfRule>
  </conditionalFormatting>
  <conditionalFormatting sqref="T871">
    <cfRule type="cellIs" dxfId="21921" priority="21759" stopIfTrue="1" operator="equal">
      <formula>"Fail"</formula>
    </cfRule>
    <cfRule type="cellIs" dxfId="21920" priority="21760" stopIfTrue="1" operator="equal">
      <formula>"Pass"</formula>
    </cfRule>
  </conditionalFormatting>
  <conditionalFormatting sqref="A871:A873">
    <cfRule type="cellIs" dxfId="21919" priority="21757" stopIfTrue="1" operator="equal">
      <formula>"Pass"</formula>
    </cfRule>
    <cfRule type="cellIs" dxfId="21918" priority="21758" stopIfTrue="1" operator="equal">
      <formula>"Fail"</formula>
    </cfRule>
  </conditionalFormatting>
  <conditionalFormatting sqref="A871:A873">
    <cfRule type="cellIs" dxfId="21917" priority="21755" stopIfTrue="1" operator="equal">
      <formula>"Pass"</formula>
    </cfRule>
    <cfRule type="cellIs" dxfId="21916" priority="21756" stopIfTrue="1" operator="equal">
      <formula>"Fail"</formula>
    </cfRule>
  </conditionalFormatting>
  <conditionalFormatting sqref="A871:A873">
    <cfRule type="cellIs" dxfId="21915" priority="21753" stopIfTrue="1" operator="equal">
      <formula>"Pass"</formula>
    </cfRule>
    <cfRule type="cellIs" dxfId="21914" priority="21754" stopIfTrue="1" operator="equal">
      <formula>"Fail"</formula>
    </cfRule>
  </conditionalFormatting>
  <conditionalFormatting sqref="A871:A873">
    <cfRule type="cellIs" dxfId="21913" priority="21751" stopIfTrue="1" operator="equal">
      <formula>"Pass"</formula>
    </cfRule>
    <cfRule type="cellIs" dxfId="21912" priority="21752" stopIfTrue="1" operator="equal">
      <formula>"Fail"</formula>
    </cfRule>
  </conditionalFormatting>
  <conditionalFormatting sqref="A871:A873">
    <cfRule type="cellIs" dxfId="21911" priority="21749" stopIfTrue="1" operator="equal">
      <formula>"Pass"</formula>
    </cfRule>
    <cfRule type="cellIs" dxfId="21910" priority="21750" stopIfTrue="1" operator="equal">
      <formula>"Fail"</formula>
    </cfRule>
  </conditionalFormatting>
  <conditionalFormatting sqref="A871:A873">
    <cfRule type="cellIs" dxfId="21909" priority="21747" stopIfTrue="1" operator="equal">
      <formula>"Pass"</formula>
    </cfRule>
    <cfRule type="cellIs" dxfId="21908" priority="21748" stopIfTrue="1" operator="equal">
      <formula>"Fail"</formula>
    </cfRule>
  </conditionalFormatting>
  <conditionalFormatting sqref="A873">
    <cfRule type="cellIs" dxfId="21907" priority="21745" stopIfTrue="1" operator="equal">
      <formula>"Pass"</formula>
    </cfRule>
    <cfRule type="cellIs" dxfId="21906" priority="21746" stopIfTrue="1" operator="equal">
      <formula>"Fail"</formula>
    </cfRule>
  </conditionalFormatting>
  <conditionalFormatting sqref="A871:A873">
    <cfRule type="cellIs" dxfId="21905" priority="21743" stopIfTrue="1" operator="equal">
      <formula>"Pass"</formula>
    </cfRule>
    <cfRule type="cellIs" dxfId="21904" priority="21744" stopIfTrue="1" operator="equal">
      <formula>"Fail"</formula>
    </cfRule>
  </conditionalFormatting>
  <conditionalFormatting sqref="A871:A873">
    <cfRule type="cellIs" dxfId="21903" priority="21741" stopIfTrue="1" operator="equal">
      <formula>"Pass"</formula>
    </cfRule>
    <cfRule type="cellIs" dxfId="21902" priority="21742" stopIfTrue="1" operator="equal">
      <formula>"Fail"</formula>
    </cfRule>
  </conditionalFormatting>
  <conditionalFormatting sqref="A871:A873">
    <cfRule type="cellIs" dxfId="21901" priority="21739" stopIfTrue="1" operator="equal">
      <formula>"Pass"</formula>
    </cfRule>
    <cfRule type="cellIs" dxfId="21900" priority="21740" stopIfTrue="1" operator="equal">
      <formula>"Fail"</formula>
    </cfRule>
  </conditionalFormatting>
  <conditionalFormatting sqref="A871:A873">
    <cfRule type="cellIs" dxfId="21899" priority="21737" stopIfTrue="1" operator="equal">
      <formula>"Pass"</formula>
    </cfRule>
    <cfRule type="cellIs" dxfId="21898" priority="21738" stopIfTrue="1" operator="equal">
      <formula>"Fail"</formula>
    </cfRule>
  </conditionalFormatting>
  <conditionalFormatting sqref="A871:A873">
    <cfRule type="cellIs" dxfId="21897" priority="21735" stopIfTrue="1" operator="equal">
      <formula>"Pass"</formula>
    </cfRule>
    <cfRule type="cellIs" dxfId="21896" priority="21736" stopIfTrue="1" operator="equal">
      <formula>"Fail"</formula>
    </cfRule>
  </conditionalFormatting>
  <conditionalFormatting sqref="A871:A873">
    <cfRule type="cellIs" dxfId="21895" priority="21733" stopIfTrue="1" operator="equal">
      <formula>"Pass"</formula>
    </cfRule>
    <cfRule type="cellIs" dxfId="21894" priority="21734" stopIfTrue="1" operator="equal">
      <formula>"Fail"</formula>
    </cfRule>
  </conditionalFormatting>
  <conditionalFormatting sqref="A873">
    <cfRule type="cellIs" dxfId="21893" priority="21731" stopIfTrue="1" operator="equal">
      <formula>"Pass"</formula>
    </cfRule>
    <cfRule type="cellIs" dxfId="21892" priority="21732" stopIfTrue="1" operator="equal">
      <formula>"Fail"</formula>
    </cfRule>
  </conditionalFormatting>
  <conditionalFormatting sqref="A871:A873">
    <cfRule type="cellIs" dxfId="21891" priority="21729" stopIfTrue="1" operator="equal">
      <formula>"Pass"</formula>
    </cfRule>
    <cfRule type="cellIs" dxfId="21890" priority="21730" stopIfTrue="1" operator="equal">
      <formula>"Fail"</formula>
    </cfRule>
  </conditionalFormatting>
  <conditionalFormatting sqref="H871:H872">
    <cfRule type="cellIs" dxfId="21889" priority="21727" stopIfTrue="1" operator="equal">
      <formula>"Pass"</formula>
    </cfRule>
    <cfRule type="cellIs" dxfId="21888" priority="21728" stopIfTrue="1" operator="equal">
      <formula>"Fail"</formula>
    </cfRule>
  </conditionalFormatting>
  <conditionalFormatting sqref="F871 F873 I871:M872">
    <cfRule type="cellIs" dxfId="21887" priority="21725" stopIfTrue="1" operator="equal">
      <formula>"Pass"</formula>
    </cfRule>
    <cfRule type="cellIs" dxfId="21886" priority="21726" stopIfTrue="1" operator="equal">
      <formula>"Fail"</formula>
    </cfRule>
  </conditionalFormatting>
  <conditionalFormatting sqref="T873 T871 R871:R873 S872:S873">
    <cfRule type="cellIs" dxfId="21885" priority="21723" stopIfTrue="1" operator="equal">
      <formula>"Fail"</formula>
    </cfRule>
    <cfRule type="cellIs" dxfId="21884" priority="21724" stopIfTrue="1" operator="equal">
      <formula>"Pass"</formula>
    </cfRule>
  </conditionalFormatting>
  <conditionalFormatting sqref="F871:G871 F873:G873 J871:N872">
    <cfRule type="cellIs" dxfId="21883" priority="21721" stopIfTrue="1" operator="equal">
      <formula>"Pass"</formula>
    </cfRule>
    <cfRule type="cellIs" dxfId="21882" priority="21722" stopIfTrue="1" operator="equal">
      <formula>"Fail"</formula>
    </cfRule>
  </conditionalFormatting>
  <conditionalFormatting sqref="U873 U871 T871:T873 S872:S873">
    <cfRule type="cellIs" dxfId="21881" priority="21719" stopIfTrue="1" operator="equal">
      <formula>"Fail"</formula>
    </cfRule>
    <cfRule type="cellIs" dxfId="21880" priority="21720" stopIfTrue="1" operator="equal">
      <formula>"Pass"</formula>
    </cfRule>
  </conditionalFormatting>
  <conditionalFormatting sqref="J871:N872 F871:G873">
    <cfRule type="cellIs" dxfId="21879" priority="21717" stopIfTrue="1" operator="equal">
      <formula>"Pass"</formula>
    </cfRule>
    <cfRule type="cellIs" dxfId="21878" priority="21718" stopIfTrue="1" operator="equal">
      <formula>"Fail"</formula>
    </cfRule>
  </conditionalFormatting>
  <conditionalFormatting sqref="K871:O872 F871:H873">
    <cfRule type="cellIs" dxfId="21877" priority="21715" stopIfTrue="1" operator="equal">
      <formula>"Pass"</formula>
    </cfRule>
    <cfRule type="cellIs" dxfId="21876" priority="21716" stopIfTrue="1" operator="equal">
      <formula>"Fail"</formula>
    </cfRule>
  </conditionalFormatting>
  <conditionalFormatting sqref="T871">
    <cfRule type="cellIs" dxfId="21875" priority="21713" stopIfTrue="1" operator="equal">
      <formula>"Fail"</formula>
    </cfRule>
    <cfRule type="cellIs" dxfId="21874" priority="21714" stopIfTrue="1" operator="equal">
      <formula>"Pass"</formula>
    </cfRule>
  </conditionalFormatting>
  <conditionalFormatting sqref="K871:O872 F871:H873">
    <cfRule type="cellIs" dxfId="21873" priority="21711" stopIfTrue="1" operator="equal">
      <formula>"Pass"</formula>
    </cfRule>
    <cfRule type="cellIs" dxfId="21872" priority="21712" stopIfTrue="1" operator="equal">
      <formula>"Fail"</formula>
    </cfRule>
  </conditionalFormatting>
  <conditionalFormatting sqref="T871">
    <cfRule type="cellIs" dxfId="21871" priority="21709" stopIfTrue="1" operator="equal">
      <formula>"Fail"</formula>
    </cfRule>
    <cfRule type="cellIs" dxfId="21870" priority="21710" stopIfTrue="1" operator="equal">
      <formula>"Pass"</formula>
    </cfRule>
  </conditionalFormatting>
  <conditionalFormatting sqref="A874:A876">
    <cfRule type="cellIs" dxfId="21869" priority="21707" stopIfTrue="1" operator="equal">
      <formula>"Pass"</formula>
    </cfRule>
    <cfRule type="cellIs" dxfId="21868" priority="21708" stopIfTrue="1" operator="equal">
      <formula>"Fail"</formula>
    </cfRule>
  </conditionalFormatting>
  <conditionalFormatting sqref="A874:A876">
    <cfRule type="cellIs" dxfId="21867" priority="21705" stopIfTrue="1" operator="equal">
      <formula>"Pass"</formula>
    </cfRule>
    <cfRule type="cellIs" dxfId="21866" priority="21706" stopIfTrue="1" operator="equal">
      <formula>"Fail"</formula>
    </cfRule>
  </conditionalFormatting>
  <conditionalFormatting sqref="A874:A876">
    <cfRule type="cellIs" dxfId="21865" priority="21703" stopIfTrue="1" operator="equal">
      <formula>"Pass"</formula>
    </cfRule>
    <cfRule type="cellIs" dxfId="21864" priority="21704" stopIfTrue="1" operator="equal">
      <formula>"Fail"</formula>
    </cfRule>
  </conditionalFormatting>
  <conditionalFormatting sqref="A874:A876">
    <cfRule type="cellIs" dxfId="21863" priority="21701" stopIfTrue="1" operator="equal">
      <formula>"Pass"</formula>
    </cfRule>
    <cfRule type="cellIs" dxfId="21862" priority="21702" stopIfTrue="1" operator="equal">
      <formula>"Fail"</formula>
    </cfRule>
  </conditionalFormatting>
  <conditionalFormatting sqref="A874:A876">
    <cfRule type="cellIs" dxfId="21861" priority="21699" stopIfTrue="1" operator="equal">
      <formula>"Pass"</formula>
    </cfRule>
    <cfRule type="cellIs" dxfId="21860" priority="21700" stopIfTrue="1" operator="equal">
      <formula>"Fail"</formula>
    </cfRule>
  </conditionalFormatting>
  <conditionalFormatting sqref="A876">
    <cfRule type="cellIs" dxfId="21859" priority="21697" stopIfTrue="1" operator="equal">
      <formula>"Pass"</formula>
    </cfRule>
    <cfRule type="cellIs" dxfId="21858" priority="21698" stopIfTrue="1" operator="equal">
      <formula>"Fail"</formula>
    </cfRule>
  </conditionalFormatting>
  <conditionalFormatting sqref="A874:A876">
    <cfRule type="cellIs" dxfId="21857" priority="21695" stopIfTrue="1" operator="equal">
      <formula>"Pass"</formula>
    </cfRule>
    <cfRule type="cellIs" dxfId="21856" priority="21696" stopIfTrue="1" operator="equal">
      <formula>"Fail"</formula>
    </cfRule>
  </conditionalFormatting>
  <conditionalFormatting sqref="A874">
    <cfRule type="cellIs" dxfId="21855" priority="21693" stopIfTrue="1" operator="equal">
      <formula>"Pass"</formula>
    </cfRule>
    <cfRule type="cellIs" dxfId="21854" priority="21694" stopIfTrue="1" operator="equal">
      <formula>"Fail"</formula>
    </cfRule>
  </conditionalFormatting>
  <conditionalFormatting sqref="A874">
    <cfRule type="cellIs" dxfId="21853" priority="21691" stopIfTrue="1" operator="equal">
      <formula>"Pass"</formula>
    </cfRule>
    <cfRule type="cellIs" dxfId="21852" priority="21692" stopIfTrue="1" operator="equal">
      <formula>"Fail"</formula>
    </cfRule>
  </conditionalFormatting>
  <conditionalFormatting sqref="A874">
    <cfRule type="cellIs" dxfId="21851" priority="21689" stopIfTrue="1" operator="equal">
      <formula>"Pass"</formula>
    </cfRule>
    <cfRule type="cellIs" dxfId="21850" priority="21690" stopIfTrue="1" operator="equal">
      <formula>"Fail"</formula>
    </cfRule>
  </conditionalFormatting>
  <conditionalFormatting sqref="A874">
    <cfRule type="cellIs" dxfId="21849" priority="21687" stopIfTrue="1" operator="equal">
      <formula>"Pass"</formula>
    </cfRule>
    <cfRule type="cellIs" dxfId="21848" priority="21688" stopIfTrue="1" operator="equal">
      <formula>"Fail"</formula>
    </cfRule>
  </conditionalFormatting>
  <conditionalFormatting sqref="A874">
    <cfRule type="cellIs" dxfId="21847" priority="21685" stopIfTrue="1" operator="equal">
      <formula>"Pass"</formula>
    </cfRule>
    <cfRule type="cellIs" dxfId="21846" priority="21686" stopIfTrue="1" operator="equal">
      <formula>"Fail"</formula>
    </cfRule>
  </conditionalFormatting>
  <conditionalFormatting sqref="A874">
    <cfRule type="cellIs" dxfId="21845" priority="21683" stopIfTrue="1" operator="equal">
      <formula>"Pass"</formula>
    </cfRule>
    <cfRule type="cellIs" dxfId="21844" priority="21684" stopIfTrue="1" operator="equal">
      <formula>"Fail"</formula>
    </cfRule>
  </conditionalFormatting>
  <conditionalFormatting sqref="A874">
    <cfRule type="cellIs" dxfId="21843" priority="21681" stopIfTrue="1" operator="equal">
      <formula>"Pass"</formula>
    </cfRule>
    <cfRule type="cellIs" dxfId="21842" priority="21682" stopIfTrue="1" operator="equal">
      <formula>"Fail"</formula>
    </cfRule>
  </conditionalFormatting>
  <conditionalFormatting sqref="A874">
    <cfRule type="cellIs" dxfId="21841" priority="21679" stopIfTrue="1" operator="equal">
      <formula>"Pass"</formula>
    </cfRule>
    <cfRule type="cellIs" dxfId="21840" priority="21680" stopIfTrue="1" operator="equal">
      <formula>"Fail"</formula>
    </cfRule>
  </conditionalFormatting>
  <conditionalFormatting sqref="A874">
    <cfRule type="cellIs" dxfId="21839" priority="21677" stopIfTrue="1" operator="equal">
      <formula>"Pass"</formula>
    </cfRule>
    <cfRule type="cellIs" dxfId="21838" priority="21678" stopIfTrue="1" operator="equal">
      <formula>"Fail"</formula>
    </cfRule>
  </conditionalFormatting>
  <conditionalFormatting sqref="A874">
    <cfRule type="cellIs" dxfId="21837" priority="21675" stopIfTrue="1" operator="equal">
      <formula>"Pass"</formula>
    </cfRule>
    <cfRule type="cellIs" dxfId="21836" priority="21676" stopIfTrue="1" operator="equal">
      <formula>"Fail"</formula>
    </cfRule>
  </conditionalFormatting>
  <conditionalFormatting sqref="A874">
    <cfRule type="cellIs" dxfId="21835" priority="21673" stopIfTrue="1" operator="equal">
      <formula>"Pass"</formula>
    </cfRule>
    <cfRule type="cellIs" dxfId="21834" priority="21674" stopIfTrue="1" operator="equal">
      <formula>"Fail"</formula>
    </cfRule>
  </conditionalFormatting>
  <conditionalFormatting sqref="A874">
    <cfRule type="cellIs" dxfId="21833" priority="21671" stopIfTrue="1" operator="equal">
      <formula>"Pass"</formula>
    </cfRule>
    <cfRule type="cellIs" dxfId="21832" priority="21672" stopIfTrue="1" operator="equal">
      <formula>"Fail"</formula>
    </cfRule>
  </conditionalFormatting>
  <conditionalFormatting sqref="J874:J875">
    <cfRule type="cellIs" dxfId="21831" priority="21669" stopIfTrue="1" operator="equal">
      <formula>"Pass"</formula>
    </cfRule>
    <cfRule type="cellIs" dxfId="21830" priority="21670" stopIfTrue="1" operator="equal">
      <formula>"Fail"</formula>
    </cfRule>
  </conditionalFormatting>
  <conditionalFormatting sqref="H874:H875 I875">
    <cfRule type="cellIs" dxfId="21829" priority="21667" stopIfTrue="1" operator="equal">
      <formula>"Pass"</formula>
    </cfRule>
    <cfRule type="cellIs" dxfId="21828" priority="21668" stopIfTrue="1" operator="equal">
      <formula>"Fail"</formula>
    </cfRule>
  </conditionalFormatting>
  <conditionalFormatting sqref="A874 C874 F876 F874:G874 K874:N875">
    <cfRule type="cellIs" dxfId="21827" priority="21665" stopIfTrue="1" operator="equal">
      <formula>"Pass"</formula>
    </cfRule>
    <cfRule type="cellIs" dxfId="21826" priority="21666" stopIfTrue="1" operator="equal">
      <formula>"Fail"</formula>
    </cfRule>
  </conditionalFormatting>
  <conditionalFormatting sqref="T874:T876 U875:U876">
    <cfRule type="cellIs" dxfId="21825" priority="21663" stopIfTrue="1" operator="equal">
      <formula>"Fail"</formula>
    </cfRule>
    <cfRule type="cellIs" dxfId="21824" priority="21664" stopIfTrue="1" operator="equal">
      <formula>"Pass"</formula>
    </cfRule>
  </conditionalFormatting>
  <conditionalFormatting sqref="A874">
    <cfRule type="cellIs" dxfId="21823" priority="21661" stopIfTrue="1" operator="equal">
      <formula>"Pass"</formula>
    </cfRule>
    <cfRule type="cellIs" dxfId="21822" priority="21662" stopIfTrue="1" operator="equal">
      <formula>"Fail"</formula>
    </cfRule>
  </conditionalFormatting>
  <conditionalFormatting sqref="A874">
    <cfRule type="cellIs" dxfId="21821" priority="21659" stopIfTrue="1" operator="equal">
      <formula>"Pass"</formula>
    </cfRule>
    <cfRule type="cellIs" dxfId="21820" priority="21660" stopIfTrue="1" operator="equal">
      <formula>"Fail"</formula>
    </cfRule>
  </conditionalFormatting>
  <conditionalFormatting sqref="A874">
    <cfRule type="cellIs" dxfId="21819" priority="21657" stopIfTrue="1" operator="equal">
      <formula>"Pass"</formula>
    </cfRule>
    <cfRule type="cellIs" dxfId="21818" priority="21658" stopIfTrue="1" operator="equal">
      <formula>"Fail"</formula>
    </cfRule>
  </conditionalFormatting>
  <conditionalFormatting sqref="A874">
    <cfRule type="cellIs" dxfId="21817" priority="21655" stopIfTrue="1" operator="equal">
      <formula>"Pass"</formula>
    </cfRule>
    <cfRule type="cellIs" dxfId="21816" priority="21656" stopIfTrue="1" operator="equal">
      <formula>"Fail"</formula>
    </cfRule>
  </conditionalFormatting>
  <conditionalFormatting sqref="A874">
    <cfRule type="cellIs" dxfId="21815" priority="21653" stopIfTrue="1" operator="equal">
      <formula>"Pass"</formula>
    </cfRule>
    <cfRule type="cellIs" dxfId="21814" priority="21654" stopIfTrue="1" operator="equal">
      <formula>"Fail"</formula>
    </cfRule>
  </conditionalFormatting>
  <conditionalFormatting sqref="A874">
    <cfRule type="cellIs" dxfId="21813" priority="21651" stopIfTrue="1" operator="equal">
      <formula>"Pass"</formula>
    </cfRule>
    <cfRule type="cellIs" dxfId="21812" priority="21652" stopIfTrue="1" operator="equal">
      <formula>"Fail"</formula>
    </cfRule>
  </conditionalFormatting>
  <conditionalFormatting sqref="A874">
    <cfRule type="cellIs" dxfId="21811" priority="21649" stopIfTrue="1" operator="equal">
      <formula>"Pass"</formula>
    </cfRule>
    <cfRule type="cellIs" dxfId="21810" priority="21650" stopIfTrue="1" operator="equal">
      <formula>"Fail"</formula>
    </cfRule>
  </conditionalFormatting>
  <conditionalFormatting sqref="A874">
    <cfRule type="cellIs" dxfId="21809" priority="21647" stopIfTrue="1" operator="equal">
      <formula>"Pass"</formula>
    </cfRule>
    <cfRule type="cellIs" dxfId="21808" priority="21648" stopIfTrue="1" operator="equal">
      <formula>"Fail"</formula>
    </cfRule>
  </conditionalFormatting>
  <conditionalFormatting sqref="A874">
    <cfRule type="cellIs" dxfId="21807" priority="21645" stopIfTrue="1" operator="equal">
      <formula>"Pass"</formula>
    </cfRule>
    <cfRule type="cellIs" dxfId="21806" priority="21646" stopIfTrue="1" operator="equal">
      <formula>"Fail"</formula>
    </cfRule>
  </conditionalFormatting>
  <conditionalFormatting sqref="A874">
    <cfRule type="cellIs" dxfId="21805" priority="21643" stopIfTrue="1" operator="equal">
      <formula>"Pass"</formula>
    </cfRule>
    <cfRule type="cellIs" dxfId="21804" priority="21644" stopIfTrue="1" operator="equal">
      <formula>"Fail"</formula>
    </cfRule>
  </conditionalFormatting>
  <conditionalFormatting sqref="A874">
    <cfRule type="cellIs" dxfId="21803" priority="21641" stopIfTrue="1" operator="equal">
      <formula>"Pass"</formula>
    </cfRule>
    <cfRule type="cellIs" dxfId="21802" priority="21642" stopIfTrue="1" operator="equal">
      <formula>"Fail"</formula>
    </cfRule>
  </conditionalFormatting>
  <conditionalFormatting sqref="A874">
    <cfRule type="cellIs" dxfId="21801" priority="21639" stopIfTrue="1" operator="equal">
      <formula>"Pass"</formula>
    </cfRule>
    <cfRule type="cellIs" dxfId="21800" priority="21640" stopIfTrue="1" operator="equal">
      <formula>"Fail"</formula>
    </cfRule>
  </conditionalFormatting>
  <conditionalFormatting sqref="A874">
    <cfRule type="cellIs" dxfId="21799" priority="21637" stopIfTrue="1" operator="equal">
      <formula>"Pass"</formula>
    </cfRule>
    <cfRule type="cellIs" dxfId="21798" priority="21638" stopIfTrue="1" operator="equal">
      <formula>"Fail"</formula>
    </cfRule>
  </conditionalFormatting>
  <conditionalFormatting sqref="A874">
    <cfRule type="cellIs" dxfId="21797" priority="21635" stopIfTrue="1" operator="equal">
      <formula>"Pass"</formula>
    </cfRule>
    <cfRule type="cellIs" dxfId="21796" priority="21636" stopIfTrue="1" operator="equal">
      <formula>"Fail"</formula>
    </cfRule>
  </conditionalFormatting>
  <conditionalFormatting sqref="A874">
    <cfRule type="cellIs" dxfId="21795" priority="21633" stopIfTrue="1" operator="equal">
      <formula>"Pass"</formula>
    </cfRule>
    <cfRule type="cellIs" dxfId="21794" priority="21634" stopIfTrue="1" operator="equal">
      <formula>"Fail"</formula>
    </cfRule>
  </conditionalFormatting>
  <conditionalFormatting sqref="A874">
    <cfRule type="cellIs" dxfId="21793" priority="21631" stopIfTrue="1" operator="equal">
      <formula>"Pass"</formula>
    </cfRule>
    <cfRule type="cellIs" dxfId="21792" priority="21632" stopIfTrue="1" operator="equal">
      <formula>"Fail"</formula>
    </cfRule>
  </conditionalFormatting>
  <conditionalFormatting sqref="U874">
    <cfRule type="cellIs" dxfId="21791" priority="21629" stopIfTrue="1" operator="equal">
      <formula>"Fail"</formula>
    </cfRule>
    <cfRule type="cellIs" dxfId="21790" priority="21630" stopIfTrue="1" operator="equal">
      <formula>"Pass"</formula>
    </cfRule>
  </conditionalFormatting>
  <conditionalFormatting sqref="U874">
    <cfRule type="cellIs" dxfId="21789" priority="21627" stopIfTrue="1" operator="equal">
      <formula>"Fail"</formula>
    </cfRule>
    <cfRule type="cellIs" dxfId="21788" priority="21628" stopIfTrue="1" operator="equal">
      <formula>"Pass"</formula>
    </cfRule>
  </conditionalFormatting>
  <conditionalFormatting sqref="J874:J875">
    <cfRule type="cellIs" dxfId="21787" priority="21625" stopIfTrue="1" operator="equal">
      <formula>"Pass"</formula>
    </cfRule>
    <cfRule type="cellIs" dxfId="21786" priority="21626" stopIfTrue="1" operator="equal">
      <formula>"Fail"</formula>
    </cfRule>
  </conditionalFormatting>
  <conditionalFormatting sqref="H874:H875 I875">
    <cfRule type="cellIs" dxfId="21785" priority="21623" stopIfTrue="1" operator="equal">
      <formula>"Pass"</formula>
    </cfRule>
    <cfRule type="cellIs" dxfId="21784" priority="21624" stopIfTrue="1" operator="equal">
      <formula>"Fail"</formula>
    </cfRule>
  </conditionalFormatting>
  <conditionalFormatting sqref="F876 F874:G874 K874:N875">
    <cfRule type="cellIs" dxfId="21783" priority="21621" stopIfTrue="1" operator="equal">
      <formula>"Pass"</formula>
    </cfRule>
    <cfRule type="cellIs" dxfId="21782" priority="21622" stopIfTrue="1" operator="equal">
      <formula>"Fail"</formula>
    </cfRule>
  </conditionalFormatting>
  <conditionalFormatting sqref="T874:T876 U875:U876">
    <cfRule type="cellIs" dxfId="21781" priority="21619" stopIfTrue="1" operator="equal">
      <formula>"Fail"</formula>
    </cfRule>
    <cfRule type="cellIs" dxfId="21780" priority="21620" stopIfTrue="1" operator="equal">
      <formula>"Pass"</formula>
    </cfRule>
  </conditionalFormatting>
  <conditionalFormatting sqref="U874">
    <cfRule type="cellIs" dxfId="21779" priority="21617" stopIfTrue="1" operator="equal">
      <formula>"Fail"</formula>
    </cfRule>
    <cfRule type="cellIs" dxfId="21778" priority="21618" stopIfTrue="1" operator="equal">
      <formula>"Pass"</formula>
    </cfRule>
  </conditionalFormatting>
  <conditionalFormatting sqref="U874">
    <cfRule type="cellIs" dxfId="21777" priority="21615" stopIfTrue="1" operator="equal">
      <formula>"Fail"</formula>
    </cfRule>
    <cfRule type="cellIs" dxfId="21776" priority="21616" stopIfTrue="1" operator="equal">
      <formula>"Pass"</formula>
    </cfRule>
  </conditionalFormatting>
  <conditionalFormatting sqref="F874:G874 K874:N874">
    <cfRule type="cellIs" dxfId="21775" priority="21613" stopIfTrue="1" operator="equal">
      <formula>"Pass"</formula>
    </cfRule>
    <cfRule type="cellIs" dxfId="21774" priority="21614" stopIfTrue="1" operator="equal">
      <formula>"Fail"</formula>
    </cfRule>
  </conditionalFormatting>
  <conditionalFormatting sqref="K875:N875">
    <cfRule type="cellIs" dxfId="21773" priority="21611" stopIfTrue="1" operator="equal">
      <formula>"Pass"</formula>
    </cfRule>
    <cfRule type="cellIs" dxfId="21772" priority="21612" stopIfTrue="1" operator="equal">
      <formula>"Fail"</formula>
    </cfRule>
  </conditionalFormatting>
  <conditionalFormatting sqref="U874">
    <cfRule type="cellIs" dxfId="21771" priority="21609" stopIfTrue="1" operator="equal">
      <formula>"Fail"</formula>
    </cfRule>
    <cfRule type="cellIs" dxfId="21770" priority="21610" stopIfTrue="1" operator="equal">
      <formula>"Pass"</formula>
    </cfRule>
  </conditionalFormatting>
  <conditionalFormatting sqref="A874:A876">
    <cfRule type="cellIs" dxfId="21769" priority="21607" stopIfTrue="1" operator="equal">
      <formula>"Pass"</formula>
    </cfRule>
    <cfRule type="cellIs" dxfId="21768" priority="21608" stopIfTrue="1" operator="equal">
      <formula>"Fail"</formula>
    </cfRule>
  </conditionalFormatting>
  <conditionalFormatting sqref="A874:A876">
    <cfRule type="cellIs" dxfId="21767" priority="21605" stopIfTrue="1" operator="equal">
      <formula>"Pass"</formula>
    </cfRule>
    <cfRule type="cellIs" dxfId="21766" priority="21606" stopIfTrue="1" operator="equal">
      <formula>"Fail"</formula>
    </cfRule>
  </conditionalFormatting>
  <conditionalFormatting sqref="A874:A876">
    <cfRule type="cellIs" dxfId="21765" priority="21603" stopIfTrue="1" operator="equal">
      <formula>"Pass"</formula>
    </cfRule>
    <cfRule type="cellIs" dxfId="21764" priority="21604" stopIfTrue="1" operator="equal">
      <formula>"Fail"</formula>
    </cfRule>
  </conditionalFormatting>
  <conditionalFormatting sqref="A874:A876">
    <cfRule type="cellIs" dxfId="21763" priority="21601" stopIfTrue="1" operator="equal">
      <formula>"Pass"</formula>
    </cfRule>
    <cfRule type="cellIs" dxfId="21762" priority="21602" stopIfTrue="1" operator="equal">
      <formula>"Fail"</formula>
    </cfRule>
  </conditionalFormatting>
  <conditionalFormatting sqref="A874:A876">
    <cfRule type="cellIs" dxfId="21761" priority="21599" stopIfTrue="1" operator="equal">
      <formula>"Pass"</formula>
    </cfRule>
    <cfRule type="cellIs" dxfId="21760" priority="21600" stopIfTrue="1" operator="equal">
      <formula>"Fail"</formula>
    </cfRule>
  </conditionalFormatting>
  <conditionalFormatting sqref="A876">
    <cfRule type="cellIs" dxfId="21759" priority="21597" stopIfTrue="1" operator="equal">
      <formula>"Pass"</formula>
    </cfRule>
    <cfRule type="cellIs" dxfId="21758" priority="21598" stopIfTrue="1" operator="equal">
      <formula>"Fail"</formula>
    </cfRule>
  </conditionalFormatting>
  <conditionalFormatting sqref="A874:A876">
    <cfRule type="cellIs" dxfId="21757" priority="21595" stopIfTrue="1" operator="equal">
      <formula>"Pass"</formula>
    </cfRule>
    <cfRule type="cellIs" dxfId="21756" priority="21596" stopIfTrue="1" operator="equal">
      <formula>"Fail"</formula>
    </cfRule>
  </conditionalFormatting>
  <conditionalFormatting sqref="A874:A876">
    <cfRule type="cellIs" dxfId="21755" priority="21593" stopIfTrue="1" operator="equal">
      <formula>"Pass"</formula>
    </cfRule>
    <cfRule type="cellIs" dxfId="21754" priority="21594" stopIfTrue="1" operator="equal">
      <formula>"Fail"</formula>
    </cfRule>
  </conditionalFormatting>
  <conditionalFormatting sqref="A874:A876">
    <cfRule type="cellIs" dxfId="21753" priority="21591" stopIfTrue="1" operator="equal">
      <formula>"Pass"</formula>
    </cfRule>
    <cfRule type="cellIs" dxfId="21752" priority="21592" stopIfTrue="1" operator="equal">
      <formula>"Fail"</formula>
    </cfRule>
  </conditionalFormatting>
  <conditionalFormatting sqref="A874:A876">
    <cfRule type="cellIs" dxfId="21751" priority="21589" stopIfTrue="1" operator="equal">
      <formula>"Pass"</formula>
    </cfRule>
    <cfRule type="cellIs" dxfId="21750" priority="21590" stopIfTrue="1" operator="equal">
      <formula>"Fail"</formula>
    </cfRule>
  </conditionalFormatting>
  <conditionalFormatting sqref="A874:A876">
    <cfRule type="cellIs" dxfId="21749" priority="21587" stopIfTrue="1" operator="equal">
      <formula>"Pass"</formula>
    </cfRule>
    <cfRule type="cellIs" dxfId="21748" priority="21588" stopIfTrue="1" operator="equal">
      <formula>"Fail"</formula>
    </cfRule>
  </conditionalFormatting>
  <conditionalFormatting sqref="A874:A876">
    <cfRule type="cellIs" dxfId="21747" priority="21585" stopIfTrue="1" operator="equal">
      <formula>"Pass"</formula>
    </cfRule>
    <cfRule type="cellIs" dxfId="21746" priority="21586" stopIfTrue="1" operator="equal">
      <formula>"Fail"</formula>
    </cfRule>
  </conditionalFormatting>
  <conditionalFormatting sqref="A876">
    <cfRule type="cellIs" dxfId="21745" priority="21583" stopIfTrue="1" operator="equal">
      <formula>"Pass"</formula>
    </cfRule>
    <cfRule type="cellIs" dxfId="21744" priority="21584" stopIfTrue="1" operator="equal">
      <formula>"Fail"</formula>
    </cfRule>
  </conditionalFormatting>
  <conditionalFormatting sqref="A874:A876">
    <cfRule type="cellIs" dxfId="21743" priority="21581" stopIfTrue="1" operator="equal">
      <formula>"Pass"</formula>
    </cfRule>
    <cfRule type="cellIs" dxfId="21742" priority="21582" stopIfTrue="1" operator="equal">
      <formula>"Fail"</formula>
    </cfRule>
  </conditionalFormatting>
  <conditionalFormatting sqref="J874:J875">
    <cfRule type="cellIs" dxfId="21741" priority="21579" stopIfTrue="1" operator="equal">
      <formula>"Pass"</formula>
    </cfRule>
    <cfRule type="cellIs" dxfId="21740" priority="21580" stopIfTrue="1" operator="equal">
      <formula>"Fail"</formula>
    </cfRule>
  </conditionalFormatting>
  <conditionalFormatting sqref="H874:H875 I875">
    <cfRule type="cellIs" dxfId="21739" priority="21577" stopIfTrue="1" operator="equal">
      <formula>"Pass"</formula>
    </cfRule>
    <cfRule type="cellIs" dxfId="21738" priority="21578" stopIfTrue="1" operator="equal">
      <formula>"Fail"</formula>
    </cfRule>
  </conditionalFormatting>
  <conditionalFormatting sqref="F876 F874:G874 K874:N875">
    <cfRule type="cellIs" dxfId="21737" priority="21575" stopIfTrue="1" operator="equal">
      <formula>"Pass"</formula>
    </cfRule>
    <cfRule type="cellIs" dxfId="21736" priority="21576" stopIfTrue="1" operator="equal">
      <formula>"Fail"</formula>
    </cfRule>
  </conditionalFormatting>
  <conditionalFormatting sqref="T874:T876 U875:U876">
    <cfRule type="cellIs" dxfId="21735" priority="21573" stopIfTrue="1" operator="equal">
      <formula>"Fail"</formula>
    </cfRule>
    <cfRule type="cellIs" dxfId="21734" priority="21574" stopIfTrue="1" operator="equal">
      <formula>"Pass"</formula>
    </cfRule>
  </conditionalFormatting>
  <conditionalFormatting sqref="U874">
    <cfRule type="cellIs" dxfId="21733" priority="21571" stopIfTrue="1" operator="equal">
      <formula>"Fail"</formula>
    </cfRule>
    <cfRule type="cellIs" dxfId="21732" priority="21572" stopIfTrue="1" operator="equal">
      <formula>"Pass"</formula>
    </cfRule>
  </conditionalFormatting>
  <conditionalFormatting sqref="U874">
    <cfRule type="cellIs" dxfId="21731" priority="21569" stopIfTrue="1" operator="equal">
      <formula>"Fail"</formula>
    </cfRule>
    <cfRule type="cellIs" dxfId="21730" priority="21570" stopIfTrue="1" operator="equal">
      <formula>"Pass"</formula>
    </cfRule>
  </conditionalFormatting>
  <conditionalFormatting sqref="J874:J875">
    <cfRule type="cellIs" dxfId="21729" priority="21567" stopIfTrue="1" operator="equal">
      <formula>"Pass"</formula>
    </cfRule>
    <cfRule type="cellIs" dxfId="21728" priority="21568" stopIfTrue="1" operator="equal">
      <formula>"Fail"</formula>
    </cfRule>
  </conditionalFormatting>
  <conditionalFormatting sqref="H874:H875 I875">
    <cfRule type="cellIs" dxfId="21727" priority="21565" stopIfTrue="1" operator="equal">
      <formula>"Pass"</formula>
    </cfRule>
    <cfRule type="cellIs" dxfId="21726" priority="21566" stopIfTrue="1" operator="equal">
      <formula>"Fail"</formula>
    </cfRule>
  </conditionalFormatting>
  <conditionalFormatting sqref="F876 F874:G874 K874:N875">
    <cfRule type="cellIs" dxfId="21725" priority="21563" stopIfTrue="1" operator="equal">
      <formula>"Pass"</formula>
    </cfRule>
    <cfRule type="cellIs" dxfId="21724" priority="21564" stopIfTrue="1" operator="equal">
      <formula>"Fail"</formula>
    </cfRule>
  </conditionalFormatting>
  <conditionalFormatting sqref="T874:T876 U875:U876">
    <cfRule type="cellIs" dxfId="21723" priority="21561" stopIfTrue="1" operator="equal">
      <formula>"Fail"</formula>
    </cfRule>
    <cfRule type="cellIs" dxfId="21722" priority="21562" stopIfTrue="1" operator="equal">
      <formula>"Pass"</formula>
    </cfRule>
  </conditionalFormatting>
  <conditionalFormatting sqref="U874">
    <cfRule type="cellIs" dxfId="21721" priority="21559" stopIfTrue="1" operator="equal">
      <formula>"Fail"</formula>
    </cfRule>
    <cfRule type="cellIs" dxfId="21720" priority="21560" stopIfTrue="1" operator="equal">
      <formula>"Pass"</formula>
    </cfRule>
  </conditionalFormatting>
  <conditionalFormatting sqref="U874">
    <cfRule type="cellIs" dxfId="21719" priority="21557" stopIfTrue="1" operator="equal">
      <formula>"Fail"</formula>
    </cfRule>
    <cfRule type="cellIs" dxfId="21718" priority="21558" stopIfTrue="1" operator="equal">
      <formula>"Pass"</formula>
    </cfRule>
  </conditionalFormatting>
  <conditionalFormatting sqref="F874:G874 K874:N874">
    <cfRule type="cellIs" dxfId="21717" priority="21555" stopIfTrue="1" operator="equal">
      <formula>"Pass"</formula>
    </cfRule>
    <cfRule type="cellIs" dxfId="21716" priority="21556" stopIfTrue="1" operator="equal">
      <formula>"Fail"</formula>
    </cfRule>
  </conditionalFormatting>
  <conditionalFormatting sqref="K875:N875">
    <cfRule type="cellIs" dxfId="21715" priority="21553" stopIfTrue="1" operator="equal">
      <formula>"Pass"</formula>
    </cfRule>
    <cfRule type="cellIs" dxfId="21714" priority="21554" stopIfTrue="1" operator="equal">
      <formula>"Fail"</formula>
    </cfRule>
  </conditionalFormatting>
  <conditionalFormatting sqref="U874">
    <cfRule type="cellIs" dxfId="21713" priority="21551" stopIfTrue="1" operator="equal">
      <formula>"Fail"</formula>
    </cfRule>
    <cfRule type="cellIs" dxfId="21712" priority="21552" stopIfTrue="1" operator="equal">
      <formula>"Pass"</formula>
    </cfRule>
  </conditionalFormatting>
  <conditionalFormatting sqref="J874:J875">
    <cfRule type="cellIs" dxfId="21711" priority="21549" stopIfTrue="1" operator="equal">
      <formula>"Pass"</formula>
    </cfRule>
    <cfRule type="cellIs" dxfId="21710" priority="21550" stopIfTrue="1" operator="equal">
      <formula>"Fail"</formula>
    </cfRule>
  </conditionalFormatting>
  <conditionalFormatting sqref="H874:H875 I875">
    <cfRule type="cellIs" dxfId="21709" priority="21547" stopIfTrue="1" operator="equal">
      <formula>"Pass"</formula>
    </cfRule>
    <cfRule type="cellIs" dxfId="21708" priority="21548" stopIfTrue="1" operator="equal">
      <formula>"Fail"</formula>
    </cfRule>
  </conditionalFormatting>
  <conditionalFormatting sqref="F874:G874 K874:N875">
    <cfRule type="cellIs" dxfId="21707" priority="21545" stopIfTrue="1" operator="equal">
      <formula>"Pass"</formula>
    </cfRule>
    <cfRule type="cellIs" dxfId="21706" priority="21546" stopIfTrue="1" operator="equal">
      <formula>"Fail"</formula>
    </cfRule>
  </conditionalFormatting>
  <conditionalFormatting sqref="T874:T875 U875">
    <cfRule type="cellIs" dxfId="21705" priority="21543" stopIfTrue="1" operator="equal">
      <formula>"Fail"</formula>
    </cfRule>
    <cfRule type="cellIs" dxfId="21704" priority="21544" stopIfTrue="1" operator="equal">
      <formula>"Pass"</formula>
    </cfRule>
  </conditionalFormatting>
  <conditionalFormatting sqref="U874">
    <cfRule type="cellIs" dxfId="21703" priority="21541" stopIfTrue="1" operator="equal">
      <formula>"Fail"</formula>
    </cfRule>
    <cfRule type="cellIs" dxfId="21702" priority="21542" stopIfTrue="1" operator="equal">
      <formula>"Pass"</formula>
    </cfRule>
  </conditionalFormatting>
  <conditionalFormatting sqref="U874">
    <cfRule type="cellIs" dxfId="21701" priority="21539" stopIfTrue="1" operator="equal">
      <formula>"Fail"</formula>
    </cfRule>
    <cfRule type="cellIs" dxfId="21700" priority="21540" stopIfTrue="1" operator="equal">
      <formula>"Pass"</formula>
    </cfRule>
  </conditionalFormatting>
  <conditionalFormatting sqref="J874:J875">
    <cfRule type="cellIs" dxfId="21699" priority="21537" stopIfTrue="1" operator="equal">
      <formula>"Pass"</formula>
    </cfRule>
    <cfRule type="cellIs" dxfId="21698" priority="21538" stopIfTrue="1" operator="equal">
      <formula>"Fail"</formula>
    </cfRule>
  </conditionalFormatting>
  <conditionalFormatting sqref="H874:H875 I875">
    <cfRule type="cellIs" dxfId="21697" priority="21535" stopIfTrue="1" operator="equal">
      <formula>"Pass"</formula>
    </cfRule>
    <cfRule type="cellIs" dxfId="21696" priority="21536" stopIfTrue="1" operator="equal">
      <formula>"Fail"</formula>
    </cfRule>
  </conditionalFormatting>
  <conditionalFormatting sqref="F874:G874 K874:N875">
    <cfRule type="cellIs" dxfId="21695" priority="21533" stopIfTrue="1" operator="equal">
      <formula>"Pass"</formula>
    </cfRule>
    <cfRule type="cellIs" dxfId="21694" priority="21534" stopIfTrue="1" operator="equal">
      <formula>"Fail"</formula>
    </cfRule>
  </conditionalFormatting>
  <conditionalFormatting sqref="T874:T875 U875">
    <cfRule type="cellIs" dxfId="21693" priority="21531" stopIfTrue="1" operator="equal">
      <formula>"Fail"</formula>
    </cfRule>
    <cfRule type="cellIs" dxfId="21692" priority="21532" stopIfTrue="1" operator="equal">
      <formula>"Pass"</formula>
    </cfRule>
  </conditionalFormatting>
  <conditionalFormatting sqref="U874">
    <cfRule type="cellIs" dxfId="21691" priority="21529" stopIfTrue="1" operator="equal">
      <formula>"Fail"</formula>
    </cfRule>
    <cfRule type="cellIs" dxfId="21690" priority="21530" stopIfTrue="1" operator="equal">
      <formula>"Pass"</formula>
    </cfRule>
  </conditionalFormatting>
  <conditionalFormatting sqref="U874">
    <cfRule type="cellIs" dxfId="21689" priority="21527" stopIfTrue="1" operator="equal">
      <formula>"Fail"</formula>
    </cfRule>
    <cfRule type="cellIs" dxfId="21688" priority="21528" stopIfTrue="1" operator="equal">
      <formula>"Pass"</formula>
    </cfRule>
  </conditionalFormatting>
  <conditionalFormatting sqref="F874:G874 K874:N874">
    <cfRule type="cellIs" dxfId="21687" priority="21525" stopIfTrue="1" operator="equal">
      <formula>"Pass"</formula>
    </cfRule>
    <cfRule type="cellIs" dxfId="21686" priority="21526" stopIfTrue="1" operator="equal">
      <formula>"Fail"</formula>
    </cfRule>
  </conditionalFormatting>
  <conditionalFormatting sqref="K875:N875">
    <cfRule type="cellIs" dxfId="21685" priority="21523" stopIfTrue="1" operator="equal">
      <formula>"Pass"</formula>
    </cfRule>
    <cfRule type="cellIs" dxfId="21684" priority="21524" stopIfTrue="1" operator="equal">
      <formula>"Fail"</formula>
    </cfRule>
  </conditionalFormatting>
  <conditionalFormatting sqref="U874">
    <cfRule type="cellIs" dxfId="21683" priority="21521" stopIfTrue="1" operator="equal">
      <formula>"Fail"</formula>
    </cfRule>
    <cfRule type="cellIs" dxfId="21682" priority="21522" stopIfTrue="1" operator="equal">
      <formula>"Pass"</formula>
    </cfRule>
  </conditionalFormatting>
  <conditionalFormatting sqref="U874">
    <cfRule type="cellIs" dxfId="21681" priority="21519" stopIfTrue="1" operator="equal">
      <formula>"Fail"</formula>
    </cfRule>
    <cfRule type="cellIs" dxfId="21680" priority="21520" stopIfTrue="1" operator="equal">
      <formula>"Pass"</formula>
    </cfRule>
  </conditionalFormatting>
  <conditionalFormatting sqref="U874">
    <cfRule type="cellIs" dxfId="21679" priority="21517" stopIfTrue="1" operator="equal">
      <formula>"Fail"</formula>
    </cfRule>
    <cfRule type="cellIs" dxfId="21678" priority="21518" stopIfTrue="1" operator="equal">
      <formula>"Pass"</formula>
    </cfRule>
  </conditionalFormatting>
  <conditionalFormatting sqref="U874">
    <cfRule type="cellIs" dxfId="21677" priority="21515" stopIfTrue="1" operator="equal">
      <formula>"Fail"</formula>
    </cfRule>
    <cfRule type="cellIs" dxfId="21676" priority="21516" stopIfTrue="1" operator="equal">
      <formula>"Pass"</formula>
    </cfRule>
  </conditionalFormatting>
  <conditionalFormatting sqref="A877:A879">
    <cfRule type="cellIs" dxfId="21675" priority="21513" stopIfTrue="1" operator="equal">
      <formula>"Pass"</formula>
    </cfRule>
    <cfRule type="cellIs" dxfId="21674" priority="21514" stopIfTrue="1" operator="equal">
      <formula>"Fail"</formula>
    </cfRule>
  </conditionalFormatting>
  <conditionalFormatting sqref="A877:A879">
    <cfRule type="cellIs" dxfId="21673" priority="21511" stopIfTrue="1" operator="equal">
      <formula>"Pass"</formula>
    </cfRule>
    <cfRule type="cellIs" dxfId="21672" priority="21512" stopIfTrue="1" operator="equal">
      <formula>"Fail"</formula>
    </cfRule>
  </conditionalFormatting>
  <conditionalFormatting sqref="A877:A879">
    <cfRule type="cellIs" dxfId="21671" priority="21509" stopIfTrue="1" operator="equal">
      <formula>"Pass"</formula>
    </cfRule>
    <cfRule type="cellIs" dxfId="21670" priority="21510" stopIfTrue="1" operator="equal">
      <formula>"Fail"</formula>
    </cfRule>
  </conditionalFormatting>
  <conditionalFormatting sqref="A877:A879">
    <cfRule type="cellIs" dxfId="21669" priority="21507" stopIfTrue="1" operator="equal">
      <formula>"Pass"</formula>
    </cfRule>
    <cfRule type="cellIs" dxfId="21668" priority="21508" stopIfTrue="1" operator="equal">
      <formula>"Fail"</formula>
    </cfRule>
  </conditionalFormatting>
  <conditionalFormatting sqref="A877:A879">
    <cfRule type="cellIs" dxfId="21667" priority="21505" stopIfTrue="1" operator="equal">
      <formula>"Pass"</formula>
    </cfRule>
    <cfRule type="cellIs" dxfId="21666" priority="21506" stopIfTrue="1" operator="equal">
      <formula>"Fail"</formula>
    </cfRule>
  </conditionalFormatting>
  <conditionalFormatting sqref="A879">
    <cfRule type="cellIs" dxfId="21665" priority="21503" stopIfTrue="1" operator="equal">
      <formula>"Pass"</formula>
    </cfRule>
    <cfRule type="cellIs" dxfId="21664" priority="21504" stopIfTrue="1" operator="equal">
      <formula>"Fail"</formula>
    </cfRule>
  </conditionalFormatting>
  <conditionalFormatting sqref="A877:A879">
    <cfRule type="cellIs" dxfId="21663" priority="21501" stopIfTrue="1" operator="equal">
      <formula>"Pass"</formula>
    </cfRule>
    <cfRule type="cellIs" dxfId="21662" priority="21502" stopIfTrue="1" operator="equal">
      <formula>"Fail"</formula>
    </cfRule>
  </conditionalFormatting>
  <conditionalFormatting sqref="H877:H878">
    <cfRule type="cellIs" dxfId="21661" priority="21499" stopIfTrue="1" operator="equal">
      <formula>"Pass"</formula>
    </cfRule>
    <cfRule type="cellIs" dxfId="21660" priority="21500" stopIfTrue="1" operator="equal">
      <formula>"Fail"</formula>
    </cfRule>
  </conditionalFormatting>
  <conditionalFormatting sqref="E877:F877 I877:M878 E879:F879 A877">
    <cfRule type="cellIs" dxfId="21659" priority="21497" stopIfTrue="1" operator="equal">
      <formula>"Pass"</formula>
    </cfRule>
    <cfRule type="cellIs" dxfId="21658" priority="21498" stopIfTrue="1" operator="equal">
      <formula>"Fail"</formula>
    </cfRule>
  </conditionalFormatting>
  <conditionalFormatting sqref="T879 T877 R877:R879 S878:S879">
    <cfRule type="cellIs" dxfId="21657" priority="21495" stopIfTrue="1" operator="equal">
      <formula>"Fail"</formula>
    </cfRule>
    <cfRule type="cellIs" dxfId="21656" priority="21496" stopIfTrue="1" operator="equal">
      <formula>"Pass"</formula>
    </cfRule>
  </conditionalFormatting>
  <conditionalFormatting sqref="F877:G877 F879:G879 B877:B879 A877 J877:N878">
    <cfRule type="cellIs" dxfId="21655" priority="21493" stopIfTrue="1" operator="equal">
      <formula>"Pass"</formula>
    </cfRule>
    <cfRule type="cellIs" dxfId="21654" priority="21494" stopIfTrue="1" operator="equal">
      <formula>"Fail"</formula>
    </cfRule>
  </conditionalFormatting>
  <conditionalFormatting sqref="U879 T877:T879 S878:S879">
    <cfRule type="cellIs" dxfId="21653" priority="21491" stopIfTrue="1" operator="equal">
      <formula>"Fail"</formula>
    </cfRule>
    <cfRule type="cellIs" dxfId="21652" priority="21492" stopIfTrue="1" operator="equal">
      <formula>"Pass"</formula>
    </cfRule>
  </conditionalFormatting>
  <conditionalFormatting sqref="A877">
    <cfRule type="cellIs" dxfId="21651" priority="21489" stopIfTrue="1" operator="equal">
      <formula>"Pass"</formula>
    </cfRule>
    <cfRule type="cellIs" dxfId="21650" priority="21490" stopIfTrue="1" operator="equal">
      <formula>"Fail"</formula>
    </cfRule>
  </conditionalFormatting>
  <conditionalFormatting sqref="A877">
    <cfRule type="cellIs" dxfId="21649" priority="21487" stopIfTrue="1" operator="equal">
      <formula>"Pass"</formula>
    </cfRule>
    <cfRule type="cellIs" dxfId="21648" priority="21488" stopIfTrue="1" operator="equal">
      <formula>"Fail"</formula>
    </cfRule>
  </conditionalFormatting>
  <conditionalFormatting sqref="A877">
    <cfRule type="cellIs" dxfId="21647" priority="21485" stopIfTrue="1" operator="equal">
      <formula>"Pass"</formula>
    </cfRule>
    <cfRule type="cellIs" dxfId="21646" priority="21486" stopIfTrue="1" operator="equal">
      <formula>"Fail"</formula>
    </cfRule>
  </conditionalFormatting>
  <conditionalFormatting sqref="A877">
    <cfRule type="cellIs" dxfId="21645" priority="21483" stopIfTrue="1" operator="equal">
      <formula>"Pass"</formula>
    </cfRule>
    <cfRule type="cellIs" dxfId="21644" priority="21484" stopIfTrue="1" operator="equal">
      <formula>"Fail"</formula>
    </cfRule>
  </conditionalFormatting>
  <conditionalFormatting sqref="A877">
    <cfRule type="cellIs" dxfId="21643" priority="21481" stopIfTrue="1" operator="equal">
      <formula>"Pass"</formula>
    </cfRule>
    <cfRule type="cellIs" dxfId="21642" priority="21482" stopIfTrue="1" operator="equal">
      <formula>"Fail"</formula>
    </cfRule>
  </conditionalFormatting>
  <conditionalFormatting sqref="A877">
    <cfRule type="cellIs" dxfId="21641" priority="21479" stopIfTrue="1" operator="equal">
      <formula>"Pass"</formula>
    </cfRule>
    <cfRule type="cellIs" dxfId="21640" priority="21480" stopIfTrue="1" operator="equal">
      <formula>"Fail"</formula>
    </cfRule>
  </conditionalFormatting>
  <conditionalFormatting sqref="A877">
    <cfRule type="cellIs" dxfId="21639" priority="21477" stopIfTrue="1" operator="equal">
      <formula>"Pass"</formula>
    </cfRule>
    <cfRule type="cellIs" dxfId="21638" priority="21478" stopIfTrue="1" operator="equal">
      <formula>"Fail"</formula>
    </cfRule>
  </conditionalFormatting>
  <conditionalFormatting sqref="A877">
    <cfRule type="cellIs" dxfId="21637" priority="21475" stopIfTrue="1" operator="equal">
      <formula>"Pass"</formula>
    </cfRule>
    <cfRule type="cellIs" dxfId="21636" priority="21476" stopIfTrue="1" operator="equal">
      <formula>"Fail"</formula>
    </cfRule>
  </conditionalFormatting>
  <conditionalFormatting sqref="A877">
    <cfRule type="cellIs" dxfId="21635" priority="21473" stopIfTrue="1" operator="equal">
      <formula>"Pass"</formula>
    </cfRule>
    <cfRule type="cellIs" dxfId="21634" priority="21474" stopIfTrue="1" operator="equal">
      <formula>"Fail"</formula>
    </cfRule>
  </conditionalFormatting>
  <conditionalFormatting sqref="A877">
    <cfRule type="cellIs" dxfId="21633" priority="21471" stopIfTrue="1" operator="equal">
      <formula>"Pass"</formula>
    </cfRule>
    <cfRule type="cellIs" dxfId="21632" priority="21472" stopIfTrue="1" operator="equal">
      <formula>"Fail"</formula>
    </cfRule>
  </conditionalFormatting>
  <conditionalFormatting sqref="U877">
    <cfRule type="cellIs" dxfId="21631" priority="21469" stopIfTrue="1" operator="equal">
      <formula>"Fail"</formula>
    </cfRule>
    <cfRule type="cellIs" dxfId="21630" priority="21470" stopIfTrue="1" operator="equal">
      <formula>"Pass"</formula>
    </cfRule>
  </conditionalFormatting>
  <conditionalFormatting sqref="F877:G877 J877:N877">
    <cfRule type="cellIs" dxfId="21629" priority="21467" stopIfTrue="1" operator="equal">
      <formula>"Pass"</formula>
    </cfRule>
    <cfRule type="cellIs" dxfId="21628" priority="21468" stopIfTrue="1" operator="equal">
      <formula>"Fail"</formula>
    </cfRule>
  </conditionalFormatting>
  <conditionalFormatting sqref="J878:N878">
    <cfRule type="cellIs" dxfId="21627" priority="21465" stopIfTrue="1" operator="equal">
      <formula>"Pass"</formula>
    </cfRule>
    <cfRule type="cellIs" dxfId="21626" priority="21466" stopIfTrue="1" operator="equal">
      <formula>"Fail"</formula>
    </cfRule>
  </conditionalFormatting>
  <conditionalFormatting sqref="A877:A879">
    <cfRule type="cellIs" dxfId="21625" priority="21463" stopIfTrue="1" operator="equal">
      <formula>"Pass"</formula>
    </cfRule>
    <cfRule type="cellIs" dxfId="21624" priority="21464" stopIfTrue="1" operator="equal">
      <formula>"Fail"</formula>
    </cfRule>
  </conditionalFormatting>
  <conditionalFormatting sqref="A877:A879">
    <cfRule type="cellIs" dxfId="21623" priority="21461" stopIfTrue="1" operator="equal">
      <formula>"Pass"</formula>
    </cfRule>
    <cfRule type="cellIs" dxfId="21622" priority="21462" stopIfTrue="1" operator="equal">
      <formula>"Fail"</formula>
    </cfRule>
  </conditionalFormatting>
  <conditionalFormatting sqref="A877:A879">
    <cfRule type="cellIs" dxfId="21621" priority="21459" stopIfTrue="1" operator="equal">
      <formula>"Pass"</formula>
    </cfRule>
    <cfRule type="cellIs" dxfId="21620" priority="21460" stopIfTrue="1" operator="equal">
      <formula>"Fail"</formula>
    </cfRule>
  </conditionalFormatting>
  <conditionalFormatting sqref="A877:A879">
    <cfRule type="cellIs" dxfId="21619" priority="21457" stopIfTrue="1" operator="equal">
      <formula>"Pass"</formula>
    </cfRule>
    <cfRule type="cellIs" dxfId="21618" priority="21458" stopIfTrue="1" operator="equal">
      <formula>"Fail"</formula>
    </cfRule>
  </conditionalFormatting>
  <conditionalFormatting sqref="A877:A879">
    <cfRule type="cellIs" dxfId="21617" priority="21455" stopIfTrue="1" operator="equal">
      <formula>"Pass"</formula>
    </cfRule>
    <cfRule type="cellIs" dxfId="21616" priority="21456" stopIfTrue="1" operator="equal">
      <formula>"Fail"</formula>
    </cfRule>
  </conditionalFormatting>
  <conditionalFormatting sqref="A879">
    <cfRule type="cellIs" dxfId="21615" priority="21453" stopIfTrue="1" operator="equal">
      <formula>"Pass"</formula>
    </cfRule>
    <cfRule type="cellIs" dxfId="21614" priority="21454" stopIfTrue="1" operator="equal">
      <formula>"Fail"</formula>
    </cfRule>
  </conditionalFormatting>
  <conditionalFormatting sqref="A877:A879">
    <cfRule type="cellIs" dxfId="21613" priority="21451" stopIfTrue="1" operator="equal">
      <formula>"Pass"</formula>
    </cfRule>
    <cfRule type="cellIs" dxfId="21612" priority="21452" stopIfTrue="1" operator="equal">
      <formula>"Fail"</formula>
    </cfRule>
  </conditionalFormatting>
  <conditionalFormatting sqref="A877:A879">
    <cfRule type="cellIs" dxfId="21611" priority="21449" stopIfTrue="1" operator="equal">
      <formula>"Pass"</formula>
    </cfRule>
    <cfRule type="cellIs" dxfId="21610" priority="21450" stopIfTrue="1" operator="equal">
      <formula>"Fail"</formula>
    </cfRule>
  </conditionalFormatting>
  <conditionalFormatting sqref="A877:A879">
    <cfRule type="cellIs" dxfId="21609" priority="21447" stopIfTrue="1" operator="equal">
      <formula>"Pass"</formula>
    </cfRule>
    <cfRule type="cellIs" dxfId="21608" priority="21448" stopIfTrue="1" operator="equal">
      <formula>"Fail"</formula>
    </cfRule>
  </conditionalFormatting>
  <conditionalFormatting sqref="A877:A879">
    <cfRule type="cellIs" dxfId="21607" priority="21445" stopIfTrue="1" operator="equal">
      <formula>"Pass"</formula>
    </cfRule>
    <cfRule type="cellIs" dxfId="21606" priority="21446" stopIfTrue="1" operator="equal">
      <formula>"Fail"</formula>
    </cfRule>
  </conditionalFormatting>
  <conditionalFormatting sqref="A877:A879">
    <cfRule type="cellIs" dxfId="21605" priority="21443" stopIfTrue="1" operator="equal">
      <formula>"Pass"</formula>
    </cfRule>
    <cfRule type="cellIs" dxfId="21604" priority="21444" stopIfTrue="1" operator="equal">
      <formula>"Fail"</formula>
    </cfRule>
  </conditionalFormatting>
  <conditionalFormatting sqref="A877:A879">
    <cfRule type="cellIs" dxfId="21603" priority="21441" stopIfTrue="1" operator="equal">
      <formula>"Pass"</formula>
    </cfRule>
    <cfRule type="cellIs" dxfId="21602" priority="21442" stopIfTrue="1" operator="equal">
      <formula>"Fail"</formula>
    </cfRule>
  </conditionalFormatting>
  <conditionalFormatting sqref="A879">
    <cfRule type="cellIs" dxfId="21601" priority="21439" stopIfTrue="1" operator="equal">
      <formula>"Pass"</formula>
    </cfRule>
    <cfRule type="cellIs" dxfId="21600" priority="21440" stopIfTrue="1" operator="equal">
      <formula>"Fail"</formula>
    </cfRule>
  </conditionalFormatting>
  <conditionalFormatting sqref="A877:A879">
    <cfRule type="cellIs" dxfId="21599" priority="21437" stopIfTrue="1" operator="equal">
      <formula>"Pass"</formula>
    </cfRule>
    <cfRule type="cellIs" dxfId="21598" priority="21438" stopIfTrue="1" operator="equal">
      <formula>"Fail"</formula>
    </cfRule>
  </conditionalFormatting>
  <conditionalFormatting sqref="H877:H878">
    <cfRule type="cellIs" dxfId="21597" priority="21435" stopIfTrue="1" operator="equal">
      <formula>"Pass"</formula>
    </cfRule>
    <cfRule type="cellIs" dxfId="21596" priority="21436" stopIfTrue="1" operator="equal">
      <formula>"Fail"</formula>
    </cfRule>
  </conditionalFormatting>
  <conditionalFormatting sqref="F877 I877:M878 F879">
    <cfRule type="cellIs" dxfId="21595" priority="21433" stopIfTrue="1" operator="equal">
      <formula>"Pass"</formula>
    </cfRule>
    <cfRule type="cellIs" dxfId="21594" priority="21434" stopIfTrue="1" operator="equal">
      <formula>"Fail"</formula>
    </cfRule>
  </conditionalFormatting>
  <conditionalFormatting sqref="T879 T877 R877:R879 S878:S879">
    <cfRule type="cellIs" dxfId="21593" priority="21431" stopIfTrue="1" operator="equal">
      <formula>"Fail"</formula>
    </cfRule>
    <cfRule type="cellIs" dxfId="21592" priority="21432" stopIfTrue="1" operator="equal">
      <formula>"Pass"</formula>
    </cfRule>
  </conditionalFormatting>
  <conditionalFormatting sqref="F877:G877 F879:G879 J877:N878">
    <cfRule type="cellIs" dxfId="21591" priority="21429" stopIfTrue="1" operator="equal">
      <formula>"Pass"</formula>
    </cfRule>
    <cfRule type="cellIs" dxfId="21590" priority="21430" stopIfTrue="1" operator="equal">
      <formula>"Fail"</formula>
    </cfRule>
  </conditionalFormatting>
  <conditionalFormatting sqref="U879 T877:T879 S878:S879">
    <cfRule type="cellIs" dxfId="21589" priority="21427" stopIfTrue="1" operator="equal">
      <formula>"Fail"</formula>
    </cfRule>
    <cfRule type="cellIs" dxfId="21588" priority="21428" stopIfTrue="1" operator="equal">
      <formula>"Pass"</formula>
    </cfRule>
  </conditionalFormatting>
  <conditionalFormatting sqref="U877">
    <cfRule type="cellIs" dxfId="21587" priority="21425" stopIfTrue="1" operator="equal">
      <formula>"Fail"</formula>
    </cfRule>
    <cfRule type="cellIs" dxfId="21586" priority="21426" stopIfTrue="1" operator="equal">
      <formula>"Pass"</formula>
    </cfRule>
  </conditionalFormatting>
  <conditionalFormatting sqref="F877:G877 J877:N877">
    <cfRule type="cellIs" dxfId="21585" priority="21423" stopIfTrue="1" operator="equal">
      <formula>"Pass"</formula>
    </cfRule>
    <cfRule type="cellIs" dxfId="21584" priority="21424" stopIfTrue="1" operator="equal">
      <formula>"Fail"</formula>
    </cfRule>
  </conditionalFormatting>
  <conditionalFormatting sqref="J878:N878">
    <cfRule type="cellIs" dxfId="21583" priority="21421" stopIfTrue="1" operator="equal">
      <formula>"Pass"</formula>
    </cfRule>
    <cfRule type="cellIs" dxfId="21582" priority="21422" stopIfTrue="1" operator="equal">
      <formula>"Fail"</formula>
    </cfRule>
  </conditionalFormatting>
  <conditionalFormatting sqref="H877:H878">
    <cfRule type="cellIs" dxfId="21581" priority="21419" stopIfTrue="1" operator="equal">
      <formula>"Pass"</formula>
    </cfRule>
    <cfRule type="cellIs" dxfId="21580" priority="21420" stopIfTrue="1" operator="equal">
      <formula>"Fail"</formula>
    </cfRule>
  </conditionalFormatting>
  <conditionalFormatting sqref="F877 I877:M878 F879">
    <cfRule type="cellIs" dxfId="21579" priority="21417" stopIfTrue="1" operator="equal">
      <formula>"Pass"</formula>
    </cfRule>
    <cfRule type="cellIs" dxfId="21578" priority="21418" stopIfTrue="1" operator="equal">
      <formula>"Fail"</formula>
    </cfRule>
  </conditionalFormatting>
  <conditionalFormatting sqref="T879 T877 R877:R879 S878:S879">
    <cfRule type="cellIs" dxfId="21577" priority="21415" stopIfTrue="1" operator="equal">
      <formula>"Fail"</formula>
    </cfRule>
    <cfRule type="cellIs" dxfId="21576" priority="21416" stopIfTrue="1" operator="equal">
      <formula>"Pass"</formula>
    </cfRule>
  </conditionalFormatting>
  <conditionalFormatting sqref="F877:G877 F879:G879 J877:N878">
    <cfRule type="cellIs" dxfId="21575" priority="21413" stopIfTrue="1" operator="equal">
      <formula>"Pass"</formula>
    </cfRule>
    <cfRule type="cellIs" dxfId="21574" priority="21414" stopIfTrue="1" operator="equal">
      <formula>"Fail"</formula>
    </cfRule>
  </conditionalFormatting>
  <conditionalFormatting sqref="U879 T877:T879 S878:S879">
    <cfRule type="cellIs" dxfId="21573" priority="21411" stopIfTrue="1" operator="equal">
      <formula>"Fail"</formula>
    </cfRule>
    <cfRule type="cellIs" dxfId="21572" priority="21412" stopIfTrue="1" operator="equal">
      <formula>"Pass"</formula>
    </cfRule>
  </conditionalFormatting>
  <conditionalFormatting sqref="U877">
    <cfRule type="cellIs" dxfId="21571" priority="21409" stopIfTrue="1" operator="equal">
      <formula>"Fail"</formula>
    </cfRule>
    <cfRule type="cellIs" dxfId="21570" priority="21410" stopIfTrue="1" operator="equal">
      <formula>"Pass"</formula>
    </cfRule>
  </conditionalFormatting>
  <conditionalFormatting sqref="F877:G877 J877:N877">
    <cfRule type="cellIs" dxfId="21569" priority="21407" stopIfTrue="1" operator="equal">
      <formula>"Pass"</formula>
    </cfRule>
    <cfRule type="cellIs" dxfId="21568" priority="21408" stopIfTrue="1" operator="equal">
      <formula>"Fail"</formula>
    </cfRule>
  </conditionalFormatting>
  <conditionalFormatting sqref="J878:N878">
    <cfRule type="cellIs" dxfId="21567" priority="21405" stopIfTrue="1" operator="equal">
      <formula>"Pass"</formula>
    </cfRule>
    <cfRule type="cellIs" dxfId="21566" priority="21406" stopIfTrue="1" operator="equal">
      <formula>"Fail"</formula>
    </cfRule>
  </conditionalFormatting>
  <conditionalFormatting sqref="U877">
    <cfRule type="cellIs" dxfId="21565" priority="21403" stopIfTrue="1" operator="equal">
      <formula>"Fail"</formula>
    </cfRule>
    <cfRule type="cellIs" dxfId="21564" priority="21404" stopIfTrue="1" operator="equal">
      <formula>"Pass"</formula>
    </cfRule>
  </conditionalFormatting>
  <conditionalFormatting sqref="U877">
    <cfRule type="cellIs" dxfId="21563" priority="21401" stopIfTrue="1" operator="equal">
      <formula>"Fail"</formula>
    </cfRule>
    <cfRule type="cellIs" dxfId="21562" priority="21402" stopIfTrue="1" operator="equal">
      <formula>"Pass"</formula>
    </cfRule>
  </conditionalFormatting>
  <conditionalFormatting sqref="U877">
    <cfRule type="cellIs" dxfId="21561" priority="21399" stopIfTrue="1" operator="equal">
      <formula>"Fail"</formula>
    </cfRule>
    <cfRule type="cellIs" dxfId="21560" priority="21400" stopIfTrue="1" operator="equal">
      <formula>"Pass"</formula>
    </cfRule>
  </conditionalFormatting>
  <conditionalFormatting sqref="N877">
    <cfRule type="cellIs" dxfId="21559" priority="21397" stopIfTrue="1" operator="equal">
      <formula>"Pass"</formula>
    </cfRule>
    <cfRule type="cellIs" dxfId="21558" priority="21398" stopIfTrue="1" operator="equal">
      <formula>"Fail"</formula>
    </cfRule>
  </conditionalFormatting>
  <conditionalFormatting sqref="N877">
    <cfRule type="cellIs" dxfId="21557" priority="21395" stopIfTrue="1" operator="equal">
      <formula>"Pass"</formula>
    </cfRule>
    <cfRule type="cellIs" dxfId="21556" priority="21396" stopIfTrue="1" operator="equal">
      <formula>"Fail"</formula>
    </cfRule>
  </conditionalFormatting>
  <conditionalFormatting sqref="N877">
    <cfRule type="cellIs" dxfId="21555" priority="21393" stopIfTrue="1" operator="equal">
      <formula>"Pass"</formula>
    </cfRule>
    <cfRule type="cellIs" dxfId="21554" priority="21394" stopIfTrue="1" operator="equal">
      <formula>"Fail"</formula>
    </cfRule>
  </conditionalFormatting>
  <conditionalFormatting sqref="A874:A876">
    <cfRule type="cellIs" dxfId="21553" priority="21391" stopIfTrue="1" operator="equal">
      <formula>"Pass"</formula>
    </cfRule>
    <cfRule type="cellIs" dxfId="21552" priority="21392" stopIfTrue="1" operator="equal">
      <formula>"Fail"</formula>
    </cfRule>
  </conditionalFormatting>
  <conditionalFormatting sqref="A874:A876">
    <cfRule type="cellIs" dxfId="21551" priority="21389" stopIfTrue="1" operator="equal">
      <formula>"Pass"</formula>
    </cfRule>
    <cfRule type="cellIs" dxfId="21550" priority="21390" stopIfTrue="1" operator="equal">
      <formula>"Fail"</formula>
    </cfRule>
  </conditionalFormatting>
  <conditionalFormatting sqref="A874:A876">
    <cfRule type="cellIs" dxfId="21549" priority="21387" stopIfTrue="1" operator="equal">
      <formula>"Pass"</formula>
    </cfRule>
    <cfRule type="cellIs" dxfId="21548" priority="21388" stopIfTrue="1" operator="equal">
      <formula>"Fail"</formula>
    </cfRule>
  </conditionalFormatting>
  <conditionalFormatting sqref="A874:A876">
    <cfRule type="cellIs" dxfId="21547" priority="21385" stopIfTrue="1" operator="equal">
      <formula>"Pass"</formula>
    </cfRule>
    <cfRule type="cellIs" dxfId="21546" priority="21386" stopIfTrue="1" operator="equal">
      <formula>"Fail"</formula>
    </cfRule>
  </conditionalFormatting>
  <conditionalFormatting sqref="A874:A876">
    <cfRule type="cellIs" dxfId="21545" priority="21383" stopIfTrue="1" operator="equal">
      <formula>"Pass"</formula>
    </cfRule>
    <cfRule type="cellIs" dxfId="21544" priority="21384" stopIfTrue="1" operator="equal">
      <formula>"Fail"</formula>
    </cfRule>
  </conditionalFormatting>
  <conditionalFormatting sqref="A876">
    <cfRule type="cellIs" dxfId="21543" priority="21381" stopIfTrue="1" operator="equal">
      <formula>"Pass"</formula>
    </cfRule>
    <cfRule type="cellIs" dxfId="21542" priority="21382" stopIfTrue="1" operator="equal">
      <formula>"Fail"</formula>
    </cfRule>
  </conditionalFormatting>
  <conditionalFormatting sqref="A874:A876">
    <cfRule type="cellIs" dxfId="21541" priority="21379" stopIfTrue="1" operator="equal">
      <formula>"Pass"</formula>
    </cfRule>
    <cfRule type="cellIs" dxfId="21540" priority="21380" stopIfTrue="1" operator="equal">
      <formula>"Fail"</formula>
    </cfRule>
  </conditionalFormatting>
  <conditionalFormatting sqref="A874:A876">
    <cfRule type="cellIs" dxfId="21539" priority="21377" stopIfTrue="1" operator="equal">
      <formula>"Pass"</formula>
    </cfRule>
    <cfRule type="cellIs" dxfId="21538" priority="21378" stopIfTrue="1" operator="equal">
      <formula>"Fail"</formula>
    </cfRule>
  </conditionalFormatting>
  <conditionalFormatting sqref="A874:A876">
    <cfRule type="cellIs" dxfId="21537" priority="21375" stopIfTrue="1" operator="equal">
      <formula>"Pass"</formula>
    </cfRule>
    <cfRule type="cellIs" dxfId="21536" priority="21376" stopIfTrue="1" operator="equal">
      <formula>"Fail"</formula>
    </cfRule>
  </conditionalFormatting>
  <conditionalFormatting sqref="A874:A876">
    <cfRule type="cellIs" dxfId="21535" priority="21373" stopIfTrue="1" operator="equal">
      <formula>"Pass"</formula>
    </cfRule>
    <cfRule type="cellIs" dxfId="21534" priority="21374" stopIfTrue="1" operator="equal">
      <formula>"Fail"</formula>
    </cfRule>
  </conditionalFormatting>
  <conditionalFormatting sqref="A874:A876">
    <cfRule type="cellIs" dxfId="21533" priority="21371" stopIfTrue="1" operator="equal">
      <formula>"Pass"</formula>
    </cfRule>
    <cfRule type="cellIs" dxfId="21532" priority="21372" stopIfTrue="1" operator="equal">
      <formula>"Fail"</formula>
    </cfRule>
  </conditionalFormatting>
  <conditionalFormatting sqref="A874:A876">
    <cfRule type="cellIs" dxfId="21531" priority="21369" stopIfTrue="1" operator="equal">
      <formula>"Pass"</formula>
    </cfRule>
    <cfRule type="cellIs" dxfId="21530" priority="21370" stopIfTrue="1" operator="equal">
      <formula>"Fail"</formula>
    </cfRule>
  </conditionalFormatting>
  <conditionalFormatting sqref="A876">
    <cfRule type="cellIs" dxfId="21529" priority="21367" stopIfTrue="1" operator="equal">
      <formula>"Pass"</formula>
    </cfRule>
    <cfRule type="cellIs" dxfId="21528" priority="21368" stopIfTrue="1" operator="equal">
      <formula>"Fail"</formula>
    </cfRule>
  </conditionalFormatting>
  <conditionalFormatting sqref="A874:A876">
    <cfRule type="cellIs" dxfId="21527" priority="21365" stopIfTrue="1" operator="equal">
      <formula>"Pass"</formula>
    </cfRule>
    <cfRule type="cellIs" dxfId="21526" priority="21366" stopIfTrue="1" operator="equal">
      <formula>"Fail"</formula>
    </cfRule>
  </conditionalFormatting>
  <conditionalFormatting sqref="A874:A876">
    <cfRule type="cellIs" dxfId="21525" priority="21363" stopIfTrue="1" operator="equal">
      <formula>"Pass"</formula>
    </cfRule>
    <cfRule type="cellIs" dxfId="21524" priority="21364" stopIfTrue="1" operator="equal">
      <formula>"Fail"</formula>
    </cfRule>
  </conditionalFormatting>
  <conditionalFormatting sqref="A874:A876">
    <cfRule type="cellIs" dxfId="21523" priority="21361" stopIfTrue="1" operator="equal">
      <formula>"Pass"</formula>
    </cfRule>
    <cfRule type="cellIs" dxfId="21522" priority="21362" stopIfTrue="1" operator="equal">
      <formula>"Fail"</formula>
    </cfRule>
  </conditionalFormatting>
  <conditionalFormatting sqref="A874:A876">
    <cfRule type="cellIs" dxfId="21521" priority="21359" stopIfTrue="1" operator="equal">
      <formula>"Pass"</formula>
    </cfRule>
    <cfRule type="cellIs" dxfId="21520" priority="21360" stopIfTrue="1" operator="equal">
      <formula>"Fail"</formula>
    </cfRule>
  </conditionalFormatting>
  <conditionalFormatting sqref="A874:A876">
    <cfRule type="cellIs" dxfId="21519" priority="21357" stopIfTrue="1" operator="equal">
      <formula>"Pass"</formula>
    </cfRule>
    <cfRule type="cellIs" dxfId="21518" priority="21358" stopIfTrue="1" operator="equal">
      <formula>"Fail"</formula>
    </cfRule>
  </conditionalFormatting>
  <conditionalFormatting sqref="A874:A876">
    <cfRule type="cellIs" dxfId="21517" priority="21355" stopIfTrue="1" operator="equal">
      <formula>"Pass"</formula>
    </cfRule>
    <cfRule type="cellIs" dxfId="21516" priority="21356" stopIfTrue="1" operator="equal">
      <formula>"Fail"</formula>
    </cfRule>
  </conditionalFormatting>
  <conditionalFormatting sqref="A876">
    <cfRule type="cellIs" dxfId="21515" priority="21353" stopIfTrue="1" operator="equal">
      <formula>"Pass"</formula>
    </cfRule>
    <cfRule type="cellIs" dxfId="21514" priority="21354" stopIfTrue="1" operator="equal">
      <formula>"Fail"</formula>
    </cfRule>
  </conditionalFormatting>
  <conditionalFormatting sqref="A874:A876">
    <cfRule type="cellIs" dxfId="21513" priority="21351" stopIfTrue="1" operator="equal">
      <formula>"Pass"</formula>
    </cfRule>
    <cfRule type="cellIs" dxfId="21512" priority="21352" stopIfTrue="1" operator="equal">
      <formula>"Fail"</formula>
    </cfRule>
  </conditionalFormatting>
  <conditionalFormatting sqref="A877:A879">
    <cfRule type="cellIs" dxfId="21511" priority="21349" stopIfTrue="1" operator="equal">
      <formula>"Pass"</formula>
    </cfRule>
    <cfRule type="cellIs" dxfId="21510" priority="21350" stopIfTrue="1" operator="equal">
      <formula>"Fail"</formula>
    </cfRule>
  </conditionalFormatting>
  <conditionalFormatting sqref="A877:A879">
    <cfRule type="cellIs" dxfId="21509" priority="21347" stopIfTrue="1" operator="equal">
      <formula>"Pass"</formula>
    </cfRule>
    <cfRule type="cellIs" dxfId="21508" priority="21348" stopIfTrue="1" operator="equal">
      <formula>"Fail"</formula>
    </cfRule>
  </conditionalFormatting>
  <conditionalFormatting sqref="A877:A879">
    <cfRule type="cellIs" dxfId="21507" priority="21345" stopIfTrue="1" operator="equal">
      <formula>"Pass"</formula>
    </cfRule>
    <cfRule type="cellIs" dxfId="21506" priority="21346" stopIfTrue="1" operator="equal">
      <formula>"Fail"</formula>
    </cfRule>
  </conditionalFormatting>
  <conditionalFormatting sqref="A877:A879">
    <cfRule type="cellIs" dxfId="21505" priority="21343" stopIfTrue="1" operator="equal">
      <formula>"Pass"</formula>
    </cfRule>
    <cfRule type="cellIs" dxfId="21504" priority="21344" stopIfTrue="1" operator="equal">
      <formula>"Fail"</formula>
    </cfRule>
  </conditionalFormatting>
  <conditionalFormatting sqref="A877:A879">
    <cfRule type="cellIs" dxfId="21503" priority="21341" stopIfTrue="1" operator="equal">
      <formula>"Pass"</formula>
    </cfRule>
    <cfRule type="cellIs" dxfId="21502" priority="21342" stopIfTrue="1" operator="equal">
      <formula>"Fail"</formula>
    </cfRule>
  </conditionalFormatting>
  <conditionalFormatting sqref="A879">
    <cfRule type="cellIs" dxfId="21501" priority="21339" stopIfTrue="1" operator="equal">
      <formula>"Pass"</formula>
    </cfRule>
    <cfRule type="cellIs" dxfId="21500" priority="21340" stopIfTrue="1" operator="equal">
      <formula>"Fail"</formula>
    </cfRule>
  </conditionalFormatting>
  <conditionalFormatting sqref="A877:A879">
    <cfRule type="cellIs" dxfId="21499" priority="21337" stopIfTrue="1" operator="equal">
      <formula>"Pass"</formula>
    </cfRule>
    <cfRule type="cellIs" dxfId="21498" priority="21338" stopIfTrue="1" operator="equal">
      <formula>"Fail"</formula>
    </cfRule>
  </conditionalFormatting>
  <conditionalFormatting sqref="A877:A879">
    <cfRule type="cellIs" dxfId="21497" priority="21335" stopIfTrue="1" operator="equal">
      <formula>"Pass"</formula>
    </cfRule>
    <cfRule type="cellIs" dxfId="21496" priority="21336" stopIfTrue="1" operator="equal">
      <formula>"Fail"</formula>
    </cfRule>
  </conditionalFormatting>
  <conditionalFormatting sqref="A877:A879">
    <cfRule type="cellIs" dxfId="21495" priority="21333" stopIfTrue="1" operator="equal">
      <formula>"Pass"</formula>
    </cfRule>
    <cfRule type="cellIs" dxfId="21494" priority="21334" stopIfTrue="1" operator="equal">
      <formula>"Fail"</formula>
    </cfRule>
  </conditionalFormatting>
  <conditionalFormatting sqref="A877:A879">
    <cfRule type="cellIs" dxfId="21493" priority="21331" stopIfTrue="1" operator="equal">
      <formula>"Pass"</formula>
    </cfRule>
    <cfRule type="cellIs" dxfId="21492" priority="21332" stopIfTrue="1" operator="equal">
      <formula>"Fail"</formula>
    </cfRule>
  </conditionalFormatting>
  <conditionalFormatting sqref="A877:A879">
    <cfRule type="cellIs" dxfId="21491" priority="21329" stopIfTrue="1" operator="equal">
      <formula>"Pass"</formula>
    </cfRule>
    <cfRule type="cellIs" dxfId="21490" priority="21330" stopIfTrue="1" operator="equal">
      <formula>"Fail"</formula>
    </cfRule>
  </conditionalFormatting>
  <conditionalFormatting sqref="A877:A879">
    <cfRule type="cellIs" dxfId="21489" priority="21327" stopIfTrue="1" operator="equal">
      <formula>"Pass"</formula>
    </cfRule>
    <cfRule type="cellIs" dxfId="21488" priority="21328" stopIfTrue="1" operator="equal">
      <formula>"Fail"</formula>
    </cfRule>
  </conditionalFormatting>
  <conditionalFormatting sqref="A879">
    <cfRule type="cellIs" dxfId="21487" priority="21325" stopIfTrue="1" operator="equal">
      <formula>"Pass"</formula>
    </cfRule>
    <cfRule type="cellIs" dxfId="21486" priority="21326" stopIfTrue="1" operator="equal">
      <formula>"Fail"</formula>
    </cfRule>
  </conditionalFormatting>
  <conditionalFormatting sqref="A877:A879">
    <cfRule type="cellIs" dxfId="21485" priority="21323" stopIfTrue="1" operator="equal">
      <formula>"Pass"</formula>
    </cfRule>
    <cfRule type="cellIs" dxfId="21484" priority="21324" stopIfTrue="1" operator="equal">
      <formula>"Fail"</formula>
    </cfRule>
  </conditionalFormatting>
  <conditionalFormatting sqref="A877:A879">
    <cfRule type="cellIs" dxfId="21483" priority="21321" stopIfTrue="1" operator="equal">
      <formula>"Pass"</formula>
    </cfRule>
    <cfRule type="cellIs" dxfId="21482" priority="21322" stopIfTrue="1" operator="equal">
      <formula>"Fail"</formula>
    </cfRule>
  </conditionalFormatting>
  <conditionalFormatting sqref="A877:A879">
    <cfRule type="cellIs" dxfId="21481" priority="21319" stopIfTrue="1" operator="equal">
      <formula>"Pass"</formula>
    </cfRule>
    <cfRule type="cellIs" dxfId="21480" priority="21320" stopIfTrue="1" operator="equal">
      <formula>"Fail"</formula>
    </cfRule>
  </conditionalFormatting>
  <conditionalFormatting sqref="A877:A879">
    <cfRule type="cellIs" dxfId="21479" priority="21317" stopIfTrue="1" operator="equal">
      <formula>"Pass"</formula>
    </cfRule>
    <cfRule type="cellIs" dxfId="21478" priority="21318" stopIfTrue="1" operator="equal">
      <formula>"Fail"</formula>
    </cfRule>
  </conditionalFormatting>
  <conditionalFormatting sqref="A877:A879">
    <cfRule type="cellIs" dxfId="21477" priority="21315" stopIfTrue="1" operator="equal">
      <formula>"Pass"</formula>
    </cfRule>
    <cfRule type="cellIs" dxfId="21476" priority="21316" stopIfTrue="1" operator="equal">
      <formula>"Fail"</formula>
    </cfRule>
  </conditionalFormatting>
  <conditionalFormatting sqref="A877:A879">
    <cfRule type="cellIs" dxfId="21475" priority="21313" stopIfTrue="1" operator="equal">
      <formula>"Pass"</formula>
    </cfRule>
    <cfRule type="cellIs" dxfId="21474" priority="21314" stopIfTrue="1" operator="equal">
      <formula>"Fail"</formula>
    </cfRule>
  </conditionalFormatting>
  <conditionalFormatting sqref="A879">
    <cfRule type="cellIs" dxfId="21473" priority="21311" stopIfTrue="1" operator="equal">
      <formula>"Pass"</formula>
    </cfRule>
    <cfRule type="cellIs" dxfId="21472" priority="21312" stopIfTrue="1" operator="equal">
      <formula>"Fail"</formula>
    </cfRule>
  </conditionalFormatting>
  <conditionalFormatting sqref="A877:A879">
    <cfRule type="cellIs" dxfId="21471" priority="21309" stopIfTrue="1" operator="equal">
      <formula>"Pass"</formula>
    </cfRule>
    <cfRule type="cellIs" dxfId="21470" priority="21310" stopIfTrue="1" operator="equal">
      <formula>"Fail"</formula>
    </cfRule>
  </conditionalFormatting>
  <conditionalFormatting sqref="H877:H878">
    <cfRule type="cellIs" dxfId="21469" priority="21307" stopIfTrue="1" operator="equal">
      <formula>"Pass"</formula>
    </cfRule>
    <cfRule type="cellIs" dxfId="21468" priority="21308" stopIfTrue="1" operator="equal">
      <formula>"Fail"</formula>
    </cfRule>
  </conditionalFormatting>
  <conditionalFormatting sqref="F877 I877:M878 F879">
    <cfRule type="cellIs" dxfId="21467" priority="21305" stopIfTrue="1" operator="equal">
      <formula>"Pass"</formula>
    </cfRule>
    <cfRule type="cellIs" dxfId="21466" priority="21306" stopIfTrue="1" operator="equal">
      <formula>"Fail"</formula>
    </cfRule>
  </conditionalFormatting>
  <conditionalFormatting sqref="T879 T877 R877:R879 S878:S879">
    <cfRule type="cellIs" dxfId="21465" priority="21303" stopIfTrue="1" operator="equal">
      <formula>"Fail"</formula>
    </cfRule>
    <cfRule type="cellIs" dxfId="21464" priority="21304" stopIfTrue="1" operator="equal">
      <formula>"Pass"</formula>
    </cfRule>
  </conditionalFormatting>
  <conditionalFormatting sqref="F877:G877 F879:G879 J877:N878">
    <cfRule type="cellIs" dxfId="21463" priority="21301" stopIfTrue="1" operator="equal">
      <formula>"Pass"</formula>
    </cfRule>
    <cfRule type="cellIs" dxfId="21462" priority="21302" stopIfTrue="1" operator="equal">
      <formula>"Fail"</formula>
    </cfRule>
  </conditionalFormatting>
  <conditionalFormatting sqref="U879 T877:T879 S878:S879">
    <cfRule type="cellIs" dxfId="21461" priority="21299" stopIfTrue="1" operator="equal">
      <formula>"Fail"</formula>
    </cfRule>
    <cfRule type="cellIs" dxfId="21460" priority="21300" stopIfTrue="1" operator="equal">
      <formula>"Pass"</formula>
    </cfRule>
  </conditionalFormatting>
  <conditionalFormatting sqref="U877">
    <cfRule type="cellIs" dxfId="21459" priority="21297" stopIfTrue="1" operator="equal">
      <formula>"Fail"</formula>
    </cfRule>
    <cfRule type="cellIs" dxfId="21458" priority="21298" stopIfTrue="1" operator="equal">
      <formula>"Pass"</formula>
    </cfRule>
  </conditionalFormatting>
  <conditionalFormatting sqref="F877:G877 J877:N877">
    <cfRule type="cellIs" dxfId="21457" priority="21295" stopIfTrue="1" operator="equal">
      <formula>"Pass"</formula>
    </cfRule>
    <cfRule type="cellIs" dxfId="21456" priority="21296" stopIfTrue="1" operator="equal">
      <formula>"Fail"</formula>
    </cfRule>
  </conditionalFormatting>
  <conditionalFormatting sqref="J878:N878">
    <cfRule type="cellIs" dxfId="21455" priority="21293" stopIfTrue="1" operator="equal">
      <formula>"Pass"</formula>
    </cfRule>
    <cfRule type="cellIs" dxfId="21454" priority="21294" stopIfTrue="1" operator="equal">
      <formula>"Fail"</formula>
    </cfRule>
  </conditionalFormatting>
  <conditionalFormatting sqref="H877:H878">
    <cfRule type="cellIs" dxfId="21453" priority="21291" stopIfTrue="1" operator="equal">
      <formula>"Pass"</formula>
    </cfRule>
    <cfRule type="cellIs" dxfId="21452" priority="21292" stopIfTrue="1" operator="equal">
      <formula>"Fail"</formula>
    </cfRule>
  </conditionalFormatting>
  <conditionalFormatting sqref="F877 I877:M878 F879">
    <cfRule type="cellIs" dxfId="21451" priority="21289" stopIfTrue="1" operator="equal">
      <formula>"Pass"</formula>
    </cfRule>
    <cfRule type="cellIs" dxfId="21450" priority="21290" stopIfTrue="1" operator="equal">
      <formula>"Fail"</formula>
    </cfRule>
  </conditionalFormatting>
  <conditionalFormatting sqref="T879 T877 R877:R879 S878:S879">
    <cfRule type="cellIs" dxfId="21449" priority="21287" stopIfTrue="1" operator="equal">
      <formula>"Fail"</formula>
    </cfRule>
    <cfRule type="cellIs" dxfId="21448" priority="21288" stopIfTrue="1" operator="equal">
      <formula>"Pass"</formula>
    </cfRule>
  </conditionalFormatting>
  <conditionalFormatting sqref="F877:G877 F879:G879 J877:N878">
    <cfRule type="cellIs" dxfId="21447" priority="21285" stopIfTrue="1" operator="equal">
      <formula>"Pass"</formula>
    </cfRule>
    <cfRule type="cellIs" dxfId="21446" priority="21286" stopIfTrue="1" operator="equal">
      <formula>"Fail"</formula>
    </cfRule>
  </conditionalFormatting>
  <conditionalFormatting sqref="U879 T877:T879 S878:S879">
    <cfRule type="cellIs" dxfId="21445" priority="21283" stopIfTrue="1" operator="equal">
      <formula>"Fail"</formula>
    </cfRule>
    <cfRule type="cellIs" dxfId="21444" priority="21284" stopIfTrue="1" operator="equal">
      <formula>"Pass"</formula>
    </cfRule>
  </conditionalFormatting>
  <conditionalFormatting sqref="U877">
    <cfRule type="cellIs" dxfId="21443" priority="21281" stopIfTrue="1" operator="equal">
      <formula>"Fail"</formula>
    </cfRule>
    <cfRule type="cellIs" dxfId="21442" priority="21282" stopIfTrue="1" operator="equal">
      <formula>"Pass"</formula>
    </cfRule>
  </conditionalFormatting>
  <conditionalFormatting sqref="F877:G877 J877:N877">
    <cfRule type="cellIs" dxfId="21441" priority="21279" stopIfTrue="1" operator="equal">
      <formula>"Pass"</formula>
    </cfRule>
    <cfRule type="cellIs" dxfId="21440" priority="21280" stopIfTrue="1" operator="equal">
      <formula>"Fail"</formula>
    </cfRule>
  </conditionalFormatting>
  <conditionalFormatting sqref="J878:N878">
    <cfRule type="cellIs" dxfId="21439" priority="21277" stopIfTrue="1" operator="equal">
      <formula>"Pass"</formula>
    </cfRule>
    <cfRule type="cellIs" dxfId="21438" priority="21278" stopIfTrue="1" operator="equal">
      <formula>"Fail"</formula>
    </cfRule>
  </conditionalFormatting>
  <conditionalFormatting sqref="H877:H878">
    <cfRule type="cellIs" dxfId="21437" priority="21275" stopIfTrue="1" operator="equal">
      <formula>"Pass"</formula>
    </cfRule>
    <cfRule type="cellIs" dxfId="21436" priority="21276" stopIfTrue="1" operator="equal">
      <formula>"Fail"</formula>
    </cfRule>
  </conditionalFormatting>
  <conditionalFormatting sqref="F877 I877:M878 F879">
    <cfRule type="cellIs" dxfId="21435" priority="21273" stopIfTrue="1" operator="equal">
      <formula>"Pass"</formula>
    </cfRule>
    <cfRule type="cellIs" dxfId="21434" priority="21274" stopIfTrue="1" operator="equal">
      <formula>"Fail"</formula>
    </cfRule>
  </conditionalFormatting>
  <conditionalFormatting sqref="T879 T877 R877:R879 S878:S879">
    <cfRule type="cellIs" dxfId="21433" priority="21271" stopIfTrue="1" operator="equal">
      <formula>"Fail"</formula>
    </cfRule>
    <cfRule type="cellIs" dxfId="21432" priority="21272" stopIfTrue="1" operator="equal">
      <formula>"Pass"</formula>
    </cfRule>
  </conditionalFormatting>
  <conditionalFormatting sqref="F877:G877 F879:G879 J877:N878">
    <cfRule type="cellIs" dxfId="21431" priority="21269" stopIfTrue="1" operator="equal">
      <formula>"Pass"</formula>
    </cfRule>
    <cfRule type="cellIs" dxfId="21430" priority="21270" stopIfTrue="1" operator="equal">
      <formula>"Fail"</formula>
    </cfRule>
  </conditionalFormatting>
  <conditionalFormatting sqref="U879 T877:T879 S878:S879">
    <cfRule type="cellIs" dxfId="21429" priority="21267" stopIfTrue="1" operator="equal">
      <formula>"Fail"</formula>
    </cfRule>
    <cfRule type="cellIs" dxfId="21428" priority="21268" stopIfTrue="1" operator="equal">
      <formula>"Pass"</formula>
    </cfRule>
  </conditionalFormatting>
  <conditionalFormatting sqref="U877">
    <cfRule type="cellIs" dxfId="21427" priority="21265" stopIfTrue="1" operator="equal">
      <formula>"Fail"</formula>
    </cfRule>
    <cfRule type="cellIs" dxfId="21426" priority="21266" stopIfTrue="1" operator="equal">
      <formula>"Pass"</formula>
    </cfRule>
  </conditionalFormatting>
  <conditionalFormatting sqref="F877:G877 J877:N877">
    <cfRule type="cellIs" dxfId="21425" priority="21263" stopIfTrue="1" operator="equal">
      <formula>"Pass"</formula>
    </cfRule>
    <cfRule type="cellIs" dxfId="21424" priority="21264" stopIfTrue="1" operator="equal">
      <formula>"Fail"</formula>
    </cfRule>
  </conditionalFormatting>
  <conditionalFormatting sqref="J878:N878">
    <cfRule type="cellIs" dxfId="21423" priority="21261" stopIfTrue="1" operator="equal">
      <formula>"Pass"</formula>
    </cfRule>
    <cfRule type="cellIs" dxfId="21422" priority="21262" stopIfTrue="1" operator="equal">
      <formula>"Fail"</formula>
    </cfRule>
  </conditionalFormatting>
  <conditionalFormatting sqref="U877">
    <cfRule type="cellIs" dxfId="21421" priority="21259" stopIfTrue="1" operator="equal">
      <formula>"Fail"</formula>
    </cfRule>
    <cfRule type="cellIs" dxfId="21420" priority="21260" stopIfTrue="1" operator="equal">
      <formula>"Pass"</formula>
    </cfRule>
  </conditionalFormatting>
  <conditionalFormatting sqref="U877">
    <cfRule type="cellIs" dxfId="21419" priority="21257" stopIfTrue="1" operator="equal">
      <formula>"Fail"</formula>
    </cfRule>
    <cfRule type="cellIs" dxfId="21418" priority="21258" stopIfTrue="1" operator="equal">
      <formula>"Pass"</formula>
    </cfRule>
  </conditionalFormatting>
  <conditionalFormatting sqref="U877">
    <cfRule type="cellIs" dxfId="21417" priority="21255" stopIfTrue="1" operator="equal">
      <formula>"Fail"</formula>
    </cfRule>
    <cfRule type="cellIs" dxfId="21416" priority="21256" stopIfTrue="1" operator="equal">
      <formula>"Pass"</formula>
    </cfRule>
  </conditionalFormatting>
  <conditionalFormatting sqref="N877">
    <cfRule type="cellIs" dxfId="21415" priority="21253" stopIfTrue="1" operator="equal">
      <formula>"Pass"</formula>
    </cfRule>
    <cfRule type="cellIs" dxfId="21414" priority="21254" stopIfTrue="1" operator="equal">
      <formula>"Fail"</formula>
    </cfRule>
  </conditionalFormatting>
  <conditionalFormatting sqref="N877">
    <cfRule type="cellIs" dxfId="21413" priority="21251" stopIfTrue="1" operator="equal">
      <formula>"Pass"</formula>
    </cfRule>
    <cfRule type="cellIs" dxfId="21412" priority="21252" stopIfTrue="1" operator="equal">
      <formula>"Fail"</formula>
    </cfRule>
  </conditionalFormatting>
  <conditionalFormatting sqref="N877">
    <cfRule type="cellIs" dxfId="21411" priority="21249" stopIfTrue="1" operator="equal">
      <formula>"Pass"</formula>
    </cfRule>
    <cfRule type="cellIs" dxfId="21410" priority="21250" stopIfTrue="1" operator="equal">
      <formula>"Fail"</formula>
    </cfRule>
  </conditionalFormatting>
  <conditionalFormatting sqref="H880:H881">
    <cfRule type="cellIs" dxfId="21409" priority="21247" stopIfTrue="1" operator="equal">
      <formula>"Pass"</formula>
    </cfRule>
    <cfRule type="cellIs" dxfId="21408" priority="21248" stopIfTrue="1" operator="equal">
      <formula>"Fail"</formula>
    </cfRule>
  </conditionalFormatting>
  <conditionalFormatting sqref="E880:F880 E882:F882 I880:M881 A880:A882">
    <cfRule type="cellIs" dxfId="21407" priority="21245" stopIfTrue="1" operator="equal">
      <formula>"Pass"</formula>
    </cfRule>
    <cfRule type="cellIs" dxfId="21406" priority="21246" stopIfTrue="1" operator="equal">
      <formula>"Fail"</formula>
    </cfRule>
  </conditionalFormatting>
  <conditionalFormatting sqref="T882 T880 R880:R882 S881:S882">
    <cfRule type="cellIs" dxfId="21405" priority="21243" stopIfTrue="1" operator="equal">
      <formula>"Fail"</formula>
    </cfRule>
    <cfRule type="cellIs" dxfId="21404" priority="21244" stopIfTrue="1" operator="equal">
      <formula>"Pass"</formula>
    </cfRule>
  </conditionalFormatting>
  <conditionalFormatting sqref="F880:G880 F882:G882 A880:B882 J880:N881">
    <cfRule type="cellIs" dxfId="21403" priority="21241" stopIfTrue="1" operator="equal">
      <formula>"Pass"</formula>
    </cfRule>
    <cfRule type="cellIs" dxfId="21402" priority="21242" stopIfTrue="1" operator="equal">
      <formula>"Fail"</formula>
    </cfRule>
  </conditionalFormatting>
  <conditionalFormatting sqref="U882 U880 T880:T882 S881:S882">
    <cfRule type="cellIs" dxfId="21401" priority="21239" stopIfTrue="1" operator="equal">
      <formula>"Fail"</formula>
    </cfRule>
    <cfRule type="cellIs" dxfId="21400" priority="21240" stopIfTrue="1" operator="equal">
      <formula>"Pass"</formula>
    </cfRule>
  </conditionalFormatting>
  <conditionalFormatting sqref="A880:A882">
    <cfRule type="cellIs" dxfId="21399" priority="21237" stopIfTrue="1" operator="equal">
      <formula>"Pass"</formula>
    </cfRule>
    <cfRule type="cellIs" dxfId="21398" priority="21238" stopIfTrue="1" operator="equal">
      <formula>"Fail"</formula>
    </cfRule>
  </conditionalFormatting>
  <conditionalFormatting sqref="A880:A882">
    <cfRule type="cellIs" dxfId="21397" priority="21235" stopIfTrue="1" operator="equal">
      <formula>"Pass"</formula>
    </cfRule>
    <cfRule type="cellIs" dxfId="21396" priority="21236" stopIfTrue="1" operator="equal">
      <formula>"Fail"</formula>
    </cfRule>
  </conditionalFormatting>
  <conditionalFormatting sqref="A880:A882">
    <cfRule type="cellIs" dxfId="21395" priority="21233" stopIfTrue="1" operator="equal">
      <formula>"Pass"</formula>
    </cfRule>
    <cfRule type="cellIs" dxfId="21394" priority="21234" stopIfTrue="1" operator="equal">
      <formula>"Fail"</formula>
    </cfRule>
  </conditionalFormatting>
  <conditionalFormatting sqref="J880:N881 E880:G882">
    <cfRule type="cellIs" dxfId="21393" priority="21231" stopIfTrue="1" operator="equal">
      <formula>"Pass"</formula>
    </cfRule>
    <cfRule type="cellIs" dxfId="21392" priority="21232" stopIfTrue="1" operator="equal">
      <formula>"Fail"</formula>
    </cfRule>
  </conditionalFormatting>
  <conditionalFormatting sqref="A882 C882 K880:O881 F880:H882">
    <cfRule type="cellIs" dxfId="21391" priority="21229" stopIfTrue="1" operator="equal">
      <formula>"Pass"</formula>
    </cfRule>
    <cfRule type="cellIs" dxfId="21390" priority="21230" stopIfTrue="1" operator="equal">
      <formula>"Fail"</formula>
    </cfRule>
  </conditionalFormatting>
  <conditionalFormatting sqref="T880">
    <cfRule type="cellIs" dxfId="21389" priority="21227" stopIfTrue="1" operator="equal">
      <formula>"Fail"</formula>
    </cfRule>
    <cfRule type="cellIs" dxfId="21388" priority="21228" stopIfTrue="1" operator="equal">
      <formula>"Pass"</formula>
    </cfRule>
  </conditionalFormatting>
  <conditionalFormatting sqref="A880:A882">
    <cfRule type="cellIs" dxfId="21387" priority="21225" stopIfTrue="1" operator="equal">
      <formula>"Pass"</formula>
    </cfRule>
    <cfRule type="cellIs" dxfId="21386" priority="21226" stopIfTrue="1" operator="equal">
      <formula>"Fail"</formula>
    </cfRule>
  </conditionalFormatting>
  <conditionalFormatting sqref="A880:A882">
    <cfRule type="cellIs" dxfId="21385" priority="21223" stopIfTrue="1" operator="equal">
      <formula>"Pass"</formula>
    </cfRule>
    <cfRule type="cellIs" dxfId="21384" priority="21224" stopIfTrue="1" operator="equal">
      <formula>"Fail"</formula>
    </cfRule>
  </conditionalFormatting>
  <conditionalFormatting sqref="A880:A882">
    <cfRule type="cellIs" dxfId="21383" priority="21221" stopIfTrue="1" operator="equal">
      <formula>"Pass"</formula>
    </cfRule>
    <cfRule type="cellIs" dxfId="21382" priority="21222" stopIfTrue="1" operator="equal">
      <formula>"Fail"</formula>
    </cfRule>
  </conditionalFormatting>
  <conditionalFormatting sqref="A880:A882">
    <cfRule type="cellIs" dxfId="21381" priority="21219" stopIfTrue="1" operator="equal">
      <formula>"Pass"</formula>
    </cfRule>
    <cfRule type="cellIs" dxfId="21380" priority="21220" stopIfTrue="1" operator="equal">
      <formula>"Fail"</formula>
    </cfRule>
  </conditionalFormatting>
  <conditionalFormatting sqref="A880:A882">
    <cfRule type="cellIs" dxfId="21379" priority="21217" stopIfTrue="1" operator="equal">
      <formula>"Pass"</formula>
    </cfRule>
    <cfRule type="cellIs" dxfId="21378" priority="21218" stopIfTrue="1" operator="equal">
      <formula>"Fail"</formula>
    </cfRule>
  </conditionalFormatting>
  <conditionalFormatting sqref="A880:A882">
    <cfRule type="cellIs" dxfId="21377" priority="21215" stopIfTrue="1" operator="equal">
      <formula>"Pass"</formula>
    </cfRule>
    <cfRule type="cellIs" dxfId="21376" priority="21216" stopIfTrue="1" operator="equal">
      <formula>"Fail"</formula>
    </cfRule>
  </conditionalFormatting>
  <conditionalFormatting sqref="A882">
    <cfRule type="cellIs" dxfId="21375" priority="21213" stopIfTrue="1" operator="equal">
      <formula>"Pass"</formula>
    </cfRule>
    <cfRule type="cellIs" dxfId="21374" priority="21214" stopIfTrue="1" operator="equal">
      <formula>"Fail"</formula>
    </cfRule>
  </conditionalFormatting>
  <conditionalFormatting sqref="A880:A882">
    <cfRule type="cellIs" dxfId="21373" priority="21211" stopIfTrue="1" operator="equal">
      <formula>"Pass"</formula>
    </cfRule>
    <cfRule type="cellIs" dxfId="21372" priority="21212" stopIfTrue="1" operator="equal">
      <formula>"Fail"</formula>
    </cfRule>
  </conditionalFormatting>
  <conditionalFormatting sqref="A880:A882">
    <cfRule type="cellIs" dxfId="21371" priority="21209" stopIfTrue="1" operator="equal">
      <formula>"Pass"</formula>
    </cfRule>
    <cfRule type="cellIs" dxfId="21370" priority="21210" stopIfTrue="1" operator="equal">
      <formula>"Fail"</formula>
    </cfRule>
  </conditionalFormatting>
  <conditionalFormatting sqref="A880:A882">
    <cfRule type="cellIs" dxfId="21369" priority="21207" stopIfTrue="1" operator="equal">
      <formula>"Pass"</formula>
    </cfRule>
    <cfRule type="cellIs" dxfId="21368" priority="21208" stopIfTrue="1" operator="equal">
      <formula>"Fail"</formula>
    </cfRule>
  </conditionalFormatting>
  <conditionalFormatting sqref="A880:A882">
    <cfRule type="cellIs" dxfId="21367" priority="21205" stopIfTrue="1" operator="equal">
      <formula>"Pass"</formula>
    </cfRule>
    <cfRule type="cellIs" dxfId="21366" priority="21206" stopIfTrue="1" operator="equal">
      <formula>"Fail"</formula>
    </cfRule>
  </conditionalFormatting>
  <conditionalFormatting sqref="A880:A882">
    <cfRule type="cellIs" dxfId="21365" priority="21203" stopIfTrue="1" operator="equal">
      <formula>"Pass"</formula>
    </cfRule>
    <cfRule type="cellIs" dxfId="21364" priority="21204" stopIfTrue="1" operator="equal">
      <formula>"Fail"</formula>
    </cfRule>
  </conditionalFormatting>
  <conditionalFormatting sqref="A880:A882">
    <cfRule type="cellIs" dxfId="21363" priority="21201" stopIfTrue="1" operator="equal">
      <formula>"Pass"</formula>
    </cfRule>
    <cfRule type="cellIs" dxfId="21362" priority="21202" stopIfTrue="1" operator="equal">
      <formula>"Fail"</formula>
    </cfRule>
  </conditionalFormatting>
  <conditionalFormatting sqref="A882">
    <cfRule type="cellIs" dxfId="21361" priority="21199" stopIfTrue="1" operator="equal">
      <formula>"Pass"</formula>
    </cfRule>
    <cfRule type="cellIs" dxfId="21360" priority="21200" stopIfTrue="1" operator="equal">
      <formula>"Fail"</formula>
    </cfRule>
  </conditionalFormatting>
  <conditionalFormatting sqref="A880:A882">
    <cfRule type="cellIs" dxfId="21359" priority="21197" stopIfTrue="1" operator="equal">
      <formula>"Pass"</formula>
    </cfRule>
    <cfRule type="cellIs" dxfId="21358" priority="21198" stopIfTrue="1" operator="equal">
      <formula>"Fail"</formula>
    </cfRule>
  </conditionalFormatting>
  <conditionalFormatting sqref="H880:H881">
    <cfRule type="cellIs" dxfId="21357" priority="21195" stopIfTrue="1" operator="equal">
      <formula>"Pass"</formula>
    </cfRule>
    <cfRule type="cellIs" dxfId="21356" priority="21196" stopIfTrue="1" operator="equal">
      <formula>"Fail"</formula>
    </cfRule>
  </conditionalFormatting>
  <conditionalFormatting sqref="F880 F882 I880:M881">
    <cfRule type="cellIs" dxfId="21355" priority="21193" stopIfTrue="1" operator="equal">
      <formula>"Pass"</formula>
    </cfRule>
    <cfRule type="cellIs" dxfId="21354" priority="21194" stopIfTrue="1" operator="equal">
      <formula>"Fail"</formula>
    </cfRule>
  </conditionalFormatting>
  <conditionalFormatting sqref="T882 T880 R880:R882 S881:S882">
    <cfRule type="cellIs" dxfId="21353" priority="21191" stopIfTrue="1" operator="equal">
      <formula>"Fail"</formula>
    </cfRule>
    <cfRule type="cellIs" dxfId="21352" priority="21192" stopIfTrue="1" operator="equal">
      <formula>"Pass"</formula>
    </cfRule>
  </conditionalFormatting>
  <conditionalFormatting sqref="F880:G880 F882:G882 J880:N881">
    <cfRule type="cellIs" dxfId="21351" priority="21189" stopIfTrue="1" operator="equal">
      <formula>"Pass"</formula>
    </cfRule>
    <cfRule type="cellIs" dxfId="21350" priority="21190" stopIfTrue="1" operator="equal">
      <formula>"Fail"</formula>
    </cfRule>
  </conditionalFormatting>
  <conditionalFormatting sqref="U882 U880 T880:T882 S881:S882">
    <cfRule type="cellIs" dxfId="21349" priority="21187" stopIfTrue="1" operator="equal">
      <formula>"Fail"</formula>
    </cfRule>
    <cfRule type="cellIs" dxfId="21348" priority="21188" stopIfTrue="1" operator="equal">
      <formula>"Pass"</formula>
    </cfRule>
  </conditionalFormatting>
  <conditionalFormatting sqref="J880:N881 F880:G882">
    <cfRule type="cellIs" dxfId="21347" priority="21185" stopIfTrue="1" operator="equal">
      <formula>"Pass"</formula>
    </cfRule>
    <cfRule type="cellIs" dxfId="21346" priority="21186" stopIfTrue="1" operator="equal">
      <formula>"Fail"</formula>
    </cfRule>
  </conditionalFormatting>
  <conditionalFormatting sqref="K880:O881 F880:H882">
    <cfRule type="cellIs" dxfId="21345" priority="21183" stopIfTrue="1" operator="equal">
      <formula>"Pass"</formula>
    </cfRule>
    <cfRule type="cellIs" dxfId="21344" priority="21184" stopIfTrue="1" operator="equal">
      <formula>"Fail"</formula>
    </cfRule>
  </conditionalFormatting>
  <conditionalFormatting sqref="T880">
    <cfRule type="cellIs" dxfId="21343" priority="21181" stopIfTrue="1" operator="equal">
      <formula>"Fail"</formula>
    </cfRule>
    <cfRule type="cellIs" dxfId="21342" priority="21182" stopIfTrue="1" operator="equal">
      <formula>"Pass"</formula>
    </cfRule>
  </conditionalFormatting>
  <conditionalFormatting sqref="K880:O881 F880:H882">
    <cfRule type="cellIs" dxfId="21341" priority="21179" stopIfTrue="1" operator="equal">
      <formula>"Pass"</formula>
    </cfRule>
    <cfRule type="cellIs" dxfId="21340" priority="21180" stopIfTrue="1" operator="equal">
      <formula>"Fail"</formula>
    </cfRule>
  </conditionalFormatting>
  <conditionalFormatting sqref="T880">
    <cfRule type="cellIs" dxfId="21339" priority="21177" stopIfTrue="1" operator="equal">
      <formula>"Fail"</formula>
    </cfRule>
    <cfRule type="cellIs" dxfId="21338" priority="21178" stopIfTrue="1" operator="equal">
      <formula>"Pass"</formula>
    </cfRule>
  </conditionalFormatting>
  <conditionalFormatting sqref="H880:H881">
    <cfRule type="cellIs" dxfId="21337" priority="21175" stopIfTrue="1" operator="equal">
      <formula>"Pass"</formula>
    </cfRule>
    <cfRule type="cellIs" dxfId="21336" priority="21176" stopIfTrue="1" operator="equal">
      <formula>"Fail"</formula>
    </cfRule>
  </conditionalFormatting>
  <conditionalFormatting sqref="E880:F880 E882:F882 I880:M881 A880:A882">
    <cfRule type="cellIs" dxfId="21335" priority="21173" stopIfTrue="1" operator="equal">
      <formula>"Pass"</formula>
    </cfRule>
    <cfRule type="cellIs" dxfId="21334" priority="21174" stopIfTrue="1" operator="equal">
      <formula>"Fail"</formula>
    </cfRule>
  </conditionalFormatting>
  <conditionalFormatting sqref="T882 T880 R880:R882 S881:S882">
    <cfRule type="cellIs" dxfId="21333" priority="21171" stopIfTrue="1" operator="equal">
      <formula>"Fail"</formula>
    </cfRule>
    <cfRule type="cellIs" dxfId="21332" priority="21172" stopIfTrue="1" operator="equal">
      <formula>"Pass"</formula>
    </cfRule>
  </conditionalFormatting>
  <conditionalFormatting sqref="F880:G880 F882:G882 A880:B882 J880:N881">
    <cfRule type="cellIs" dxfId="21331" priority="21169" stopIfTrue="1" operator="equal">
      <formula>"Pass"</formula>
    </cfRule>
    <cfRule type="cellIs" dxfId="21330" priority="21170" stopIfTrue="1" operator="equal">
      <formula>"Fail"</formula>
    </cfRule>
  </conditionalFormatting>
  <conditionalFormatting sqref="U882 U880 T880:T882 S881:S882">
    <cfRule type="cellIs" dxfId="21329" priority="21167" stopIfTrue="1" operator="equal">
      <formula>"Fail"</formula>
    </cfRule>
    <cfRule type="cellIs" dxfId="21328" priority="21168" stopIfTrue="1" operator="equal">
      <formula>"Pass"</formula>
    </cfRule>
  </conditionalFormatting>
  <conditionalFormatting sqref="A880:A882">
    <cfRule type="cellIs" dxfId="21327" priority="21165" stopIfTrue="1" operator="equal">
      <formula>"Pass"</formula>
    </cfRule>
    <cfRule type="cellIs" dxfId="21326" priority="21166" stopIfTrue="1" operator="equal">
      <formula>"Fail"</formula>
    </cfRule>
  </conditionalFormatting>
  <conditionalFormatting sqref="A880:A882">
    <cfRule type="cellIs" dxfId="21325" priority="21163" stopIfTrue="1" operator="equal">
      <formula>"Pass"</formula>
    </cfRule>
    <cfRule type="cellIs" dxfId="21324" priority="21164" stopIfTrue="1" operator="equal">
      <formula>"Fail"</formula>
    </cfRule>
  </conditionalFormatting>
  <conditionalFormatting sqref="A880:A882">
    <cfRule type="cellIs" dxfId="21323" priority="21161" stopIfTrue="1" operator="equal">
      <formula>"Pass"</formula>
    </cfRule>
    <cfRule type="cellIs" dxfId="21322" priority="21162" stopIfTrue="1" operator="equal">
      <formula>"Fail"</formula>
    </cfRule>
  </conditionalFormatting>
  <conditionalFormatting sqref="J880:N881 E880:G882">
    <cfRule type="cellIs" dxfId="21321" priority="21159" stopIfTrue="1" operator="equal">
      <formula>"Pass"</formula>
    </cfRule>
    <cfRule type="cellIs" dxfId="21320" priority="21160" stopIfTrue="1" operator="equal">
      <formula>"Fail"</formula>
    </cfRule>
  </conditionalFormatting>
  <conditionalFormatting sqref="A882 C882 K880:O881 F880:H882">
    <cfRule type="cellIs" dxfId="21319" priority="21157" stopIfTrue="1" operator="equal">
      <formula>"Pass"</formula>
    </cfRule>
    <cfRule type="cellIs" dxfId="21318" priority="21158" stopIfTrue="1" operator="equal">
      <formula>"Fail"</formula>
    </cfRule>
  </conditionalFormatting>
  <conditionalFormatting sqref="T880">
    <cfRule type="cellIs" dxfId="21317" priority="21155" stopIfTrue="1" operator="equal">
      <formula>"Fail"</formula>
    </cfRule>
    <cfRule type="cellIs" dxfId="21316" priority="21156" stopIfTrue="1" operator="equal">
      <formula>"Pass"</formula>
    </cfRule>
  </conditionalFormatting>
  <conditionalFormatting sqref="A880:A882">
    <cfRule type="cellIs" dxfId="21315" priority="21153" stopIfTrue="1" operator="equal">
      <formula>"Pass"</formula>
    </cfRule>
    <cfRule type="cellIs" dxfId="21314" priority="21154" stopIfTrue="1" operator="equal">
      <formula>"Fail"</formula>
    </cfRule>
  </conditionalFormatting>
  <conditionalFormatting sqref="A880:A882">
    <cfRule type="cellIs" dxfId="21313" priority="21151" stopIfTrue="1" operator="equal">
      <formula>"Pass"</formula>
    </cfRule>
    <cfRule type="cellIs" dxfId="21312" priority="21152" stopIfTrue="1" operator="equal">
      <formula>"Fail"</formula>
    </cfRule>
  </conditionalFormatting>
  <conditionalFormatting sqref="A880:A882">
    <cfRule type="cellIs" dxfId="21311" priority="21149" stopIfTrue="1" operator="equal">
      <formula>"Pass"</formula>
    </cfRule>
    <cfRule type="cellIs" dxfId="21310" priority="21150" stopIfTrue="1" operator="equal">
      <formula>"Fail"</formula>
    </cfRule>
  </conditionalFormatting>
  <conditionalFormatting sqref="A880:A882">
    <cfRule type="cellIs" dxfId="21309" priority="21147" stopIfTrue="1" operator="equal">
      <formula>"Pass"</formula>
    </cfRule>
    <cfRule type="cellIs" dxfId="21308" priority="21148" stopIfTrue="1" operator="equal">
      <formula>"Fail"</formula>
    </cfRule>
  </conditionalFormatting>
  <conditionalFormatting sqref="A880:A882">
    <cfRule type="cellIs" dxfId="21307" priority="21145" stopIfTrue="1" operator="equal">
      <formula>"Pass"</formula>
    </cfRule>
    <cfRule type="cellIs" dxfId="21306" priority="21146" stopIfTrue="1" operator="equal">
      <formula>"Fail"</formula>
    </cfRule>
  </conditionalFormatting>
  <conditionalFormatting sqref="A880:A882">
    <cfRule type="cellIs" dxfId="21305" priority="21143" stopIfTrue="1" operator="equal">
      <formula>"Pass"</formula>
    </cfRule>
    <cfRule type="cellIs" dxfId="21304" priority="21144" stopIfTrue="1" operator="equal">
      <formula>"Fail"</formula>
    </cfRule>
  </conditionalFormatting>
  <conditionalFormatting sqref="A882">
    <cfRule type="cellIs" dxfId="21303" priority="21141" stopIfTrue="1" operator="equal">
      <formula>"Pass"</formula>
    </cfRule>
    <cfRule type="cellIs" dxfId="21302" priority="21142" stopIfTrue="1" operator="equal">
      <formula>"Fail"</formula>
    </cfRule>
  </conditionalFormatting>
  <conditionalFormatting sqref="A880:A882">
    <cfRule type="cellIs" dxfId="21301" priority="21139" stopIfTrue="1" operator="equal">
      <formula>"Pass"</formula>
    </cfRule>
    <cfRule type="cellIs" dxfId="21300" priority="21140" stopIfTrue="1" operator="equal">
      <formula>"Fail"</formula>
    </cfRule>
  </conditionalFormatting>
  <conditionalFormatting sqref="A880:A882">
    <cfRule type="cellIs" dxfId="21299" priority="21137" stopIfTrue="1" operator="equal">
      <formula>"Pass"</formula>
    </cfRule>
    <cfRule type="cellIs" dxfId="21298" priority="21138" stopIfTrue="1" operator="equal">
      <formula>"Fail"</formula>
    </cfRule>
  </conditionalFormatting>
  <conditionalFormatting sqref="A880:A882">
    <cfRule type="cellIs" dxfId="21297" priority="21135" stopIfTrue="1" operator="equal">
      <formula>"Pass"</formula>
    </cfRule>
    <cfRule type="cellIs" dxfId="21296" priority="21136" stopIfTrue="1" operator="equal">
      <formula>"Fail"</formula>
    </cfRule>
  </conditionalFormatting>
  <conditionalFormatting sqref="A880:A882">
    <cfRule type="cellIs" dxfId="21295" priority="21133" stopIfTrue="1" operator="equal">
      <formula>"Pass"</formula>
    </cfRule>
    <cfRule type="cellIs" dxfId="21294" priority="21134" stopIfTrue="1" operator="equal">
      <formula>"Fail"</formula>
    </cfRule>
  </conditionalFormatting>
  <conditionalFormatting sqref="A880:A882">
    <cfRule type="cellIs" dxfId="21293" priority="21131" stopIfTrue="1" operator="equal">
      <formula>"Pass"</formula>
    </cfRule>
    <cfRule type="cellIs" dxfId="21292" priority="21132" stopIfTrue="1" operator="equal">
      <formula>"Fail"</formula>
    </cfRule>
  </conditionalFormatting>
  <conditionalFormatting sqref="A880:A882">
    <cfRule type="cellIs" dxfId="21291" priority="21129" stopIfTrue="1" operator="equal">
      <formula>"Pass"</formula>
    </cfRule>
    <cfRule type="cellIs" dxfId="21290" priority="21130" stopIfTrue="1" operator="equal">
      <formula>"Fail"</formula>
    </cfRule>
  </conditionalFormatting>
  <conditionalFormatting sqref="A882">
    <cfRule type="cellIs" dxfId="21289" priority="21127" stopIfTrue="1" operator="equal">
      <formula>"Pass"</formula>
    </cfRule>
    <cfRule type="cellIs" dxfId="21288" priority="21128" stopIfTrue="1" operator="equal">
      <formula>"Fail"</formula>
    </cfRule>
  </conditionalFormatting>
  <conditionalFormatting sqref="A880:A882">
    <cfRule type="cellIs" dxfId="21287" priority="21125" stopIfTrue="1" operator="equal">
      <formula>"Pass"</formula>
    </cfRule>
    <cfRule type="cellIs" dxfId="21286" priority="21126" stopIfTrue="1" operator="equal">
      <formula>"Fail"</formula>
    </cfRule>
  </conditionalFormatting>
  <conditionalFormatting sqref="H880:H881">
    <cfRule type="cellIs" dxfId="21285" priority="21123" stopIfTrue="1" operator="equal">
      <formula>"Pass"</formula>
    </cfRule>
    <cfRule type="cellIs" dxfId="21284" priority="21124" stopIfTrue="1" operator="equal">
      <formula>"Fail"</formula>
    </cfRule>
  </conditionalFormatting>
  <conditionalFormatting sqref="F880 F882 I880:M881">
    <cfRule type="cellIs" dxfId="21283" priority="21121" stopIfTrue="1" operator="equal">
      <formula>"Pass"</formula>
    </cfRule>
    <cfRule type="cellIs" dxfId="21282" priority="21122" stopIfTrue="1" operator="equal">
      <formula>"Fail"</formula>
    </cfRule>
  </conditionalFormatting>
  <conditionalFormatting sqref="T882 T880 R880:R882 S881:S882">
    <cfRule type="cellIs" dxfId="21281" priority="21119" stopIfTrue="1" operator="equal">
      <formula>"Fail"</formula>
    </cfRule>
    <cfRule type="cellIs" dxfId="21280" priority="21120" stopIfTrue="1" operator="equal">
      <formula>"Pass"</formula>
    </cfRule>
  </conditionalFormatting>
  <conditionalFormatting sqref="F880:G880 F882:G882 J880:N881">
    <cfRule type="cellIs" dxfId="21279" priority="21117" stopIfTrue="1" operator="equal">
      <formula>"Pass"</formula>
    </cfRule>
    <cfRule type="cellIs" dxfId="21278" priority="21118" stopIfTrue="1" operator="equal">
      <formula>"Fail"</formula>
    </cfRule>
  </conditionalFormatting>
  <conditionalFormatting sqref="U882 U880 T880:T882 S881:S882">
    <cfRule type="cellIs" dxfId="21277" priority="21115" stopIfTrue="1" operator="equal">
      <formula>"Fail"</formula>
    </cfRule>
    <cfRule type="cellIs" dxfId="21276" priority="21116" stopIfTrue="1" operator="equal">
      <formula>"Pass"</formula>
    </cfRule>
  </conditionalFormatting>
  <conditionalFormatting sqref="J880:N881 F880:G882">
    <cfRule type="cellIs" dxfId="21275" priority="21113" stopIfTrue="1" operator="equal">
      <formula>"Pass"</formula>
    </cfRule>
    <cfRule type="cellIs" dxfId="21274" priority="21114" stopIfTrue="1" operator="equal">
      <formula>"Fail"</formula>
    </cfRule>
  </conditionalFormatting>
  <conditionalFormatting sqref="K880:O881 F880:H882">
    <cfRule type="cellIs" dxfId="21273" priority="21111" stopIfTrue="1" operator="equal">
      <formula>"Pass"</formula>
    </cfRule>
    <cfRule type="cellIs" dxfId="21272" priority="21112" stopIfTrue="1" operator="equal">
      <formula>"Fail"</formula>
    </cfRule>
  </conditionalFormatting>
  <conditionalFormatting sqref="T880">
    <cfRule type="cellIs" dxfId="21271" priority="21109" stopIfTrue="1" operator="equal">
      <formula>"Fail"</formula>
    </cfRule>
    <cfRule type="cellIs" dxfId="21270" priority="21110" stopIfTrue="1" operator="equal">
      <formula>"Pass"</formula>
    </cfRule>
  </conditionalFormatting>
  <conditionalFormatting sqref="K880:O881 F880:H882">
    <cfRule type="cellIs" dxfId="21269" priority="21107" stopIfTrue="1" operator="equal">
      <formula>"Pass"</formula>
    </cfRule>
    <cfRule type="cellIs" dxfId="21268" priority="21108" stopIfTrue="1" operator="equal">
      <formula>"Fail"</formula>
    </cfRule>
  </conditionalFormatting>
  <conditionalFormatting sqref="T880">
    <cfRule type="cellIs" dxfId="21267" priority="21105" stopIfTrue="1" operator="equal">
      <formula>"Fail"</formula>
    </cfRule>
    <cfRule type="cellIs" dxfId="21266" priority="21106" stopIfTrue="1" operator="equal">
      <formula>"Pass"</formula>
    </cfRule>
  </conditionalFormatting>
  <conditionalFormatting sqref="A883:A885">
    <cfRule type="cellIs" dxfId="21265" priority="21103" stopIfTrue="1" operator="equal">
      <formula>"Pass"</formula>
    </cfRule>
    <cfRule type="cellIs" dxfId="21264" priority="21104" stopIfTrue="1" operator="equal">
      <formula>"Fail"</formula>
    </cfRule>
  </conditionalFormatting>
  <conditionalFormatting sqref="A883:A885">
    <cfRule type="cellIs" dxfId="21263" priority="21101" stopIfTrue="1" operator="equal">
      <formula>"Pass"</formula>
    </cfRule>
    <cfRule type="cellIs" dxfId="21262" priority="21102" stopIfTrue="1" operator="equal">
      <formula>"Fail"</formula>
    </cfRule>
  </conditionalFormatting>
  <conditionalFormatting sqref="A883:A885">
    <cfRule type="cellIs" dxfId="21261" priority="21099" stopIfTrue="1" operator="equal">
      <formula>"Pass"</formula>
    </cfRule>
    <cfRule type="cellIs" dxfId="21260" priority="21100" stopIfTrue="1" operator="equal">
      <formula>"Fail"</formula>
    </cfRule>
  </conditionalFormatting>
  <conditionalFormatting sqref="A883:A885">
    <cfRule type="cellIs" dxfId="21259" priority="21097" stopIfTrue="1" operator="equal">
      <formula>"Pass"</formula>
    </cfRule>
    <cfRule type="cellIs" dxfId="21258" priority="21098" stopIfTrue="1" operator="equal">
      <formula>"Fail"</formula>
    </cfRule>
  </conditionalFormatting>
  <conditionalFormatting sqref="A883:A885">
    <cfRule type="cellIs" dxfId="21257" priority="21095" stopIfTrue="1" operator="equal">
      <formula>"Pass"</formula>
    </cfRule>
    <cfRule type="cellIs" dxfId="21256" priority="21096" stopIfTrue="1" operator="equal">
      <formula>"Fail"</formula>
    </cfRule>
  </conditionalFormatting>
  <conditionalFormatting sqref="A885">
    <cfRule type="cellIs" dxfId="21255" priority="21093" stopIfTrue="1" operator="equal">
      <formula>"Pass"</formula>
    </cfRule>
    <cfRule type="cellIs" dxfId="21254" priority="21094" stopIfTrue="1" operator="equal">
      <formula>"Fail"</formula>
    </cfRule>
  </conditionalFormatting>
  <conditionalFormatting sqref="A883:A885">
    <cfRule type="cellIs" dxfId="21253" priority="21091" stopIfTrue="1" operator="equal">
      <formula>"Pass"</formula>
    </cfRule>
    <cfRule type="cellIs" dxfId="21252" priority="21092" stopIfTrue="1" operator="equal">
      <formula>"Fail"</formula>
    </cfRule>
  </conditionalFormatting>
  <conditionalFormatting sqref="A883">
    <cfRule type="cellIs" dxfId="21251" priority="21089" stopIfTrue="1" operator="equal">
      <formula>"Pass"</formula>
    </cfRule>
    <cfRule type="cellIs" dxfId="21250" priority="21090" stopIfTrue="1" operator="equal">
      <formula>"Fail"</formula>
    </cfRule>
  </conditionalFormatting>
  <conditionalFormatting sqref="A883">
    <cfRule type="cellIs" dxfId="21249" priority="21087" stopIfTrue="1" operator="equal">
      <formula>"Pass"</formula>
    </cfRule>
    <cfRule type="cellIs" dxfId="21248" priority="21088" stopIfTrue="1" operator="equal">
      <formula>"Fail"</formula>
    </cfRule>
  </conditionalFormatting>
  <conditionalFormatting sqref="A883">
    <cfRule type="cellIs" dxfId="21247" priority="21085" stopIfTrue="1" operator="equal">
      <formula>"Pass"</formula>
    </cfRule>
    <cfRule type="cellIs" dxfId="21246" priority="21086" stopIfTrue="1" operator="equal">
      <formula>"Fail"</formula>
    </cfRule>
  </conditionalFormatting>
  <conditionalFormatting sqref="A883">
    <cfRule type="cellIs" dxfId="21245" priority="21083" stopIfTrue="1" operator="equal">
      <formula>"Pass"</formula>
    </cfRule>
    <cfRule type="cellIs" dxfId="21244" priority="21084" stopIfTrue="1" operator="equal">
      <formula>"Fail"</formula>
    </cfRule>
  </conditionalFormatting>
  <conditionalFormatting sqref="A883">
    <cfRule type="cellIs" dxfId="21243" priority="21081" stopIfTrue="1" operator="equal">
      <formula>"Pass"</formula>
    </cfRule>
    <cfRule type="cellIs" dxfId="21242" priority="21082" stopIfTrue="1" operator="equal">
      <formula>"Fail"</formula>
    </cfRule>
  </conditionalFormatting>
  <conditionalFormatting sqref="A883">
    <cfRule type="cellIs" dxfId="21241" priority="21079" stopIfTrue="1" operator="equal">
      <formula>"Pass"</formula>
    </cfRule>
    <cfRule type="cellIs" dxfId="21240" priority="21080" stopIfTrue="1" operator="equal">
      <formula>"Fail"</formula>
    </cfRule>
  </conditionalFormatting>
  <conditionalFormatting sqref="A883">
    <cfRule type="cellIs" dxfId="21239" priority="21077" stopIfTrue="1" operator="equal">
      <formula>"Pass"</formula>
    </cfRule>
    <cfRule type="cellIs" dxfId="21238" priority="21078" stopIfTrue="1" operator="equal">
      <formula>"Fail"</formula>
    </cfRule>
  </conditionalFormatting>
  <conditionalFormatting sqref="A883">
    <cfRule type="cellIs" dxfId="21237" priority="21075" stopIfTrue="1" operator="equal">
      <formula>"Pass"</formula>
    </cfRule>
    <cfRule type="cellIs" dxfId="21236" priority="21076" stopIfTrue="1" operator="equal">
      <formula>"Fail"</formula>
    </cfRule>
  </conditionalFormatting>
  <conditionalFormatting sqref="A883">
    <cfRule type="cellIs" dxfId="21235" priority="21073" stopIfTrue="1" operator="equal">
      <formula>"Pass"</formula>
    </cfRule>
    <cfRule type="cellIs" dxfId="21234" priority="21074" stopIfTrue="1" operator="equal">
      <formula>"Fail"</formula>
    </cfRule>
  </conditionalFormatting>
  <conditionalFormatting sqref="A883">
    <cfRule type="cellIs" dxfId="21233" priority="21071" stopIfTrue="1" operator="equal">
      <formula>"Pass"</formula>
    </cfRule>
    <cfRule type="cellIs" dxfId="21232" priority="21072" stopIfTrue="1" operator="equal">
      <formula>"Fail"</formula>
    </cfRule>
  </conditionalFormatting>
  <conditionalFormatting sqref="A883">
    <cfRule type="cellIs" dxfId="21231" priority="21069" stopIfTrue="1" operator="equal">
      <formula>"Pass"</formula>
    </cfRule>
    <cfRule type="cellIs" dxfId="21230" priority="21070" stopIfTrue="1" operator="equal">
      <formula>"Fail"</formula>
    </cfRule>
  </conditionalFormatting>
  <conditionalFormatting sqref="A883">
    <cfRule type="cellIs" dxfId="21229" priority="21067" stopIfTrue="1" operator="equal">
      <formula>"Pass"</formula>
    </cfRule>
    <cfRule type="cellIs" dxfId="21228" priority="21068" stopIfTrue="1" operator="equal">
      <formula>"Fail"</formula>
    </cfRule>
  </conditionalFormatting>
  <conditionalFormatting sqref="J883:J884">
    <cfRule type="cellIs" dxfId="21227" priority="21065" stopIfTrue="1" operator="equal">
      <formula>"Pass"</formula>
    </cfRule>
    <cfRule type="cellIs" dxfId="21226" priority="21066" stopIfTrue="1" operator="equal">
      <formula>"Fail"</formula>
    </cfRule>
  </conditionalFormatting>
  <conditionalFormatting sqref="H883:H884 I884">
    <cfRule type="cellIs" dxfId="21225" priority="21063" stopIfTrue="1" operator="equal">
      <formula>"Pass"</formula>
    </cfRule>
    <cfRule type="cellIs" dxfId="21224" priority="21064" stopIfTrue="1" operator="equal">
      <formula>"Fail"</formula>
    </cfRule>
  </conditionalFormatting>
  <conditionalFormatting sqref="A883 C883 F885 F883:G883 K883:N884">
    <cfRule type="cellIs" dxfId="21223" priority="21061" stopIfTrue="1" operator="equal">
      <formula>"Pass"</formula>
    </cfRule>
    <cfRule type="cellIs" dxfId="21222" priority="21062" stopIfTrue="1" operator="equal">
      <formula>"Fail"</formula>
    </cfRule>
  </conditionalFormatting>
  <conditionalFormatting sqref="T883:T885 U884:U885">
    <cfRule type="cellIs" dxfId="21221" priority="21059" stopIfTrue="1" operator="equal">
      <formula>"Fail"</formula>
    </cfRule>
    <cfRule type="cellIs" dxfId="21220" priority="21060" stopIfTrue="1" operator="equal">
      <formula>"Pass"</formula>
    </cfRule>
  </conditionalFormatting>
  <conditionalFormatting sqref="A883">
    <cfRule type="cellIs" dxfId="21219" priority="21057" stopIfTrue="1" operator="equal">
      <formula>"Pass"</formula>
    </cfRule>
    <cfRule type="cellIs" dxfId="21218" priority="21058" stopIfTrue="1" operator="equal">
      <formula>"Fail"</formula>
    </cfRule>
  </conditionalFormatting>
  <conditionalFormatting sqref="A883">
    <cfRule type="cellIs" dxfId="21217" priority="21055" stopIfTrue="1" operator="equal">
      <formula>"Pass"</formula>
    </cfRule>
    <cfRule type="cellIs" dxfId="21216" priority="21056" stopIfTrue="1" operator="equal">
      <formula>"Fail"</formula>
    </cfRule>
  </conditionalFormatting>
  <conditionalFormatting sqref="A883">
    <cfRule type="cellIs" dxfId="21215" priority="21053" stopIfTrue="1" operator="equal">
      <formula>"Pass"</formula>
    </cfRule>
    <cfRule type="cellIs" dxfId="21214" priority="21054" stopIfTrue="1" operator="equal">
      <formula>"Fail"</formula>
    </cfRule>
  </conditionalFormatting>
  <conditionalFormatting sqref="A883">
    <cfRule type="cellIs" dxfId="21213" priority="21051" stopIfTrue="1" operator="equal">
      <formula>"Pass"</formula>
    </cfRule>
    <cfRule type="cellIs" dxfId="21212" priority="21052" stopIfTrue="1" operator="equal">
      <formula>"Fail"</formula>
    </cfRule>
  </conditionalFormatting>
  <conditionalFormatting sqref="A883">
    <cfRule type="cellIs" dxfId="21211" priority="21049" stopIfTrue="1" operator="equal">
      <formula>"Pass"</formula>
    </cfRule>
    <cfRule type="cellIs" dxfId="21210" priority="21050" stopIfTrue="1" operator="equal">
      <formula>"Fail"</formula>
    </cfRule>
  </conditionalFormatting>
  <conditionalFormatting sqref="A883">
    <cfRule type="cellIs" dxfId="21209" priority="21047" stopIfTrue="1" operator="equal">
      <formula>"Pass"</formula>
    </cfRule>
    <cfRule type="cellIs" dxfId="21208" priority="21048" stopIfTrue="1" operator="equal">
      <formula>"Fail"</formula>
    </cfRule>
  </conditionalFormatting>
  <conditionalFormatting sqref="A883">
    <cfRule type="cellIs" dxfId="21207" priority="21045" stopIfTrue="1" operator="equal">
      <formula>"Pass"</formula>
    </cfRule>
    <cfRule type="cellIs" dxfId="21206" priority="21046" stopIfTrue="1" operator="equal">
      <formula>"Fail"</formula>
    </cfRule>
  </conditionalFormatting>
  <conditionalFormatting sqref="A883">
    <cfRule type="cellIs" dxfId="21205" priority="21043" stopIfTrue="1" operator="equal">
      <formula>"Pass"</formula>
    </cfRule>
    <cfRule type="cellIs" dxfId="21204" priority="21044" stopIfTrue="1" operator="equal">
      <formula>"Fail"</formula>
    </cfRule>
  </conditionalFormatting>
  <conditionalFormatting sqref="A883">
    <cfRule type="cellIs" dxfId="21203" priority="21041" stopIfTrue="1" operator="equal">
      <formula>"Pass"</formula>
    </cfRule>
    <cfRule type="cellIs" dxfId="21202" priority="21042" stopIfTrue="1" operator="equal">
      <formula>"Fail"</formula>
    </cfRule>
  </conditionalFormatting>
  <conditionalFormatting sqref="A883">
    <cfRule type="cellIs" dxfId="21201" priority="21039" stopIfTrue="1" operator="equal">
      <formula>"Pass"</formula>
    </cfRule>
    <cfRule type="cellIs" dxfId="21200" priority="21040" stopIfTrue="1" operator="equal">
      <formula>"Fail"</formula>
    </cfRule>
  </conditionalFormatting>
  <conditionalFormatting sqref="A883">
    <cfRule type="cellIs" dxfId="21199" priority="21037" stopIfTrue="1" operator="equal">
      <formula>"Pass"</formula>
    </cfRule>
    <cfRule type="cellIs" dxfId="21198" priority="21038" stopIfTrue="1" operator="equal">
      <formula>"Fail"</formula>
    </cfRule>
  </conditionalFormatting>
  <conditionalFormatting sqref="A883">
    <cfRule type="cellIs" dxfId="21197" priority="21035" stopIfTrue="1" operator="equal">
      <formula>"Pass"</formula>
    </cfRule>
    <cfRule type="cellIs" dxfId="21196" priority="21036" stopIfTrue="1" operator="equal">
      <formula>"Fail"</formula>
    </cfRule>
  </conditionalFormatting>
  <conditionalFormatting sqref="A883">
    <cfRule type="cellIs" dxfId="21195" priority="21033" stopIfTrue="1" operator="equal">
      <formula>"Pass"</formula>
    </cfRule>
    <cfRule type="cellIs" dxfId="21194" priority="21034" stopIfTrue="1" operator="equal">
      <formula>"Fail"</formula>
    </cfRule>
  </conditionalFormatting>
  <conditionalFormatting sqref="A883">
    <cfRule type="cellIs" dxfId="21193" priority="21031" stopIfTrue="1" operator="equal">
      <formula>"Pass"</formula>
    </cfRule>
    <cfRule type="cellIs" dxfId="21192" priority="21032" stopIfTrue="1" operator="equal">
      <formula>"Fail"</formula>
    </cfRule>
  </conditionalFormatting>
  <conditionalFormatting sqref="A883">
    <cfRule type="cellIs" dxfId="21191" priority="21029" stopIfTrue="1" operator="equal">
      <formula>"Pass"</formula>
    </cfRule>
    <cfRule type="cellIs" dxfId="21190" priority="21030" stopIfTrue="1" operator="equal">
      <formula>"Fail"</formula>
    </cfRule>
  </conditionalFormatting>
  <conditionalFormatting sqref="A883">
    <cfRule type="cellIs" dxfId="21189" priority="21027" stopIfTrue="1" operator="equal">
      <formula>"Pass"</formula>
    </cfRule>
    <cfRule type="cellIs" dxfId="21188" priority="21028" stopIfTrue="1" operator="equal">
      <formula>"Fail"</formula>
    </cfRule>
  </conditionalFormatting>
  <conditionalFormatting sqref="U883">
    <cfRule type="cellIs" dxfId="21187" priority="21025" stopIfTrue="1" operator="equal">
      <formula>"Fail"</formula>
    </cfRule>
    <cfRule type="cellIs" dxfId="21186" priority="21026" stopIfTrue="1" operator="equal">
      <formula>"Pass"</formula>
    </cfRule>
  </conditionalFormatting>
  <conditionalFormatting sqref="U883">
    <cfRule type="cellIs" dxfId="21185" priority="21023" stopIfTrue="1" operator="equal">
      <formula>"Fail"</formula>
    </cfRule>
    <cfRule type="cellIs" dxfId="21184" priority="21024" stopIfTrue="1" operator="equal">
      <formula>"Pass"</formula>
    </cfRule>
  </conditionalFormatting>
  <conditionalFormatting sqref="J883:J884">
    <cfRule type="cellIs" dxfId="21183" priority="21021" stopIfTrue="1" operator="equal">
      <formula>"Pass"</formula>
    </cfRule>
    <cfRule type="cellIs" dxfId="21182" priority="21022" stopIfTrue="1" operator="equal">
      <formula>"Fail"</formula>
    </cfRule>
  </conditionalFormatting>
  <conditionalFormatting sqref="H883:H884 I884">
    <cfRule type="cellIs" dxfId="21181" priority="21019" stopIfTrue="1" operator="equal">
      <formula>"Pass"</formula>
    </cfRule>
    <cfRule type="cellIs" dxfId="21180" priority="21020" stopIfTrue="1" operator="equal">
      <formula>"Fail"</formula>
    </cfRule>
  </conditionalFormatting>
  <conditionalFormatting sqref="F885 F883:G883 K883:N884">
    <cfRule type="cellIs" dxfId="21179" priority="21017" stopIfTrue="1" operator="equal">
      <formula>"Pass"</formula>
    </cfRule>
    <cfRule type="cellIs" dxfId="21178" priority="21018" stopIfTrue="1" operator="equal">
      <formula>"Fail"</formula>
    </cfRule>
  </conditionalFormatting>
  <conditionalFormatting sqref="T883:T885 U884:U885">
    <cfRule type="cellIs" dxfId="21177" priority="21015" stopIfTrue="1" operator="equal">
      <formula>"Fail"</formula>
    </cfRule>
    <cfRule type="cellIs" dxfId="21176" priority="21016" stopIfTrue="1" operator="equal">
      <formula>"Pass"</formula>
    </cfRule>
  </conditionalFormatting>
  <conditionalFormatting sqref="U883">
    <cfRule type="cellIs" dxfId="21175" priority="21013" stopIfTrue="1" operator="equal">
      <formula>"Fail"</formula>
    </cfRule>
    <cfRule type="cellIs" dxfId="21174" priority="21014" stopIfTrue="1" operator="equal">
      <formula>"Pass"</formula>
    </cfRule>
  </conditionalFormatting>
  <conditionalFormatting sqref="U883">
    <cfRule type="cellIs" dxfId="21173" priority="21011" stopIfTrue="1" operator="equal">
      <formula>"Fail"</formula>
    </cfRule>
    <cfRule type="cellIs" dxfId="21172" priority="21012" stopIfTrue="1" operator="equal">
      <formula>"Pass"</formula>
    </cfRule>
  </conditionalFormatting>
  <conditionalFormatting sqref="F883:G883 K883:N883">
    <cfRule type="cellIs" dxfId="21171" priority="21009" stopIfTrue="1" operator="equal">
      <formula>"Pass"</formula>
    </cfRule>
    <cfRule type="cellIs" dxfId="21170" priority="21010" stopIfTrue="1" operator="equal">
      <formula>"Fail"</formula>
    </cfRule>
  </conditionalFormatting>
  <conditionalFormatting sqref="K884:N884">
    <cfRule type="cellIs" dxfId="21169" priority="21007" stopIfTrue="1" operator="equal">
      <formula>"Pass"</formula>
    </cfRule>
    <cfRule type="cellIs" dxfId="21168" priority="21008" stopIfTrue="1" operator="equal">
      <formula>"Fail"</formula>
    </cfRule>
  </conditionalFormatting>
  <conditionalFormatting sqref="U883">
    <cfRule type="cellIs" dxfId="21167" priority="21005" stopIfTrue="1" operator="equal">
      <formula>"Fail"</formula>
    </cfRule>
    <cfRule type="cellIs" dxfId="21166" priority="21006" stopIfTrue="1" operator="equal">
      <formula>"Pass"</formula>
    </cfRule>
  </conditionalFormatting>
  <conditionalFormatting sqref="A883:A885">
    <cfRule type="cellIs" dxfId="21165" priority="21003" stopIfTrue="1" operator="equal">
      <formula>"Pass"</formula>
    </cfRule>
    <cfRule type="cellIs" dxfId="21164" priority="21004" stopIfTrue="1" operator="equal">
      <formula>"Fail"</formula>
    </cfRule>
  </conditionalFormatting>
  <conditionalFormatting sqref="A883:A885">
    <cfRule type="cellIs" dxfId="21163" priority="21001" stopIfTrue="1" operator="equal">
      <formula>"Pass"</formula>
    </cfRule>
    <cfRule type="cellIs" dxfId="21162" priority="21002" stopIfTrue="1" operator="equal">
      <formula>"Fail"</formula>
    </cfRule>
  </conditionalFormatting>
  <conditionalFormatting sqref="A883:A885">
    <cfRule type="cellIs" dxfId="21161" priority="20999" stopIfTrue="1" operator="equal">
      <formula>"Pass"</formula>
    </cfRule>
    <cfRule type="cellIs" dxfId="21160" priority="21000" stopIfTrue="1" operator="equal">
      <formula>"Fail"</formula>
    </cfRule>
  </conditionalFormatting>
  <conditionalFormatting sqref="A883:A885">
    <cfRule type="cellIs" dxfId="21159" priority="20997" stopIfTrue="1" operator="equal">
      <formula>"Pass"</formula>
    </cfRule>
    <cfRule type="cellIs" dxfId="21158" priority="20998" stopIfTrue="1" operator="equal">
      <formula>"Fail"</formula>
    </cfRule>
  </conditionalFormatting>
  <conditionalFormatting sqref="A883:A885">
    <cfRule type="cellIs" dxfId="21157" priority="20995" stopIfTrue="1" operator="equal">
      <formula>"Pass"</formula>
    </cfRule>
    <cfRule type="cellIs" dxfId="21156" priority="20996" stopIfTrue="1" operator="equal">
      <formula>"Fail"</formula>
    </cfRule>
  </conditionalFormatting>
  <conditionalFormatting sqref="A885">
    <cfRule type="cellIs" dxfId="21155" priority="20993" stopIfTrue="1" operator="equal">
      <formula>"Pass"</formula>
    </cfRule>
    <cfRule type="cellIs" dxfId="21154" priority="20994" stopIfTrue="1" operator="equal">
      <formula>"Fail"</formula>
    </cfRule>
  </conditionalFormatting>
  <conditionalFormatting sqref="A883:A885">
    <cfRule type="cellIs" dxfId="21153" priority="20991" stopIfTrue="1" operator="equal">
      <formula>"Pass"</formula>
    </cfRule>
    <cfRule type="cellIs" dxfId="21152" priority="20992" stopIfTrue="1" operator="equal">
      <formula>"Fail"</formula>
    </cfRule>
  </conditionalFormatting>
  <conditionalFormatting sqref="A883:A885">
    <cfRule type="cellIs" dxfId="21151" priority="20989" stopIfTrue="1" operator="equal">
      <formula>"Pass"</formula>
    </cfRule>
    <cfRule type="cellIs" dxfId="21150" priority="20990" stopIfTrue="1" operator="equal">
      <formula>"Fail"</formula>
    </cfRule>
  </conditionalFormatting>
  <conditionalFormatting sqref="A883:A885">
    <cfRule type="cellIs" dxfId="21149" priority="20987" stopIfTrue="1" operator="equal">
      <formula>"Pass"</formula>
    </cfRule>
    <cfRule type="cellIs" dxfId="21148" priority="20988" stopIfTrue="1" operator="equal">
      <formula>"Fail"</formula>
    </cfRule>
  </conditionalFormatting>
  <conditionalFormatting sqref="A883:A885">
    <cfRule type="cellIs" dxfId="21147" priority="20985" stopIfTrue="1" operator="equal">
      <formula>"Pass"</formula>
    </cfRule>
    <cfRule type="cellIs" dxfId="21146" priority="20986" stopIfTrue="1" operator="equal">
      <formula>"Fail"</formula>
    </cfRule>
  </conditionalFormatting>
  <conditionalFormatting sqref="A883:A885">
    <cfRule type="cellIs" dxfId="21145" priority="20983" stopIfTrue="1" operator="equal">
      <formula>"Pass"</formula>
    </cfRule>
    <cfRule type="cellIs" dxfId="21144" priority="20984" stopIfTrue="1" operator="equal">
      <formula>"Fail"</formula>
    </cfRule>
  </conditionalFormatting>
  <conditionalFormatting sqref="A883:A885">
    <cfRule type="cellIs" dxfId="21143" priority="20981" stopIfTrue="1" operator="equal">
      <formula>"Pass"</formula>
    </cfRule>
    <cfRule type="cellIs" dxfId="21142" priority="20982" stopIfTrue="1" operator="equal">
      <formula>"Fail"</formula>
    </cfRule>
  </conditionalFormatting>
  <conditionalFormatting sqref="A885">
    <cfRule type="cellIs" dxfId="21141" priority="20979" stopIfTrue="1" operator="equal">
      <formula>"Pass"</formula>
    </cfRule>
    <cfRule type="cellIs" dxfId="21140" priority="20980" stopIfTrue="1" operator="equal">
      <formula>"Fail"</formula>
    </cfRule>
  </conditionalFormatting>
  <conditionalFormatting sqref="A883:A885">
    <cfRule type="cellIs" dxfId="21139" priority="20977" stopIfTrue="1" operator="equal">
      <formula>"Pass"</formula>
    </cfRule>
    <cfRule type="cellIs" dxfId="21138" priority="20978" stopIfTrue="1" operator="equal">
      <formula>"Fail"</formula>
    </cfRule>
  </conditionalFormatting>
  <conditionalFormatting sqref="J883:J884">
    <cfRule type="cellIs" dxfId="21137" priority="20975" stopIfTrue="1" operator="equal">
      <formula>"Pass"</formula>
    </cfRule>
    <cfRule type="cellIs" dxfId="21136" priority="20976" stopIfTrue="1" operator="equal">
      <formula>"Fail"</formula>
    </cfRule>
  </conditionalFormatting>
  <conditionalFormatting sqref="H883:H884 I884">
    <cfRule type="cellIs" dxfId="21135" priority="20973" stopIfTrue="1" operator="equal">
      <formula>"Pass"</formula>
    </cfRule>
    <cfRule type="cellIs" dxfId="21134" priority="20974" stopIfTrue="1" operator="equal">
      <formula>"Fail"</formula>
    </cfRule>
  </conditionalFormatting>
  <conditionalFormatting sqref="F885 F883:G883 K883:N884">
    <cfRule type="cellIs" dxfId="21133" priority="20971" stopIfTrue="1" operator="equal">
      <formula>"Pass"</formula>
    </cfRule>
    <cfRule type="cellIs" dxfId="21132" priority="20972" stopIfTrue="1" operator="equal">
      <formula>"Fail"</formula>
    </cfRule>
  </conditionalFormatting>
  <conditionalFormatting sqref="T883:T885 U884:U885">
    <cfRule type="cellIs" dxfId="21131" priority="20969" stopIfTrue="1" operator="equal">
      <formula>"Fail"</formula>
    </cfRule>
    <cfRule type="cellIs" dxfId="21130" priority="20970" stopIfTrue="1" operator="equal">
      <formula>"Pass"</formula>
    </cfRule>
  </conditionalFormatting>
  <conditionalFormatting sqref="U883">
    <cfRule type="cellIs" dxfId="21129" priority="20967" stopIfTrue="1" operator="equal">
      <formula>"Fail"</formula>
    </cfRule>
    <cfRule type="cellIs" dxfId="21128" priority="20968" stopIfTrue="1" operator="equal">
      <formula>"Pass"</formula>
    </cfRule>
  </conditionalFormatting>
  <conditionalFormatting sqref="U883">
    <cfRule type="cellIs" dxfId="21127" priority="20965" stopIfTrue="1" operator="equal">
      <formula>"Fail"</formula>
    </cfRule>
    <cfRule type="cellIs" dxfId="21126" priority="20966" stopIfTrue="1" operator="equal">
      <formula>"Pass"</formula>
    </cfRule>
  </conditionalFormatting>
  <conditionalFormatting sqref="J883:J884">
    <cfRule type="cellIs" dxfId="21125" priority="20963" stopIfTrue="1" operator="equal">
      <formula>"Pass"</formula>
    </cfRule>
    <cfRule type="cellIs" dxfId="21124" priority="20964" stopIfTrue="1" operator="equal">
      <formula>"Fail"</formula>
    </cfRule>
  </conditionalFormatting>
  <conditionalFormatting sqref="H883:H884 I884">
    <cfRule type="cellIs" dxfId="21123" priority="20961" stopIfTrue="1" operator="equal">
      <formula>"Pass"</formula>
    </cfRule>
    <cfRule type="cellIs" dxfId="21122" priority="20962" stopIfTrue="1" operator="equal">
      <formula>"Fail"</formula>
    </cfRule>
  </conditionalFormatting>
  <conditionalFormatting sqref="F885 F883:G883 K883:N884">
    <cfRule type="cellIs" dxfId="21121" priority="20959" stopIfTrue="1" operator="equal">
      <formula>"Pass"</formula>
    </cfRule>
    <cfRule type="cellIs" dxfId="21120" priority="20960" stopIfTrue="1" operator="equal">
      <formula>"Fail"</formula>
    </cfRule>
  </conditionalFormatting>
  <conditionalFormatting sqref="T883:T885 U884:U885">
    <cfRule type="cellIs" dxfId="21119" priority="20957" stopIfTrue="1" operator="equal">
      <formula>"Fail"</formula>
    </cfRule>
    <cfRule type="cellIs" dxfId="21118" priority="20958" stopIfTrue="1" operator="equal">
      <formula>"Pass"</formula>
    </cfRule>
  </conditionalFormatting>
  <conditionalFormatting sqref="U883">
    <cfRule type="cellIs" dxfId="21117" priority="20955" stopIfTrue="1" operator="equal">
      <formula>"Fail"</formula>
    </cfRule>
    <cfRule type="cellIs" dxfId="21116" priority="20956" stopIfTrue="1" operator="equal">
      <formula>"Pass"</formula>
    </cfRule>
  </conditionalFormatting>
  <conditionalFormatting sqref="U883">
    <cfRule type="cellIs" dxfId="21115" priority="20953" stopIfTrue="1" operator="equal">
      <formula>"Fail"</formula>
    </cfRule>
    <cfRule type="cellIs" dxfId="21114" priority="20954" stopIfTrue="1" operator="equal">
      <formula>"Pass"</formula>
    </cfRule>
  </conditionalFormatting>
  <conditionalFormatting sqref="F883:G883 K883:N883">
    <cfRule type="cellIs" dxfId="21113" priority="20951" stopIfTrue="1" operator="equal">
      <formula>"Pass"</formula>
    </cfRule>
    <cfRule type="cellIs" dxfId="21112" priority="20952" stopIfTrue="1" operator="equal">
      <formula>"Fail"</formula>
    </cfRule>
  </conditionalFormatting>
  <conditionalFormatting sqref="K884:N884">
    <cfRule type="cellIs" dxfId="21111" priority="20949" stopIfTrue="1" operator="equal">
      <formula>"Pass"</formula>
    </cfRule>
    <cfRule type="cellIs" dxfId="21110" priority="20950" stopIfTrue="1" operator="equal">
      <formula>"Fail"</formula>
    </cfRule>
  </conditionalFormatting>
  <conditionalFormatting sqref="U883">
    <cfRule type="cellIs" dxfId="21109" priority="20947" stopIfTrue="1" operator="equal">
      <formula>"Fail"</formula>
    </cfRule>
    <cfRule type="cellIs" dxfId="21108" priority="20948" stopIfTrue="1" operator="equal">
      <formula>"Pass"</formula>
    </cfRule>
  </conditionalFormatting>
  <conditionalFormatting sqref="J883:J884">
    <cfRule type="cellIs" dxfId="21107" priority="20945" stopIfTrue="1" operator="equal">
      <formula>"Pass"</formula>
    </cfRule>
    <cfRule type="cellIs" dxfId="21106" priority="20946" stopIfTrue="1" operator="equal">
      <formula>"Fail"</formula>
    </cfRule>
  </conditionalFormatting>
  <conditionalFormatting sqref="H883:H884 I884">
    <cfRule type="cellIs" dxfId="21105" priority="20943" stopIfTrue="1" operator="equal">
      <formula>"Pass"</formula>
    </cfRule>
    <cfRule type="cellIs" dxfId="21104" priority="20944" stopIfTrue="1" operator="equal">
      <formula>"Fail"</formula>
    </cfRule>
  </conditionalFormatting>
  <conditionalFormatting sqref="F883:G883 K883:N884">
    <cfRule type="cellIs" dxfId="21103" priority="20941" stopIfTrue="1" operator="equal">
      <formula>"Pass"</formula>
    </cfRule>
    <cfRule type="cellIs" dxfId="21102" priority="20942" stopIfTrue="1" operator="equal">
      <formula>"Fail"</formula>
    </cfRule>
  </conditionalFormatting>
  <conditionalFormatting sqref="T883:T884 U884">
    <cfRule type="cellIs" dxfId="21101" priority="20939" stopIfTrue="1" operator="equal">
      <formula>"Fail"</formula>
    </cfRule>
    <cfRule type="cellIs" dxfId="21100" priority="20940" stopIfTrue="1" operator="equal">
      <formula>"Pass"</formula>
    </cfRule>
  </conditionalFormatting>
  <conditionalFormatting sqref="U883">
    <cfRule type="cellIs" dxfId="21099" priority="20937" stopIfTrue="1" operator="equal">
      <formula>"Fail"</formula>
    </cfRule>
    <cfRule type="cellIs" dxfId="21098" priority="20938" stopIfTrue="1" operator="equal">
      <formula>"Pass"</formula>
    </cfRule>
  </conditionalFormatting>
  <conditionalFormatting sqref="U883">
    <cfRule type="cellIs" dxfId="21097" priority="20935" stopIfTrue="1" operator="equal">
      <formula>"Fail"</formula>
    </cfRule>
    <cfRule type="cellIs" dxfId="21096" priority="20936" stopIfTrue="1" operator="equal">
      <formula>"Pass"</formula>
    </cfRule>
  </conditionalFormatting>
  <conditionalFormatting sqref="J883:J884">
    <cfRule type="cellIs" dxfId="21095" priority="20933" stopIfTrue="1" operator="equal">
      <formula>"Pass"</formula>
    </cfRule>
    <cfRule type="cellIs" dxfId="21094" priority="20934" stopIfTrue="1" operator="equal">
      <formula>"Fail"</formula>
    </cfRule>
  </conditionalFormatting>
  <conditionalFormatting sqref="H883:H884 I884">
    <cfRule type="cellIs" dxfId="21093" priority="20931" stopIfTrue="1" operator="equal">
      <formula>"Pass"</formula>
    </cfRule>
    <cfRule type="cellIs" dxfId="21092" priority="20932" stopIfTrue="1" operator="equal">
      <formula>"Fail"</formula>
    </cfRule>
  </conditionalFormatting>
  <conditionalFormatting sqref="F883:G883 K883:N884">
    <cfRule type="cellIs" dxfId="21091" priority="20929" stopIfTrue="1" operator="equal">
      <formula>"Pass"</formula>
    </cfRule>
    <cfRule type="cellIs" dxfId="21090" priority="20930" stopIfTrue="1" operator="equal">
      <formula>"Fail"</formula>
    </cfRule>
  </conditionalFormatting>
  <conditionalFormatting sqref="T883:T884 U884">
    <cfRule type="cellIs" dxfId="21089" priority="20927" stopIfTrue="1" operator="equal">
      <formula>"Fail"</formula>
    </cfRule>
    <cfRule type="cellIs" dxfId="21088" priority="20928" stopIfTrue="1" operator="equal">
      <formula>"Pass"</formula>
    </cfRule>
  </conditionalFormatting>
  <conditionalFormatting sqref="U883">
    <cfRule type="cellIs" dxfId="21087" priority="20925" stopIfTrue="1" operator="equal">
      <formula>"Fail"</formula>
    </cfRule>
    <cfRule type="cellIs" dxfId="21086" priority="20926" stopIfTrue="1" operator="equal">
      <formula>"Pass"</formula>
    </cfRule>
  </conditionalFormatting>
  <conditionalFormatting sqref="U883">
    <cfRule type="cellIs" dxfId="21085" priority="20923" stopIfTrue="1" operator="equal">
      <formula>"Fail"</formula>
    </cfRule>
    <cfRule type="cellIs" dxfId="21084" priority="20924" stopIfTrue="1" operator="equal">
      <formula>"Pass"</formula>
    </cfRule>
  </conditionalFormatting>
  <conditionalFormatting sqref="F883:G883 K883:N883">
    <cfRule type="cellIs" dxfId="21083" priority="20921" stopIfTrue="1" operator="equal">
      <formula>"Pass"</formula>
    </cfRule>
    <cfRule type="cellIs" dxfId="21082" priority="20922" stopIfTrue="1" operator="equal">
      <formula>"Fail"</formula>
    </cfRule>
  </conditionalFormatting>
  <conditionalFormatting sqref="K884:N884">
    <cfRule type="cellIs" dxfId="21081" priority="20919" stopIfTrue="1" operator="equal">
      <formula>"Pass"</formula>
    </cfRule>
    <cfRule type="cellIs" dxfId="21080" priority="20920" stopIfTrue="1" operator="equal">
      <formula>"Fail"</formula>
    </cfRule>
  </conditionalFormatting>
  <conditionalFormatting sqref="U883">
    <cfRule type="cellIs" dxfId="21079" priority="20917" stopIfTrue="1" operator="equal">
      <formula>"Fail"</formula>
    </cfRule>
    <cfRule type="cellIs" dxfId="21078" priority="20918" stopIfTrue="1" operator="equal">
      <formula>"Pass"</formula>
    </cfRule>
  </conditionalFormatting>
  <conditionalFormatting sqref="U883">
    <cfRule type="cellIs" dxfId="21077" priority="20915" stopIfTrue="1" operator="equal">
      <formula>"Fail"</formula>
    </cfRule>
    <cfRule type="cellIs" dxfId="21076" priority="20916" stopIfTrue="1" operator="equal">
      <formula>"Pass"</formula>
    </cfRule>
  </conditionalFormatting>
  <conditionalFormatting sqref="U883">
    <cfRule type="cellIs" dxfId="21075" priority="20913" stopIfTrue="1" operator="equal">
      <formula>"Fail"</formula>
    </cfRule>
    <cfRule type="cellIs" dxfId="21074" priority="20914" stopIfTrue="1" operator="equal">
      <formula>"Pass"</formula>
    </cfRule>
  </conditionalFormatting>
  <conditionalFormatting sqref="U883">
    <cfRule type="cellIs" dxfId="21073" priority="20911" stopIfTrue="1" operator="equal">
      <formula>"Fail"</formula>
    </cfRule>
    <cfRule type="cellIs" dxfId="21072" priority="20912" stopIfTrue="1" operator="equal">
      <formula>"Pass"</formula>
    </cfRule>
  </conditionalFormatting>
  <conditionalFormatting sqref="A886:A888">
    <cfRule type="cellIs" dxfId="21071" priority="20909" stopIfTrue="1" operator="equal">
      <formula>"Pass"</formula>
    </cfRule>
    <cfRule type="cellIs" dxfId="21070" priority="20910" stopIfTrue="1" operator="equal">
      <formula>"Fail"</formula>
    </cfRule>
  </conditionalFormatting>
  <conditionalFormatting sqref="A886:A888">
    <cfRule type="cellIs" dxfId="21069" priority="20907" stopIfTrue="1" operator="equal">
      <formula>"Pass"</formula>
    </cfRule>
    <cfRule type="cellIs" dxfId="21068" priority="20908" stopIfTrue="1" operator="equal">
      <formula>"Fail"</formula>
    </cfRule>
  </conditionalFormatting>
  <conditionalFormatting sqref="A886:A888">
    <cfRule type="cellIs" dxfId="21067" priority="20905" stopIfTrue="1" operator="equal">
      <formula>"Pass"</formula>
    </cfRule>
    <cfRule type="cellIs" dxfId="21066" priority="20906" stopIfTrue="1" operator="equal">
      <formula>"Fail"</formula>
    </cfRule>
  </conditionalFormatting>
  <conditionalFormatting sqref="A886:A888">
    <cfRule type="cellIs" dxfId="21065" priority="20903" stopIfTrue="1" operator="equal">
      <formula>"Pass"</formula>
    </cfRule>
    <cfRule type="cellIs" dxfId="21064" priority="20904" stopIfTrue="1" operator="equal">
      <formula>"Fail"</formula>
    </cfRule>
  </conditionalFormatting>
  <conditionalFormatting sqref="A886:A888">
    <cfRule type="cellIs" dxfId="21063" priority="20901" stopIfTrue="1" operator="equal">
      <formula>"Pass"</formula>
    </cfRule>
    <cfRule type="cellIs" dxfId="21062" priority="20902" stopIfTrue="1" operator="equal">
      <formula>"Fail"</formula>
    </cfRule>
  </conditionalFormatting>
  <conditionalFormatting sqref="A888">
    <cfRule type="cellIs" dxfId="21061" priority="20899" stopIfTrue="1" operator="equal">
      <formula>"Pass"</formula>
    </cfRule>
    <cfRule type="cellIs" dxfId="21060" priority="20900" stopIfTrue="1" operator="equal">
      <formula>"Fail"</formula>
    </cfRule>
  </conditionalFormatting>
  <conditionalFormatting sqref="A886:A888">
    <cfRule type="cellIs" dxfId="21059" priority="20897" stopIfTrue="1" operator="equal">
      <formula>"Pass"</formula>
    </cfRule>
    <cfRule type="cellIs" dxfId="21058" priority="20898" stopIfTrue="1" operator="equal">
      <formula>"Fail"</formula>
    </cfRule>
  </conditionalFormatting>
  <conditionalFormatting sqref="H886:H887">
    <cfRule type="cellIs" dxfId="21057" priority="20895" stopIfTrue="1" operator="equal">
      <formula>"Pass"</formula>
    </cfRule>
    <cfRule type="cellIs" dxfId="21056" priority="20896" stopIfTrue="1" operator="equal">
      <formula>"Fail"</formula>
    </cfRule>
  </conditionalFormatting>
  <conditionalFormatting sqref="E886:F886 I886:M887 E888:F888 A886">
    <cfRule type="cellIs" dxfId="21055" priority="20893" stopIfTrue="1" operator="equal">
      <formula>"Pass"</formula>
    </cfRule>
    <cfRule type="cellIs" dxfId="21054" priority="20894" stopIfTrue="1" operator="equal">
      <formula>"Fail"</formula>
    </cfRule>
  </conditionalFormatting>
  <conditionalFormatting sqref="T888 T886 R886:R888 S887:S888">
    <cfRule type="cellIs" dxfId="21053" priority="20891" stopIfTrue="1" operator="equal">
      <formula>"Fail"</formula>
    </cfRule>
    <cfRule type="cellIs" dxfId="21052" priority="20892" stopIfTrue="1" operator="equal">
      <formula>"Pass"</formula>
    </cfRule>
  </conditionalFormatting>
  <conditionalFormatting sqref="F886:G886 F888:G888 B886:B888 A886 J886:N887">
    <cfRule type="cellIs" dxfId="21051" priority="20889" stopIfTrue="1" operator="equal">
      <formula>"Pass"</formula>
    </cfRule>
    <cfRule type="cellIs" dxfId="21050" priority="20890" stopIfTrue="1" operator="equal">
      <formula>"Fail"</formula>
    </cfRule>
  </conditionalFormatting>
  <conditionalFormatting sqref="U888 T886:T888 S887:S888">
    <cfRule type="cellIs" dxfId="21049" priority="20887" stopIfTrue="1" operator="equal">
      <formula>"Fail"</formula>
    </cfRule>
    <cfRule type="cellIs" dxfId="21048" priority="20888" stopIfTrue="1" operator="equal">
      <formula>"Pass"</formula>
    </cfRule>
  </conditionalFormatting>
  <conditionalFormatting sqref="A886">
    <cfRule type="cellIs" dxfId="21047" priority="20885" stopIfTrue="1" operator="equal">
      <formula>"Pass"</formula>
    </cfRule>
    <cfRule type="cellIs" dxfId="21046" priority="20886" stopIfTrue="1" operator="equal">
      <formula>"Fail"</formula>
    </cfRule>
  </conditionalFormatting>
  <conditionalFormatting sqref="A886">
    <cfRule type="cellIs" dxfId="21045" priority="20883" stopIfTrue="1" operator="equal">
      <formula>"Pass"</formula>
    </cfRule>
    <cfRule type="cellIs" dxfId="21044" priority="20884" stopIfTrue="1" operator="equal">
      <formula>"Fail"</formula>
    </cfRule>
  </conditionalFormatting>
  <conditionalFormatting sqref="A886">
    <cfRule type="cellIs" dxfId="21043" priority="20881" stopIfTrue="1" operator="equal">
      <formula>"Pass"</formula>
    </cfRule>
    <cfRule type="cellIs" dxfId="21042" priority="20882" stopIfTrue="1" operator="equal">
      <formula>"Fail"</formula>
    </cfRule>
  </conditionalFormatting>
  <conditionalFormatting sqref="A886">
    <cfRule type="cellIs" dxfId="21041" priority="20879" stopIfTrue="1" operator="equal">
      <formula>"Pass"</formula>
    </cfRule>
    <cfRule type="cellIs" dxfId="21040" priority="20880" stopIfTrue="1" operator="equal">
      <formula>"Fail"</formula>
    </cfRule>
  </conditionalFormatting>
  <conditionalFormatting sqref="A886">
    <cfRule type="cellIs" dxfId="21039" priority="20877" stopIfTrue="1" operator="equal">
      <formula>"Pass"</formula>
    </cfRule>
    <cfRule type="cellIs" dxfId="21038" priority="20878" stopIfTrue="1" operator="equal">
      <formula>"Fail"</formula>
    </cfRule>
  </conditionalFormatting>
  <conditionalFormatting sqref="A886">
    <cfRule type="cellIs" dxfId="21037" priority="20875" stopIfTrue="1" operator="equal">
      <formula>"Pass"</formula>
    </cfRule>
    <cfRule type="cellIs" dxfId="21036" priority="20876" stopIfTrue="1" operator="equal">
      <formula>"Fail"</formula>
    </cfRule>
  </conditionalFormatting>
  <conditionalFormatting sqref="A886">
    <cfRule type="cellIs" dxfId="21035" priority="20873" stopIfTrue="1" operator="equal">
      <formula>"Pass"</formula>
    </cfRule>
    <cfRule type="cellIs" dxfId="21034" priority="20874" stopIfTrue="1" operator="equal">
      <formula>"Fail"</formula>
    </cfRule>
  </conditionalFormatting>
  <conditionalFormatting sqref="A886">
    <cfRule type="cellIs" dxfId="21033" priority="20871" stopIfTrue="1" operator="equal">
      <formula>"Pass"</formula>
    </cfRule>
    <cfRule type="cellIs" dxfId="21032" priority="20872" stopIfTrue="1" operator="equal">
      <formula>"Fail"</formula>
    </cfRule>
  </conditionalFormatting>
  <conditionalFormatting sqref="A886">
    <cfRule type="cellIs" dxfId="21031" priority="20869" stopIfTrue="1" operator="equal">
      <formula>"Pass"</formula>
    </cfRule>
    <cfRule type="cellIs" dxfId="21030" priority="20870" stopIfTrue="1" operator="equal">
      <formula>"Fail"</formula>
    </cfRule>
  </conditionalFormatting>
  <conditionalFormatting sqref="A886">
    <cfRule type="cellIs" dxfId="21029" priority="20867" stopIfTrue="1" operator="equal">
      <formula>"Pass"</formula>
    </cfRule>
    <cfRule type="cellIs" dxfId="21028" priority="20868" stopIfTrue="1" operator="equal">
      <formula>"Fail"</formula>
    </cfRule>
  </conditionalFormatting>
  <conditionalFormatting sqref="U886">
    <cfRule type="cellIs" dxfId="21027" priority="20865" stopIfTrue="1" operator="equal">
      <formula>"Fail"</formula>
    </cfRule>
    <cfRule type="cellIs" dxfId="21026" priority="20866" stopIfTrue="1" operator="equal">
      <formula>"Pass"</formula>
    </cfRule>
  </conditionalFormatting>
  <conditionalFormatting sqref="F886:G886 J886:N886">
    <cfRule type="cellIs" dxfId="21025" priority="20863" stopIfTrue="1" operator="equal">
      <formula>"Pass"</formula>
    </cfRule>
    <cfRule type="cellIs" dxfId="21024" priority="20864" stopIfTrue="1" operator="equal">
      <formula>"Fail"</formula>
    </cfRule>
  </conditionalFormatting>
  <conditionalFormatting sqref="J887:N887">
    <cfRule type="cellIs" dxfId="21023" priority="20861" stopIfTrue="1" operator="equal">
      <formula>"Pass"</formula>
    </cfRule>
    <cfRule type="cellIs" dxfId="21022" priority="20862" stopIfTrue="1" operator="equal">
      <formula>"Fail"</formula>
    </cfRule>
  </conditionalFormatting>
  <conditionalFormatting sqref="A886:A888">
    <cfRule type="cellIs" dxfId="21021" priority="20859" stopIfTrue="1" operator="equal">
      <formula>"Pass"</formula>
    </cfRule>
    <cfRule type="cellIs" dxfId="21020" priority="20860" stopIfTrue="1" operator="equal">
      <formula>"Fail"</formula>
    </cfRule>
  </conditionalFormatting>
  <conditionalFormatting sqref="A886:A888">
    <cfRule type="cellIs" dxfId="21019" priority="20857" stopIfTrue="1" operator="equal">
      <formula>"Pass"</formula>
    </cfRule>
    <cfRule type="cellIs" dxfId="21018" priority="20858" stopIfTrue="1" operator="equal">
      <formula>"Fail"</formula>
    </cfRule>
  </conditionalFormatting>
  <conditionalFormatting sqref="A886:A888">
    <cfRule type="cellIs" dxfId="21017" priority="20855" stopIfTrue="1" operator="equal">
      <formula>"Pass"</formula>
    </cfRule>
    <cfRule type="cellIs" dxfId="21016" priority="20856" stopIfTrue="1" operator="equal">
      <formula>"Fail"</formula>
    </cfRule>
  </conditionalFormatting>
  <conditionalFormatting sqref="A886:A888">
    <cfRule type="cellIs" dxfId="21015" priority="20853" stopIfTrue="1" operator="equal">
      <formula>"Pass"</formula>
    </cfRule>
    <cfRule type="cellIs" dxfId="21014" priority="20854" stopIfTrue="1" operator="equal">
      <formula>"Fail"</formula>
    </cfRule>
  </conditionalFormatting>
  <conditionalFormatting sqref="A886:A888">
    <cfRule type="cellIs" dxfId="21013" priority="20851" stopIfTrue="1" operator="equal">
      <formula>"Pass"</formula>
    </cfRule>
    <cfRule type="cellIs" dxfId="21012" priority="20852" stopIfTrue="1" operator="equal">
      <formula>"Fail"</formula>
    </cfRule>
  </conditionalFormatting>
  <conditionalFormatting sqref="A888">
    <cfRule type="cellIs" dxfId="21011" priority="20849" stopIfTrue="1" operator="equal">
      <formula>"Pass"</formula>
    </cfRule>
    <cfRule type="cellIs" dxfId="21010" priority="20850" stopIfTrue="1" operator="equal">
      <formula>"Fail"</formula>
    </cfRule>
  </conditionalFormatting>
  <conditionalFormatting sqref="A886:A888">
    <cfRule type="cellIs" dxfId="21009" priority="20847" stopIfTrue="1" operator="equal">
      <formula>"Pass"</formula>
    </cfRule>
    <cfRule type="cellIs" dxfId="21008" priority="20848" stopIfTrue="1" operator="equal">
      <formula>"Fail"</formula>
    </cfRule>
  </conditionalFormatting>
  <conditionalFormatting sqref="A886:A888">
    <cfRule type="cellIs" dxfId="21007" priority="20845" stopIfTrue="1" operator="equal">
      <formula>"Pass"</formula>
    </cfRule>
    <cfRule type="cellIs" dxfId="21006" priority="20846" stopIfTrue="1" operator="equal">
      <formula>"Fail"</formula>
    </cfRule>
  </conditionalFormatting>
  <conditionalFormatting sqref="A886:A888">
    <cfRule type="cellIs" dxfId="21005" priority="20843" stopIfTrue="1" operator="equal">
      <formula>"Pass"</formula>
    </cfRule>
    <cfRule type="cellIs" dxfId="21004" priority="20844" stopIfTrue="1" operator="equal">
      <formula>"Fail"</formula>
    </cfRule>
  </conditionalFormatting>
  <conditionalFormatting sqref="A886:A888">
    <cfRule type="cellIs" dxfId="21003" priority="20841" stopIfTrue="1" operator="equal">
      <formula>"Pass"</formula>
    </cfRule>
    <cfRule type="cellIs" dxfId="21002" priority="20842" stopIfTrue="1" operator="equal">
      <formula>"Fail"</formula>
    </cfRule>
  </conditionalFormatting>
  <conditionalFormatting sqref="A886:A888">
    <cfRule type="cellIs" dxfId="21001" priority="20839" stopIfTrue="1" operator="equal">
      <formula>"Pass"</formula>
    </cfRule>
    <cfRule type="cellIs" dxfId="21000" priority="20840" stopIfTrue="1" operator="equal">
      <formula>"Fail"</formula>
    </cfRule>
  </conditionalFormatting>
  <conditionalFormatting sqref="A886:A888">
    <cfRule type="cellIs" dxfId="20999" priority="20837" stopIfTrue="1" operator="equal">
      <formula>"Pass"</formula>
    </cfRule>
    <cfRule type="cellIs" dxfId="20998" priority="20838" stopIfTrue="1" operator="equal">
      <formula>"Fail"</formula>
    </cfRule>
  </conditionalFormatting>
  <conditionalFormatting sqref="A888">
    <cfRule type="cellIs" dxfId="20997" priority="20835" stopIfTrue="1" operator="equal">
      <formula>"Pass"</formula>
    </cfRule>
    <cfRule type="cellIs" dxfId="20996" priority="20836" stopIfTrue="1" operator="equal">
      <formula>"Fail"</formula>
    </cfRule>
  </conditionalFormatting>
  <conditionalFormatting sqref="A886:A888">
    <cfRule type="cellIs" dxfId="20995" priority="20833" stopIfTrue="1" operator="equal">
      <formula>"Pass"</formula>
    </cfRule>
    <cfRule type="cellIs" dxfId="20994" priority="20834" stopIfTrue="1" operator="equal">
      <formula>"Fail"</formula>
    </cfRule>
  </conditionalFormatting>
  <conditionalFormatting sqref="H886:H887">
    <cfRule type="cellIs" dxfId="20993" priority="20831" stopIfTrue="1" operator="equal">
      <formula>"Pass"</formula>
    </cfRule>
    <cfRule type="cellIs" dxfId="20992" priority="20832" stopIfTrue="1" operator="equal">
      <formula>"Fail"</formula>
    </cfRule>
  </conditionalFormatting>
  <conditionalFormatting sqref="F886 I886:M887 F888">
    <cfRule type="cellIs" dxfId="20991" priority="20829" stopIfTrue="1" operator="equal">
      <formula>"Pass"</formula>
    </cfRule>
    <cfRule type="cellIs" dxfId="20990" priority="20830" stopIfTrue="1" operator="equal">
      <formula>"Fail"</formula>
    </cfRule>
  </conditionalFormatting>
  <conditionalFormatting sqref="T888 T886 R886:R888 S887:S888">
    <cfRule type="cellIs" dxfId="20989" priority="20827" stopIfTrue="1" operator="equal">
      <formula>"Fail"</formula>
    </cfRule>
    <cfRule type="cellIs" dxfId="20988" priority="20828" stopIfTrue="1" operator="equal">
      <formula>"Pass"</formula>
    </cfRule>
  </conditionalFormatting>
  <conditionalFormatting sqref="F886:G886 F888:G888 J886:N887">
    <cfRule type="cellIs" dxfId="20987" priority="20825" stopIfTrue="1" operator="equal">
      <formula>"Pass"</formula>
    </cfRule>
    <cfRule type="cellIs" dxfId="20986" priority="20826" stopIfTrue="1" operator="equal">
      <formula>"Fail"</formula>
    </cfRule>
  </conditionalFormatting>
  <conditionalFormatting sqref="U888 T886:T888 S887:S888">
    <cfRule type="cellIs" dxfId="20985" priority="20823" stopIfTrue="1" operator="equal">
      <formula>"Fail"</formula>
    </cfRule>
    <cfRule type="cellIs" dxfId="20984" priority="20824" stopIfTrue="1" operator="equal">
      <formula>"Pass"</formula>
    </cfRule>
  </conditionalFormatting>
  <conditionalFormatting sqref="U886">
    <cfRule type="cellIs" dxfId="20983" priority="20821" stopIfTrue="1" operator="equal">
      <formula>"Fail"</formula>
    </cfRule>
    <cfRule type="cellIs" dxfId="20982" priority="20822" stopIfTrue="1" operator="equal">
      <formula>"Pass"</formula>
    </cfRule>
  </conditionalFormatting>
  <conditionalFormatting sqref="F886:G886 J886:N886">
    <cfRule type="cellIs" dxfId="20981" priority="20819" stopIfTrue="1" operator="equal">
      <formula>"Pass"</formula>
    </cfRule>
    <cfRule type="cellIs" dxfId="20980" priority="20820" stopIfTrue="1" operator="equal">
      <formula>"Fail"</formula>
    </cfRule>
  </conditionalFormatting>
  <conditionalFormatting sqref="J887:N887">
    <cfRule type="cellIs" dxfId="20979" priority="20817" stopIfTrue="1" operator="equal">
      <formula>"Pass"</formula>
    </cfRule>
    <cfRule type="cellIs" dxfId="20978" priority="20818" stopIfTrue="1" operator="equal">
      <formula>"Fail"</formula>
    </cfRule>
  </conditionalFormatting>
  <conditionalFormatting sqref="H886:H887">
    <cfRule type="cellIs" dxfId="20977" priority="20815" stopIfTrue="1" operator="equal">
      <formula>"Pass"</formula>
    </cfRule>
    <cfRule type="cellIs" dxfId="20976" priority="20816" stopIfTrue="1" operator="equal">
      <formula>"Fail"</formula>
    </cfRule>
  </conditionalFormatting>
  <conditionalFormatting sqref="F886 I886:M887 F888">
    <cfRule type="cellIs" dxfId="20975" priority="20813" stopIfTrue="1" operator="equal">
      <formula>"Pass"</formula>
    </cfRule>
    <cfRule type="cellIs" dxfId="20974" priority="20814" stopIfTrue="1" operator="equal">
      <formula>"Fail"</formula>
    </cfRule>
  </conditionalFormatting>
  <conditionalFormatting sqref="T888 T886 R886:R888 S887:S888">
    <cfRule type="cellIs" dxfId="20973" priority="20811" stopIfTrue="1" operator="equal">
      <formula>"Fail"</formula>
    </cfRule>
    <cfRule type="cellIs" dxfId="20972" priority="20812" stopIfTrue="1" operator="equal">
      <formula>"Pass"</formula>
    </cfRule>
  </conditionalFormatting>
  <conditionalFormatting sqref="F886:G886 F888:G888 J886:N887">
    <cfRule type="cellIs" dxfId="20971" priority="20809" stopIfTrue="1" operator="equal">
      <formula>"Pass"</formula>
    </cfRule>
    <cfRule type="cellIs" dxfId="20970" priority="20810" stopIfTrue="1" operator="equal">
      <formula>"Fail"</formula>
    </cfRule>
  </conditionalFormatting>
  <conditionalFormatting sqref="U888 T886:T888 S887:S888">
    <cfRule type="cellIs" dxfId="20969" priority="20807" stopIfTrue="1" operator="equal">
      <formula>"Fail"</formula>
    </cfRule>
    <cfRule type="cellIs" dxfId="20968" priority="20808" stopIfTrue="1" operator="equal">
      <formula>"Pass"</formula>
    </cfRule>
  </conditionalFormatting>
  <conditionalFormatting sqref="U886">
    <cfRule type="cellIs" dxfId="20967" priority="20805" stopIfTrue="1" operator="equal">
      <formula>"Fail"</formula>
    </cfRule>
    <cfRule type="cellIs" dxfId="20966" priority="20806" stopIfTrue="1" operator="equal">
      <formula>"Pass"</formula>
    </cfRule>
  </conditionalFormatting>
  <conditionalFormatting sqref="F886:G886 J886:N886">
    <cfRule type="cellIs" dxfId="20965" priority="20803" stopIfTrue="1" operator="equal">
      <formula>"Pass"</formula>
    </cfRule>
    <cfRule type="cellIs" dxfId="20964" priority="20804" stopIfTrue="1" operator="equal">
      <formula>"Fail"</formula>
    </cfRule>
  </conditionalFormatting>
  <conditionalFormatting sqref="J887:N887">
    <cfRule type="cellIs" dxfId="20963" priority="20801" stopIfTrue="1" operator="equal">
      <formula>"Pass"</formula>
    </cfRule>
    <cfRule type="cellIs" dxfId="20962" priority="20802" stopIfTrue="1" operator="equal">
      <formula>"Fail"</formula>
    </cfRule>
  </conditionalFormatting>
  <conditionalFormatting sqref="U886">
    <cfRule type="cellIs" dxfId="20961" priority="20799" stopIfTrue="1" operator="equal">
      <formula>"Fail"</formula>
    </cfRule>
    <cfRule type="cellIs" dxfId="20960" priority="20800" stopIfTrue="1" operator="equal">
      <formula>"Pass"</formula>
    </cfRule>
  </conditionalFormatting>
  <conditionalFormatting sqref="U886">
    <cfRule type="cellIs" dxfId="20959" priority="20797" stopIfTrue="1" operator="equal">
      <formula>"Fail"</formula>
    </cfRule>
    <cfRule type="cellIs" dxfId="20958" priority="20798" stopIfTrue="1" operator="equal">
      <formula>"Pass"</formula>
    </cfRule>
  </conditionalFormatting>
  <conditionalFormatting sqref="U886">
    <cfRule type="cellIs" dxfId="20957" priority="20795" stopIfTrue="1" operator="equal">
      <formula>"Fail"</formula>
    </cfRule>
    <cfRule type="cellIs" dxfId="20956" priority="20796" stopIfTrue="1" operator="equal">
      <formula>"Pass"</formula>
    </cfRule>
  </conditionalFormatting>
  <conditionalFormatting sqref="N886">
    <cfRule type="cellIs" dxfId="20955" priority="20793" stopIfTrue="1" operator="equal">
      <formula>"Pass"</formula>
    </cfRule>
    <cfRule type="cellIs" dxfId="20954" priority="20794" stopIfTrue="1" operator="equal">
      <formula>"Fail"</formula>
    </cfRule>
  </conditionalFormatting>
  <conditionalFormatting sqref="N886">
    <cfRule type="cellIs" dxfId="20953" priority="20791" stopIfTrue="1" operator="equal">
      <formula>"Pass"</formula>
    </cfRule>
    <cfRule type="cellIs" dxfId="20952" priority="20792" stopIfTrue="1" operator="equal">
      <formula>"Fail"</formula>
    </cfRule>
  </conditionalFormatting>
  <conditionalFormatting sqref="N886">
    <cfRule type="cellIs" dxfId="20951" priority="20789" stopIfTrue="1" operator="equal">
      <formula>"Pass"</formula>
    </cfRule>
    <cfRule type="cellIs" dxfId="20950" priority="20790" stopIfTrue="1" operator="equal">
      <formula>"Fail"</formula>
    </cfRule>
  </conditionalFormatting>
  <conditionalFormatting sqref="A883:A885">
    <cfRule type="cellIs" dxfId="20949" priority="20787" stopIfTrue="1" operator="equal">
      <formula>"Pass"</formula>
    </cfRule>
    <cfRule type="cellIs" dxfId="20948" priority="20788" stopIfTrue="1" operator="equal">
      <formula>"Fail"</formula>
    </cfRule>
  </conditionalFormatting>
  <conditionalFormatting sqref="A883:A885">
    <cfRule type="cellIs" dxfId="20947" priority="20785" stopIfTrue="1" operator="equal">
      <formula>"Pass"</formula>
    </cfRule>
    <cfRule type="cellIs" dxfId="20946" priority="20786" stopIfTrue="1" operator="equal">
      <formula>"Fail"</formula>
    </cfRule>
  </conditionalFormatting>
  <conditionalFormatting sqref="A883:A885">
    <cfRule type="cellIs" dxfId="20945" priority="20783" stopIfTrue="1" operator="equal">
      <formula>"Pass"</formula>
    </cfRule>
    <cfRule type="cellIs" dxfId="20944" priority="20784" stopIfTrue="1" operator="equal">
      <formula>"Fail"</formula>
    </cfRule>
  </conditionalFormatting>
  <conditionalFormatting sqref="A883:A885">
    <cfRule type="cellIs" dxfId="20943" priority="20781" stopIfTrue="1" operator="equal">
      <formula>"Pass"</formula>
    </cfRule>
    <cfRule type="cellIs" dxfId="20942" priority="20782" stopIfTrue="1" operator="equal">
      <formula>"Fail"</formula>
    </cfRule>
  </conditionalFormatting>
  <conditionalFormatting sqref="A883:A885">
    <cfRule type="cellIs" dxfId="20941" priority="20779" stopIfTrue="1" operator="equal">
      <formula>"Pass"</formula>
    </cfRule>
    <cfRule type="cellIs" dxfId="20940" priority="20780" stopIfTrue="1" operator="equal">
      <formula>"Fail"</formula>
    </cfRule>
  </conditionalFormatting>
  <conditionalFormatting sqref="A885">
    <cfRule type="cellIs" dxfId="20939" priority="20777" stopIfTrue="1" operator="equal">
      <formula>"Pass"</formula>
    </cfRule>
    <cfRule type="cellIs" dxfId="20938" priority="20778" stopIfTrue="1" operator="equal">
      <formula>"Fail"</formula>
    </cfRule>
  </conditionalFormatting>
  <conditionalFormatting sqref="A883:A885">
    <cfRule type="cellIs" dxfId="20937" priority="20775" stopIfTrue="1" operator="equal">
      <formula>"Pass"</formula>
    </cfRule>
    <cfRule type="cellIs" dxfId="20936" priority="20776" stopIfTrue="1" operator="equal">
      <formula>"Fail"</formula>
    </cfRule>
  </conditionalFormatting>
  <conditionalFormatting sqref="A883:A885">
    <cfRule type="cellIs" dxfId="20935" priority="20773" stopIfTrue="1" operator="equal">
      <formula>"Pass"</formula>
    </cfRule>
    <cfRule type="cellIs" dxfId="20934" priority="20774" stopIfTrue="1" operator="equal">
      <formula>"Fail"</formula>
    </cfRule>
  </conditionalFormatting>
  <conditionalFormatting sqref="A883:A885">
    <cfRule type="cellIs" dxfId="20933" priority="20771" stopIfTrue="1" operator="equal">
      <formula>"Pass"</formula>
    </cfRule>
    <cfRule type="cellIs" dxfId="20932" priority="20772" stopIfTrue="1" operator="equal">
      <formula>"Fail"</formula>
    </cfRule>
  </conditionalFormatting>
  <conditionalFormatting sqref="A883:A885">
    <cfRule type="cellIs" dxfId="20931" priority="20769" stopIfTrue="1" operator="equal">
      <formula>"Pass"</formula>
    </cfRule>
    <cfRule type="cellIs" dxfId="20930" priority="20770" stopIfTrue="1" operator="equal">
      <formula>"Fail"</formula>
    </cfRule>
  </conditionalFormatting>
  <conditionalFormatting sqref="A883:A885">
    <cfRule type="cellIs" dxfId="20929" priority="20767" stopIfTrue="1" operator="equal">
      <formula>"Pass"</formula>
    </cfRule>
    <cfRule type="cellIs" dxfId="20928" priority="20768" stopIfTrue="1" operator="equal">
      <formula>"Fail"</formula>
    </cfRule>
  </conditionalFormatting>
  <conditionalFormatting sqref="A883:A885">
    <cfRule type="cellIs" dxfId="20927" priority="20765" stopIfTrue="1" operator="equal">
      <formula>"Pass"</formula>
    </cfRule>
    <cfRule type="cellIs" dxfId="20926" priority="20766" stopIfTrue="1" operator="equal">
      <formula>"Fail"</formula>
    </cfRule>
  </conditionalFormatting>
  <conditionalFormatting sqref="A885">
    <cfRule type="cellIs" dxfId="20925" priority="20763" stopIfTrue="1" operator="equal">
      <formula>"Pass"</formula>
    </cfRule>
    <cfRule type="cellIs" dxfId="20924" priority="20764" stopIfTrue="1" operator="equal">
      <formula>"Fail"</formula>
    </cfRule>
  </conditionalFormatting>
  <conditionalFormatting sqref="A883:A885">
    <cfRule type="cellIs" dxfId="20923" priority="20761" stopIfTrue="1" operator="equal">
      <formula>"Pass"</formula>
    </cfRule>
    <cfRule type="cellIs" dxfId="20922" priority="20762" stopIfTrue="1" operator="equal">
      <formula>"Fail"</formula>
    </cfRule>
  </conditionalFormatting>
  <conditionalFormatting sqref="A883:A885">
    <cfRule type="cellIs" dxfId="20921" priority="20759" stopIfTrue="1" operator="equal">
      <formula>"Pass"</formula>
    </cfRule>
    <cfRule type="cellIs" dxfId="20920" priority="20760" stopIfTrue="1" operator="equal">
      <formula>"Fail"</formula>
    </cfRule>
  </conditionalFormatting>
  <conditionalFormatting sqref="A883:A885">
    <cfRule type="cellIs" dxfId="20919" priority="20757" stopIfTrue="1" operator="equal">
      <formula>"Pass"</formula>
    </cfRule>
    <cfRule type="cellIs" dxfId="20918" priority="20758" stopIfTrue="1" operator="equal">
      <formula>"Fail"</formula>
    </cfRule>
  </conditionalFormatting>
  <conditionalFormatting sqref="A883:A885">
    <cfRule type="cellIs" dxfId="20917" priority="20755" stopIfTrue="1" operator="equal">
      <formula>"Pass"</formula>
    </cfRule>
    <cfRule type="cellIs" dxfId="20916" priority="20756" stopIfTrue="1" operator="equal">
      <formula>"Fail"</formula>
    </cfRule>
  </conditionalFormatting>
  <conditionalFormatting sqref="A883:A885">
    <cfRule type="cellIs" dxfId="20915" priority="20753" stopIfTrue="1" operator="equal">
      <formula>"Pass"</formula>
    </cfRule>
    <cfRule type="cellIs" dxfId="20914" priority="20754" stopIfTrue="1" operator="equal">
      <formula>"Fail"</formula>
    </cfRule>
  </conditionalFormatting>
  <conditionalFormatting sqref="A883:A885">
    <cfRule type="cellIs" dxfId="20913" priority="20751" stopIfTrue="1" operator="equal">
      <formula>"Pass"</formula>
    </cfRule>
    <cfRule type="cellIs" dxfId="20912" priority="20752" stopIfTrue="1" operator="equal">
      <formula>"Fail"</formula>
    </cfRule>
  </conditionalFormatting>
  <conditionalFormatting sqref="A885">
    <cfRule type="cellIs" dxfId="20911" priority="20749" stopIfTrue="1" operator="equal">
      <formula>"Pass"</formula>
    </cfRule>
    <cfRule type="cellIs" dxfId="20910" priority="20750" stopIfTrue="1" operator="equal">
      <formula>"Fail"</formula>
    </cfRule>
  </conditionalFormatting>
  <conditionalFormatting sqref="A883:A885">
    <cfRule type="cellIs" dxfId="20909" priority="20747" stopIfTrue="1" operator="equal">
      <formula>"Pass"</formula>
    </cfRule>
    <cfRule type="cellIs" dxfId="20908" priority="20748" stopIfTrue="1" operator="equal">
      <formula>"Fail"</formula>
    </cfRule>
  </conditionalFormatting>
  <conditionalFormatting sqref="A886:A888">
    <cfRule type="cellIs" dxfId="20907" priority="20745" stopIfTrue="1" operator="equal">
      <formula>"Pass"</formula>
    </cfRule>
    <cfRule type="cellIs" dxfId="20906" priority="20746" stopIfTrue="1" operator="equal">
      <formula>"Fail"</formula>
    </cfRule>
  </conditionalFormatting>
  <conditionalFormatting sqref="A886:A888">
    <cfRule type="cellIs" dxfId="20905" priority="20743" stopIfTrue="1" operator="equal">
      <formula>"Pass"</formula>
    </cfRule>
    <cfRule type="cellIs" dxfId="20904" priority="20744" stopIfTrue="1" operator="equal">
      <formula>"Fail"</formula>
    </cfRule>
  </conditionalFormatting>
  <conditionalFormatting sqref="A886:A888">
    <cfRule type="cellIs" dxfId="20903" priority="20741" stopIfTrue="1" operator="equal">
      <formula>"Pass"</formula>
    </cfRule>
    <cfRule type="cellIs" dxfId="20902" priority="20742" stopIfTrue="1" operator="equal">
      <formula>"Fail"</formula>
    </cfRule>
  </conditionalFormatting>
  <conditionalFormatting sqref="A886:A888">
    <cfRule type="cellIs" dxfId="20901" priority="20739" stopIfTrue="1" operator="equal">
      <formula>"Pass"</formula>
    </cfRule>
    <cfRule type="cellIs" dxfId="20900" priority="20740" stopIfTrue="1" operator="equal">
      <formula>"Fail"</formula>
    </cfRule>
  </conditionalFormatting>
  <conditionalFormatting sqref="A886:A888">
    <cfRule type="cellIs" dxfId="20899" priority="20737" stopIfTrue="1" operator="equal">
      <formula>"Pass"</formula>
    </cfRule>
    <cfRule type="cellIs" dxfId="20898" priority="20738" stopIfTrue="1" operator="equal">
      <formula>"Fail"</formula>
    </cfRule>
  </conditionalFormatting>
  <conditionalFormatting sqref="A888">
    <cfRule type="cellIs" dxfId="20897" priority="20735" stopIfTrue="1" operator="equal">
      <formula>"Pass"</formula>
    </cfRule>
    <cfRule type="cellIs" dxfId="20896" priority="20736" stopIfTrue="1" operator="equal">
      <formula>"Fail"</formula>
    </cfRule>
  </conditionalFormatting>
  <conditionalFormatting sqref="A886:A888">
    <cfRule type="cellIs" dxfId="20895" priority="20733" stopIfTrue="1" operator="equal">
      <formula>"Pass"</formula>
    </cfRule>
    <cfRule type="cellIs" dxfId="20894" priority="20734" stopIfTrue="1" operator="equal">
      <formula>"Fail"</formula>
    </cfRule>
  </conditionalFormatting>
  <conditionalFormatting sqref="A886:A888">
    <cfRule type="cellIs" dxfId="20893" priority="20731" stopIfTrue="1" operator="equal">
      <formula>"Pass"</formula>
    </cfRule>
    <cfRule type="cellIs" dxfId="20892" priority="20732" stopIfTrue="1" operator="equal">
      <formula>"Fail"</formula>
    </cfRule>
  </conditionalFormatting>
  <conditionalFormatting sqref="A886:A888">
    <cfRule type="cellIs" dxfId="20891" priority="20729" stopIfTrue="1" operator="equal">
      <formula>"Pass"</formula>
    </cfRule>
    <cfRule type="cellIs" dxfId="20890" priority="20730" stopIfTrue="1" operator="equal">
      <formula>"Fail"</formula>
    </cfRule>
  </conditionalFormatting>
  <conditionalFormatting sqref="A886:A888">
    <cfRule type="cellIs" dxfId="20889" priority="20727" stopIfTrue="1" operator="equal">
      <formula>"Pass"</formula>
    </cfRule>
    <cfRule type="cellIs" dxfId="20888" priority="20728" stopIfTrue="1" operator="equal">
      <formula>"Fail"</formula>
    </cfRule>
  </conditionalFormatting>
  <conditionalFormatting sqref="A886:A888">
    <cfRule type="cellIs" dxfId="20887" priority="20725" stopIfTrue="1" operator="equal">
      <formula>"Pass"</formula>
    </cfRule>
    <cfRule type="cellIs" dxfId="20886" priority="20726" stopIfTrue="1" operator="equal">
      <formula>"Fail"</formula>
    </cfRule>
  </conditionalFormatting>
  <conditionalFormatting sqref="A886:A888">
    <cfRule type="cellIs" dxfId="20885" priority="20723" stopIfTrue="1" operator="equal">
      <formula>"Pass"</formula>
    </cfRule>
    <cfRule type="cellIs" dxfId="20884" priority="20724" stopIfTrue="1" operator="equal">
      <formula>"Fail"</formula>
    </cfRule>
  </conditionalFormatting>
  <conditionalFormatting sqref="A888">
    <cfRule type="cellIs" dxfId="20883" priority="20721" stopIfTrue="1" operator="equal">
      <formula>"Pass"</formula>
    </cfRule>
    <cfRule type="cellIs" dxfId="20882" priority="20722" stopIfTrue="1" operator="equal">
      <formula>"Fail"</formula>
    </cfRule>
  </conditionalFormatting>
  <conditionalFormatting sqref="A886:A888">
    <cfRule type="cellIs" dxfId="20881" priority="20719" stopIfTrue="1" operator="equal">
      <formula>"Pass"</formula>
    </cfRule>
    <cfRule type="cellIs" dxfId="20880" priority="20720" stopIfTrue="1" operator="equal">
      <formula>"Fail"</formula>
    </cfRule>
  </conditionalFormatting>
  <conditionalFormatting sqref="A886:A888">
    <cfRule type="cellIs" dxfId="20879" priority="20717" stopIfTrue="1" operator="equal">
      <formula>"Pass"</formula>
    </cfRule>
    <cfRule type="cellIs" dxfId="20878" priority="20718" stopIfTrue="1" operator="equal">
      <formula>"Fail"</formula>
    </cfRule>
  </conditionalFormatting>
  <conditionalFormatting sqref="A886:A888">
    <cfRule type="cellIs" dxfId="20877" priority="20715" stopIfTrue="1" operator="equal">
      <formula>"Pass"</formula>
    </cfRule>
    <cfRule type="cellIs" dxfId="20876" priority="20716" stopIfTrue="1" operator="equal">
      <formula>"Fail"</formula>
    </cfRule>
  </conditionalFormatting>
  <conditionalFormatting sqref="A886:A888">
    <cfRule type="cellIs" dxfId="20875" priority="20713" stopIfTrue="1" operator="equal">
      <formula>"Pass"</formula>
    </cfRule>
    <cfRule type="cellIs" dxfId="20874" priority="20714" stopIfTrue="1" operator="equal">
      <formula>"Fail"</formula>
    </cfRule>
  </conditionalFormatting>
  <conditionalFormatting sqref="A886:A888">
    <cfRule type="cellIs" dxfId="20873" priority="20711" stopIfTrue="1" operator="equal">
      <formula>"Pass"</formula>
    </cfRule>
    <cfRule type="cellIs" dxfId="20872" priority="20712" stopIfTrue="1" operator="equal">
      <formula>"Fail"</formula>
    </cfRule>
  </conditionalFormatting>
  <conditionalFormatting sqref="A886:A888">
    <cfRule type="cellIs" dxfId="20871" priority="20709" stopIfTrue="1" operator="equal">
      <formula>"Pass"</formula>
    </cfRule>
    <cfRule type="cellIs" dxfId="20870" priority="20710" stopIfTrue="1" operator="equal">
      <formula>"Fail"</formula>
    </cfRule>
  </conditionalFormatting>
  <conditionalFormatting sqref="A888">
    <cfRule type="cellIs" dxfId="20869" priority="20707" stopIfTrue="1" operator="equal">
      <formula>"Pass"</formula>
    </cfRule>
    <cfRule type="cellIs" dxfId="20868" priority="20708" stopIfTrue="1" operator="equal">
      <formula>"Fail"</formula>
    </cfRule>
  </conditionalFormatting>
  <conditionalFormatting sqref="A886:A888">
    <cfRule type="cellIs" dxfId="20867" priority="20705" stopIfTrue="1" operator="equal">
      <formula>"Pass"</formula>
    </cfRule>
    <cfRule type="cellIs" dxfId="20866" priority="20706" stopIfTrue="1" operator="equal">
      <formula>"Fail"</formula>
    </cfRule>
  </conditionalFormatting>
  <conditionalFormatting sqref="H886:H887">
    <cfRule type="cellIs" dxfId="20865" priority="20703" stopIfTrue="1" operator="equal">
      <formula>"Pass"</formula>
    </cfRule>
    <cfRule type="cellIs" dxfId="20864" priority="20704" stopIfTrue="1" operator="equal">
      <formula>"Fail"</formula>
    </cfRule>
  </conditionalFormatting>
  <conditionalFormatting sqref="F886 I886:M887 F888">
    <cfRule type="cellIs" dxfId="20863" priority="20701" stopIfTrue="1" operator="equal">
      <formula>"Pass"</formula>
    </cfRule>
    <cfRule type="cellIs" dxfId="20862" priority="20702" stopIfTrue="1" operator="equal">
      <formula>"Fail"</formula>
    </cfRule>
  </conditionalFormatting>
  <conditionalFormatting sqref="T888 T886 R886:R888 S887:S888">
    <cfRule type="cellIs" dxfId="20861" priority="20699" stopIfTrue="1" operator="equal">
      <formula>"Fail"</formula>
    </cfRule>
    <cfRule type="cellIs" dxfId="20860" priority="20700" stopIfTrue="1" operator="equal">
      <formula>"Pass"</formula>
    </cfRule>
  </conditionalFormatting>
  <conditionalFormatting sqref="F886:G886 F888:G888 J886:N887">
    <cfRule type="cellIs" dxfId="20859" priority="20697" stopIfTrue="1" operator="equal">
      <formula>"Pass"</formula>
    </cfRule>
    <cfRule type="cellIs" dxfId="20858" priority="20698" stopIfTrue="1" operator="equal">
      <formula>"Fail"</formula>
    </cfRule>
  </conditionalFormatting>
  <conditionalFormatting sqref="U888 T886:T888 S887:S888">
    <cfRule type="cellIs" dxfId="20857" priority="20695" stopIfTrue="1" operator="equal">
      <formula>"Fail"</formula>
    </cfRule>
    <cfRule type="cellIs" dxfId="20856" priority="20696" stopIfTrue="1" operator="equal">
      <formula>"Pass"</formula>
    </cfRule>
  </conditionalFormatting>
  <conditionalFormatting sqref="U886">
    <cfRule type="cellIs" dxfId="20855" priority="20693" stopIfTrue="1" operator="equal">
      <formula>"Fail"</formula>
    </cfRule>
    <cfRule type="cellIs" dxfId="20854" priority="20694" stopIfTrue="1" operator="equal">
      <formula>"Pass"</formula>
    </cfRule>
  </conditionalFormatting>
  <conditionalFormatting sqref="F886:G886 J886:N886">
    <cfRule type="cellIs" dxfId="20853" priority="20691" stopIfTrue="1" operator="equal">
      <formula>"Pass"</formula>
    </cfRule>
    <cfRule type="cellIs" dxfId="20852" priority="20692" stopIfTrue="1" operator="equal">
      <formula>"Fail"</formula>
    </cfRule>
  </conditionalFormatting>
  <conditionalFormatting sqref="J887:N887">
    <cfRule type="cellIs" dxfId="20851" priority="20689" stopIfTrue="1" operator="equal">
      <formula>"Pass"</formula>
    </cfRule>
    <cfRule type="cellIs" dxfId="20850" priority="20690" stopIfTrue="1" operator="equal">
      <formula>"Fail"</formula>
    </cfRule>
  </conditionalFormatting>
  <conditionalFormatting sqref="H886:H887">
    <cfRule type="cellIs" dxfId="20849" priority="20687" stopIfTrue="1" operator="equal">
      <formula>"Pass"</formula>
    </cfRule>
    <cfRule type="cellIs" dxfId="20848" priority="20688" stopIfTrue="1" operator="equal">
      <formula>"Fail"</formula>
    </cfRule>
  </conditionalFormatting>
  <conditionalFormatting sqref="F886 I886:M887 F888">
    <cfRule type="cellIs" dxfId="20847" priority="20685" stopIfTrue="1" operator="equal">
      <formula>"Pass"</formula>
    </cfRule>
    <cfRule type="cellIs" dxfId="20846" priority="20686" stopIfTrue="1" operator="equal">
      <formula>"Fail"</formula>
    </cfRule>
  </conditionalFormatting>
  <conditionalFormatting sqref="T888 T886 R886:R888 S887:S888">
    <cfRule type="cellIs" dxfId="20845" priority="20683" stopIfTrue="1" operator="equal">
      <formula>"Fail"</formula>
    </cfRule>
    <cfRule type="cellIs" dxfId="20844" priority="20684" stopIfTrue="1" operator="equal">
      <formula>"Pass"</formula>
    </cfRule>
  </conditionalFormatting>
  <conditionalFormatting sqref="F886:G886 F888:G888 J886:N887">
    <cfRule type="cellIs" dxfId="20843" priority="20681" stopIfTrue="1" operator="equal">
      <formula>"Pass"</formula>
    </cfRule>
    <cfRule type="cellIs" dxfId="20842" priority="20682" stopIfTrue="1" operator="equal">
      <formula>"Fail"</formula>
    </cfRule>
  </conditionalFormatting>
  <conditionalFormatting sqref="U888 T886:T888 S887:S888">
    <cfRule type="cellIs" dxfId="20841" priority="20679" stopIfTrue="1" operator="equal">
      <formula>"Fail"</formula>
    </cfRule>
    <cfRule type="cellIs" dxfId="20840" priority="20680" stopIfTrue="1" operator="equal">
      <formula>"Pass"</formula>
    </cfRule>
  </conditionalFormatting>
  <conditionalFormatting sqref="U886">
    <cfRule type="cellIs" dxfId="20839" priority="20677" stopIfTrue="1" operator="equal">
      <formula>"Fail"</formula>
    </cfRule>
    <cfRule type="cellIs" dxfId="20838" priority="20678" stopIfTrue="1" operator="equal">
      <formula>"Pass"</formula>
    </cfRule>
  </conditionalFormatting>
  <conditionalFormatting sqref="F886:G886 J886:N886">
    <cfRule type="cellIs" dxfId="20837" priority="20675" stopIfTrue="1" operator="equal">
      <formula>"Pass"</formula>
    </cfRule>
    <cfRule type="cellIs" dxfId="20836" priority="20676" stopIfTrue="1" operator="equal">
      <formula>"Fail"</formula>
    </cfRule>
  </conditionalFormatting>
  <conditionalFormatting sqref="J887:N887">
    <cfRule type="cellIs" dxfId="20835" priority="20673" stopIfTrue="1" operator="equal">
      <formula>"Pass"</formula>
    </cfRule>
    <cfRule type="cellIs" dxfId="20834" priority="20674" stopIfTrue="1" operator="equal">
      <formula>"Fail"</formula>
    </cfRule>
  </conditionalFormatting>
  <conditionalFormatting sqref="H886:H887">
    <cfRule type="cellIs" dxfId="20833" priority="20671" stopIfTrue="1" operator="equal">
      <formula>"Pass"</formula>
    </cfRule>
    <cfRule type="cellIs" dxfId="20832" priority="20672" stopIfTrue="1" operator="equal">
      <formula>"Fail"</formula>
    </cfRule>
  </conditionalFormatting>
  <conditionalFormatting sqref="F886 I886:M887 F888">
    <cfRule type="cellIs" dxfId="20831" priority="20669" stopIfTrue="1" operator="equal">
      <formula>"Pass"</formula>
    </cfRule>
    <cfRule type="cellIs" dxfId="20830" priority="20670" stopIfTrue="1" operator="equal">
      <formula>"Fail"</formula>
    </cfRule>
  </conditionalFormatting>
  <conditionalFormatting sqref="T888 T886 R886:R888 S887:S888">
    <cfRule type="cellIs" dxfId="20829" priority="20667" stopIfTrue="1" operator="equal">
      <formula>"Fail"</formula>
    </cfRule>
    <cfRule type="cellIs" dxfId="20828" priority="20668" stopIfTrue="1" operator="equal">
      <formula>"Pass"</formula>
    </cfRule>
  </conditionalFormatting>
  <conditionalFormatting sqref="F886:G886 F888:G888 J886:N887">
    <cfRule type="cellIs" dxfId="20827" priority="20665" stopIfTrue="1" operator="equal">
      <formula>"Pass"</formula>
    </cfRule>
    <cfRule type="cellIs" dxfId="20826" priority="20666" stopIfTrue="1" operator="equal">
      <formula>"Fail"</formula>
    </cfRule>
  </conditionalFormatting>
  <conditionalFormatting sqref="U888 T886:T888 S887:S888">
    <cfRule type="cellIs" dxfId="20825" priority="20663" stopIfTrue="1" operator="equal">
      <formula>"Fail"</formula>
    </cfRule>
    <cfRule type="cellIs" dxfId="20824" priority="20664" stopIfTrue="1" operator="equal">
      <formula>"Pass"</formula>
    </cfRule>
  </conditionalFormatting>
  <conditionalFormatting sqref="U886">
    <cfRule type="cellIs" dxfId="20823" priority="20661" stopIfTrue="1" operator="equal">
      <formula>"Fail"</formula>
    </cfRule>
    <cfRule type="cellIs" dxfId="20822" priority="20662" stopIfTrue="1" operator="equal">
      <formula>"Pass"</formula>
    </cfRule>
  </conditionalFormatting>
  <conditionalFormatting sqref="F886:G886 J886:N886">
    <cfRule type="cellIs" dxfId="20821" priority="20659" stopIfTrue="1" operator="equal">
      <formula>"Pass"</formula>
    </cfRule>
    <cfRule type="cellIs" dxfId="20820" priority="20660" stopIfTrue="1" operator="equal">
      <formula>"Fail"</formula>
    </cfRule>
  </conditionalFormatting>
  <conditionalFormatting sqref="J887:N887">
    <cfRule type="cellIs" dxfId="20819" priority="20657" stopIfTrue="1" operator="equal">
      <formula>"Pass"</formula>
    </cfRule>
    <cfRule type="cellIs" dxfId="20818" priority="20658" stopIfTrue="1" operator="equal">
      <formula>"Fail"</formula>
    </cfRule>
  </conditionalFormatting>
  <conditionalFormatting sqref="U886">
    <cfRule type="cellIs" dxfId="20817" priority="20655" stopIfTrue="1" operator="equal">
      <formula>"Fail"</formula>
    </cfRule>
    <cfRule type="cellIs" dxfId="20816" priority="20656" stopIfTrue="1" operator="equal">
      <formula>"Pass"</formula>
    </cfRule>
  </conditionalFormatting>
  <conditionalFormatting sqref="U886">
    <cfRule type="cellIs" dxfId="20815" priority="20653" stopIfTrue="1" operator="equal">
      <formula>"Fail"</formula>
    </cfRule>
    <cfRule type="cellIs" dxfId="20814" priority="20654" stopIfTrue="1" operator="equal">
      <formula>"Pass"</formula>
    </cfRule>
  </conditionalFormatting>
  <conditionalFormatting sqref="U886">
    <cfRule type="cellIs" dxfId="20813" priority="20651" stopIfTrue="1" operator="equal">
      <formula>"Fail"</formula>
    </cfRule>
    <cfRule type="cellIs" dxfId="20812" priority="20652" stopIfTrue="1" operator="equal">
      <formula>"Pass"</formula>
    </cfRule>
  </conditionalFormatting>
  <conditionalFormatting sqref="N886">
    <cfRule type="cellIs" dxfId="20811" priority="20649" stopIfTrue="1" operator="equal">
      <formula>"Pass"</formula>
    </cfRule>
    <cfRule type="cellIs" dxfId="20810" priority="20650" stopIfTrue="1" operator="equal">
      <formula>"Fail"</formula>
    </cfRule>
  </conditionalFormatting>
  <conditionalFormatting sqref="N886">
    <cfRule type="cellIs" dxfId="20809" priority="20647" stopIfTrue="1" operator="equal">
      <formula>"Pass"</formula>
    </cfRule>
    <cfRule type="cellIs" dxfId="20808" priority="20648" stopIfTrue="1" operator="equal">
      <formula>"Fail"</formula>
    </cfRule>
  </conditionalFormatting>
  <conditionalFormatting sqref="N886">
    <cfRule type="cellIs" dxfId="20807" priority="20645" stopIfTrue="1" operator="equal">
      <formula>"Pass"</formula>
    </cfRule>
    <cfRule type="cellIs" dxfId="20806" priority="20646" stopIfTrue="1" operator="equal">
      <formula>"Fail"</formula>
    </cfRule>
  </conditionalFormatting>
  <conditionalFormatting sqref="H889:H890">
    <cfRule type="cellIs" dxfId="20805" priority="20643" stopIfTrue="1" operator="equal">
      <formula>"Pass"</formula>
    </cfRule>
    <cfRule type="cellIs" dxfId="20804" priority="20644" stopIfTrue="1" operator="equal">
      <formula>"Fail"</formula>
    </cfRule>
  </conditionalFormatting>
  <conditionalFormatting sqref="E889:F889 E891:F891 I889:M890 A889:A891">
    <cfRule type="cellIs" dxfId="20803" priority="20641" stopIfTrue="1" operator="equal">
      <formula>"Pass"</formula>
    </cfRule>
    <cfRule type="cellIs" dxfId="20802" priority="20642" stopIfTrue="1" operator="equal">
      <formula>"Fail"</formula>
    </cfRule>
  </conditionalFormatting>
  <conditionalFormatting sqref="T891 T889 R889:R891 S890:S891">
    <cfRule type="cellIs" dxfId="20801" priority="20639" stopIfTrue="1" operator="equal">
      <formula>"Fail"</formula>
    </cfRule>
    <cfRule type="cellIs" dxfId="20800" priority="20640" stopIfTrue="1" operator="equal">
      <formula>"Pass"</formula>
    </cfRule>
  </conditionalFormatting>
  <conditionalFormatting sqref="F889:G889 F891:G891 A889:B891 J889:N890">
    <cfRule type="cellIs" dxfId="20799" priority="20637" stopIfTrue="1" operator="equal">
      <formula>"Pass"</formula>
    </cfRule>
    <cfRule type="cellIs" dxfId="20798" priority="20638" stopIfTrue="1" operator="equal">
      <formula>"Fail"</formula>
    </cfRule>
  </conditionalFormatting>
  <conditionalFormatting sqref="U891 U889 T889:T891 S890:S891">
    <cfRule type="cellIs" dxfId="20797" priority="20635" stopIfTrue="1" operator="equal">
      <formula>"Fail"</formula>
    </cfRule>
    <cfRule type="cellIs" dxfId="20796" priority="20636" stopIfTrue="1" operator="equal">
      <formula>"Pass"</formula>
    </cfRule>
  </conditionalFormatting>
  <conditionalFormatting sqref="A889:A891">
    <cfRule type="cellIs" dxfId="20795" priority="20633" stopIfTrue="1" operator="equal">
      <formula>"Pass"</formula>
    </cfRule>
    <cfRule type="cellIs" dxfId="20794" priority="20634" stopIfTrue="1" operator="equal">
      <formula>"Fail"</formula>
    </cfRule>
  </conditionalFormatting>
  <conditionalFormatting sqref="A889:A891">
    <cfRule type="cellIs" dxfId="20793" priority="20631" stopIfTrue="1" operator="equal">
      <formula>"Pass"</formula>
    </cfRule>
    <cfRule type="cellIs" dxfId="20792" priority="20632" stopIfTrue="1" operator="equal">
      <formula>"Fail"</formula>
    </cfRule>
  </conditionalFormatting>
  <conditionalFormatting sqref="A889:A891">
    <cfRule type="cellIs" dxfId="20791" priority="20629" stopIfTrue="1" operator="equal">
      <formula>"Pass"</formula>
    </cfRule>
    <cfRule type="cellIs" dxfId="20790" priority="20630" stopIfTrue="1" operator="equal">
      <formula>"Fail"</formula>
    </cfRule>
  </conditionalFormatting>
  <conditionalFormatting sqref="J889:N890 E889:G891">
    <cfRule type="cellIs" dxfId="20789" priority="20627" stopIfTrue="1" operator="equal">
      <formula>"Pass"</formula>
    </cfRule>
    <cfRule type="cellIs" dxfId="20788" priority="20628" stopIfTrue="1" operator="equal">
      <formula>"Fail"</formula>
    </cfRule>
  </conditionalFormatting>
  <conditionalFormatting sqref="A891 C891 K889:O890 F889:H891">
    <cfRule type="cellIs" dxfId="20787" priority="20625" stopIfTrue="1" operator="equal">
      <formula>"Pass"</formula>
    </cfRule>
    <cfRule type="cellIs" dxfId="20786" priority="20626" stopIfTrue="1" operator="equal">
      <formula>"Fail"</formula>
    </cfRule>
  </conditionalFormatting>
  <conditionalFormatting sqref="T889">
    <cfRule type="cellIs" dxfId="20785" priority="20623" stopIfTrue="1" operator="equal">
      <formula>"Fail"</formula>
    </cfRule>
    <cfRule type="cellIs" dxfId="20784" priority="20624" stopIfTrue="1" operator="equal">
      <formula>"Pass"</formula>
    </cfRule>
  </conditionalFormatting>
  <conditionalFormatting sqref="A889:A891">
    <cfRule type="cellIs" dxfId="20783" priority="20621" stopIfTrue="1" operator="equal">
      <formula>"Pass"</formula>
    </cfRule>
    <cfRule type="cellIs" dxfId="20782" priority="20622" stopIfTrue="1" operator="equal">
      <formula>"Fail"</formula>
    </cfRule>
  </conditionalFormatting>
  <conditionalFormatting sqref="A889:A891">
    <cfRule type="cellIs" dxfId="20781" priority="20619" stopIfTrue="1" operator="equal">
      <formula>"Pass"</formula>
    </cfRule>
    <cfRule type="cellIs" dxfId="20780" priority="20620" stopIfTrue="1" operator="equal">
      <formula>"Fail"</formula>
    </cfRule>
  </conditionalFormatting>
  <conditionalFormatting sqref="A889:A891">
    <cfRule type="cellIs" dxfId="20779" priority="20617" stopIfTrue="1" operator="equal">
      <formula>"Pass"</formula>
    </cfRule>
    <cfRule type="cellIs" dxfId="20778" priority="20618" stopIfTrue="1" operator="equal">
      <formula>"Fail"</formula>
    </cfRule>
  </conditionalFormatting>
  <conditionalFormatting sqref="A889:A891">
    <cfRule type="cellIs" dxfId="20777" priority="20615" stopIfTrue="1" operator="equal">
      <formula>"Pass"</formula>
    </cfRule>
    <cfRule type="cellIs" dxfId="20776" priority="20616" stopIfTrue="1" operator="equal">
      <formula>"Fail"</formula>
    </cfRule>
  </conditionalFormatting>
  <conditionalFormatting sqref="A889:A891">
    <cfRule type="cellIs" dxfId="20775" priority="20613" stopIfTrue="1" operator="equal">
      <formula>"Pass"</formula>
    </cfRule>
    <cfRule type="cellIs" dxfId="20774" priority="20614" stopIfTrue="1" operator="equal">
      <formula>"Fail"</formula>
    </cfRule>
  </conditionalFormatting>
  <conditionalFormatting sqref="A889:A891">
    <cfRule type="cellIs" dxfId="20773" priority="20611" stopIfTrue="1" operator="equal">
      <formula>"Pass"</formula>
    </cfRule>
    <cfRule type="cellIs" dxfId="20772" priority="20612" stopIfTrue="1" operator="equal">
      <formula>"Fail"</formula>
    </cfRule>
  </conditionalFormatting>
  <conditionalFormatting sqref="A891">
    <cfRule type="cellIs" dxfId="20771" priority="20609" stopIfTrue="1" operator="equal">
      <formula>"Pass"</formula>
    </cfRule>
    <cfRule type="cellIs" dxfId="20770" priority="20610" stopIfTrue="1" operator="equal">
      <formula>"Fail"</formula>
    </cfRule>
  </conditionalFormatting>
  <conditionalFormatting sqref="A889:A891">
    <cfRule type="cellIs" dxfId="20769" priority="20607" stopIfTrue="1" operator="equal">
      <formula>"Pass"</formula>
    </cfRule>
    <cfRule type="cellIs" dxfId="20768" priority="20608" stopIfTrue="1" operator="equal">
      <formula>"Fail"</formula>
    </cfRule>
  </conditionalFormatting>
  <conditionalFormatting sqref="A889:A891">
    <cfRule type="cellIs" dxfId="20767" priority="20605" stopIfTrue="1" operator="equal">
      <formula>"Pass"</formula>
    </cfRule>
    <cfRule type="cellIs" dxfId="20766" priority="20606" stopIfTrue="1" operator="equal">
      <formula>"Fail"</formula>
    </cfRule>
  </conditionalFormatting>
  <conditionalFormatting sqref="A889:A891">
    <cfRule type="cellIs" dxfId="20765" priority="20603" stopIfTrue="1" operator="equal">
      <formula>"Pass"</formula>
    </cfRule>
    <cfRule type="cellIs" dxfId="20764" priority="20604" stopIfTrue="1" operator="equal">
      <formula>"Fail"</formula>
    </cfRule>
  </conditionalFormatting>
  <conditionalFormatting sqref="A889:A891">
    <cfRule type="cellIs" dxfId="20763" priority="20601" stopIfTrue="1" operator="equal">
      <formula>"Pass"</formula>
    </cfRule>
    <cfRule type="cellIs" dxfId="20762" priority="20602" stopIfTrue="1" operator="equal">
      <formula>"Fail"</formula>
    </cfRule>
  </conditionalFormatting>
  <conditionalFormatting sqref="A889:A891">
    <cfRule type="cellIs" dxfId="20761" priority="20599" stopIfTrue="1" operator="equal">
      <formula>"Pass"</formula>
    </cfRule>
    <cfRule type="cellIs" dxfId="20760" priority="20600" stopIfTrue="1" operator="equal">
      <formula>"Fail"</formula>
    </cfRule>
  </conditionalFormatting>
  <conditionalFormatting sqref="A889:A891">
    <cfRule type="cellIs" dxfId="20759" priority="20597" stopIfTrue="1" operator="equal">
      <formula>"Pass"</formula>
    </cfRule>
    <cfRule type="cellIs" dxfId="20758" priority="20598" stopIfTrue="1" operator="equal">
      <formula>"Fail"</formula>
    </cfRule>
  </conditionalFormatting>
  <conditionalFormatting sqref="A891">
    <cfRule type="cellIs" dxfId="20757" priority="20595" stopIfTrue="1" operator="equal">
      <formula>"Pass"</formula>
    </cfRule>
    <cfRule type="cellIs" dxfId="20756" priority="20596" stopIfTrue="1" operator="equal">
      <formula>"Fail"</formula>
    </cfRule>
  </conditionalFormatting>
  <conditionalFormatting sqref="A889:A891">
    <cfRule type="cellIs" dxfId="20755" priority="20593" stopIfTrue="1" operator="equal">
      <formula>"Pass"</formula>
    </cfRule>
    <cfRule type="cellIs" dxfId="20754" priority="20594" stopIfTrue="1" operator="equal">
      <formula>"Fail"</formula>
    </cfRule>
  </conditionalFormatting>
  <conditionalFormatting sqref="H889:H890">
    <cfRule type="cellIs" dxfId="20753" priority="20591" stopIfTrue="1" operator="equal">
      <formula>"Pass"</formula>
    </cfRule>
    <cfRule type="cellIs" dxfId="20752" priority="20592" stopIfTrue="1" operator="equal">
      <formula>"Fail"</formula>
    </cfRule>
  </conditionalFormatting>
  <conditionalFormatting sqref="F889 F891 I889:M890">
    <cfRule type="cellIs" dxfId="20751" priority="20589" stopIfTrue="1" operator="equal">
      <formula>"Pass"</formula>
    </cfRule>
    <cfRule type="cellIs" dxfId="20750" priority="20590" stopIfTrue="1" operator="equal">
      <formula>"Fail"</formula>
    </cfRule>
  </conditionalFormatting>
  <conditionalFormatting sqref="T891 T889 R889:R891 S890:S891">
    <cfRule type="cellIs" dxfId="20749" priority="20587" stopIfTrue="1" operator="equal">
      <formula>"Fail"</formula>
    </cfRule>
    <cfRule type="cellIs" dxfId="20748" priority="20588" stopIfTrue="1" operator="equal">
      <formula>"Pass"</formula>
    </cfRule>
  </conditionalFormatting>
  <conditionalFormatting sqref="F889:G889 F891:G891 J889:N890">
    <cfRule type="cellIs" dxfId="20747" priority="20585" stopIfTrue="1" operator="equal">
      <formula>"Pass"</formula>
    </cfRule>
    <cfRule type="cellIs" dxfId="20746" priority="20586" stopIfTrue="1" operator="equal">
      <formula>"Fail"</formula>
    </cfRule>
  </conditionalFormatting>
  <conditionalFormatting sqref="U891 U889 T889:T891 S890:S891">
    <cfRule type="cellIs" dxfId="20745" priority="20583" stopIfTrue="1" operator="equal">
      <formula>"Fail"</formula>
    </cfRule>
    <cfRule type="cellIs" dxfId="20744" priority="20584" stopIfTrue="1" operator="equal">
      <formula>"Pass"</formula>
    </cfRule>
  </conditionalFormatting>
  <conditionalFormatting sqref="J889:N890 F889:G891">
    <cfRule type="cellIs" dxfId="20743" priority="20581" stopIfTrue="1" operator="equal">
      <formula>"Pass"</formula>
    </cfRule>
    <cfRule type="cellIs" dxfId="20742" priority="20582" stopIfTrue="1" operator="equal">
      <formula>"Fail"</formula>
    </cfRule>
  </conditionalFormatting>
  <conditionalFormatting sqref="K889:O890 F889:H891">
    <cfRule type="cellIs" dxfId="20741" priority="20579" stopIfTrue="1" operator="equal">
      <formula>"Pass"</formula>
    </cfRule>
    <cfRule type="cellIs" dxfId="20740" priority="20580" stopIfTrue="1" operator="equal">
      <formula>"Fail"</formula>
    </cfRule>
  </conditionalFormatting>
  <conditionalFormatting sqref="T889">
    <cfRule type="cellIs" dxfId="20739" priority="20577" stopIfTrue="1" operator="equal">
      <formula>"Fail"</formula>
    </cfRule>
    <cfRule type="cellIs" dxfId="20738" priority="20578" stopIfTrue="1" operator="equal">
      <formula>"Pass"</formula>
    </cfRule>
  </conditionalFormatting>
  <conditionalFormatting sqref="K889:O890 F889:H891">
    <cfRule type="cellIs" dxfId="20737" priority="20575" stopIfTrue="1" operator="equal">
      <formula>"Pass"</formula>
    </cfRule>
    <cfRule type="cellIs" dxfId="20736" priority="20576" stopIfTrue="1" operator="equal">
      <formula>"Fail"</formula>
    </cfRule>
  </conditionalFormatting>
  <conditionalFormatting sqref="T889">
    <cfRule type="cellIs" dxfId="20735" priority="20573" stopIfTrue="1" operator="equal">
      <formula>"Fail"</formula>
    </cfRule>
    <cfRule type="cellIs" dxfId="20734" priority="20574" stopIfTrue="1" operator="equal">
      <formula>"Pass"</formula>
    </cfRule>
  </conditionalFormatting>
  <conditionalFormatting sqref="H889:H890">
    <cfRule type="cellIs" dxfId="20733" priority="20571" stopIfTrue="1" operator="equal">
      <formula>"Pass"</formula>
    </cfRule>
    <cfRule type="cellIs" dxfId="20732" priority="20572" stopIfTrue="1" operator="equal">
      <formula>"Fail"</formula>
    </cfRule>
  </conditionalFormatting>
  <conditionalFormatting sqref="E889:F889 E891:F891 I889:M890 A889:A891">
    <cfRule type="cellIs" dxfId="20731" priority="20569" stopIfTrue="1" operator="equal">
      <formula>"Pass"</formula>
    </cfRule>
    <cfRule type="cellIs" dxfId="20730" priority="20570" stopIfTrue="1" operator="equal">
      <formula>"Fail"</formula>
    </cfRule>
  </conditionalFormatting>
  <conditionalFormatting sqref="T891 T889 R889:R891 S890:S891">
    <cfRule type="cellIs" dxfId="20729" priority="20567" stopIfTrue="1" operator="equal">
      <formula>"Fail"</formula>
    </cfRule>
    <cfRule type="cellIs" dxfId="20728" priority="20568" stopIfTrue="1" operator="equal">
      <formula>"Pass"</formula>
    </cfRule>
  </conditionalFormatting>
  <conditionalFormatting sqref="F889:G889 F891:G891 A889:B891 J889:N890">
    <cfRule type="cellIs" dxfId="20727" priority="20565" stopIfTrue="1" operator="equal">
      <formula>"Pass"</formula>
    </cfRule>
    <cfRule type="cellIs" dxfId="20726" priority="20566" stopIfTrue="1" operator="equal">
      <formula>"Fail"</formula>
    </cfRule>
  </conditionalFormatting>
  <conditionalFormatting sqref="U891 U889 T889:T891 S890:S891">
    <cfRule type="cellIs" dxfId="20725" priority="20563" stopIfTrue="1" operator="equal">
      <formula>"Fail"</formula>
    </cfRule>
    <cfRule type="cellIs" dxfId="20724" priority="20564" stopIfTrue="1" operator="equal">
      <formula>"Pass"</formula>
    </cfRule>
  </conditionalFormatting>
  <conditionalFormatting sqref="A889:A891">
    <cfRule type="cellIs" dxfId="20723" priority="20561" stopIfTrue="1" operator="equal">
      <formula>"Pass"</formula>
    </cfRule>
    <cfRule type="cellIs" dxfId="20722" priority="20562" stopIfTrue="1" operator="equal">
      <formula>"Fail"</formula>
    </cfRule>
  </conditionalFormatting>
  <conditionalFormatting sqref="A889:A891">
    <cfRule type="cellIs" dxfId="20721" priority="20559" stopIfTrue="1" operator="equal">
      <formula>"Pass"</formula>
    </cfRule>
    <cfRule type="cellIs" dxfId="20720" priority="20560" stopIfTrue="1" operator="equal">
      <formula>"Fail"</formula>
    </cfRule>
  </conditionalFormatting>
  <conditionalFormatting sqref="A889:A891">
    <cfRule type="cellIs" dxfId="20719" priority="20557" stopIfTrue="1" operator="equal">
      <formula>"Pass"</formula>
    </cfRule>
    <cfRule type="cellIs" dxfId="20718" priority="20558" stopIfTrue="1" operator="equal">
      <formula>"Fail"</formula>
    </cfRule>
  </conditionalFormatting>
  <conditionalFormatting sqref="J889:N890 E889:G891">
    <cfRule type="cellIs" dxfId="20717" priority="20555" stopIfTrue="1" operator="equal">
      <formula>"Pass"</formula>
    </cfRule>
    <cfRule type="cellIs" dxfId="20716" priority="20556" stopIfTrue="1" operator="equal">
      <formula>"Fail"</formula>
    </cfRule>
  </conditionalFormatting>
  <conditionalFormatting sqref="A891 C891 K889:O890 F889:H891">
    <cfRule type="cellIs" dxfId="20715" priority="20553" stopIfTrue="1" operator="equal">
      <formula>"Pass"</formula>
    </cfRule>
    <cfRule type="cellIs" dxfId="20714" priority="20554" stopIfTrue="1" operator="equal">
      <formula>"Fail"</formula>
    </cfRule>
  </conditionalFormatting>
  <conditionalFormatting sqref="T889">
    <cfRule type="cellIs" dxfId="20713" priority="20551" stopIfTrue="1" operator="equal">
      <formula>"Fail"</formula>
    </cfRule>
    <cfRule type="cellIs" dxfId="20712" priority="20552" stopIfTrue="1" operator="equal">
      <formula>"Pass"</formula>
    </cfRule>
  </conditionalFormatting>
  <conditionalFormatting sqref="A889:A891">
    <cfRule type="cellIs" dxfId="20711" priority="20549" stopIfTrue="1" operator="equal">
      <formula>"Pass"</formula>
    </cfRule>
    <cfRule type="cellIs" dxfId="20710" priority="20550" stopIfTrue="1" operator="equal">
      <formula>"Fail"</formula>
    </cfRule>
  </conditionalFormatting>
  <conditionalFormatting sqref="A889:A891">
    <cfRule type="cellIs" dxfId="20709" priority="20547" stopIfTrue="1" operator="equal">
      <formula>"Pass"</formula>
    </cfRule>
    <cfRule type="cellIs" dxfId="20708" priority="20548" stopIfTrue="1" operator="equal">
      <formula>"Fail"</formula>
    </cfRule>
  </conditionalFormatting>
  <conditionalFormatting sqref="A889:A891">
    <cfRule type="cellIs" dxfId="20707" priority="20545" stopIfTrue="1" operator="equal">
      <formula>"Pass"</formula>
    </cfRule>
    <cfRule type="cellIs" dxfId="20706" priority="20546" stopIfTrue="1" operator="equal">
      <formula>"Fail"</formula>
    </cfRule>
  </conditionalFormatting>
  <conditionalFormatting sqref="A889:A891">
    <cfRule type="cellIs" dxfId="20705" priority="20543" stopIfTrue="1" operator="equal">
      <formula>"Pass"</formula>
    </cfRule>
    <cfRule type="cellIs" dxfId="20704" priority="20544" stopIfTrue="1" operator="equal">
      <formula>"Fail"</formula>
    </cfRule>
  </conditionalFormatting>
  <conditionalFormatting sqref="A889:A891">
    <cfRule type="cellIs" dxfId="20703" priority="20541" stopIfTrue="1" operator="equal">
      <formula>"Pass"</formula>
    </cfRule>
    <cfRule type="cellIs" dxfId="20702" priority="20542" stopIfTrue="1" operator="equal">
      <formula>"Fail"</formula>
    </cfRule>
  </conditionalFormatting>
  <conditionalFormatting sqref="A889:A891">
    <cfRule type="cellIs" dxfId="20701" priority="20539" stopIfTrue="1" operator="equal">
      <formula>"Pass"</formula>
    </cfRule>
    <cfRule type="cellIs" dxfId="20700" priority="20540" stopIfTrue="1" operator="equal">
      <formula>"Fail"</formula>
    </cfRule>
  </conditionalFormatting>
  <conditionalFormatting sqref="A891">
    <cfRule type="cellIs" dxfId="20699" priority="20537" stopIfTrue="1" operator="equal">
      <formula>"Pass"</formula>
    </cfRule>
    <cfRule type="cellIs" dxfId="20698" priority="20538" stopIfTrue="1" operator="equal">
      <formula>"Fail"</formula>
    </cfRule>
  </conditionalFormatting>
  <conditionalFormatting sqref="A889:A891">
    <cfRule type="cellIs" dxfId="20697" priority="20535" stopIfTrue="1" operator="equal">
      <formula>"Pass"</formula>
    </cfRule>
    <cfRule type="cellIs" dxfId="20696" priority="20536" stopIfTrue="1" operator="equal">
      <formula>"Fail"</formula>
    </cfRule>
  </conditionalFormatting>
  <conditionalFormatting sqref="A889:A891">
    <cfRule type="cellIs" dxfId="20695" priority="20533" stopIfTrue="1" operator="equal">
      <formula>"Pass"</formula>
    </cfRule>
    <cfRule type="cellIs" dxfId="20694" priority="20534" stopIfTrue="1" operator="equal">
      <formula>"Fail"</formula>
    </cfRule>
  </conditionalFormatting>
  <conditionalFormatting sqref="A889:A891">
    <cfRule type="cellIs" dxfId="20693" priority="20531" stopIfTrue="1" operator="equal">
      <formula>"Pass"</formula>
    </cfRule>
    <cfRule type="cellIs" dxfId="20692" priority="20532" stopIfTrue="1" operator="equal">
      <formula>"Fail"</formula>
    </cfRule>
  </conditionalFormatting>
  <conditionalFormatting sqref="A889:A891">
    <cfRule type="cellIs" dxfId="20691" priority="20529" stopIfTrue="1" operator="equal">
      <formula>"Pass"</formula>
    </cfRule>
    <cfRule type="cellIs" dxfId="20690" priority="20530" stopIfTrue="1" operator="equal">
      <formula>"Fail"</formula>
    </cfRule>
  </conditionalFormatting>
  <conditionalFormatting sqref="A889:A891">
    <cfRule type="cellIs" dxfId="20689" priority="20527" stopIfTrue="1" operator="equal">
      <formula>"Pass"</formula>
    </cfRule>
    <cfRule type="cellIs" dxfId="20688" priority="20528" stopIfTrue="1" operator="equal">
      <formula>"Fail"</formula>
    </cfRule>
  </conditionalFormatting>
  <conditionalFormatting sqref="A889:A891">
    <cfRule type="cellIs" dxfId="20687" priority="20525" stopIfTrue="1" operator="equal">
      <formula>"Pass"</formula>
    </cfRule>
    <cfRule type="cellIs" dxfId="20686" priority="20526" stopIfTrue="1" operator="equal">
      <formula>"Fail"</formula>
    </cfRule>
  </conditionalFormatting>
  <conditionalFormatting sqref="A891">
    <cfRule type="cellIs" dxfId="20685" priority="20523" stopIfTrue="1" operator="equal">
      <formula>"Pass"</formula>
    </cfRule>
    <cfRule type="cellIs" dxfId="20684" priority="20524" stopIfTrue="1" operator="equal">
      <formula>"Fail"</formula>
    </cfRule>
  </conditionalFormatting>
  <conditionalFormatting sqref="A889:A891">
    <cfRule type="cellIs" dxfId="20683" priority="20521" stopIfTrue="1" operator="equal">
      <formula>"Pass"</formula>
    </cfRule>
    <cfRule type="cellIs" dxfId="20682" priority="20522" stopIfTrue="1" operator="equal">
      <formula>"Fail"</formula>
    </cfRule>
  </conditionalFormatting>
  <conditionalFormatting sqref="H889:H890">
    <cfRule type="cellIs" dxfId="20681" priority="20519" stopIfTrue="1" operator="equal">
      <formula>"Pass"</formula>
    </cfRule>
    <cfRule type="cellIs" dxfId="20680" priority="20520" stopIfTrue="1" operator="equal">
      <formula>"Fail"</formula>
    </cfRule>
  </conditionalFormatting>
  <conditionalFormatting sqref="F889 F891 I889:M890">
    <cfRule type="cellIs" dxfId="20679" priority="20517" stopIfTrue="1" operator="equal">
      <formula>"Pass"</formula>
    </cfRule>
    <cfRule type="cellIs" dxfId="20678" priority="20518" stopIfTrue="1" operator="equal">
      <formula>"Fail"</formula>
    </cfRule>
  </conditionalFormatting>
  <conditionalFormatting sqref="T891 T889 R889:R891 S890:S891">
    <cfRule type="cellIs" dxfId="20677" priority="20515" stopIfTrue="1" operator="equal">
      <formula>"Fail"</formula>
    </cfRule>
    <cfRule type="cellIs" dxfId="20676" priority="20516" stopIfTrue="1" operator="equal">
      <formula>"Pass"</formula>
    </cfRule>
  </conditionalFormatting>
  <conditionalFormatting sqref="F889:G889 F891:G891 J889:N890">
    <cfRule type="cellIs" dxfId="20675" priority="20513" stopIfTrue="1" operator="equal">
      <formula>"Pass"</formula>
    </cfRule>
    <cfRule type="cellIs" dxfId="20674" priority="20514" stopIfTrue="1" operator="equal">
      <formula>"Fail"</formula>
    </cfRule>
  </conditionalFormatting>
  <conditionalFormatting sqref="U891 U889 T889:T891 S890:S891">
    <cfRule type="cellIs" dxfId="20673" priority="20511" stopIfTrue="1" operator="equal">
      <formula>"Fail"</formula>
    </cfRule>
    <cfRule type="cellIs" dxfId="20672" priority="20512" stopIfTrue="1" operator="equal">
      <formula>"Pass"</formula>
    </cfRule>
  </conditionalFormatting>
  <conditionalFormatting sqref="J889:N890 F889:G891">
    <cfRule type="cellIs" dxfId="20671" priority="20509" stopIfTrue="1" operator="equal">
      <formula>"Pass"</formula>
    </cfRule>
    <cfRule type="cellIs" dxfId="20670" priority="20510" stopIfTrue="1" operator="equal">
      <formula>"Fail"</formula>
    </cfRule>
  </conditionalFormatting>
  <conditionalFormatting sqref="K889:O890 F889:H891">
    <cfRule type="cellIs" dxfId="20669" priority="20507" stopIfTrue="1" operator="equal">
      <formula>"Pass"</formula>
    </cfRule>
    <cfRule type="cellIs" dxfId="20668" priority="20508" stopIfTrue="1" operator="equal">
      <formula>"Fail"</formula>
    </cfRule>
  </conditionalFormatting>
  <conditionalFormatting sqref="T889">
    <cfRule type="cellIs" dxfId="20667" priority="20505" stopIfTrue="1" operator="equal">
      <formula>"Fail"</formula>
    </cfRule>
    <cfRule type="cellIs" dxfId="20666" priority="20506" stopIfTrue="1" operator="equal">
      <formula>"Pass"</formula>
    </cfRule>
  </conditionalFormatting>
  <conditionalFormatting sqref="K889:O890 F889:H891">
    <cfRule type="cellIs" dxfId="20665" priority="20503" stopIfTrue="1" operator="equal">
      <formula>"Pass"</formula>
    </cfRule>
    <cfRule type="cellIs" dxfId="20664" priority="20504" stopIfTrue="1" operator="equal">
      <formula>"Fail"</formula>
    </cfRule>
  </conditionalFormatting>
  <conditionalFormatting sqref="T889">
    <cfRule type="cellIs" dxfId="20663" priority="20501" stopIfTrue="1" operator="equal">
      <formula>"Fail"</formula>
    </cfRule>
    <cfRule type="cellIs" dxfId="20662" priority="20502" stopIfTrue="1" operator="equal">
      <formula>"Pass"</formula>
    </cfRule>
  </conditionalFormatting>
  <conditionalFormatting sqref="A892:A894">
    <cfRule type="cellIs" dxfId="20661" priority="20499" stopIfTrue="1" operator="equal">
      <formula>"Pass"</formula>
    </cfRule>
    <cfRule type="cellIs" dxfId="20660" priority="20500" stopIfTrue="1" operator="equal">
      <formula>"Fail"</formula>
    </cfRule>
  </conditionalFormatting>
  <conditionalFormatting sqref="A892:A894">
    <cfRule type="cellIs" dxfId="20659" priority="20497" stopIfTrue="1" operator="equal">
      <formula>"Pass"</formula>
    </cfRule>
    <cfRule type="cellIs" dxfId="20658" priority="20498" stopIfTrue="1" operator="equal">
      <formula>"Fail"</formula>
    </cfRule>
  </conditionalFormatting>
  <conditionalFormatting sqref="A892:A894">
    <cfRule type="cellIs" dxfId="20657" priority="20495" stopIfTrue="1" operator="equal">
      <formula>"Pass"</formula>
    </cfRule>
    <cfRule type="cellIs" dxfId="20656" priority="20496" stopIfTrue="1" operator="equal">
      <formula>"Fail"</formula>
    </cfRule>
  </conditionalFormatting>
  <conditionalFormatting sqref="A892:A894">
    <cfRule type="cellIs" dxfId="20655" priority="20493" stopIfTrue="1" operator="equal">
      <formula>"Pass"</formula>
    </cfRule>
    <cfRule type="cellIs" dxfId="20654" priority="20494" stopIfTrue="1" operator="equal">
      <formula>"Fail"</formula>
    </cfRule>
  </conditionalFormatting>
  <conditionalFormatting sqref="A892:A894">
    <cfRule type="cellIs" dxfId="20653" priority="20491" stopIfTrue="1" operator="equal">
      <formula>"Pass"</formula>
    </cfRule>
    <cfRule type="cellIs" dxfId="20652" priority="20492" stopIfTrue="1" operator="equal">
      <formula>"Fail"</formula>
    </cfRule>
  </conditionalFormatting>
  <conditionalFormatting sqref="A894">
    <cfRule type="cellIs" dxfId="20651" priority="20489" stopIfTrue="1" operator="equal">
      <formula>"Pass"</formula>
    </cfRule>
    <cfRule type="cellIs" dxfId="20650" priority="20490" stopIfTrue="1" operator="equal">
      <formula>"Fail"</formula>
    </cfRule>
  </conditionalFormatting>
  <conditionalFormatting sqref="A892:A894">
    <cfRule type="cellIs" dxfId="20649" priority="20487" stopIfTrue="1" operator="equal">
      <formula>"Pass"</formula>
    </cfRule>
    <cfRule type="cellIs" dxfId="20648" priority="20488" stopIfTrue="1" operator="equal">
      <formula>"Fail"</formula>
    </cfRule>
  </conditionalFormatting>
  <conditionalFormatting sqref="A892">
    <cfRule type="cellIs" dxfId="20647" priority="20485" stopIfTrue="1" operator="equal">
      <formula>"Pass"</formula>
    </cfRule>
    <cfRule type="cellIs" dxfId="20646" priority="20486" stopIfTrue="1" operator="equal">
      <formula>"Fail"</formula>
    </cfRule>
  </conditionalFormatting>
  <conditionalFormatting sqref="A892">
    <cfRule type="cellIs" dxfId="20645" priority="20483" stopIfTrue="1" operator="equal">
      <formula>"Pass"</formula>
    </cfRule>
    <cfRule type="cellIs" dxfId="20644" priority="20484" stopIfTrue="1" operator="equal">
      <formula>"Fail"</formula>
    </cfRule>
  </conditionalFormatting>
  <conditionalFormatting sqref="A892">
    <cfRule type="cellIs" dxfId="20643" priority="20481" stopIfTrue="1" operator="equal">
      <formula>"Pass"</formula>
    </cfRule>
    <cfRule type="cellIs" dxfId="20642" priority="20482" stopIfTrue="1" operator="equal">
      <formula>"Fail"</formula>
    </cfRule>
  </conditionalFormatting>
  <conditionalFormatting sqref="A892">
    <cfRule type="cellIs" dxfId="20641" priority="20479" stopIfTrue="1" operator="equal">
      <formula>"Pass"</formula>
    </cfRule>
    <cfRule type="cellIs" dxfId="20640" priority="20480" stopIfTrue="1" operator="equal">
      <formula>"Fail"</formula>
    </cfRule>
  </conditionalFormatting>
  <conditionalFormatting sqref="A892">
    <cfRule type="cellIs" dxfId="20639" priority="20477" stopIfTrue="1" operator="equal">
      <formula>"Pass"</formula>
    </cfRule>
    <cfRule type="cellIs" dxfId="20638" priority="20478" stopIfTrue="1" operator="equal">
      <formula>"Fail"</formula>
    </cfRule>
  </conditionalFormatting>
  <conditionalFormatting sqref="A892">
    <cfRule type="cellIs" dxfId="20637" priority="20475" stopIfTrue="1" operator="equal">
      <formula>"Pass"</formula>
    </cfRule>
    <cfRule type="cellIs" dxfId="20636" priority="20476" stopIfTrue="1" operator="equal">
      <formula>"Fail"</formula>
    </cfRule>
  </conditionalFormatting>
  <conditionalFormatting sqref="A892">
    <cfRule type="cellIs" dxfId="20635" priority="20473" stopIfTrue="1" operator="equal">
      <formula>"Pass"</formula>
    </cfRule>
    <cfRule type="cellIs" dxfId="20634" priority="20474" stopIfTrue="1" operator="equal">
      <formula>"Fail"</formula>
    </cfRule>
  </conditionalFormatting>
  <conditionalFormatting sqref="A892">
    <cfRule type="cellIs" dxfId="20633" priority="20471" stopIfTrue="1" operator="equal">
      <formula>"Pass"</formula>
    </cfRule>
    <cfRule type="cellIs" dxfId="20632" priority="20472" stopIfTrue="1" operator="equal">
      <formula>"Fail"</formula>
    </cfRule>
  </conditionalFormatting>
  <conditionalFormatting sqref="A892">
    <cfRule type="cellIs" dxfId="20631" priority="20469" stopIfTrue="1" operator="equal">
      <formula>"Pass"</formula>
    </cfRule>
    <cfRule type="cellIs" dxfId="20630" priority="20470" stopIfTrue="1" operator="equal">
      <formula>"Fail"</formula>
    </cfRule>
  </conditionalFormatting>
  <conditionalFormatting sqref="A892">
    <cfRule type="cellIs" dxfId="20629" priority="20467" stopIfTrue="1" operator="equal">
      <formula>"Pass"</formula>
    </cfRule>
    <cfRule type="cellIs" dxfId="20628" priority="20468" stopIfTrue="1" operator="equal">
      <formula>"Fail"</formula>
    </cfRule>
  </conditionalFormatting>
  <conditionalFormatting sqref="A892">
    <cfRule type="cellIs" dxfId="20627" priority="20465" stopIfTrue="1" operator="equal">
      <formula>"Pass"</formula>
    </cfRule>
    <cfRule type="cellIs" dxfId="20626" priority="20466" stopIfTrue="1" operator="equal">
      <formula>"Fail"</formula>
    </cfRule>
  </conditionalFormatting>
  <conditionalFormatting sqref="A892">
    <cfRule type="cellIs" dxfId="20625" priority="20463" stopIfTrue="1" operator="equal">
      <formula>"Pass"</formula>
    </cfRule>
    <cfRule type="cellIs" dxfId="20624" priority="20464" stopIfTrue="1" operator="equal">
      <formula>"Fail"</formula>
    </cfRule>
  </conditionalFormatting>
  <conditionalFormatting sqref="J892:J893">
    <cfRule type="cellIs" dxfId="20623" priority="20461" stopIfTrue="1" operator="equal">
      <formula>"Pass"</formula>
    </cfRule>
    <cfRule type="cellIs" dxfId="20622" priority="20462" stopIfTrue="1" operator="equal">
      <formula>"Fail"</formula>
    </cfRule>
  </conditionalFormatting>
  <conditionalFormatting sqref="H892:H893 I893">
    <cfRule type="cellIs" dxfId="20621" priority="20459" stopIfTrue="1" operator="equal">
      <formula>"Pass"</formula>
    </cfRule>
    <cfRule type="cellIs" dxfId="20620" priority="20460" stopIfTrue="1" operator="equal">
      <formula>"Fail"</formula>
    </cfRule>
  </conditionalFormatting>
  <conditionalFormatting sqref="A892 C892 F894 F892:G892 K892:N893">
    <cfRule type="cellIs" dxfId="20619" priority="20457" stopIfTrue="1" operator="equal">
      <formula>"Pass"</formula>
    </cfRule>
    <cfRule type="cellIs" dxfId="20618" priority="20458" stopIfTrue="1" operator="equal">
      <formula>"Fail"</formula>
    </cfRule>
  </conditionalFormatting>
  <conditionalFormatting sqref="T892:T894 U893:U894">
    <cfRule type="cellIs" dxfId="20617" priority="20455" stopIfTrue="1" operator="equal">
      <formula>"Fail"</formula>
    </cfRule>
    <cfRule type="cellIs" dxfId="20616" priority="20456" stopIfTrue="1" operator="equal">
      <formula>"Pass"</formula>
    </cfRule>
  </conditionalFormatting>
  <conditionalFormatting sqref="A892">
    <cfRule type="cellIs" dxfId="20615" priority="20453" stopIfTrue="1" operator="equal">
      <formula>"Pass"</formula>
    </cfRule>
    <cfRule type="cellIs" dxfId="20614" priority="20454" stopIfTrue="1" operator="equal">
      <formula>"Fail"</formula>
    </cfRule>
  </conditionalFormatting>
  <conditionalFormatting sqref="A892">
    <cfRule type="cellIs" dxfId="20613" priority="20451" stopIfTrue="1" operator="equal">
      <formula>"Pass"</formula>
    </cfRule>
    <cfRule type="cellIs" dxfId="20612" priority="20452" stopIfTrue="1" operator="equal">
      <formula>"Fail"</formula>
    </cfRule>
  </conditionalFormatting>
  <conditionalFormatting sqref="A892">
    <cfRule type="cellIs" dxfId="20611" priority="20449" stopIfTrue="1" operator="equal">
      <formula>"Pass"</formula>
    </cfRule>
    <cfRule type="cellIs" dxfId="20610" priority="20450" stopIfTrue="1" operator="equal">
      <formula>"Fail"</formula>
    </cfRule>
  </conditionalFormatting>
  <conditionalFormatting sqref="A892">
    <cfRule type="cellIs" dxfId="20609" priority="20447" stopIfTrue="1" operator="equal">
      <formula>"Pass"</formula>
    </cfRule>
    <cfRule type="cellIs" dxfId="20608" priority="20448" stopIfTrue="1" operator="equal">
      <formula>"Fail"</formula>
    </cfRule>
  </conditionalFormatting>
  <conditionalFormatting sqref="A892">
    <cfRule type="cellIs" dxfId="20607" priority="20445" stopIfTrue="1" operator="equal">
      <formula>"Pass"</formula>
    </cfRule>
    <cfRule type="cellIs" dxfId="20606" priority="20446" stopIfTrue="1" operator="equal">
      <formula>"Fail"</formula>
    </cfRule>
  </conditionalFormatting>
  <conditionalFormatting sqref="A892">
    <cfRule type="cellIs" dxfId="20605" priority="20443" stopIfTrue="1" operator="equal">
      <formula>"Pass"</formula>
    </cfRule>
    <cfRule type="cellIs" dxfId="20604" priority="20444" stopIfTrue="1" operator="equal">
      <formula>"Fail"</formula>
    </cfRule>
  </conditionalFormatting>
  <conditionalFormatting sqref="A892">
    <cfRule type="cellIs" dxfId="20603" priority="20441" stopIfTrue="1" operator="equal">
      <formula>"Pass"</formula>
    </cfRule>
    <cfRule type="cellIs" dxfId="20602" priority="20442" stopIfTrue="1" operator="equal">
      <formula>"Fail"</formula>
    </cfRule>
  </conditionalFormatting>
  <conditionalFormatting sqref="A892">
    <cfRule type="cellIs" dxfId="20601" priority="20439" stopIfTrue="1" operator="equal">
      <formula>"Pass"</formula>
    </cfRule>
    <cfRule type="cellIs" dxfId="20600" priority="20440" stopIfTrue="1" operator="equal">
      <formula>"Fail"</formula>
    </cfRule>
  </conditionalFormatting>
  <conditionalFormatting sqref="A892">
    <cfRule type="cellIs" dxfId="20599" priority="20437" stopIfTrue="1" operator="equal">
      <formula>"Pass"</formula>
    </cfRule>
    <cfRule type="cellIs" dxfId="20598" priority="20438" stopIfTrue="1" operator="equal">
      <formula>"Fail"</formula>
    </cfRule>
  </conditionalFormatting>
  <conditionalFormatting sqref="A892">
    <cfRule type="cellIs" dxfId="20597" priority="20435" stopIfTrue="1" operator="equal">
      <formula>"Pass"</formula>
    </cfRule>
    <cfRule type="cellIs" dxfId="20596" priority="20436" stopIfTrue="1" operator="equal">
      <formula>"Fail"</formula>
    </cfRule>
  </conditionalFormatting>
  <conditionalFormatting sqref="A892">
    <cfRule type="cellIs" dxfId="20595" priority="20433" stopIfTrue="1" operator="equal">
      <formula>"Pass"</formula>
    </cfRule>
    <cfRule type="cellIs" dxfId="20594" priority="20434" stopIfTrue="1" operator="equal">
      <formula>"Fail"</formula>
    </cfRule>
  </conditionalFormatting>
  <conditionalFormatting sqref="A892">
    <cfRule type="cellIs" dxfId="20593" priority="20431" stopIfTrue="1" operator="equal">
      <formula>"Pass"</formula>
    </cfRule>
    <cfRule type="cellIs" dxfId="20592" priority="20432" stopIfTrue="1" operator="equal">
      <formula>"Fail"</formula>
    </cfRule>
  </conditionalFormatting>
  <conditionalFormatting sqref="A892">
    <cfRule type="cellIs" dxfId="20591" priority="20429" stopIfTrue="1" operator="equal">
      <formula>"Pass"</formula>
    </cfRule>
    <cfRule type="cellIs" dxfId="20590" priority="20430" stopIfTrue="1" operator="equal">
      <formula>"Fail"</formula>
    </cfRule>
  </conditionalFormatting>
  <conditionalFormatting sqref="A892">
    <cfRule type="cellIs" dxfId="20589" priority="20427" stopIfTrue="1" operator="equal">
      <formula>"Pass"</formula>
    </cfRule>
    <cfRule type="cellIs" dxfId="20588" priority="20428" stopIfTrue="1" operator="equal">
      <formula>"Fail"</formula>
    </cfRule>
  </conditionalFormatting>
  <conditionalFormatting sqref="A892">
    <cfRule type="cellIs" dxfId="20587" priority="20425" stopIfTrue="1" operator="equal">
      <formula>"Pass"</formula>
    </cfRule>
    <cfRule type="cellIs" dxfId="20586" priority="20426" stopIfTrue="1" operator="equal">
      <formula>"Fail"</formula>
    </cfRule>
  </conditionalFormatting>
  <conditionalFormatting sqref="A892">
    <cfRule type="cellIs" dxfId="20585" priority="20423" stopIfTrue="1" operator="equal">
      <formula>"Pass"</formula>
    </cfRule>
    <cfRule type="cellIs" dxfId="20584" priority="20424" stopIfTrue="1" operator="equal">
      <formula>"Fail"</formula>
    </cfRule>
  </conditionalFormatting>
  <conditionalFormatting sqref="U892">
    <cfRule type="cellIs" dxfId="20583" priority="20421" stopIfTrue="1" operator="equal">
      <formula>"Fail"</formula>
    </cfRule>
    <cfRule type="cellIs" dxfId="20582" priority="20422" stopIfTrue="1" operator="equal">
      <formula>"Pass"</formula>
    </cfRule>
  </conditionalFormatting>
  <conditionalFormatting sqref="U892">
    <cfRule type="cellIs" dxfId="20581" priority="20419" stopIfTrue="1" operator="equal">
      <formula>"Fail"</formula>
    </cfRule>
    <cfRule type="cellIs" dxfId="20580" priority="20420" stopIfTrue="1" operator="equal">
      <formula>"Pass"</formula>
    </cfRule>
  </conditionalFormatting>
  <conditionalFormatting sqref="J892:J893">
    <cfRule type="cellIs" dxfId="20579" priority="20417" stopIfTrue="1" operator="equal">
      <formula>"Pass"</formula>
    </cfRule>
    <cfRule type="cellIs" dxfId="20578" priority="20418" stopIfTrue="1" operator="equal">
      <formula>"Fail"</formula>
    </cfRule>
  </conditionalFormatting>
  <conditionalFormatting sqref="H892:H893 I893">
    <cfRule type="cellIs" dxfId="20577" priority="20415" stopIfTrue="1" operator="equal">
      <formula>"Pass"</formula>
    </cfRule>
    <cfRule type="cellIs" dxfId="20576" priority="20416" stopIfTrue="1" operator="equal">
      <formula>"Fail"</formula>
    </cfRule>
  </conditionalFormatting>
  <conditionalFormatting sqref="F894 F892:G892 K892:N893">
    <cfRule type="cellIs" dxfId="20575" priority="20413" stopIfTrue="1" operator="equal">
      <formula>"Pass"</formula>
    </cfRule>
    <cfRule type="cellIs" dxfId="20574" priority="20414" stopIfTrue="1" operator="equal">
      <formula>"Fail"</formula>
    </cfRule>
  </conditionalFormatting>
  <conditionalFormatting sqref="T892:T894 U893:U894">
    <cfRule type="cellIs" dxfId="20573" priority="20411" stopIfTrue="1" operator="equal">
      <formula>"Fail"</formula>
    </cfRule>
    <cfRule type="cellIs" dxfId="20572" priority="20412" stopIfTrue="1" operator="equal">
      <formula>"Pass"</formula>
    </cfRule>
  </conditionalFormatting>
  <conditionalFormatting sqref="U892">
    <cfRule type="cellIs" dxfId="20571" priority="20409" stopIfTrue="1" operator="equal">
      <formula>"Fail"</formula>
    </cfRule>
    <cfRule type="cellIs" dxfId="20570" priority="20410" stopIfTrue="1" operator="equal">
      <formula>"Pass"</formula>
    </cfRule>
  </conditionalFormatting>
  <conditionalFormatting sqref="U892">
    <cfRule type="cellIs" dxfId="20569" priority="20407" stopIfTrue="1" operator="equal">
      <formula>"Fail"</formula>
    </cfRule>
    <cfRule type="cellIs" dxfId="20568" priority="20408" stopIfTrue="1" operator="equal">
      <formula>"Pass"</formula>
    </cfRule>
  </conditionalFormatting>
  <conditionalFormatting sqref="F892:G892 K892:N892">
    <cfRule type="cellIs" dxfId="20567" priority="20405" stopIfTrue="1" operator="equal">
      <formula>"Pass"</formula>
    </cfRule>
    <cfRule type="cellIs" dxfId="20566" priority="20406" stopIfTrue="1" operator="equal">
      <formula>"Fail"</formula>
    </cfRule>
  </conditionalFormatting>
  <conditionalFormatting sqref="K893:N893">
    <cfRule type="cellIs" dxfId="20565" priority="20403" stopIfTrue="1" operator="equal">
      <formula>"Pass"</formula>
    </cfRule>
    <cfRule type="cellIs" dxfId="20564" priority="20404" stopIfTrue="1" operator="equal">
      <formula>"Fail"</formula>
    </cfRule>
  </conditionalFormatting>
  <conditionalFormatting sqref="U892">
    <cfRule type="cellIs" dxfId="20563" priority="20401" stopIfTrue="1" operator="equal">
      <formula>"Fail"</formula>
    </cfRule>
    <cfRule type="cellIs" dxfId="20562" priority="20402" stopIfTrue="1" operator="equal">
      <formula>"Pass"</formula>
    </cfRule>
  </conditionalFormatting>
  <conditionalFormatting sqref="A892:A894">
    <cfRule type="cellIs" dxfId="20561" priority="20399" stopIfTrue="1" operator="equal">
      <formula>"Pass"</formula>
    </cfRule>
    <cfRule type="cellIs" dxfId="20560" priority="20400" stopIfTrue="1" operator="equal">
      <formula>"Fail"</formula>
    </cfRule>
  </conditionalFormatting>
  <conditionalFormatting sqref="A892:A894">
    <cfRule type="cellIs" dxfId="20559" priority="20397" stopIfTrue="1" operator="equal">
      <formula>"Pass"</formula>
    </cfRule>
    <cfRule type="cellIs" dxfId="20558" priority="20398" stopIfTrue="1" operator="equal">
      <formula>"Fail"</formula>
    </cfRule>
  </conditionalFormatting>
  <conditionalFormatting sqref="A892:A894">
    <cfRule type="cellIs" dxfId="20557" priority="20395" stopIfTrue="1" operator="equal">
      <formula>"Pass"</formula>
    </cfRule>
    <cfRule type="cellIs" dxfId="20556" priority="20396" stopIfTrue="1" operator="equal">
      <formula>"Fail"</formula>
    </cfRule>
  </conditionalFormatting>
  <conditionalFormatting sqref="A892:A894">
    <cfRule type="cellIs" dxfId="20555" priority="20393" stopIfTrue="1" operator="equal">
      <formula>"Pass"</formula>
    </cfRule>
    <cfRule type="cellIs" dxfId="20554" priority="20394" stopIfTrue="1" operator="equal">
      <formula>"Fail"</formula>
    </cfRule>
  </conditionalFormatting>
  <conditionalFormatting sqref="A892:A894">
    <cfRule type="cellIs" dxfId="20553" priority="20391" stopIfTrue="1" operator="equal">
      <formula>"Pass"</formula>
    </cfRule>
    <cfRule type="cellIs" dxfId="20552" priority="20392" stopIfTrue="1" operator="equal">
      <formula>"Fail"</formula>
    </cfRule>
  </conditionalFormatting>
  <conditionalFormatting sqref="A894">
    <cfRule type="cellIs" dxfId="20551" priority="20389" stopIfTrue="1" operator="equal">
      <formula>"Pass"</formula>
    </cfRule>
    <cfRule type="cellIs" dxfId="20550" priority="20390" stopIfTrue="1" operator="equal">
      <formula>"Fail"</formula>
    </cfRule>
  </conditionalFormatting>
  <conditionalFormatting sqref="A892:A894">
    <cfRule type="cellIs" dxfId="20549" priority="20387" stopIfTrue="1" operator="equal">
      <formula>"Pass"</formula>
    </cfRule>
    <cfRule type="cellIs" dxfId="20548" priority="20388" stopIfTrue="1" operator="equal">
      <formula>"Fail"</formula>
    </cfRule>
  </conditionalFormatting>
  <conditionalFormatting sqref="A892:A894">
    <cfRule type="cellIs" dxfId="20547" priority="20385" stopIfTrue="1" operator="equal">
      <formula>"Pass"</formula>
    </cfRule>
    <cfRule type="cellIs" dxfId="20546" priority="20386" stopIfTrue="1" operator="equal">
      <formula>"Fail"</formula>
    </cfRule>
  </conditionalFormatting>
  <conditionalFormatting sqref="A892:A894">
    <cfRule type="cellIs" dxfId="20545" priority="20383" stopIfTrue="1" operator="equal">
      <formula>"Pass"</formula>
    </cfRule>
    <cfRule type="cellIs" dxfId="20544" priority="20384" stopIfTrue="1" operator="equal">
      <formula>"Fail"</formula>
    </cfRule>
  </conditionalFormatting>
  <conditionalFormatting sqref="A892:A894">
    <cfRule type="cellIs" dxfId="20543" priority="20381" stopIfTrue="1" operator="equal">
      <formula>"Pass"</formula>
    </cfRule>
    <cfRule type="cellIs" dxfId="20542" priority="20382" stopIfTrue="1" operator="equal">
      <formula>"Fail"</formula>
    </cfRule>
  </conditionalFormatting>
  <conditionalFormatting sqref="A892:A894">
    <cfRule type="cellIs" dxfId="20541" priority="20379" stopIfTrue="1" operator="equal">
      <formula>"Pass"</formula>
    </cfRule>
    <cfRule type="cellIs" dxfId="20540" priority="20380" stopIfTrue="1" operator="equal">
      <formula>"Fail"</formula>
    </cfRule>
  </conditionalFormatting>
  <conditionalFormatting sqref="A892:A894">
    <cfRule type="cellIs" dxfId="20539" priority="20377" stopIfTrue="1" operator="equal">
      <formula>"Pass"</formula>
    </cfRule>
    <cfRule type="cellIs" dxfId="20538" priority="20378" stopIfTrue="1" operator="equal">
      <formula>"Fail"</formula>
    </cfRule>
  </conditionalFormatting>
  <conditionalFormatting sqref="A894">
    <cfRule type="cellIs" dxfId="20537" priority="20375" stopIfTrue="1" operator="equal">
      <formula>"Pass"</formula>
    </cfRule>
    <cfRule type="cellIs" dxfId="20536" priority="20376" stopIfTrue="1" operator="equal">
      <formula>"Fail"</formula>
    </cfRule>
  </conditionalFormatting>
  <conditionalFormatting sqref="A892:A894">
    <cfRule type="cellIs" dxfId="20535" priority="20373" stopIfTrue="1" operator="equal">
      <formula>"Pass"</formula>
    </cfRule>
    <cfRule type="cellIs" dxfId="20534" priority="20374" stopIfTrue="1" operator="equal">
      <formula>"Fail"</formula>
    </cfRule>
  </conditionalFormatting>
  <conditionalFormatting sqref="J892:J893">
    <cfRule type="cellIs" dxfId="20533" priority="20371" stopIfTrue="1" operator="equal">
      <formula>"Pass"</formula>
    </cfRule>
    <cfRule type="cellIs" dxfId="20532" priority="20372" stopIfTrue="1" operator="equal">
      <formula>"Fail"</formula>
    </cfRule>
  </conditionalFormatting>
  <conditionalFormatting sqref="H892:H893 I893">
    <cfRule type="cellIs" dxfId="20531" priority="20369" stopIfTrue="1" operator="equal">
      <formula>"Pass"</formula>
    </cfRule>
    <cfRule type="cellIs" dxfId="20530" priority="20370" stopIfTrue="1" operator="equal">
      <formula>"Fail"</formula>
    </cfRule>
  </conditionalFormatting>
  <conditionalFormatting sqref="F894 F892:G892 K892:N893">
    <cfRule type="cellIs" dxfId="20529" priority="20367" stopIfTrue="1" operator="equal">
      <formula>"Pass"</formula>
    </cfRule>
    <cfRule type="cellIs" dxfId="20528" priority="20368" stopIfTrue="1" operator="equal">
      <formula>"Fail"</formula>
    </cfRule>
  </conditionalFormatting>
  <conditionalFormatting sqref="T892:T894 U893:U894">
    <cfRule type="cellIs" dxfId="20527" priority="20365" stopIfTrue="1" operator="equal">
      <formula>"Fail"</formula>
    </cfRule>
    <cfRule type="cellIs" dxfId="20526" priority="20366" stopIfTrue="1" operator="equal">
      <formula>"Pass"</formula>
    </cfRule>
  </conditionalFormatting>
  <conditionalFormatting sqref="U892">
    <cfRule type="cellIs" dxfId="20525" priority="20363" stopIfTrue="1" operator="equal">
      <formula>"Fail"</formula>
    </cfRule>
    <cfRule type="cellIs" dxfId="20524" priority="20364" stopIfTrue="1" operator="equal">
      <formula>"Pass"</formula>
    </cfRule>
  </conditionalFormatting>
  <conditionalFormatting sqref="U892">
    <cfRule type="cellIs" dxfId="20523" priority="20361" stopIfTrue="1" operator="equal">
      <formula>"Fail"</formula>
    </cfRule>
    <cfRule type="cellIs" dxfId="20522" priority="20362" stopIfTrue="1" operator="equal">
      <formula>"Pass"</formula>
    </cfRule>
  </conditionalFormatting>
  <conditionalFormatting sqref="J892:J893">
    <cfRule type="cellIs" dxfId="20521" priority="20359" stopIfTrue="1" operator="equal">
      <formula>"Pass"</formula>
    </cfRule>
    <cfRule type="cellIs" dxfId="20520" priority="20360" stopIfTrue="1" operator="equal">
      <formula>"Fail"</formula>
    </cfRule>
  </conditionalFormatting>
  <conditionalFormatting sqref="H892:H893 I893">
    <cfRule type="cellIs" dxfId="20519" priority="20357" stopIfTrue="1" operator="equal">
      <formula>"Pass"</formula>
    </cfRule>
    <cfRule type="cellIs" dxfId="20518" priority="20358" stopIfTrue="1" operator="equal">
      <formula>"Fail"</formula>
    </cfRule>
  </conditionalFormatting>
  <conditionalFormatting sqref="F894 F892:G892 K892:N893">
    <cfRule type="cellIs" dxfId="20517" priority="20355" stopIfTrue="1" operator="equal">
      <formula>"Pass"</formula>
    </cfRule>
    <cfRule type="cellIs" dxfId="20516" priority="20356" stopIfTrue="1" operator="equal">
      <formula>"Fail"</formula>
    </cfRule>
  </conditionalFormatting>
  <conditionalFormatting sqref="T892:T894 U893:U894">
    <cfRule type="cellIs" dxfId="20515" priority="20353" stopIfTrue="1" operator="equal">
      <formula>"Fail"</formula>
    </cfRule>
    <cfRule type="cellIs" dxfId="20514" priority="20354" stopIfTrue="1" operator="equal">
      <formula>"Pass"</formula>
    </cfRule>
  </conditionalFormatting>
  <conditionalFormatting sqref="U892">
    <cfRule type="cellIs" dxfId="20513" priority="20351" stopIfTrue="1" operator="equal">
      <formula>"Fail"</formula>
    </cfRule>
    <cfRule type="cellIs" dxfId="20512" priority="20352" stopIfTrue="1" operator="equal">
      <formula>"Pass"</formula>
    </cfRule>
  </conditionalFormatting>
  <conditionalFormatting sqref="U892">
    <cfRule type="cellIs" dxfId="20511" priority="20349" stopIfTrue="1" operator="equal">
      <formula>"Fail"</formula>
    </cfRule>
    <cfRule type="cellIs" dxfId="20510" priority="20350" stopIfTrue="1" operator="equal">
      <formula>"Pass"</formula>
    </cfRule>
  </conditionalFormatting>
  <conditionalFormatting sqref="F892:G892 K892:N892">
    <cfRule type="cellIs" dxfId="20509" priority="20347" stopIfTrue="1" operator="equal">
      <formula>"Pass"</formula>
    </cfRule>
    <cfRule type="cellIs" dxfId="20508" priority="20348" stopIfTrue="1" operator="equal">
      <formula>"Fail"</formula>
    </cfRule>
  </conditionalFormatting>
  <conditionalFormatting sqref="K893:N893">
    <cfRule type="cellIs" dxfId="20507" priority="20345" stopIfTrue="1" operator="equal">
      <formula>"Pass"</formula>
    </cfRule>
    <cfRule type="cellIs" dxfId="20506" priority="20346" stopIfTrue="1" operator="equal">
      <formula>"Fail"</formula>
    </cfRule>
  </conditionalFormatting>
  <conditionalFormatting sqref="U892">
    <cfRule type="cellIs" dxfId="20505" priority="20343" stopIfTrue="1" operator="equal">
      <formula>"Fail"</formula>
    </cfRule>
    <cfRule type="cellIs" dxfId="20504" priority="20344" stopIfTrue="1" operator="equal">
      <formula>"Pass"</formula>
    </cfRule>
  </conditionalFormatting>
  <conditionalFormatting sqref="J892:J893">
    <cfRule type="cellIs" dxfId="20503" priority="20341" stopIfTrue="1" operator="equal">
      <formula>"Pass"</formula>
    </cfRule>
    <cfRule type="cellIs" dxfId="20502" priority="20342" stopIfTrue="1" operator="equal">
      <formula>"Fail"</formula>
    </cfRule>
  </conditionalFormatting>
  <conditionalFormatting sqref="H892:H893 I893">
    <cfRule type="cellIs" dxfId="20501" priority="20339" stopIfTrue="1" operator="equal">
      <formula>"Pass"</formula>
    </cfRule>
    <cfRule type="cellIs" dxfId="20500" priority="20340" stopIfTrue="1" operator="equal">
      <formula>"Fail"</formula>
    </cfRule>
  </conditionalFormatting>
  <conditionalFormatting sqref="F892:G892 K892:N893">
    <cfRule type="cellIs" dxfId="20499" priority="20337" stopIfTrue="1" operator="equal">
      <formula>"Pass"</formula>
    </cfRule>
    <cfRule type="cellIs" dxfId="20498" priority="20338" stopIfTrue="1" operator="equal">
      <formula>"Fail"</formula>
    </cfRule>
  </conditionalFormatting>
  <conditionalFormatting sqref="T892:T893 U893">
    <cfRule type="cellIs" dxfId="20497" priority="20335" stopIfTrue="1" operator="equal">
      <formula>"Fail"</formula>
    </cfRule>
    <cfRule type="cellIs" dxfId="20496" priority="20336" stopIfTrue="1" operator="equal">
      <formula>"Pass"</formula>
    </cfRule>
  </conditionalFormatting>
  <conditionalFormatting sqref="U892">
    <cfRule type="cellIs" dxfId="20495" priority="20333" stopIfTrue="1" operator="equal">
      <formula>"Fail"</formula>
    </cfRule>
    <cfRule type="cellIs" dxfId="20494" priority="20334" stopIfTrue="1" operator="equal">
      <formula>"Pass"</formula>
    </cfRule>
  </conditionalFormatting>
  <conditionalFormatting sqref="U892">
    <cfRule type="cellIs" dxfId="20493" priority="20331" stopIfTrue="1" operator="equal">
      <formula>"Fail"</formula>
    </cfRule>
    <cfRule type="cellIs" dxfId="20492" priority="20332" stopIfTrue="1" operator="equal">
      <formula>"Pass"</formula>
    </cfRule>
  </conditionalFormatting>
  <conditionalFormatting sqref="J892:J893">
    <cfRule type="cellIs" dxfId="20491" priority="20329" stopIfTrue="1" operator="equal">
      <formula>"Pass"</formula>
    </cfRule>
    <cfRule type="cellIs" dxfId="20490" priority="20330" stopIfTrue="1" operator="equal">
      <formula>"Fail"</formula>
    </cfRule>
  </conditionalFormatting>
  <conditionalFormatting sqref="H892:H893 I893">
    <cfRule type="cellIs" dxfId="20489" priority="20327" stopIfTrue="1" operator="equal">
      <formula>"Pass"</formula>
    </cfRule>
    <cfRule type="cellIs" dxfId="20488" priority="20328" stopIfTrue="1" operator="equal">
      <formula>"Fail"</formula>
    </cfRule>
  </conditionalFormatting>
  <conditionalFormatting sqref="F892:G892 K892:N893">
    <cfRule type="cellIs" dxfId="20487" priority="20325" stopIfTrue="1" operator="equal">
      <formula>"Pass"</formula>
    </cfRule>
    <cfRule type="cellIs" dxfId="20486" priority="20326" stopIfTrue="1" operator="equal">
      <formula>"Fail"</formula>
    </cfRule>
  </conditionalFormatting>
  <conditionalFormatting sqref="T892:T893 U893">
    <cfRule type="cellIs" dxfId="20485" priority="20323" stopIfTrue="1" operator="equal">
      <formula>"Fail"</formula>
    </cfRule>
    <cfRule type="cellIs" dxfId="20484" priority="20324" stopIfTrue="1" operator="equal">
      <formula>"Pass"</formula>
    </cfRule>
  </conditionalFormatting>
  <conditionalFormatting sqref="U892">
    <cfRule type="cellIs" dxfId="20483" priority="20321" stopIfTrue="1" operator="equal">
      <formula>"Fail"</formula>
    </cfRule>
    <cfRule type="cellIs" dxfId="20482" priority="20322" stopIfTrue="1" operator="equal">
      <formula>"Pass"</formula>
    </cfRule>
  </conditionalFormatting>
  <conditionalFormatting sqref="U892">
    <cfRule type="cellIs" dxfId="20481" priority="20319" stopIfTrue="1" operator="equal">
      <formula>"Fail"</formula>
    </cfRule>
    <cfRule type="cellIs" dxfId="20480" priority="20320" stopIfTrue="1" operator="equal">
      <formula>"Pass"</formula>
    </cfRule>
  </conditionalFormatting>
  <conditionalFormatting sqref="F892:G892 K892:N892">
    <cfRule type="cellIs" dxfId="20479" priority="20317" stopIfTrue="1" operator="equal">
      <formula>"Pass"</formula>
    </cfRule>
    <cfRule type="cellIs" dxfId="20478" priority="20318" stopIfTrue="1" operator="equal">
      <formula>"Fail"</formula>
    </cfRule>
  </conditionalFormatting>
  <conditionalFormatting sqref="K893:N893">
    <cfRule type="cellIs" dxfId="20477" priority="20315" stopIfTrue="1" operator="equal">
      <formula>"Pass"</formula>
    </cfRule>
    <cfRule type="cellIs" dxfId="20476" priority="20316" stopIfTrue="1" operator="equal">
      <formula>"Fail"</formula>
    </cfRule>
  </conditionalFormatting>
  <conditionalFormatting sqref="U892">
    <cfRule type="cellIs" dxfId="20475" priority="20313" stopIfTrue="1" operator="equal">
      <formula>"Fail"</formula>
    </cfRule>
    <cfRule type="cellIs" dxfId="20474" priority="20314" stopIfTrue="1" operator="equal">
      <formula>"Pass"</formula>
    </cfRule>
  </conditionalFormatting>
  <conditionalFormatting sqref="U892">
    <cfRule type="cellIs" dxfId="20473" priority="20311" stopIfTrue="1" operator="equal">
      <formula>"Fail"</formula>
    </cfRule>
    <cfRule type="cellIs" dxfId="20472" priority="20312" stopIfTrue="1" operator="equal">
      <formula>"Pass"</formula>
    </cfRule>
  </conditionalFormatting>
  <conditionalFormatting sqref="U892">
    <cfRule type="cellIs" dxfId="20471" priority="20309" stopIfTrue="1" operator="equal">
      <formula>"Fail"</formula>
    </cfRule>
    <cfRule type="cellIs" dxfId="20470" priority="20310" stopIfTrue="1" operator="equal">
      <formula>"Pass"</formula>
    </cfRule>
  </conditionalFormatting>
  <conditionalFormatting sqref="U892">
    <cfRule type="cellIs" dxfId="20469" priority="20307" stopIfTrue="1" operator="equal">
      <formula>"Fail"</formula>
    </cfRule>
    <cfRule type="cellIs" dxfId="20468" priority="20308" stopIfTrue="1" operator="equal">
      <formula>"Pass"</formula>
    </cfRule>
  </conditionalFormatting>
  <conditionalFormatting sqref="A895:A897">
    <cfRule type="cellIs" dxfId="20467" priority="20305" stopIfTrue="1" operator="equal">
      <formula>"Pass"</formula>
    </cfRule>
    <cfRule type="cellIs" dxfId="20466" priority="20306" stopIfTrue="1" operator="equal">
      <formula>"Fail"</formula>
    </cfRule>
  </conditionalFormatting>
  <conditionalFormatting sqref="A895:A897">
    <cfRule type="cellIs" dxfId="20465" priority="20303" stopIfTrue="1" operator="equal">
      <formula>"Pass"</formula>
    </cfRule>
    <cfRule type="cellIs" dxfId="20464" priority="20304" stopIfTrue="1" operator="equal">
      <formula>"Fail"</formula>
    </cfRule>
  </conditionalFormatting>
  <conditionalFormatting sqref="A895:A897">
    <cfRule type="cellIs" dxfId="20463" priority="20301" stopIfTrue="1" operator="equal">
      <formula>"Pass"</formula>
    </cfRule>
    <cfRule type="cellIs" dxfId="20462" priority="20302" stopIfTrue="1" operator="equal">
      <formula>"Fail"</formula>
    </cfRule>
  </conditionalFormatting>
  <conditionalFormatting sqref="A895:A897">
    <cfRule type="cellIs" dxfId="20461" priority="20299" stopIfTrue="1" operator="equal">
      <formula>"Pass"</formula>
    </cfRule>
    <cfRule type="cellIs" dxfId="20460" priority="20300" stopIfTrue="1" operator="equal">
      <formula>"Fail"</formula>
    </cfRule>
  </conditionalFormatting>
  <conditionalFormatting sqref="A895:A897">
    <cfRule type="cellIs" dxfId="20459" priority="20297" stopIfTrue="1" operator="equal">
      <formula>"Pass"</formula>
    </cfRule>
    <cfRule type="cellIs" dxfId="20458" priority="20298" stopIfTrue="1" operator="equal">
      <formula>"Fail"</formula>
    </cfRule>
  </conditionalFormatting>
  <conditionalFormatting sqref="A897">
    <cfRule type="cellIs" dxfId="20457" priority="20295" stopIfTrue="1" operator="equal">
      <formula>"Pass"</formula>
    </cfRule>
    <cfRule type="cellIs" dxfId="20456" priority="20296" stopIfTrue="1" operator="equal">
      <formula>"Fail"</formula>
    </cfRule>
  </conditionalFormatting>
  <conditionalFormatting sqref="A895:A897">
    <cfRule type="cellIs" dxfId="20455" priority="20293" stopIfTrue="1" operator="equal">
      <formula>"Pass"</formula>
    </cfRule>
    <cfRule type="cellIs" dxfId="20454" priority="20294" stopIfTrue="1" operator="equal">
      <formula>"Fail"</formula>
    </cfRule>
  </conditionalFormatting>
  <conditionalFormatting sqref="H895:H896">
    <cfRule type="cellIs" dxfId="20453" priority="20291" stopIfTrue="1" operator="equal">
      <formula>"Pass"</formula>
    </cfRule>
    <cfRule type="cellIs" dxfId="20452" priority="20292" stopIfTrue="1" operator="equal">
      <formula>"Fail"</formula>
    </cfRule>
  </conditionalFormatting>
  <conditionalFormatting sqref="E895:F895 I895:M896 E897:F897 A895">
    <cfRule type="cellIs" dxfId="20451" priority="20289" stopIfTrue="1" operator="equal">
      <formula>"Pass"</formula>
    </cfRule>
    <cfRule type="cellIs" dxfId="20450" priority="20290" stopIfTrue="1" operator="equal">
      <formula>"Fail"</formula>
    </cfRule>
  </conditionalFormatting>
  <conditionalFormatting sqref="T897 T895 R895:R897 S896:S897">
    <cfRule type="cellIs" dxfId="20449" priority="20287" stopIfTrue="1" operator="equal">
      <formula>"Fail"</formula>
    </cfRule>
    <cfRule type="cellIs" dxfId="20448" priority="20288" stopIfTrue="1" operator="equal">
      <formula>"Pass"</formula>
    </cfRule>
  </conditionalFormatting>
  <conditionalFormatting sqref="F895:G895 F897:G897 B895:B897 A895 J895:N896">
    <cfRule type="cellIs" dxfId="20447" priority="20285" stopIfTrue="1" operator="equal">
      <formula>"Pass"</formula>
    </cfRule>
    <cfRule type="cellIs" dxfId="20446" priority="20286" stopIfTrue="1" operator="equal">
      <formula>"Fail"</formula>
    </cfRule>
  </conditionalFormatting>
  <conditionalFormatting sqref="U897 T895:T897 S896:S897">
    <cfRule type="cellIs" dxfId="20445" priority="20283" stopIfTrue="1" operator="equal">
      <formula>"Fail"</formula>
    </cfRule>
    <cfRule type="cellIs" dxfId="20444" priority="20284" stopIfTrue="1" operator="equal">
      <formula>"Pass"</formula>
    </cfRule>
  </conditionalFormatting>
  <conditionalFormatting sqref="A895">
    <cfRule type="cellIs" dxfId="20443" priority="20281" stopIfTrue="1" operator="equal">
      <formula>"Pass"</formula>
    </cfRule>
    <cfRule type="cellIs" dxfId="20442" priority="20282" stopIfTrue="1" operator="equal">
      <formula>"Fail"</formula>
    </cfRule>
  </conditionalFormatting>
  <conditionalFormatting sqref="A895">
    <cfRule type="cellIs" dxfId="20441" priority="20279" stopIfTrue="1" operator="equal">
      <formula>"Pass"</formula>
    </cfRule>
    <cfRule type="cellIs" dxfId="20440" priority="20280" stopIfTrue="1" operator="equal">
      <formula>"Fail"</formula>
    </cfRule>
  </conditionalFormatting>
  <conditionalFormatting sqref="A895">
    <cfRule type="cellIs" dxfId="20439" priority="20277" stopIfTrue="1" operator="equal">
      <formula>"Pass"</formula>
    </cfRule>
    <cfRule type="cellIs" dxfId="20438" priority="20278" stopIfTrue="1" operator="equal">
      <formula>"Fail"</formula>
    </cfRule>
  </conditionalFormatting>
  <conditionalFormatting sqref="A895">
    <cfRule type="cellIs" dxfId="20437" priority="20275" stopIfTrue="1" operator="equal">
      <formula>"Pass"</formula>
    </cfRule>
    <cfRule type="cellIs" dxfId="20436" priority="20276" stopIfTrue="1" operator="equal">
      <formula>"Fail"</formula>
    </cfRule>
  </conditionalFormatting>
  <conditionalFormatting sqref="A895">
    <cfRule type="cellIs" dxfId="20435" priority="20273" stopIfTrue="1" operator="equal">
      <formula>"Pass"</formula>
    </cfRule>
    <cfRule type="cellIs" dxfId="20434" priority="20274" stopIfTrue="1" operator="equal">
      <formula>"Fail"</formula>
    </cfRule>
  </conditionalFormatting>
  <conditionalFormatting sqref="A895">
    <cfRule type="cellIs" dxfId="20433" priority="20271" stopIfTrue="1" operator="equal">
      <formula>"Pass"</formula>
    </cfRule>
    <cfRule type="cellIs" dxfId="20432" priority="20272" stopIfTrue="1" operator="equal">
      <formula>"Fail"</formula>
    </cfRule>
  </conditionalFormatting>
  <conditionalFormatting sqref="A895">
    <cfRule type="cellIs" dxfId="20431" priority="20269" stopIfTrue="1" operator="equal">
      <formula>"Pass"</formula>
    </cfRule>
    <cfRule type="cellIs" dxfId="20430" priority="20270" stopIfTrue="1" operator="equal">
      <formula>"Fail"</formula>
    </cfRule>
  </conditionalFormatting>
  <conditionalFormatting sqref="A895">
    <cfRule type="cellIs" dxfId="20429" priority="20267" stopIfTrue="1" operator="equal">
      <formula>"Pass"</formula>
    </cfRule>
    <cfRule type="cellIs" dxfId="20428" priority="20268" stopIfTrue="1" operator="equal">
      <formula>"Fail"</formula>
    </cfRule>
  </conditionalFormatting>
  <conditionalFormatting sqref="A895">
    <cfRule type="cellIs" dxfId="20427" priority="20265" stopIfTrue="1" operator="equal">
      <formula>"Pass"</formula>
    </cfRule>
    <cfRule type="cellIs" dxfId="20426" priority="20266" stopIfTrue="1" operator="equal">
      <formula>"Fail"</formula>
    </cfRule>
  </conditionalFormatting>
  <conditionalFormatting sqref="A895">
    <cfRule type="cellIs" dxfId="20425" priority="20263" stopIfTrue="1" operator="equal">
      <formula>"Pass"</formula>
    </cfRule>
    <cfRule type="cellIs" dxfId="20424" priority="20264" stopIfTrue="1" operator="equal">
      <formula>"Fail"</formula>
    </cfRule>
  </conditionalFormatting>
  <conditionalFormatting sqref="U895">
    <cfRule type="cellIs" dxfId="20423" priority="20261" stopIfTrue="1" operator="equal">
      <formula>"Fail"</formula>
    </cfRule>
    <cfRule type="cellIs" dxfId="20422" priority="20262" stopIfTrue="1" operator="equal">
      <formula>"Pass"</formula>
    </cfRule>
  </conditionalFormatting>
  <conditionalFormatting sqref="F895:G895 J895:N895">
    <cfRule type="cellIs" dxfId="20421" priority="20259" stopIfTrue="1" operator="equal">
      <formula>"Pass"</formula>
    </cfRule>
    <cfRule type="cellIs" dxfId="20420" priority="20260" stopIfTrue="1" operator="equal">
      <formula>"Fail"</formula>
    </cfRule>
  </conditionalFormatting>
  <conditionalFormatting sqref="J896:N896">
    <cfRule type="cellIs" dxfId="20419" priority="20257" stopIfTrue="1" operator="equal">
      <formula>"Pass"</formula>
    </cfRule>
    <cfRule type="cellIs" dxfId="20418" priority="20258" stopIfTrue="1" operator="equal">
      <formula>"Fail"</formula>
    </cfRule>
  </conditionalFormatting>
  <conditionalFormatting sqref="A895:A897">
    <cfRule type="cellIs" dxfId="20417" priority="20255" stopIfTrue="1" operator="equal">
      <formula>"Pass"</formula>
    </cfRule>
    <cfRule type="cellIs" dxfId="20416" priority="20256" stopIfTrue="1" operator="equal">
      <formula>"Fail"</formula>
    </cfRule>
  </conditionalFormatting>
  <conditionalFormatting sqref="A895:A897">
    <cfRule type="cellIs" dxfId="20415" priority="20253" stopIfTrue="1" operator="equal">
      <formula>"Pass"</formula>
    </cfRule>
    <cfRule type="cellIs" dxfId="20414" priority="20254" stopIfTrue="1" operator="equal">
      <formula>"Fail"</formula>
    </cfRule>
  </conditionalFormatting>
  <conditionalFormatting sqref="A895:A897">
    <cfRule type="cellIs" dxfId="20413" priority="20251" stopIfTrue="1" operator="equal">
      <formula>"Pass"</formula>
    </cfRule>
    <cfRule type="cellIs" dxfId="20412" priority="20252" stopIfTrue="1" operator="equal">
      <formula>"Fail"</formula>
    </cfRule>
  </conditionalFormatting>
  <conditionalFormatting sqref="A895:A897">
    <cfRule type="cellIs" dxfId="20411" priority="20249" stopIfTrue="1" operator="equal">
      <formula>"Pass"</formula>
    </cfRule>
    <cfRule type="cellIs" dxfId="20410" priority="20250" stopIfTrue="1" operator="equal">
      <formula>"Fail"</formula>
    </cfRule>
  </conditionalFormatting>
  <conditionalFormatting sqref="A895:A897">
    <cfRule type="cellIs" dxfId="20409" priority="20247" stopIfTrue="1" operator="equal">
      <formula>"Pass"</formula>
    </cfRule>
    <cfRule type="cellIs" dxfId="20408" priority="20248" stopIfTrue="1" operator="equal">
      <formula>"Fail"</formula>
    </cfRule>
  </conditionalFormatting>
  <conditionalFormatting sqref="A897">
    <cfRule type="cellIs" dxfId="20407" priority="20245" stopIfTrue="1" operator="equal">
      <formula>"Pass"</formula>
    </cfRule>
    <cfRule type="cellIs" dxfId="20406" priority="20246" stopIfTrue="1" operator="equal">
      <formula>"Fail"</formula>
    </cfRule>
  </conditionalFormatting>
  <conditionalFormatting sqref="A895:A897">
    <cfRule type="cellIs" dxfId="20405" priority="20243" stopIfTrue="1" operator="equal">
      <formula>"Pass"</formula>
    </cfRule>
    <cfRule type="cellIs" dxfId="20404" priority="20244" stopIfTrue="1" operator="equal">
      <formula>"Fail"</formula>
    </cfRule>
  </conditionalFormatting>
  <conditionalFormatting sqref="A895:A897">
    <cfRule type="cellIs" dxfId="20403" priority="20241" stopIfTrue="1" operator="equal">
      <formula>"Pass"</formula>
    </cfRule>
    <cfRule type="cellIs" dxfId="20402" priority="20242" stopIfTrue="1" operator="equal">
      <formula>"Fail"</formula>
    </cfRule>
  </conditionalFormatting>
  <conditionalFormatting sqref="A895:A897">
    <cfRule type="cellIs" dxfId="20401" priority="20239" stopIfTrue="1" operator="equal">
      <formula>"Pass"</formula>
    </cfRule>
    <cfRule type="cellIs" dxfId="20400" priority="20240" stopIfTrue="1" operator="equal">
      <formula>"Fail"</formula>
    </cfRule>
  </conditionalFormatting>
  <conditionalFormatting sqref="A895:A897">
    <cfRule type="cellIs" dxfId="20399" priority="20237" stopIfTrue="1" operator="equal">
      <formula>"Pass"</formula>
    </cfRule>
    <cfRule type="cellIs" dxfId="20398" priority="20238" stopIfTrue="1" operator="equal">
      <formula>"Fail"</formula>
    </cfRule>
  </conditionalFormatting>
  <conditionalFormatting sqref="A895:A897">
    <cfRule type="cellIs" dxfId="20397" priority="20235" stopIfTrue="1" operator="equal">
      <formula>"Pass"</formula>
    </cfRule>
    <cfRule type="cellIs" dxfId="20396" priority="20236" stopIfTrue="1" operator="equal">
      <formula>"Fail"</formula>
    </cfRule>
  </conditionalFormatting>
  <conditionalFormatting sqref="A895:A897">
    <cfRule type="cellIs" dxfId="20395" priority="20233" stopIfTrue="1" operator="equal">
      <formula>"Pass"</formula>
    </cfRule>
    <cfRule type="cellIs" dxfId="20394" priority="20234" stopIfTrue="1" operator="equal">
      <formula>"Fail"</formula>
    </cfRule>
  </conditionalFormatting>
  <conditionalFormatting sqref="A897">
    <cfRule type="cellIs" dxfId="20393" priority="20231" stopIfTrue="1" operator="equal">
      <formula>"Pass"</formula>
    </cfRule>
    <cfRule type="cellIs" dxfId="20392" priority="20232" stopIfTrue="1" operator="equal">
      <formula>"Fail"</formula>
    </cfRule>
  </conditionalFormatting>
  <conditionalFormatting sqref="A895:A897">
    <cfRule type="cellIs" dxfId="20391" priority="20229" stopIfTrue="1" operator="equal">
      <formula>"Pass"</formula>
    </cfRule>
    <cfRule type="cellIs" dxfId="20390" priority="20230" stopIfTrue="1" operator="equal">
      <formula>"Fail"</formula>
    </cfRule>
  </conditionalFormatting>
  <conditionalFormatting sqref="H895:H896">
    <cfRule type="cellIs" dxfId="20389" priority="20227" stopIfTrue="1" operator="equal">
      <formula>"Pass"</formula>
    </cfRule>
    <cfRule type="cellIs" dxfId="20388" priority="20228" stopIfTrue="1" operator="equal">
      <formula>"Fail"</formula>
    </cfRule>
  </conditionalFormatting>
  <conditionalFormatting sqref="F895 I895:M896 F897">
    <cfRule type="cellIs" dxfId="20387" priority="20225" stopIfTrue="1" operator="equal">
      <formula>"Pass"</formula>
    </cfRule>
    <cfRule type="cellIs" dxfId="20386" priority="20226" stopIfTrue="1" operator="equal">
      <formula>"Fail"</formula>
    </cfRule>
  </conditionalFormatting>
  <conditionalFormatting sqref="T897 T895 R895:R897 S896:S897">
    <cfRule type="cellIs" dxfId="20385" priority="20223" stopIfTrue="1" operator="equal">
      <formula>"Fail"</formula>
    </cfRule>
    <cfRule type="cellIs" dxfId="20384" priority="20224" stopIfTrue="1" operator="equal">
      <formula>"Pass"</formula>
    </cfRule>
  </conditionalFormatting>
  <conditionalFormatting sqref="F895:G895 F897:G897 J895:N896">
    <cfRule type="cellIs" dxfId="20383" priority="20221" stopIfTrue="1" operator="equal">
      <formula>"Pass"</formula>
    </cfRule>
    <cfRule type="cellIs" dxfId="20382" priority="20222" stopIfTrue="1" operator="equal">
      <formula>"Fail"</formula>
    </cfRule>
  </conditionalFormatting>
  <conditionalFormatting sqref="U897 T895:T897 S896:S897">
    <cfRule type="cellIs" dxfId="20381" priority="20219" stopIfTrue="1" operator="equal">
      <formula>"Fail"</formula>
    </cfRule>
    <cfRule type="cellIs" dxfId="20380" priority="20220" stopIfTrue="1" operator="equal">
      <formula>"Pass"</formula>
    </cfRule>
  </conditionalFormatting>
  <conditionalFormatting sqref="U895">
    <cfRule type="cellIs" dxfId="20379" priority="20217" stopIfTrue="1" operator="equal">
      <formula>"Fail"</formula>
    </cfRule>
    <cfRule type="cellIs" dxfId="20378" priority="20218" stopIfTrue="1" operator="equal">
      <formula>"Pass"</formula>
    </cfRule>
  </conditionalFormatting>
  <conditionalFormatting sqref="F895:G895 J895:N895">
    <cfRule type="cellIs" dxfId="20377" priority="20215" stopIfTrue="1" operator="equal">
      <formula>"Pass"</formula>
    </cfRule>
    <cfRule type="cellIs" dxfId="20376" priority="20216" stopIfTrue="1" operator="equal">
      <formula>"Fail"</formula>
    </cfRule>
  </conditionalFormatting>
  <conditionalFormatting sqref="J896:N896">
    <cfRule type="cellIs" dxfId="20375" priority="20213" stopIfTrue="1" operator="equal">
      <formula>"Pass"</formula>
    </cfRule>
    <cfRule type="cellIs" dxfId="20374" priority="20214" stopIfTrue="1" operator="equal">
      <formula>"Fail"</formula>
    </cfRule>
  </conditionalFormatting>
  <conditionalFormatting sqref="H895:H896">
    <cfRule type="cellIs" dxfId="20373" priority="20211" stopIfTrue="1" operator="equal">
      <formula>"Pass"</formula>
    </cfRule>
    <cfRule type="cellIs" dxfId="20372" priority="20212" stopIfTrue="1" operator="equal">
      <formula>"Fail"</formula>
    </cfRule>
  </conditionalFormatting>
  <conditionalFormatting sqref="F895 I895:M896 F897">
    <cfRule type="cellIs" dxfId="20371" priority="20209" stopIfTrue="1" operator="equal">
      <formula>"Pass"</formula>
    </cfRule>
    <cfRule type="cellIs" dxfId="20370" priority="20210" stopIfTrue="1" operator="equal">
      <formula>"Fail"</formula>
    </cfRule>
  </conditionalFormatting>
  <conditionalFormatting sqref="T897 T895 R895:R897 S896:S897">
    <cfRule type="cellIs" dxfId="20369" priority="20207" stopIfTrue="1" operator="equal">
      <formula>"Fail"</formula>
    </cfRule>
    <cfRule type="cellIs" dxfId="20368" priority="20208" stopIfTrue="1" operator="equal">
      <formula>"Pass"</formula>
    </cfRule>
  </conditionalFormatting>
  <conditionalFormatting sqref="F895:G895 F897:G897 J895:N896">
    <cfRule type="cellIs" dxfId="20367" priority="20205" stopIfTrue="1" operator="equal">
      <formula>"Pass"</formula>
    </cfRule>
    <cfRule type="cellIs" dxfId="20366" priority="20206" stopIfTrue="1" operator="equal">
      <formula>"Fail"</formula>
    </cfRule>
  </conditionalFormatting>
  <conditionalFormatting sqref="U897 T895:T897 S896:S897">
    <cfRule type="cellIs" dxfId="20365" priority="20203" stopIfTrue="1" operator="equal">
      <formula>"Fail"</formula>
    </cfRule>
    <cfRule type="cellIs" dxfId="20364" priority="20204" stopIfTrue="1" operator="equal">
      <formula>"Pass"</formula>
    </cfRule>
  </conditionalFormatting>
  <conditionalFormatting sqref="U895">
    <cfRule type="cellIs" dxfId="20363" priority="20201" stopIfTrue="1" operator="equal">
      <formula>"Fail"</formula>
    </cfRule>
    <cfRule type="cellIs" dxfId="20362" priority="20202" stopIfTrue="1" operator="equal">
      <formula>"Pass"</formula>
    </cfRule>
  </conditionalFormatting>
  <conditionalFormatting sqref="F895:G895 J895:N895">
    <cfRule type="cellIs" dxfId="20361" priority="20199" stopIfTrue="1" operator="equal">
      <formula>"Pass"</formula>
    </cfRule>
    <cfRule type="cellIs" dxfId="20360" priority="20200" stopIfTrue="1" operator="equal">
      <formula>"Fail"</formula>
    </cfRule>
  </conditionalFormatting>
  <conditionalFormatting sqref="J896:N896">
    <cfRule type="cellIs" dxfId="20359" priority="20197" stopIfTrue="1" operator="equal">
      <formula>"Pass"</formula>
    </cfRule>
    <cfRule type="cellIs" dxfId="20358" priority="20198" stopIfTrue="1" operator="equal">
      <formula>"Fail"</formula>
    </cfRule>
  </conditionalFormatting>
  <conditionalFormatting sqref="U895">
    <cfRule type="cellIs" dxfId="20357" priority="20195" stopIfTrue="1" operator="equal">
      <formula>"Fail"</formula>
    </cfRule>
    <cfRule type="cellIs" dxfId="20356" priority="20196" stopIfTrue="1" operator="equal">
      <formula>"Pass"</formula>
    </cfRule>
  </conditionalFormatting>
  <conditionalFormatting sqref="U895">
    <cfRule type="cellIs" dxfId="20355" priority="20193" stopIfTrue="1" operator="equal">
      <formula>"Fail"</formula>
    </cfRule>
    <cfRule type="cellIs" dxfId="20354" priority="20194" stopIfTrue="1" operator="equal">
      <formula>"Pass"</formula>
    </cfRule>
  </conditionalFormatting>
  <conditionalFormatting sqref="U895">
    <cfRule type="cellIs" dxfId="20353" priority="20191" stopIfTrue="1" operator="equal">
      <formula>"Fail"</formula>
    </cfRule>
    <cfRule type="cellIs" dxfId="20352" priority="20192" stopIfTrue="1" operator="equal">
      <formula>"Pass"</formula>
    </cfRule>
  </conditionalFormatting>
  <conditionalFormatting sqref="N895">
    <cfRule type="cellIs" dxfId="20351" priority="20189" stopIfTrue="1" operator="equal">
      <formula>"Pass"</formula>
    </cfRule>
    <cfRule type="cellIs" dxfId="20350" priority="20190" stopIfTrue="1" operator="equal">
      <formula>"Fail"</formula>
    </cfRule>
  </conditionalFormatting>
  <conditionalFormatting sqref="N895">
    <cfRule type="cellIs" dxfId="20349" priority="20187" stopIfTrue="1" operator="equal">
      <formula>"Pass"</formula>
    </cfRule>
    <cfRule type="cellIs" dxfId="20348" priority="20188" stopIfTrue="1" operator="equal">
      <formula>"Fail"</formula>
    </cfRule>
  </conditionalFormatting>
  <conditionalFormatting sqref="N895">
    <cfRule type="cellIs" dxfId="20347" priority="20185" stopIfTrue="1" operator="equal">
      <formula>"Pass"</formula>
    </cfRule>
    <cfRule type="cellIs" dxfId="20346" priority="20186" stopIfTrue="1" operator="equal">
      <formula>"Fail"</formula>
    </cfRule>
  </conditionalFormatting>
  <conditionalFormatting sqref="A892:A894">
    <cfRule type="cellIs" dxfId="20345" priority="20183" stopIfTrue="1" operator="equal">
      <formula>"Pass"</formula>
    </cfRule>
    <cfRule type="cellIs" dxfId="20344" priority="20184" stopIfTrue="1" operator="equal">
      <formula>"Fail"</formula>
    </cfRule>
  </conditionalFormatting>
  <conditionalFormatting sqref="A892:A894">
    <cfRule type="cellIs" dxfId="20343" priority="20181" stopIfTrue="1" operator="equal">
      <formula>"Pass"</formula>
    </cfRule>
    <cfRule type="cellIs" dxfId="20342" priority="20182" stopIfTrue="1" operator="equal">
      <formula>"Fail"</formula>
    </cfRule>
  </conditionalFormatting>
  <conditionalFormatting sqref="A892:A894">
    <cfRule type="cellIs" dxfId="20341" priority="20179" stopIfTrue="1" operator="equal">
      <formula>"Pass"</formula>
    </cfRule>
    <cfRule type="cellIs" dxfId="20340" priority="20180" stopIfTrue="1" operator="equal">
      <formula>"Fail"</formula>
    </cfRule>
  </conditionalFormatting>
  <conditionalFormatting sqref="A892:A894">
    <cfRule type="cellIs" dxfId="20339" priority="20177" stopIfTrue="1" operator="equal">
      <formula>"Pass"</formula>
    </cfRule>
    <cfRule type="cellIs" dxfId="20338" priority="20178" stopIfTrue="1" operator="equal">
      <formula>"Fail"</formula>
    </cfRule>
  </conditionalFormatting>
  <conditionalFormatting sqref="A892:A894">
    <cfRule type="cellIs" dxfId="20337" priority="20175" stopIfTrue="1" operator="equal">
      <formula>"Pass"</formula>
    </cfRule>
    <cfRule type="cellIs" dxfId="20336" priority="20176" stopIfTrue="1" operator="equal">
      <formula>"Fail"</formula>
    </cfRule>
  </conditionalFormatting>
  <conditionalFormatting sqref="A894">
    <cfRule type="cellIs" dxfId="20335" priority="20173" stopIfTrue="1" operator="equal">
      <formula>"Pass"</formula>
    </cfRule>
    <cfRule type="cellIs" dxfId="20334" priority="20174" stopIfTrue="1" operator="equal">
      <formula>"Fail"</formula>
    </cfRule>
  </conditionalFormatting>
  <conditionalFormatting sqref="A892:A894">
    <cfRule type="cellIs" dxfId="20333" priority="20171" stopIfTrue="1" operator="equal">
      <formula>"Pass"</formula>
    </cfRule>
    <cfRule type="cellIs" dxfId="20332" priority="20172" stopIfTrue="1" operator="equal">
      <formula>"Fail"</formula>
    </cfRule>
  </conditionalFormatting>
  <conditionalFormatting sqref="A892:A894">
    <cfRule type="cellIs" dxfId="20331" priority="20169" stopIfTrue="1" operator="equal">
      <formula>"Pass"</formula>
    </cfRule>
    <cfRule type="cellIs" dxfId="20330" priority="20170" stopIfTrue="1" operator="equal">
      <formula>"Fail"</formula>
    </cfRule>
  </conditionalFormatting>
  <conditionalFormatting sqref="A892:A894">
    <cfRule type="cellIs" dxfId="20329" priority="20167" stopIfTrue="1" operator="equal">
      <formula>"Pass"</formula>
    </cfRule>
    <cfRule type="cellIs" dxfId="20328" priority="20168" stopIfTrue="1" operator="equal">
      <formula>"Fail"</formula>
    </cfRule>
  </conditionalFormatting>
  <conditionalFormatting sqref="A892:A894">
    <cfRule type="cellIs" dxfId="20327" priority="20165" stopIfTrue="1" operator="equal">
      <formula>"Pass"</formula>
    </cfRule>
    <cfRule type="cellIs" dxfId="20326" priority="20166" stopIfTrue="1" operator="equal">
      <formula>"Fail"</formula>
    </cfRule>
  </conditionalFormatting>
  <conditionalFormatting sqref="A892:A894">
    <cfRule type="cellIs" dxfId="20325" priority="20163" stopIfTrue="1" operator="equal">
      <formula>"Pass"</formula>
    </cfRule>
    <cfRule type="cellIs" dxfId="20324" priority="20164" stopIfTrue="1" operator="equal">
      <formula>"Fail"</formula>
    </cfRule>
  </conditionalFormatting>
  <conditionalFormatting sqref="A892:A894">
    <cfRule type="cellIs" dxfId="20323" priority="20161" stopIfTrue="1" operator="equal">
      <formula>"Pass"</formula>
    </cfRule>
    <cfRule type="cellIs" dxfId="20322" priority="20162" stopIfTrue="1" operator="equal">
      <formula>"Fail"</formula>
    </cfRule>
  </conditionalFormatting>
  <conditionalFormatting sqref="A894">
    <cfRule type="cellIs" dxfId="20321" priority="20159" stopIfTrue="1" operator="equal">
      <formula>"Pass"</formula>
    </cfRule>
    <cfRule type="cellIs" dxfId="20320" priority="20160" stopIfTrue="1" operator="equal">
      <formula>"Fail"</formula>
    </cfRule>
  </conditionalFormatting>
  <conditionalFormatting sqref="A892:A894">
    <cfRule type="cellIs" dxfId="20319" priority="20157" stopIfTrue="1" operator="equal">
      <formula>"Pass"</formula>
    </cfRule>
    <cfRule type="cellIs" dxfId="20318" priority="20158" stopIfTrue="1" operator="equal">
      <formula>"Fail"</formula>
    </cfRule>
  </conditionalFormatting>
  <conditionalFormatting sqref="A892:A894">
    <cfRule type="cellIs" dxfId="20317" priority="20155" stopIfTrue="1" operator="equal">
      <formula>"Pass"</formula>
    </cfRule>
    <cfRule type="cellIs" dxfId="20316" priority="20156" stopIfTrue="1" operator="equal">
      <formula>"Fail"</formula>
    </cfRule>
  </conditionalFormatting>
  <conditionalFormatting sqref="A892:A894">
    <cfRule type="cellIs" dxfId="20315" priority="20153" stopIfTrue="1" operator="equal">
      <formula>"Pass"</formula>
    </cfRule>
    <cfRule type="cellIs" dxfId="20314" priority="20154" stopIfTrue="1" operator="equal">
      <formula>"Fail"</formula>
    </cfRule>
  </conditionalFormatting>
  <conditionalFormatting sqref="A892:A894">
    <cfRule type="cellIs" dxfId="20313" priority="20151" stopIfTrue="1" operator="equal">
      <formula>"Pass"</formula>
    </cfRule>
    <cfRule type="cellIs" dxfId="20312" priority="20152" stopIfTrue="1" operator="equal">
      <formula>"Fail"</formula>
    </cfRule>
  </conditionalFormatting>
  <conditionalFormatting sqref="A892:A894">
    <cfRule type="cellIs" dxfId="20311" priority="20149" stopIfTrue="1" operator="equal">
      <formula>"Pass"</formula>
    </cfRule>
    <cfRule type="cellIs" dxfId="20310" priority="20150" stopIfTrue="1" operator="equal">
      <formula>"Fail"</formula>
    </cfRule>
  </conditionalFormatting>
  <conditionalFormatting sqref="A892:A894">
    <cfRule type="cellIs" dxfId="20309" priority="20147" stopIfTrue="1" operator="equal">
      <formula>"Pass"</formula>
    </cfRule>
    <cfRule type="cellIs" dxfId="20308" priority="20148" stopIfTrue="1" operator="equal">
      <formula>"Fail"</formula>
    </cfRule>
  </conditionalFormatting>
  <conditionalFormatting sqref="A894">
    <cfRule type="cellIs" dxfId="20307" priority="20145" stopIfTrue="1" operator="equal">
      <formula>"Pass"</formula>
    </cfRule>
    <cfRule type="cellIs" dxfId="20306" priority="20146" stopIfTrue="1" operator="equal">
      <formula>"Fail"</formula>
    </cfRule>
  </conditionalFormatting>
  <conditionalFormatting sqref="A892:A894">
    <cfRule type="cellIs" dxfId="20305" priority="20143" stopIfTrue="1" operator="equal">
      <formula>"Pass"</formula>
    </cfRule>
    <cfRule type="cellIs" dxfId="20304" priority="20144" stopIfTrue="1" operator="equal">
      <formula>"Fail"</formula>
    </cfRule>
  </conditionalFormatting>
  <conditionalFormatting sqref="A895:A897">
    <cfRule type="cellIs" dxfId="20303" priority="20141" stopIfTrue="1" operator="equal">
      <formula>"Pass"</formula>
    </cfRule>
    <cfRule type="cellIs" dxfId="20302" priority="20142" stopIfTrue="1" operator="equal">
      <formula>"Fail"</formula>
    </cfRule>
  </conditionalFormatting>
  <conditionalFormatting sqref="A895:A897">
    <cfRule type="cellIs" dxfId="20301" priority="20139" stopIfTrue="1" operator="equal">
      <formula>"Pass"</formula>
    </cfRule>
    <cfRule type="cellIs" dxfId="20300" priority="20140" stopIfTrue="1" operator="equal">
      <formula>"Fail"</formula>
    </cfRule>
  </conditionalFormatting>
  <conditionalFormatting sqref="A895:A897">
    <cfRule type="cellIs" dxfId="20299" priority="20137" stopIfTrue="1" operator="equal">
      <formula>"Pass"</formula>
    </cfRule>
    <cfRule type="cellIs" dxfId="20298" priority="20138" stopIfTrue="1" operator="equal">
      <formula>"Fail"</formula>
    </cfRule>
  </conditionalFormatting>
  <conditionalFormatting sqref="A895:A897">
    <cfRule type="cellIs" dxfId="20297" priority="20135" stopIfTrue="1" operator="equal">
      <formula>"Pass"</formula>
    </cfRule>
    <cfRule type="cellIs" dxfId="20296" priority="20136" stopIfTrue="1" operator="equal">
      <formula>"Fail"</formula>
    </cfRule>
  </conditionalFormatting>
  <conditionalFormatting sqref="A895:A897">
    <cfRule type="cellIs" dxfId="20295" priority="20133" stopIfTrue="1" operator="equal">
      <formula>"Pass"</formula>
    </cfRule>
    <cfRule type="cellIs" dxfId="20294" priority="20134" stopIfTrue="1" operator="equal">
      <formula>"Fail"</formula>
    </cfRule>
  </conditionalFormatting>
  <conditionalFormatting sqref="A897">
    <cfRule type="cellIs" dxfId="20293" priority="20131" stopIfTrue="1" operator="equal">
      <formula>"Pass"</formula>
    </cfRule>
    <cfRule type="cellIs" dxfId="20292" priority="20132" stopIfTrue="1" operator="equal">
      <formula>"Fail"</formula>
    </cfRule>
  </conditionalFormatting>
  <conditionalFormatting sqref="A895:A897">
    <cfRule type="cellIs" dxfId="20291" priority="20129" stopIfTrue="1" operator="equal">
      <formula>"Pass"</formula>
    </cfRule>
    <cfRule type="cellIs" dxfId="20290" priority="20130" stopIfTrue="1" operator="equal">
      <formula>"Fail"</formula>
    </cfRule>
  </conditionalFormatting>
  <conditionalFormatting sqref="A895:A897">
    <cfRule type="cellIs" dxfId="20289" priority="20127" stopIfTrue="1" operator="equal">
      <formula>"Pass"</formula>
    </cfRule>
    <cfRule type="cellIs" dxfId="20288" priority="20128" stopIfTrue="1" operator="equal">
      <formula>"Fail"</formula>
    </cfRule>
  </conditionalFormatting>
  <conditionalFormatting sqref="A895:A897">
    <cfRule type="cellIs" dxfId="20287" priority="20125" stopIfTrue="1" operator="equal">
      <formula>"Pass"</formula>
    </cfRule>
    <cfRule type="cellIs" dxfId="20286" priority="20126" stopIfTrue="1" operator="equal">
      <formula>"Fail"</formula>
    </cfRule>
  </conditionalFormatting>
  <conditionalFormatting sqref="A895:A897">
    <cfRule type="cellIs" dxfId="20285" priority="20123" stopIfTrue="1" operator="equal">
      <formula>"Pass"</formula>
    </cfRule>
    <cfRule type="cellIs" dxfId="20284" priority="20124" stopIfTrue="1" operator="equal">
      <formula>"Fail"</formula>
    </cfRule>
  </conditionalFormatting>
  <conditionalFormatting sqref="A895:A897">
    <cfRule type="cellIs" dxfId="20283" priority="20121" stopIfTrue="1" operator="equal">
      <formula>"Pass"</formula>
    </cfRule>
    <cfRule type="cellIs" dxfId="20282" priority="20122" stopIfTrue="1" operator="equal">
      <formula>"Fail"</formula>
    </cfRule>
  </conditionalFormatting>
  <conditionalFormatting sqref="A895:A897">
    <cfRule type="cellIs" dxfId="20281" priority="20119" stopIfTrue="1" operator="equal">
      <formula>"Pass"</formula>
    </cfRule>
    <cfRule type="cellIs" dxfId="20280" priority="20120" stopIfTrue="1" operator="equal">
      <formula>"Fail"</formula>
    </cfRule>
  </conditionalFormatting>
  <conditionalFormatting sqref="A897">
    <cfRule type="cellIs" dxfId="20279" priority="20117" stopIfTrue="1" operator="equal">
      <formula>"Pass"</formula>
    </cfRule>
    <cfRule type="cellIs" dxfId="20278" priority="20118" stopIfTrue="1" operator="equal">
      <formula>"Fail"</formula>
    </cfRule>
  </conditionalFormatting>
  <conditionalFormatting sqref="A895:A897">
    <cfRule type="cellIs" dxfId="20277" priority="20115" stopIfTrue="1" operator="equal">
      <formula>"Pass"</formula>
    </cfRule>
    <cfRule type="cellIs" dxfId="20276" priority="20116" stopIfTrue="1" operator="equal">
      <formula>"Fail"</formula>
    </cfRule>
  </conditionalFormatting>
  <conditionalFormatting sqref="A895:A897">
    <cfRule type="cellIs" dxfId="20275" priority="20113" stopIfTrue="1" operator="equal">
      <formula>"Pass"</formula>
    </cfRule>
    <cfRule type="cellIs" dxfId="20274" priority="20114" stopIfTrue="1" operator="equal">
      <formula>"Fail"</formula>
    </cfRule>
  </conditionalFormatting>
  <conditionalFormatting sqref="A895:A897">
    <cfRule type="cellIs" dxfId="20273" priority="20111" stopIfTrue="1" operator="equal">
      <formula>"Pass"</formula>
    </cfRule>
    <cfRule type="cellIs" dxfId="20272" priority="20112" stopIfTrue="1" operator="equal">
      <formula>"Fail"</formula>
    </cfRule>
  </conditionalFormatting>
  <conditionalFormatting sqref="A895:A897">
    <cfRule type="cellIs" dxfId="20271" priority="20109" stopIfTrue="1" operator="equal">
      <formula>"Pass"</formula>
    </cfRule>
    <cfRule type="cellIs" dxfId="20270" priority="20110" stopIfTrue="1" operator="equal">
      <formula>"Fail"</formula>
    </cfRule>
  </conditionalFormatting>
  <conditionalFormatting sqref="A895:A897">
    <cfRule type="cellIs" dxfId="20269" priority="20107" stopIfTrue="1" operator="equal">
      <formula>"Pass"</formula>
    </cfRule>
    <cfRule type="cellIs" dxfId="20268" priority="20108" stopIfTrue="1" operator="equal">
      <formula>"Fail"</formula>
    </cfRule>
  </conditionalFormatting>
  <conditionalFormatting sqref="A895:A897">
    <cfRule type="cellIs" dxfId="20267" priority="20105" stopIfTrue="1" operator="equal">
      <formula>"Pass"</formula>
    </cfRule>
    <cfRule type="cellIs" dxfId="20266" priority="20106" stopIfTrue="1" operator="equal">
      <formula>"Fail"</formula>
    </cfRule>
  </conditionalFormatting>
  <conditionalFormatting sqref="A897">
    <cfRule type="cellIs" dxfId="20265" priority="20103" stopIfTrue="1" operator="equal">
      <formula>"Pass"</formula>
    </cfRule>
    <cfRule type="cellIs" dxfId="20264" priority="20104" stopIfTrue="1" operator="equal">
      <formula>"Fail"</formula>
    </cfRule>
  </conditionalFormatting>
  <conditionalFormatting sqref="A895:A897">
    <cfRule type="cellIs" dxfId="20263" priority="20101" stopIfTrue="1" operator="equal">
      <formula>"Pass"</formula>
    </cfRule>
    <cfRule type="cellIs" dxfId="20262" priority="20102" stopIfTrue="1" operator="equal">
      <formula>"Fail"</formula>
    </cfRule>
  </conditionalFormatting>
  <conditionalFormatting sqref="H895:H896">
    <cfRule type="cellIs" dxfId="20261" priority="20099" stopIfTrue="1" operator="equal">
      <formula>"Pass"</formula>
    </cfRule>
    <cfRule type="cellIs" dxfId="20260" priority="20100" stopIfTrue="1" operator="equal">
      <formula>"Fail"</formula>
    </cfRule>
  </conditionalFormatting>
  <conditionalFormatting sqref="F895 I895:M896 F897">
    <cfRule type="cellIs" dxfId="20259" priority="20097" stopIfTrue="1" operator="equal">
      <formula>"Pass"</formula>
    </cfRule>
    <cfRule type="cellIs" dxfId="20258" priority="20098" stopIfTrue="1" operator="equal">
      <formula>"Fail"</formula>
    </cfRule>
  </conditionalFormatting>
  <conditionalFormatting sqref="T897 T895 R895:R897 S896:S897">
    <cfRule type="cellIs" dxfId="20257" priority="20095" stopIfTrue="1" operator="equal">
      <formula>"Fail"</formula>
    </cfRule>
    <cfRule type="cellIs" dxfId="20256" priority="20096" stopIfTrue="1" operator="equal">
      <formula>"Pass"</formula>
    </cfRule>
  </conditionalFormatting>
  <conditionalFormatting sqref="F895:G895 F897:G897 J895:N896">
    <cfRule type="cellIs" dxfId="20255" priority="20093" stopIfTrue="1" operator="equal">
      <formula>"Pass"</formula>
    </cfRule>
    <cfRule type="cellIs" dxfId="20254" priority="20094" stopIfTrue="1" operator="equal">
      <formula>"Fail"</formula>
    </cfRule>
  </conditionalFormatting>
  <conditionalFormatting sqref="U897 T895:T897 S896:S897">
    <cfRule type="cellIs" dxfId="20253" priority="20091" stopIfTrue="1" operator="equal">
      <formula>"Fail"</formula>
    </cfRule>
    <cfRule type="cellIs" dxfId="20252" priority="20092" stopIfTrue="1" operator="equal">
      <formula>"Pass"</formula>
    </cfRule>
  </conditionalFormatting>
  <conditionalFormatting sqref="U895">
    <cfRule type="cellIs" dxfId="20251" priority="20089" stopIfTrue="1" operator="equal">
      <formula>"Fail"</formula>
    </cfRule>
    <cfRule type="cellIs" dxfId="20250" priority="20090" stopIfTrue="1" operator="equal">
      <formula>"Pass"</formula>
    </cfRule>
  </conditionalFormatting>
  <conditionalFormatting sqref="F895:G895 J895:N895">
    <cfRule type="cellIs" dxfId="20249" priority="20087" stopIfTrue="1" operator="equal">
      <formula>"Pass"</formula>
    </cfRule>
    <cfRule type="cellIs" dxfId="20248" priority="20088" stopIfTrue="1" operator="equal">
      <formula>"Fail"</formula>
    </cfRule>
  </conditionalFormatting>
  <conditionalFormatting sqref="J896:N896">
    <cfRule type="cellIs" dxfId="20247" priority="20085" stopIfTrue="1" operator="equal">
      <formula>"Pass"</formula>
    </cfRule>
    <cfRule type="cellIs" dxfId="20246" priority="20086" stopIfTrue="1" operator="equal">
      <formula>"Fail"</formula>
    </cfRule>
  </conditionalFormatting>
  <conditionalFormatting sqref="H895:H896">
    <cfRule type="cellIs" dxfId="20245" priority="20083" stopIfTrue="1" operator="equal">
      <formula>"Pass"</formula>
    </cfRule>
    <cfRule type="cellIs" dxfId="20244" priority="20084" stopIfTrue="1" operator="equal">
      <formula>"Fail"</formula>
    </cfRule>
  </conditionalFormatting>
  <conditionalFormatting sqref="F895 I895:M896 F897">
    <cfRule type="cellIs" dxfId="20243" priority="20081" stopIfTrue="1" operator="equal">
      <formula>"Pass"</formula>
    </cfRule>
    <cfRule type="cellIs" dxfId="20242" priority="20082" stopIfTrue="1" operator="equal">
      <formula>"Fail"</formula>
    </cfRule>
  </conditionalFormatting>
  <conditionalFormatting sqref="T897 T895 R895:R897 S896:S897">
    <cfRule type="cellIs" dxfId="20241" priority="20079" stopIfTrue="1" operator="equal">
      <formula>"Fail"</formula>
    </cfRule>
    <cfRule type="cellIs" dxfId="20240" priority="20080" stopIfTrue="1" operator="equal">
      <formula>"Pass"</formula>
    </cfRule>
  </conditionalFormatting>
  <conditionalFormatting sqref="F895:G895 F897:G897 J895:N896">
    <cfRule type="cellIs" dxfId="20239" priority="20077" stopIfTrue="1" operator="equal">
      <formula>"Pass"</formula>
    </cfRule>
    <cfRule type="cellIs" dxfId="20238" priority="20078" stopIfTrue="1" operator="equal">
      <formula>"Fail"</formula>
    </cfRule>
  </conditionalFormatting>
  <conditionalFormatting sqref="U897 T895:T897 S896:S897">
    <cfRule type="cellIs" dxfId="20237" priority="20075" stopIfTrue="1" operator="equal">
      <formula>"Fail"</formula>
    </cfRule>
    <cfRule type="cellIs" dxfId="20236" priority="20076" stopIfTrue="1" operator="equal">
      <formula>"Pass"</formula>
    </cfRule>
  </conditionalFormatting>
  <conditionalFormatting sqref="U895">
    <cfRule type="cellIs" dxfId="20235" priority="20073" stopIfTrue="1" operator="equal">
      <formula>"Fail"</formula>
    </cfRule>
    <cfRule type="cellIs" dxfId="20234" priority="20074" stopIfTrue="1" operator="equal">
      <formula>"Pass"</formula>
    </cfRule>
  </conditionalFormatting>
  <conditionalFormatting sqref="F895:G895 J895:N895">
    <cfRule type="cellIs" dxfId="20233" priority="20071" stopIfTrue="1" operator="equal">
      <formula>"Pass"</formula>
    </cfRule>
    <cfRule type="cellIs" dxfId="20232" priority="20072" stopIfTrue="1" operator="equal">
      <formula>"Fail"</formula>
    </cfRule>
  </conditionalFormatting>
  <conditionalFormatting sqref="J896:N896">
    <cfRule type="cellIs" dxfId="20231" priority="20069" stopIfTrue="1" operator="equal">
      <formula>"Pass"</formula>
    </cfRule>
    <cfRule type="cellIs" dxfId="20230" priority="20070" stopIfTrue="1" operator="equal">
      <formula>"Fail"</formula>
    </cfRule>
  </conditionalFormatting>
  <conditionalFormatting sqref="H895:H896">
    <cfRule type="cellIs" dxfId="20229" priority="20067" stopIfTrue="1" operator="equal">
      <formula>"Pass"</formula>
    </cfRule>
    <cfRule type="cellIs" dxfId="20228" priority="20068" stopIfTrue="1" operator="equal">
      <formula>"Fail"</formula>
    </cfRule>
  </conditionalFormatting>
  <conditionalFormatting sqref="F895 I895:M896 F897">
    <cfRule type="cellIs" dxfId="20227" priority="20065" stopIfTrue="1" operator="equal">
      <formula>"Pass"</formula>
    </cfRule>
    <cfRule type="cellIs" dxfId="20226" priority="20066" stopIfTrue="1" operator="equal">
      <formula>"Fail"</formula>
    </cfRule>
  </conditionalFormatting>
  <conditionalFormatting sqref="T897 T895 R895:R897 S896:S897">
    <cfRule type="cellIs" dxfId="20225" priority="20063" stopIfTrue="1" operator="equal">
      <formula>"Fail"</formula>
    </cfRule>
    <cfRule type="cellIs" dxfId="20224" priority="20064" stopIfTrue="1" operator="equal">
      <formula>"Pass"</formula>
    </cfRule>
  </conditionalFormatting>
  <conditionalFormatting sqref="F895:G895 F897:G897 J895:N896">
    <cfRule type="cellIs" dxfId="20223" priority="20061" stopIfTrue="1" operator="equal">
      <formula>"Pass"</formula>
    </cfRule>
    <cfRule type="cellIs" dxfId="20222" priority="20062" stopIfTrue="1" operator="equal">
      <formula>"Fail"</formula>
    </cfRule>
  </conditionalFormatting>
  <conditionalFormatting sqref="U897 T895:T897 S896:S897">
    <cfRule type="cellIs" dxfId="20221" priority="20059" stopIfTrue="1" operator="equal">
      <formula>"Fail"</formula>
    </cfRule>
    <cfRule type="cellIs" dxfId="20220" priority="20060" stopIfTrue="1" operator="equal">
      <formula>"Pass"</formula>
    </cfRule>
  </conditionalFormatting>
  <conditionalFormatting sqref="U895">
    <cfRule type="cellIs" dxfId="20219" priority="20057" stopIfTrue="1" operator="equal">
      <formula>"Fail"</formula>
    </cfRule>
    <cfRule type="cellIs" dxfId="20218" priority="20058" stopIfTrue="1" operator="equal">
      <formula>"Pass"</formula>
    </cfRule>
  </conditionalFormatting>
  <conditionalFormatting sqref="F895:G895 J895:N895">
    <cfRule type="cellIs" dxfId="20217" priority="20055" stopIfTrue="1" operator="equal">
      <formula>"Pass"</formula>
    </cfRule>
    <cfRule type="cellIs" dxfId="20216" priority="20056" stopIfTrue="1" operator="equal">
      <formula>"Fail"</formula>
    </cfRule>
  </conditionalFormatting>
  <conditionalFormatting sqref="J896:N896">
    <cfRule type="cellIs" dxfId="20215" priority="20053" stopIfTrue="1" operator="equal">
      <formula>"Pass"</formula>
    </cfRule>
    <cfRule type="cellIs" dxfId="20214" priority="20054" stopIfTrue="1" operator="equal">
      <formula>"Fail"</formula>
    </cfRule>
  </conditionalFormatting>
  <conditionalFormatting sqref="U895">
    <cfRule type="cellIs" dxfId="20213" priority="20051" stopIfTrue="1" operator="equal">
      <formula>"Fail"</formula>
    </cfRule>
    <cfRule type="cellIs" dxfId="20212" priority="20052" stopIfTrue="1" operator="equal">
      <formula>"Pass"</formula>
    </cfRule>
  </conditionalFormatting>
  <conditionalFormatting sqref="U895">
    <cfRule type="cellIs" dxfId="20211" priority="20049" stopIfTrue="1" operator="equal">
      <formula>"Fail"</formula>
    </cfRule>
    <cfRule type="cellIs" dxfId="20210" priority="20050" stopIfTrue="1" operator="equal">
      <formula>"Pass"</formula>
    </cfRule>
  </conditionalFormatting>
  <conditionalFormatting sqref="U895">
    <cfRule type="cellIs" dxfId="20209" priority="20047" stopIfTrue="1" operator="equal">
      <formula>"Fail"</formula>
    </cfRule>
    <cfRule type="cellIs" dxfId="20208" priority="20048" stopIfTrue="1" operator="equal">
      <formula>"Pass"</formula>
    </cfRule>
  </conditionalFormatting>
  <conditionalFormatting sqref="N895">
    <cfRule type="cellIs" dxfId="20207" priority="20045" stopIfTrue="1" operator="equal">
      <formula>"Pass"</formula>
    </cfRule>
    <cfRule type="cellIs" dxfId="20206" priority="20046" stopIfTrue="1" operator="equal">
      <formula>"Fail"</formula>
    </cfRule>
  </conditionalFormatting>
  <conditionalFormatting sqref="N895">
    <cfRule type="cellIs" dxfId="20205" priority="20043" stopIfTrue="1" operator="equal">
      <formula>"Pass"</formula>
    </cfRule>
    <cfRule type="cellIs" dxfId="20204" priority="20044" stopIfTrue="1" operator="equal">
      <formula>"Fail"</formula>
    </cfRule>
  </conditionalFormatting>
  <conditionalFormatting sqref="N895">
    <cfRule type="cellIs" dxfId="20203" priority="20041" stopIfTrue="1" operator="equal">
      <formula>"Pass"</formula>
    </cfRule>
    <cfRule type="cellIs" dxfId="20202" priority="20042" stopIfTrue="1" operator="equal">
      <formula>"Fail"</formula>
    </cfRule>
  </conditionalFormatting>
  <conditionalFormatting sqref="H898:H899">
    <cfRule type="cellIs" dxfId="20201" priority="20039" stopIfTrue="1" operator="equal">
      <formula>"Pass"</formula>
    </cfRule>
    <cfRule type="cellIs" dxfId="20200" priority="20040" stopIfTrue="1" operator="equal">
      <formula>"Fail"</formula>
    </cfRule>
  </conditionalFormatting>
  <conditionalFormatting sqref="E898:F898 E900:F900 I898:M899 A898:A900">
    <cfRule type="cellIs" dxfId="20199" priority="20037" stopIfTrue="1" operator="equal">
      <formula>"Pass"</formula>
    </cfRule>
    <cfRule type="cellIs" dxfId="20198" priority="20038" stopIfTrue="1" operator="equal">
      <formula>"Fail"</formula>
    </cfRule>
  </conditionalFormatting>
  <conditionalFormatting sqref="T900 T898 R898:R900 S899:S900">
    <cfRule type="cellIs" dxfId="20197" priority="20035" stopIfTrue="1" operator="equal">
      <formula>"Fail"</formula>
    </cfRule>
    <cfRule type="cellIs" dxfId="20196" priority="20036" stopIfTrue="1" operator="equal">
      <formula>"Pass"</formula>
    </cfRule>
  </conditionalFormatting>
  <conditionalFormatting sqref="F898:G898 F900:G900 A898:B900 J898:N899">
    <cfRule type="cellIs" dxfId="20195" priority="20033" stopIfTrue="1" operator="equal">
      <formula>"Pass"</formula>
    </cfRule>
    <cfRule type="cellIs" dxfId="20194" priority="20034" stopIfTrue="1" operator="equal">
      <formula>"Fail"</formula>
    </cfRule>
  </conditionalFormatting>
  <conditionalFormatting sqref="U900 U898 T898:T900 S899:S900">
    <cfRule type="cellIs" dxfId="20193" priority="20031" stopIfTrue="1" operator="equal">
      <formula>"Fail"</formula>
    </cfRule>
    <cfRule type="cellIs" dxfId="20192" priority="20032" stopIfTrue="1" operator="equal">
      <formula>"Pass"</formula>
    </cfRule>
  </conditionalFormatting>
  <conditionalFormatting sqref="A898:A900">
    <cfRule type="cellIs" dxfId="20191" priority="20029" stopIfTrue="1" operator="equal">
      <formula>"Pass"</formula>
    </cfRule>
    <cfRule type="cellIs" dxfId="20190" priority="20030" stopIfTrue="1" operator="equal">
      <formula>"Fail"</formula>
    </cfRule>
  </conditionalFormatting>
  <conditionalFormatting sqref="A898:A900">
    <cfRule type="cellIs" dxfId="20189" priority="20027" stopIfTrue="1" operator="equal">
      <formula>"Pass"</formula>
    </cfRule>
    <cfRule type="cellIs" dxfId="20188" priority="20028" stopIfTrue="1" operator="equal">
      <formula>"Fail"</formula>
    </cfRule>
  </conditionalFormatting>
  <conditionalFormatting sqref="A898:A900">
    <cfRule type="cellIs" dxfId="20187" priority="20025" stopIfTrue="1" operator="equal">
      <formula>"Pass"</formula>
    </cfRule>
    <cfRule type="cellIs" dxfId="20186" priority="20026" stopIfTrue="1" operator="equal">
      <formula>"Fail"</formula>
    </cfRule>
  </conditionalFormatting>
  <conditionalFormatting sqref="J898:N899 E898:G900">
    <cfRule type="cellIs" dxfId="20185" priority="20023" stopIfTrue="1" operator="equal">
      <formula>"Pass"</formula>
    </cfRule>
    <cfRule type="cellIs" dxfId="20184" priority="20024" stopIfTrue="1" operator="equal">
      <formula>"Fail"</formula>
    </cfRule>
  </conditionalFormatting>
  <conditionalFormatting sqref="A900 C900 K898:O899 F898:H900">
    <cfRule type="cellIs" dxfId="20183" priority="20021" stopIfTrue="1" operator="equal">
      <formula>"Pass"</formula>
    </cfRule>
    <cfRule type="cellIs" dxfId="20182" priority="20022" stopIfTrue="1" operator="equal">
      <formula>"Fail"</formula>
    </cfRule>
  </conditionalFormatting>
  <conditionalFormatting sqref="T898">
    <cfRule type="cellIs" dxfId="20181" priority="20019" stopIfTrue="1" operator="equal">
      <formula>"Fail"</formula>
    </cfRule>
    <cfRule type="cellIs" dxfId="20180" priority="20020" stopIfTrue="1" operator="equal">
      <formula>"Pass"</formula>
    </cfRule>
  </conditionalFormatting>
  <conditionalFormatting sqref="A898:A900">
    <cfRule type="cellIs" dxfId="20179" priority="20017" stopIfTrue="1" operator="equal">
      <formula>"Pass"</formula>
    </cfRule>
    <cfRule type="cellIs" dxfId="20178" priority="20018" stopIfTrue="1" operator="equal">
      <formula>"Fail"</formula>
    </cfRule>
  </conditionalFormatting>
  <conditionalFormatting sqref="A898:A900">
    <cfRule type="cellIs" dxfId="20177" priority="20015" stopIfTrue="1" operator="equal">
      <formula>"Pass"</formula>
    </cfRule>
    <cfRule type="cellIs" dxfId="20176" priority="20016" stopIfTrue="1" operator="equal">
      <formula>"Fail"</formula>
    </cfRule>
  </conditionalFormatting>
  <conditionalFormatting sqref="A898:A900">
    <cfRule type="cellIs" dxfId="20175" priority="20013" stopIfTrue="1" operator="equal">
      <formula>"Pass"</formula>
    </cfRule>
    <cfRule type="cellIs" dxfId="20174" priority="20014" stopIfTrue="1" operator="equal">
      <formula>"Fail"</formula>
    </cfRule>
  </conditionalFormatting>
  <conditionalFormatting sqref="A898:A900">
    <cfRule type="cellIs" dxfId="20173" priority="20011" stopIfTrue="1" operator="equal">
      <formula>"Pass"</formula>
    </cfRule>
    <cfRule type="cellIs" dxfId="20172" priority="20012" stopIfTrue="1" operator="equal">
      <formula>"Fail"</formula>
    </cfRule>
  </conditionalFormatting>
  <conditionalFormatting sqref="A898:A900">
    <cfRule type="cellIs" dxfId="20171" priority="20009" stopIfTrue="1" operator="equal">
      <formula>"Pass"</formula>
    </cfRule>
    <cfRule type="cellIs" dxfId="20170" priority="20010" stopIfTrue="1" operator="equal">
      <formula>"Fail"</formula>
    </cfRule>
  </conditionalFormatting>
  <conditionalFormatting sqref="A898:A900">
    <cfRule type="cellIs" dxfId="20169" priority="20007" stopIfTrue="1" operator="equal">
      <formula>"Pass"</formula>
    </cfRule>
    <cfRule type="cellIs" dxfId="20168" priority="20008" stopIfTrue="1" operator="equal">
      <formula>"Fail"</formula>
    </cfRule>
  </conditionalFormatting>
  <conditionalFormatting sqref="A900">
    <cfRule type="cellIs" dxfId="20167" priority="20005" stopIfTrue="1" operator="equal">
      <formula>"Pass"</formula>
    </cfRule>
    <cfRule type="cellIs" dxfId="20166" priority="20006" stopIfTrue="1" operator="equal">
      <formula>"Fail"</formula>
    </cfRule>
  </conditionalFormatting>
  <conditionalFormatting sqref="A898:A900">
    <cfRule type="cellIs" dxfId="20165" priority="20003" stopIfTrue="1" operator="equal">
      <formula>"Pass"</formula>
    </cfRule>
    <cfRule type="cellIs" dxfId="20164" priority="20004" stopIfTrue="1" operator="equal">
      <formula>"Fail"</formula>
    </cfRule>
  </conditionalFormatting>
  <conditionalFormatting sqref="A898:A900">
    <cfRule type="cellIs" dxfId="20163" priority="20001" stopIfTrue="1" operator="equal">
      <formula>"Pass"</formula>
    </cfRule>
    <cfRule type="cellIs" dxfId="20162" priority="20002" stopIfTrue="1" operator="equal">
      <formula>"Fail"</formula>
    </cfRule>
  </conditionalFormatting>
  <conditionalFormatting sqref="A898:A900">
    <cfRule type="cellIs" dxfId="20161" priority="19999" stopIfTrue="1" operator="equal">
      <formula>"Pass"</formula>
    </cfRule>
    <cfRule type="cellIs" dxfId="20160" priority="20000" stopIfTrue="1" operator="equal">
      <formula>"Fail"</formula>
    </cfRule>
  </conditionalFormatting>
  <conditionalFormatting sqref="A898:A900">
    <cfRule type="cellIs" dxfId="20159" priority="19997" stopIfTrue="1" operator="equal">
      <formula>"Pass"</formula>
    </cfRule>
    <cfRule type="cellIs" dxfId="20158" priority="19998" stopIfTrue="1" operator="equal">
      <formula>"Fail"</formula>
    </cfRule>
  </conditionalFormatting>
  <conditionalFormatting sqref="A898:A900">
    <cfRule type="cellIs" dxfId="20157" priority="19995" stopIfTrue="1" operator="equal">
      <formula>"Pass"</formula>
    </cfRule>
    <cfRule type="cellIs" dxfId="20156" priority="19996" stopIfTrue="1" operator="equal">
      <formula>"Fail"</formula>
    </cfRule>
  </conditionalFormatting>
  <conditionalFormatting sqref="A898:A900">
    <cfRule type="cellIs" dxfId="20155" priority="19993" stopIfTrue="1" operator="equal">
      <formula>"Pass"</formula>
    </cfRule>
    <cfRule type="cellIs" dxfId="20154" priority="19994" stopIfTrue="1" operator="equal">
      <formula>"Fail"</formula>
    </cfRule>
  </conditionalFormatting>
  <conditionalFormatting sqref="A900">
    <cfRule type="cellIs" dxfId="20153" priority="19991" stopIfTrue="1" operator="equal">
      <formula>"Pass"</formula>
    </cfRule>
    <cfRule type="cellIs" dxfId="20152" priority="19992" stopIfTrue="1" operator="equal">
      <formula>"Fail"</formula>
    </cfRule>
  </conditionalFormatting>
  <conditionalFormatting sqref="A898:A900">
    <cfRule type="cellIs" dxfId="20151" priority="19989" stopIfTrue="1" operator="equal">
      <formula>"Pass"</formula>
    </cfRule>
    <cfRule type="cellIs" dxfId="20150" priority="19990" stopIfTrue="1" operator="equal">
      <formula>"Fail"</formula>
    </cfRule>
  </conditionalFormatting>
  <conditionalFormatting sqref="H898:H899">
    <cfRule type="cellIs" dxfId="20149" priority="19987" stopIfTrue="1" operator="equal">
      <formula>"Pass"</formula>
    </cfRule>
    <cfRule type="cellIs" dxfId="20148" priority="19988" stopIfTrue="1" operator="equal">
      <formula>"Fail"</formula>
    </cfRule>
  </conditionalFormatting>
  <conditionalFormatting sqref="F898 F900 I898:M899">
    <cfRule type="cellIs" dxfId="20147" priority="19985" stopIfTrue="1" operator="equal">
      <formula>"Pass"</formula>
    </cfRule>
    <cfRule type="cellIs" dxfId="20146" priority="19986" stopIfTrue="1" operator="equal">
      <formula>"Fail"</formula>
    </cfRule>
  </conditionalFormatting>
  <conditionalFormatting sqref="T900 T898 R898:R900 S899:S900">
    <cfRule type="cellIs" dxfId="20145" priority="19983" stopIfTrue="1" operator="equal">
      <formula>"Fail"</formula>
    </cfRule>
    <cfRule type="cellIs" dxfId="20144" priority="19984" stopIfTrue="1" operator="equal">
      <formula>"Pass"</formula>
    </cfRule>
  </conditionalFormatting>
  <conditionalFormatting sqref="F898:G898 F900:G900 J898:N899">
    <cfRule type="cellIs" dxfId="20143" priority="19981" stopIfTrue="1" operator="equal">
      <formula>"Pass"</formula>
    </cfRule>
    <cfRule type="cellIs" dxfId="20142" priority="19982" stopIfTrue="1" operator="equal">
      <formula>"Fail"</formula>
    </cfRule>
  </conditionalFormatting>
  <conditionalFormatting sqref="U900 U898 T898:T900 S899:S900">
    <cfRule type="cellIs" dxfId="20141" priority="19979" stopIfTrue="1" operator="equal">
      <formula>"Fail"</formula>
    </cfRule>
    <cfRule type="cellIs" dxfId="20140" priority="19980" stopIfTrue="1" operator="equal">
      <formula>"Pass"</formula>
    </cfRule>
  </conditionalFormatting>
  <conditionalFormatting sqref="J898:N899 F898:G900">
    <cfRule type="cellIs" dxfId="20139" priority="19977" stopIfTrue="1" operator="equal">
      <formula>"Pass"</formula>
    </cfRule>
    <cfRule type="cellIs" dxfId="20138" priority="19978" stopIfTrue="1" operator="equal">
      <formula>"Fail"</formula>
    </cfRule>
  </conditionalFormatting>
  <conditionalFormatting sqref="K898:O899 F898:H900">
    <cfRule type="cellIs" dxfId="20137" priority="19975" stopIfTrue="1" operator="equal">
      <formula>"Pass"</formula>
    </cfRule>
    <cfRule type="cellIs" dxfId="20136" priority="19976" stopIfTrue="1" operator="equal">
      <formula>"Fail"</formula>
    </cfRule>
  </conditionalFormatting>
  <conditionalFormatting sqref="T898">
    <cfRule type="cellIs" dxfId="20135" priority="19973" stopIfTrue="1" operator="equal">
      <formula>"Fail"</formula>
    </cfRule>
    <cfRule type="cellIs" dxfId="20134" priority="19974" stopIfTrue="1" operator="equal">
      <formula>"Pass"</formula>
    </cfRule>
  </conditionalFormatting>
  <conditionalFormatting sqref="K898:O899 F898:H900">
    <cfRule type="cellIs" dxfId="20133" priority="19971" stopIfTrue="1" operator="equal">
      <formula>"Pass"</formula>
    </cfRule>
    <cfRule type="cellIs" dxfId="20132" priority="19972" stopIfTrue="1" operator="equal">
      <formula>"Fail"</formula>
    </cfRule>
  </conditionalFormatting>
  <conditionalFormatting sqref="T898">
    <cfRule type="cellIs" dxfId="20131" priority="19969" stopIfTrue="1" operator="equal">
      <formula>"Fail"</formula>
    </cfRule>
    <cfRule type="cellIs" dxfId="20130" priority="19970" stopIfTrue="1" operator="equal">
      <formula>"Pass"</formula>
    </cfRule>
  </conditionalFormatting>
  <conditionalFormatting sqref="H898:H899">
    <cfRule type="cellIs" dxfId="20129" priority="19967" stopIfTrue="1" operator="equal">
      <formula>"Pass"</formula>
    </cfRule>
    <cfRule type="cellIs" dxfId="20128" priority="19968" stopIfTrue="1" operator="equal">
      <formula>"Fail"</formula>
    </cfRule>
  </conditionalFormatting>
  <conditionalFormatting sqref="E898:F898 E900:F900 I898:M899 A898:A900">
    <cfRule type="cellIs" dxfId="20127" priority="19965" stopIfTrue="1" operator="equal">
      <formula>"Pass"</formula>
    </cfRule>
    <cfRule type="cellIs" dxfId="20126" priority="19966" stopIfTrue="1" operator="equal">
      <formula>"Fail"</formula>
    </cfRule>
  </conditionalFormatting>
  <conditionalFormatting sqref="T900 T898 R898:R900 S899:S900">
    <cfRule type="cellIs" dxfId="20125" priority="19963" stopIfTrue="1" operator="equal">
      <formula>"Fail"</formula>
    </cfRule>
    <cfRule type="cellIs" dxfId="20124" priority="19964" stopIfTrue="1" operator="equal">
      <formula>"Pass"</formula>
    </cfRule>
  </conditionalFormatting>
  <conditionalFormatting sqref="F898:G898 F900:G900 A898:B900 J898:N899">
    <cfRule type="cellIs" dxfId="20123" priority="19961" stopIfTrue="1" operator="equal">
      <formula>"Pass"</formula>
    </cfRule>
    <cfRule type="cellIs" dxfId="20122" priority="19962" stopIfTrue="1" operator="equal">
      <formula>"Fail"</formula>
    </cfRule>
  </conditionalFormatting>
  <conditionalFormatting sqref="U900 U898 T898:T900 S899:S900">
    <cfRule type="cellIs" dxfId="20121" priority="19959" stopIfTrue="1" operator="equal">
      <formula>"Fail"</formula>
    </cfRule>
    <cfRule type="cellIs" dxfId="20120" priority="19960" stopIfTrue="1" operator="equal">
      <formula>"Pass"</formula>
    </cfRule>
  </conditionalFormatting>
  <conditionalFormatting sqref="A898:A900">
    <cfRule type="cellIs" dxfId="20119" priority="19957" stopIfTrue="1" operator="equal">
      <formula>"Pass"</formula>
    </cfRule>
    <cfRule type="cellIs" dxfId="20118" priority="19958" stopIfTrue="1" operator="equal">
      <formula>"Fail"</formula>
    </cfRule>
  </conditionalFormatting>
  <conditionalFormatting sqref="A898:A900">
    <cfRule type="cellIs" dxfId="20117" priority="19955" stopIfTrue="1" operator="equal">
      <formula>"Pass"</formula>
    </cfRule>
    <cfRule type="cellIs" dxfId="20116" priority="19956" stopIfTrue="1" operator="equal">
      <formula>"Fail"</formula>
    </cfRule>
  </conditionalFormatting>
  <conditionalFormatting sqref="A898:A900">
    <cfRule type="cellIs" dxfId="20115" priority="19953" stopIfTrue="1" operator="equal">
      <formula>"Pass"</formula>
    </cfRule>
    <cfRule type="cellIs" dxfId="20114" priority="19954" stopIfTrue="1" operator="equal">
      <formula>"Fail"</formula>
    </cfRule>
  </conditionalFormatting>
  <conditionalFormatting sqref="J898:N899 E898:G900">
    <cfRule type="cellIs" dxfId="20113" priority="19951" stopIfTrue="1" operator="equal">
      <formula>"Pass"</formula>
    </cfRule>
    <cfRule type="cellIs" dxfId="20112" priority="19952" stopIfTrue="1" operator="equal">
      <formula>"Fail"</formula>
    </cfRule>
  </conditionalFormatting>
  <conditionalFormatting sqref="A900 C900 K898:O899 F898:H900">
    <cfRule type="cellIs" dxfId="20111" priority="19949" stopIfTrue="1" operator="equal">
      <formula>"Pass"</formula>
    </cfRule>
    <cfRule type="cellIs" dxfId="20110" priority="19950" stopIfTrue="1" operator="equal">
      <formula>"Fail"</formula>
    </cfRule>
  </conditionalFormatting>
  <conditionalFormatting sqref="T898">
    <cfRule type="cellIs" dxfId="20109" priority="19947" stopIfTrue="1" operator="equal">
      <formula>"Fail"</formula>
    </cfRule>
    <cfRule type="cellIs" dxfId="20108" priority="19948" stopIfTrue="1" operator="equal">
      <formula>"Pass"</formula>
    </cfRule>
  </conditionalFormatting>
  <conditionalFormatting sqref="A898:A900">
    <cfRule type="cellIs" dxfId="20107" priority="19945" stopIfTrue="1" operator="equal">
      <formula>"Pass"</formula>
    </cfRule>
    <cfRule type="cellIs" dxfId="20106" priority="19946" stopIfTrue="1" operator="equal">
      <formula>"Fail"</formula>
    </cfRule>
  </conditionalFormatting>
  <conditionalFormatting sqref="A898:A900">
    <cfRule type="cellIs" dxfId="20105" priority="19943" stopIfTrue="1" operator="equal">
      <formula>"Pass"</formula>
    </cfRule>
    <cfRule type="cellIs" dxfId="20104" priority="19944" stopIfTrue="1" operator="equal">
      <formula>"Fail"</formula>
    </cfRule>
  </conditionalFormatting>
  <conditionalFormatting sqref="A898:A900">
    <cfRule type="cellIs" dxfId="20103" priority="19941" stopIfTrue="1" operator="equal">
      <formula>"Pass"</formula>
    </cfRule>
    <cfRule type="cellIs" dxfId="20102" priority="19942" stopIfTrue="1" operator="equal">
      <formula>"Fail"</formula>
    </cfRule>
  </conditionalFormatting>
  <conditionalFormatting sqref="A898:A900">
    <cfRule type="cellIs" dxfId="20101" priority="19939" stopIfTrue="1" operator="equal">
      <formula>"Pass"</formula>
    </cfRule>
    <cfRule type="cellIs" dxfId="20100" priority="19940" stopIfTrue="1" operator="equal">
      <formula>"Fail"</formula>
    </cfRule>
  </conditionalFormatting>
  <conditionalFormatting sqref="A898:A900">
    <cfRule type="cellIs" dxfId="20099" priority="19937" stopIfTrue="1" operator="equal">
      <formula>"Pass"</formula>
    </cfRule>
    <cfRule type="cellIs" dxfId="20098" priority="19938" stopIfTrue="1" operator="equal">
      <formula>"Fail"</formula>
    </cfRule>
  </conditionalFormatting>
  <conditionalFormatting sqref="A898:A900">
    <cfRule type="cellIs" dxfId="20097" priority="19935" stopIfTrue="1" operator="equal">
      <formula>"Pass"</formula>
    </cfRule>
    <cfRule type="cellIs" dxfId="20096" priority="19936" stopIfTrue="1" operator="equal">
      <formula>"Fail"</formula>
    </cfRule>
  </conditionalFormatting>
  <conditionalFormatting sqref="A900">
    <cfRule type="cellIs" dxfId="20095" priority="19933" stopIfTrue="1" operator="equal">
      <formula>"Pass"</formula>
    </cfRule>
    <cfRule type="cellIs" dxfId="20094" priority="19934" stopIfTrue="1" operator="equal">
      <formula>"Fail"</formula>
    </cfRule>
  </conditionalFormatting>
  <conditionalFormatting sqref="A898:A900">
    <cfRule type="cellIs" dxfId="20093" priority="19931" stopIfTrue="1" operator="equal">
      <formula>"Pass"</formula>
    </cfRule>
    <cfRule type="cellIs" dxfId="20092" priority="19932" stopIfTrue="1" operator="equal">
      <formula>"Fail"</formula>
    </cfRule>
  </conditionalFormatting>
  <conditionalFormatting sqref="A898:A900">
    <cfRule type="cellIs" dxfId="20091" priority="19929" stopIfTrue="1" operator="equal">
      <formula>"Pass"</formula>
    </cfRule>
    <cfRule type="cellIs" dxfId="20090" priority="19930" stopIfTrue="1" operator="equal">
      <formula>"Fail"</formula>
    </cfRule>
  </conditionalFormatting>
  <conditionalFormatting sqref="A898:A900">
    <cfRule type="cellIs" dxfId="20089" priority="19927" stopIfTrue="1" operator="equal">
      <formula>"Pass"</formula>
    </cfRule>
    <cfRule type="cellIs" dxfId="20088" priority="19928" stopIfTrue="1" operator="equal">
      <formula>"Fail"</formula>
    </cfRule>
  </conditionalFormatting>
  <conditionalFormatting sqref="A898:A900">
    <cfRule type="cellIs" dxfId="20087" priority="19925" stopIfTrue="1" operator="equal">
      <formula>"Pass"</formula>
    </cfRule>
    <cfRule type="cellIs" dxfId="20086" priority="19926" stopIfTrue="1" operator="equal">
      <formula>"Fail"</formula>
    </cfRule>
  </conditionalFormatting>
  <conditionalFormatting sqref="A898:A900">
    <cfRule type="cellIs" dxfId="20085" priority="19923" stopIfTrue="1" operator="equal">
      <formula>"Pass"</formula>
    </cfRule>
    <cfRule type="cellIs" dxfId="20084" priority="19924" stopIfTrue="1" operator="equal">
      <formula>"Fail"</formula>
    </cfRule>
  </conditionalFormatting>
  <conditionalFormatting sqref="A898:A900">
    <cfRule type="cellIs" dxfId="20083" priority="19921" stopIfTrue="1" operator="equal">
      <formula>"Pass"</formula>
    </cfRule>
    <cfRule type="cellIs" dxfId="20082" priority="19922" stopIfTrue="1" operator="equal">
      <formula>"Fail"</formula>
    </cfRule>
  </conditionalFormatting>
  <conditionalFormatting sqref="A900">
    <cfRule type="cellIs" dxfId="20081" priority="19919" stopIfTrue="1" operator="equal">
      <formula>"Pass"</formula>
    </cfRule>
    <cfRule type="cellIs" dxfId="20080" priority="19920" stopIfTrue="1" operator="equal">
      <formula>"Fail"</formula>
    </cfRule>
  </conditionalFormatting>
  <conditionalFormatting sqref="A898:A900">
    <cfRule type="cellIs" dxfId="20079" priority="19917" stopIfTrue="1" operator="equal">
      <formula>"Pass"</formula>
    </cfRule>
    <cfRule type="cellIs" dxfId="20078" priority="19918" stopIfTrue="1" operator="equal">
      <formula>"Fail"</formula>
    </cfRule>
  </conditionalFormatting>
  <conditionalFormatting sqref="H898:H899">
    <cfRule type="cellIs" dxfId="20077" priority="19915" stopIfTrue="1" operator="equal">
      <formula>"Pass"</formula>
    </cfRule>
    <cfRule type="cellIs" dxfId="20076" priority="19916" stopIfTrue="1" operator="equal">
      <formula>"Fail"</formula>
    </cfRule>
  </conditionalFormatting>
  <conditionalFormatting sqref="F898 F900 I898:M899">
    <cfRule type="cellIs" dxfId="20075" priority="19913" stopIfTrue="1" operator="equal">
      <formula>"Pass"</formula>
    </cfRule>
    <cfRule type="cellIs" dxfId="20074" priority="19914" stopIfTrue="1" operator="equal">
      <formula>"Fail"</formula>
    </cfRule>
  </conditionalFormatting>
  <conditionalFormatting sqref="T900 T898 R898:R900 S899:S900">
    <cfRule type="cellIs" dxfId="20073" priority="19911" stopIfTrue="1" operator="equal">
      <formula>"Fail"</formula>
    </cfRule>
    <cfRule type="cellIs" dxfId="20072" priority="19912" stopIfTrue="1" operator="equal">
      <formula>"Pass"</formula>
    </cfRule>
  </conditionalFormatting>
  <conditionalFormatting sqref="F898:G898 F900:G900 J898:N899">
    <cfRule type="cellIs" dxfId="20071" priority="19909" stopIfTrue="1" operator="equal">
      <formula>"Pass"</formula>
    </cfRule>
    <cfRule type="cellIs" dxfId="20070" priority="19910" stopIfTrue="1" operator="equal">
      <formula>"Fail"</formula>
    </cfRule>
  </conditionalFormatting>
  <conditionalFormatting sqref="U900 U898 T898:T900 S899:S900">
    <cfRule type="cellIs" dxfId="20069" priority="19907" stopIfTrue="1" operator="equal">
      <formula>"Fail"</formula>
    </cfRule>
    <cfRule type="cellIs" dxfId="20068" priority="19908" stopIfTrue="1" operator="equal">
      <formula>"Pass"</formula>
    </cfRule>
  </conditionalFormatting>
  <conditionalFormatting sqref="J898:N899 F898:G900">
    <cfRule type="cellIs" dxfId="20067" priority="19905" stopIfTrue="1" operator="equal">
      <formula>"Pass"</formula>
    </cfRule>
    <cfRule type="cellIs" dxfId="20066" priority="19906" stopIfTrue="1" operator="equal">
      <formula>"Fail"</formula>
    </cfRule>
  </conditionalFormatting>
  <conditionalFormatting sqref="K898:O899 F898:H900">
    <cfRule type="cellIs" dxfId="20065" priority="19903" stopIfTrue="1" operator="equal">
      <formula>"Pass"</formula>
    </cfRule>
    <cfRule type="cellIs" dxfId="20064" priority="19904" stopIfTrue="1" operator="equal">
      <formula>"Fail"</formula>
    </cfRule>
  </conditionalFormatting>
  <conditionalFormatting sqref="T898">
    <cfRule type="cellIs" dxfId="20063" priority="19901" stopIfTrue="1" operator="equal">
      <formula>"Fail"</formula>
    </cfRule>
    <cfRule type="cellIs" dxfId="20062" priority="19902" stopIfTrue="1" operator="equal">
      <formula>"Pass"</formula>
    </cfRule>
  </conditionalFormatting>
  <conditionalFormatting sqref="K898:O899 F898:H900">
    <cfRule type="cellIs" dxfId="20061" priority="19899" stopIfTrue="1" operator="equal">
      <formula>"Pass"</formula>
    </cfRule>
    <cfRule type="cellIs" dxfId="20060" priority="19900" stopIfTrue="1" operator="equal">
      <formula>"Fail"</formula>
    </cfRule>
  </conditionalFormatting>
  <conditionalFormatting sqref="T898">
    <cfRule type="cellIs" dxfId="20059" priority="19897" stopIfTrue="1" operator="equal">
      <formula>"Fail"</formula>
    </cfRule>
    <cfRule type="cellIs" dxfId="20058" priority="19898" stopIfTrue="1" operator="equal">
      <formula>"Pass"</formula>
    </cfRule>
  </conditionalFormatting>
  <conditionalFormatting sqref="A901:A903">
    <cfRule type="cellIs" dxfId="20057" priority="19895" stopIfTrue="1" operator="equal">
      <formula>"Pass"</formula>
    </cfRule>
    <cfRule type="cellIs" dxfId="20056" priority="19896" stopIfTrue="1" operator="equal">
      <formula>"Fail"</formula>
    </cfRule>
  </conditionalFormatting>
  <conditionalFormatting sqref="A901:A903">
    <cfRule type="cellIs" dxfId="20055" priority="19893" stopIfTrue="1" operator="equal">
      <formula>"Pass"</formula>
    </cfRule>
    <cfRule type="cellIs" dxfId="20054" priority="19894" stopIfTrue="1" operator="equal">
      <formula>"Fail"</formula>
    </cfRule>
  </conditionalFormatting>
  <conditionalFormatting sqref="A901:A903">
    <cfRule type="cellIs" dxfId="20053" priority="19891" stopIfTrue="1" operator="equal">
      <formula>"Pass"</formula>
    </cfRule>
    <cfRule type="cellIs" dxfId="20052" priority="19892" stopIfTrue="1" operator="equal">
      <formula>"Fail"</formula>
    </cfRule>
  </conditionalFormatting>
  <conditionalFormatting sqref="A901:A903">
    <cfRule type="cellIs" dxfId="20051" priority="19889" stopIfTrue="1" operator="equal">
      <formula>"Pass"</formula>
    </cfRule>
    <cfRule type="cellIs" dxfId="20050" priority="19890" stopIfTrue="1" operator="equal">
      <formula>"Fail"</formula>
    </cfRule>
  </conditionalFormatting>
  <conditionalFormatting sqref="A901:A903">
    <cfRule type="cellIs" dxfId="20049" priority="19887" stopIfTrue="1" operator="equal">
      <formula>"Pass"</formula>
    </cfRule>
    <cfRule type="cellIs" dxfId="20048" priority="19888" stopIfTrue="1" operator="equal">
      <formula>"Fail"</formula>
    </cfRule>
  </conditionalFormatting>
  <conditionalFormatting sqref="A903">
    <cfRule type="cellIs" dxfId="20047" priority="19885" stopIfTrue="1" operator="equal">
      <formula>"Pass"</formula>
    </cfRule>
    <cfRule type="cellIs" dxfId="20046" priority="19886" stopIfTrue="1" operator="equal">
      <formula>"Fail"</formula>
    </cfRule>
  </conditionalFormatting>
  <conditionalFormatting sqref="A901:A903">
    <cfRule type="cellIs" dxfId="20045" priority="19883" stopIfTrue="1" operator="equal">
      <formula>"Pass"</formula>
    </cfRule>
    <cfRule type="cellIs" dxfId="20044" priority="19884" stopIfTrue="1" operator="equal">
      <formula>"Fail"</formula>
    </cfRule>
  </conditionalFormatting>
  <conditionalFormatting sqref="A901">
    <cfRule type="cellIs" dxfId="20043" priority="19881" stopIfTrue="1" operator="equal">
      <formula>"Pass"</formula>
    </cfRule>
    <cfRule type="cellIs" dxfId="20042" priority="19882" stopIfTrue="1" operator="equal">
      <formula>"Fail"</formula>
    </cfRule>
  </conditionalFormatting>
  <conditionalFormatting sqref="A901">
    <cfRule type="cellIs" dxfId="20041" priority="19879" stopIfTrue="1" operator="equal">
      <formula>"Pass"</formula>
    </cfRule>
    <cfRule type="cellIs" dxfId="20040" priority="19880" stopIfTrue="1" operator="equal">
      <formula>"Fail"</formula>
    </cfRule>
  </conditionalFormatting>
  <conditionalFormatting sqref="A901">
    <cfRule type="cellIs" dxfId="20039" priority="19877" stopIfTrue="1" operator="equal">
      <formula>"Pass"</formula>
    </cfRule>
    <cfRule type="cellIs" dxfId="20038" priority="19878" stopIfTrue="1" operator="equal">
      <formula>"Fail"</formula>
    </cfRule>
  </conditionalFormatting>
  <conditionalFormatting sqref="A901">
    <cfRule type="cellIs" dxfId="20037" priority="19875" stopIfTrue="1" operator="equal">
      <formula>"Pass"</formula>
    </cfRule>
    <cfRule type="cellIs" dxfId="20036" priority="19876" stopIfTrue="1" operator="equal">
      <formula>"Fail"</formula>
    </cfRule>
  </conditionalFormatting>
  <conditionalFormatting sqref="A901">
    <cfRule type="cellIs" dxfId="20035" priority="19873" stopIfTrue="1" operator="equal">
      <formula>"Pass"</formula>
    </cfRule>
    <cfRule type="cellIs" dxfId="20034" priority="19874" stopIfTrue="1" operator="equal">
      <formula>"Fail"</formula>
    </cfRule>
  </conditionalFormatting>
  <conditionalFormatting sqref="A901">
    <cfRule type="cellIs" dxfId="20033" priority="19871" stopIfTrue="1" operator="equal">
      <formula>"Pass"</formula>
    </cfRule>
    <cfRule type="cellIs" dxfId="20032" priority="19872" stopIfTrue="1" operator="equal">
      <formula>"Fail"</formula>
    </cfRule>
  </conditionalFormatting>
  <conditionalFormatting sqref="A901">
    <cfRule type="cellIs" dxfId="20031" priority="19869" stopIfTrue="1" operator="equal">
      <formula>"Pass"</formula>
    </cfRule>
    <cfRule type="cellIs" dxfId="20030" priority="19870" stopIfTrue="1" operator="equal">
      <formula>"Fail"</formula>
    </cfRule>
  </conditionalFormatting>
  <conditionalFormatting sqref="A901">
    <cfRule type="cellIs" dxfId="20029" priority="19867" stopIfTrue="1" operator="equal">
      <formula>"Pass"</formula>
    </cfRule>
    <cfRule type="cellIs" dxfId="20028" priority="19868" stopIfTrue="1" operator="equal">
      <formula>"Fail"</formula>
    </cfRule>
  </conditionalFormatting>
  <conditionalFormatting sqref="A901">
    <cfRule type="cellIs" dxfId="20027" priority="19865" stopIfTrue="1" operator="equal">
      <formula>"Pass"</formula>
    </cfRule>
    <cfRule type="cellIs" dxfId="20026" priority="19866" stopIfTrue="1" operator="equal">
      <formula>"Fail"</formula>
    </cfRule>
  </conditionalFormatting>
  <conditionalFormatting sqref="A901">
    <cfRule type="cellIs" dxfId="20025" priority="19863" stopIfTrue="1" operator="equal">
      <formula>"Pass"</formula>
    </cfRule>
    <cfRule type="cellIs" dxfId="20024" priority="19864" stopIfTrue="1" operator="equal">
      <formula>"Fail"</formula>
    </cfRule>
  </conditionalFormatting>
  <conditionalFormatting sqref="A901">
    <cfRule type="cellIs" dxfId="20023" priority="19861" stopIfTrue="1" operator="equal">
      <formula>"Pass"</formula>
    </cfRule>
    <cfRule type="cellIs" dxfId="20022" priority="19862" stopIfTrue="1" operator="equal">
      <formula>"Fail"</formula>
    </cfRule>
  </conditionalFormatting>
  <conditionalFormatting sqref="A901">
    <cfRule type="cellIs" dxfId="20021" priority="19859" stopIfTrue="1" operator="equal">
      <formula>"Pass"</formula>
    </cfRule>
    <cfRule type="cellIs" dxfId="20020" priority="19860" stopIfTrue="1" operator="equal">
      <formula>"Fail"</formula>
    </cfRule>
  </conditionalFormatting>
  <conditionalFormatting sqref="J901:J902">
    <cfRule type="cellIs" dxfId="20019" priority="19857" stopIfTrue="1" operator="equal">
      <formula>"Pass"</formula>
    </cfRule>
    <cfRule type="cellIs" dxfId="20018" priority="19858" stopIfTrue="1" operator="equal">
      <formula>"Fail"</formula>
    </cfRule>
  </conditionalFormatting>
  <conditionalFormatting sqref="H901:H902 I902">
    <cfRule type="cellIs" dxfId="20017" priority="19855" stopIfTrue="1" operator="equal">
      <formula>"Pass"</formula>
    </cfRule>
    <cfRule type="cellIs" dxfId="20016" priority="19856" stopIfTrue="1" operator="equal">
      <formula>"Fail"</formula>
    </cfRule>
  </conditionalFormatting>
  <conditionalFormatting sqref="A901 C901 F903 F901:G901 K901:N902">
    <cfRule type="cellIs" dxfId="20015" priority="19853" stopIfTrue="1" operator="equal">
      <formula>"Pass"</formula>
    </cfRule>
    <cfRule type="cellIs" dxfId="20014" priority="19854" stopIfTrue="1" operator="equal">
      <formula>"Fail"</formula>
    </cfRule>
  </conditionalFormatting>
  <conditionalFormatting sqref="T901:T903 U902:U903">
    <cfRule type="cellIs" dxfId="20013" priority="19851" stopIfTrue="1" operator="equal">
      <formula>"Fail"</formula>
    </cfRule>
    <cfRule type="cellIs" dxfId="20012" priority="19852" stopIfTrue="1" operator="equal">
      <formula>"Pass"</formula>
    </cfRule>
  </conditionalFormatting>
  <conditionalFormatting sqref="A901">
    <cfRule type="cellIs" dxfId="20011" priority="19849" stopIfTrue="1" operator="equal">
      <formula>"Pass"</formula>
    </cfRule>
    <cfRule type="cellIs" dxfId="20010" priority="19850" stopIfTrue="1" operator="equal">
      <formula>"Fail"</formula>
    </cfRule>
  </conditionalFormatting>
  <conditionalFormatting sqref="A901">
    <cfRule type="cellIs" dxfId="20009" priority="19847" stopIfTrue="1" operator="equal">
      <formula>"Pass"</formula>
    </cfRule>
    <cfRule type="cellIs" dxfId="20008" priority="19848" stopIfTrue="1" operator="equal">
      <formula>"Fail"</formula>
    </cfRule>
  </conditionalFormatting>
  <conditionalFormatting sqref="A901">
    <cfRule type="cellIs" dxfId="20007" priority="19845" stopIfTrue="1" operator="equal">
      <formula>"Pass"</formula>
    </cfRule>
    <cfRule type="cellIs" dxfId="20006" priority="19846" stopIfTrue="1" operator="equal">
      <formula>"Fail"</formula>
    </cfRule>
  </conditionalFormatting>
  <conditionalFormatting sqref="A901">
    <cfRule type="cellIs" dxfId="20005" priority="19843" stopIfTrue="1" operator="equal">
      <formula>"Pass"</formula>
    </cfRule>
    <cfRule type="cellIs" dxfId="20004" priority="19844" stopIfTrue="1" operator="equal">
      <formula>"Fail"</formula>
    </cfRule>
  </conditionalFormatting>
  <conditionalFormatting sqref="A901">
    <cfRule type="cellIs" dxfId="20003" priority="19841" stopIfTrue="1" operator="equal">
      <formula>"Pass"</formula>
    </cfRule>
    <cfRule type="cellIs" dxfId="20002" priority="19842" stopIfTrue="1" operator="equal">
      <formula>"Fail"</formula>
    </cfRule>
  </conditionalFormatting>
  <conditionalFormatting sqref="A901">
    <cfRule type="cellIs" dxfId="20001" priority="19839" stopIfTrue="1" operator="equal">
      <formula>"Pass"</formula>
    </cfRule>
    <cfRule type="cellIs" dxfId="20000" priority="19840" stopIfTrue="1" operator="equal">
      <formula>"Fail"</formula>
    </cfRule>
  </conditionalFormatting>
  <conditionalFormatting sqref="A901">
    <cfRule type="cellIs" dxfId="19999" priority="19837" stopIfTrue="1" operator="equal">
      <formula>"Pass"</formula>
    </cfRule>
    <cfRule type="cellIs" dxfId="19998" priority="19838" stopIfTrue="1" operator="equal">
      <formula>"Fail"</formula>
    </cfRule>
  </conditionalFormatting>
  <conditionalFormatting sqref="A901">
    <cfRule type="cellIs" dxfId="19997" priority="19835" stopIfTrue="1" operator="equal">
      <formula>"Pass"</formula>
    </cfRule>
    <cfRule type="cellIs" dxfId="19996" priority="19836" stopIfTrue="1" operator="equal">
      <formula>"Fail"</formula>
    </cfRule>
  </conditionalFormatting>
  <conditionalFormatting sqref="A901">
    <cfRule type="cellIs" dxfId="19995" priority="19833" stopIfTrue="1" operator="equal">
      <formula>"Pass"</formula>
    </cfRule>
    <cfRule type="cellIs" dxfId="19994" priority="19834" stopIfTrue="1" operator="equal">
      <formula>"Fail"</formula>
    </cfRule>
  </conditionalFormatting>
  <conditionalFormatting sqref="A901">
    <cfRule type="cellIs" dxfId="19993" priority="19831" stopIfTrue="1" operator="equal">
      <formula>"Pass"</formula>
    </cfRule>
    <cfRule type="cellIs" dxfId="19992" priority="19832" stopIfTrue="1" operator="equal">
      <formula>"Fail"</formula>
    </cfRule>
  </conditionalFormatting>
  <conditionalFormatting sqref="A901">
    <cfRule type="cellIs" dxfId="19991" priority="19829" stopIfTrue="1" operator="equal">
      <formula>"Pass"</formula>
    </cfRule>
    <cfRule type="cellIs" dxfId="19990" priority="19830" stopIfTrue="1" operator="equal">
      <formula>"Fail"</formula>
    </cfRule>
  </conditionalFormatting>
  <conditionalFormatting sqref="A901">
    <cfRule type="cellIs" dxfId="19989" priority="19827" stopIfTrue="1" operator="equal">
      <formula>"Pass"</formula>
    </cfRule>
    <cfRule type="cellIs" dxfId="19988" priority="19828" stopIfTrue="1" operator="equal">
      <formula>"Fail"</formula>
    </cfRule>
  </conditionalFormatting>
  <conditionalFormatting sqref="A901">
    <cfRule type="cellIs" dxfId="19987" priority="19825" stopIfTrue="1" operator="equal">
      <formula>"Pass"</formula>
    </cfRule>
    <cfRule type="cellIs" dxfId="19986" priority="19826" stopIfTrue="1" operator="equal">
      <formula>"Fail"</formula>
    </cfRule>
  </conditionalFormatting>
  <conditionalFormatting sqref="A901">
    <cfRule type="cellIs" dxfId="19985" priority="19823" stopIfTrue="1" operator="equal">
      <formula>"Pass"</formula>
    </cfRule>
    <cfRule type="cellIs" dxfId="19984" priority="19824" stopIfTrue="1" operator="equal">
      <formula>"Fail"</formula>
    </cfRule>
  </conditionalFormatting>
  <conditionalFormatting sqref="A901">
    <cfRule type="cellIs" dxfId="19983" priority="19821" stopIfTrue="1" operator="equal">
      <formula>"Pass"</formula>
    </cfRule>
    <cfRule type="cellIs" dxfId="19982" priority="19822" stopIfTrue="1" operator="equal">
      <formula>"Fail"</formula>
    </cfRule>
  </conditionalFormatting>
  <conditionalFormatting sqref="A901">
    <cfRule type="cellIs" dxfId="19981" priority="19819" stopIfTrue="1" operator="equal">
      <formula>"Pass"</formula>
    </cfRule>
    <cfRule type="cellIs" dxfId="19980" priority="19820" stopIfTrue="1" operator="equal">
      <formula>"Fail"</formula>
    </cfRule>
  </conditionalFormatting>
  <conditionalFormatting sqref="U901">
    <cfRule type="cellIs" dxfId="19979" priority="19817" stopIfTrue="1" operator="equal">
      <formula>"Fail"</formula>
    </cfRule>
    <cfRule type="cellIs" dxfId="19978" priority="19818" stopIfTrue="1" operator="equal">
      <formula>"Pass"</formula>
    </cfRule>
  </conditionalFormatting>
  <conditionalFormatting sqref="U901">
    <cfRule type="cellIs" dxfId="19977" priority="19815" stopIfTrue="1" operator="equal">
      <formula>"Fail"</formula>
    </cfRule>
    <cfRule type="cellIs" dxfId="19976" priority="19816" stopIfTrue="1" operator="equal">
      <formula>"Pass"</formula>
    </cfRule>
  </conditionalFormatting>
  <conditionalFormatting sqref="J901:J902">
    <cfRule type="cellIs" dxfId="19975" priority="19813" stopIfTrue="1" operator="equal">
      <formula>"Pass"</formula>
    </cfRule>
    <cfRule type="cellIs" dxfId="19974" priority="19814" stopIfTrue="1" operator="equal">
      <formula>"Fail"</formula>
    </cfRule>
  </conditionalFormatting>
  <conditionalFormatting sqref="H901:H902 I902">
    <cfRule type="cellIs" dxfId="19973" priority="19811" stopIfTrue="1" operator="equal">
      <formula>"Pass"</formula>
    </cfRule>
    <cfRule type="cellIs" dxfId="19972" priority="19812" stopIfTrue="1" operator="equal">
      <formula>"Fail"</formula>
    </cfRule>
  </conditionalFormatting>
  <conditionalFormatting sqref="F903 F901:G901 K901:N902">
    <cfRule type="cellIs" dxfId="19971" priority="19809" stopIfTrue="1" operator="equal">
      <formula>"Pass"</formula>
    </cfRule>
    <cfRule type="cellIs" dxfId="19970" priority="19810" stopIfTrue="1" operator="equal">
      <formula>"Fail"</formula>
    </cfRule>
  </conditionalFormatting>
  <conditionalFormatting sqref="T901:T903 U902:U903">
    <cfRule type="cellIs" dxfId="19969" priority="19807" stopIfTrue="1" operator="equal">
      <formula>"Fail"</formula>
    </cfRule>
    <cfRule type="cellIs" dxfId="19968" priority="19808" stopIfTrue="1" operator="equal">
      <formula>"Pass"</formula>
    </cfRule>
  </conditionalFormatting>
  <conditionalFormatting sqref="U901">
    <cfRule type="cellIs" dxfId="19967" priority="19805" stopIfTrue="1" operator="equal">
      <formula>"Fail"</formula>
    </cfRule>
    <cfRule type="cellIs" dxfId="19966" priority="19806" stopIfTrue="1" operator="equal">
      <formula>"Pass"</formula>
    </cfRule>
  </conditionalFormatting>
  <conditionalFormatting sqref="U901">
    <cfRule type="cellIs" dxfId="19965" priority="19803" stopIfTrue="1" operator="equal">
      <formula>"Fail"</formula>
    </cfRule>
    <cfRule type="cellIs" dxfId="19964" priority="19804" stopIfTrue="1" operator="equal">
      <formula>"Pass"</formula>
    </cfRule>
  </conditionalFormatting>
  <conditionalFormatting sqref="F901:G901 K901:N901">
    <cfRule type="cellIs" dxfId="19963" priority="19801" stopIfTrue="1" operator="equal">
      <formula>"Pass"</formula>
    </cfRule>
    <cfRule type="cellIs" dxfId="19962" priority="19802" stopIfTrue="1" operator="equal">
      <formula>"Fail"</formula>
    </cfRule>
  </conditionalFormatting>
  <conditionalFormatting sqref="K902:N902">
    <cfRule type="cellIs" dxfId="19961" priority="19799" stopIfTrue="1" operator="equal">
      <formula>"Pass"</formula>
    </cfRule>
    <cfRule type="cellIs" dxfId="19960" priority="19800" stopIfTrue="1" operator="equal">
      <formula>"Fail"</formula>
    </cfRule>
  </conditionalFormatting>
  <conditionalFormatting sqref="U901">
    <cfRule type="cellIs" dxfId="19959" priority="19797" stopIfTrue="1" operator="equal">
      <formula>"Fail"</formula>
    </cfRule>
    <cfRule type="cellIs" dxfId="19958" priority="19798" stopIfTrue="1" operator="equal">
      <formula>"Pass"</formula>
    </cfRule>
  </conditionalFormatting>
  <conditionalFormatting sqref="A901:A903">
    <cfRule type="cellIs" dxfId="19957" priority="19795" stopIfTrue="1" operator="equal">
      <formula>"Pass"</formula>
    </cfRule>
    <cfRule type="cellIs" dxfId="19956" priority="19796" stopIfTrue="1" operator="equal">
      <formula>"Fail"</formula>
    </cfRule>
  </conditionalFormatting>
  <conditionalFormatting sqref="A901:A903">
    <cfRule type="cellIs" dxfId="19955" priority="19793" stopIfTrue="1" operator="equal">
      <formula>"Pass"</formula>
    </cfRule>
    <cfRule type="cellIs" dxfId="19954" priority="19794" stopIfTrue="1" operator="equal">
      <formula>"Fail"</formula>
    </cfRule>
  </conditionalFormatting>
  <conditionalFormatting sqref="A901:A903">
    <cfRule type="cellIs" dxfId="19953" priority="19791" stopIfTrue="1" operator="equal">
      <formula>"Pass"</formula>
    </cfRule>
    <cfRule type="cellIs" dxfId="19952" priority="19792" stopIfTrue="1" operator="equal">
      <formula>"Fail"</formula>
    </cfRule>
  </conditionalFormatting>
  <conditionalFormatting sqref="A901:A903">
    <cfRule type="cellIs" dxfId="19951" priority="19789" stopIfTrue="1" operator="equal">
      <formula>"Pass"</formula>
    </cfRule>
    <cfRule type="cellIs" dxfId="19950" priority="19790" stopIfTrue="1" operator="equal">
      <formula>"Fail"</formula>
    </cfRule>
  </conditionalFormatting>
  <conditionalFormatting sqref="A901:A903">
    <cfRule type="cellIs" dxfId="19949" priority="19787" stopIfTrue="1" operator="equal">
      <formula>"Pass"</formula>
    </cfRule>
    <cfRule type="cellIs" dxfId="19948" priority="19788" stopIfTrue="1" operator="equal">
      <formula>"Fail"</formula>
    </cfRule>
  </conditionalFormatting>
  <conditionalFormatting sqref="A903">
    <cfRule type="cellIs" dxfId="19947" priority="19785" stopIfTrue="1" operator="equal">
      <formula>"Pass"</formula>
    </cfRule>
    <cfRule type="cellIs" dxfId="19946" priority="19786" stopIfTrue="1" operator="equal">
      <formula>"Fail"</formula>
    </cfRule>
  </conditionalFormatting>
  <conditionalFormatting sqref="A901:A903">
    <cfRule type="cellIs" dxfId="19945" priority="19783" stopIfTrue="1" operator="equal">
      <formula>"Pass"</formula>
    </cfRule>
    <cfRule type="cellIs" dxfId="19944" priority="19784" stopIfTrue="1" operator="equal">
      <formula>"Fail"</formula>
    </cfRule>
  </conditionalFormatting>
  <conditionalFormatting sqref="A901:A903">
    <cfRule type="cellIs" dxfId="19943" priority="19781" stopIfTrue="1" operator="equal">
      <formula>"Pass"</formula>
    </cfRule>
    <cfRule type="cellIs" dxfId="19942" priority="19782" stopIfTrue="1" operator="equal">
      <formula>"Fail"</formula>
    </cfRule>
  </conditionalFormatting>
  <conditionalFormatting sqref="A901:A903">
    <cfRule type="cellIs" dxfId="19941" priority="19779" stopIfTrue="1" operator="equal">
      <formula>"Pass"</formula>
    </cfRule>
    <cfRule type="cellIs" dxfId="19940" priority="19780" stopIfTrue="1" operator="equal">
      <formula>"Fail"</formula>
    </cfRule>
  </conditionalFormatting>
  <conditionalFormatting sqref="A901:A903">
    <cfRule type="cellIs" dxfId="19939" priority="19777" stopIfTrue="1" operator="equal">
      <formula>"Pass"</formula>
    </cfRule>
    <cfRule type="cellIs" dxfId="19938" priority="19778" stopIfTrue="1" operator="equal">
      <formula>"Fail"</formula>
    </cfRule>
  </conditionalFormatting>
  <conditionalFormatting sqref="A901:A903">
    <cfRule type="cellIs" dxfId="19937" priority="19775" stopIfTrue="1" operator="equal">
      <formula>"Pass"</formula>
    </cfRule>
    <cfRule type="cellIs" dxfId="19936" priority="19776" stopIfTrue="1" operator="equal">
      <formula>"Fail"</formula>
    </cfRule>
  </conditionalFormatting>
  <conditionalFormatting sqref="A901:A903">
    <cfRule type="cellIs" dxfId="19935" priority="19773" stopIfTrue="1" operator="equal">
      <formula>"Pass"</formula>
    </cfRule>
    <cfRule type="cellIs" dxfId="19934" priority="19774" stopIfTrue="1" operator="equal">
      <formula>"Fail"</formula>
    </cfRule>
  </conditionalFormatting>
  <conditionalFormatting sqref="A903">
    <cfRule type="cellIs" dxfId="19933" priority="19771" stopIfTrue="1" operator="equal">
      <formula>"Pass"</formula>
    </cfRule>
    <cfRule type="cellIs" dxfId="19932" priority="19772" stopIfTrue="1" operator="equal">
      <formula>"Fail"</formula>
    </cfRule>
  </conditionalFormatting>
  <conditionalFormatting sqref="A901:A903">
    <cfRule type="cellIs" dxfId="19931" priority="19769" stopIfTrue="1" operator="equal">
      <formula>"Pass"</formula>
    </cfRule>
    <cfRule type="cellIs" dxfId="19930" priority="19770" stopIfTrue="1" operator="equal">
      <formula>"Fail"</formula>
    </cfRule>
  </conditionalFormatting>
  <conditionalFormatting sqref="J901:J902">
    <cfRule type="cellIs" dxfId="19929" priority="19767" stopIfTrue="1" operator="equal">
      <formula>"Pass"</formula>
    </cfRule>
    <cfRule type="cellIs" dxfId="19928" priority="19768" stopIfTrue="1" operator="equal">
      <formula>"Fail"</formula>
    </cfRule>
  </conditionalFormatting>
  <conditionalFormatting sqref="H901:H902 I902">
    <cfRule type="cellIs" dxfId="19927" priority="19765" stopIfTrue="1" operator="equal">
      <formula>"Pass"</formula>
    </cfRule>
    <cfRule type="cellIs" dxfId="19926" priority="19766" stopIfTrue="1" operator="equal">
      <formula>"Fail"</formula>
    </cfRule>
  </conditionalFormatting>
  <conditionalFormatting sqref="F903 F901:G901 K901:N902">
    <cfRule type="cellIs" dxfId="19925" priority="19763" stopIfTrue="1" operator="equal">
      <formula>"Pass"</formula>
    </cfRule>
    <cfRule type="cellIs" dxfId="19924" priority="19764" stopIfTrue="1" operator="equal">
      <formula>"Fail"</formula>
    </cfRule>
  </conditionalFormatting>
  <conditionalFormatting sqref="T901:T903 U902:U903">
    <cfRule type="cellIs" dxfId="19923" priority="19761" stopIfTrue="1" operator="equal">
      <formula>"Fail"</formula>
    </cfRule>
    <cfRule type="cellIs" dxfId="19922" priority="19762" stopIfTrue="1" operator="equal">
      <formula>"Pass"</formula>
    </cfRule>
  </conditionalFormatting>
  <conditionalFormatting sqref="U901">
    <cfRule type="cellIs" dxfId="19921" priority="19759" stopIfTrue="1" operator="equal">
      <formula>"Fail"</formula>
    </cfRule>
    <cfRule type="cellIs" dxfId="19920" priority="19760" stopIfTrue="1" operator="equal">
      <formula>"Pass"</formula>
    </cfRule>
  </conditionalFormatting>
  <conditionalFormatting sqref="U901">
    <cfRule type="cellIs" dxfId="19919" priority="19757" stopIfTrue="1" operator="equal">
      <formula>"Fail"</formula>
    </cfRule>
    <cfRule type="cellIs" dxfId="19918" priority="19758" stopIfTrue="1" operator="equal">
      <formula>"Pass"</formula>
    </cfRule>
  </conditionalFormatting>
  <conditionalFormatting sqref="J901:J902">
    <cfRule type="cellIs" dxfId="19917" priority="19755" stopIfTrue="1" operator="equal">
      <formula>"Pass"</formula>
    </cfRule>
    <cfRule type="cellIs" dxfId="19916" priority="19756" stopIfTrue="1" operator="equal">
      <formula>"Fail"</formula>
    </cfRule>
  </conditionalFormatting>
  <conditionalFormatting sqref="H901:H902 I902">
    <cfRule type="cellIs" dxfId="19915" priority="19753" stopIfTrue="1" operator="equal">
      <formula>"Pass"</formula>
    </cfRule>
    <cfRule type="cellIs" dxfId="19914" priority="19754" stopIfTrue="1" operator="equal">
      <formula>"Fail"</formula>
    </cfRule>
  </conditionalFormatting>
  <conditionalFormatting sqref="F903 F901:G901 K901:N902">
    <cfRule type="cellIs" dxfId="19913" priority="19751" stopIfTrue="1" operator="equal">
      <formula>"Pass"</formula>
    </cfRule>
    <cfRule type="cellIs" dxfId="19912" priority="19752" stopIfTrue="1" operator="equal">
      <formula>"Fail"</formula>
    </cfRule>
  </conditionalFormatting>
  <conditionalFormatting sqref="T901:T903 U902:U903">
    <cfRule type="cellIs" dxfId="19911" priority="19749" stopIfTrue="1" operator="equal">
      <formula>"Fail"</formula>
    </cfRule>
    <cfRule type="cellIs" dxfId="19910" priority="19750" stopIfTrue="1" operator="equal">
      <formula>"Pass"</formula>
    </cfRule>
  </conditionalFormatting>
  <conditionalFormatting sqref="U901">
    <cfRule type="cellIs" dxfId="19909" priority="19747" stopIfTrue="1" operator="equal">
      <formula>"Fail"</formula>
    </cfRule>
    <cfRule type="cellIs" dxfId="19908" priority="19748" stopIfTrue="1" operator="equal">
      <formula>"Pass"</formula>
    </cfRule>
  </conditionalFormatting>
  <conditionalFormatting sqref="U901">
    <cfRule type="cellIs" dxfId="19907" priority="19745" stopIfTrue="1" operator="equal">
      <formula>"Fail"</formula>
    </cfRule>
    <cfRule type="cellIs" dxfId="19906" priority="19746" stopIfTrue="1" operator="equal">
      <formula>"Pass"</formula>
    </cfRule>
  </conditionalFormatting>
  <conditionalFormatting sqref="F901:G901 K901:N901">
    <cfRule type="cellIs" dxfId="19905" priority="19743" stopIfTrue="1" operator="equal">
      <formula>"Pass"</formula>
    </cfRule>
    <cfRule type="cellIs" dxfId="19904" priority="19744" stopIfTrue="1" operator="equal">
      <formula>"Fail"</formula>
    </cfRule>
  </conditionalFormatting>
  <conditionalFormatting sqref="K902:N902">
    <cfRule type="cellIs" dxfId="19903" priority="19741" stopIfTrue="1" operator="equal">
      <formula>"Pass"</formula>
    </cfRule>
    <cfRule type="cellIs" dxfId="19902" priority="19742" stopIfTrue="1" operator="equal">
      <formula>"Fail"</formula>
    </cfRule>
  </conditionalFormatting>
  <conditionalFormatting sqref="U901">
    <cfRule type="cellIs" dxfId="19901" priority="19739" stopIfTrue="1" operator="equal">
      <formula>"Fail"</formula>
    </cfRule>
    <cfRule type="cellIs" dxfId="19900" priority="19740" stopIfTrue="1" operator="equal">
      <formula>"Pass"</formula>
    </cfRule>
  </conditionalFormatting>
  <conditionalFormatting sqref="J901:J902">
    <cfRule type="cellIs" dxfId="19899" priority="19737" stopIfTrue="1" operator="equal">
      <formula>"Pass"</formula>
    </cfRule>
    <cfRule type="cellIs" dxfId="19898" priority="19738" stopIfTrue="1" operator="equal">
      <formula>"Fail"</formula>
    </cfRule>
  </conditionalFormatting>
  <conditionalFormatting sqref="H901:H902 I902">
    <cfRule type="cellIs" dxfId="19897" priority="19735" stopIfTrue="1" operator="equal">
      <formula>"Pass"</formula>
    </cfRule>
    <cfRule type="cellIs" dxfId="19896" priority="19736" stopIfTrue="1" operator="equal">
      <formula>"Fail"</formula>
    </cfRule>
  </conditionalFormatting>
  <conditionalFormatting sqref="F901:G901 K901:N902">
    <cfRule type="cellIs" dxfId="19895" priority="19733" stopIfTrue="1" operator="equal">
      <formula>"Pass"</formula>
    </cfRule>
    <cfRule type="cellIs" dxfId="19894" priority="19734" stopIfTrue="1" operator="equal">
      <formula>"Fail"</formula>
    </cfRule>
  </conditionalFormatting>
  <conditionalFormatting sqref="T901:T902 U902">
    <cfRule type="cellIs" dxfId="19893" priority="19731" stopIfTrue="1" operator="equal">
      <formula>"Fail"</formula>
    </cfRule>
    <cfRule type="cellIs" dxfId="19892" priority="19732" stopIfTrue="1" operator="equal">
      <formula>"Pass"</formula>
    </cfRule>
  </conditionalFormatting>
  <conditionalFormatting sqref="U901">
    <cfRule type="cellIs" dxfId="19891" priority="19729" stopIfTrue="1" operator="equal">
      <formula>"Fail"</formula>
    </cfRule>
    <cfRule type="cellIs" dxfId="19890" priority="19730" stopIfTrue="1" operator="equal">
      <formula>"Pass"</formula>
    </cfRule>
  </conditionalFormatting>
  <conditionalFormatting sqref="U901">
    <cfRule type="cellIs" dxfId="19889" priority="19727" stopIfTrue="1" operator="equal">
      <formula>"Fail"</formula>
    </cfRule>
    <cfRule type="cellIs" dxfId="19888" priority="19728" stopIfTrue="1" operator="equal">
      <formula>"Pass"</formula>
    </cfRule>
  </conditionalFormatting>
  <conditionalFormatting sqref="J901:J902">
    <cfRule type="cellIs" dxfId="19887" priority="19725" stopIfTrue="1" operator="equal">
      <formula>"Pass"</formula>
    </cfRule>
    <cfRule type="cellIs" dxfId="19886" priority="19726" stopIfTrue="1" operator="equal">
      <formula>"Fail"</formula>
    </cfRule>
  </conditionalFormatting>
  <conditionalFormatting sqref="H901:H902 I902">
    <cfRule type="cellIs" dxfId="19885" priority="19723" stopIfTrue="1" operator="equal">
      <formula>"Pass"</formula>
    </cfRule>
    <cfRule type="cellIs" dxfId="19884" priority="19724" stopIfTrue="1" operator="equal">
      <formula>"Fail"</formula>
    </cfRule>
  </conditionalFormatting>
  <conditionalFormatting sqref="F901:G901 K901:N902">
    <cfRule type="cellIs" dxfId="19883" priority="19721" stopIfTrue="1" operator="equal">
      <formula>"Pass"</formula>
    </cfRule>
    <cfRule type="cellIs" dxfId="19882" priority="19722" stopIfTrue="1" operator="equal">
      <formula>"Fail"</formula>
    </cfRule>
  </conditionalFormatting>
  <conditionalFormatting sqref="T901:T902 U902">
    <cfRule type="cellIs" dxfId="19881" priority="19719" stopIfTrue="1" operator="equal">
      <formula>"Fail"</formula>
    </cfRule>
    <cfRule type="cellIs" dxfId="19880" priority="19720" stopIfTrue="1" operator="equal">
      <formula>"Pass"</formula>
    </cfRule>
  </conditionalFormatting>
  <conditionalFormatting sqref="U901">
    <cfRule type="cellIs" dxfId="19879" priority="19717" stopIfTrue="1" operator="equal">
      <formula>"Fail"</formula>
    </cfRule>
    <cfRule type="cellIs" dxfId="19878" priority="19718" stopIfTrue="1" operator="equal">
      <formula>"Pass"</formula>
    </cfRule>
  </conditionalFormatting>
  <conditionalFormatting sqref="U901">
    <cfRule type="cellIs" dxfId="19877" priority="19715" stopIfTrue="1" operator="equal">
      <formula>"Fail"</formula>
    </cfRule>
    <cfRule type="cellIs" dxfId="19876" priority="19716" stopIfTrue="1" operator="equal">
      <formula>"Pass"</formula>
    </cfRule>
  </conditionalFormatting>
  <conditionalFormatting sqref="F901:G901 K901:N901">
    <cfRule type="cellIs" dxfId="19875" priority="19713" stopIfTrue="1" operator="equal">
      <formula>"Pass"</formula>
    </cfRule>
    <cfRule type="cellIs" dxfId="19874" priority="19714" stopIfTrue="1" operator="equal">
      <formula>"Fail"</formula>
    </cfRule>
  </conditionalFormatting>
  <conditionalFormatting sqref="K902:N902">
    <cfRule type="cellIs" dxfId="19873" priority="19711" stopIfTrue="1" operator="equal">
      <formula>"Pass"</formula>
    </cfRule>
    <cfRule type="cellIs" dxfId="19872" priority="19712" stopIfTrue="1" operator="equal">
      <formula>"Fail"</formula>
    </cfRule>
  </conditionalFormatting>
  <conditionalFormatting sqref="U901">
    <cfRule type="cellIs" dxfId="19871" priority="19709" stopIfTrue="1" operator="equal">
      <formula>"Fail"</formula>
    </cfRule>
    <cfRule type="cellIs" dxfId="19870" priority="19710" stopIfTrue="1" operator="equal">
      <formula>"Pass"</formula>
    </cfRule>
  </conditionalFormatting>
  <conditionalFormatting sqref="U901">
    <cfRule type="cellIs" dxfId="19869" priority="19707" stopIfTrue="1" operator="equal">
      <formula>"Fail"</formula>
    </cfRule>
    <cfRule type="cellIs" dxfId="19868" priority="19708" stopIfTrue="1" operator="equal">
      <formula>"Pass"</formula>
    </cfRule>
  </conditionalFormatting>
  <conditionalFormatting sqref="U901">
    <cfRule type="cellIs" dxfId="19867" priority="19705" stopIfTrue="1" operator="equal">
      <formula>"Fail"</formula>
    </cfRule>
    <cfRule type="cellIs" dxfId="19866" priority="19706" stopIfTrue="1" operator="equal">
      <formula>"Pass"</formula>
    </cfRule>
  </conditionalFormatting>
  <conditionalFormatting sqref="U901">
    <cfRule type="cellIs" dxfId="19865" priority="19703" stopIfTrue="1" operator="equal">
      <formula>"Fail"</formula>
    </cfRule>
    <cfRule type="cellIs" dxfId="19864" priority="19704" stopIfTrue="1" operator="equal">
      <formula>"Pass"</formula>
    </cfRule>
  </conditionalFormatting>
  <conditionalFormatting sqref="A904:A906">
    <cfRule type="cellIs" dxfId="19863" priority="19701" stopIfTrue="1" operator="equal">
      <formula>"Pass"</formula>
    </cfRule>
    <cfRule type="cellIs" dxfId="19862" priority="19702" stopIfTrue="1" operator="equal">
      <formula>"Fail"</formula>
    </cfRule>
  </conditionalFormatting>
  <conditionalFormatting sqref="A904:A906">
    <cfRule type="cellIs" dxfId="19861" priority="19699" stopIfTrue="1" operator="equal">
      <formula>"Pass"</formula>
    </cfRule>
    <cfRule type="cellIs" dxfId="19860" priority="19700" stopIfTrue="1" operator="equal">
      <formula>"Fail"</formula>
    </cfRule>
  </conditionalFormatting>
  <conditionalFormatting sqref="A904:A906">
    <cfRule type="cellIs" dxfId="19859" priority="19697" stopIfTrue="1" operator="equal">
      <formula>"Pass"</formula>
    </cfRule>
    <cfRule type="cellIs" dxfId="19858" priority="19698" stopIfTrue="1" operator="equal">
      <formula>"Fail"</formula>
    </cfRule>
  </conditionalFormatting>
  <conditionalFormatting sqref="A904:A906">
    <cfRule type="cellIs" dxfId="19857" priority="19695" stopIfTrue="1" operator="equal">
      <formula>"Pass"</formula>
    </cfRule>
    <cfRule type="cellIs" dxfId="19856" priority="19696" stopIfTrue="1" operator="equal">
      <formula>"Fail"</formula>
    </cfRule>
  </conditionalFormatting>
  <conditionalFormatting sqref="A904:A906">
    <cfRule type="cellIs" dxfId="19855" priority="19693" stopIfTrue="1" operator="equal">
      <formula>"Pass"</formula>
    </cfRule>
    <cfRule type="cellIs" dxfId="19854" priority="19694" stopIfTrue="1" operator="equal">
      <formula>"Fail"</formula>
    </cfRule>
  </conditionalFormatting>
  <conditionalFormatting sqref="A906">
    <cfRule type="cellIs" dxfId="19853" priority="19691" stopIfTrue="1" operator="equal">
      <formula>"Pass"</formula>
    </cfRule>
    <cfRule type="cellIs" dxfId="19852" priority="19692" stopIfTrue="1" operator="equal">
      <formula>"Fail"</formula>
    </cfRule>
  </conditionalFormatting>
  <conditionalFormatting sqref="A904:A906">
    <cfRule type="cellIs" dxfId="19851" priority="19689" stopIfTrue="1" operator="equal">
      <formula>"Pass"</formula>
    </cfRule>
    <cfRule type="cellIs" dxfId="19850" priority="19690" stopIfTrue="1" operator="equal">
      <formula>"Fail"</formula>
    </cfRule>
  </conditionalFormatting>
  <conditionalFormatting sqref="H904:H905">
    <cfRule type="cellIs" dxfId="19849" priority="19687" stopIfTrue="1" operator="equal">
      <formula>"Pass"</formula>
    </cfRule>
    <cfRule type="cellIs" dxfId="19848" priority="19688" stopIfTrue="1" operator="equal">
      <formula>"Fail"</formula>
    </cfRule>
  </conditionalFormatting>
  <conditionalFormatting sqref="E904:F904 I904:M905 E906:F906 A904">
    <cfRule type="cellIs" dxfId="19847" priority="19685" stopIfTrue="1" operator="equal">
      <formula>"Pass"</formula>
    </cfRule>
    <cfRule type="cellIs" dxfId="19846" priority="19686" stopIfTrue="1" operator="equal">
      <formula>"Fail"</formula>
    </cfRule>
  </conditionalFormatting>
  <conditionalFormatting sqref="T906 T904 R904:R906 S905:S906">
    <cfRule type="cellIs" dxfId="19845" priority="19683" stopIfTrue="1" operator="equal">
      <formula>"Fail"</formula>
    </cfRule>
    <cfRule type="cellIs" dxfId="19844" priority="19684" stopIfTrue="1" operator="equal">
      <formula>"Pass"</formula>
    </cfRule>
  </conditionalFormatting>
  <conditionalFormatting sqref="F904:G904 F906:G906 B904:B906 A904 J904:N905">
    <cfRule type="cellIs" dxfId="19843" priority="19681" stopIfTrue="1" operator="equal">
      <formula>"Pass"</formula>
    </cfRule>
    <cfRule type="cellIs" dxfId="19842" priority="19682" stopIfTrue="1" operator="equal">
      <formula>"Fail"</formula>
    </cfRule>
  </conditionalFormatting>
  <conditionalFormatting sqref="U906 T904:T906 S905:S906">
    <cfRule type="cellIs" dxfId="19841" priority="19679" stopIfTrue="1" operator="equal">
      <formula>"Fail"</formula>
    </cfRule>
    <cfRule type="cellIs" dxfId="19840" priority="19680" stopIfTrue="1" operator="equal">
      <formula>"Pass"</formula>
    </cfRule>
  </conditionalFormatting>
  <conditionalFormatting sqref="A904">
    <cfRule type="cellIs" dxfId="19839" priority="19677" stopIfTrue="1" operator="equal">
      <formula>"Pass"</formula>
    </cfRule>
    <cfRule type="cellIs" dxfId="19838" priority="19678" stopIfTrue="1" operator="equal">
      <formula>"Fail"</formula>
    </cfRule>
  </conditionalFormatting>
  <conditionalFormatting sqref="A904">
    <cfRule type="cellIs" dxfId="19837" priority="19675" stopIfTrue="1" operator="equal">
      <formula>"Pass"</formula>
    </cfRule>
    <cfRule type="cellIs" dxfId="19836" priority="19676" stopIfTrue="1" operator="equal">
      <formula>"Fail"</formula>
    </cfRule>
  </conditionalFormatting>
  <conditionalFormatting sqref="A904">
    <cfRule type="cellIs" dxfId="19835" priority="19673" stopIfTrue="1" operator="equal">
      <formula>"Pass"</formula>
    </cfRule>
    <cfRule type="cellIs" dxfId="19834" priority="19674" stopIfTrue="1" operator="equal">
      <formula>"Fail"</formula>
    </cfRule>
  </conditionalFormatting>
  <conditionalFormatting sqref="A904">
    <cfRule type="cellIs" dxfId="19833" priority="19671" stopIfTrue="1" operator="equal">
      <formula>"Pass"</formula>
    </cfRule>
    <cfRule type="cellIs" dxfId="19832" priority="19672" stopIfTrue="1" operator="equal">
      <formula>"Fail"</formula>
    </cfRule>
  </conditionalFormatting>
  <conditionalFormatting sqref="A904">
    <cfRule type="cellIs" dxfId="19831" priority="19669" stopIfTrue="1" operator="equal">
      <formula>"Pass"</formula>
    </cfRule>
    <cfRule type="cellIs" dxfId="19830" priority="19670" stopIfTrue="1" operator="equal">
      <formula>"Fail"</formula>
    </cfRule>
  </conditionalFormatting>
  <conditionalFormatting sqref="A904">
    <cfRule type="cellIs" dxfId="19829" priority="19667" stopIfTrue="1" operator="equal">
      <formula>"Pass"</formula>
    </cfRule>
    <cfRule type="cellIs" dxfId="19828" priority="19668" stopIfTrue="1" operator="equal">
      <formula>"Fail"</formula>
    </cfRule>
  </conditionalFormatting>
  <conditionalFormatting sqref="A904">
    <cfRule type="cellIs" dxfId="19827" priority="19665" stopIfTrue="1" operator="equal">
      <formula>"Pass"</formula>
    </cfRule>
    <cfRule type="cellIs" dxfId="19826" priority="19666" stopIfTrue="1" operator="equal">
      <formula>"Fail"</formula>
    </cfRule>
  </conditionalFormatting>
  <conditionalFormatting sqref="A904">
    <cfRule type="cellIs" dxfId="19825" priority="19663" stopIfTrue="1" operator="equal">
      <formula>"Pass"</formula>
    </cfRule>
    <cfRule type="cellIs" dxfId="19824" priority="19664" stopIfTrue="1" operator="equal">
      <formula>"Fail"</formula>
    </cfRule>
  </conditionalFormatting>
  <conditionalFormatting sqref="A904">
    <cfRule type="cellIs" dxfId="19823" priority="19661" stopIfTrue="1" operator="equal">
      <formula>"Pass"</formula>
    </cfRule>
    <cfRule type="cellIs" dxfId="19822" priority="19662" stopIfTrue="1" operator="equal">
      <formula>"Fail"</formula>
    </cfRule>
  </conditionalFormatting>
  <conditionalFormatting sqref="A904">
    <cfRule type="cellIs" dxfId="19821" priority="19659" stopIfTrue="1" operator="equal">
      <formula>"Pass"</formula>
    </cfRule>
    <cfRule type="cellIs" dxfId="19820" priority="19660" stopIfTrue="1" operator="equal">
      <formula>"Fail"</formula>
    </cfRule>
  </conditionalFormatting>
  <conditionalFormatting sqref="U904">
    <cfRule type="cellIs" dxfId="19819" priority="19657" stopIfTrue="1" operator="equal">
      <formula>"Fail"</formula>
    </cfRule>
    <cfRule type="cellIs" dxfId="19818" priority="19658" stopIfTrue="1" operator="equal">
      <formula>"Pass"</formula>
    </cfRule>
  </conditionalFormatting>
  <conditionalFormatting sqref="F904:G904 J904:N904">
    <cfRule type="cellIs" dxfId="19817" priority="19655" stopIfTrue="1" operator="equal">
      <formula>"Pass"</formula>
    </cfRule>
    <cfRule type="cellIs" dxfId="19816" priority="19656" stopIfTrue="1" operator="equal">
      <formula>"Fail"</formula>
    </cfRule>
  </conditionalFormatting>
  <conditionalFormatting sqref="J905:N905">
    <cfRule type="cellIs" dxfId="19815" priority="19653" stopIfTrue="1" operator="equal">
      <formula>"Pass"</formula>
    </cfRule>
    <cfRule type="cellIs" dxfId="19814" priority="19654" stopIfTrue="1" operator="equal">
      <formula>"Fail"</formula>
    </cfRule>
  </conditionalFormatting>
  <conditionalFormatting sqref="A904:A906">
    <cfRule type="cellIs" dxfId="19813" priority="19651" stopIfTrue="1" operator="equal">
      <formula>"Pass"</formula>
    </cfRule>
    <cfRule type="cellIs" dxfId="19812" priority="19652" stopIfTrue="1" operator="equal">
      <formula>"Fail"</formula>
    </cfRule>
  </conditionalFormatting>
  <conditionalFormatting sqref="A904:A906">
    <cfRule type="cellIs" dxfId="19811" priority="19649" stopIfTrue="1" operator="equal">
      <formula>"Pass"</formula>
    </cfRule>
    <cfRule type="cellIs" dxfId="19810" priority="19650" stopIfTrue="1" operator="equal">
      <formula>"Fail"</formula>
    </cfRule>
  </conditionalFormatting>
  <conditionalFormatting sqref="A904:A906">
    <cfRule type="cellIs" dxfId="19809" priority="19647" stopIfTrue="1" operator="equal">
      <formula>"Pass"</formula>
    </cfRule>
    <cfRule type="cellIs" dxfId="19808" priority="19648" stopIfTrue="1" operator="equal">
      <formula>"Fail"</formula>
    </cfRule>
  </conditionalFormatting>
  <conditionalFormatting sqref="A904:A906">
    <cfRule type="cellIs" dxfId="19807" priority="19645" stopIfTrue="1" operator="equal">
      <formula>"Pass"</formula>
    </cfRule>
    <cfRule type="cellIs" dxfId="19806" priority="19646" stopIfTrue="1" operator="equal">
      <formula>"Fail"</formula>
    </cfRule>
  </conditionalFormatting>
  <conditionalFormatting sqref="A904:A906">
    <cfRule type="cellIs" dxfId="19805" priority="19643" stopIfTrue="1" operator="equal">
      <formula>"Pass"</formula>
    </cfRule>
    <cfRule type="cellIs" dxfId="19804" priority="19644" stopIfTrue="1" operator="equal">
      <formula>"Fail"</formula>
    </cfRule>
  </conditionalFormatting>
  <conditionalFormatting sqref="A906">
    <cfRule type="cellIs" dxfId="19803" priority="19641" stopIfTrue="1" operator="equal">
      <formula>"Pass"</formula>
    </cfRule>
    <cfRule type="cellIs" dxfId="19802" priority="19642" stopIfTrue="1" operator="equal">
      <formula>"Fail"</formula>
    </cfRule>
  </conditionalFormatting>
  <conditionalFormatting sqref="A904:A906">
    <cfRule type="cellIs" dxfId="19801" priority="19639" stopIfTrue="1" operator="equal">
      <formula>"Pass"</formula>
    </cfRule>
    <cfRule type="cellIs" dxfId="19800" priority="19640" stopIfTrue="1" operator="equal">
      <formula>"Fail"</formula>
    </cfRule>
  </conditionalFormatting>
  <conditionalFormatting sqref="A904:A906">
    <cfRule type="cellIs" dxfId="19799" priority="19637" stopIfTrue="1" operator="equal">
      <formula>"Pass"</formula>
    </cfRule>
    <cfRule type="cellIs" dxfId="19798" priority="19638" stopIfTrue="1" operator="equal">
      <formula>"Fail"</formula>
    </cfRule>
  </conditionalFormatting>
  <conditionalFormatting sqref="A904:A906">
    <cfRule type="cellIs" dxfId="19797" priority="19635" stopIfTrue="1" operator="equal">
      <formula>"Pass"</formula>
    </cfRule>
    <cfRule type="cellIs" dxfId="19796" priority="19636" stopIfTrue="1" operator="equal">
      <formula>"Fail"</formula>
    </cfRule>
  </conditionalFormatting>
  <conditionalFormatting sqref="A904:A906">
    <cfRule type="cellIs" dxfId="19795" priority="19633" stopIfTrue="1" operator="equal">
      <formula>"Pass"</formula>
    </cfRule>
    <cfRule type="cellIs" dxfId="19794" priority="19634" stopIfTrue="1" operator="equal">
      <formula>"Fail"</formula>
    </cfRule>
  </conditionalFormatting>
  <conditionalFormatting sqref="A904:A906">
    <cfRule type="cellIs" dxfId="19793" priority="19631" stopIfTrue="1" operator="equal">
      <formula>"Pass"</formula>
    </cfRule>
    <cfRule type="cellIs" dxfId="19792" priority="19632" stopIfTrue="1" operator="equal">
      <formula>"Fail"</formula>
    </cfRule>
  </conditionalFormatting>
  <conditionalFormatting sqref="A904:A906">
    <cfRule type="cellIs" dxfId="19791" priority="19629" stopIfTrue="1" operator="equal">
      <formula>"Pass"</formula>
    </cfRule>
    <cfRule type="cellIs" dxfId="19790" priority="19630" stopIfTrue="1" operator="equal">
      <formula>"Fail"</formula>
    </cfRule>
  </conditionalFormatting>
  <conditionalFormatting sqref="A906">
    <cfRule type="cellIs" dxfId="19789" priority="19627" stopIfTrue="1" operator="equal">
      <formula>"Pass"</formula>
    </cfRule>
    <cfRule type="cellIs" dxfId="19788" priority="19628" stopIfTrue="1" operator="equal">
      <formula>"Fail"</formula>
    </cfRule>
  </conditionalFormatting>
  <conditionalFormatting sqref="A904:A906">
    <cfRule type="cellIs" dxfId="19787" priority="19625" stopIfTrue="1" operator="equal">
      <formula>"Pass"</formula>
    </cfRule>
    <cfRule type="cellIs" dxfId="19786" priority="19626" stopIfTrue="1" operator="equal">
      <formula>"Fail"</formula>
    </cfRule>
  </conditionalFormatting>
  <conditionalFormatting sqref="H904:H905">
    <cfRule type="cellIs" dxfId="19785" priority="19623" stopIfTrue="1" operator="equal">
      <formula>"Pass"</formula>
    </cfRule>
    <cfRule type="cellIs" dxfId="19784" priority="19624" stopIfTrue="1" operator="equal">
      <formula>"Fail"</formula>
    </cfRule>
  </conditionalFormatting>
  <conditionalFormatting sqref="F904 I904:M905 F906">
    <cfRule type="cellIs" dxfId="19783" priority="19621" stopIfTrue="1" operator="equal">
      <formula>"Pass"</formula>
    </cfRule>
    <cfRule type="cellIs" dxfId="19782" priority="19622" stopIfTrue="1" operator="equal">
      <formula>"Fail"</formula>
    </cfRule>
  </conditionalFormatting>
  <conditionalFormatting sqref="T906 T904 R904:R906 S905:S906">
    <cfRule type="cellIs" dxfId="19781" priority="19619" stopIfTrue="1" operator="equal">
      <formula>"Fail"</formula>
    </cfRule>
    <cfRule type="cellIs" dxfId="19780" priority="19620" stopIfTrue="1" operator="equal">
      <formula>"Pass"</formula>
    </cfRule>
  </conditionalFormatting>
  <conditionalFormatting sqref="F904:G904 F906:G906 J904:N905">
    <cfRule type="cellIs" dxfId="19779" priority="19617" stopIfTrue="1" operator="equal">
      <formula>"Pass"</formula>
    </cfRule>
    <cfRule type="cellIs" dxfId="19778" priority="19618" stopIfTrue="1" operator="equal">
      <formula>"Fail"</formula>
    </cfRule>
  </conditionalFormatting>
  <conditionalFormatting sqref="U906 T904:T906 S905:S906">
    <cfRule type="cellIs" dxfId="19777" priority="19615" stopIfTrue="1" operator="equal">
      <formula>"Fail"</formula>
    </cfRule>
    <cfRule type="cellIs" dxfId="19776" priority="19616" stopIfTrue="1" operator="equal">
      <formula>"Pass"</formula>
    </cfRule>
  </conditionalFormatting>
  <conditionalFormatting sqref="U904">
    <cfRule type="cellIs" dxfId="19775" priority="19613" stopIfTrue="1" operator="equal">
      <formula>"Fail"</formula>
    </cfRule>
    <cfRule type="cellIs" dxfId="19774" priority="19614" stopIfTrue="1" operator="equal">
      <formula>"Pass"</formula>
    </cfRule>
  </conditionalFormatting>
  <conditionalFormatting sqref="F904:G904 J904:N904">
    <cfRule type="cellIs" dxfId="19773" priority="19611" stopIfTrue="1" operator="equal">
      <formula>"Pass"</formula>
    </cfRule>
    <cfRule type="cellIs" dxfId="19772" priority="19612" stopIfTrue="1" operator="equal">
      <formula>"Fail"</formula>
    </cfRule>
  </conditionalFormatting>
  <conditionalFormatting sqref="J905:N905">
    <cfRule type="cellIs" dxfId="19771" priority="19609" stopIfTrue="1" operator="equal">
      <formula>"Pass"</formula>
    </cfRule>
    <cfRule type="cellIs" dxfId="19770" priority="19610" stopIfTrue="1" operator="equal">
      <formula>"Fail"</formula>
    </cfRule>
  </conditionalFormatting>
  <conditionalFormatting sqref="H904:H905">
    <cfRule type="cellIs" dxfId="19769" priority="19607" stopIfTrue="1" operator="equal">
      <formula>"Pass"</formula>
    </cfRule>
    <cfRule type="cellIs" dxfId="19768" priority="19608" stopIfTrue="1" operator="equal">
      <formula>"Fail"</formula>
    </cfRule>
  </conditionalFormatting>
  <conditionalFormatting sqref="F904 I904:M905 F906">
    <cfRule type="cellIs" dxfId="19767" priority="19605" stopIfTrue="1" operator="equal">
      <formula>"Pass"</formula>
    </cfRule>
    <cfRule type="cellIs" dxfId="19766" priority="19606" stopIfTrue="1" operator="equal">
      <formula>"Fail"</formula>
    </cfRule>
  </conditionalFormatting>
  <conditionalFormatting sqref="T906 T904 R904:R906 S905:S906">
    <cfRule type="cellIs" dxfId="19765" priority="19603" stopIfTrue="1" operator="equal">
      <formula>"Fail"</formula>
    </cfRule>
    <cfRule type="cellIs" dxfId="19764" priority="19604" stopIfTrue="1" operator="equal">
      <formula>"Pass"</formula>
    </cfRule>
  </conditionalFormatting>
  <conditionalFormatting sqref="F904:G904 F906:G906 J904:N905">
    <cfRule type="cellIs" dxfId="19763" priority="19601" stopIfTrue="1" operator="equal">
      <formula>"Pass"</formula>
    </cfRule>
    <cfRule type="cellIs" dxfId="19762" priority="19602" stopIfTrue="1" operator="equal">
      <formula>"Fail"</formula>
    </cfRule>
  </conditionalFormatting>
  <conditionalFormatting sqref="U906 T904:T906 S905:S906">
    <cfRule type="cellIs" dxfId="19761" priority="19599" stopIfTrue="1" operator="equal">
      <formula>"Fail"</formula>
    </cfRule>
    <cfRule type="cellIs" dxfId="19760" priority="19600" stopIfTrue="1" operator="equal">
      <formula>"Pass"</formula>
    </cfRule>
  </conditionalFormatting>
  <conditionalFormatting sqref="U904">
    <cfRule type="cellIs" dxfId="19759" priority="19597" stopIfTrue="1" operator="equal">
      <formula>"Fail"</formula>
    </cfRule>
    <cfRule type="cellIs" dxfId="19758" priority="19598" stopIfTrue="1" operator="equal">
      <formula>"Pass"</formula>
    </cfRule>
  </conditionalFormatting>
  <conditionalFormatting sqref="F904:G904 J904:N904">
    <cfRule type="cellIs" dxfId="19757" priority="19595" stopIfTrue="1" operator="equal">
      <formula>"Pass"</formula>
    </cfRule>
    <cfRule type="cellIs" dxfId="19756" priority="19596" stopIfTrue="1" operator="equal">
      <formula>"Fail"</formula>
    </cfRule>
  </conditionalFormatting>
  <conditionalFormatting sqref="J905:N905">
    <cfRule type="cellIs" dxfId="19755" priority="19593" stopIfTrue="1" operator="equal">
      <formula>"Pass"</formula>
    </cfRule>
    <cfRule type="cellIs" dxfId="19754" priority="19594" stopIfTrue="1" operator="equal">
      <formula>"Fail"</formula>
    </cfRule>
  </conditionalFormatting>
  <conditionalFormatting sqref="U904">
    <cfRule type="cellIs" dxfId="19753" priority="19591" stopIfTrue="1" operator="equal">
      <formula>"Fail"</formula>
    </cfRule>
    <cfRule type="cellIs" dxfId="19752" priority="19592" stopIfTrue="1" operator="equal">
      <formula>"Pass"</formula>
    </cfRule>
  </conditionalFormatting>
  <conditionalFormatting sqref="U904">
    <cfRule type="cellIs" dxfId="19751" priority="19589" stopIfTrue="1" operator="equal">
      <formula>"Fail"</formula>
    </cfRule>
    <cfRule type="cellIs" dxfId="19750" priority="19590" stopIfTrue="1" operator="equal">
      <formula>"Pass"</formula>
    </cfRule>
  </conditionalFormatting>
  <conditionalFormatting sqref="U904">
    <cfRule type="cellIs" dxfId="19749" priority="19587" stopIfTrue="1" operator="equal">
      <formula>"Fail"</formula>
    </cfRule>
    <cfRule type="cellIs" dxfId="19748" priority="19588" stopIfTrue="1" operator="equal">
      <formula>"Pass"</formula>
    </cfRule>
  </conditionalFormatting>
  <conditionalFormatting sqref="N904">
    <cfRule type="cellIs" dxfId="19747" priority="19585" stopIfTrue="1" operator="equal">
      <formula>"Pass"</formula>
    </cfRule>
    <cfRule type="cellIs" dxfId="19746" priority="19586" stopIfTrue="1" operator="equal">
      <formula>"Fail"</formula>
    </cfRule>
  </conditionalFormatting>
  <conditionalFormatting sqref="N904">
    <cfRule type="cellIs" dxfId="19745" priority="19583" stopIfTrue="1" operator="equal">
      <formula>"Pass"</formula>
    </cfRule>
    <cfRule type="cellIs" dxfId="19744" priority="19584" stopIfTrue="1" operator="equal">
      <formula>"Fail"</formula>
    </cfRule>
  </conditionalFormatting>
  <conditionalFormatting sqref="N904">
    <cfRule type="cellIs" dxfId="19743" priority="19581" stopIfTrue="1" operator="equal">
      <formula>"Pass"</formula>
    </cfRule>
    <cfRule type="cellIs" dxfId="19742" priority="19582" stopIfTrue="1" operator="equal">
      <formula>"Fail"</formula>
    </cfRule>
  </conditionalFormatting>
  <conditionalFormatting sqref="A901:A903">
    <cfRule type="cellIs" dxfId="19741" priority="19579" stopIfTrue="1" operator="equal">
      <formula>"Pass"</formula>
    </cfRule>
    <cfRule type="cellIs" dxfId="19740" priority="19580" stopIfTrue="1" operator="equal">
      <formula>"Fail"</formula>
    </cfRule>
  </conditionalFormatting>
  <conditionalFormatting sqref="A901:A903">
    <cfRule type="cellIs" dxfId="19739" priority="19577" stopIfTrue="1" operator="equal">
      <formula>"Pass"</formula>
    </cfRule>
    <cfRule type="cellIs" dxfId="19738" priority="19578" stopIfTrue="1" operator="equal">
      <formula>"Fail"</formula>
    </cfRule>
  </conditionalFormatting>
  <conditionalFormatting sqref="A901:A903">
    <cfRule type="cellIs" dxfId="19737" priority="19575" stopIfTrue="1" operator="equal">
      <formula>"Pass"</formula>
    </cfRule>
    <cfRule type="cellIs" dxfId="19736" priority="19576" stopIfTrue="1" operator="equal">
      <formula>"Fail"</formula>
    </cfRule>
  </conditionalFormatting>
  <conditionalFormatting sqref="A901:A903">
    <cfRule type="cellIs" dxfId="19735" priority="19573" stopIfTrue="1" operator="equal">
      <formula>"Pass"</formula>
    </cfRule>
    <cfRule type="cellIs" dxfId="19734" priority="19574" stopIfTrue="1" operator="equal">
      <formula>"Fail"</formula>
    </cfRule>
  </conditionalFormatting>
  <conditionalFormatting sqref="A901:A903">
    <cfRule type="cellIs" dxfId="19733" priority="19571" stopIfTrue="1" operator="equal">
      <formula>"Pass"</formula>
    </cfRule>
    <cfRule type="cellIs" dxfId="19732" priority="19572" stopIfTrue="1" operator="equal">
      <formula>"Fail"</formula>
    </cfRule>
  </conditionalFormatting>
  <conditionalFormatting sqref="A903">
    <cfRule type="cellIs" dxfId="19731" priority="19569" stopIfTrue="1" operator="equal">
      <formula>"Pass"</formula>
    </cfRule>
    <cfRule type="cellIs" dxfId="19730" priority="19570" stopIfTrue="1" operator="equal">
      <formula>"Fail"</formula>
    </cfRule>
  </conditionalFormatting>
  <conditionalFormatting sqref="A901:A903">
    <cfRule type="cellIs" dxfId="19729" priority="19567" stopIfTrue="1" operator="equal">
      <formula>"Pass"</formula>
    </cfRule>
    <cfRule type="cellIs" dxfId="19728" priority="19568" stopIfTrue="1" operator="equal">
      <formula>"Fail"</formula>
    </cfRule>
  </conditionalFormatting>
  <conditionalFormatting sqref="A901:A903">
    <cfRule type="cellIs" dxfId="19727" priority="19565" stopIfTrue="1" operator="equal">
      <formula>"Pass"</formula>
    </cfRule>
    <cfRule type="cellIs" dxfId="19726" priority="19566" stopIfTrue="1" operator="equal">
      <formula>"Fail"</formula>
    </cfRule>
  </conditionalFormatting>
  <conditionalFormatting sqref="A901:A903">
    <cfRule type="cellIs" dxfId="19725" priority="19563" stopIfTrue="1" operator="equal">
      <formula>"Pass"</formula>
    </cfRule>
    <cfRule type="cellIs" dxfId="19724" priority="19564" stopIfTrue="1" operator="equal">
      <formula>"Fail"</formula>
    </cfRule>
  </conditionalFormatting>
  <conditionalFormatting sqref="A901:A903">
    <cfRule type="cellIs" dxfId="19723" priority="19561" stopIfTrue="1" operator="equal">
      <formula>"Pass"</formula>
    </cfRule>
    <cfRule type="cellIs" dxfId="19722" priority="19562" stopIfTrue="1" operator="equal">
      <formula>"Fail"</formula>
    </cfRule>
  </conditionalFormatting>
  <conditionalFormatting sqref="A901:A903">
    <cfRule type="cellIs" dxfId="19721" priority="19559" stopIfTrue="1" operator="equal">
      <formula>"Pass"</formula>
    </cfRule>
    <cfRule type="cellIs" dxfId="19720" priority="19560" stopIfTrue="1" operator="equal">
      <formula>"Fail"</formula>
    </cfRule>
  </conditionalFormatting>
  <conditionalFormatting sqref="A901:A903">
    <cfRule type="cellIs" dxfId="19719" priority="19557" stopIfTrue="1" operator="equal">
      <formula>"Pass"</formula>
    </cfRule>
    <cfRule type="cellIs" dxfId="19718" priority="19558" stopIfTrue="1" operator="equal">
      <formula>"Fail"</formula>
    </cfRule>
  </conditionalFormatting>
  <conditionalFormatting sqref="A903">
    <cfRule type="cellIs" dxfId="19717" priority="19555" stopIfTrue="1" operator="equal">
      <formula>"Pass"</formula>
    </cfRule>
    <cfRule type="cellIs" dxfId="19716" priority="19556" stopIfTrue="1" operator="equal">
      <formula>"Fail"</formula>
    </cfRule>
  </conditionalFormatting>
  <conditionalFormatting sqref="A901:A903">
    <cfRule type="cellIs" dxfId="19715" priority="19553" stopIfTrue="1" operator="equal">
      <formula>"Pass"</formula>
    </cfRule>
    <cfRule type="cellIs" dxfId="19714" priority="19554" stopIfTrue="1" operator="equal">
      <formula>"Fail"</formula>
    </cfRule>
  </conditionalFormatting>
  <conditionalFormatting sqref="A901:A903">
    <cfRule type="cellIs" dxfId="19713" priority="19551" stopIfTrue="1" operator="equal">
      <formula>"Pass"</formula>
    </cfRule>
    <cfRule type="cellIs" dxfId="19712" priority="19552" stopIfTrue="1" operator="equal">
      <formula>"Fail"</formula>
    </cfRule>
  </conditionalFormatting>
  <conditionalFormatting sqref="A901:A903">
    <cfRule type="cellIs" dxfId="19711" priority="19549" stopIfTrue="1" operator="equal">
      <formula>"Pass"</formula>
    </cfRule>
    <cfRule type="cellIs" dxfId="19710" priority="19550" stopIfTrue="1" operator="equal">
      <formula>"Fail"</formula>
    </cfRule>
  </conditionalFormatting>
  <conditionalFormatting sqref="A901:A903">
    <cfRule type="cellIs" dxfId="19709" priority="19547" stopIfTrue="1" operator="equal">
      <formula>"Pass"</formula>
    </cfRule>
    <cfRule type="cellIs" dxfId="19708" priority="19548" stopIfTrue="1" operator="equal">
      <formula>"Fail"</formula>
    </cfRule>
  </conditionalFormatting>
  <conditionalFormatting sqref="A901:A903">
    <cfRule type="cellIs" dxfId="19707" priority="19545" stopIfTrue="1" operator="equal">
      <formula>"Pass"</formula>
    </cfRule>
    <cfRule type="cellIs" dxfId="19706" priority="19546" stopIfTrue="1" operator="equal">
      <formula>"Fail"</formula>
    </cfRule>
  </conditionalFormatting>
  <conditionalFormatting sqref="A901:A903">
    <cfRule type="cellIs" dxfId="19705" priority="19543" stopIfTrue="1" operator="equal">
      <formula>"Pass"</formula>
    </cfRule>
    <cfRule type="cellIs" dxfId="19704" priority="19544" stopIfTrue="1" operator="equal">
      <formula>"Fail"</formula>
    </cfRule>
  </conditionalFormatting>
  <conditionalFormatting sqref="A903">
    <cfRule type="cellIs" dxfId="19703" priority="19541" stopIfTrue="1" operator="equal">
      <formula>"Pass"</formula>
    </cfRule>
    <cfRule type="cellIs" dxfId="19702" priority="19542" stopIfTrue="1" operator="equal">
      <formula>"Fail"</formula>
    </cfRule>
  </conditionalFormatting>
  <conditionalFormatting sqref="A901:A903">
    <cfRule type="cellIs" dxfId="19701" priority="19539" stopIfTrue="1" operator="equal">
      <formula>"Pass"</formula>
    </cfRule>
    <cfRule type="cellIs" dxfId="19700" priority="19540" stopIfTrue="1" operator="equal">
      <formula>"Fail"</formula>
    </cfRule>
  </conditionalFormatting>
  <conditionalFormatting sqref="A904:A906">
    <cfRule type="cellIs" dxfId="19699" priority="19537" stopIfTrue="1" operator="equal">
      <formula>"Pass"</formula>
    </cfRule>
    <cfRule type="cellIs" dxfId="19698" priority="19538" stopIfTrue="1" operator="equal">
      <formula>"Fail"</formula>
    </cfRule>
  </conditionalFormatting>
  <conditionalFormatting sqref="A904:A906">
    <cfRule type="cellIs" dxfId="19697" priority="19535" stopIfTrue="1" operator="equal">
      <formula>"Pass"</formula>
    </cfRule>
    <cfRule type="cellIs" dxfId="19696" priority="19536" stopIfTrue="1" operator="equal">
      <formula>"Fail"</formula>
    </cfRule>
  </conditionalFormatting>
  <conditionalFormatting sqref="A904:A906">
    <cfRule type="cellIs" dxfId="19695" priority="19533" stopIfTrue="1" operator="equal">
      <formula>"Pass"</formula>
    </cfRule>
    <cfRule type="cellIs" dxfId="19694" priority="19534" stopIfTrue="1" operator="equal">
      <formula>"Fail"</formula>
    </cfRule>
  </conditionalFormatting>
  <conditionalFormatting sqref="A904:A906">
    <cfRule type="cellIs" dxfId="19693" priority="19531" stopIfTrue="1" operator="equal">
      <formula>"Pass"</formula>
    </cfRule>
    <cfRule type="cellIs" dxfId="19692" priority="19532" stopIfTrue="1" operator="equal">
      <formula>"Fail"</formula>
    </cfRule>
  </conditionalFormatting>
  <conditionalFormatting sqref="A904:A906">
    <cfRule type="cellIs" dxfId="19691" priority="19529" stopIfTrue="1" operator="equal">
      <formula>"Pass"</formula>
    </cfRule>
    <cfRule type="cellIs" dxfId="19690" priority="19530" stopIfTrue="1" operator="equal">
      <formula>"Fail"</formula>
    </cfRule>
  </conditionalFormatting>
  <conditionalFormatting sqref="A906">
    <cfRule type="cellIs" dxfId="19689" priority="19527" stopIfTrue="1" operator="equal">
      <formula>"Pass"</formula>
    </cfRule>
    <cfRule type="cellIs" dxfId="19688" priority="19528" stopIfTrue="1" operator="equal">
      <formula>"Fail"</formula>
    </cfRule>
  </conditionalFormatting>
  <conditionalFormatting sqref="A904:A906">
    <cfRule type="cellIs" dxfId="19687" priority="19525" stopIfTrue="1" operator="equal">
      <formula>"Pass"</formula>
    </cfRule>
    <cfRule type="cellIs" dxfId="19686" priority="19526" stopIfTrue="1" operator="equal">
      <formula>"Fail"</formula>
    </cfRule>
  </conditionalFormatting>
  <conditionalFormatting sqref="A904:A906">
    <cfRule type="cellIs" dxfId="19685" priority="19523" stopIfTrue="1" operator="equal">
      <formula>"Pass"</formula>
    </cfRule>
    <cfRule type="cellIs" dxfId="19684" priority="19524" stopIfTrue="1" operator="equal">
      <formula>"Fail"</formula>
    </cfRule>
  </conditionalFormatting>
  <conditionalFormatting sqref="A904:A906">
    <cfRule type="cellIs" dxfId="19683" priority="19521" stopIfTrue="1" operator="equal">
      <formula>"Pass"</formula>
    </cfRule>
    <cfRule type="cellIs" dxfId="19682" priority="19522" stopIfTrue="1" operator="equal">
      <formula>"Fail"</formula>
    </cfRule>
  </conditionalFormatting>
  <conditionalFormatting sqref="A904:A906">
    <cfRule type="cellIs" dxfId="19681" priority="19519" stopIfTrue="1" operator="equal">
      <formula>"Pass"</formula>
    </cfRule>
    <cfRule type="cellIs" dxfId="19680" priority="19520" stopIfTrue="1" operator="equal">
      <formula>"Fail"</formula>
    </cfRule>
  </conditionalFormatting>
  <conditionalFormatting sqref="A904:A906">
    <cfRule type="cellIs" dxfId="19679" priority="19517" stopIfTrue="1" operator="equal">
      <formula>"Pass"</formula>
    </cfRule>
    <cfRule type="cellIs" dxfId="19678" priority="19518" stopIfTrue="1" operator="equal">
      <formula>"Fail"</formula>
    </cfRule>
  </conditionalFormatting>
  <conditionalFormatting sqref="A904:A906">
    <cfRule type="cellIs" dxfId="19677" priority="19515" stopIfTrue="1" operator="equal">
      <formula>"Pass"</formula>
    </cfRule>
    <cfRule type="cellIs" dxfId="19676" priority="19516" stopIfTrue="1" operator="equal">
      <formula>"Fail"</formula>
    </cfRule>
  </conditionalFormatting>
  <conditionalFormatting sqref="A906">
    <cfRule type="cellIs" dxfId="19675" priority="19513" stopIfTrue="1" operator="equal">
      <formula>"Pass"</formula>
    </cfRule>
    <cfRule type="cellIs" dxfId="19674" priority="19514" stopIfTrue="1" operator="equal">
      <formula>"Fail"</formula>
    </cfRule>
  </conditionalFormatting>
  <conditionalFormatting sqref="A904:A906">
    <cfRule type="cellIs" dxfId="19673" priority="19511" stopIfTrue="1" operator="equal">
      <formula>"Pass"</formula>
    </cfRule>
    <cfRule type="cellIs" dxfId="19672" priority="19512" stopIfTrue="1" operator="equal">
      <formula>"Fail"</formula>
    </cfRule>
  </conditionalFormatting>
  <conditionalFormatting sqref="A904:A906">
    <cfRule type="cellIs" dxfId="19671" priority="19509" stopIfTrue="1" operator="equal">
      <formula>"Pass"</formula>
    </cfRule>
    <cfRule type="cellIs" dxfId="19670" priority="19510" stopIfTrue="1" operator="equal">
      <formula>"Fail"</formula>
    </cfRule>
  </conditionalFormatting>
  <conditionalFormatting sqref="A904:A906">
    <cfRule type="cellIs" dxfId="19669" priority="19507" stopIfTrue="1" operator="equal">
      <formula>"Pass"</formula>
    </cfRule>
    <cfRule type="cellIs" dxfId="19668" priority="19508" stopIfTrue="1" operator="equal">
      <formula>"Fail"</formula>
    </cfRule>
  </conditionalFormatting>
  <conditionalFormatting sqref="A904:A906">
    <cfRule type="cellIs" dxfId="19667" priority="19505" stopIfTrue="1" operator="equal">
      <formula>"Pass"</formula>
    </cfRule>
    <cfRule type="cellIs" dxfId="19666" priority="19506" stopIfTrue="1" operator="equal">
      <formula>"Fail"</formula>
    </cfRule>
  </conditionalFormatting>
  <conditionalFormatting sqref="A904:A906">
    <cfRule type="cellIs" dxfId="19665" priority="19503" stopIfTrue="1" operator="equal">
      <formula>"Pass"</formula>
    </cfRule>
    <cfRule type="cellIs" dxfId="19664" priority="19504" stopIfTrue="1" operator="equal">
      <formula>"Fail"</formula>
    </cfRule>
  </conditionalFormatting>
  <conditionalFormatting sqref="A904:A906">
    <cfRule type="cellIs" dxfId="19663" priority="19501" stopIfTrue="1" operator="equal">
      <formula>"Pass"</formula>
    </cfRule>
    <cfRule type="cellIs" dxfId="19662" priority="19502" stopIfTrue="1" operator="equal">
      <formula>"Fail"</formula>
    </cfRule>
  </conditionalFormatting>
  <conditionalFormatting sqref="A906">
    <cfRule type="cellIs" dxfId="19661" priority="19499" stopIfTrue="1" operator="equal">
      <formula>"Pass"</formula>
    </cfRule>
    <cfRule type="cellIs" dxfId="19660" priority="19500" stopIfTrue="1" operator="equal">
      <formula>"Fail"</formula>
    </cfRule>
  </conditionalFormatting>
  <conditionalFormatting sqref="A904:A906">
    <cfRule type="cellIs" dxfId="19659" priority="19497" stopIfTrue="1" operator="equal">
      <formula>"Pass"</formula>
    </cfRule>
    <cfRule type="cellIs" dxfId="19658" priority="19498" stopIfTrue="1" operator="equal">
      <formula>"Fail"</formula>
    </cfRule>
  </conditionalFormatting>
  <conditionalFormatting sqref="H904:H905">
    <cfRule type="cellIs" dxfId="19657" priority="19495" stopIfTrue="1" operator="equal">
      <formula>"Pass"</formula>
    </cfRule>
    <cfRule type="cellIs" dxfId="19656" priority="19496" stopIfTrue="1" operator="equal">
      <formula>"Fail"</formula>
    </cfRule>
  </conditionalFormatting>
  <conditionalFormatting sqref="F904 I904:M905 F906">
    <cfRule type="cellIs" dxfId="19655" priority="19493" stopIfTrue="1" operator="equal">
      <formula>"Pass"</formula>
    </cfRule>
    <cfRule type="cellIs" dxfId="19654" priority="19494" stopIfTrue="1" operator="equal">
      <formula>"Fail"</formula>
    </cfRule>
  </conditionalFormatting>
  <conditionalFormatting sqref="T906 T904 R904:R906 S905:S906">
    <cfRule type="cellIs" dxfId="19653" priority="19491" stopIfTrue="1" operator="equal">
      <formula>"Fail"</formula>
    </cfRule>
    <cfRule type="cellIs" dxfId="19652" priority="19492" stopIfTrue="1" operator="equal">
      <formula>"Pass"</formula>
    </cfRule>
  </conditionalFormatting>
  <conditionalFormatting sqref="F904:G904 F906:G906 J904:N905">
    <cfRule type="cellIs" dxfId="19651" priority="19489" stopIfTrue="1" operator="equal">
      <formula>"Pass"</formula>
    </cfRule>
    <cfRule type="cellIs" dxfId="19650" priority="19490" stopIfTrue="1" operator="equal">
      <formula>"Fail"</formula>
    </cfRule>
  </conditionalFormatting>
  <conditionalFormatting sqref="U906 T904:T906 S905:S906">
    <cfRule type="cellIs" dxfId="19649" priority="19487" stopIfTrue="1" operator="equal">
      <formula>"Fail"</formula>
    </cfRule>
    <cfRule type="cellIs" dxfId="19648" priority="19488" stopIfTrue="1" operator="equal">
      <formula>"Pass"</formula>
    </cfRule>
  </conditionalFormatting>
  <conditionalFormatting sqref="U904">
    <cfRule type="cellIs" dxfId="19647" priority="19485" stopIfTrue="1" operator="equal">
      <formula>"Fail"</formula>
    </cfRule>
    <cfRule type="cellIs" dxfId="19646" priority="19486" stopIfTrue="1" operator="equal">
      <formula>"Pass"</formula>
    </cfRule>
  </conditionalFormatting>
  <conditionalFormatting sqref="F904:G904 J904:N904">
    <cfRule type="cellIs" dxfId="19645" priority="19483" stopIfTrue="1" operator="equal">
      <formula>"Pass"</formula>
    </cfRule>
    <cfRule type="cellIs" dxfId="19644" priority="19484" stopIfTrue="1" operator="equal">
      <formula>"Fail"</formula>
    </cfRule>
  </conditionalFormatting>
  <conditionalFormatting sqref="J905:N905">
    <cfRule type="cellIs" dxfId="19643" priority="19481" stopIfTrue="1" operator="equal">
      <formula>"Pass"</formula>
    </cfRule>
    <cfRule type="cellIs" dxfId="19642" priority="19482" stopIfTrue="1" operator="equal">
      <formula>"Fail"</formula>
    </cfRule>
  </conditionalFormatting>
  <conditionalFormatting sqref="H904:H905">
    <cfRule type="cellIs" dxfId="19641" priority="19479" stopIfTrue="1" operator="equal">
      <formula>"Pass"</formula>
    </cfRule>
    <cfRule type="cellIs" dxfId="19640" priority="19480" stopIfTrue="1" operator="equal">
      <formula>"Fail"</formula>
    </cfRule>
  </conditionalFormatting>
  <conditionalFormatting sqref="F904 I904:M905 F906">
    <cfRule type="cellIs" dxfId="19639" priority="19477" stopIfTrue="1" operator="equal">
      <formula>"Pass"</formula>
    </cfRule>
    <cfRule type="cellIs" dxfId="19638" priority="19478" stopIfTrue="1" operator="equal">
      <formula>"Fail"</formula>
    </cfRule>
  </conditionalFormatting>
  <conditionalFormatting sqref="T906 T904 R904:R906 S905:S906">
    <cfRule type="cellIs" dxfId="19637" priority="19475" stopIfTrue="1" operator="equal">
      <formula>"Fail"</formula>
    </cfRule>
    <cfRule type="cellIs" dxfId="19636" priority="19476" stopIfTrue="1" operator="equal">
      <formula>"Pass"</formula>
    </cfRule>
  </conditionalFormatting>
  <conditionalFormatting sqref="F904:G904 F906:G906 J904:N905">
    <cfRule type="cellIs" dxfId="19635" priority="19473" stopIfTrue="1" operator="equal">
      <formula>"Pass"</formula>
    </cfRule>
    <cfRule type="cellIs" dxfId="19634" priority="19474" stopIfTrue="1" operator="equal">
      <formula>"Fail"</formula>
    </cfRule>
  </conditionalFormatting>
  <conditionalFormatting sqref="U906 T904:T906 S905:S906">
    <cfRule type="cellIs" dxfId="19633" priority="19471" stopIfTrue="1" operator="equal">
      <formula>"Fail"</formula>
    </cfRule>
    <cfRule type="cellIs" dxfId="19632" priority="19472" stopIfTrue="1" operator="equal">
      <formula>"Pass"</formula>
    </cfRule>
  </conditionalFormatting>
  <conditionalFormatting sqref="U904">
    <cfRule type="cellIs" dxfId="19631" priority="19469" stopIfTrue="1" operator="equal">
      <formula>"Fail"</formula>
    </cfRule>
    <cfRule type="cellIs" dxfId="19630" priority="19470" stopIfTrue="1" operator="equal">
      <formula>"Pass"</formula>
    </cfRule>
  </conditionalFormatting>
  <conditionalFormatting sqref="F904:G904 J904:N904">
    <cfRule type="cellIs" dxfId="19629" priority="19467" stopIfTrue="1" operator="equal">
      <formula>"Pass"</formula>
    </cfRule>
    <cfRule type="cellIs" dxfId="19628" priority="19468" stopIfTrue="1" operator="equal">
      <formula>"Fail"</formula>
    </cfRule>
  </conditionalFormatting>
  <conditionalFormatting sqref="J905:N905">
    <cfRule type="cellIs" dxfId="19627" priority="19465" stopIfTrue="1" operator="equal">
      <formula>"Pass"</formula>
    </cfRule>
    <cfRule type="cellIs" dxfId="19626" priority="19466" stopIfTrue="1" operator="equal">
      <formula>"Fail"</formula>
    </cfRule>
  </conditionalFormatting>
  <conditionalFormatting sqref="H904:H905">
    <cfRule type="cellIs" dxfId="19625" priority="19463" stopIfTrue="1" operator="equal">
      <formula>"Pass"</formula>
    </cfRule>
    <cfRule type="cellIs" dxfId="19624" priority="19464" stopIfTrue="1" operator="equal">
      <formula>"Fail"</formula>
    </cfRule>
  </conditionalFormatting>
  <conditionalFormatting sqref="F904 I904:M905 F906">
    <cfRule type="cellIs" dxfId="19623" priority="19461" stopIfTrue="1" operator="equal">
      <formula>"Pass"</formula>
    </cfRule>
    <cfRule type="cellIs" dxfId="19622" priority="19462" stopIfTrue="1" operator="equal">
      <formula>"Fail"</formula>
    </cfRule>
  </conditionalFormatting>
  <conditionalFormatting sqref="T906 T904 R904:R906 S905:S906">
    <cfRule type="cellIs" dxfId="19621" priority="19459" stopIfTrue="1" operator="equal">
      <formula>"Fail"</formula>
    </cfRule>
    <cfRule type="cellIs" dxfId="19620" priority="19460" stopIfTrue="1" operator="equal">
      <formula>"Pass"</formula>
    </cfRule>
  </conditionalFormatting>
  <conditionalFormatting sqref="F904:G904 F906:G906 J904:N905">
    <cfRule type="cellIs" dxfId="19619" priority="19457" stopIfTrue="1" operator="equal">
      <formula>"Pass"</formula>
    </cfRule>
    <cfRule type="cellIs" dxfId="19618" priority="19458" stopIfTrue="1" operator="equal">
      <formula>"Fail"</formula>
    </cfRule>
  </conditionalFormatting>
  <conditionalFormatting sqref="U906 T904:T906 S905:S906">
    <cfRule type="cellIs" dxfId="19617" priority="19455" stopIfTrue="1" operator="equal">
      <formula>"Fail"</formula>
    </cfRule>
    <cfRule type="cellIs" dxfId="19616" priority="19456" stopIfTrue="1" operator="equal">
      <formula>"Pass"</formula>
    </cfRule>
  </conditionalFormatting>
  <conditionalFormatting sqref="U904">
    <cfRule type="cellIs" dxfId="19615" priority="19453" stopIfTrue="1" operator="equal">
      <formula>"Fail"</formula>
    </cfRule>
    <cfRule type="cellIs" dxfId="19614" priority="19454" stopIfTrue="1" operator="equal">
      <formula>"Pass"</formula>
    </cfRule>
  </conditionalFormatting>
  <conditionalFormatting sqref="F904:G904 J904:N904">
    <cfRule type="cellIs" dxfId="19613" priority="19451" stopIfTrue="1" operator="equal">
      <formula>"Pass"</formula>
    </cfRule>
    <cfRule type="cellIs" dxfId="19612" priority="19452" stopIfTrue="1" operator="equal">
      <formula>"Fail"</formula>
    </cfRule>
  </conditionalFormatting>
  <conditionalFormatting sqref="J905:N905">
    <cfRule type="cellIs" dxfId="19611" priority="19449" stopIfTrue="1" operator="equal">
      <formula>"Pass"</formula>
    </cfRule>
    <cfRule type="cellIs" dxfId="19610" priority="19450" stopIfTrue="1" operator="equal">
      <formula>"Fail"</formula>
    </cfRule>
  </conditionalFormatting>
  <conditionalFormatting sqref="U904">
    <cfRule type="cellIs" dxfId="19609" priority="19447" stopIfTrue="1" operator="equal">
      <formula>"Fail"</formula>
    </cfRule>
    <cfRule type="cellIs" dxfId="19608" priority="19448" stopIfTrue="1" operator="equal">
      <formula>"Pass"</formula>
    </cfRule>
  </conditionalFormatting>
  <conditionalFormatting sqref="U904">
    <cfRule type="cellIs" dxfId="19607" priority="19445" stopIfTrue="1" operator="equal">
      <formula>"Fail"</formula>
    </cfRule>
    <cfRule type="cellIs" dxfId="19606" priority="19446" stopIfTrue="1" operator="equal">
      <formula>"Pass"</formula>
    </cfRule>
  </conditionalFormatting>
  <conditionalFormatting sqref="U904">
    <cfRule type="cellIs" dxfId="19605" priority="19443" stopIfTrue="1" operator="equal">
      <formula>"Fail"</formula>
    </cfRule>
    <cfRule type="cellIs" dxfId="19604" priority="19444" stopIfTrue="1" operator="equal">
      <formula>"Pass"</formula>
    </cfRule>
  </conditionalFormatting>
  <conditionalFormatting sqref="N904">
    <cfRule type="cellIs" dxfId="19603" priority="19441" stopIfTrue="1" operator="equal">
      <formula>"Pass"</formula>
    </cfRule>
    <cfRule type="cellIs" dxfId="19602" priority="19442" stopIfTrue="1" operator="equal">
      <formula>"Fail"</formula>
    </cfRule>
  </conditionalFormatting>
  <conditionalFormatting sqref="N904">
    <cfRule type="cellIs" dxfId="19601" priority="19439" stopIfTrue="1" operator="equal">
      <formula>"Pass"</formula>
    </cfRule>
    <cfRule type="cellIs" dxfId="19600" priority="19440" stopIfTrue="1" operator="equal">
      <formula>"Fail"</formula>
    </cfRule>
  </conditionalFormatting>
  <conditionalFormatting sqref="N904">
    <cfRule type="cellIs" dxfId="19599" priority="19437" stopIfTrue="1" operator="equal">
      <formula>"Pass"</formula>
    </cfRule>
    <cfRule type="cellIs" dxfId="19598" priority="19438" stopIfTrue="1" operator="equal">
      <formula>"Fail"</formula>
    </cfRule>
  </conditionalFormatting>
  <conditionalFormatting sqref="H907:H908">
    <cfRule type="cellIs" dxfId="19597" priority="19435" stopIfTrue="1" operator="equal">
      <formula>"Pass"</formula>
    </cfRule>
    <cfRule type="cellIs" dxfId="19596" priority="19436" stopIfTrue="1" operator="equal">
      <formula>"Fail"</formula>
    </cfRule>
  </conditionalFormatting>
  <conditionalFormatting sqref="E907:F907 E909:F909 I907:M908 A907:A909">
    <cfRule type="cellIs" dxfId="19595" priority="19433" stopIfTrue="1" operator="equal">
      <formula>"Pass"</formula>
    </cfRule>
    <cfRule type="cellIs" dxfId="19594" priority="19434" stopIfTrue="1" operator="equal">
      <formula>"Fail"</formula>
    </cfRule>
  </conditionalFormatting>
  <conditionalFormatting sqref="T909 T907 R907:R909 S908:S909">
    <cfRule type="cellIs" dxfId="19593" priority="19431" stopIfTrue="1" operator="equal">
      <formula>"Fail"</formula>
    </cfRule>
    <cfRule type="cellIs" dxfId="19592" priority="19432" stopIfTrue="1" operator="equal">
      <formula>"Pass"</formula>
    </cfRule>
  </conditionalFormatting>
  <conditionalFormatting sqref="F907:G907 F909:G909 A907:B909 J907:N908">
    <cfRule type="cellIs" dxfId="19591" priority="19429" stopIfTrue="1" operator="equal">
      <formula>"Pass"</formula>
    </cfRule>
    <cfRule type="cellIs" dxfId="19590" priority="19430" stopIfTrue="1" operator="equal">
      <formula>"Fail"</formula>
    </cfRule>
  </conditionalFormatting>
  <conditionalFormatting sqref="U909 U907 T907:T909 S908:S909">
    <cfRule type="cellIs" dxfId="19589" priority="19427" stopIfTrue="1" operator="equal">
      <formula>"Fail"</formula>
    </cfRule>
    <cfRule type="cellIs" dxfId="19588" priority="19428" stopIfTrue="1" operator="equal">
      <formula>"Pass"</formula>
    </cfRule>
  </conditionalFormatting>
  <conditionalFormatting sqref="A907:A909">
    <cfRule type="cellIs" dxfId="19587" priority="19425" stopIfTrue="1" operator="equal">
      <formula>"Pass"</formula>
    </cfRule>
    <cfRule type="cellIs" dxfId="19586" priority="19426" stopIfTrue="1" operator="equal">
      <formula>"Fail"</formula>
    </cfRule>
  </conditionalFormatting>
  <conditionalFormatting sqref="A907:A909">
    <cfRule type="cellIs" dxfId="19585" priority="19423" stopIfTrue="1" operator="equal">
      <formula>"Pass"</formula>
    </cfRule>
    <cfRule type="cellIs" dxfId="19584" priority="19424" stopIfTrue="1" operator="equal">
      <formula>"Fail"</formula>
    </cfRule>
  </conditionalFormatting>
  <conditionalFormatting sqref="A907:A909">
    <cfRule type="cellIs" dxfId="19583" priority="19421" stopIfTrue="1" operator="equal">
      <formula>"Pass"</formula>
    </cfRule>
    <cfRule type="cellIs" dxfId="19582" priority="19422" stopIfTrue="1" operator="equal">
      <formula>"Fail"</formula>
    </cfRule>
  </conditionalFormatting>
  <conditionalFormatting sqref="J907:N908 E907:G909">
    <cfRule type="cellIs" dxfId="19581" priority="19419" stopIfTrue="1" operator="equal">
      <formula>"Pass"</formula>
    </cfRule>
    <cfRule type="cellIs" dxfId="19580" priority="19420" stopIfTrue="1" operator="equal">
      <formula>"Fail"</formula>
    </cfRule>
  </conditionalFormatting>
  <conditionalFormatting sqref="A909 C909 K907:O908 F907:H909">
    <cfRule type="cellIs" dxfId="19579" priority="19417" stopIfTrue="1" operator="equal">
      <formula>"Pass"</formula>
    </cfRule>
    <cfRule type="cellIs" dxfId="19578" priority="19418" stopIfTrue="1" operator="equal">
      <formula>"Fail"</formula>
    </cfRule>
  </conditionalFormatting>
  <conditionalFormatting sqref="T907">
    <cfRule type="cellIs" dxfId="19577" priority="19415" stopIfTrue="1" operator="equal">
      <formula>"Fail"</formula>
    </cfRule>
    <cfRule type="cellIs" dxfId="19576" priority="19416" stopIfTrue="1" operator="equal">
      <formula>"Pass"</formula>
    </cfRule>
  </conditionalFormatting>
  <conditionalFormatting sqref="A907:A909">
    <cfRule type="cellIs" dxfId="19575" priority="19413" stopIfTrue="1" operator="equal">
      <formula>"Pass"</formula>
    </cfRule>
    <cfRule type="cellIs" dxfId="19574" priority="19414" stopIfTrue="1" operator="equal">
      <formula>"Fail"</formula>
    </cfRule>
  </conditionalFormatting>
  <conditionalFormatting sqref="A907:A909">
    <cfRule type="cellIs" dxfId="19573" priority="19411" stopIfTrue="1" operator="equal">
      <formula>"Pass"</formula>
    </cfRule>
    <cfRule type="cellIs" dxfId="19572" priority="19412" stopIfTrue="1" operator="equal">
      <formula>"Fail"</formula>
    </cfRule>
  </conditionalFormatting>
  <conditionalFormatting sqref="A907:A909">
    <cfRule type="cellIs" dxfId="19571" priority="19409" stopIfTrue="1" operator="equal">
      <formula>"Pass"</formula>
    </cfRule>
    <cfRule type="cellIs" dxfId="19570" priority="19410" stopIfTrue="1" operator="equal">
      <formula>"Fail"</formula>
    </cfRule>
  </conditionalFormatting>
  <conditionalFormatting sqref="A907:A909">
    <cfRule type="cellIs" dxfId="19569" priority="19407" stopIfTrue="1" operator="equal">
      <formula>"Pass"</formula>
    </cfRule>
    <cfRule type="cellIs" dxfId="19568" priority="19408" stopIfTrue="1" operator="equal">
      <formula>"Fail"</formula>
    </cfRule>
  </conditionalFormatting>
  <conditionalFormatting sqref="A907:A909">
    <cfRule type="cellIs" dxfId="19567" priority="19405" stopIfTrue="1" operator="equal">
      <formula>"Pass"</formula>
    </cfRule>
    <cfRule type="cellIs" dxfId="19566" priority="19406" stopIfTrue="1" operator="equal">
      <formula>"Fail"</formula>
    </cfRule>
  </conditionalFormatting>
  <conditionalFormatting sqref="A907:A909">
    <cfRule type="cellIs" dxfId="19565" priority="19403" stopIfTrue="1" operator="equal">
      <formula>"Pass"</formula>
    </cfRule>
    <cfRule type="cellIs" dxfId="19564" priority="19404" stopIfTrue="1" operator="equal">
      <formula>"Fail"</formula>
    </cfRule>
  </conditionalFormatting>
  <conditionalFormatting sqref="A909">
    <cfRule type="cellIs" dxfId="19563" priority="19401" stopIfTrue="1" operator="equal">
      <formula>"Pass"</formula>
    </cfRule>
    <cfRule type="cellIs" dxfId="19562" priority="19402" stopIfTrue="1" operator="equal">
      <formula>"Fail"</formula>
    </cfRule>
  </conditionalFormatting>
  <conditionalFormatting sqref="A907:A909">
    <cfRule type="cellIs" dxfId="19561" priority="19399" stopIfTrue="1" operator="equal">
      <formula>"Pass"</formula>
    </cfRule>
    <cfRule type="cellIs" dxfId="19560" priority="19400" stopIfTrue="1" operator="equal">
      <formula>"Fail"</formula>
    </cfRule>
  </conditionalFormatting>
  <conditionalFormatting sqref="A907:A909">
    <cfRule type="cellIs" dxfId="19559" priority="19397" stopIfTrue="1" operator="equal">
      <formula>"Pass"</formula>
    </cfRule>
    <cfRule type="cellIs" dxfId="19558" priority="19398" stopIfTrue="1" operator="equal">
      <formula>"Fail"</formula>
    </cfRule>
  </conditionalFormatting>
  <conditionalFormatting sqref="A907:A909">
    <cfRule type="cellIs" dxfId="19557" priority="19395" stopIfTrue="1" operator="equal">
      <formula>"Pass"</formula>
    </cfRule>
    <cfRule type="cellIs" dxfId="19556" priority="19396" stopIfTrue="1" operator="equal">
      <formula>"Fail"</formula>
    </cfRule>
  </conditionalFormatting>
  <conditionalFormatting sqref="A907:A909">
    <cfRule type="cellIs" dxfId="19555" priority="19393" stopIfTrue="1" operator="equal">
      <formula>"Pass"</formula>
    </cfRule>
    <cfRule type="cellIs" dxfId="19554" priority="19394" stopIfTrue="1" operator="equal">
      <formula>"Fail"</formula>
    </cfRule>
  </conditionalFormatting>
  <conditionalFormatting sqref="A907:A909">
    <cfRule type="cellIs" dxfId="19553" priority="19391" stopIfTrue="1" operator="equal">
      <formula>"Pass"</formula>
    </cfRule>
    <cfRule type="cellIs" dxfId="19552" priority="19392" stopIfTrue="1" operator="equal">
      <formula>"Fail"</formula>
    </cfRule>
  </conditionalFormatting>
  <conditionalFormatting sqref="A907:A909">
    <cfRule type="cellIs" dxfId="19551" priority="19389" stopIfTrue="1" operator="equal">
      <formula>"Pass"</formula>
    </cfRule>
    <cfRule type="cellIs" dxfId="19550" priority="19390" stopIfTrue="1" operator="equal">
      <formula>"Fail"</formula>
    </cfRule>
  </conditionalFormatting>
  <conditionalFormatting sqref="A909">
    <cfRule type="cellIs" dxfId="19549" priority="19387" stopIfTrue="1" operator="equal">
      <formula>"Pass"</formula>
    </cfRule>
    <cfRule type="cellIs" dxfId="19548" priority="19388" stopIfTrue="1" operator="equal">
      <formula>"Fail"</formula>
    </cfRule>
  </conditionalFormatting>
  <conditionalFormatting sqref="A907:A909">
    <cfRule type="cellIs" dxfId="19547" priority="19385" stopIfTrue="1" operator="equal">
      <formula>"Pass"</formula>
    </cfRule>
    <cfRule type="cellIs" dxfId="19546" priority="19386" stopIfTrue="1" operator="equal">
      <formula>"Fail"</formula>
    </cfRule>
  </conditionalFormatting>
  <conditionalFormatting sqref="H907:H908">
    <cfRule type="cellIs" dxfId="19545" priority="19383" stopIfTrue="1" operator="equal">
      <formula>"Pass"</formula>
    </cfRule>
    <cfRule type="cellIs" dxfId="19544" priority="19384" stopIfTrue="1" operator="equal">
      <formula>"Fail"</formula>
    </cfRule>
  </conditionalFormatting>
  <conditionalFormatting sqref="F907 F909 I907:M908">
    <cfRule type="cellIs" dxfId="19543" priority="19381" stopIfTrue="1" operator="equal">
      <formula>"Pass"</formula>
    </cfRule>
    <cfRule type="cellIs" dxfId="19542" priority="19382" stopIfTrue="1" operator="equal">
      <formula>"Fail"</formula>
    </cfRule>
  </conditionalFormatting>
  <conditionalFormatting sqref="T909 T907 R907:R909 S908:S909">
    <cfRule type="cellIs" dxfId="19541" priority="19379" stopIfTrue="1" operator="equal">
      <formula>"Fail"</formula>
    </cfRule>
    <cfRule type="cellIs" dxfId="19540" priority="19380" stopIfTrue="1" operator="equal">
      <formula>"Pass"</formula>
    </cfRule>
  </conditionalFormatting>
  <conditionalFormatting sqref="F907:G907 F909:G909 J907:N908">
    <cfRule type="cellIs" dxfId="19539" priority="19377" stopIfTrue="1" operator="equal">
      <formula>"Pass"</formula>
    </cfRule>
    <cfRule type="cellIs" dxfId="19538" priority="19378" stopIfTrue="1" operator="equal">
      <formula>"Fail"</formula>
    </cfRule>
  </conditionalFormatting>
  <conditionalFormatting sqref="U909 U907 T907:T909 S908:S909">
    <cfRule type="cellIs" dxfId="19537" priority="19375" stopIfTrue="1" operator="equal">
      <formula>"Fail"</formula>
    </cfRule>
    <cfRule type="cellIs" dxfId="19536" priority="19376" stopIfTrue="1" operator="equal">
      <formula>"Pass"</formula>
    </cfRule>
  </conditionalFormatting>
  <conditionalFormatting sqref="J907:N908 F907:G909">
    <cfRule type="cellIs" dxfId="19535" priority="19373" stopIfTrue="1" operator="equal">
      <formula>"Pass"</formula>
    </cfRule>
    <cfRule type="cellIs" dxfId="19534" priority="19374" stopIfTrue="1" operator="equal">
      <formula>"Fail"</formula>
    </cfRule>
  </conditionalFormatting>
  <conditionalFormatting sqref="K907:O908 F907:H909">
    <cfRule type="cellIs" dxfId="19533" priority="19371" stopIfTrue="1" operator="equal">
      <formula>"Pass"</formula>
    </cfRule>
    <cfRule type="cellIs" dxfId="19532" priority="19372" stopIfTrue="1" operator="equal">
      <formula>"Fail"</formula>
    </cfRule>
  </conditionalFormatting>
  <conditionalFormatting sqref="T907">
    <cfRule type="cellIs" dxfId="19531" priority="19369" stopIfTrue="1" operator="equal">
      <formula>"Fail"</formula>
    </cfRule>
    <cfRule type="cellIs" dxfId="19530" priority="19370" stopIfTrue="1" operator="equal">
      <formula>"Pass"</formula>
    </cfRule>
  </conditionalFormatting>
  <conditionalFormatting sqref="K907:O908 F907:H909">
    <cfRule type="cellIs" dxfId="19529" priority="19367" stopIfTrue="1" operator="equal">
      <formula>"Pass"</formula>
    </cfRule>
    <cfRule type="cellIs" dxfId="19528" priority="19368" stopIfTrue="1" operator="equal">
      <formula>"Fail"</formula>
    </cfRule>
  </conditionalFormatting>
  <conditionalFormatting sqref="T907">
    <cfRule type="cellIs" dxfId="19527" priority="19365" stopIfTrue="1" operator="equal">
      <formula>"Fail"</formula>
    </cfRule>
    <cfRule type="cellIs" dxfId="19526" priority="19366" stopIfTrue="1" operator="equal">
      <formula>"Pass"</formula>
    </cfRule>
  </conditionalFormatting>
  <conditionalFormatting sqref="H907:H908">
    <cfRule type="cellIs" dxfId="19525" priority="19363" stopIfTrue="1" operator="equal">
      <formula>"Pass"</formula>
    </cfRule>
    <cfRule type="cellIs" dxfId="19524" priority="19364" stopIfTrue="1" operator="equal">
      <formula>"Fail"</formula>
    </cfRule>
  </conditionalFormatting>
  <conditionalFormatting sqref="E907:F907 E909:F909 I907:M908 A907:A909">
    <cfRule type="cellIs" dxfId="19523" priority="19361" stopIfTrue="1" operator="equal">
      <formula>"Pass"</formula>
    </cfRule>
    <cfRule type="cellIs" dxfId="19522" priority="19362" stopIfTrue="1" operator="equal">
      <formula>"Fail"</formula>
    </cfRule>
  </conditionalFormatting>
  <conditionalFormatting sqref="T909 T907 R907:R909 S908:S909">
    <cfRule type="cellIs" dxfId="19521" priority="19359" stopIfTrue="1" operator="equal">
      <formula>"Fail"</formula>
    </cfRule>
    <cfRule type="cellIs" dxfId="19520" priority="19360" stopIfTrue="1" operator="equal">
      <formula>"Pass"</formula>
    </cfRule>
  </conditionalFormatting>
  <conditionalFormatting sqref="F907:G907 F909:G909 A907:B909 J907:N908">
    <cfRule type="cellIs" dxfId="19519" priority="19357" stopIfTrue="1" operator="equal">
      <formula>"Pass"</formula>
    </cfRule>
    <cfRule type="cellIs" dxfId="19518" priority="19358" stopIfTrue="1" operator="equal">
      <formula>"Fail"</formula>
    </cfRule>
  </conditionalFormatting>
  <conditionalFormatting sqref="U909 U907 T907:T909 S908:S909">
    <cfRule type="cellIs" dxfId="19517" priority="19355" stopIfTrue="1" operator="equal">
      <formula>"Fail"</formula>
    </cfRule>
    <cfRule type="cellIs" dxfId="19516" priority="19356" stopIfTrue="1" operator="equal">
      <formula>"Pass"</formula>
    </cfRule>
  </conditionalFormatting>
  <conditionalFormatting sqref="A907:A909">
    <cfRule type="cellIs" dxfId="19515" priority="19353" stopIfTrue="1" operator="equal">
      <formula>"Pass"</formula>
    </cfRule>
    <cfRule type="cellIs" dxfId="19514" priority="19354" stopIfTrue="1" operator="equal">
      <formula>"Fail"</formula>
    </cfRule>
  </conditionalFormatting>
  <conditionalFormatting sqref="A907:A909">
    <cfRule type="cellIs" dxfId="19513" priority="19351" stopIfTrue="1" operator="equal">
      <formula>"Pass"</formula>
    </cfRule>
    <cfRule type="cellIs" dxfId="19512" priority="19352" stopIfTrue="1" operator="equal">
      <formula>"Fail"</formula>
    </cfRule>
  </conditionalFormatting>
  <conditionalFormatting sqref="A907:A909">
    <cfRule type="cellIs" dxfId="19511" priority="19349" stopIfTrue="1" operator="equal">
      <formula>"Pass"</formula>
    </cfRule>
    <cfRule type="cellIs" dxfId="19510" priority="19350" stopIfTrue="1" operator="equal">
      <formula>"Fail"</formula>
    </cfRule>
  </conditionalFormatting>
  <conditionalFormatting sqref="J907:N908 E907:G909">
    <cfRule type="cellIs" dxfId="19509" priority="19347" stopIfTrue="1" operator="equal">
      <formula>"Pass"</formula>
    </cfRule>
    <cfRule type="cellIs" dxfId="19508" priority="19348" stopIfTrue="1" operator="equal">
      <formula>"Fail"</formula>
    </cfRule>
  </conditionalFormatting>
  <conditionalFormatting sqref="A909 C909 K907:O908 F907:H909">
    <cfRule type="cellIs" dxfId="19507" priority="19345" stopIfTrue="1" operator="equal">
      <formula>"Pass"</formula>
    </cfRule>
    <cfRule type="cellIs" dxfId="19506" priority="19346" stopIfTrue="1" operator="equal">
      <formula>"Fail"</formula>
    </cfRule>
  </conditionalFormatting>
  <conditionalFormatting sqref="T907">
    <cfRule type="cellIs" dxfId="19505" priority="19343" stopIfTrue="1" operator="equal">
      <formula>"Fail"</formula>
    </cfRule>
    <cfRule type="cellIs" dxfId="19504" priority="19344" stopIfTrue="1" operator="equal">
      <formula>"Pass"</formula>
    </cfRule>
  </conditionalFormatting>
  <conditionalFormatting sqref="A907:A909">
    <cfRule type="cellIs" dxfId="19503" priority="19341" stopIfTrue="1" operator="equal">
      <formula>"Pass"</formula>
    </cfRule>
    <cfRule type="cellIs" dxfId="19502" priority="19342" stopIfTrue="1" operator="equal">
      <formula>"Fail"</formula>
    </cfRule>
  </conditionalFormatting>
  <conditionalFormatting sqref="A907:A909">
    <cfRule type="cellIs" dxfId="19501" priority="19339" stopIfTrue="1" operator="equal">
      <formula>"Pass"</formula>
    </cfRule>
    <cfRule type="cellIs" dxfId="19500" priority="19340" stopIfTrue="1" operator="equal">
      <formula>"Fail"</formula>
    </cfRule>
  </conditionalFormatting>
  <conditionalFormatting sqref="A907:A909">
    <cfRule type="cellIs" dxfId="19499" priority="19337" stopIfTrue="1" operator="equal">
      <formula>"Pass"</formula>
    </cfRule>
    <cfRule type="cellIs" dxfId="19498" priority="19338" stopIfTrue="1" operator="equal">
      <formula>"Fail"</formula>
    </cfRule>
  </conditionalFormatting>
  <conditionalFormatting sqref="A907:A909">
    <cfRule type="cellIs" dxfId="19497" priority="19335" stopIfTrue="1" operator="equal">
      <formula>"Pass"</formula>
    </cfRule>
    <cfRule type="cellIs" dxfId="19496" priority="19336" stopIfTrue="1" operator="equal">
      <formula>"Fail"</formula>
    </cfRule>
  </conditionalFormatting>
  <conditionalFormatting sqref="A907:A909">
    <cfRule type="cellIs" dxfId="19495" priority="19333" stopIfTrue="1" operator="equal">
      <formula>"Pass"</formula>
    </cfRule>
    <cfRule type="cellIs" dxfId="19494" priority="19334" stopIfTrue="1" operator="equal">
      <formula>"Fail"</formula>
    </cfRule>
  </conditionalFormatting>
  <conditionalFormatting sqref="A907:A909">
    <cfRule type="cellIs" dxfId="19493" priority="19331" stopIfTrue="1" operator="equal">
      <formula>"Pass"</formula>
    </cfRule>
    <cfRule type="cellIs" dxfId="19492" priority="19332" stopIfTrue="1" operator="equal">
      <formula>"Fail"</formula>
    </cfRule>
  </conditionalFormatting>
  <conditionalFormatting sqref="A909">
    <cfRule type="cellIs" dxfId="19491" priority="19329" stopIfTrue="1" operator="equal">
      <formula>"Pass"</formula>
    </cfRule>
    <cfRule type="cellIs" dxfId="19490" priority="19330" stopIfTrue="1" operator="equal">
      <formula>"Fail"</formula>
    </cfRule>
  </conditionalFormatting>
  <conditionalFormatting sqref="A907:A909">
    <cfRule type="cellIs" dxfId="19489" priority="19327" stopIfTrue="1" operator="equal">
      <formula>"Pass"</formula>
    </cfRule>
    <cfRule type="cellIs" dxfId="19488" priority="19328" stopIfTrue="1" operator="equal">
      <formula>"Fail"</formula>
    </cfRule>
  </conditionalFormatting>
  <conditionalFormatting sqref="A907:A909">
    <cfRule type="cellIs" dxfId="19487" priority="19325" stopIfTrue="1" operator="equal">
      <formula>"Pass"</formula>
    </cfRule>
    <cfRule type="cellIs" dxfId="19486" priority="19326" stopIfTrue="1" operator="equal">
      <formula>"Fail"</formula>
    </cfRule>
  </conditionalFormatting>
  <conditionalFormatting sqref="A907:A909">
    <cfRule type="cellIs" dxfId="19485" priority="19323" stopIfTrue="1" operator="equal">
      <formula>"Pass"</formula>
    </cfRule>
    <cfRule type="cellIs" dxfId="19484" priority="19324" stopIfTrue="1" operator="equal">
      <formula>"Fail"</formula>
    </cfRule>
  </conditionalFormatting>
  <conditionalFormatting sqref="A907:A909">
    <cfRule type="cellIs" dxfId="19483" priority="19321" stopIfTrue="1" operator="equal">
      <formula>"Pass"</formula>
    </cfRule>
    <cfRule type="cellIs" dxfId="19482" priority="19322" stopIfTrue="1" operator="equal">
      <formula>"Fail"</formula>
    </cfRule>
  </conditionalFormatting>
  <conditionalFormatting sqref="A907:A909">
    <cfRule type="cellIs" dxfId="19481" priority="19319" stopIfTrue="1" operator="equal">
      <formula>"Pass"</formula>
    </cfRule>
    <cfRule type="cellIs" dxfId="19480" priority="19320" stopIfTrue="1" operator="equal">
      <formula>"Fail"</formula>
    </cfRule>
  </conditionalFormatting>
  <conditionalFormatting sqref="A907:A909">
    <cfRule type="cellIs" dxfId="19479" priority="19317" stopIfTrue="1" operator="equal">
      <formula>"Pass"</formula>
    </cfRule>
    <cfRule type="cellIs" dxfId="19478" priority="19318" stopIfTrue="1" operator="equal">
      <formula>"Fail"</formula>
    </cfRule>
  </conditionalFormatting>
  <conditionalFormatting sqref="A909">
    <cfRule type="cellIs" dxfId="19477" priority="19315" stopIfTrue="1" operator="equal">
      <formula>"Pass"</formula>
    </cfRule>
    <cfRule type="cellIs" dxfId="19476" priority="19316" stopIfTrue="1" operator="equal">
      <formula>"Fail"</formula>
    </cfRule>
  </conditionalFormatting>
  <conditionalFormatting sqref="A907:A909">
    <cfRule type="cellIs" dxfId="19475" priority="19313" stopIfTrue="1" operator="equal">
      <formula>"Pass"</formula>
    </cfRule>
    <cfRule type="cellIs" dxfId="19474" priority="19314" stopIfTrue="1" operator="equal">
      <formula>"Fail"</formula>
    </cfRule>
  </conditionalFormatting>
  <conditionalFormatting sqref="H907:H908">
    <cfRule type="cellIs" dxfId="19473" priority="19311" stopIfTrue="1" operator="equal">
      <formula>"Pass"</formula>
    </cfRule>
    <cfRule type="cellIs" dxfId="19472" priority="19312" stopIfTrue="1" operator="equal">
      <formula>"Fail"</formula>
    </cfRule>
  </conditionalFormatting>
  <conditionalFormatting sqref="F907 F909 I907:M908">
    <cfRule type="cellIs" dxfId="19471" priority="19309" stopIfTrue="1" operator="equal">
      <formula>"Pass"</formula>
    </cfRule>
    <cfRule type="cellIs" dxfId="19470" priority="19310" stopIfTrue="1" operator="equal">
      <formula>"Fail"</formula>
    </cfRule>
  </conditionalFormatting>
  <conditionalFormatting sqref="T909 T907 R907:R909 S908:S909">
    <cfRule type="cellIs" dxfId="19469" priority="19307" stopIfTrue="1" operator="equal">
      <formula>"Fail"</formula>
    </cfRule>
    <cfRule type="cellIs" dxfId="19468" priority="19308" stopIfTrue="1" operator="equal">
      <formula>"Pass"</formula>
    </cfRule>
  </conditionalFormatting>
  <conditionalFormatting sqref="F907:G907 F909:G909 J907:N908">
    <cfRule type="cellIs" dxfId="19467" priority="19305" stopIfTrue="1" operator="equal">
      <formula>"Pass"</formula>
    </cfRule>
    <cfRule type="cellIs" dxfId="19466" priority="19306" stopIfTrue="1" operator="equal">
      <formula>"Fail"</formula>
    </cfRule>
  </conditionalFormatting>
  <conditionalFormatting sqref="U909 U907 T907:T909 S908:S909">
    <cfRule type="cellIs" dxfId="19465" priority="19303" stopIfTrue="1" operator="equal">
      <formula>"Fail"</formula>
    </cfRule>
    <cfRule type="cellIs" dxfId="19464" priority="19304" stopIfTrue="1" operator="equal">
      <formula>"Pass"</formula>
    </cfRule>
  </conditionalFormatting>
  <conditionalFormatting sqref="J907:N908 F907:G909">
    <cfRule type="cellIs" dxfId="19463" priority="19301" stopIfTrue="1" operator="equal">
      <formula>"Pass"</formula>
    </cfRule>
    <cfRule type="cellIs" dxfId="19462" priority="19302" stopIfTrue="1" operator="equal">
      <formula>"Fail"</formula>
    </cfRule>
  </conditionalFormatting>
  <conditionalFormatting sqref="K907:O908 F907:H909">
    <cfRule type="cellIs" dxfId="19461" priority="19299" stopIfTrue="1" operator="equal">
      <formula>"Pass"</formula>
    </cfRule>
    <cfRule type="cellIs" dxfId="19460" priority="19300" stopIfTrue="1" operator="equal">
      <formula>"Fail"</formula>
    </cfRule>
  </conditionalFormatting>
  <conditionalFormatting sqref="T907">
    <cfRule type="cellIs" dxfId="19459" priority="19297" stopIfTrue="1" operator="equal">
      <formula>"Fail"</formula>
    </cfRule>
    <cfRule type="cellIs" dxfId="19458" priority="19298" stopIfTrue="1" operator="equal">
      <formula>"Pass"</formula>
    </cfRule>
  </conditionalFormatting>
  <conditionalFormatting sqref="K907:O908 F907:H909">
    <cfRule type="cellIs" dxfId="19457" priority="19295" stopIfTrue="1" operator="equal">
      <formula>"Pass"</formula>
    </cfRule>
    <cfRule type="cellIs" dxfId="19456" priority="19296" stopIfTrue="1" operator="equal">
      <formula>"Fail"</formula>
    </cfRule>
  </conditionalFormatting>
  <conditionalFormatting sqref="T907">
    <cfRule type="cellIs" dxfId="19455" priority="19293" stopIfTrue="1" operator="equal">
      <formula>"Fail"</formula>
    </cfRule>
    <cfRule type="cellIs" dxfId="19454" priority="19294" stopIfTrue="1" operator="equal">
      <formula>"Pass"</formula>
    </cfRule>
  </conditionalFormatting>
  <conditionalFormatting sqref="A910:A912">
    <cfRule type="cellIs" dxfId="19453" priority="19291" stopIfTrue="1" operator="equal">
      <formula>"Pass"</formula>
    </cfRule>
    <cfRule type="cellIs" dxfId="19452" priority="19292" stopIfTrue="1" operator="equal">
      <formula>"Fail"</formula>
    </cfRule>
  </conditionalFormatting>
  <conditionalFormatting sqref="A910:A912">
    <cfRule type="cellIs" dxfId="19451" priority="19289" stopIfTrue="1" operator="equal">
      <formula>"Pass"</formula>
    </cfRule>
    <cfRule type="cellIs" dxfId="19450" priority="19290" stopIfTrue="1" operator="equal">
      <formula>"Fail"</formula>
    </cfRule>
  </conditionalFormatting>
  <conditionalFormatting sqref="A910:A912">
    <cfRule type="cellIs" dxfId="19449" priority="19287" stopIfTrue="1" operator="equal">
      <formula>"Pass"</formula>
    </cfRule>
    <cfRule type="cellIs" dxfId="19448" priority="19288" stopIfTrue="1" operator="equal">
      <formula>"Fail"</formula>
    </cfRule>
  </conditionalFormatting>
  <conditionalFormatting sqref="A910:A912">
    <cfRule type="cellIs" dxfId="19447" priority="19285" stopIfTrue="1" operator="equal">
      <formula>"Pass"</formula>
    </cfRule>
    <cfRule type="cellIs" dxfId="19446" priority="19286" stopIfTrue="1" operator="equal">
      <formula>"Fail"</formula>
    </cfRule>
  </conditionalFormatting>
  <conditionalFormatting sqref="A910:A912">
    <cfRule type="cellIs" dxfId="19445" priority="19283" stopIfTrue="1" operator="equal">
      <formula>"Pass"</formula>
    </cfRule>
    <cfRule type="cellIs" dxfId="19444" priority="19284" stopIfTrue="1" operator="equal">
      <formula>"Fail"</formula>
    </cfRule>
  </conditionalFormatting>
  <conditionalFormatting sqref="A912">
    <cfRule type="cellIs" dxfId="19443" priority="19281" stopIfTrue="1" operator="equal">
      <formula>"Pass"</formula>
    </cfRule>
    <cfRule type="cellIs" dxfId="19442" priority="19282" stopIfTrue="1" operator="equal">
      <formula>"Fail"</formula>
    </cfRule>
  </conditionalFormatting>
  <conditionalFormatting sqref="A910:A912">
    <cfRule type="cellIs" dxfId="19441" priority="19279" stopIfTrue="1" operator="equal">
      <formula>"Pass"</formula>
    </cfRule>
    <cfRule type="cellIs" dxfId="19440" priority="19280" stopIfTrue="1" operator="equal">
      <formula>"Fail"</formula>
    </cfRule>
  </conditionalFormatting>
  <conditionalFormatting sqref="A910">
    <cfRule type="cellIs" dxfId="19439" priority="19277" stopIfTrue="1" operator="equal">
      <formula>"Pass"</formula>
    </cfRule>
    <cfRule type="cellIs" dxfId="19438" priority="19278" stopIfTrue="1" operator="equal">
      <formula>"Fail"</formula>
    </cfRule>
  </conditionalFormatting>
  <conditionalFormatting sqref="A910">
    <cfRule type="cellIs" dxfId="19437" priority="19275" stopIfTrue="1" operator="equal">
      <formula>"Pass"</formula>
    </cfRule>
    <cfRule type="cellIs" dxfId="19436" priority="19276" stopIfTrue="1" operator="equal">
      <formula>"Fail"</formula>
    </cfRule>
  </conditionalFormatting>
  <conditionalFormatting sqref="A910">
    <cfRule type="cellIs" dxfId="19435" priority="19273" stopIfTrue="1" operator="equal">
      <formula>"Pass"</formula>
    </cfRule>
    <cfRule type="cellIs" dxfId="19434" priority="19274" stopIfTrue="1" operator="equal">
      <formula>"Fail"</formula>
    </cfRule>
  </conditionalFormatting>
  <conditionalFormatting sqref="A910">
    <cfRule type="cellIs" dxfId="19433" priority="19271" stopIfTrue="1" operator="equal">
      <formula>"Pass"</formula>
    </cfRule>
    <cfRule type="cellIs" dxfId="19432" priority="19272" stopIfTrue="1" operator="equal">
      <formula>"Fail"</formula>
    </cfRule>
  </conditionalFormatting>
  <conditionalFormatting sqref="A910">
    <cfRule type="cellIs" dxfId="19431" priority="19269" stopIfTrue="1" operator="equal">
      <formula>"Pass"</formula>
    </cfRule>
    <cfRule type="cellIs" dxfId="19430" priority="19270" stopIfTrue="1" operator="equal">
      <formula>"Fail"</formula>
    </cfRule>
  </conditionalFormatting>
  <conditionalFormatting sqref="A910">
    <cfRule type="cellIs" dxfId="19429" priority="19267" stopIfTrue="1" operator="equal">
      <formula>"Pass"</formula>
    </cfRule>
    <cfRule type="cellIs" dxfId="19428" priority="19268" stopIfTrue="1" operator="equal">
      <formula>"Fail"</formula>
    </cfRule>
  </conditionalFormatting>
  <conditionalFormatting sqref="A910">
    <cfRule type="cellIs" dxfId="19427" priority="19265" stopIfTrue="1" operator="equal">
      <formula>"Pass"</formula>
    </cfRule>
    <cfRule type="cellIs" dxfId="19426" priority="19266" stopIfTrue="1" operator="equal">
      <formula>"Fail"</formula>
    </cfRule>
  </conditionalFormatting>
  <conditionalFormatting sqref="A910">
    <cfRule type="cellIs" dxfId="19425" priority="19263" stopIfTrue="1" operator="equal">
      <formula>"Pass"</formula>
    </cfRule>
    <cfRule type="cellIs" dxfId="19424" priority="19264" stopIfTrue="1" operator="equal">
      <formula>"Fail"</formula>
    </cfRule>
  </conditionalFormatting>
  <conditionalFormatting sqref="A910">
    <cfRule type="cellIs" dxfId="19423" priority="19261" stopIfTrue="1" operator="equal">
      <formula>"Pass"</formula>
    </cfRule>
    <cfRule type="cellIs" dxfId="19422" priority="19262" stopIfTrue="1" operator="equal">
      <formula>"Fail"</formula>
    </cfRule>
  </conditionalFormatting>
  <conditionalFormatting sqref="A910">
    <cfRule type="cellIs" dxfId="19421" priority="19259" stopIfTrue="1" operator="equal">
      <formula>"Pass"</formula>
    </cfRule>
    <cfRule type="cellIs" dxfId="19420" priority="19260" stopIfTrue="1" operator="equal">
      <formula>"Fail"</formula>
    </cfRule>
  </conditionalFormatting>
  <conditionalFormatting sqref="A910">
    <cfRule type="cellIs" dxfId="19419" priority="19257" stopIfTrue="1" operator="equal">
      <formula>"Pass"</formula>
    </cfRule>
    <cfRule type="cellIs" dxfId="19418" priority="19258" stopIfTrue="1" operator="equal">
      <formula>"Fail"</formula>
    </cfRule>
  </conditionalFormatting>
  <conditionalFormatting sqref="A910">
    <cfRule type="cellIs" dxfId="19417" priority="19255" stopIfTrue="1" operator="equal">
      <formula>"Pass"</formula>
    </cfRule>
    <cfRule type="cellIs" dxfId="19416" priority="19256" stopIfTrue="1" operator="equal">
      <formula>"Fail"</formula>
    </cfRule>
  </conditionalFormatting>
  <conditionalFormatting sqref="J910:J911">
    <cfRule type="cellIs" dxfId="19415" priority="19253" stopIfTrue="1" operator="equal">
      <formula>"Pass"</formula>
    </cfRule>
    <cfRule type="cellIs" dxfId="19414" priority="19254" stopIfTrue="1" operator="equal">
      <formula>"Fail"</formula>
    </cfRule>
  </conditionalFormatting>
  <conditionalFormatting sqref="H910:H911 I911">
    <cfRule type="cellIs" dxfId="19413" priority="19251" stopIfTrue="1" operator="equal">
      <formula>"Pass"</formula>
    </cfRule>
    <cfRule type="cellIs" dxfId="19412" priority="19252" stopIfTrue="1" operator="equal">
      <formula>"Fail"</formula>
    </cfRule>
  </conditionalFormatting>
  <conditionalFormatting sqref="A910 C910 F912 F910:G910 K910:N911">
    <cfRule type="cellIs" dxfId="19411" priority="19249" stopIfTrue="1" operator="equal">
      <formula>"Pass"</formula>
    </cfRule>
    <cfRule type="cellIs" dxfId="19410" priority="19250" stopIfTrue="1" operator="equal">
      <formula>"Fail"</formula>
    </cfRule>
  </conditionalFormatting>
  <conditionalFormatting sqref="T910:T912 U911:U912">
    <cfRule type="cellIs" dxfId="19409" priority="19247" stopIfTrue="1" operator="equal">
      <formula>"Fail"</formula>
    </cfRule>
    <cfRule type="cellIs" dxfId="19408" priority="19248" stopIfTrue="1" operator="equal">
      <formula>"Pass"</formula>
    </cfRule>
  </conditionalFormatting>
  <conditionalFormatting sqref="A910">
    <cfRule type="cellIs" dxfId="19407" priority="19245" stopIfTrue="1" operator="equal">
      <formula>"Pass"</formula>
    </cfRule>
    <cfRule type="cellIs" dxfId="19406" priority="19246" stopIfTrue="1" operator="equal">
      <formula>"Fail"</formula>
    </cfRule>
  </conditionalFormatting>
  <conditionalFormatting sqref="A910">
    <cfRule type="cellIs" dxfId="19405" priority="19243" stopIfTrue="1" operator="equal">
      <formula>"Pass"</formula>
    </cfRule>
    <cfRule type="cellIs" dxfId="19404" priority="19244" stopIfTrue="1" operator="equal">
      <formula>"Fail"</formula>
    </cfRule>
  </conditionalFormatting>
  <conditionalFormatting sqref="A910">
    <cfRule type="cellIs" dxfId="19403" priority="19241" stopIfTrue="1" operator="equal">
      <formula>"Pass"</formula>
    </cfRule>
    <cfRule type="cellIs" dxfId="19402" priority="19242" stopIfTrue="1" operator="equal">
      <formula>"Fail"</formula>
    </cfRule>
  </conditionalFormatting>
  <conditionalFormatting sqref="A910">
    <cfRule type="cellIs" dxfId="19401" priority="19239" stopIfTrue="1" operator="equal">
      <formula>"Pass"</formula>
    </cfRule>
    <cfRule type="cellIs" dxfId="19400" priority="19240" stopIfTrue="1" operator="equal">
      <formula>"Fail"</formula>
    </cfRule>
  </conditionalFormatting>
  <conditionalFormatting sqref="A910">
    <cfRule type="cellIs" dxfId="19399" priority="19237" stopIfTrue="1" operator="equal">
      <formula>"Pass"</formula>
    </cfRule>
    <cfRule type="cellIs" dxfId="19398" priority="19238" stopIfTrue="1" operator="equal">
      <formula>"Fail"</formula>
    </cfRule>
  </conditionalFormatting>
  <conditionalFormatting sqref="A910">
    <cfRule type="cellIs" dxfId="19397" priority="19235" stopIfTrue="1" operator="equal">
      <formula>"Pass"</formula>
    </cfRule>
    <cfRule type="cellIs" dxfId="19396" priority="19236" stopIfTrue="1" operator="equal">
      <formula>"Fail"</formula>
    </cfRule>
  </conditionalFormatting>
  <conditionalFormatting sqref="A910">
    <cfRule type="cellIs" dxfId="19395" priority="19233" stopIfTrue="1" operator="equal">
      <formula>"Pass"</formula>
    </cfRule>
    <cfRule type="cellIs" dxfId="19394" priority="19234" stopIfTrue="1" operator="equal">
      <formula>"Fail"</formula>
    </cfRule>
  </conditionalFormatting>
  <conditionalFormatting sqref="A910">
    <cfRule type="cellIs" dxfId="19393" priority="19231" stopIfTrue="1" operator="equal">
      <formula>"Pass"</formula>
    </cfRule>
    <cfRule type="cellIs" dxfId="19392" priority="19232" stopIfTrue="1" operator="equal">
      <formula>"Fail"</formula>
    </cfRule>
  </conditionalFormatting>
  <conditionalFormatting sqref="A910">
    <cfRule type="cellIs" dxfId="19391" priority="19229" stopIfTrue="1" operator="equal">
      <formula>"Pass"</formula>
    </cfRule>
    <cfRule type="cellIs" dxfId="19390" priority="19230" stopIfTrue="1" operator="equal">
      <formula>"Fail"</formula>
    </cfRule>
  </conditionalFormatting>
  <conditionalFormatting sqref="A910">
    <cfRule type="cellIs" dxfId="19389" priority="19227" stopIfTrue="1" operator="equal">
      <formula>"Pass"</formula>
    </cfRule>
    <cfRule type="cellIs" dxfId="19388" priority="19228" stopIfTrue="1" operator="equal">
      <formula>"Fail"</formula>
    </cfRule>
  </conditionalFormatting>
  <conditionalFormatting sqref="A910">
    <cfRule type="cellIs" dxfId="19387" priority="19225" stopIfTrue="1" operator="equal">
      <formula>"Pass"</formula>
    </cfRule>
    <cfRule type="cellIs" dxfId="19386" priority="19226" stopIfTrue="1" operator="equal">
      <formula>"Fail"</formula>
    </cfRule>
  </conditionalFormatting>
  <conditionalFormatting sqref="A910">
    <cfRule type="cellIs" dxfId="19385" priority="19223" stopIfTrue="1" operator="equal">
      <formula>"Pass"</formula>
    </cfRule>
    <cfRule type="cellIs" dxfId="19384" priority="19224" stopIfTrue="1" operator="equal">
      <formula>"Fail"</formula>
    </cfRule>
  </conditionalFormatting>
  <conditionalFormatting sqref="A910">
    <cfRule type="cellIs" dxfId="19383" priority="19221" stopIfTrue="1" operator="equal">
      <formula>"Pass"</formula>
    </cfRule>
    <cfRule type="cellIs" dxfId="19382" priority="19222" stopIfTrue="1" operator="equal">
      <formula>"Fail"</formula>
    </cfRule>
  </conditionalFormatting>
  <conditionalFormatting sqref="A910">
    <cfRule type="cellIs" dxfId="19381" priority="19219" stopIfTrue="1" operator="equal">
      <formula>"Pass"</formula>
    </cfRule>
    <cfRule type="cellIs" dxfId="19380" priority="19220" stopIfTrue="1" operator="equal">
      <formula>"Fail"</formula>
    </cfRule>
  </conditionalFormatting>
  <conditionalFormatting sqref="A910">
    <cfRule type="cellIs" dxfId="19379" priority="19217" stopIfTrue="1" operator="equal">
      <formula>"Pass"</formula>
    </cfRule>
    <cfRule type="cellIs" dxfId="19378" priority="19218" stopIfTrue="1" operator="equal">
      <formula>"Fail"</formula>
    </cfRule>
  </conditionalFormatting>
  <conditionalFormatting sqref="A910">
    <cfRule type="cellIs" dxfId="19377" priority="19215" stopIfTrue="1" operator="equal">
      <formula>"Pass"</formula>
    </cfRule>
    <cfRule type="cellIs" dxfId="19376" priority="19216" stopIfTrue="1" operator="equal">
      <formula>"Fail"</formula>
    </cfRule>
  </conditionalFormatting>
  <conditionalFormatting sqref="U910">
    <cfRule type="cellIs" dxfId="19375" priority="19213" stopIfTrue="1" operator="equal">
      <formula>"Fail"</formula>
    </cfRule>
    <cfRule type="cellIs" dxfId="19374" priority="19214" stopIfTrue="1" operator="equal">
      <formula>"Pass"</formula>
    </cfRule>
  </conditionalFormatting>
  <conditionalFormatting sqref="U910">
    <cfRule type="cellIs" dxfId="19373" priority="19211" stopIfTrue="1" operator="equal">
      <formula>"Fail"</formula>
    </cfRule>
    <cfRule type="cellIs" dxfId="19372" priority="19212" stopIfTrue="1" operator="equal">
      <formula>"Pass"</formula>
    </cfRule>
  </conditionalFormatting>
  <conditionalFormatting sqref="J910:J911">
    <cfRule type="cellIs" dxfId="19371" priority="19209" stopIfTrue="1" operator="equal">
      <formula>"Pass"</formula>
    </cfRule>
    <cfRule type="cellIs" dxfId="19370" priority="19210" stopIfTrue="1" operator="equal">
      <formula>"Fail"</formula>
    </cfRule>
  </conditionalFormatting>
  <conditionalFormatting sqref="H910:H911 I911">
    <cfRule type="cellIs" dxfId="19369" priority="19207" stopIfTrue="1" operator="equal">
      <formula>"Pass"</formula>
    </cfRule>
    <cfRule type="cellIs" dxfId="19368" priority="19208" stopIfTrue="1" operator="equal">
      <formula>"Fail"</formula>
    </cfRule>
  </conditionalFormatting>
  <conditionalFormatting sqref="F912 F910:G910 K910:N911">
    <cfRule type="cellIs" dxfId="19367" priority="19205" stopIfTrue="1" operator="equal">
      <formula>"Pass"</formula>
    </cfRule>
    <cfRule type="cellIs" dxfId="19366" priority="19206" stopIfTrue="1" operator="equal">
      <formula>"Fail"</formula>
    </cfRule>
  </conditionalFormatting>
  <conditionalFormatting sqref="T910:T912 U911:U912">
    <cfRule type="cellIs" dxfId="19365" priority="19203" stopIfTrue="1" operator="equal">
      <formula>"Fail"</formula>
    </cfRule>
    <cfRule type="cellIs" dxfId="19364" priority="19204" stopIfTrue="1" operator="equal">
      <formula>"Pass"</formula>
    </cfRule>
  </conditionalFormatting>
  <conditionalFormatting sqref="U910">
    <cfRule type="cellIs" dxfId="19363" priority="19201" stopIfTrue="1" operator="equal">
      <formula>"Fail"</formula>
    </cfRule>
    <cfRule type="cellIs" dxfId="19362" priority="19202" stopIfTrue="1" operator="equal">
      <formula>"Pass"</formula>
    </cfRule>
  </conditionalFormatting>
  <conditionalFormatting sqref="U910">
    <cfRule type="cellIs" dxfId="19361" priority="19199" stopIfTrue="1" operator="equal">
      <formula>"Fail"</formula>
    </cfRule>
    <cfRule type="cellIs" dxfId="19360" priority="19200" stopIfTrue="1" operator="equal">
      <formula>"Pass"</formula>
    </cfRule>
  </conditionalFormatting>
  <conditionalFormatting sqref="F910:G910 K910:N910">
    <cfRule type="cellIs" dxfId="19359" priority="19197" stopIfTrue="1" operator="equal">
      <formula>"Pass"</formula>
    </cfRule>
    <cfRule type="cellIs" dxfId="19358" priority="19198" stopIfTrue="1" operator="equal">
      <formula>"Fail"</formula>
    </cfRule>
  </conditionalFormatting>
  <conditionalFormatting sqref="K911:N911">
    <cfRule type="cellIs" dxfId="19357" priority="19195" stopIfTrue="1" operator="equal">
      <formula>"Pass"</formula>
    </cfRule>
    <cfRule type="cellIs" dxfId="19356" priority="19196" stopIfTrue="1" operator="equal">
      <formula>"Fail"</formula>
    </cfRule>
  </conditionalFormatting>
  <conditionalFormatting sqref="U910">
    <cfRule type="cellIs" dxfId="19355" priority="19193" stopIfTrue="1" operator="equal">
      <formula>"Fail"</formula>
    </cfRule>
    <cfRule type="cellIs" dxfId="19354" priority="19194" stopIfTrue="1" operator="equal">
      <formula>"Pass"</formula>
    </cfRule>
  </conditionalFormatting>
  <conditionalFormatting sqref="A910:A912">
    <cfRule type="cellIs" dxfId="19353" priority="19191" stopIfTrue="1" operator="equal">
      <formula>"Pass"</formula>
    </cfRule>
    <cfRule type="cellIs" dxfId="19352" priority="19192" stopIfTrue="1" operator="equal">
      <formula>"Fail"</formula>
    </cfRule>
  </conditionalFormatting>
  <conditionalFormatting sqref="A910:A912">
    <cfRule type="cellIs" dxfId="19351" priority="19189" stopIfTrue="1" operator="equal">
      <formula>"Pass"</formula>
    </cfRule>
    <cfRule type="cellIs" dxfId="19350" priority="19190" stopIfTrue="1" operator="equal">
      <formula>"Fail"</formula>
    </cfRule>
  </conditionalFormatting>
  <conditionalFormatting sqref="A910:A912">
    <cfRule type="cellIs" dxfId="19349" priority="19187" stopIfTrue="1" operator="equal">
      <formula>"Pass"</formula>
    </cfRule>
    <cfRule type="cellIs" dxfId="19348" priority="19188" stopIfTrue="1" operator="equal">
      <formula>"Fail"</formula>
    </cfRule>
  </conditionalFormatting>
  <conditionalFormatting sqref="A910:A912">
    <cfRule type="cellIs" dxfId="19347" priority="19185" stopIfTrue="1" operator="equal">
      <formula>"Pass"</formula>
    </cfRule>
    <cfRule type="cellIs" dxfId="19346" priority="19186" stopIfTrue="1" operator="equal">
      <formula>"Fail"</formula>
    </cfRule>
  </conditionalFormatting>
  <conditionalFormatting sqref="A910:A912">
    <cfRule type="cellIs" dxfId="19345" priority="19183" stopIfTrue="1" operator="equal">
      <formula>"Pass"</formula>
    </cfRule>
    <cfRule type="cellIs" dxfId="19344" priority="19184" stopIfTrue="1" operator="equal">
      <formula>"Fail"</formula>
    </cfRule>
  </conditionalFormatting>
  <conditionalFormatting sqref="A912">
    <cfRule type="cellIs" dxfId="19343" priority="19181" stopIfTrue="1" operator="equal">
      <formula>"Pass"</formula>
    </cfRule>
    <cfRule type="cellIs" dxfId="19342" priority="19182" stopIfTrue="1" operator="equal">
      <formula>"Fail"</formula>
    </cfRule>
  </conditionalFormatting>
  <conditionalFormatting sqref="A910:A912">
    <cfRule type="cellIs" dxfId="19341" priority="19179" stopIfTrue="1" operator="equal">
      <formula>"Pass"</formula>
    </cfRule>
    <cfRule type="cellIs" dxfId="19340" priority="19180" stopIfTrue="1" operator="equal">
      <formula>"Fail"</formula>
    </cfRule>
  </conditionalFormatting>
  <conditionalFormatting sqref="A910:A912">
    <cfRule type="cellIs" dxfId="19339" priority="19177" stopIfTrue="1" operator="equal">
      <formula>"Pass"</formula>
    </cfRule>
    <cfRule type="cellIs" dxfId="19338" priority="19178" stopIfTrue="1" operator="equal">
      <formula>"Fail"</formula>
    </cfRule>
  </conditionalFormatting>
  <conditionalFormatting sqref="A910:A912">
    <cfRule type="cellIs" dxfId="19337" priority="19175" stopIfTrue="1" operator="equal">
      <formula>"Pass"</formula>
    </cfRule>
    <cfRule type="cellIs" dxfId="19336" priority="19176" stopIfTrue="1" operator="equal">
      <formula>"Fail"</formula>
    </cfRule>
  </conditionalFormatting>
  <conditionalFormatting sqref="A910:A912">
    <cfRule type="cellIs" dxfId="19335" priority="19173" stopIfTrue="1" operator="equal">
      <formula>"Pass"</formula>
    </cfRule>
    <cfRule type="cellIs" dxfId="19334" priority="19174" stopIfTrue="1" operator="equal">
      <formula>"Fail"</formula>
    </cfRule>
  </conditionalFormatting>
  <conditionalFormatting sqref="A910:A912">
    <cfRule type="cellIs" dxfId="19333" priority="19171" stopIfTrue="1" operator="equal">
      <formula>"Pass"</formula>
    </cfRule>
    <cfRule type="cellIs" dxfId="19332" priority="19172" stopIfTrue="1" operator="equal">
      <formula>"Fail"</formula>
    </cfRule>
  </conditionalFormatting>
  <conditionalFormatting sqref="A910:A912">
    <cfRule type="cellIs" dxfId="19331" priority="19169" stopIfTrue="1" operator="equal">
      <formula>"Pass"</formula>
    </cfRule>
    <cfRule type="cellIs" dxfId="19330" priority="19170" stopIfTrue="1" operator="equal">
      <formula>"Fail"</formula>
    </cfRule>
  </conditionalFormatting>
  <conditionalFormatting sqref="A912">
    <cfRule type="cellIs" dxfId="19329" priority="19167" stopIfTrue="1" operator="equal">
      <formula>"Pass"</formula>
    </cfRule>
    <cfRule type="cellIs" dxfId="19328" priority="19168" stopIfTrue="1" operator="equal">
      <formula>"Fail"</formula>
    </cfRule>
  </conditionalFormatting>
  <conditionalFormatting sqref="A910:A912">
    <cfRule type="cellIs" dxfId="19327" priority="19165" stopIfTrue="1" operator="equal">
      <formula>"Pass"</formula>
    </cfRule>
    <cfRule type="cellIs" dxfId="19326" priority="19166" stopIfTrue="1" operator="equal">
      <formula>"Fail"</formula>
    </cfRule>
  </conditionalFormatting>
  <conditionalFormatting sqref="J910:J911">
    <cfRule type="cellIs" dxfId="19325" priority="19163" stopIfTrue="1" operator="equal">
      <formula>"Pass"</formula>
    </cfRule>
    <cfRule type="cellIs" dxfId="19324" priority="19164" stopIfTrue="1" operator="equal">
      <formula>"Fail"</formula>
    </cfRule>
  </conditionalFormatting>
  <conditionalFormatting sqref="H910:H911 I911">
    <cfRule type="cellIs" dxfId="19323" priority="19161" stopIfTrue="1" operator="equal">
      <formula>"Pass"</formula>
    </cfRule>
    <cfRule type="cellIs" dxfId="19322" priority="19162" stopIfTrue="1" operator="equal">
      <formula>"Fail"</formula>
    </cfRule>
  </conditionalFormatting>
  <conditionalFormatting sqref="F912 F910:G910 K910:N911">
    <cfRule type="cellIs" dxfId="19321" priority="19159" stopIfTrue="1" operator="equal">
      <formula>"Pass"</formula>
    </cfRule>
    <cfRule type="cellIs" dxfId="19320" priority="19160" stopIfTrue="1" operator="equal">
      <formula>"Fail"</formula>
    </cfRule>
  </conditionalFormatting>
  <conditionalFormatting sqref="T910:T912 U911:U912">
    <cfRule type="cellIs" dxfId="19319" priority="19157" stopIfTrue="1" operator="equal">
      <formula>"Fail"</formula>
    </cfRule>
    <cfRule type="cellIs" dxfId="19318" priority="19158" stopIfTrue="1" operator="equal">
      <formula>"Pass"</formula>
    </cfRule>
  </conditionalFormatting>
  <conditionalFormatting sqref="U910">
    <cfRule type="cellIs" dxfId="19317" priority="19155" stopIfTrue="1" operator="equal">
      <formula>"Fail"</formula>
    </cfRule>
    <cfRule type="cellIs" dxfId="19316" priority="19156" stopIfTrue="1" operator="equal">
      <formula>"Pass"</formula>
    </cfRule>
  </conditionalFormatting>
  <conditionalFormatting sqref="U910">
    <cfRule type="cellIs" dxfId="19315" priority="19153" stopIfTrue="1" operator="equal">
      <formula>"Fail"</formula>
    </cfRule>
    <cfRule type="cellIs" dxfId="19314" priority="19154" stopIfTrue="1" operator="equal">
      <formula>"Pass"</formula>
    </cfRule>
  </conditionalFormatting>
  <conditionalFormatting sqref="J910:J911">
    <cfRule type="cellIs" dxfId="19313" priority="19151" stopIfTrue="1" operator="equal">
      <formula>"Pass"</formula>
    </cfRule>
    <cfRule type="cellIs" dxfId="19312" priority="19152" stopIfTrue="1" operator="equal">
      <formula>"Fail"</formula>
    </cfRule>
  </conditionalFormatting>
  <conditionalFormatting sqref="H910:H911 I911">
    <cfRule type="cellIs" dxfId="19311" priority="19149" stopIfTrue="1" operator="equal">
      <formula>"Pass"</formula>
    </cfRule>
    <cfRule type="cellIs" dxfId="19310" priority="19150" stopIfTrue="1" operator="equal">
      <formula>"Fail"</formula>
    </cfRule>
  </conditionalFormatting>
  <conditionalFormatting sqref="F912 F910:G910 K910:N911">
    <cfRule type="cellIs" dxfId="19309" priority="19147" stopIfTrue="1" operator="equal">
      <formula>"Pass"</formula>
    </cfRule>
    <cfRule type="cellIs" dxfId="19308" priority="19148" stopIfTrue="1" operator="equal">
      <formula>"Fail"</formula>
    </cfRule>
  </conditionalFormatting>
  <conditionalFormatting sqref="T910:T912 U911:U912">
    <cfRule type="cellIs" dxfId="19307" priority="19145" stopIfTrue="1" operator="equal">
      <formula>"Fail"</formula>
    </cfRule>
    <cfRule type="cellIs" dxfId="19306" priority="19146" stopIfTrue="1" operator="equal">
      <formula>"Pass"</formula>
    </cfRule>
  </conditionalFormatting>
  <conditionalFormatting sqref="U910">
    <cfRule type="cellIs" dxfId="19305" priority="19143" stopIfTrue="1" operator="equal">
      <formula>"Fail"</formula>
    </cfRule>
    <cfRule type="cellIs" dxfId="19304" priority="19144" stopIfTrue="1" operator="equal">
      <formula>"Pass"</formula>
    </cfRule>
  </conditionalFormatting>
  <conditionalFormatting sqref="U910">
    <cfRule type="cellIs" dxfId="19303" priority="19141" stopIfTrue="1" operator="equal">
      <formula>"Fail"</formula>
    </cfRule>
    <cfRule type="cellIs" dxfId="19302" priority="19142" stopIfTrue="1" operator="equal">
      <formula>"Pass"</formula>
    </cfRule>
  </conditionalFormatting>
  <conditionalFormatting sqref="F910:G910 K910:N910">
    <cfRule type="cellIs" dxfId="19301" priority="19139" stopIfTrue="1" operator="equal">
      <formula>"Pass"</formula>
    </cfRule>
    <cfRule type="cellIs" dxfId="19300" priority="19140" stopIfTrue="1" operator="equal">
      <formula>"Fail"</formula>
    </cfRule>
  </conditionalFormatting>
  <conditionalFormatting sqref="K911:N911">
    <cfRule type="cellIs" dxfId="19299" priority="19137" stopIfTrue="1" operator="equal">
      <formula>"Pass"</formula>
    </cfRule>
    <cfRule type="cellIs" dxfId="19298" priority="19138" stopIfTrue="1" operator="equal">
      <formula>"Fail"</formula>
    </cfRule>
  </conditionalFormatting>
  <conditionalFormatting sqref="U910">
    <cfRule type="cellIs" dxfId="19297" priority="19135" stopIfTrue="1" operator="equal">
      <formula>"Fail"</formula>
    </cfRule>
    <cfRule type="cellIs" dxfId="19296" priority="19136" stopIfTrue="1" operator="equal">
      <formula>"Pass"</formula>
    </cfRule>
  </conditionalFormatting>
  <conditionalFormatting sqref="J910:J911">
    <cfRule type="cellIs" dxfId="19295" priority="19133" stopIfTrue="1" operator="equal">
      <formula>"Pass"</formula>
    </cfRule>
    <cfRule type="cellIs" dxfId="19294" priority="19134" stopIfTrue="1" operator="equal">
      <formula>"Fail"</formula>
    </cfRule>
  </conditionalFormatting>
  <conditionalFormatting sqref="H910:H911 I911">
    <cfRule type="cellIs" dxfId="19293" priority="19131" stopIfTrue="1" operator="equal">
      <formula>"Pass"</formula>
    </cfRule>
    <cfRule type="cellIs" dxfId="19292" priority="19132" stopIfTrue="1" operator="equal">
      <formula>"Fail"</formula>
    </cfRule>
  </conditionalFormatting>
  <conditionalFormatting sqref="F910:G910 K910:N911">
    <cfRule type="cellIs" dxfId="19291" priority="19129" stopIfTrue="1" operator="equal">
      <formula>"Pass"</formula>
    </cfRule>
    <cfRule type="cellIs" dxfId="19290" priority="19130" stopIfTrue="1" operator="equal">
      <formula>"Fail"</formula>
    </cfRule>
  </conditionalFormatting>
  <conditionalFormatting sqref="T910:T911 U911">
    <cfRule type="cellIs" dxfId="19289" priority="19127" stopIfTrue="1" operator="equal">
      <formula>"Fail"</formula>
    </cfRule>
    <cfRule type="cellIs" dxfId="19288" priority="19128" stopIfTrue="1" operator="equal">
      <formula>"Pass"</formula>
    </cfRule>
  </conditionalFormatting>
  <conditionalFormatting sqref="U910">
    <cfRule type="cellIs" dxfId="19287" priority="19125" stopIfTrue="1" operator="equal">
      <formula>"Fail"</formula>
    </cfRule>
    <cfRule type="cellIs" dxfId="19286" priority="19126" stopIfTrue="1" operator="equal">
      <formula>"Pass"</formula>
    </cfRule>
  </conditionalFormatting>
  <conditionalFormatting sqref="U910">
    <cfRule type="cellIs" dxfId="19285" priority="19123" stopIfTrue="1" operator="equal">
      <formula>"Fail"</formula>
    </cfRule>
    <cfRule type="cellIs" dxfId="19284" priority="19124" stopIfTrue="1" operator="equal">
      <formula>"Pass"</formula>
    </cfRule>
  </conditionalFormatting>
  <conditionalFormatting sqref="J910:J911">
    <cfRule type="cellIs" dxfId="19283" priority="19121" stopIfTrue="1" operator="equal">
      <formula>"Pass"</formula>
    </cfRule>
    <cfRule type="cellIs" dxfId="19282" priority="19122" stopIfTrue="1" operator="equal">
      <formula>"Fail"</formula>
    </cfRule>
  </conditionalFormatting>
  <conditionalFormatting sqref="H910:H911 I911">
    <cfRule type="cellIs" dxfId="19281" priority="19119" stopIfTrue="1" operator="equal">
      <formula>"Pass"</formula>
    </cfRule>
    <cfRule type="cellIs" dxfId="19280" priority="19120" stopIfTrue="1" operator="equal">
      <formula>"Fail"</formula>
    </cfRule>
  </conditionalFormatting>
  <conditionalFormatting sqref="F910:G910 K910:N911">
    <cfRule type="cellIs" dxfId="19279" priority="19117" stopIfTrue="1" operator="equal">
      <formula>"Pass"</formula>
    </cfRule>
    <cfRule type="cellIs" dxfId="19278" priority="19118" stopIfTrue="1" operator="equal">
      <formula>"Fail"</formula>
    </cfRule>
  </conditionalFormatting>
  <conditionalFormatting sqref="T910:T911 U911">
    <cfRule type="cellIs" dxfId="19277" priority="19115" stopIfTrue="1" operator="equal">
      <formula>"Fail"</formula>
    </cfRule>
    <cfRule type="cellIs" dxfId="19276" priority="19116" stopIfTrue="1" operator="equal">
      <formula>"Pass"</formula>
    </cfRule>
  </conditionalFormatting>
  <conditionalFormatting sqref="U910">
    <cfRule type="cellIs" dxfId="19275" priority="19113" stopIfTrue="1" operator="equal">
      <formula>"Fail"</formula>
    </cfRule>
    <cfRule type="cellIs" dxfId="19274" priority="19114" stopIfTrue="1" operator="equal">
      <formula>"Pass"</formula>
    </cfRule>
  </conditionalFormatting>
  <conditionalFormatting sqref="U910">
    <cfRule type="cellIs" dxfId="19273" priority="19111" stopIfTrue="1" operator="equal">
      <formula>"Fail"</formula>
    </cfRule>
    <cfRule type="cellIs" dxfId="19272" priority="19112" stopIfTrue="1" operator="equal">
      <formula>"Pass"</formula>
    </cfRule>
  </conditionalFormatting>
  <conditionalFormatting sqref="F910:G910 K910:N910">
    <cfRule type="cellIs" dxfId="19271" priority="19109" stopIfTrue="1" operator="equal">
      <formula>"Pass"</formula>
    </cfRule>
    <cfRule type="cellIs" dxfId="19270" priority="19110" stopIfTrue="1" operator="equal">
      <formula>"Fail"</formula>
    </cfRule>
  </conditionalFormatting>
  <conditionalFormatting sqref="K911:N911">
    <cfRule type="cellIs" dxfId="19269" priority="19107" stopIfTrue="1" operator="equal">
      <formula>"Pass"</formula>
    </cfRule>
    <cfRule type="cellIs" dxfId="19268" priority="19108" stopIfTrue="1" operator="equal">
      <formula>"Fail"</formula>
    </cfRule>
  </conditionalFormatting>
  <conditionalFormatting sqref="U910">
    <cfRule type="cellIs" dxfId="19267" priority="19105" stopIfTrue="1" operator="equal">
      <formula>"Fail"</formula>
    </cfRule>
    <cfRule type="cellIs" dxfId="19266" priority="19106" stopIfTrue="1" operator="equal">
      <formula>"Pass"</formula>
    </cfRule>
  </conditionalFormatting>
  <conditionalFormatting sqref="U910">
    <cfRule type="cellIs" dxfId="19265" priority="19103" stopIfTrue="1" operator="equal">
      <formula>"Fail"</formula>
    </cfRule>
    <cfRule type="cellIs" dxfId="19264" priority="19104" stopIfTrue="1" operator="equal">
      <formula>"Pass"</formula>
    </cfRule>
  </conditionalFormatting>
  <conditionalFormatting sqref="U910">
    <cfRule type="cellIs" dxfId="19263" priority="19101" stopIfTrue="1" operator="equal">
      <formula>"Fail"</formula>
    </cfRule>
    <cfRule type="cellIs" dxfId="19262" priority="19102" stopIfTrue="1" operator="equal">
      <formula>"Pass"</formula>
    </cfRule>
  </conditionalFormatting>
  <conditionalFormatting sqref="U910">
    <cfRule type="cellIs" dxfId="19261" priority="19099" stopIfTrue="1" operator="equal">
      <formula>"Fail"</formula>
    </cfRule>
    <cfRule type="cellIs" dxfId="19260" priority="19100" stopIfTrue="1" operator="equal">
      <formula>"Pass"</formula>
    </cfRule>
  </conditionalFormatting>
  <conditionalFormatting sqref="A913:A915">
    <cfRule type="cellIs" dxfId="19259" priority="19097" stopIfTrue="1" operator="equal">
      <formula>"Pass"</formula>
    </cfRule>
    <cfRule type="cellIs" dxfId="19258" priority="19098" stopIfTrue="1" operator="equal">
      <formula>"Fail"</formula>
    </cfRule>
  </conditionalFormatting>
  <conditionalFormatting sqref="A913:A915">
    <cfRule type="cellIs" dxfId="19257" priority="19095" stopIfTrue="1" operator="equal">
      <formula>"Pass"</formula>
    </cfRule>
    <cfRule type="cellIs" dxfId="19256" priority="19096" stopIfTrue="1" operator="equal">
      <formula>"Fail"</formula>
    </cfRule>
  </conditionalFormatting>
  <conditionalFormatting sqref="A913:A915">
    <cfRule type="cellIs" dxfId="19255" priority="19093" stopIfTrue="1" operator="equal">
      <formula>"Pass"</formula>
    </cfRule>
    <cfRule type="cellIs" dxfId="19254" priority="19094" stopIfTrue="1" operator="equal">
      <formula>"Fail"</formula>
    </cfRule>
  </conditionalFormatting>
  <conditionalFormatting sqref="A913:A915">
    <cfRule type="cellIs" dxfId="19253" priority="19091" stopIfTrue="1" operator="equal">
      <formula>"Pass"</formula>
    </cfRule>
    <cfRule type="cellIs" dxfId="19252" priority="19092" stopIfTrue="1" operator="equal">
      <formula>"Fail"</formula>
    </cfRule>
  </conditionalFormatting>
  <conditionalFormatting sqref="A913:A915">
    <cfRule type="cellIs" dxfId="19251" priority="19089" stopIfTrue="1" operator="equal">
      <formula>"Pass"</formula>
    </cfRule>
    <cfRule type="cellIs" dxfId="19250" priority="19090" stopIfTrue="1" operator="equal">
      <formula>"Fail"</formula>
    </cfRule>
  </conditionalFormatting>
  <conditionalFormatting sqref="A915">
    <cfRule type="cellIs" dxfId="19249" priority="19087" stopIfTrue="1" operator="equal">
      <formula>"Pass"</formula>
    </cfRule>
    <cfRule type="cellIs" dxfId="19248" priority="19088" stopIfTrue="1" operator="equal">
      <formula>"Fail"</formula>
    </cfRule>
  </conditionalFormatting>
  <conditionalFormatting sqref="A913:A915">
    <cfRule type="cellIs" dxfId="19247" priority="19085" stopIfTrue="1" operator="equal">
      <formula>"Pass"</formula>
    </cfRule>
    <cfRule type="cellIs" dxfId="19246" priority="19086" stopIfTrue="1" operator="equal">
      <formula>"Fail"</formula>
    </cfRule>
  </conditionalFormatting>
  <conditionalFormatting sqref="H913:H914">
    <cfRule type="cellIs" dxfId="19245" priority="19083" stopIfTrue="1" operator="equal">
      <formula>"Pass"</formula>
    </cfRule>
    <cfRule type="cellIs" dxfId="19244" priority="19084" stopIfTrue="1" operator="equal">
      <formula>"Fail"</formula>
    </cfRule>
  </conditionalFormatting>
  <conditionalFormatting sqref="E913:F913 I913:M914 E915:F915 A913">
    <cfRule type="cellIs" dxfId="19243" priority="19081" stopIfTrue="1" operator="equal">
      <formula>"Pass"</formula>
    </cfRule>
    <cfRule type="cellIs" dxfId="19242" priority="19082" stopIfTrue="1" operator="equal">
      <formula>"Fail"</formula>
    </cfRule>
  </conditionalFormatting>
  <conditionalFormatting sqref="T915 T913 R913:R915 S914:S915">
    <cfRule type="cellIs" dxfId="19241" priority="19079" stopIfTrue="1" operator="equal">
      <formula>"Fail"</formula>
    </cfRule>
    <cfRule type="cellIs" dxfId="19240" priority="19080" stopIfTrue="1" operator="equal">
      <formula>"Pass"</formula>
    </cfRule>
  </conditionalFormatting>
  <conditionalFormatting sqref="F913:G913 F915:G915 B913:B915 A913 J913:N914">
    <cfRule type="cellIs" dxfId="19239" priority="19077" stopIfTrue="1" operator="equal">
      <formula>"Pass"</formula>
    </cfRule>
    <cfRule type="cellIs" dxfId="19238" priority="19078" stopIfTrue="1" operator="equal">
      <formula>"Fail"</formula>
    </cfRule>
  </conditionalFormatting>
  <conditionalFormatting sqref="U915 T913:T915 S914:S915">
    <cfRule type="cellIs" dxfId="19237" priority="19075" stopIfTrue="1" operator="equal">
      <formula>"Fail"</formula>
    </cfRule>
    <cfRule type="cellIs" dxfId="19236" priority="19076" stopIfTrue="1" operator="equal">
      <formula>"Pass"</formula>
    </cfRule>
  </conditionalFormatting>
  <conditionalFormatting sqref="A913">
    <cfRule type="cellIs" dxfId="19235" priority="19073" stopIfTrue="1" operator="equal">
      <formula>"Pass"</formula>
    </cfRule>
    <cfRule type="cellIs" dxfId="19234" priority="19074" stopIfTrue="1" operator="equal">
      <formula>"Fail"</formula>
    </cfRule>
  </conditionalFormatting>
  <conditionalFormatting sqref="A913">
    <cfRule type="cellIs" dxfId="19233" priority="19071" stopIfTrue="1" operator="equal">
      <formula>"Pass"</formula>
    </cfRule>
    <cfRule type="cellIs" dxfId="19232" priority="19072" stopIfTrue="1" operator="equal">
      <formula>"Fail"</formula>
    </cfRule>
  </conditionalFormatting>
  <conditionalFormatting sqref="A913">
    <cfRule type="cellIs" dxfId="19231" priority="19069" stopIfTrue="1" operator="equal">
      <formula>"Pass"</formula>
    </cfRule>
    <cfRule type="cellIs" dxfId="19230" priority="19070" stopIfTrue="1" operator="equal">
      <formula>"Fail"</formula>
    </cfRule>
  </conditionalFormatting>
  <conditionalFormatting sqref="A913">
    <cfRule type="cellIs" dxfId="19229" priority="19067" stopIfTrue="1" operator="equal">
      <formula>"Pass"</formula>
    </cfRule>
    <cfRule type="cellIs" dxfId="19228" priority="19068" stopIfTrue="1" operator="equal">
      <formula>"Fail"</formula>
    </cfRule>
  </conditionalFormatting>
  <conditionalFormatting sqref="A913">
    <cfRule type="cellIs" dxfId="19227" priority="19065" stopIfTrue="1" operator="equal">
      <formula>"Pass"</formula>
    </cfRule>
    <cfRule type="cellIs" dxfId="19226" priority="19066" stopIfTrue="1" operator="equal">
      <formula>"Fail"</formula>
    </cfRule>
  </conditionalFormatting>
  <conditionalFormatting sqref="A913">
    <cfRule type="cellIs" dxfId="19225" priority="19063" stopIfTrue="1" operator="equal">
      <formula>"Pass"</formula>
    </cfRule>
    <cfRule type="cellIs" dxfId="19224" priority="19064" stopIfTrue="1" operator="equal">
      <formula>"Fail"</formula>
    </cfRule>
  </conditionalFormatting>
  <conditionalFormatting sqref="A913">
    <cfRule type="cellIs" dxfId="19223" priority="19061" stopIfTrue="1" operator="equal">
      <formula>"Pass"</formula>
    </cfRule>
    <cfRule type="cellIs" dxfId="19222" priority="19062" stopIfTrue="1" operator="equal">
      <formula>"Fail"</formula>
    </cfRule>
  </conditionalFormatting>
  <conditionalFormatting sqref="A913">
    <cfRule type="cellIs" dxfId="19221" priority="19059" stopIfTrue="1" operator="equal">
      <formula>"Pass"</formula>
    </cfRule>
    <cfRule type="cellIs" dxfId="19220" priority="19060" stopIfTrue="1" operator="equal">
      <formula>"Fail"</formula>
    </cfRule>
  </conditionalFormatting>
  <conditionalFormatting sqref="A913">
    <cfRule type="cellIs" dxfId="19219" priority="19057" stopIfTrue="1" operator="equal">
      <formula>"Pass"</formula>
    </cfRule>
    <cfRule type="cellIs" dxfId="19218" priority="19058" stopIfTrue="1" operator="equal">
      <formula>"Fail"</formula>
    </cfRule>
  </conditionalFormatting>
  <conditionalFormatting sqref="A913">
    <cfRule type="cellIs" dxfId="19217" priority="19055" stopIfTrue="1" operator="equal">
      <formula>"Pass"</formula>
    </cfRule>
    <cfRule type="cellIs" dxfId="19216" priority="19056" stopIfTrue="1" operator="equal">
      <formula>"Fail"</formula>
    </cfRule>
  </conditionalFormatting>
  <conditionalFormatting sqref="U913">
    <cfRule type="cellIs" dxfId="19215" priority="19053" stopIfTrue="1" operator="equal">
      <formula>"Fail"</formula>
    </cfRule>
    <cfRule type="cellIs" dxfId="19214" priority="19054" stopIfTrue="1" operator="equal">
      <formula>"Pass"</formula>
    </cfRule>
  </conditionalFormatting>
  <conditionalFormatting sqref="F913:G913 J913:N913">
    <cfRule type="cellIs" dxfId="19213" priority="19051" stopIfTrue="1" operator="equal">
      <formula>"Pass"</formula>
    </cfRule>
    <cfRule type="cellIs" dxfId="19212" priority="19052" stopIfTrue="1" operator="equal">
      <formula>"Fail"</formula>
    </cfRule>
  </conditionalFormatting>
  <conditionalFormatting sqref="J914:N914">
    <cfRule type="cellIs" dxfId="19211" priority="19049" stopIfTrue="1" operator="equal">
      <formula>"Pass"</formula>
    </cfRule>
    <cfRule type="cellIs" dxfId="19210" priority="19050" stopIfTrue="1" operator="equal">
      <formula>"Fail"</formula>
    </cfRule>
  </conditionalFormatting>
  <conditionalFormatting sqref="A913:A915">
    <cfRule type="cellIs" dxfId="19209" priority="19047" stopIfTrue="1" operator="equal">
      <formula>"Pass"</formula>
    </cfRule>
    <cfRule type="cellIs" dxfId="19208" priority="19048" stopIfTrue="1" operator="equal">
      <formula>"Fail"</formula>
    </cfRule>
  </conditionalFormatting>
  <conditionalFormatting sqref="A913:A915">
    <cfRule type="cellIs" dxfId="19207" priority="19045" stopIfTrue="1" operator="equal">
      <formula>"Pass"</formula>
    </cfRule>
    <cfRule type="cellIs" dxfId="19206" priority="19046" stopIfTrue="1" operator="equal">
      <formula>"Fail"</formula>
    </cfRule>
  </conditionalFormatting>
  <conditionalFormatting sqref="A913:A915">
    <cfRule type="cellIs" dxfId="19205" priority="19043" stopIfTrue="1" operator="equal">
      <formula>"Pass"</formula>
    </cfRule>
    <cfRule type="cellIs" dxfId="19204" priority="19044" stopIfTrue="1" operator="equal">
      <formula>"Fail"</formula>
    </cfRule>
  </conditionalFormatting>
  <conditionalFormatting sqref="A913:A915">
    <cfRule type="cellIs" dxfId="19203" priority="19041" stopIfTrue="1" operator="equal">
      <formula>"Pass"</formula>
    </cfRule>
    <cfRule type="cellIs" dxfId="19202" priority="19042" stopIfTrue="1" operator="equal">
      <formula>"Fail"</formula>
    </cfRule>
  </conditionalFormatting>
  <conditionalFormatting sqref="A913:A915">
    <cfRule type="cellIs" dxfId="19201" priority="19039" stopIfTrue="1" operator="equal">
      <formula>"Pass"</formula>
    </cfRule>
    <cfRule type="cellIs" dxfId="19200" priority="19040" stopIfTrue="1" operator="equal">
      <formula>"Fail"</formula>
    </cfRule>
  </conditionalFormatting>
  <conditionalFormatting sqref="A915">
    <cfRule type="cellIs" dxfId="19199" priority="19037" stopIfTrue="1" operator="equal">
      <formula>"Pass"</formula>
    </cfRule>
    <cfRule type="cellIs" dxfId="19198" priority="19038" stopIfTrue="1" operator="equal">
      <formula>"Fail"</formula>
    </cfRule>
  </conditionalFormatting>
  <conditionalFormatting sqref="A913:A915">
    <cfRule type="cellIs" dxfId="19197" priority="19035" stopIfTrue="1" operator="equal">
      <formula>"Pass"</formula>
    </cfRule>
    <cfRule type="cellIs" dxfId="19196" priority="19036" stopIfTrue="1" operator="equal">
      <formula>"Fail"</formula>
    </cfRule>
  </conditionalFormatting>
  <conditionalFormatting sqref="A913:A915">
    <cfRule type="cellIs" dxfId="19195" priority="19033" stopIfTrue="1" operator="equal">
      <formula>"Pass"</formula>
    </cfRule>
    <cfRule type="cellIs" dxfId="19194" priority="19034" stopIfTrue="1" operator="equal">
      <formula>"Fail"</formula>
    </cfRule>
  </conditionalFormatting>
  <conditionalFormatting sqref="A913:A915">
    <cfRule type="cellIs" dxfId="19193" priority="19031" stopIfTrue="1" operator="equal">
      <formula>"Pass"</formula>
    </cfRule>
    <cfRule type="cellIs" dxfId="19192" priority="19032" stopIfTrue="1" operator="equal">
      <formula>"Fail"</formula>
    </cfRule>
  </conditionalFormatting>
  <conditionalFormatting sqref="A913:A915">
    <cfRule type="cellIs" dxfId="19191" priority="19029" stopIfTrue="1" operator="equal">
      <formula>"Pass"</formula>
    </cfRule>
    <cfRule type="cellIs" dxfId="19190" priority="19030" stopIfTrue="1" operator="equal">
      <formula>"Fail"</formula>
    </cfRule>
  </conditionalFormatting>
  <conditionalFormatting sqref="A913:A915">
    <cfRule type="cellIs" dxfId="19189" priority="19027" stopIfTrue="1" operator="equal">
      <formula>"Pass"</formula>
    </cfRule>
    <cfRule type="cellIs" dxfId="19188" priority="19028" stopIfTrue="1" operator="equal">
      <formula>"Fail"</formula>
    </cfRule>
  </conditionalFormatting>
  <conditionalFormatting sqref="A913:A915">
    <cfRule type="cellIs" dxfId="19187" priority="19025" stopIfTrue="1" operator="equal">
      <formula>"Pass"</formula>
    </cfRule>
    <cfRule type="cellIs" dxfId="19186" priority="19026" stopIfTrue="1" operator="equal">
      <formula>"Fail"</formula>
    </cfRule>
  </conditionalFormatting>
  <conditionalFormatting sqref="A915">
    <cfRule type="cellIs" dxfId="19185" priority="19023" stopIfTrue="1" operator="equal">
      <formula>"Pass"</formula>
    </cfRule>
    <cfRule type="cellIs" dxfId="19184" priority="19024" stopIfTrue="1" operator="equal">
      <formula>"Fail"</formula>
    </cfRule>
  </conditionalFormatting>
  <conditionalFormatting sqref="A913:A915">
    <cfRule type="cellIs" dxfId="19183" priority="19021" stopIfTrue="1" operator="equal">
      <formula>"Pass"</formula>
    </cfRule>
    <cfRule type="cellIs" dxfId="19182" priority="19022" stopIfTrue="1" operator="equal">
      <formula>"Fail"</formula>
    </cfRule>
  </conditionalFormatting>
  <conditionalFormatting sqref="H913:H914">
    <cfRule type="cellIs" dxfId="19181" priority="19019" stopIfTrue="1" operator="equal">
      <formula>"Pass"</formula>
    </cfRule>
    <cfRule type="cellIs" dxfId="19180" priority="19020" stopIfTrue="1" operator="equal">
      <formula>"Fail"</formula>
    </cfRule>
  </conditionalFormatting>
  <conditionalFormatting sqref="F913 I913:M914 F915">
    <cfRule type="cellIs" dxfId="19179" priority="19017" stopIfTrue="1" operator="equal">
      <formula>"Pass"</formula>
    </cfRule>
    <cfRule type="cellIs" dxfId="19178" priority="19018" stopIfTrue="1" operator="equal">
      <formula>"Fail"</formula>
    </cfRule>
  </conditionalFormatting>
  <conditionalFormatting sqref="T915 T913 R913:R915 S914:S915">
    <cfRule type="cellIs" dxfId="19177" priority="19015" stopIfTrue="1" operator="equal">
      <formula>"Fail"</formula>
    </cfRule>
    <cfRule type="cellIs" dxfId="19176" priority="19016" stopIfTrue="1" operator="equal">
      <formula>"Pass"</formula>
    </cfRule>
  </conditionalFormatting>
  <conditionalFormatting sqref="F913:G913 F915:G915 J913:N914">
    <cfRule type="cellIs" dxfId="19175" priority="19013" stopIfTrue="1" operator="equal">
      <formula>"Pass"</formula>
    </cfRule>
    <cfRule type="cellIs" dxfId="19174" priority="19014" stopIfTrue="1" operator="equal">
      <formula>"Fail"</formula>
    </cfRule>
  </conditionalFormatting>
  <conditionalFormatting sqref="U915 T913:T915 S914:S915">
    <cfRule type="cellIs" dxfId="19173" priority="19011" stopIfTrue="1" operator="equal">
      <formula>"Fail"</formula>
    </cfRule>
    <cfRule type="cellIs" dxfId="19172" priority="19012" stopIfTrue="1" operator="equal">
      <formula>"Pass"</formula>
    </cfRule>
  </conditionalFormatting>
  <conditionalFormatting sqref="U913">
    <cfRule type="cellIs" dxfId="19171" priority="19009" stopIfTrue="1" operator="equal">
      <formula>"Fail"</formula>
    </cfRule>
    <cfRule type="cellIs" dxfId="19170" priority="19010" stopIfTrue="1" operator="equal">
      <formula>"Pass"</formula>
    </cfRule>
  </conditionalFormatting>
  <conditionalFormatting sqref="F913:G913 J913:N913">
    <cfRule type="cellIs" dxfId="19169" priority="19007" stopIfTrue="1" operator="equal">
      <formula>"Pass"</formula>
    </cfRule>
    <cfRule type="cellIs" dxfId="19168" priority="19008" stopIfTrue="1" operator="equal">
      <formula>"Fail"</formula>
    </cfRule>
  </conditionalFormatting>
  <conditionalFormatting sqref="J914:N914">
    <cfRule type="cellIs" dxfId="19167" priority="19005" stopIfTrue="1" operator="equal">
      <formula>"Pass"</formula>
    </cfRule>
    <cfRule type="cellIs" dxfId="19166" priority="19006" stopIfTrue="1" operator="equal">
      <formula>"Fail"</formula>
    </cfRule>
  </conditionalFormatting>
  <conditionalFormatting sqref="H913:H914">
    <cfRule type="cellIs" dxfId="19165" priority="19003" stopIfTrue="1" operator="equal">
      <formula>"Pass"</formula>
    </cfRule>
    <cfRule type="cellIs" dxfId="19164" priority="19004" stopIfTrue="1" operator="equal">
      <formula>"Fail"</formula>
    </cfRule>
  </conditionalFormatting>
  <conditionalFormatting sqref="F913 I913:M914 F915">
    <cfRule type="cellIs" dxfId="19163" priority="19001" stopIfTrue="1" operator="equal">
      <formula>"Pass"</formula>
    </cfRule>
    <cfRule type="cellIs" dxfId="19162" priority="19002" stopIfTrue="1" operator="equal">
      <formula>"Fail"</formula>
    </cfRule>
  </conditionalFormatting>
  <conditionalFormatting sqref="T915 T913 R913:R915 S914:S915">
    <cfRule type="cellIs" dxfId="19161" priority="18999" stopIfTrue="1" operator="equal">
      <formula>"Fail"</formula>
    </cfRule>
    <cfRule type="cellIs" dxfId="19160" priority="19000" stopIfTrue="1" operator="equal">
      <formula>"Pass"</formula>
    </cfRule>
  </conditionalFormatting>
  <conditionalFormatting sqref="F913:G913 F915:G915 J913:N914">
    <cfRule type="cellIs" dxfId="19159" priority="18997" stopIfTrue="1" operator="equal">
      <formula>"Pass"</formula>
    </cfRule>
    <cfRule type="cellIs" dxfId="19158" priority="18998" stopIfTrue="1" operator="equal">
      <formula>"Fail"</formula>
    </cfRule>
  </conditionalFormatting>
  <conditionalFormatting sqref="U915 T913:T915 S914:S915">
    <cfRule type="cellIs" dxfId="19157" priority="18995" stopIfTrue="1" operator="equal">
      <formula>"Fail"</formula>
    </cfRule>
    <cfRule type="cellIs" dxfId="19156" priority="18996" stopIfTrue="1" operator="equal">
      <formula>"Pass"</formula>
    </cfRule>
  </conditionalFormatting>
  <conditionalFormatting sqref="U913">
    <cfRule type="cellIs" dxfId="19155" priority="18993" stopIfTrue="1" operator="equal">
      <formula>"Fail"</formula>
    </cfRule>
    <cfRule type="cellIs" dxfId="19154" priority="18994" stopIfTrue="1" operator="equal">
      <formula>"Pass"</formula>
    </cfRule>
  </conditionalFormatting>
  <conditionalFormatting sqref="F913:G913 J913:N913">
    <cfRule type="cellIs" dxfId="19153" priority="18991" stopIfTrue="1" operator="equal">
      <formula>"Pass"</formula>
    </cfRule>
    <cfRule type="cellIs" dxfId="19152" priority="18992" stopIfTrue="1" operator="equal">
      <formula>"Fail"</formula>
    </cfRule>
  </conditionalFormatting>
  <conditionalFormatting sqref="J914:N914">
    <cfRule type="cellIs" dxfId="19151" priority="18989" stopIfTrue="1" operator="equal">
      <formula>"Pass"</formula>
    </cfRule>
    <cfRule type="cellIs" dxfId="19150" priority="18990" stopIfTrue="1" operator="equal">
      <formula>"Fail"</formula>
    </cfRule>
  </conditionalFormatting>
  <conditionalFormatting sqref="U913">
    <cfRule type="cellIs" dxfId="19149" priority="18987" stopIfTrue="1" operator="equal">
      <formula>"Fail"</formula>
    </cfRule>
    <cfRule type="cellIs" dxfId="19148" priority="18988" stopIfTrue="1" operator="equal">
      <formula>"Pass"</formula>
    </cfRule>
  </conditionalFormatting>
  <conditionalFormatting sqref="U913">
    <cfRule type="cellIs" dxfId="19147" priority="18985" stopIfTrue="1" operator="equal">
      <formula>"Fail"</formula>
    </cfRule>
    <cfRule type="cellIs" dxfId="19146" priority="18986" stopIfTrue="1" operator="equal">
      <formula>"Pass"</formula>
    </cfRule>
  </conditionalFormatting>
  <conditionalFormatting sqref="U913">
    <cfRule type="cellIs" dxfId="19145" priority="18983" stopIfTrue="1" operator="equal">
      <formula>"Fail"</formula>
    </cfRule>
    <cfRule type="cellIs" dxfId="19144" priority="18984" stopIfTrue="1" operator="equal">
      <formula>"Pass"</formula>
    </cfRule>
  </conditionalFormatting>
  <conditionalFormatting sqref="N913">
    <cfRule type="cellIs" dxfId="19143" priority="18981" stopIfTrue="1" operator="equal">
      <formula>"Pass"</formula>
    </cfRule>
    <cfRule type="cellIs" dxfId="19142" priority="18982" stopIfTrue="1" operator="equal">
      <formula>"Fail"</formula>
    </cfRule>
  </conditionalFormatting>
  <conditionalFormatting sqref="N913">
    <cfRule type="cellIs" dxfId="19141" priority="18979" stopIfTrue="1" operator="equal">
      <formula>"Pass"</formula>
    </cfRule>
    <cfRule type="cellIs" dxfId="19140" priority="18980" stopIfTrue="1" operator="equal">
      <formula>"Fail"</formula>
    </cfRule>
  </conditionalFormatting>
  <conditionalFormatting sqref="N913">
    <cfRule type="cellIs" dxfId="19139" priority="18977" stopIfTrue="1" operator="equal">
      <formula>"Pass"</formula>
    </cfRule>
    <cfRule type="cellIs" dxfId="19138" priority="18978" stopIfTrue="1" operator="equal">
      <formula>"Fail"</formula>
    </cfRule>
  </conditionalFormatting>
  <conditionalFormatting sqref="A910:A912">
    <cfRule type="cellIs" dxfId="19137" priority="18975" stopIfTrue="1" operator="equal">
      <formula>"Pass"</formula>
    </cfRule>
    <cfRule type="cellIs" dxfId="19136" priority="18976" stopIfTrue="1" operator="equal">
      <formula>"Fail"</formula>
    </cfRule>
  </conditionalFormatting>
  <conditionalFormatting sqref="A910:A912">
    <cfRule type="cellIs" dxfId="19135" priority="18973" stopIfTrue="1" operator="equal">
      <formula>"Pass"</formula>
    </cfRule>
    <cfRule type="cellIs" dxfId="19134" priority="18974" stopIfTrue="1" operator="equal">
      <formula>"Fail"</formula>
    </cfRule>
  </conditionalFormatting>
  <conditionalFormatting sqref="A910:A912">
    <cfRule type="cellIs" dxfId="19133" priority="18971" stopIfTrue="1" operator="equal">
      <formula>"Pass"</formula>
    </cfRule>
    <cfRule type="cellIs" dxfId="19132" priority="18972" stopIfTrue="1" operator="equal">
      <formula>"Fail"</formula>
    </cfRule>
  </conditionalFormatting>
  <conditionalFormatting sqref="A910:A912">
    <cfRule type="cellIs" dxfId="19131" priority="18969" stopIfTrue="1" operator="equal">
      <formula>"Pass"</formula>
    </cfRule>
    <cfRule type="cellIs" dxfId="19130" priority="18970" stopIfTrue="1" operator="equal">
      <formula>"Fail"</formula>
    </cfRule>
  </conditionalFormatting>
  <conditionalFormatting sqref="A910:A912">
    <cfRule type="cellIs" dxfId="19129" priority="18967" stopIfTrue="1" operator="equal">
      <formula>"Pass"</formula>
    </cfRule>
    <cfRule type="cellIs" dxfId="19128" priority="18968" stopIfTrue="1" operator="equal">
      <formula>"Fail"</formula>
    </cfRule>
  </conditionalFormatting>
  <conditionalFormatting sqref="A912">
    <cfRule type="cellIs" dxfId="19127" priority="18965" stopIfTrue="1" operator="equal">
      <formula>"Pass"</formula>
    </cfRule>
    <cfRule type="cellIs" dxfId="19126" priority="18966" stopIfTrue="1" operator="equal">
      <formula>"Fail"</formula>
    </cfRule>
  </conditionalFormatting>
  <conditionalFormatting sqref="A910:A912">
    <cfRule type="cellIs" dxfId="19125" priority="18963" stopIfTrue="1" operator="equal">
      <formula>"Pass"</formula>
    </cfRule>
    <cfRule type="cellIs" dxfId="19124" priority="18964" stopIfTrue="1" operator="equal">
      <formula>"Fail"</formula>
    </cfRule>
  </conditionalFormatting>
  <conditionalFormatting sqref="A910:A912">
    <cfRule type="cellIs" dxfId="19123" priority="18961" stopIfTrue="1" operator="equal">
      <formula>"Pass"</formula>
    </cfRule>
    <cfRule type="cellIs" dxfId="19122" priority="18962" stopIfTrue="1" operator="equal">
      <formula>"Fail"</formula>
    </cfRule>
  </conditionalFormatting>
  <conditionalFormatting sqref="A910:A912">
    <cfRule type="cellIs" dxfId="19121" priority="18959" stopIfTrue="1" operator="equal">
      <formula>"Pass"</formula>
    </cfRule>
    <cfRule type="cellIs" dxfId="19120" priority="18960" stopIfTrue="1" operator="equal">
      <formula>"Fail"</formula>
    </cfRule>
  </conditionalFormatting>
  <conditionalFormatting sqref="A910:A912">
    <cfRule type="cellIs" dxfId="19119" priority="18957" stopIfTrue="1" operator="equal">
      <formula>"Pass"</formula>
    </cfRule>
    <cfRule type="cellIs" dxfId="19118" priority="18958" stopIfTrue="1" operator="equal">
      <formula>"Fail"</formula>
    </cfRule>
  </conditionalFormatting>
  <conditionalFormatting sqref="A910:A912">
    <cfRule type="cellIs" dxfId="19117" priority="18955" stopIfTrue="1" operator="equal">
      <formula>"Pass"</formula>
    </cfRule>
    <cfRule type="cellIs" dxfId="19116" priority="18956" stopIfTrue="1" operator="equal">
      <formula>"Fail"</formula>
    </cfRule>
  </conditionalFormatting>
  <conditionalFormatting sqref="A910:A912">
    <cfRule type="cellIs" dxfId="19115" priority="18953" stopIfTrue="1" operator="equal">
      <formula>"Pass"</formula>
    </cfRule>
    <cfRule type="cellIs" dxfId="19114" priority="18954" stopIfTrue="1" operator="equal">
      <formula>"Fail"</formula>
    </cfRule>
  </conditionalFormatting>
  <conditionalFormatting sqref="A912">
    <cfRule type="cellIs" dxfId="19113" priority="18951" stopIfTrue="1" operator="equal">
      <formula>"Pass"</formula>
    </cfRule>
    <cfRule type="cellIs" dxfId="19112" priority="18952" stopIfTrue="1" operator="equal">
      <formula>"Fail"</formula>
    </cfRule>
  </conditionalFormatting>
  <conditionalFormatting sqref="A910:A912">
    <cfRule type="cellIs" dxfId="19111" priority="18949" stopIfTrue="1" operator="equal">
      <formula>"Pass"</formula>
    </cfRule>
    <cfRule type="cellIs" dxfId="19110" priority="18950" stopIfTrue="1" operator="equal">
      <formula>"Fail"</formula>
    </cfRule>
  </conditionalFormatting>
  <conditionalFormatting sqref="A910:A912">
    <cfRule type="cellIs" dxfId="19109" priority="18947" stopIfTrue="1" operator="equal">
      <formula>"Pass"</formula>
    </cfRule>
    <cfRule type="cellIs" dxfId="19108" priority="18948" stopIfTrue="1" operator="equal">
      <formula>"Fail"</formula>
    </cfRule>
  </conditionalFormatting>
  <conditionalFormatting sqref="A910:A912">
    <cfRule type="cellIs" dxfId="19107" priority="18945" stopIfTrue="1" operator="equal">
      <formula>"Pass"</formula>
    </cfRule>
    <cfRule type="cellIs" dxfId="19106" priority="18946" stopIfTrue="1" operator="equal">
      <formula>"Fail"</formula>
    </cfRule>
  </conditionalFormatting>
  <conditionalFormatting sqref="A910:A912">
    <cfRule type="cellIs" dxfId="19105" priority="18943" stopIfTrue="1" operator="equal">
      <formula>"Pass"</formula>
    </cfRule>
    <cfRule type="cellIs" dxfId="19104" priority="18944" stopIfTrue="1" operator="equal">
      <formula>"Fail"</formula>
    </cfRule>
  </conditionalFormatting>
  <conditionalFormatting sqref="A910:A912">
    <cfRule type="cellIs" dxfId="19103" priority="18941" stopIfTrue="1" operator="equal">
      <formula>"Pass"</formula>
    </cfRule>
    <cfRule type="cellIs" dxfId="19102" priority="18942" stopIfTrue="1" operator="equal">
      <formula>"Fail"</formula>
    </cfRule>
  </conditionalFormatting>
  <conditionalFormatting sqref="A910:A912">
    <cfRule type="cellIs" dxfId="19101" priority="18939" stopIfTrue="1" operator="equal">
      <formula>"Pass"</formula>
    </cfRule>
    <cfRule type="cellIs" dxfId="19100" priority="18940" stopIfTrue="1" operator="equal">
      <formula>"Fail"</formula>
    </cfRule>
  </conditionalFormatting>
  <conditionalFormatting sqref="A912">
    <cfRule type="cellIs" dxfId="19099" priority="18937" stopIfTrue="1" operator="equal">
      <formula>"Pass"</formula>
    </cfRule>
    <cfRule type="cellIs" dxfId="19098" priority="18938" stopIfTrue="1" operator="equal">
      <formula>"Fail"</formula>
    </cfRule>
  </conditionalFormatting>
  <conditionalFormatting sqref="A910:A912">
    <cfRule type="cellIs" dxfId="19097" priority="18935" stopIfTrue="1" operator="equal">
      <formula>"Pass"</formula>
    </cfRule>
    <cfRule type="cellIs" dxfId="19096" priority="18936" stopIfTrue="1" operator="equal">
      <formula>"Fail"</formula>
    </cfRule>
  </conditionalFormatting>
  <conditionalFormatting sqref="A913:A915">
    <cfRule type="cellIs" dxfId="19095" priority="18933" stopIfTrue="1" operator="equal">
      <formula>"Pass"</formula>
    </cfRule>
    <cfRule type="cellIs" dxfId="19094" priority="18934" stopIfTrue="1" operator="equal">
      <formula>"Fail"</formula>
    </cfRule>
  </conditionalFormatting>
  <conditionalFormatting sqref="A913:A915">
    <cfRule type="cellIs" dxfId="19093" priority="18931" stopIfTrue="1" operator="equal">
      <formula>"Pass"</formula>
    </cfRule>
    <cfRule type="cellIs" dxfId="19092" priority="18932" stopIfTrue="1" operator="equal">
      <formula>"Fail"</formula>
    </cfRule>
  </conditionalFormatting>
  <conditionalFormatting sqref="A913:A915">
    <cfRule type="cellIs" dxfId="19091" priority="18929" stopIfTrue="1" operator="equal">
      <formula>"Pass"</formula>
    </cfRule>
    <cfRule type="cellIs" dxfId="19090" priority="18930" stopIfTrue="1" operator="equal">
      <formula>"Fail"</formula>
    </cfRule>
  </conditionalFormatting>
  <conditionalFormatting sqref="A913:A915">
    <cfRule type="cellIs" dxfId="19089" priority="18927" stopIfTrue="1" operator="equal">
      <formula>"Pass"</formula>
    </cfRule>
    <cfRule type="cellIs" dxfId="19088" priority="18928" stopIfTrue="1" operator="equal">
      <formula>"Fail"</formula>
    </cfRule>
  </conditionalFormatting>
  <conditionalFormatting sqref="A913:A915">
    <cfRule type="cellIs" dxfId="19087" priority="18925" stopIfTrue="1" operator="equal">
      <formula>"Pass"</formula>
    </cfRule>
    <cfRule type="cellIs" dxfId="19086" priority="18926" stopIfTrue="1" operator="equal">
      <formula>"Fail"</formula>
    </cfRule>
  </conditionalFormatting>
  <conditionalFormatting sqref="A915">
    <cfRule type="cellIs" dxfId="19085" priority="18923" stopIfTrue="1" operator="equal">
      <formula>"Pass"</formula>
    </cfRule>
    <cfRule type="cellIs" dxfId="19084" priority="18924" stopIfTrue="1" operator="equal">
      <formula>"Fail"</formula>
    </cfRule>
  </conditionalFormatting>
  <conditionalFormatting sqref="A913:A915">
    <cfRule type="cellIs" dxfId="19083" priority="18921" stopIfTrue="1" operator="equal">
      <formula>"Pass"</formula>
    </cfRule>
    <cfRule type="cellIs" dxfId="19082" priority="18922" stopIfTrue="1" operator="equal">
      <formula>"Fail"</formula>
    </cfRule>
  </conditionalFormatting>
  <conditionalFormatting sqref="A913:A915">
    <cfRule type="cellIs" dxfId="19081" priority="18919" stopIfTrue="1" operator="equal">
      <formula>"Pass"</formula>
    </cfRule>
    <cfRule type="cellIs" dxfId="19080" priority="18920" stopIfTrue="1" operator="equal">
      <formula>"Fail"</formula>
    </cfRule>
  </conditionalFormatting>
  <conditionalFormatting sqref="A913:A915">
    <cfRule type="cellIs" dxfId="19079" priority="18917" stopIfTrue="1" operator="equal">
      <formula>"Pass"</formula>
    </cfRule>
    <cfRule type="cellIs" dxfId="19078" priority="18918" stopIfTrue="1" operator="equal">
      <formula>"Fail"</formula>
    </cfRule>
  </conditionalFormatting>
  <conditionalFormatting sqref="A913:A915">
    <cfRule type="cellIs" dxfId="19077" priority="18915" stopIfTrue="1" operator="equal">
      <formula>"Pass"</formula>
    </cfRule>
    <cfRule type="cellIs" dxfId="19076" priority="18916" stopIfTrue="1" operator="equal">
      <formula>"Fail"</formula>
    </cfRule>
  </conditionalFormatting>
  <conditionalFormatting sqref="A913:A915">
    <cfRule type="cellIs" dxfId="19075" priority="18913" stopIfTrue="1" operator="equal">
      <formula>"Pass"</formula>
    </cfRule>
    <cfRule type="cellIs" dxfId="19074" priority="18914" stopIfTrue="1" operator="equal">
      <formula>"Fail"</formula>
    </cfRule>
  </conditionalFormatting>
  <conditionalFormatting sqref="A913:A915">
    <cfRule type="cellIs" dxfId="19073" priority="18911" stopIfTrue="1" operator="equal">
      <formula>"Pass"</formula>
    </cfRule>
    <cfRule type="cellIs" dxfId="19072" priority="18912" stopIfTrue="1" operator="equal">
      <formula>"Fail"</formula>
    </cfRule>
  </conditionalFormatting>
  <conditionalFormatting sqref="A915">
    <cfRule type="cellIs" dxfId="19071" priority="18909" stopIfTrue="1" operator="equal">
      <formula>"Pass"</formula>
    </cfRule>
    <cfRule type="cellIs" dxfId="19070" priority="18910" stopIfTrue="1" operator="equal">
      <formula>"Fail"</formula>
    </cfRule>
  </conditionalFormatting>
  <conditionalFormatting sqref="A913:A915">
    <cfRule type="cellIs" dxfId="19069" priority="18907" stopIfTrue="1" operator="equal">
      <formula>"Pass"</formula>
    </cfRule>
    <cfRule type="cellIs" dxfId="19068" priority="18908" stopIfTrue="1" operator="equal">
      <formula>"Fail"</formula>
    </cfRule>
  </conditionalFormatting>
  <conditionalFormatting sqref="A913:A915">
    <cfRule type="cellIs" dxfId="19067" priority="18905" stopIfTrue="1" operator="equal">
      <formula>"Pass"</formula>
    </cfRule>
    <cfRule type="cellIs" dxfId="19066" priority="18906" stopIfTrue="1" operator="equal">
      <formula>"Fail"</formula>
    </cfRule>
  </conditionalFormatting>
  <conditionalFormatting sqref="A913:A915">
    <cfRule type="cellIs" dxfId="19065" priority="18903" stopIfTrue="1" operator="equal">
      <formula>"Pass"</formula>
    </cfRule>
    <cfRule type="cellIs" dxfId="19064" priority="18904" stopIfTrue="1" operator="equal">
      <formula>"Fail"</formula>
    </cfRule>
  </conditionalFormatting>
  <conditionalFormatting sqref="A913:A915">
    <cfRule type="cellIs" dxfId="19063" priority="18901" stopIfTrue="1" operator="equal">
      <formula>"Pass"</formula>
    </cfRule>
    <cfRule type="cellIs" dxfId="19062" priority="18902" stopIfTrue="1" operator="equal">
      <formula>"Fail"</formula>
    </cfRule>
  </conditionalFormatting>
  <conditionalFormatting sqref="A913:A915">
    <cfRule type="cellIs" dxfId="19061" priority="18899" stopIfTrue="1" operator="equal">
      <formula>"Pass"</formula>
    </cfRule>
    <cfRule type="cellIs" dxfId="19060" priority="18900" stopIfTrue="1" operator="equal">
      <formula>"Fail"</formula>
    </cfRule>
  </conditionalFormatting>
  <conditionalFormatting sqref="A913:A915">
    <cfRule type="cellIs" dxfId="19059" priority="18897" stopIfTrue="1" operator="equal">
      <formula>"Pass"</formula>
    </cfRule>
    <cfRule type="cellIs" dxfId="19058" priority="18898" stopIfTrue="1" operator="equal">
      <formula>"Fail"</formula>
    </cfRule>
  </conditionalFormatting>
  <conditionalFormatting sqref="A915">
    <cfRule type="cellIs" dxfId="19057" priority="18895" stopIfTrue="1" operator="equal">
      <formula>"Pass"</formula>
    </cfRule>
    <cfRule type="cellIs" dxfId="19056" priority="18896" stopIfTrue="1" operator="equal">
      <formula>"Fail"</formula>
    </cfRule>
  </conditionalFormatting>
  <conditionalFormatting sqref="A913:A915">
    <cfRule type="cellIs" dxfId="19055" priority="18893" stopIfTrue="1" operator="equal">
      <formula>"Pass"</formula>
    </cfRule>
    <cfRule type="cellIs" dxfId="19054" priority="18894" stopIfTrue="1" operator="equal">
      <formula>"Fail"</formula>
    </cfRule>
  </conditionalFormatting>
  <conditionalFormatting sqref="H913:H914">
    <cfRule type="cellIs" dxfId="19053" priority="18891" stopIfTrue="1" operator="equal">
      <formula>"Pass"</formula>
    </cfRule>
    <cfRule type="cellIs" dxfId="19052" priority="18892" stopIfTrue="1" operator="equal">
      <formula>"Fail"</formula>
    </cfRule>
  </conditionalFormatting>
  <conditionalFormatting sqref="F913 I913:M914 F915">
    <cfRule type="cellIs" dxfId="19051" priority="18889" stopIfTrue="1" operator="equal">
      <formula>"Pass"</formula>
    </cfRule>
    <cfRule type="cellIs" dxfId="19050" priority="18890" stopIfTrue="1" operator="equal">
      <formula>"Fail"</formula>
    </cfRule>
  </conditionalFormatting>
  <conditionalFormatting sqref="T915 T913 R913:R915 S914:S915">
    <cfRule type="cellIs" dxfId="19049" priority="18887" stopIfTrue="1" operator="equal">
      <formula>"Fail"</formula>
    </cfRule>
    <cfRule type="cellIs" dxfId="19048" priority="18888" stopIfTrue="1" operator="equal">
      <formula>"Pass"</formula>
    </cfRule>
  </conditionalFormatting>
  <conditionalFormatting sqref="F913:G913 F915:G915 J913:N914">
    <cfRule type="cellIs" dxfId="19047" priority="18885" stopIfTrue="1" operator="equal">
      <formula>"Pass"</formula>
    </cfRule>
    <cfRule type="cellIs" dxfId="19046" priority="18886" stopIfTrue="1" operator="equal">
      <formula>"Fail"</formula>
    </cfRule>
  </conditionalFormatting>
  <conditionalFormatting sqref="U915 T913:T915 S914:S915">
    <cfRule type="cellIs" dxfId="19045" priority="18883" stopIfTrue="1" operator="equal">
      <formula>"Fail"</formula>
    </cfRule>
    <cfRule type="cellIs" dxfId="19044" priority="18884" stopIfTrue="1" operator="equal">
      <formula>"Pass"</formula>
    </cfRule>
  </conditionalFormatting>
  <conditionalFormatting sqref="U913">
    <cfRule type="cellIs" dxfId="19043" priority="18881" stopIfTrue="1" operator="equal">
      <formula>"Fail"</formula>
    </cfRule>
    <cfRule type="cellIs" dxfId="19042" priority="18882" stopIfTrue="1" operator="equal">
      <formula>"Pass"</formula>
    </cfRule>
  </conditionalFormatting>
  <conditionalFormatting sqref="F913:G913 J913:N913">
    <cfRule type="cellIs" dxfId="19041" priority="18879" stopIfTrue="1" operator="equal">
      <formula>"Pass"</formula>
    </cfRule>
    <cfRule type="cellIs" dxfId="19040" priority="18880" stopIfTrue="1" operator="equal">
      <formula>"Fail"</formula>
    </cfRule>
  </conditionalFormatting>
  <conditionalFormatting sqref="J914:N914">
    <cfRule type="cellIs" dxfId="19039" priority="18877" stopIfTrue="1" operator="equal">
      <formula>"Pass"</formula>
    </cfRule>
    <cfRule type="cellIs" dxfId="19038" priority="18878" stopIfTrue="1" operator="equal">
      <formula>"Fail"</formula>
    </cfRule>
  </conditionalFormatting>
  <conditionalFormatting sqref="H913:H914">
    <cfRule type="cellIs" dxfId="19037" priority="18875" stopIfTrue="1" operator="equal">
      <formula>"Pass"</formula>
    </cfRule>
    <cfRule type="cellIs" dxfId="19036" priority="18876" stopIfTrue="1" operator="equal">
      <formula>"Fail"</formula>
    </cfRule>
  </conditionalFormatting>
  <conditionalFormatting sqref="F913 I913:M914 F915">
    <cfRule type="cellIs" dxfId="19035" priority="18873" stopIfTrue="1" operator="equal">
      <formula>"Pass"</formula>
    </cfRule>
    <cfRule type="cellIs" dxfId="19034" priority="18874" stopIfTrue="1" operator="equal">
      <formula>"Fail"</formula>
    </cfRule>
  </conditionalFormatting>
  <conditionalFormatting sqref="T915 T913 R913:R915 S914:S915">
    <cfRule type="cellIs" dxfId="19033" priority="18871" stopIfTrue="1" operator="equal">
      <formula>"Fail"</formula>
    </cfRule>
    <cfRule type="cellIs" dxfId="19032" priority="18872" stopIfTrue="1" operator="equal">
      <formula>"Pass"</formula>
    </cfRule>
  </conditionalFormatting>
  <conditionalFormatting sqref="F913:G913 F915:G915 J913:N914">
    <cfRule type="cellIs" dxfId="19031" priority="18869" stopIfTrue="1" operator="equal">
      <formula>"Pass"</formula>
    </cfRule>
    <cfRule type="cellIs" dxfId="19030" priority="18870" stopIfTrue="1" operator="equal">
      <formula>"Fail"</formula>
    </cfRule>
  </conditionalFormatting>
  <conditionalFormatting sqref="U915 T913:T915 S914:S915">
    <cfRule type="cellIs" dxfId="19029" priority="18867" stopIfTrue="1" operator="equal">
      <formula>"Fail"</formula>
    </cfRule>
    <cfRule type="cellIs" dxfId="19028" priority="18868" stopIfTrue="1" operator="equal">
      <formula>"Pass"</formula>
    </cfRule>
  </conditionalFormatting>
  <conditionalFormatting sqref="U913">
    <cfRule type="cellIs" dxfId="19027" priority="18865" stopIfTrue="1" operator="equal">
      <formula>"Fail"</formula>
    </cfRule>
    <cfRule type="cellIs" dxfId="19026" priority="18866" stopIfTrue="1" operator="equal">
      <formula>"Pass"</formula>
    </cfRule>
  </conditionalFormatting>
  <conditionalFormatting sqref="F913:G913 J913:N913">
    <cfRule type="cellIs" dxfId="19025" priority="18863" stopIfTrue="1" operator="equal">
      <formula>"Pass"</formula>
    </cfRule>
    <cfRule type="cellIs" dxfId="19024" priority="18864" stopIfTrue="1" operator="equal">
      <formula>"Fail"</formula>
    </cfRule>
  </conditionalFormatting>
  <conditionalFormatting sqref="J914:N914">
    <cfRule type="cellIs" dxfId="19023" priority="18861" stopIfTrue="1" operator="equal">
      <formula>"Pass"</formula>
    </cfRule>
    <cfRule type="cellIs" dxfId="19022" priority="18862" stopIfTrue="1" operator="equal">
      <formula>"Fail"</formula>
    </cfRule>
  </conditionalFormatting>
  <conditionalFormatting sqref="H913:H914">
    <cfRule type="cellIs" dxfId="19021" priority="18859" stopIfTrue="1" operator="equal">
      <formula>"Pass"</formula>
    </cfRule>
    <cfRule type="cellIs" dxfId="19020" priority="18860" stopIfTrue="1" operator="equal">
      <formula>"Fail"</formula>
    </cfRule>
  </conditionalFormatting>
  <conditionalFormatting sqref="F913 I913:M914 F915">
    <cfRule type="cellIs" dxfId="19019" priority="18857" stopIfTrue="1" operator="equal">
      <formula>"Pass"</formula>
    </cfRule>
    <cfRule type="cellIs" dxfId="19018" priority="18858" stopIfTrue="1" operator="equal">
      <formula>"Fail"</formula>
    </cfRule>
  </conditionalFormatting>
  <conditionalFormatting sqref="T915 T913 R913:R915 S914:S915">
    <cfRule type="cellIs" dxfId="19017" priority="18855" stopIfTrue="1" operator="equal">
      <formula>"Fail"</formula>
    </cfRule>
    <cfRule type="cellIs" dxfId="19016" priority="18856" stopIfTrue="1" operator="equal">
      <formula>"Pass"</formula>
    </cfRule>
  </conditionalFormatting>
  <conditionalFormatting sqref="F913:G913 F915:G915 J913:N914">
    <cfRule type="cellIs" dxfId="19015" priority="18853" stopIfTrue="1" operator="equal">
      <formula>"Pass"</formula>
    </cfRule>
    <cfRule type="cellIs" dxfId="19014" priority="18854" stopIfTrue="1" operator="equal">
      <formula>"Fail"</formula>
    </cfRule>
  </conditionalFormatting>
  <conditionalFormatting sqref="U915 T913:T915 S914:S915">
    <cfRule type="cellIs" dxfId="19013" priority="18851" stopIfTrue="1" operator="equal">
      <formula>"Fail"</formula>
    </cfRule>
    <cfRule type="cellIs" dxfId="19012" priority="18852" stopIfTrue="1" operator="equal">
      <formula>"Pass"</formula>
    </cfRule>
  </conditionalFormatting>
  <conditionalFormatting sqref="U913">
    <cfRule type="cellIs" dxfId="19011" priority="18849" stopIfTrue="1" operator="equal">
      <formula>"Fail"</formula>
    </cfRule>
    <cfRule type="cellIs" dxfId="19010" priority="18850" stopIfTrue="1" operator="equal">
      <formula>"Pass"</formula>
    </cfRule>
  </conditionalFormatting>
  <conditionalFormatting sqref="F913:G913 J913:N913">
    <cfRule type="cellIs" dxfId="19009" priority="18847" stopIfTrue="1" operator="equal">
      <formula>"Pass"</formula>
    </cfRule>
    <cfRule type="cellIs" dxfId="19008" priority="18848" stopIfTrue="1" operator="equal">
      <formula>"Fail"</formula>
    </cfRule>
  </conditionalFormatting>
  <conditionalFormatting sqref="J914:N914">
    <cfRule type="cellIs" dxfId="19007" priority="18845" stopIfTrue="1" operator="equal">
      <formula>"Pass"</formula>
    </cfRule>
    <cfRule type="cellIs" dxfId="19006" priority="18846" stopIfTrue="1" operator="equal">
      <formula>"Fail"</formula>
    </cfRule>
  </conditionalFormatting>
  <conditionalFormatting sqref="U913">
    <cfRule type="cellIs" dxfId="19005" priority="18843" stopIfTrue="1" operator="equal">
      <formula>"Fail"</formula>
    </cfRule>
    <cfRule type="cellIs" dxfId="19004" priority="18844" stopIfTrue="1" operator="equal">
      <formula>"Pass"</formula>
    </cfRule>
  </conditionalFormatting>
  <conditionalFormatting sqref="U913">
    <cfRule type="cellIs" dxfId="19003" priority="18841" stopIfTrue="1" operator="equal">
      <formula>"Fail"</formula>
    </cfRule>
    <cfRule type="cellIs" dxfId="19002" priority="18842" stopIfTrue="1" operator="equal">
      <formula>"Pass"</formula>
    </cfRule>
  </conditionalFormatting>
  <conditionalFormatting sqref="U913">
    <cfRule type="cellIs" dxfId="19001" priority="18839" stopIfTrue="1" operator="equal">
      <formula>"Fail"</formula>
    </cfRule>
    <cfRule type="cellIs" dxfId="19000" priority="18840" stopIfTrue="1" operator="equal">
      <formula>"Pass"</formula>
    </cfRule>
  </conditionalFormatting>
  <conditionalFormatting sqref="N913">
    <cfRule type="cellIs" dxfId="18999" priority="18837" stopIfTrue="1" operator="equal">
      <formula>"Pass"</formula>
    </cfRule>
    <cfRule type="cellIs" dxfId="18998" priority="18838" stopIfTrue="1" operator="equal">
      <formula>"Fail"</formula>
    </cfRule>
  </conditionalFormatting>
  <conditionalFormatting sqref="N913">
    <cfRule type="cellIs" dxfId="18997" priority="18835" stopIfTrue="1" operator="equal">
      <formula>"Pass"</formula>
    </cfRule>
    <cfRule type="cellIs" dxfId="18996" priority="18836" stopIfTrue="1" operator="equal">
      <formula>"Fail"</formula>
    </cfRule>
  </conditionalFormatting>
  <conditionalFormatting sqref="N913">
    <cfRule type="cellIs" dxfId="18995" priority="18833" stopIfTrue="1" operator="equal">
      <formula>"Pass"</formula>
    </cfRule>
    <cfRule type="cellIs" dxfId="18994" priority="18834" stopIfTrue="1" operator="equal">
      <formula>"Fail"</formula>
    </cfRule>
  </conditionalFormatting>
  <conditionalFormatting sqref="U910">
    <cfRule type="cellIs" dxfId="18993" priority="18831" stopIfTrue="1" operator="equal">
      <formula>"Fail"</formula>
    </cfRule>
    <cfRule type="cellIs" dxfId="18992" priority="18832" stopIfTrue="1" operator="equal">
      <formula>"Pass"</formula>
    </cfRule>
  </conditionalFormatting>
  <conditionalFormatting sqref="U910">
    <cfRule type="cellIs" dxfId="18991" priority="18829" stopIfTrue="1" operator="equal">
      <formula>"Fail"</formula>
    </cfRule>
    <cfRule type="cellIs" dxfId="18990" priority="18830" stopIfTrue="1" operator="equal">
      <formula>"Pass"</formula>
    </cfRule>
  </conditionalFormatting>
  <conditionalFormatting sqref="U910">
    <cfRule type="cellIs" dxfId="18989" priority="18827" stopIfTrue="1" operator="equal">
      <formula>"Fail"</formula>
    </cfRule>
    <cfRule type="cellIs" dxfId="18988" priority="18828" stopIfTrue="1" operator="equal">
      <formula>"Pass"</formula>
    </cfRule>
  </conditionalFormatting>
  <conditionalFormatting sqref="U910">
    <cfRule type="cellIs" dxfId="18987" priority="18825" stopIfTrue="1" operator="equal">
      <formula>"Fail"</formula>
    </cfRule>
    <cfRule type="cellIs" dxfId="18986" priority="18826" stopIfTrue="1" operator="equal">
      <formula>"Pass"</formula>
    </cfRule>
  </conditionalFormatting>
  <conditionalFormatting sqref="U913">
    <cfRule type="cellIs" dxfId="18985" priority="18823" stopIfTrue="1" operator="equal">
      <formula>"Fail"</formula>
    </cfRule>
    <cfRule type="cellIs" dxfId="18984" priority="18824" stopIfTrue="1" operator="equal">
      <formula>"Pass"</formula>
    </cfRule>
  </conditionalFormatting>
  <conditionalFormatting sqref="U913">
    <cfRule type="cellIs" dxfId="18983" priority="18821" stopIfTrue="1" operator="equal">
      <formula>"Fail"</formula>
    </cfRule>
    <cfRule type="cellIs" dxfId="18982" priority="18822" stopIfTrue="1" operator="equal">
      <formula>"Pass"</formula>
    </cfRule>
  </conditionalFormatting>
  <conditionalFormatting sqref="U913">
    <cfRule type="cellIs" dxfId="18981" priority="18819" stopIfTrue="1" operator="equal">
      <formula>"Fail"</formula>
    </cfRule>
    <cfRule type="cellIs" dxfId="18980" priority="18820" stopIfTrue="1" operator="equal">
      <formula>"Pass"</formula>
    </cfRule>
  </conditionalFormatting>
  <conditionalFormatting sqref="U913">
    <cfRule type="cellIs" dxfId="18979" priority="18817" stopIfTrue="1" operator="equal">
      <formula>"Fail"</formula>
    </cfRule>
    <cfRule type="cellIs" dxfId="18978" priority="18818" stopIfTrue="1" operator="equal">
      <formula>"Pass"</formula>
    </cfRule>
  </conditionalFormatting>
  <conditionalFormatting sqref="H916:H917">
    <cfRule type="cellIs" dxfId="18977" priority="18815" stopIfTrue="1" operator="equal">
      <formula>"Pass"</formula>
    </cfRule>
    <cfRule type="cellIs" dxfId="18976" priority="18816" stopIfTrue="1" operator="equal">
      <formula>"Fail"</formula>
    </cfRule>
  </conditionalFormatting>
  <conditionalFormatting sqref="E916:F916 E918:F918 I916:M917 A916:A924">
    <cfRule type="cellIs" dxfId="18975" priority="18813" stopIfTrue="1" operator="equal">
      <formula>"Pass"</formula>
    </cfRule>
    <cfRule type="cellIs" dxfId="18974" priority="18814" stopIfTrue="1" operator="equal">
      <formula>"Fail"</formula>
    </cfRule>
  </conditionalFormatting>
  <conditionalFormatting sqref="T918 T916 R916:R918 S917:S918">
    <cfRule type="cellIs" dxfId="18973" priority="18811" stopIfTrue="1" operator="equal">
      <formula>"Fail"</formula>
    </cfRule>
    <cfRule type="cellIs" dxfId="18972" priority="18812" stopIfTrue="1" operator="equal">
      <formula>"Pass"</formula>
    </cfRule>
  </conditionalFormatting>
  <conditionalFormatting sqref="F916:G916 F918:G918 A916:B918 J916:N917 A919:A924">
    <cfRule type="cellIs" dxfId="18971" priority="18809" stopIfTrue="1" operator="equal">
      <formula>"Pass"</formula>
    </cfRule>
    <cfRule type="cellIs" dxfId="18970" priority="18810" stopIfTrue="1" operator="equal">
      <formula>"Fail"</formula>
    </cfRule>
  </conditionalFormatting>
  <conditionalFormatting sqref="U918 U916 T916:T918 S917:S918">
    <cfRule type="cellIs" dxfId="18969" priority="18807" stopIfTrue="1" operator="equal">
      <formula>"Fail"</formula>
    </cfRule>
    <cfRule type="cellIs" dxfId="18968" priority="18808" stopIfTrue="1" operator="equal">
      <formula>"Pass"</formula>
    </cfRule>
  </conditionalFormatting>
  <conditionalFormatting sqref="A916:A924">
    <cfRule type="cellIs" dxfId="18967" priority="18805" stopIfTrue="1" operator="equal">
      <formula>"Pass"</formula>
    </cfRule>
    <cfRule type="cellIs" dxfId="18966" priority="18806" stopIfTrue="1" operator="equal">
      <formula>"Fail"</formula>
    </cfRule>
  </conditionalFormatting>
  <conditionalFormatting sqref="A916:A924">
    <cfRule type="cellIs" dxfId="18965" priority="18803" stopIfTrue="1" operator="equal">
      <formula>"Pass"</formula>
    </cfRule>
    <cfRule type="cellIs" dxfId="18964" priority="18804" stopIfTrue="1" operator="equal">
      <formula>"Fail"</formula>
    </cfRule>
  </conditionalFormatting>
  <conditionalFormatting sqref="A916:A924">
    <cfRule type="cellIs" dxfId="18963" priority="18801" stopIfTrue="1" operator="equal">
      <formula>"Pass"</formula>
    </cfRule>
    <cfRule type="cellIs" dxfId="18962" priority="18802" stopIfTrue="1" operator="equal">
      <formula>"Fail"</formula>
    </cfRule>
  </conditionalFormatting>
  <conditionalFormatting sqref="J916:N917 E916:G918">
    <cfRule type="cellIs" dxfId="18961" priority="18799" stopIfTrue="1" operator="equal">
      <formula>"Pass"</formula>
    </cfRule>
    <cfRule type="cellIs" dxfId="18960" priority="18800" stopIfTrue="1" operator="equal">
      <formula>"Fail"</formula>
    </cfRule>
  </conditionalFormatting>
  <conditionalFormatting sqref="A918 C918 K916:O917 F916:H918 A921 A924">
    <cfRule type="cellIs" dxfId="18959" priority="18797" stopIfTrue="1" operator="equal">
      <formula>"Pass"</formula>
    </cfRule>
    <cfRule type="cellIs" dxfId="18958" priority="18798" stopIfTrue="1" operator="equal">
      <formula>"Fail"</formula>
    </cfRule>
  </conditionalFormatting>
  <conditionalFormatting sqref="T916">
    <cfRule type="cellIs" dxfId="18957" priority="18795" stopIfTrue="1" operator="equal">
      <formula>"Fail"</formula>
    </cfRule>
    <cfRule type="cellIs" dxfId="18956" priority="18796" stopIfTrue="1" operator="equal">
      <formula>"Pass"</formula>
    </cfRule>
  </conditionalFormatting>
  <conditionalFormatting sqref="A916:A924">
    <cfRule type="cellIs" dxfId="18955" priority="18793" stopIfTrue="1" operator="equal">
      <formula>"Pass"</formula>
    </cfRule>
    <cfRule type="cellIs" dxfId="18954" priority="18794" stopIfTrue="1" operator="equal">
      <formula>"Fail"</formula>
    </cfRule>
  </conditionalFormatting>
  <conditionalFormatting sqref="A916:A924">
    <cfRule type="cellIs" dxfId="18953" priority="18791" stopIfTrue="1" operator="equal">
      <formula>"Pass"</formula>
    </cfRule>
    <cfRule type="cellIs" dxfId="18952" priority="18792" stopIfTrue="1" operator="equal">
      <formula>"Fail"</formula>
    </cfRule>
  </conditionalFormatting>
  <conditionalFormatting sqref="A916:A924">
    <cfRule type="cellIs" dxfId="18951" priority="18789" stopIfTrue="1" operator="equal">
      <formula>"Pass"</formula>
    </cfRule>
    <cfRule type="cellIs" dxfId="18950" priority="18790" stopIfTrue="1" operator="equal">
      <formula>"Fail"</formula>
    </cfRule>
  </conditionalFormatting>
  <conditionalFormatting sqref="A916:A924">
    <cfRule type="cellIs" dxfId="18949" priority="18787" stopIfTrue="1" operator="equal">
      <formula>"Pass"</formula>
    </cfRule>
    <cfRule type="cellIs" dxfId="18948" priority="18788" stopIfTrue="1" operator="equal">
      <formula>"Fail"</formula>
    </cfRule>
  </conditionalFormatting>
  <conditionalFormatting sqref="A916:A924">
    <cfRule type="cellIs" dxfId="18947" priority="18785" stopIfTrue="1" operator="equal">
      <formula>"Pass"</formula>
    </cfRule>
    <cfRule type="cellIs" dxfId="18946" priority="18786" stopIfTrue="1" operator="equal">
      <formula>"Fail"</formula>
    </cfRule>
  </conditionalFormatting>
  <conditionalFormatting sqref="A916:A924">
    <cfRule type="cellIs" dxfId="18945" priority="18783" stopIfTrue="1" operator="equal">
      <formula>"Pass"</formula>
    </cfRule>
    <cfRule type="cellIs" dxfId="18944" priority="18784" stopIfTrue="1" operator="equal">
      <formula>"Fail"</formula>
    </cfRule>
  </conditionalFormatting>
  <conditionalFormatting sqref="A918 A921 A924">
    <cfRule type="cellIs" dxfId="18943" priority="18781" stopIfTrue="1" operator="equal">
      <formula>"Pass"</formula>
    </cfRule>
    <cfRule type="cellIs" dxfId="18942" priority="18782" stopIfTrue="1" operator="equal">
      <formula>"Fail"</formula>
    </cfRule>
  </conditionalFormatting>
  <conditionalFormatting sqref="A916:A924">
    <cfRule type="cellIs" dxfId="18941" priority="18779" stopIfTrue="1" operator="equal">
      <formula>"Pass"</formula>
    </cfRule>
    <cfRule type="cellIs" dxfId="18940" priority="18780" stopIfTrue="1" operator="equal">
      <formula>"Fail"</formula>
    </cfRule>
  </conditionalFormatting>
  <conditionalFormatting sqref="A916:A924">
    <cfRule type="cellIs" dxfId="18939" priority="18777" stopIfTrue="1" operator="equal">
      <formula>"Pass"</formula>
    </cfRule>
    <cfRule type="cellIs" dxfId="18938" priority="18778" stopIfTrue="1" operator="equal">
      <formula>"Fail"</formula>
    </cfRule>
  </conditionalFormatting>
  <conditionalFormatting sqref="A916:A924">
    <cfRule type="cellIs" dxfId="18937" priority="18775" stopIfTrue="1" operator="equal">
      <formula>"Pass"</formula>
    </cfRule>
    <cfRule type="cellIs" dxfId="18936" priority="18776" stopIfTrue="1" operator="equal">
      <formula>"Fail"</formula>
    </cfRule>
  </conditionalFormatting>
  <conditionalFormatting sqref="A916:A924">
    <cfRule type="cellIs" dxfId="18935" priority="18773" stopIfTrue="1" operator="equal">
      <formula>"Pass"</formula>
    </cfRule>
    <cfRule type="cellIs" dxfId="18934" priority="18774" stopIfTrue="1" operator="equal">
      <formula>"Fail"</formula>
    </cfRule>
  </conditionalFormatting>
  <conditionalFormatting sqref="A916:A924">
    <cfRule type="cellIs" dxfId="18933" priority="18771" stopIfTrue="1" operator="equal">
      <formula>"Pass"</formula>
    </cfRule>
    <cfRule type="cellIs" dxfId="18932" priority="18772" stopIfTrue="1" operator="equal">
      <formula>"Fail"</formula>
    </cfRule>
  </conditionalFormatting>
  <conditionalFormatting sqref="A916:A924">
    <cfRule type="cellIs" dxfId="18931" priority="18769" stopIfTrue="1" operator="equal">
      <formula>"Pass"</formula>
    </cfRule>
    <cfRule type="cellIs" dxfId="18930" priority="18770" stopIfTrue="1" operator="equal">
      <formula>"Fail"</formula>
    </cfRule>
  </conditionalFormatting>
  <conditionalFormatting sqref="A918 A921 A924">
    <cfRule type="cellIs" dxfId="18929" priority="18767" stopIfTrue="1" operator="equal">
      <formula>"Pass"</formula>
    </cfRule>
    <cfRule type="cellIs" dxfId="18928" priority="18768" stopIfTrue="1" operator="equal">
      <formula>"Fail"</formula>
    </cfRule>
  </conditionalFormatting>
  <conditionalFormatting sqref="A916:A924">
    <cfRule type="cellIs" dxfId="18927" priority="18765" stopIfTrue="1" operator="equal">
      <formula>"Pass"</formula>
    </cfRule>
    <cfRule type="cellIs" dxfId="18926" priority="18766" stopIfTrue="1" operator="equal">
      <formula>"Fail"</formula>
    </cfRule>
  </conditionalFormatting>
  <conditionalFormatting sqref="H916:H917">
    <cfRule type="cellIs" dxfId="18925" priority="18763" stopIfTrue="1" operator="equal">
      <formula>"Pass"</formula>
    </cfRule>
    <cfRule type="cellIs" dxfId="18924" priority="18764" stopIfTrue="1" operator="equal">
      <formula>"Fail"</formula>
    </cfRule>
  </conditionalFormatting>
  <conditionalFormatting sqref="F916 F918 I916:M917">
    <cfRule type="cellIs" dxfId="18923" priority="18761" stopIfTrue="1" operator="equal">
      <formula>"Pass"</formula>
    </cfRule>
    <cfRule type="cellIs" dxfId="18922" priority="18762" stopIfTrue="1" operator="equal">
      <formula>"Fail"</formula>
    </cfRule>
  </conditionalFormatting>
  <conditionalFormatting sqref="T918 T916 R916:R918 S917:S918">
    <cfRule type="cellIs" dxfId="18921" priority="18759" stopIfTrue="1" operator="equal">
      <formula>"Fail"</formula>
    </cfRule>
    <cfRule type="cellIs" dxfId="18920" priority="18760" stopIfTrue="1" operator="equal">
      <formula>"Pass"</formula>
    </cfRule>
  </conditionalFormatting>
  <conditionalFormatting sqref="F916:G916 F918:G918 J916:N917">
    <cfRule type="cellIs" dxfId="18919" priority="18757" stopIfTrue="1" operator="equal">
      <formula>"Pass"</formula>
    </cfRule>
    <cfRule type="cellIs" dxfId="18918" priority="18758" stopIfTrue="1" operator="equal">
      <formula>"Fail"</formula>
    </cfRule>
  </conditionalFormatting>
  <conditionalFormatting sqref="U918 U916 T916:T918 S917:S918">
    <cfRule type="cellIs" dxfId="18917" priority="18755" stopIfTrue="1" operator="equal">
      <formula>"Fail"</formula>
    </cfRule>
    <cfRule type="cellIs" dxfId="18916" priority="18756" stopIfTrue="1" operator="equal">
      <formula>"Pass"</formula>
    </cfRule>
  </conditionalFormatting>
  <conditionalFormatting sqref="J916:N917 F916:G918">
    <cfRule type="cellIs" dxfId="18915" priority="18753" stopIfTrue="1" operator="equal">
      <formula>"Pass"</formula>
    </cfRule>
    <cfRule type="cellIs" dxfId="18914" priority="18754" stopIfTrue="1" operator="equal">
      <formula>"Fail"</formula>
    </cfRule>
  </conditionalFormatting>
  <conditionalFormatting sqref="K916:O917 F916:H918">
    <cfRule type="cellIs" dxfId="18913" priority="18751" stopIfTrue="1" operator="equal">
      <formula>"Pass"</formula>
    </cfRule>
    <cfRule type="cellIs" dxfId="18912" priority="18752" stopIfTrue="1" operator="equal">
      <formula>"Fail"</formula>
    </cfRule>
  </conditionalFormatting>
  <conditionalFormatting sqref="T916">
    <cfRule type="cellIs" dxfId="18911" priority="18749" stopIfTrue="1" operator="equal">
      <formula>"Fail"</formula>
    </cfRule>
    <cfRule type="cellIs" dxfId="18910" priority="18750" stopIfTrue="1" operator="equal">
      <formula>"Pass"</formula>
    </cfRule>
  </conditionalFormatting>
  <conditionalFormatting sqref="K916:O917 F916:H918">
    <cfRule type="cellIs" dxfId="18909" priority="18747" stopIfTrue="1" operator="equal">
      <formula>"Pass"</formula>
    </cfRule>
    <cfRule type="cellIs" dxfId="18908" priority="18748" stopIfTrue="1" operator="equal">
      <formula>"Fail"</formula>
    </cfRule>
  </conditionalFormatting>
  <conditionalFormatting sqref="T916">
    <cfRule type="cellIs" dxfId="18907" priority="18745" stopIfTrue="1" operator="equal">
      <formula>"Fail"</formula>
    </cfRule>
    <cfRule type="cellIs" dxfId="18906" priority="18746" stopIfTrue="1" operator="equal">
      <formula>"Pass"</formula>
    </cfRule>
  </conditionalFormatting>
  <conditionalFormatting sqref="H916:H917">
    <cfRule type="cellIs" dxfId="18905" priority="18743" stopIfTrue="1" operator="equal">
      <formula>"Pass"</formula>
    </cfRule>
    <cfRule type="cellIs" dxfId="18904" priority="18744" stopIfTrue="1" operator="equal">
      <formula>"Fail"</formula>
    </cfRule>
  </conditionalFormatting>
  <conditionalFormatting sqref="E916:F916 E918:F918 I916:M917 A916:A924">
    <cfRule type="cellIs" dxfId="18903" priority="18741" stopIfTrue="1" operator="equal">
      <formula>"Pass"</formula>
    </cfRule>
    <cfRule type="cellIs" dxfId="18902" priority="18742" stopIfTrue="1" operator="equal">
      <formula>"Fail"</formula>
    </cfRule>
  </conditionalFormatting>
  <conditionalFormatting sqref="T918 T916 R916:R918 S917:S918">
    <cfRule type="cellIs" dxfId="18901" priority="18739" stopIfTrue="1" operator="equal">
      <formula>"Fail"</formula>
    </cfRule>
    <cfRule type="cellIs" dxfId="18900" priority="18740" stopIfTrue="1" operator="equal">
      <formula>"Pass"</formula>
    </cfRule>
  </conditionalFormatting>
  <conditionalFormatting sqref="F916:G916 F918:G918 A916:B918 J916:N917 A919:A924">
    <cfRule type="cellIs" dxfId="18899" priority="18737" stopIfTrue="1" operator="equal">
      <formula>"Pass"</formula>
    </cfRule>
    <cfRule type="cellIs" dxfId="18898" priority="18738" stopIfTrue="1" operator="equal">
      <formula>"Fail"</formula>
    </cfRule>
  </conditionalFormatting>
  <conditionalFormatting sqref="U918 U916 T916:T918 S917:S918">
    <cfRule type="cellIs" dxfId="18897" priority="18735" stopIfTrue="1" operator="equal">
      <formula>"Fail"</formula>
    </cfRule>
    <cfRule type="cellIs" dxfId="18896" priority="18736" stopIfTrue="1" operator="equal">
      <formula>"Pass"</formula>
    </cfRule>
  </conditionalFormatting>
  <conditionalFormatting sqref="A916:A924">
    <cfRule type="cellIs" dxfId="18895" priority="18733" stopIfTrue="1" operator="equal">
      <formula>"Pass"</formula>
    </cfRule>
    <cfRule type="cellIs" dxfId="18894" priority="18734" stopIfTrue="1" operator="equal">
      <formula>"Fail"</formula>
    </cfRule>
  </conditionalFormatting>
  <conditionalFormatting sqref="A916:A924">
    <cfRule type="cellIs" dxfId="18893" priority="18731" stopIfTrue="1" operator="equal">
      <formula>"Pass"</formula>
    </cfRule>
    <cfRule type="cellIs" dxfId="18892" priority="18732" stopIfTrue="1" operator="equal">
      <formula>"Fail"</formula>
    </cfRule>
  </conditionalFormatting>
  <conditionalFormatting sqref="A916:A924">
    <cfRule type="cellIs" dxfId="18891" priority="18729" stopIfTrue="1" operator="equal">
      <formula>"Pass"</formula>
    </cfRule>
    <cfRule type="cellIs" dxfId="18890" priority="18730" stopIfTrue="1" operator="equal">
      <formula>"Fail"</formula>
    </cfRule>
  </conditionalFormatting>
  <conditionalFormatting sqref="J916:N917 E916:G918">
    <cfRule type="cellIs" dxfId="18889" priority="18727" stopIfTrue="1" operator="equal">
      <formula>"Pass"</formula>
    </cfRule>
    <cfRule type="cellIs" dxfId="18888" priority="18728" stopIfTrue="1" operator="equal">
      <formula>"Fail"</formula>
    </cfRule>
  </conditionalFormatting>
  <conditionalFormatting sqref="A918 C918 K916:O917 F916:H918 A921 A924">
    <cfRule type="cellIs" dxfId="18887" priority="18725" stopIfTrue="1" operator="equal">
      <formula>"Pass"</formula>
    </cfRule>
    <cfRule type="cellIs" dxfId="18886" priority="18726" stopIfTrue="1" operator="equal">
      <formula>"Fail"</formula>
    </cfRule>
  </conditionalFormatting>
  <conditionalFormatting sqref="T916">
    <cfRule type="cellIs" dxfId="18885" priority="18723" stopIfTrue="1" operator="equal">
      <formula>"Fail"</formula>
    </cfRule>
    <cfRule type="cellIs" dxfId="18884" priority="18724" stopIfTrue="1" operator="equal">
      <formula>"Pass"</formula>
    </cfRule>
  </conditionalFormatting>
  <conditionalFormatting sqref="A916:A924">
    <cfRule type="cellIs" dxfId="18883" priority="18721" stopIfTrue="1" operator="equal">
      <formula>"Pass"</formula>
    </cfRule>
    <cfRule type="cellIs" dxfId="18882" priority="18722" stopIfTrue="1" operator="equal">
      <formula>"Fail"</formula>
    </cfRule>
  </conditionalFormatting>
  <conditionalFormatting sqref="A916:A924">
    <cfRule type="cellIs" dxfId="18881" priority="18719" stopIfTrue="1" operator="equal">
      <formula>"Pass"</formula>
    </cfRule>
    <cfRule type="cellIs" dxfId="18880" priority="18720" stopIfTrue="1" operator="equal">
      <formula>"Fail"</formula>
    </cfRule>
  </conditionalFormatting>
  <conditionalFormatting sqref="A916:A924">
    <cfRule type="cellIs" dxfId="18879" priority="18717" stopIfTrue="1" operator="equal">
      <formula>"Pass"</formula>
    </cfRule>
    <cfRule type="cellIs" dxfId="18878" priority="18718" stopIfTrue="1" operator="equal">
      <formula>"Fail"</formula>
    </cfRule>
  </conditionalFormatting>
  <conditionalFormatting sqref="A916:A924">
    <cfRule type="cellIs" dxfId="18877" priority="18715" stopIfTrue="1" operator="equal">
      <formula>"Pass"</formula>
    </cfRule>
    <cfRule type="cellIs" dxfId="18876" priority="18716" stopIfTrue="1" operator="equal">
      <formula>"Fail"</formula>
    </cfRule>
  </conditionalFormatting>
  <conditionalFormatting sqref="A916:A924">
    <cfRule type="cellIs" dxfId="18875" priority="18713" stopIfTrue="1" operator="equal">
      <formula>"Pass"</formula>
    </cfRule>
    <cfRule type="cellIs" dxfId="18874" priority="18714" stopIfTrue="1" operator="equal">
      <formula>"Fail"</formula>
    </cfRule>
  </conditionalFormatting>
  <conditionalFormatting sqref="A916:A924">
    <cfRule type="cellIs" dxfId="18873" priority="18711" stopIfTrue="1" operator="equal">
      <formula>"Pass"</formula>
    </cfRule>
    <cfRule type="cellIs" dxfId="18872" priority="18712" stopIfTrue="1" operator="equal">
      <formula>"Fail"</formula>
    </cfRule>
  </conditionalFormatting>
  <conditionalFormatting sqref="A918 A921 A924">
    <cfRule type="cellIs" dxfId="18871" priority="18709" stopIfTrue="1" operator="equal">
      <formula>"Pass"</formula>
    </cfRule>
    <cfRule type="cellIs" dxfId="18870" priority="18710" stopIfTrue="1" operator="equal">
      <formula>"Fail"</formula>
    </cfRule>
  </conditionalFormatting>
  <conditionalFormatting sqref="A916:A924">
    <cfRule type="cellIs" dxfId="18869" priority="18707" stopIfTrue="1" operator="equal">
      <formula>"Pass"</formula>
    </cfRule>
    <cfRule type="cellIs" dxfId="18868" priority="18708" stopIfTrue="1" operator="equal">
      <formula>"Fail"</formula>
    </cfRule>
  </conditionalFormatting>
  <conditionalFormatting sqref="A916:A924">
    <cfRule type="cellIs" dxfId="18867" priority="18705" stopIfTrue="1" operator="equal">
      <formula>"Pass"</formula>
    </cfRule>
    <cfRule type="cellIs" dxfId="18866" priority="18706" stopIfTrue="1" operator="equal">
      <formula>"Fail"</formula>
    </cfRule>
  </conditionalFormatting>
  <conditionalFormatting sqref="A916:A924">
    <cfRule type="cellIs" dxfId="18865" priority="18703" stopIfTrue="1" operator="equal">
      <formula>"Pass"</formula>
    </cfRule>
    <cfRule type="cellIs" dxfId="18864" priority="18704" stopIfTrue="1" operator="equal">
      <formula>"Fail"</formula>
    </cfRule>
  </conditionalFormatting>
  <conditionalFormatting sqref="A916:A924">
    <cfRule type="cellIs" dxfId="18863" priority="18701" stopIfTrue="1" operator="equal">
      <formula>"Pass"</formula>
    </cfRule>
    <cfRule type="cellIs" dxfId="18862" priority="18702" stopIfTrue="1" operator="equal">
      <formula>"Fail"</formula>
    </cfRule>
  </conditionalFormatting>
  <conditionalFormatting sqref="A916:A924">
    <cfRule type="cellIs" dxfId="18861" priority="18699" stopIfTrue="1" operator="equal">
      <formula>"Pass"</formula>
    </cfRule>
    <cfRule type="cellIs" dxfId="18860" priority="18700" stopIfTrue="1" operator="equal">
      <formula>"Fail"</formula>
    </cfRule>
  </conditionalFormatting>
  <conditionalFormatting sqref="A916:A924">
    <cfRule type="cellIs" dxfId="18859" priority="18697" stopIfTrue="1" operator="equal">
      <formula>"Pass"</formula>
    </cfRule>
    <cfRule type="cellIs" dxfId="18858" priority="18698" stopIfTrue="1" operator="equal">
      <formula>"Fail"</formula>
    </cfRule>
  </conditionalFormatting>
  <conditionalFormatting sqref="A918 A921 A924">
    <cfRule type="cellIs" dxfId="18857" priority="18695" stopIfTrue="1" operator="equal">
      <formula>"Pass"</formula>
    </cfRule>
    <cfRule type="cellIs" dxfId="18856" priority="18696" stopIfTrue="1" operator="equal">
      <formula>"Fail"</formula>
    </cfRule>
  </conditionalFormatting>
  <conditionalFormatting sqref="A916:A924">
    <cfRule type="cellIs" dxfId="18855" priority="18693" stopIfTrue="1" operator="equal">
      <formula>"Pass"</formula>
    </cfRule>
    <cfRule type="cellIs" dxfId="18854" priority="18694" stopIfTrue="1" operator="equal">
      <formula>"Fail"</formula>
    </cfRule>
  </conditionalFormatting>
  <conditionalFormatting sqref="H916:H917">
    <cfRule type="cellIs" dxfId="18853" priority="18691" stopIfTrue="1" operator="equal">
      <formula>"Pass"</formula>
    </cfRule>
    <cfRule type="cellIs" dxfId="18852" priority="18692" stopIfTrue="1" operator="equal">
      <formula>"Fail"</formula>
    </cfRule>
  </conditionalFormatting>
  <conditionalFormatting sqref="F916 F918 I916:M917">
    <cfRule type="cellIs" dxfId="18851" priority="18689" stopIfTrue="1" operator="equal">
      <formula>"Pass"</formula>
    </cfRule>
    <cfRule type="cellIs" dxfId="18850" priority="18690" stopIfTrue="1" operator="equal">
      <formula>"Fail"</formula>
    </cfRule>
  </conditionalFormatting>
  <conditionalFormatting sqref="T918 T916 R916:R918 S917:S918">
    <cfRule type="cellIs" dxfId="18849" priority="18687" stopIfTrue="1" operator="equal">
      <formula>"Fail"</formula>
    </cfRule>
    <cfRule type="cellIs" dxfId="18848" priority="18688" stopIfTrue="1" operator="equal">
      <formula>"Pass"</formula>
    </cfRule>
  </conditionalFormatting>
  <conditionalFormatting sqref="F916:G916 F918:G918 J916:N917">
    <cfRule type="cellIs" dxfId="18847" priority="18685" stopIfTrue="1" operator="equal">
      <formula>"Pass"</formula>
    </cfRule>
    <cfRule type="cellIs" dxfId="18846" priority="18686" stopIfTrue="1" operator="equal">
      <formula>"Fail"</formula>
    </cfRule>
  </conditionalFormatting>
  <conditionalFormatting sqref="U918 U916 T916:T918 S917:S918">
    <cfRule type="cellIs" dxfId="18845" priority="18683" stopIfTrue="1" operator="equal">
      <formula>"Fail"</formula>
    </cfRule>
    <cfRule type="cellIs" dxfId="18844" priority="18684" stopIfTrue="1" operator="equal">
      <formula>"Pass"</formula>
    </cfRule>
  </conditionalFormatting>
  <conditionalFormatting sqref="J916:N917 F916:G918">
    <cfRule type="cellIs" dxfId="18843" priority="18681" stopIfTrue="1" operator="equal">
      <formula>"Pass"</formula>
    </cfRule>
    <cfRule type="cellIs" dxfId="18842" priority="18682" stopIfTrue="1" operator="equal">
      <formula>"Fail"</formula>
    </cfRule>
  </conditionalFormatting>
  <conditionalFormatting sqref="K916:O917 F916:H918">
    <cfRule type="cellIs" dxfId="18841" priority="18679" stopIfTrue="1" operator="equal">
      <formula>"Pass"</formula>
    </cfRule>
    <cfRule type="cellIs" dxfId="18840" priority="18680" stopIfTrue="1" operator="equal">
      <formula>"Fail"</formula>
    </cfRule>
  </conditionalFormatting>
  <conditionalFormatting sqref="T916">
    <cfRule type="cellIs" dxfId="18839" priority="18677" stopIfTrue="1" operator="equal">
      <formula>"Fail"</formula>
    </cfRule>
    <cfRule type="cellIs" dxfId="18838" priority="18678" stopIfTrue="1" operator="equal">
      <formula>"Pass"</formula>
    </cfRule>
  </conditionalFormatting>
  <conditionalFormatting sqref="K916:O917 F916:H918">
    <cfRule type="cellIs" dxfId="18837" priority="18675" stopIfTrue="1" operator="equal">
      <formula>"Pass"</formula>
    </cfRule>
    <cfRule type="cellIs" dxfId="18836" priority="18676" stopIfTrue="1" operator="equal">
      <formula>"Fail"</formula>
    </cfRule>
  </conditionalFormatting>
  <conditionalFormatting sqref="T916">
    <cfRule type="cellIs" dxfId="18835" priority="18673" stopIfTrue="1" operator="equal">
      <formula>"Fail"</formula>
    </cfRule>
    <cfRule type="cellIs" dxfId="18834" priority="18674" stopIfTrue="1" operator="equal">
      <formula>"Pass"</formula>
    </cfRule>
  </conditionalFormatting>
  <conditionalFormatting sqref="A919">
    <cfRule type="cellIs" dxfId="18833" priority="18671" stopIfTrue="1" operator="equal">
      <formula>"Pass"</formula>
    </cfRule>
    <cfRule type="cellIs" dxfId="18832" priority="18672" stopIfTrue="1" operator="equal">
      <formula>"Fail"</formula>
    </cfRule>
  </conditionalFormatting>
  <conditionalFormatting sqref="A919">
    <cfRule type="cellIs" dxfId="18831" priority="18669" stopIfTrue="1" operator="equal">
      <formula>"Pass"</formula>
    </cfRule>
    <cfRule type="cellIs" dxfId="18830" priority="18670" stopIfTrue="1" operator="equal">
      <formula>"Fail"</formula>
    </cfRule>
  </conditionalFormatting>
  <conditionalFormatting sqref="A919">
    <cfRule type="cellIs" dxfId="18829" priority="18667" stopIfTrue="1" operator="equal">
      <formula>"Pass"</formula>
    </cfRule>
    <cfRule type="cellIs" dxfId="18828" priority="18668" stopIfTrue="1" operator="equal">
      <formula>"Fail"</formula>
    </cfRule>
  </conditionalFormatting>
  <conditionalFormatting sqref="A919">
    <cfRule type="cellIs" dxfId="18827" priority="18665" stopIfTrue="1" operator="equal">
      <formula>"Pass"</formula>
    </cfRule>
    <cfRule type="cellIs" dxfId="18826" priority="18666" stopIfTrue="1" operator="equal">
      <formula>"Fail"</formula>
    </cfRule>
  </conditionalFormatting>
  <conditionalFormatting sqref="A919">
    <cfRule type="cellIs" dxfId="18825" priority="18663" stopIfTrue="1" operator="equal">
      <formula>"Pass"</formula>
    </cfRule>
    <cfRule type="cellIs" dxfId="18824" priority="18664" stopIfTrue="1" operator="equal">
      <formula>"Fail"</formula>
    </cfRule>
  </conditionalFormatting>
  <conditionalFormatting sqref="A919">
    <cfRule type="cellIs" dxfId="18823" priority="18661" stopIfTrue="1" operator="equal">
      <formula>"Pass"</formula>
    </cfRule>
    <cfRule type="cellIs" dxfId="18822" priority="18662" stopIfTrue="1" operator="equal">
      <formula>"Fail"</formula>
    </cfRule>
  </conditionalFormatting>
  <conditionalFormatting sqref="A919">
    <cfRule type="cellIs" dxfId="18821" priority="18659" stopIfTrue="1" operator="equal">
      <formula>"Pass"</formula>
    </cfRule>
    <cfRule type="cellIs" dxfId="18820" priority="18660" stopIfTrue="1" operator="equal">
      <formula>"Fail"</formula>
    </cfRule>
  </conditionalFormatting>
  <conditionalFormatting sqref="A919">
    <cfRule type="cellIs" dxfId="18819" priority="18657" stopIfTrue="1" operator="equal">
      <formula>"Pass"</formula>
    </cfRule>
    <cfRule type="cellIs" dxfId="18818" priority="18658" stopIfTrue="1" operator="equal">
      <formula>"Fail"</formula>
    </cfRule>
  </conditionalFormatting>
  <conditionalFormatting sqref="A919">
    <cfRule type="cellIs" dxfId="18817" priority="18655" stopIfTrue="1" operator="equal">
      <formula>"Pass"</formula>
    </cfRule>
    <cfRule type="cellIs" dxfId="18816" priority="18656" stopIfTrue="1" operator="equal">
      <formula>"Fail"</formula>
    </cfRule>
  </conditionalFormatting>
  <conditionalFormatting sqref="A919">
    <cfRule type="cellIs" dxfId="18815" priority="18653" stopIfTrue="1" operator="equal">
      <formula>"Pass"</formula>
    </cfRule>
    <cfRule type="cellIs" dxfId="18814" priority="18654" stopIfTrue="1" operator="equal">
      <formula>"Fail"</formula>
    </cfRule>
  </conditionalFormatting>
  <conditionalFormatting sqref="A919">
    <cfRule type="cellIs" dxfId="18813" priority="18651" stopIfTrue="1" operator="equal">
      <formula>"Pass"</formula>
    </cfRule>
    <cfRule type="cellIs" dxfId="18812" priority="18652" stopIfTrue="1" operator="equal">
      <formula>"Fail"</formula>
    </cfRule>
  </conditionalFormatting>
  <conditionalFormatting sqref="A919">
    <cfRule type="cellIs" dxfId="18811" priority="18649" stopIfTrue="1" operator="equal">
      <formula>"Pass"</formula>
    </cfRule>
    <cfRule type="cellIs" dxfId="18810" priority="18650" stopIfTrue="1" operator="equal">
      <formula>"Fail"</formula>
    </cfRule>
  </conditionalFormatting>
  <conditionalFormatting sqref="A919">
    <cfRule type="cellIs" dxfId="18809" priority="18647" stopIfTrue="1" operator="equal">
      <formula>"Pass"</formula>
    </cfRule>
    <cfRule type="cellIs" dxfId="18808" priority="18648" stopIfTrue="1" operator="equal">
      <formula>"Fail"</formula>
    </cfRule>
  </conditionalFormatting>
  <conditionalFormatting sqref="A919">
    <cfRule type="cellIs" dxfId="18807" priority="18645" stopIfTrue="1" operator="equal">
      <formula>"Pass"</formula>
    </cfRule>
    <cfRule type="cellIs" dxfId="18806" priority="18646" stopIfTrue="1" operator="equal">
      <formula>"Fail"</formula>
    </cfRule>
  </conditionalFormatting>
  <conditionalFormatting sqref="A919">
    <cfRule type="cellIs" dxfId="18805" priority="18643" stopIfTrue="1" operator="equal">
      <formula>"Pass"</formula>
    </cfRule>
    <cfRule type="cellIs" dxfId="18804" priority="18644" stopIfTrue="1" operator="equal">
      <formula>"Fail"</formula>
    </cfRule>
  </conditionalFormatting>
  <conditionalFormatting sqref="A919">
    <cfRule type="cellIs" dxfId="18803" priority="18641" stopIfTrue="1" operator="equal">
      <formula>"Pass"</formula>
    </cfRule>
    <cfRule type="cellIs" dxfId="18802" priority="18642" stopIfTrue="1" operator="equal">
      <formula>"Fail"</formula>
    </cfRule>
  </conditionalFormatting>
  <conditionalFormatting sqref="A919">
    <cfRule type="cellIs" dxfId="18801" priority="18639" stopIfTrue="1" operator="equal">
      <formula>"Pass"</formula>
    </cfRule>
    <cfRule type="cellIs" dxfId="18800" priority="18640" stopIfTrue="1" operator="equal">
      <formula>"Fail"</formula>
    </cfRule>
  </conditionalFormatting>
  <conditionalFormatting sqref="A919">
    <cfRule type="cellIs" dxfId="18799" priority="18637" stopIfTrue="1" operator="equal">
      <formula>"Pass"</formula>
    </cfRule>
    <cfRule type="cellIs" dxfId="18798" priority="18638" stopIfTrue="1" operator="equal">
      <formula>"Fail"</formula>
    </cfRule>
  </conditionalFormatting>
  <conditionalFormatting sqref="J919:J920">
    <cfRule type="cellIs" dxfId="18797" priority="18635" stopIfTrue="1" operator="equal">
      <formula>"Pass"</formula>
    </cfRule>
    <cfRule type="cellIs" dxfId="18796" priority="18636" stopIfTrue="1" operator="equal">
      <formula>"Fail"</formula>
    </cfRule>
  </conditionalFormatting>
  <conditionalFormatting sqref="H919:H920 I920">
    <cfRule type="cellIs" dxfId="18795" priority="18633" stopIfTrue="1" operator="equal">
      <formula>"Pass"</formula>
    </cfRule>
    <cfRule type="cellIs" dxfId="18794" priority="18634" stopIfTrue="1" operator="equal">
      <formula>"Fail"</formula>
    </cfRule>
  </conditionalFormatting>
  <conditionalFormatting sqref="A919 C919 F921 F919:G919 K919:N920">
    <cfRule type="cellIs" dxfId="18793" priority="18631" stopIfTrue="1" operator="equal">
      <formula>"Pass"</formula>
    </cfRule>
    <cfRule type="cellIs" dxfId="18792" priority="18632" stopIfTrue="1" operator="equal">
      <formula>"Fail"</formula>
    </cfRule>
  </conditionalFormatting>
  <conditionalFormatting sqref="T919:T921 U920:U921">
    <cfRule type="cellIs" dxfId="18791" priority="18629" stopIfTrue="1" operator="equal">
      <formula>"Fail"</formula>
    </cfRule>
    <cfRule type="cellIs" dxfId="18790" priority="18630" stopIfTrue="1" operator="equal">
      <formula>"Pass"</formula>
    </cfRule>
  </conditionalFormatting>
  <conditionalFormatting sqref="A919">
    <cfRule type="cellIs" dxfId="18789" priority="18627" stopIfTrue="1" operator="equal">
      <formula>"Pass"</formula>
    </cfRule>
    <cfRule type="cellIs" dxfId="18788" priority="18628" stopIfTrue="1" operator="equal">
      <formula>"Fail"</formula>
    </cfRule>
  </conditionalFormatting>
  <conditionalFormatting sqref="A919">
    <cfRule type="cellIs" dxfId="18787" priority="18625" stopIfTrue="1" operator="equal">
      <formula>"Pass"</formula>
    </cfRule>
    <cfRule type="cellIs" dxfId="18786" priority="18626" stopIfTrue="1" operator="equal">
      <formula>"Fail"</formula>
    </cfRule>
  </conditionalFormatting>
  <conditionalFormatting sqref="A919">
    <cfRule type="cellIs" dxfId="18785" priority="18623" stopIfTrue="1" operator="equal">
      <formula>"Pass"</formula>
    </cfRule>
    <cfRule type="cellIs" dxfId="18784" priority="18624" stopIfTrue="1" operator="equal">
      <formula>"Fail"</formula>
    </cfRule>
  </conditionalFormatting>
  <conditionalFormatting sqref="A919">
    <cfRule type="cellIs" dxfId="18783" priority="18621" stopIfTrue="1" operator="equal">
      <formula>"Pass"</formula>
    </cfRule>
    <cfRule type="cellIs" dxfId="18782" priority="18622" stopIfTrue="1" operator="equal">
      <formula>"Fail"</formula>
    </cfRule>
  </conditionalFormatting>
  <conditionalFormatting sqref="A919">
    <cfRule type="cellIs" dxfId="18781" priority="18619" stopIfTrue="1" operator="equal">
      <formula>"Pass"</formula>
    </cfRule>
    <cfRule type="cellIs" dxfId="18780" priority="18620" stopIfTrue="1" operator="equal">
      <formula>"Fail"</formula>
    </cfRule>
  </conditionalFormatting>
  <conditionalFormatting sqref="A919">
    <cfRule type="cellIs" dxfId="18779" priority="18617" stopIfTrue="1" operator="equal">
      <formula>"Pass"</formula>
    </cfRule>
    <cfRule type="cellIs" dxfId="18778" priority="18618" stopIfTrue="1" operator="equal">
      <formula>"Fail"</formula>
    </cfRule>
  </conditionalFormatting>
  <conditionalFormatting sqref="A919">
    <cfRule type="cellIs" dxfId="18777" priority="18615" stopIfTrue="1" operator="equal">
      <formula>"Pass"</formula>
    </cfRule>
    <cfRule type="cellIs" dxfId="18776" priority="18616" stopIfTrue="1" operator="equal">
      <formula>"Fail"</formula>
    </cfRule>
  </conditionalFormatting>
  <conditionalFormatting sqref="A919">
    <cfRule type="cellIs" dxfId="18775" priority="18613" stopIfTrue="1" operator="equal">
      <formula>"Pass"</formula>
    </cfRule>
    <cfRule type="cellIs" dxfId="18774" priority="18614" stopIfTrue="1" operator="equal">
      <formula>"Fail"</formula>
    </cfRule>
  </conditionalFormatting>
  <conditionalFormatting sqref="A919">
    <cfRule type="cellIs" dxfId="18773" priority="18611" stopIfTrue="1" operator="equal">
      <formula>"Pass"</formula>
    </cfRule>
    <cfRule type="cellIs" dxfId="18772" priority="18612" stopIfTrue="1" operator="equal">
      <formula>"Fail"</formula>
    </cfRule>
  </conditionalFormatting>
  <conditionalFormatting sqref="A919">
    <cfRule type="cellIs" dxfId="18771" priority="18609" stopIfTrue="1" operator="equal">
      <formula>"Pass"</formula>
    </cfRule>
    <cfRule type="cellIs" dxfId="18770" priority="18610" stopIfTrue="1" operator="equal">
      <formula>"Fail"</formula>
    </cfRule>
  </conditionalFormatting>
  <conditionalFormatting sqref="A919">
    <cfRule type="cellIs" dxfId="18769" priority="18607" stopIfTrue="1" operator="equal">
      <formula>"Pass"</formula>
    </cfRule>
    <cfRule type="cellIs" dxfId="18768" priority="18608" stopIfTrue="1" operator="equal">
      <formula>"Fail"</formula>
    </cfRule>
  </conditionalFormatting>
  <conditionalFormatting sqref="A919">
    <cfRule type="cellIs" dxfId="18767" priority="18605" stopIfTrue="1" operator="equal">
      <formula>"Pass"</formula>
    </cfRule>
    <cfRule type="cellIs" dxfId="18766" priority="18606" stopIfTrue="1" operator="equal">
      <formula>"Fail"</formula>
    </cfRule>
  </conditionalFormatting>
  <conditionalFormatting sqref="A919">
    <cfRule type="cellIs" dxfId="18765" priority="18603" stopIfTrue="1" operator="equal">
      <formula>"Pass"</formula>
    </cfRule>
    <cfRule type="cellIs" dxfId="18764" priority="18604" stopIfTrue="1" operator="equal">
      <formula>"Fail"</formula>
    </cfRule>
  </conditionalFormatting>
  <conditionalFormatting sqref="A919">
    <cfRule type="cellIs" dxfId="18763" priority="18601" stopIfTrue="1" operator="equal">
      <formula>"Pass"</formula>
    </cfRule>
    <cfRule type="cellIs" dxfId="18762" priority="18602" stopIfTrue="1" operator="equal">
      <formula>"Fail"</formula>
    </cfRule>
  </conditionalFormatting>
  <conditionalFormatting sqref="A919">
    <cfRule type="cellIs" dxfId="18761" priority="18599" stopIfTrue="1" operator="equal">
      <formula>"Pass"</formula>
    </cfRule>
    <cfRule type="cellIs" dxfId="18760" priority="18600" stopIfTrue="1" operator="equal">
      <formula>"Fail"</formula>
    </cfRule>
  </conditionalFormatting>
  <conditionalFormatting sqref="A919">
    <cfRule type="cellIs" dxfId="18759" priority="18597" stopIfTrue="1" operator="equal">
      <formula>"Pass"</formula>
    </cfRule>
    <cfRule type="cellIs" dxfId="18758" priority="18598" stopIfTrue="1" operator="equal">
      <formula>"Fail"</formula>
    </cfRule>
  </conditionalFormatting>
  <conditionalFormatting sqref="U919">
    <cfRule type="cellIs" dxfId="18757" priority="18595" stopIfTrue="1" operator="equal">
      <formula>"Fail"</formula>
    </cfRule>
    <cfRule type="cellIs" dxfId="18756" priority="18596" stopIfTrue="1" operator="equal">
      <formula>"Pass"</formula>
    </cfRule>
  </conditionalFormatting>
  <conditionalFormatting sqref="U919">
    <cfRule type="cellIs" dxfId="18755" priority="18593" stopIfTrue="1" operator="equal">
      <formula>"Fail"</formula>
    </cfRule>
    <cfRule type="cellIs" dxfId="18754" priority="18594" stopIfTrue="1" operator="equal">
      <formula>"Pass"</formula>
    </cfRule>
  </conditionalFormatting>
  <conditionalFormatting sqref="J919:J920">
    <cfRule type="cellIs" dxfId="18753" priority="18591" stopIfTrue="1" operator="equal">
      <formula>"Pass"</formula>
    </cfRule>
    <cfRule type="cellIs" dxfId="18752" priority="18592" stopIfTrue="1" operator="equal">
      <formula>"Fail"</formula>
    </cfRule>
  </conditionalFormatting>
  <conditionalFormatting sqref="H919:H920 I920">
    <cfRule type="cellIs" dxfId="18751" priority="18589" stopIfTrue="1" operator="equal">
      <formula>"Pass"</formula>
    </cfRule>
    <cfRule type="cellIs" dxfId="18750" priority="18590" stopIfTrue="1" operator="equal">
      <formula>"Fail"</formula>
    </cfRule>
  </conditionalFormatting>
  <conditionalFormatting sqref="F921 F919:G919 K919:N920">
    <cfRule type="cellIs" dxfId="18749" priority="18587" stopIfTrue="1" operator="equal">
      <formula>"Pass"</formula>
    </cfRule>
    <cfRule type="cellIs" dxfId="18748" priority="18588" stopIfTrue="1" operator="equal">
      <formula>"Fail"</formula>
    </cfRule>
  </conditionalFormatting>
  <conditionalFormatting sqref="T919:T921 U920:U921">
    <cfRule type="cellIs" dxfId="18747" priority="18585" stopIfTrue="1" operator="equal">
      <formula>"Fail"</formula>
    </cfRule>
    <cfRule type="cellIs" dxfId="18746" priority="18586" stopIfTrue="1" operator="equal">
      <formula>"Pass"</formula>
    </cfRule>
  </conditionalFormatting>
  <conditionalFormatting sqref="U919">
    <cfRule type="cellIs" dxfId="18745" priority="18583" stopIfTrue="1" operator="equal">
      <formula>"Fail"</formula>
    </cfRule>
    <cfRule type="cellIs" dxfId="18744" priority="18584" stopIfTrue="1" operator="equal">
      <formula>"Pass"</formula>
    </cfRule>
  </conditionalFormatting>
  <conditionalFormatting sqref="U919">
    <cfRule type="cellIs" dxfId="18743" priority="18581" stopIfTrue="1" operator="equal">
      <formula>"Fail"</formula>
    </cfRule>
    <cfRule type="cellIs" dxfId="18742" priority="18582" stopIfTrue="1" operator="equal">
      <formula>"Pass"</formula>
    </cfRule>
  </conditionalFormatting>
  <conditionalFormatting sqref="F919:G919 K919:N919">
    <cfRule type="cellIs" dxfId="18741" priority="18579" stopIfTrue="1" operator="equal">
      <formula>"Pass"</formula>
    </cfRule>
    <cfRule type="cellIs" dxfId="18740" priority="18580" stopIfTrue="1" operator="equal">
      <formula>"Fail"</formula>
    </cfRule>
  </conditionalFormatting>
  <conditionalFormatting sqref="K920:N920">
    <cfRule type="cellIs" dxfId="18739" priority="18577" stopIfTrue="1" operator="equal">
      <formula>"Pass"</formula>
    </cfRule>
    <cfRule type="cellIs" dxfId="18738" priority="18578" stopIfTrue="1" operator="equal">
      <formula>"Fail"</formula>
    </cfRule>
  </conditionalFormatting>
  <conditionalFormatting sqref="U919">
    <cfRule type="cellIs" dxfId="18737" priority="18575" stopIfTrue="1" operator="equal">
      <formula>"Fail"</formula>
    </cfRule>
    <cfRule type="cellIs" dxfId="18736" priority="18576" stopIfTrue="1" operator="equal">
      <formula>"Pass"</formula>
    </cfRule>
  </conditionalFormatting>
  <conditionalFormatting sqref="A919">
    <cfRule type="cellIs" dxfId="18735" priority="18573" stopIfTrue="1" operator="equal">
      <formula>"Pass"</formula>
    </cfRule>
    <cfRule type="cellIs" dxfId="18734" priority="18574" stopIfTrue="1" operator="equal">
      <formula>"Fail"</formula>
    </cfRule>
  </conditionalFormatting>
  <conditionalFormatting sqref="A919">
    <cfRule type="cellIs" dxfId="18733" priority="18571" stopIfTrue="1" operator="equal">
      <formula>"Pass"</formula>
    </cfRule>
    <cfRule type="cellIs" dxfId="18732" priority="18572" stopIfTrue="1" operator="equal">
      <formula>"Fail"</formula>
    </cfRule>
  </conditionalFormatting>
  <conditionalFormatting sqref="A919">
    <cfRule type="cellIs" dxfId="18731" priority="18569" stopIfTrue="1" operator="equal">
      <formula>"Pass"</formula>
    </cfRule>
    <cfRule type="cellIs" dxfId="18730" priority="18570" stopIfTrue="1" operator="equal">
      <formula>"Fail"</formula>
    </cfRule>
  </conditionalFormatting>
  <conditionalFormatting sqref="A919">
    <cfRule type="cellIs" dxfId="18729" priority="18567" stopIfTrue="1" operator="equal">
      <formula>"Pass"</formula>
    </cfRule>
    <cfRule type="cellIs" dxfId="18728" priority="18568" stopIfTrue="1" operator="equal">
      <formula>"Fail"</formula>
    </cfRule>
  </conditionalFormatting>
  <conditionalFormatting sqref="A919">
    <cfRule type="cellIs" dxfId="18727" priority="18565" stopIfTrue="1" operator="equal">
      <formula>"Pass"</formula>
    </cfRule>
    <cfRule type="cellIs" dxfId="18726" priority="18566" stopIfTrue="1" operator="equal">
      <formula>"Fail"</formula>
    </cfRule>
  </conditionalFormatting>
  <conditionalFormatting sqref="A919">
    <cfRule type="cellIs" dxfId="18725" priority="18563" stopIfTrue="1" operator="equal">
      <formula>"Pass"</formula>
    </cfRule>
    <cfRule type="cellIs" dxfId="18724" priority="18564" stopIfTrue="1" operator="equal">
      <formula>"Fail"</formula>
    </cfRule>
  </conditionalFormatting>
  <conditionalFormatting sqref="A919">
    <cfRule type="cellIs" dxfId="18723" priority="18561" stopIfTrue="1" operator="equal">
      <formula>"Pass"</formula>
    </cfRule>
    <cfRule type="cellIs" dxfId="18722" priority="18562" stopIfTrue="1" operator="equal">
      <formula>"Fail"</formula>
    </cfRule>
  </conditionalFormatting>
  <conditionalFormatting sqref="A919">
    <cfRule type="cellIs" dxfId="18721" priority="18559" stopIfTrue="1" operator="equal">
      <formula>"Pass"</formula>
    </cfRule>
    <cfRule type="cellIs" dxfId="18720" priority="18560" stopIfTrue="1" operator="equal">
      <formula>"Fail"</formula>
    </cfRule>
  </conditionalFormatting>
  <conditionalFormatting sqref="A919">
    <cfRule type="cellIs" dxfId="18719" priority="18557" stopIfTrue="1" operator="equal">
      <formula>"Pass"</formula>
    </cfRule>
    <cfRule type="cellIs" dxfId="18718" priority="18558" stopIfTrue="1" operator="equal">
      <formula>"Fail"</formula>
    </cfRule>
  </conditionalFormatting>
  <conditionalFormatting sqref="A919">
    <cfRule type="cellIs" dxfId="18717" priority="18555" stopIfTrue="1" operator="equal">
      <formula>"Pass"</formula>
    </cfRule>
    <cfRule type="cellIs" dxfId="18716" priority="18556" stopIfTrue="1" operator="equal">
      <formula>"Fail"</formula>
    </cfRule>
  </conditionalFormatting>
  <conditionalFormatting sqref="A919">
    <cfRule type="cellIs" dxfId="18715" priority="18553" stopIfTrue="1" operator="equal">
      <formula>"Pass"</formula>
    </cfRule>
    <cfRule type="cellIs" dxfId="18714" priority="18554" stopIfTrue="1" operator="equal">
      <formula>"Fail"</formula>
    </cfRule>
  </conditionalFormatting>
  <conditionalFormatting sqref="A919">
    <cfRule type="cellIs" dxfId="18713" priority="18551" stopIfTrue="1" operator="equal">
      <formula>"Pass"</formula>
    </cfRule>
    <cfRule type="cellIs" dxfId="18712" priority="18552" stopIfTrue="1" operator="equal">
      <formula>"Fail"</formula>
    </cfRule>
  </conditionalFormatting>
  <conditionalFormatting sqref="J919:J920">
    <cfRule type="cellIs" dxfId="18711" priority="18549" stopIfTrue="1" operator="equal">
      <formula>"Pass"</formula>
    </cfRule>
    <cfRule type="cellIs" dxfId="18710" priority="18550" stopIfTrue="1" operator="equal">
      <formula>"Fail"</formula>
    </cfRule>
  </conditionalFormatting>
  <conditionalFormatting sqref="H919:H920 I920">
    <cfRule type="cellIs" dxfId="18709" priority="18547" stopIfTrue="1" operator="equal">
      <formula>"Pass"</formula>
    </cfRule>
    <cfRule type="cellIs" dxfId="18708" priority="18548" stopIfTrue="1" operator="equal">
      <formula>"Fail"</formula>
    </cfRule>
  </conditionalFormatting>
  <conditionalFormatting sqref="F921 F919:G919 K919:N920">
    <cfRule type="cellIs" dxfId="18707" priority="18545" stopIfTrue="1" operator="equal">
      <formula>"Pass"</formula>
    </cfRule>
    <cfRule type="cellIs" dxfId="18706" priority="18546" stopIfTrue="1" operator="equal">
      <formula>"Fail"</formula>
    </cfRule>
  </conditionalFormatting>
  <conditionalFormatting sqref="T919:T921 U920:U921">
    <cfRule type="cellIs" dxfId="18705" priority="18543" stopIfTrue="1" operator="equal">
      <formula>"Fail"</formula>
    </cfRule>
    <cfRule type="cellIs" dxfId="18704" priority="18544" stopIfTrue="1" operator="equal">
      <formula>"Pass"</formula>
    </cfRule>
  </conditionalFormatting>
  <conditionalFormatting sqref="U919">
    <cfRule type="cellIs" dxfId="18703" priority="18541" stopIfTrue="1" operator="equal">
      <formula>"Fail"</formula>
    </cfRule>
    <cfRule type="cellIs" dxfId="18702" priority="18542" stopIfTrue="1" operator="equal">
      <formula>"Pass"</formula>
    </cfRule>
  </conditionalFormatting>
  <conditionalFormatting sqref="U919">
    <cfRule type="cellIs" dxfId="18701" priority="18539" stopIfTrue="1" operator="equal">
      <formula>"Fail"</formula>
    </cfRule>
    <cfRule type="cellIs" dxfId="18700" priority="18540" stopIfTrue="1" operator="equal">
      <formula>"Pass"</formula>
    </cfRule>
  </conditionalFormatting>
  <conditionalFormatting sqref="J919:J920">
    <cfRule type="cellIs" dxfId="18699" priority="18537" stopIfTrue="1" operator="equal">
      <formula>"Pass"</formula>
    </cfRule>
    <cfRule type="cellIs" dxfId="18698" priority="18538" stopIfTrue="1" operator="equal">
      <formula>"Fail"</formula>
    </cfRule>
  </conditionalFormatting>
  <conditionalFormatting sqref="H919:H920 I920">
    <cfRule type="cellIs" dxfId="18697" priority="18535" stopIfTrue="1" operator="equal">
      <formula>"Pass"</formula>
    </cfRule>
    <cfRule type="cellIs" dxfId="18696" priority="18536" stopIfTrue="1" operator="equal">
      <formula>"Fail"</formula>
    </cfRule>
  </conditionalFormatting>
  <conditionalFormatting sqref="F921 F919:G919 K919:N920">
    <cfRule type="cellIs" dxfId="18695" priority="18533" stopIfTrue="1" operator="equal">
      <formula>"Pass"</formula>
    </cfRule>
    <cfRule type="cellIs" dxfId="18694" priority="18534" stopIfTrue="1" operator="equal">
      <formula>"Fail"</formula>
    </cfRule>
  </conditionalFormatting>
  <conditionalFormatting sqref="T919:T921 U920:U921">
    <cfRule type="cellIs" dxfId="18693" priority="18531" stopIfTrue="1" operator="equal">
      <formula>"Fail"</formula>
    </cfRule>
    <cfRule type="cellIs" dxfId="18692" priority="18532" stopIfTrue="1" operator="equal">
      <formula>"Pass"</formula>
    </cfRule>
  </conditionalFormatting>
  <conditionalFormatting sqref="U919">
    <cfRule type="cellIs" dxfId="18691" priority="18529" stopIfTrue="1" operator="equal">
      <formula>"Fail"</formula>
    </cfRule>
    <cfRule type="cellIs" dxfId="18690" priority="18530" stopIfTrue="1" operator="equal">
      <formula>"Pass"</formula>
    </cfRule>
  </conditionalFormatting>
  <conditionalFormatting sqref="U919">
    <cfRule type="cellIs" dxfId="18689" priority="18527" stopIfTrue="1" operator="equal">
      <formula>"Fail"</formula>
    </cfRule>
    <cfRule type="cellIs" dxfId="18688" priority="18528" stopIfTrue="1" operator="equal">
      <formula>"Pass"</formula>
    </cfRule>
  </conditionalFormatting>
  <conditionalFormatting sqref="F919:G919 K919:N919">
    <cfRule type="cellIs" dxfId="18687" priority="18525" stopIfTrue="1" operator="equal">
      <formula>"Pass"</formula>
    </cfRule>
    <cfRule type="cellIs" dxfId="18686" priority="18526" stopIfTrue="1" operator="equal">
      <formula>"Fail"</formula>
    </cfRule>
  </conditionalFormatting>
  <conditionalFormatting sqref="K920:N920">
    <cfRule type="cellIs" dxfId="18685" priority="18523" stopIfTrue="1" operator="equal">
      <formula>"Pass"</formula>
    </cfRule>
    <cfRule type="cellIs" dxfId="18684" priority="18524" stopIfTrue="1" operator="equal">
      <formula>"Fail"</formula>
    </cfRule>
  </conditionalFormatting>
  <conditionalFormatting sqref="U919">
    <cfRule type="cellIs" dxfId="18683" priority="18521" stopIfTrue="1" operator="equal">
      <formula>"Fail"</formula>
    </cfRule>
    <cfRule type="cellIs" dxfId="18682" priority="18522" stopIfTrue="1" operator="equal">
      <formula>"Pass"</formula>
    </cfRule>
  </conditionalFormatting>
  <conditionalFormatting sqref="J919:J920">
    <cfRule type="cellIs" dxfId="18681" priority="18519" stopIfTrue="1" operator="equal">
      <formula>"Pass"</formula>
    </cfRule>
    <cfRule type="cellIs" dxfId="18680" priority="18520" stopIfTrue="1" operator="equal">
      <formula>"Fail"</formula>
    </cfRule>
  </conditionalFormatting>
  <conditionalFormatting sqref="H919:H920 I920">
    <cfRule type="cellIs" dxfId="18679" priority="18517" stopIfTrue="1" operator="equal">
      <formula>"Pass"</formula>
    </cfRule>
    <cfRule type="cellIs" dxfId="18678" priority="18518" stopIfTrue="1" operator="equal">
      <formula>"Fail"</formula>
    </cfRule>
  </conditionalFormatting>
  <conditionalFormatting sqref="F919:G919 K919:N920">
    <cfRule type="cellIs" dxfId="18677" priority="18515" stopIfTrue="1" operator="equal">
      <formula>"Pass"</formula>
    </cfRule>
    <cfRule type="cellIs" dxfId="18676" priority="18516" stopIfTrue="1" operator="equal">
      <formula>"Fail"</formula>
    </cfRule>
  </conditionalFormatting>
  <conditionalFormatting sqref="T919:T920 U920">
    <cfRule type="cellIs" dxfId="18675" priority="18513" stopIfTrue="1" operator="equal">
      <formula>"Fail"</formula>
    </cfRule>
    <cfRule type="cellIs" dxfId="18674" priority="18514" stopIfTrue="1" operator="equal">
      <formula>"Pass"</formula>
    </cfRule>
  </conditionalFormatting>
  <conditionalFormatting sqref="U919">
    <cfRule type="cellIs" dxfId="18673" priority="18511" stopIfTrue="1" operator="equal">
      <formula>"Fail"</formula>
    </cfRule>
    <cfRule type="cellIs" dxfId="18672" priority="18512" stopIfTrue="1" operator="equal">
      <formula>"Pass"</formula>
    </cfRule>
  </conditionalFormatting>
  <conditionalFormatting sqref="U919">
    <cfRule type="cellIs" dxfId="18671" priority="18509" stopIfTrue="1" operator="equal">
      <formula>"Fail"</formula>
    </cfRule>
    <cfRule type="cellIs" dxfId="18670" priority="18510" stopIfTrue="1" operator="equal">
      <formula>"Pass"</formula>
    </cfRule>
  </conditionalFormatting>
  <conditionalFormatting sqref="J919:J920">
    <cfRule type="cellIs" dxfId="18669" priority="18507" stopIfTrue="1" operator="equal">
      <formula>"Pass"</formula>
    </cfRule>
    <cfRule type="cellIs" dxfId="18668" priority="18508" stopIfTrue="1" operator="equal">
      <formula>"Fail"</formula>
    </cfRule>
  </conditionalFormatting>
  <conditionalFormatting sqref="H919:H920 I920">
    <cfRule type="cellIs" dxfId="18667" priority="18505" stopIfTrue="1" operator="equal">
      <formula>"Pass"</formula>
    </cfRule>
    <cfRule type="cellIs" dxfId="18666" priority="18506" stopIfTrue="1" operator="equal">
      <formula>"Fail"</formula>
    </cfRule>
  </conditionalFormatting>
  <conditionalFormatting sqref="F919:G919 K919:N920">
    <cfRule type="cellIs" dxfId="18665" priority="18503" stopIfTrue="1" operator="equal">
      <formula>"Pass"</formula>
    </cfRule>
    <cfRule type="cellIs" dxfId="18664" priority="18504" stopIfTrue="1" operator="equal">
      <formula>"Fail"</formula>
    </cfRule>
  </conditionalFormatting>
  <conditionalFormatting sqref="T919:T920 U920">
    <cfRule type="cellIs" dxfId="18663" priority="18501" stopIfTrue="1" operator="equal">
      <formula>"Fail"</formula>
    </cfRule>
    <cfRule type="cellIs" dxfId="18662" priority="18502" stopIfTrue="1" operator="equal">
      <formula>"Pass"</formula>
    </cfRule>
  </conditionalFormatting>
  <conditionalFormatting sqref="U919">
    <cfRule type="cellIs" dxfId="18661" priority="18499" stopIfTrue="1" operator="equal">
      <formula>"Fail"</formula>
    </cfRule>
    <cfRule type="cellIs" dxfId="18660" priority="18500" stopIfTrue="1" operator="equal">
      <formula>"Pass"</formula>
    </cfRule>
  </conditionalFormatting>
  <conditionalFormatting sqref="U919">
    <cfRule type="cellIs" dxfId="18659" priority="18497" stopIfTrue="1" operator="equal">
      <formula>"Fail"</formula>
    </cfRule>
    <cfRule type="cellIs" dxfId="18658" priority="18498" stopIfTrue="1" operator="equal">
      <formula>"Pass"</formula>
    </cfRule>
  </conditionalFormatting>
  <conditionalFormatting sqref="F919:G919 K919:N919">
    <cfRule type="cellIs" dxfId="18657" priority="18495" stopIfTrue="1" operator="equal">
      <formula>"Pass"</formula>
    </cfRule>
    <cfRule type="cellIs" dxfId="18656" priority="18496" stopIfTrue="1" operator="equal">
      <formula>"Fail"</formula>
    </cfRule>
  </conditionalFormatting>
  <conditionalFormatting sqref="K920:N920">
    <cfRule type="cellIs" dxfId="18655" priority="18493" stopIfTrue="1" operator="equal">
      <formula>"Pass"</formula>
    </cfRule>
    <cfRule type="cellIs" dxfId="18654" priority="18494" stopIfTrue="1" operator="equal">
      <formula>"Fail"</formula>
    </cfRule>
  </conditionalFormatting>
  <conditionalFormatting sqref="U919">
    <cfRule type="cellIs" dxfId="18653" priority="18491" stopIfTrue="1" operator="equal">
      <formula>"Fail"</formula>
    </cfRule>
    <cfRule type="cellIs" dxfId="18652" priority="18492" stopIfTrue="1" operator="equal">
      <formula>"Pass"</formula>
    </cfRule>
  </conditionalFormatting>
  <conditionalFormatting sqref="U919">
    <cfRule type="cellIs" dxfId="18651" priority="18489" stopIfTrue="1" operator="equal">
      <formula>"Fail"</formula>
    </cfRule>
    <cfRule type="cellIs" dxfId="18650" priority="18490" stopIfTrue="1" operator="equal">
      <formula>"Pass"</formula>
    </cfRule>
  </conditionalFormatting>
  <conditionalFormatting sqref="U919">
    <cfRule type="cellIs" dxfId="18649" priority="18487" stopIfTrue="1" operator="equal">
      <formula>"Fail"</formula>
    </cfRule>
    <cfRule type="cellIs" dxfId="18648" priority="18488" stopIfTrue="1" operator="equal">
      <formula>"Pass"</formula>
    </cfRule>
  </conditionalFormatting>
  <conditionalFormatting sqref="U919">
    <cfRule type="cellIs" dxfId="18647" priority="18485" stopIfTrue="1" operator="equal">
      <formula>"Fail"</formula>
    </cfRule>
    <cfRule type="cellIs" dxfId="18646" priority="18486" stopIfTrue="1" operator="equal">
      <formula>"Pass"</formula>
    </cfRule>
  </conditionalFormatting>
  <conditionalFormatting sqref="A922">
    <cfRule type="cellIs" dxfId="18645" priority="18483" stopIfTrue="1" operator="equal">
      <formula>"Pass"</formula>
    </cfRule>
    <cfRule type="cellIs" dxfId="18644" priority="18484" stopIfTrue="1" operator="equal">
      <formula>"Fail"</formula>
    </cfRule>
  </conditionalFormatting>
  <conditionalFormatting sqref="A922">
    <cfRule type="cellIs" dxfId="18643" priority="18481" stopIfTrue="1" operator="equal">
      <formula>"Pass"</formula>
    </cfRule>
    <cfRule type="cellIs" dxfId="18642" priority="18482" stopIfTrue="1" operator="equal">
      <formula>"Fail"</formula>
    </cfRule>
  </conditionalFormatting>
  <conditionalFormatting sqref="A922">
    <cfRule type="cellIs" dxfId="18641" priority="18479" stopIfTrue="1" operator="equal">
      <formula>"Pass"</formula>
    </cfRule>
    <cfRule type="cellIs" dxfId="18640" priority="18480" stopIfTrue="1" operator="equal">
      <formula>"Fail"</formula>
    </cfRule>
  </conditionalFormatting>
  <conditionalFormatting sqref="A922">
    <cfRule type="cellIs" dxfId="18639" priority="18477" stopIfTrue="1" operator="equal">
      <formula>"Pass"</formula>
    </cfRule>
    <cfRule type="cellIs" dxfId="18638" priority="18478" stopIfTrue="1" operator="equal">
      <formula>"Fail"</formula>
    </cfRule>
  </conditionalFormatting>
  <conditionalFormatting sqref="A922">
    <cfRule type="cellIs" dxfId="18637" priority="18475" stopIfTrue="1" operator="equal">
      <formula>"Pass"</formula>
    </cfRule>
    <cfRule type="cellIs" dxfId="18636" priority="18476" stopIfTrue="1" operator="equal">
      <formula>"Fail"</formula>
    </cfRule>
  </conditionalFormatting>
  <conditionalFormatting sqref="A922">
    <cfRule type="cellIs" dxfId="18635" priority="18473" stopIfTrue="1" operator="equal">
      <formula>"Pass"</formula>
    </cfRule>
    <cfRule type="cellIs" dxfId="18634" priority="18474" stopIfTrue="1" operator="equal">
      <formula>"Fail"</formula>
    </cfRule>
  </conditionalFormatting>
  <conditionalFormatting sqref="H922:H923">
    <cfRule type="cellIs" dxfId="18633" priority="18471" stopIfTrue="1" operator="equal">
      <formula>"Pass"</formula>
    </cfRule>
    <cfRule type="cellIs" dxfId="18632" priority="18472" stopIfTrue="1" operator="equal">
      <formula>"Fail"</formula>
    </cfRule>
  </conditionalFormatting>
  <conditionalFormatting sqref="E922:F922 E924:F924 A922 I922:M923">
    <cfRule type="cellIs" dxfId="18631" priority="18469" stopIfTrue="1" operator="equal">
      <formula>"Pass"</formula>
    </cfRule>
    <cfRule type="cellIs" dxfId="18630" priority="18470" stopIfTrue="1" operator="equal">
      <formula>"Fail"</formula>
    </cfRule>
  </conditionalFormatting>
  <conditionalFormatting sqref="T924 T922 R922:R924 S923:S924">
    <cfRule type="cellIs" dxfId="18629" priority="18467" stopIfTrue="1" operator="equal">
      <formula>"Fail"</formula>
    </cfRule>
    <cfRule type="cellIs" dxfId="18628" priority="18468" stopIfTrue="1" operator="equal">
      <formula>"Pass"</formula>
    </cfRule>
  </conditionalFormatting>
  <conditionalFormatting sqref="F922:G922 F924:G924 B922:B924 A922 J922:N923">
    <cfRule type="cellIs" dxfId="18627" priority="18465" stopIfTrue="1" operator="equal">
      <formula>"Pass"</formula>
    </cfRule>
    <cfRule type="cellIs" dxfId="18626" priority="18466" stopIfTrue="1" operator="equal">
      <formula>"Fail"</formula>
    </cfRule>
  </conditionalFormatting>
  <conditionalFormatting sqref="U924 T922:T924 S923:S924">
    <cfRule type="cellIs" dxfId="18625" priority="18463" stopIfTrue="1" operator="equal">
      <formula>"Fail"</formula>
    </cfRule>
    <cfRule type="cellIs" dxfId="18624" priority="18464" stopIfTrue="1" operator="equal">
      <formula>"Pass"</formula>
    </cfRule>
  </conditionalFormatting>
  <conditionalFormatting sqref="A922">
    <cfRule type="cellIs" dxfId="18623" priority="18461" stopIfTrue="1" operator="equal">
      <formula>"Pass"</formula>
    </cfRule>
    <cfRule type="cellIs" dxfId="18622" priority="18462" stopIfTrue="1" operator="equal">
      <formula>"Fail"</formula>
    </cfRule>
  </conditionalFormatting>
  <conditionalFormatting sqref="A922">
    <cfRule type="cellIs" dxfId="18621" priority="18459" stopIfTrue="1" operator="equal">
      <formula>"Pass"</formula>
    </cfRule>
    <cfRule type="cellIs" dxfId="18620" priority="18460" stopIfTrue="1" operator="equal">
      <formula>"Fail"</formula>
    </cfRule>
  </conditionalFormatting>
  <conditionalFormatting sqref="A922">
    <cfRule type="cellIs" dxfId="18619" priority="18457" stopIfTrue="1" operator="equal">
      <formula>"Pass"</formula>
    </cfRule>
    <cfRule type="cellIs" dxfId="18618" priority="18458" stopIfTrue="1" operator="equal">
      <formula>"Fail"</formula>
    </cfRule>
  </conditionalFormatting>
  <conditionalFormatting sqref="A922">
    <cfRule type="cellIs" dxfId="18617" priority="18455" stopIfTrue="1" operator="equal">
      <formula>"Pass"</formula>
    </cfRule>
    <cfRule type="cellIs" dxfId="18616" priority="18456" stopIfTrue="1" operator="equal">
      <formula>"Fail"</formula>
    </cfRule>
  </conditionalFormatting>
  <conditionalFormatting sqref="A922">
    <cfRule type="cellIs" dxfId="18615" priority="18453" stopIfTrue="1" operator="equal">
      <formula>"Pass"</formula>
    </cfRule>
    <cfRule type="cellIs" dxfId="18614" priority="18454" stopIfTrue="1" operator="equal">
      <formula>"Fail"</formula>
    </cfRule>
  </conditionalFormatting>
  <conditionalFormatting sqref="A922">
    <cfRule type="cellIs" dxfId="18613" priority="18451" stopIfTrue="1" operator="equal">
      <formula>"Pass"</formula>
    </cfRule>
    <cfRule type="cellIs" dxfId="18612" priority="18452" stopIfTrue="1" operator="equal">
      <formula>"Fail"</formula>
    </cfRule>
  </conditionalFormatting>
  <conditionalFormatting sqref="A922">
    <cfRule type="cellIs" dxfId="18611" priority="18449" stopIfTrue="1" operator="equal">
      <formula>"Pass"</formula>
    </cfRule>
    <cfRule type="cellIs" dxfId="18610" priority="18450" stopIfTrue="1" operator="equal">
      <formula>"Fail"</formula>
    </cfRule>
  </conditionalFormatting>
  <conditionalFormatting sqref="A922">
    <cfRule type="cellIs" dxfId="18609" priority="18447" stopIfTrue="1" operator="equal">
      <formula>"Pass"</formula>
    </cfRule>
    <cfRule type="cellIs" dxfId="18608" priority="18448" stopIfTrue="1" operator="equal">
      <formula>"Fail"</formula>
    </cfRule>
  </conditionalFormatting>
  <conditionalFormatting sqref="A922">
    <cfRule type="cellIs" dxfId="18607" priority="18445" stopIfTrue="1" operator="equal">
      <formula>"Pass"</formula>
    </cfRule>
    <cfRule type="cellIs" dxfId="18606" priority="18446" stopIfTrue="1" operator="equal">
      <formula>"Fail"</formula>
    </cfRule>
  </conditionalFormatting>
  <conditionalFormatting sqref="A922">
    <cfRule type="cellIs" dxfId="18605" priority="18443" stopIfTrue="1" operator="equal">
      <formula>"Pass"</formula>
    </cfRule>
    <cfRule type="cellIs" dxfId="18604" priority="18444" stopIfTrue="1" operator="equal">
      <formula>"Fail"</formula>
    </cfRule>
  </conditionalFormatting>
  <conditionalFormatting sqref="U922">
    <cfRule type="cellIs" dxfId="18603" priority="18441" stopIfTrue="1" operator="equal">
      <formula>"Fail"</formula>
    </cfRule>
    <cfRule type="cellIs" dxfId="18602" priority="18442" stopIfTrue="1" operator="equal">
      <formula>"Pass"</formula>
    </cfRule>
  </conditionalFormatting>
  <conditionalFormatting sqref="F922:G922 J922:N922">
    <cfRule type="cellIs" dxfId="18601" priority="18439" stopIfTrue="1" operator="equal">
      <formula>"Pass"</formula>
    </cfRule>
    <cfRule type="cellIs" dxfId="18600" priority="18440" stopIfTrue="1" operator="equal">
      <formula>"Fail"</formula>
    </cfRule>
  </conditionalFormatting>
  <conditionalFormatting sqref="J923:N923">
    <cfRule type="cellIs" dxfId="18599" priority="18437" stopIfTrue="1" operator="equal">
      <formula>"Pass"</formula>
    </cfRule>
    <cfRule type="cellIs" dxfId="18598" priority="18438" stopIfTrue="1" operator="equal">
      <formula>"Fail"</formula>
    </cfRule>
  </conditionalFormatting>
  <conditionalFormatting sqref="A922">
    <cfRule type="cellIs" dxfId="18597" priority="18435" stopIfTrue="1" operator="equal">
      <formula>"Pass"</formula>
    </cfRule>
    <cfRule type="cellIs" dxfId="18596" priority="18436" stopIfTrue="1" operator="equal">
      <formula>"Fail"</formula>
    </cfRule>
  </conditionalFormatting>
  <conditionalFormatting sqref="A922">
    <cfRule type="cellIs" dxfId="18595" priority="18433" stopIfTrue="1" operator="equal">
      <formula>"Pass"</formula>
    </cfRule>
    <cfRule type="cellIs" dxfId="18594" priority="18434" stopIfTrue="1" operator="equal">
      <formula>"Fail"</formula>
    </cfRule>
  </conditionalFormatting>
  <conditionalFormatting sqref="A922">
    <cfRule type="cellIs" dxfId="18593" priority="18431" stopIfTrue="1" operator="equal">
      <formula>"Pass"</formula>
    </cfRule>
    <cfRule type="cellIs" dxfId="18592" priority="18432" stopIfTrue="1" operator="equal">
      <formula>"Fail"</formula>
    </cfRule>
  </conditionalFormatting>
  <conditionalFormatting sqref="A922">
    <cfRule type="cellIs" dxfId="18591" priority="18429" stopIfTrue="1" operator="equal">
      <formula>"Pass"</formula>
    </cfRule>
    <cfRule type="cellIs" dxfId="18590" priority="18430" stopIfTrue="1" operator="equal">
      <formula>"Fail"</formula>
    </cfRule>
  </conditionalFormatting>
  <conditionalFormatting sqref="A922">
    <cfRule type="cellIs" dxfId="18589" priority="18427" stopIfTrue="1" operator="equal">
      <formula>"Pass"</formula>
    </cfRule>
    <cfRule type="cellIs" dxfId="18588" priority="18428" stopIfTrue="1" operator="equal">
      <formula>"Fail"</formula>
    </cfRule>
  </conditionalFormatting>
  <conditionalFormatting sqref="A922">
    <cfRule type="cellIs" dxfId="18587" priority="18425" stopIfTrue="1" operator="equal">
      <formula>"Pass"</formula>
    </cfRule>
    <cfRule type="cellIs" dxfId="18586" priority="18426" stopIfTrue="1" operator="equal">
      <formula>"Fail"</formula>
    </cfRule>
  </conditionalFormatting>
  <conditionalFormatting sqref="A922">
    <cfRule type="cellIs" dxfId="18585" priority="18423" stopIfTrue="1" operator="equal">
      <formula>"Pass"</formula>
    </cfRule>
    <cfRule type="cellIs" dxfId="18584" priority="18424" stopIfTrue="1" operator="equal">
      <formula>"Fail"</formula>
    </cfRule>
  </conditionalFormatting>
  <conditionalFormatting sqref="A922">
    <cfRule type="cellIs" dxfId="18583" priority="18421" stopIfTrue="1" operator="equal">
      <formula>"Pass"</formula>
    </cfRule>
    <cfRule type="cellIs" dxfId="18582" priority="18422" stopIfTrue="1" operator="equal">
      <formula>"Fail"</formula>
    </cfRule>
  </conditionalFormatting>
  <conditionalFormatting sqref="A922">
    <cfRule type="cellIs" dxfId="18581" priority="18419" stopIfTrue="1" operator="equal">
      <formula>"Pass"</formula>
    </cfRule>
    <cfRule type="cellIs" dxfId="18580" priority="18420" stopIfTrue="1" operator="equal">
      <formula>"Fail"</formula>
    </cfRule>
  </conditionalFormatting>
  <conditionalFormatting sqref="A922">
    <cfRule type="cellIs" dxfId="18579" priority="18417" stopIfTrue="1" operator="equal">
      <formula>"Pass"</formula>
    </cfRule>
    <cfRule type="cellIs" dxfId="18578" priority="18418" stopIfTrue="1" operator="equal">
      <formula>"Fail"</formula>
    </cfRule>
  </conditionalFormatting>
  <conditionalFormatting sqref="A922">
    <cfRule type="cellIs" dxfId="18577" priority="18415" stopIfTrue="1" operator="equal">
      <formula>"Pass"</formula>
    </cfRule>
    <cfRule type="cellIs" dxfId="18576" priority="18416" stopIfTrue="1" operator="equal">
      <formula>"Fail"</formula>
    </cfRule>
  </conditionalFormatting>
  <conditionalFormatting sqref="A922">
    <cfRule type="cellIs" dxfId="18575" priority="18413" stopIfTrue="1" operator="equal">
      <formula>"Pass"</formula>
    </cfRule>
    <cfRule type="cellIs" dxfId="18574" priority="18414" stopIfTrue="1" operator="equal">
      <formula>"Fail"</formula>
    </cfRule>
  </conditionalFormatting>
  <conditionalFormatting sqref="H922:H923">
    <cfRule type="cellIs" dxfId="18573" priority="18411" stopIfTrue="1" operator="equal">
      <formula>"Pass"</formula>
    </cfRule>
    <cfRule type="cellIs" dxfId="18572" priority="18412" stopIfTrue="1" operator="equal">
      <formula>"Fail"</formula>
    </cfRule>
  </conditionalFormatting>
  <conditionalFormatting sqref="F922 F924 I922:M923">
    <cfRule type="cellIs" dxfId="18571" priority="18409" stopIfTrue="1" operator="equal">
      <formula>"Pass"</formula>
    </cfRule>
    <cfRule type="cellIs" dxfId="18570" priority="18410" stopIfTrue="1" operator="equal">
      <formula>"Fail"</formula>
    </cfRule>
  </conditionalFormatting>
  <conditionalFormatting sqref="T924 T922 R922:R924 S923:S924">
    <cfRule type="cellIs" dxfId="18569" priority="18407" stopIfTrue="1" operator="equal">
      <formula>"Fail"</formula>
    </cfRule>
    <cfRule type="cellIs" dxfId="18568" priority="18408" stopIfTrue="1" operator="equal">
      <formula>"Pass"</formula>
    </cfRule>
  </conditionalFormatting>
  <conditionalFormatting sqref="F922:G922 F924:G924 J922:N923">
    <cfRule type="cellIs" dxfId="18567" priority="18405" stopIfTrue="1" operator="equal">
      <formula>"Pass"</formula>
    </cfRule>
    <cfRule type="cellIs" dxfId="18566" priority="18406" stopIfTrue="1" operator="equal">
      <formula>"Fail"</formula>
    </cfRule>
  </conditionalFormatting>
  <conditionalFormatting sqref="U924 T922:T924 S923:S924">
    <cfRule type="cellIs" dxfId="18565" priority="18403" stopIfTrue="1" operator="equal">
      <formula>"Fail"</formula>
    </cfRule>
    <cfRule type="cellIs" dxfId="18564" priority="18404" stopIfTrue="1" operator="equal">
      <formula>"Pass"</formula>
    </cfRule>
  </conditionalFormatting>
  <conditionalFormatting sqref="U922">
    <cfRule type="cellIs" dxfId="18563" priority="18401" stopIfTrue="1" operator="equal">
      <formula>"Fail"</formula>
    </cfRule>
    <cfRule type="cellIs" dxfId="18562" priority="18402" stopIfTrue="1" operator="equal">
      <formula>"Pass"</formula>
    </cfRule>
  </conditionalFormatting>
  <conditionalFormatting sqref="F922:G922 J922:N922">
    <cfRule type="cellIs" dxfId="18561" priority="18399" stopIfTrue="1" operator="equal">
      <formula>"Pass"</formula>
    </cfRule>
    <cfRule type="cellIs" dxfId="18560" priority="18400" stopIfTrue="1" operator="equal">
      <formula>"Fail"</formula>
    </cfRule>
  </conditionalFormatting>
  <conditionalFormatting sqref="J923:N923">
    <cfRule type="cellIs" dxfId="18559" priority="18397" stopIfTrue="1" operator="equal">
      <formula>"Pass"</formula>
    </cfRule>
    <cfRule type="cellIs" dxfId="18558" priority="18398" stopIfTrue="1" operator="equal">
      <formula>"Fail"</formula>
    </cfRule>
  </conditionalFormatting>
  <conditionalFormatting sqref="H922:H923">
    <cfRule type="cellIs" dxfId="18557" priority="18395" stopIfTrue="1" operator="equal">
      <formula>"Pass"</formula>
    </cfRule>
    <cfRule type="cellIs" dxfId="18556" priority="18396" stopIfTrue="1" operator="equal">
      <formula>"Fail"</formula>
    </cfRule>
  </conditionalFormatting>
  <conditionalFormatting sqref="F922 F924 I922:M923">
    <cfRule type="cellIs" dxfId="18555" priority="18393" stopIfTrue="1" operator="equal">
      <formula>"Pass"</formula>
    </cfRule>
    <cfRule type="cellIs" dxfId="18554" priority="18394" stopIfTrue="1" operator="equal">
      <formula>"Fail"</formula>
    </cfRule>
  </conditionalFormatting>
  <conditionalFormatting sqref="T924 T922 R922:R924 S923:S924">
    <cfRule type="cellIs" dxfId="18553" priority="18391" stopIfTrue="1" operator="equal">
      <formula>"Fail"</formula>
    </cfRule>
    <cfRule type="cellIs" dxfId="18552" priority="18392" stopIfTrue="1" operator="equal">
      <formula>"Pass"</formula>
    </cfRule>
  </conditionalFormatting>
  <conditionalFormatting sqref="F922:G922 F924:G924 J922:N923">
    <cfRule type="cellIs" dxfId="18551" priority="18389" stopIfTrue="1" operator="equal">
      <formula>"Pass"</formula>
    </cfRule>
    <cfRule type="cellIs" dxfId="18550" priority="18390" stopIfTrue="1" operator="equal">
      <formula>"Fail"</formula>
    </cfRule>
  </conditionalFormatting>
  <conditionalFormatting sqref="U924 T922:T924 S923:S924">
    <cfRule type="cellIs" dxfId="18549" priority="18387" stopIfTrue="1" operator="equal">
      <formula>"Fail"</formula>
    </cfRule>
    <cfRule type="cellIs" dxfId="18548" priority="18388" stopIfTrue="1" operator="equal">
      <formula>"Pass"</formula>
    </cfRule>
  </conditionalFormatting>
  <conditionalFormatting sqref="U922">
    <cfRule type="cellIs" dxfId="18547" priority="18385" stopIfTrue="1" operator="equal">
      <formula>"Fail"</formula>
    </cfRule>
    <cfRule type="cellIs" dxfId="18546" priority="18386" stopIfTrue="1" operator="equal">
      <formula>"Pass"</formula>
    </cfRule>
  </conditionalFormatting>
  <conditionalFormatting sqref="F922:G922 J922:N922">
    <cfRule type="cellIs" dxfId="18545" priority="18383" stopIfTrue="1" operator="equal">
      <formula>"Pass"</formula>
    </cfRule>
    <cfRule type="cellIs" dxfId="18544" priority="18384" stopIfTrue="1" operator="equal">
      <formula>"Fail"</formula>
    </cfRule>
  </conditionalFormatting>
  <conditionalFormatting sqref="J923:N923">
    <cfRule type="cellIs" dxfId="18543" priority="18381" stopIfTrue="1" operator="equal">
      <formula>"Pass"</formula>
    </cfRule>
    <cfRule type="cellIs" dxfId="18542" priority="18382" stopIfTrue="1" operator="equal">
      <formula>"Fail"</formula>
    </cfRule>
  </conditionalFormatting>
  <conditionalFormatting sqref="U922">
    <cfRule type="cellIs" dxfId="18541" priority="18379" stopIfTrue="1" operator="equal">
      <formula>"Fail"</formula>
    </cfRule>
    <cfRule type="cellIs" dxfId="18540" priority="18380" stopIfTrue="1" operator="equal">
      <formula>"Pass"</formula>
    </cfRule>
  </conditionalFormatting>
  <conditionalFormatting sqref="U922">
    <cfRule type="cellIs" dxfId="18539" priority="18377" stopIfTrue="1" operator="equal">
      <formula>"Fail"</formula>
    </cfRule>
    <cfRule type="cellIs" dxfId="18538" priority="18378" stopIfTrue="1" operator="equal">
      <formula>"Pass"</formula>
    </cfRule>
  </conditionalFormatting>
  <conditionalFormatting sqref="U922">
    <cfRule type="cellIs" dxfId="18537" priority="18375" stopIfTrue="1" operator="equal">
      <formula>"Fail"</formula>
    </cfRule>
    <cfRule type="cellIs" dxfId="18536" priority="18376" stopIfTrue="1" operator="equal">
      <formula>"Pass"</formula>
    </cfRule>
  </conditionalFormatting>
  <conditionalFormatting sqref="N922">
    <cfRule type="cellIs" dxfId="18535" priority="18373" stopIfTrue="1" operator="equal">
      <formula>"Pass"</formula>
    </cfRule>
    <cfRule type="cellIs" dxfId="18534" priority="18374" stopIfTrue="1" operator="equal">
      <formula>"Fail"</formula>
    </cfRule>
  </conditionalFormatting>
  <conditionalFormatting sqref="N922">
    <cfRule type="cellIs" dxfId="18533" priority="18371" stopIfTrue="1" operator="equal">
      <formula>"Pass"</formula>
    </cfRule>
    <cfRule type="cellIs" dxfId="18532" priority="18372" stopIfTrue="1" operator="equal">
      <formula>"Fail"</formula>
    </cfRule>
  </conditionalFormatting>
  <conditionalFormatting sqref="N922">
    <cfRule type="cellIs" dxfId="18531" priority="18369" stopIfTrue="1" operator="equal">
      <formula>"Pass"</formula>
    </cfRule>
    <cfRule type="cellIs" dxfId="18530" priority="18370" stopIfTrue="1" operator="equal">
      <formula>"Fail"</formula>
    </cfRule>
  </conditionalFormatting>
  <conditionalFormatting sqref="A919">
    <cfRule type="cellIs" dxfId="18529" priority="18367" stopIfTrue="1" operator="equal">
      <formula>"Pass"</formula>
    </cfRule>
    <cfRule type="cellIs" dxfId="18528" priority="18368" stopIfTrue="1" operator="equal">
      <formula>"Fail"</formula>
    </cfRule>
  </conditionalFormatting>
  <conditionalFormatting sqref="A919">
    <cfRule type="cellIs" dxfId="18527" priority="18365" stopIfTrue="1" operator="equal">
      <formula>"Pass"</formula>
    </cfRule>
    <cfRule type="cellIs" dxfId="18526" priority="18366" stopIfTrue="1" operator="equal">
      <formula>"Fail"</formula>
    </cfRule>
  </conditionalFormatting>
  <conditionalFormatting sqref="A919">
    <cfRule type="cellIs" dxfId="18525" priority="18363" stopIfTrue="1" operator="equal">
      <formula>"Pass"</formula>
    </cfRule>
    <cfRule type="cellIs" dxfId="18524" priority="18364" stopIfTrue="1" operator="equal">
      <formula>"Fail"</formula>
    </cfRule>
  </conditionalFormatting>
  <conditionalFormatting sqref="A919">
    <cfRule type="cellIs" dxfId="18523" priority="18361" stopIfTrue="1" operator="equal">
      <formula>"Pass"</formula>
    </cfRule>
    <cfRule type="cellIs" dxfId="18522" priority="18362" stopIfTrue="1" operator="equal">
      <formula>"Fail"</formula>
    </cfRule>
  </conditionalFormatting>
  <conditionalFormatting sqref="A919">
    <cfRule type="cellIs" dxfId="18521" priority="18359" stopIfTrue="1" operator="equal">
      <formula>"Pass"</formula>
    </cfRule>
    <cfRule type="cellIs" dxfId="18520" priority="18360" stopIfTrue="1" operator="equal">
      <formula>"Fail"</formula>
    </cfRule>
  </conditionalFormatting>
  <conditionalFormatting sqref="A919">
    <cfRule type="cellIs" dxfId="18519" priority="18357" stopIfTrue="1" operator="equal">
      <formula>"Pass"</formula>
    </cfRule>
    <cfRule type="cellIs" dxfId="18518" priority="18358" stopIfTrue="1" operator="equal">
      <formula>"Fail"</formula>
    </cfRule>
  </conditionalFormatting>
  <conditionalFormatting sqref="A919">
    <cfRule type="cellIs" dxfId="18517" priority="18355" stopIfTrue="1" operator="equal">
      <formula>"Pass"</formula>
    </cfRule>
    <cfRule type="cellIs" dxfId="18516" priority="18356" stopIfTrue="1" operator="equal">
      <formula>"Fail"</formula>
    </cfRule>
  </conditionalFormatting>
  <conditionalFormatting sqref="A919">
    <cfRule type="cellIs" dxfId="18515" priority="18353" stopIfTrue="1" operator="equal">
      <formula>"Pass"</formula>
    </cfRule>
    <cfRule type="cellIs" dxfId="18514" priority="18354" stopIfTrue="1" operator="equal">
      <formula>"Fail"</formula>
    </cfRule>
  </conditionalFormatting>
  <conditionalFormatting sqref="A919">
    <cfRule type="cellIs" dxfId="18513" priority="18351" stopIfTrue="1" operator="equal">
      <formula>"Pass"</formula>
    </cfRule>
    <cfRule type="cellIs" dxfId="18512" priority="18352" stopIfTrue="1" operator="equal">
      <formula>"Fail"</formula>
    </cfRule>
  </conditionalFormatting>
  <conditionalFormatting sqref="A919">
    <cfRule type="cellIs" dxfId="18511" priority="18349" stopIfTrue="1" operator="equal">
      <formula>"Pass"</formula>
    </cfRule>
    <cfRule type="cellIs" dxfId="18510" priority="18350" stopIfTrue="1" operator="equal">
      <formula>"Fail"</formula>
    </cfRule>
  </conditionalFormatting>
  <conditionalFormatting sqref="A919">
    <cfRule type="cellIs" dxfId="18509" priority="18347" stopIfTrue="1" operator="equal">
      <formula>"Pass"</formula>
    </cfRule>
    <cfRule type="cellIs" dxfId="18508" priority="18348" stopIfTrue="1" operator="equal">
      <formula>"Fail"</formula>
    </cfRule>
  </conditionalFormatting>
  <conditionalFormatting sqref="A919">
    <cfRule type="cellIs" dxfId="18507" priority="18345" stopIfTrue="1" operator="equal">
      <formula>"Pass"</formula>
    </cfRule>
    <cfRule type="cellIs" dxfId="18506" priority="18346" stopIfTrue="1" operator="equal">
      <formula>"Fail"</formula>
    </cfRule>
  </conditionalFormatting>
  <conditionalFormatting sqref="A919">
    <cfRule type="cellIs" dxfId="18505" priority="18343" stopIfTrue="1" operator="equal">
      <formula>"Pass"</formula>
    </cfRule>
    <cfRule type="cellIs" dxfId="18504" priority="18344" stopIfTrue="1" operator="equal">
      <formula>"Fail"</formula>
    </cfRule>
  </conditionalFormatting>
  <conditionalFormatting sqref="A919">
    <cfRule type="cellIs" dxfId="18503" priority="18341" stopIfTrue="1" operator="equal">
      <formula>"Pass"</formula>
    </cfRule>
    <cfRule type="cellIs" dxfId="18502" priority="18342" stopIfTrue="1" operator="equal">
      <formula>"Fail"</formula>
    </cfRule>
  </conditionalFormatting>
  <conditionalFormatting sqref="A919">
    <cfRule type="cellIs" dxfId="18501" priority="18339" stopIfTrue="1" operator="equal">
      <formula>"Pass"</formula>
    </cfRule>
    <cfRule type="cellIs" dxfId="18500" priority="18340" stopIfTrue="1" operator="equal">
      <formula>"Fail"</formula>
    </cfRule>
  </conditionalFormatting>
  <conditionalFormatting sqref="A919">
    <cfRule type="cellIs" dxfId="18499" priority="18337" stopIfTrue="1" operator="equal">
      <formula>"Pass"</formula>
    </cfRule>
    <cfRule type="cellIs" dxfId="18498" priority="18338" stopIfTrue="1" operator="equal">
      <formula>"Fail"</formula>
    </cfRule>
  </conditionalFormatting>
  <conditionalFormatting sqref="A919">
    <cfRule type="cellIs" dxfId="18497" priority="18335" stopIfTrue="1" operator="equal">
      <formula>"Pass"</formula>
    </cfRule>
    <cfRule type="cellIs" dxfId="18496" priority="18336" stopIfTrue="1" operator="equal">
      <formula>"Fail"</formula>
    </cfRule>
  </conditionalFormatting>
  <conditionalFormatting sqref="A919">
    <cfRule type="cellIs" dxfId="18495" priority="18333" stopIfTrue="1" operator="equal">
      <formula>"Pass"</formula>
    </cfRule>
    <cfRule type="cellIs" dxfId="18494" priority="18334" stopIfTrue="1" operator="equal">
      <formula>"Fail"</formula>
    </cfRule>
  </conditionalFormatting>
  <conditionalFormatting sqref="A922">
    <cfRule type="cellIs" dxfId="18493" priority="18331" stopIfTrue="1" operator="equal">
      <formula>"Pass"</formula>
    </cfRule>
    <cfRule type="cellIs" dxfId="18492" priority="18332" stopIfTrue="1" operator="equal">
      <formula>"Fail"</formula>
    </cfRule>
  </conditionalFormatting>
  <conditionalFormatting sqref="A922">
    <cfRule type="cellIs" dxfId="18491" priority="18329" stopIfTrue="1" operator="equal">
      <formula>"Pass"</formula>
    </cfRule>
    <cfRule type="cellIs" dxfId="18490" priority="18330" stopIfTrue="1" operator="equal">
      <formula>"Fail"</formula>
    </cfRule>
  </conditionalFormatting>
  <conditionalFormatting sqref="A922">
    <cfRule type="cellIs" dxfId="18489" priority="18327" stopIfTrue="1" operator="equal">
      <formula>"Pass"</formula>
    </cfRule>
    <cfRule type="cellIs" dxfId="18488" priority="18328" stopIfTrue="1" operator="equal">
      <formula>"Fail"</formula>
    </cfRule>
  </conditionalFormatting>
  <conditionalFormatting sqref="A922">
    <cfRule type="cellIs" dxfId="18487" priority="18325" stopIfTrue="1" operator="equal">
      <formula>"Pass"</formula>
    </cfRule>
    <cfRule type="cellIs" dxfId="18486" priority="18326" stopIfTrue="1" operator="equal">
      <formula>"Fail"</formula>
    </cfRule>
  </conditionalFormatting>
  <conditionalFormatting sqref="A922">
    <cfRule type="cellIs" dxfId="18485" priority="18323" stopIfTrue="1" operator="equal">
      <formula>"Pass"</formula>
    </cfRule>
    <cfRule type="cellIs" dxfId="18484" priority="18324" stopIfTrue="1" operator="equal">
      <formula>"Fail"</formula>
    </cfRule>
  </conditionalFormatting>
  <conditionalFormatting sqref="A922">
    <cfRule type="cellIs" dxfId="18483" priority="18321" stopIfTrue="1" operator="equal">
      <formula>"Pass"</formula>
    </cfRule>
    <cfRule type="cellIs" dxfId="18482" priority="18322" stopIfTrue="1" operator="equal">
      <formula>"Fail"</formula>
    </cfRule>
  </conditionalFormatting>
  <conditionalFormatting sqref="A922">
    <cfRule type="cellIs" dxfId="18481" priority="18319" stopIfTrue="1" operator="equal">
      <formula>"Pass"</formula>
    </cfRule>
    <cfRule type="cellIs" dxfId="18480" priority="18320" stopIfTrue="1" operator="equal">
      <formula>"Fail"</formula>
    </cfRule>
  </conditionalFormatting>
  <conditionalFormatting sqref="A922">
    <cfRule type="cellIs" dxfId="18479" priority="18317" stopIfTrue="1" operator="equal">
      <formula>"Pass"</formula>
    </cfRule>
    <cfRule type="cellIs" dxfId="18478" priority="18318" stopIfTrue="1" operator="equal">
      <formula>"Fail"</formula>
    </cfRule>
  </conditionalFormatting>
  <conditionalFormatting sqref="A922">
    <cfRule type="cellIs" dxfId="18477" priority="18315" stopIfTrue="1" operator="equal">
      <formula>"Pass"</formula>
    </cfRule>
    <cfRule type="cellIs" dxfId="18476" priority="18316" stopIfTrue="1" operator="equal">
      <formula>"Fail"</formula>
    </cfRule>
  </conditionalFormatting>
  <conditionalFormatting sqref="A922">
    <cfRule type="cellIs" dxfId="18475" priority="18313" stopIfTrue="1" operator="equal">
      <formula>"Pass"</formula>
    </cfRule>
    <cfRule type="cellIs" dxfId="18474" priority="18314" stopIfTrue="1" operator="equal">
      <formula>"Fail"</formula>
    </cfRule>
  </conditionalFormatting>
  <conditionalFormatting sqref="A922">
    <cfRule type="cellIs" dxfId="18473" priority="18311" stopIfTrue="1" operator="equal">
      <formula>"Pass"</formula>
    </cfRule>
    <cfRule type="cellIs" dxfId="18472" priority="18312" stopIfTrue="1" operator="equal">
      <formula>"Fail"</formula>
    </cfRule>
  </conditionalFormatting>
  <conditionalFormatting sqref="A922">
    <cfRule type="cellIs" dxfId="18471" priority="18309" stopIfTrue="1" operator="equal">
      <formula>"Pass"</formula>
    </cfRule>
    <cfRule type="cellIs" dxfId="18470" priority="18310" stopIfTrue="1" operator="equal">
      <formula>"Fail"</formula>
    </cfRule>
  </conditionalFormatting>
  <conditionalFormatting sqref="A922">
    <cfRule type="cellIs" dxfId="18469" priority="18307" stopIfTrue="1" operator="equal">
      <formula>"Pass"</formula>
    </cfRule>
    <cfRule type="cellIs" dxfId="18468" priority="18308" stopIfTrue="1" operator="equal">
      <formula>"Fail"</formula>
    </cfRule>
  </conditionalFormatting>
  <conditionalFormatting sqref="A922">
    <cfRule type="cellIs" dxfId="18467" priority="18305" stopIfTrue="1" operator="equal">
      <formula>"Pass"</formula>
    </cfRule>
    <cfRule type="cellIs" dxfId="18466" priority="18306" stopIfTrue="1" operator="equal">
      <formula>"Fail"</formula>
    </cfRule>
  </conditionalFormatting>
  <conditionalFormatting sqref="A922">
    <cfRule type="cellIs" dxfId="18465" priority="18303" stopIfTrue="1" operator="equal">
      <formula>"Pass"</formula>
    </cfRule>
    <cfRule type="cellIs" dxfId="18464" priority="18304" stopIfTrue="1" operator="equal">
      <formula>"Fail"</formula>
    </cfRule>
  </conditionalFormatting>
  <conditionalFormatting sqref="A922">
    <cfRule type="cellIs" dxfId="18463" priority="18301" stopIfTrue="1" operator="equal">
      <formula>"Pass"</formula>
    </cfRule>
    <cfRule type="cellIs" dxfId="18462" priority="18302" stopIfTrue="1" operator="equal">
      <formula>"Fail"</formula>
    </cfRule>
  </conditionalFormatting>
  <conditionalFormatting sqref="A922">
    <cfRule type="cellIs" dxfId="18461" priority="18299" stopIfTrue="1" operator="equal">
      <formula>"Pass"</formula>
    </cfRule>
    <cfRule type="cellIs" dxfId="18460" priority="18300" stopIfTrue="1" operator="equal">
      <formula>"Fail"</formula>
    </cfRule>
  </conditionalFormatting>
  <conditionalFormatting sqref="A922">
    <cfRule type="cellIs" dxfId="18459" priority="18297" stopIfTrue="1" operator="equal">
      <formula>"Pass"</formula>
    </cfRule>
    <cfRule type="cellIs" dxfId="18458" priority="18298" stopIfTrue="1" operator="equal">
      <formula>"Fail"</formula>
    </cfRule>
  </conditionalFormatting>
  <conditionalFormatting sqref="H922:H923">
    <cfRule type="cellIs" dxfId="18457" priority="18295" stopIfTrue="1" operator="equal">
      <formula>"Pass"</formula>
    </cfRule>
    <cfRule type="cellIs" dxfId="18456" priority="18296" stopIfTrue="1" operator="equal">
      <formula>"Fail"</formula>
    </cfRule>
  </conditionalFormatting>
  <conditionalFormatting sqref="F922 F924 I922:M923">
    <cfRule type="cellIs" dxfId="18455" priority="18293" stopIfTrue="1" operator="equal">
      <formula>"Pass"</formula>
    </cfRule>
    <cfRule type="cellIs" dxfId="18454" priority="18294" stopIfTrue="1" operator="equal">
      <formula>"Fail"</formula>
    </cfRule>
  </conditionalFormatting>
  <conditionalFormatting sqref="T924 T922 R922:R924 S923:S924">
    <cfRule type="cellIs" dxfId="18453" priority="18291" stopIfTrue="1" operator="equal">
      <formula>"Fail"</formula>
    </cfRule>
    <cfRule type="cellIs" dxfId="18452" priority="18292" stopIfTrue="1" operator="equal">
      <formula>"Pass"</formula>
    </cfRule>
  </conditionalFormatting>
  <conditionalFormatting sqref="F922:G922 F924:G924 J922:N923">
    <cfRule type="cellIs" dxfId="18451" priority="18289" stopIfTrue="1" operator="equal">
      <formula>"Pass"</formula>
    </cfRule>
    <cfRule type="cellIs" dxfId="18450" priority="18290" stopIfTrue="1" operator="equal">
      <formula>"Fail"</formula>
    </cfRule>
  </conditionalFormatting>
  <conditionalFormatting sqref="U924 T922:T924 S923:S924">
    <cfRule type="cellIs" dxfId="18449" priority="18287" stopIfTrue="1" operator="equal">
      <formula>"Fail"</formula>
    </cfRule>
    <cfRule type="cellIs" dxfId="18448" priority="18288" stopIfTrue="1" operator="equal">
      <formula>"Pass"</formula>
    </cfRule>
  </conditionalFormatting>
  <conditionalFormatting sqref="U922">
    <cfRule type="cellIs" dxfId="18447" priority="18285" stopIfTrue="1" operator="equal">
      <formula>"Fail"</formula>
    </cfRule>
    <cfRule type="cellIs" dxfId="18446" priority="18286" stopIfTrue="1" operator="equal">
      <formula>"Pass"</formula>
    </cfRule>
  </conditionalFormatting>
  <conditionalFormatting sqref="F922:G922 J922:N922">
    <cfRule type="cellIs" dxfId="18445" priority="18283" stopIfTrue="1" operator="equal">
      <formula>"Pass"</formula>
    </cfRule>
    <cfRule type="cellIs" dxfId="18444" priority="18284" stopIfTrue="1" operator="equal">
      <formula>"Fail"</formula>
    </cfRule>
  </conditionalFormatting>
  <conditionalFormatting sqref="J923:N923">
    <cfRule type="cellIs" dxfId="18443" priority="18281" stopIfTrue="1" operator="equal">
      <formula>"Pass"</formula>
    </cfRule>
    <cfRule type="cellIs" dxfId="18442" priority="18282" stopIfTrue="1" operator="equal">
      <formula>"Fail"</formula>
    </cfRule>
  </conditionalFormatting>
  <conditionalFormatting sqref="H922:H923">
    <cfRule type="cellIs" dxfId="18441" priority="18279" stopIfTrue="1" operator="equal">
      <formula>"Pass"</formula>
    </cfRule>
    <cfRule type="cellIs" dxfId="18440" priority="18280" stopIfTrue="1" operator="equal">
      <formula>"Fail"</formula>
    </cfRule>
  </conditionalFormatting>
  <conditionalFormatting sqref="F922 F924 I922:M923">
    <cfRule type="cellIs" dxfId="18439" priority="18277" stopIfTrue="1" operator="equal">
      <formula>"Pass"</formula>
    </cfRule>
    <cfRule type="cellIs" dxfId="18438" priority="18278" stopIfTrue="1" operator="equal">
      <formula>"Fail"</formula>
    </cfRule>
  </conditionalFormatting>
  <conditionalFormatting sqref="T924 T922 R922:R924 S923:S924">
    <cfRule type="cellIs" dxfId="18437" priority="18275" stopIfTrue="1" operator="equal">
      <formula>"Fail"</formula>
    </cfRule>
    <cfRule type="cellIs" dxfId="18436" priority="18276" stopIfTrue="1" operator="equal">
      <formula>"Pass"</formula>
    </cfRule>
  </conditionalFormatting>
  <conditionalFormatting sqref="F922:G922 F924:G924 J922:N923">
    <cfRule type="cellIs" dxfId="18435" priority="18273" stopIfTrue="1" operator="equal">
      <formula>"Pass"</formula>
    </cfRule>
    <cfRule type="cellIs" dxfId="18434" priority="18274" stopIfTrue="1" operator="equal">
      <formula>"Fail"</formula>
    </cfRule>
  </conditionalFormatting>
  <conditionalFormatting sqref="U924 T922:T924 S923:S924">
    <cfRule type="cellIs" dxfId="18433" priority="18271" stopIfTrue="1" operator="equal">
      <formula>"Fail"</formula>
    </cfRule>
    <cfRule type="cellIs" dxfId="18432" priority="18272" stopIfTrue="1" operator="equal">
      <formula>"Pass"</formula>
    </cfRule>
  </conditionalFormatting>
  <conditionalFormatting sqref="U922">
    <cfRule type="cellIs" dxfId="18431" priority="18269" stopIfTrue="1" operator="equal">
      <formula>"Fail"</formula>
    </cfRule>
    <cfRule type="cellIs" dxfId="18430" priority="18270" stopIfTrue="1" operator="equal">
      <formula>"Pass"</formula>
    </cfRule>
  </conditionalFormatting>
  <conditionalFormatting sqref="F922:G922 J922:N922">
    <cfRule type="cellIs" dxfId="18429" priority="18267" stopIfTrue="1" operator="equal">
      <formula>"Pass"</formula>
    </cfRule>
    <cfRule type="cellIs" dxfId="18428" priority="18268" stopIfTrue="1" operator="equal">
      <formula>"Fail"</formula>
    </cfRule>
  </conditionalFormatting>
  <conditionalFormatting sqref="J923:N923">
    <cfRule type="cellIs" dxfId="18427" priority="18265" stopIfTrue="1" operator="equal">
      <formula>"Pass"</formula>
    </cfRule>
    <cfRule type="cellIs" dxfId="18426" priority="18266" stopIfTrue="1" operator="equal">
      <formula>"Fail"</formula>
    </cfRule>
  </conditionalFormatting>
  <conditionalFormatting sqref="H922:H923">
    <cfRule type="cellIs" dxfId="18425" priority="18263" stopIfTrue="1" operator="equal">
      <formula>"Pass"</formula>
    </cfRule>
    <cfRule type="cellIs" dxfId="18424" priority="18264" stopIfTrue="1" operator="equal">
      <formula>"Fail"</formula>
    </cfRule>
  </conditionalFormatting>
  <conditionalFormatting sqref="F922 F924 I922:M923">
    <cfRule type="cellIs" dxfId="18423" priority="18261" stopIfTrue="1" operator="equal">
      <formula>"Pass"</formula>
    </cfRule>
    <cfRule type="cellIs" dxfId="18422" priority="18262" stopIfTrue="1" operator="equal">
      <formula>"Fail"</formula>
    </cfRule>
  </conditionalFormatting>
  <conditionalFormatting sqref="T924 T922 R922:R924 S923:S924">
    <cfRule type="cellIs" dxfId="18421" priority="18259" stopIfTrue="1" operator="equal">
      <formula>"Fail"</formula>
    </cfRule>
    <cfRule type="cellIs" dxfId="18420" priority="18260" stopIfTrue="1" operator="equal">
      <formula>"Pass"</formula>
    </cfRule>
  </conditionalFormatting>
  <conditionalFormatting sqref="F922:G922 F924:G924 J922:N923">
    <cfRule type="cellIs" dxfId="18419" priority="18257" stopIfTrue="1" operator="equal">
      <formula>"Pass"</formula>
    </cfRule>
    <cfRule type="cellIs" dxfId="18418" priority="18258" stopIfTrue="1" operator="equal">
      <formula>"Fail"</formula>
    </cfRule>
  </conditionalFormatting>
  <conditionalFormatting sqref="U924 T922:T924 S923:S924">
    <cfRule type="cellIs" dxfId="18417" priority="18255" stopIfTrue="1" operator="equal">
      <formula>"Fail"</formula>
    </cfRule>
    <cfRule type="cellIs" dxfId="18416" priority="18256" stopIfTrue="1" operator="equal">
      <formula>"Pass"</formula>
    </cfRule>
  </conditionalFormatting>
  <conditionalFormatting sqref="U922">
    <cfRule type="cellIs" dxfId="18415" priority="18253" stopIfTrue="1" operator="equal">
      <formula>"Fail"</formula>
    </cfRule>
    <cfRule type="cellIs" dxfId="18414" priority="18254" stopIfTrue="1" operator="equal">
      <formula>"Pass"</formula>
    </cfRule>
  </conditionalFormatting>
  <conditionalFormatting sqref="F922:G922 J922:N922">
    <cfRule type="cellIs" dxfId="18413" priority="18251" stopIfTrue="1" operator="equal">
      <formula>"Pass"</formula>
    </cfRule>
    <cfRule type="cellIs" dxfId="18412" priority="18252" stopIfTrue="1" operator="equal">
      <formula>"Fail"</formula>
    </cfRule>
  </conditionalFormatting>
  <conditionalFormatting sqref="J923:N923">
    <cfRule type="cellIs" dxfId="18411" priority="18249" stopIfTrue="1" operator="equal">
      <formula>"Pass"</formula>
    </cfRule>
    <cfRule type="cellIs" dxfId="18410" priority="18250" stopIfTrue="1" operator="equal">
      <formula>"Fail"</formula>
    </cfRule>
  </conditionalFormatting>
  <conditionalFormatting sqref="U922">
    <cfRule type="cellIs" dxfId="18409" priority="18247" stopIfTrue="1" operator="equal">
      <formula>"Fail"</formula>
    </cfRule>
    <cfRule type="cellIs" dxfId="18408" priority="18248" stopIfTrue="1" operator="equal">
      <formula>"Pass"</formula>
    </cfRule>
  </conditionalFormatting>
  <conditionalFormatting sqref="U922">
    <cfRule type="cellIs" dxfId="18407" priority="18245" stopIfTrue="1" operator="equal">
      <formula>"Fail"</formula>
    </cfRule>
    <cfRule type="cellIs" dxfId="18406" priority="18246" stopIfTrue="1" operator="equal">
      <formula>"Pass"</formula>
    </cfRule>
  </conditionalFormatting>
  <conditionalFormatting sqref="U922">
    <cfRule type="cellIs" dxfId="18405" priority="18243" stopIfTrue="1" operator="equal">
      <formula>"Fail"</formula>
    </cfRule>
    <cfRule type="cellIs" dxfId="18404" priority="18244" stopIfTrue="1" operator="equal">
      <formula>"Pass"</formula>
    </cfRule>
  </conditionalFormatting>
  <conditionalFormatting sqref="N922">
    <cfRule type="cellIs" dxfId="18403" priority="18241" stopIfTrue="1" operator="equal">
      <formula>"Pass"</formula>
    </cfRule>
    <cfRule type="cellIs" dxfId="18402" priority="18242" stopIfTrue="1" operator="equal">
      <formula>"Fail"</formula>
    </cfRule>
  </conditionalFormatting>
  <conditionalFormatting sqref="N922">
    <cfRule type="cellIs" dxfId="18401" priority="18239" stopIfTrue="1" operator="equal">
      <formula>"Pass"</formula>
    </cfRule>
    <cfRule type="cellIs" dxfId="18400" priority="18240" stopIfTrue="1" operator="equal">
      <formula>"Fail"</formula>
    </cfRule>
  </conditionalFormatting>
  <conditionalFormatting sqref="N922">
    <cfRule type="cellIs" dxfId="18399" priority="18237" stopIfTrue="1" operator="equal">
      <formula>"Pass"</formula>
    </cfRule>
    <cfRule type="cellIs" dxfId="18398" priority="18238" stopIfTrue="1" operator="equal">
      <formula>"Fail"</formula>
    </cfRule>
  </conditionalFormatting>
  <conditionalFormatting sqref="U919">
    <cfRule type="cellIs" dxfId="18397" priority="18235" stopIfTrue="1" operator="equal">
      <formula>"Fail"</formula>
    </cfRule>
    <cfRule type="cellIs" dxfId="18396" priority="18236" stopIfTrue="1" operator="equal">
      <formula>"Pass"</formula>
    </cfRule>
  </conditionalFormatting>
  <conditionalFormatting sqref="U919">
    <cfRule type="cellIs" dxfId="18395" priority="18233" stopIfTrue="1" operator="equal">
      <formula>"Fail"</formula>
    </cfRule>
    <cfRule type="cellIs" dxfId="18394" priority="18234" stopIfTrue="1" operator="equal">
      <formula>"Pass"</formula>
    </cfRule>
  </conditionalFormatting>
  <conditionalFormatting sqref="U919">
    <cfRule type="cellIs" dxfId="18393" priority="18231" stopIfTrue="1" operator="equal">
      <formula>"Fail"</formula>
    </cfRule>
    <cfRule type="cellIs" dxfId="18392" priority="18232" stopIfTrue="1" operator="equal">
      <formula>"Pass"</formula>
    </cfRule>
  </conditionalFormatting>
  <conditionalFormatting sqref="U919">
    <cfRule type="cellIs" dxfId="18391" priority="18229" stopIfTrue="1" operator="equal">
      <formula>"Fail"</formula>
    </cfRule>
    <cfRule type="cellIs" dxfId="18390" priority="18230" stopIfTrue="1" operator="equal">
      <formula>"Pass"</formula>
    </cfRule>
  </conditionalFormatting>
  <conditionalFormatting sqref="U922">
    <cfRule type="cellIs" dxfId="18389" priority="18227" stopIfTrue="1" operator="equal">
      <formula>"Fail"</formula>
    </cfRule>
    <cfRule type="cellIs" dxfId="18388" priority="18228" stopIfTrue="1" operator="equal">
      <formula>"Pass"</formula>
    </cfRule>
  </conditionalFormatting>
  <conditionalFormatting sqref="U922">
    <cfRule type="cellIs" dxfId="18387" priority="18225" stopIfTrue="1" operator="equal">
      <formula>"Fail"</formula>
    </cfRule>
    <cfRule type="cellIs" dxfId="18386" priority="18226" stopIfTrue="1" operator="equal">
      <formula>"Pass"</formula>
    </cfRule>
  </conditionalFormatting>
  <conditionalFormatting sqref="U922">
    <cfRule type="cellIs" dxfId="18385" priority="18223" stopIfTrue="1" operator="equal">
      <formula>"Fail"</formula>
    </cfRule>
    <cfRule type="cellIs" dxfId="18384" priority="18224" stopIfTrue="1" operator="equal">
      <formula>"Pass"</formula>
    </cfRule>
  </conditionalFormatting>
  <conditionalFormatting sqref="U922">
    <cfRule type="cellIs" dxfId="18383" priority="18221" stopIfTrue="1" operator="equal">
      <formula>"Fail"</formula>
    </cfRule>
    <cfRule type="cellIs" dxfId="18382" priority="18222" stopIfTrue="1" operator="equal">
      <formula>"Pass"</formula>
    </cfRule>
  </conditionalFormatting>
  <conditionalFormatting sqref="H925:H926">
    <cfRule type="cellIs" dxfId="18381" priority="18219" stopIfTrue="1" operator="equal">
      <formula>"Pass"</formula>
    </cfRule>
    <cfRule type="cellIs" dxfId="18380" priority="18220" stopIfTrue="1" operator="equal">
      <formula>"Fail"</formula>
    </cfRule>
  </conditionalFormatting>
  <conditionalFormatting sqref="E925:F925 E927:F927 I925:M926 A925:A933">
    <cfRule type="cellIs" dxfId="18379" priority="18217" stopIfTrue="1" operator="equal">
      <formula>"Pass"</formula>
    </cfRule>
    <cfRule type="cellIs" dxfId="18378" priority="18218" stopIfTrue="1" operator="equal">
      <formula>"Fail"</formula>
    </cfRule>
  </conditionalFormatting>
  <conditionalFormatting sqref="T927 T925 R925:R927 S926:S927">
    <cfRule type="cellIs" dxfId="18377" priority="18215" stopIfTrue="1" operator="equal">
      <formula>"Fail"</formula>
    </cfRule>
    <cfRule type="cellIs" dxfId="18376" priority="18216" stopIfTrue="1" operator="equal">
      <formula>"Pass"</formula>
    </cfRule>
  </conditionalFormatting>
  <conditionalFormatting sqref="F925:G925 F927:G927 A925:B927 J925:N926 A928:A933">
    <cfRule type="cellIs" dxfId="18375" priority="18213" stopIfTrue="1" operator="equal">
      <formula>"Pass"</formula>
    </cfRule>
    <cfRule type="cellIs" dxfId="18374" priority="18214" stopIfTrue="1" operator="equal">
      <formula>"Fail"</formula>
    </cfRule>
  </conditionalFormatting>
  <conditionalFormatting sqref="U927 U925 T925:T927 S926:S927">
    <cfRule type="cellIs" dxfId="18373" priority="18211" stopIfTrue="1" operator="equal">
      <formula>"Fail"</formula>
    </cfRule>
    <cfRule type="cellIs" dxfId="18372" priority="18212" stopIfTrue="1" operator="equal">
      <formula>"Pass"</formula>
    </cfRule>
  </conditionalFormatting>
  <conditionalFormatting sqref="A925:A933">
    <cfRule type="cellIs" dxfId="18371" priority="18209" stopIfTrue="1" operator="equal">
      <formula>"Pass"</formula>
    </cfRule>
    <cfRule type="cellIs" dxfId="18370" priority="18210" stopIfTrue="1" operator="equal">
      <formula>"Fail"</formula>
    </cfRule>
  </conditionalFormatting>
  <conditionalFormatting sqref="A925:A933">
    <cfRule type="cellIs" dxfId="18369" priority="18207" stopIfTrue="1" operator="equal">
      <formula>"Pass"</formula>
    </cfRule>
    <cfRule type="cellIs" dxfId="18368" priority="18208" stopIfTrue="1" operator="equal">
      <formula>"Fail"</formula>
    </cfRule>
  </conditionalFormatting>
  <conditionalFormatting sqref="A925:A933">
    <cfRule type="cellIs" dxfId="18367" priority="18205" stopIfTrue="1" operator="equal">
      <formula>"Pass"</formula>
    </cfRule>
    <cfRule type="cellIs" dxfId="18366" priority="18206" stopIfTrue="1" operator="equal">
      <formula>"Fail"</formula>
    </cfRule>
  </conditionalFormatting>
  <conditionalFormatting sqref="J925:N926 E925:G927">
    <cfRule type="cellIs" dxfId="18365" priority="18203" stopIfTrue="1" operator="equal">
      <formula>"Pass"</formula>
    </cfRule>
    <cfRule type="cellIs" dxfId="18364" priority="18204" stopIfTrue="1" operator="equal">
      <formula>"Fail"</formula>
    </cfRule>
  </conditionalFormatting>
  <conditionalFormatting sqref="A927 C927 K925:O926 F925:H927 A930 A933">
    <cfRule type="cellIs" dxfId="18363" priority="18201" stopIfTrue="1" operator="equal">
      <formula>"Pass"</formula>
    </cfRule>
    <cfRule type="cellIs" dxfId="18362" priority="18202" stopIfTrue="1" operator="equal">
      <formula>"Fail"</formula>
    </cfRule>
  </conditionalFormatting>
  <conditionalFormatting sqref="T925">
    <cfRule type="cellIs" dxfId="18361" priority="18199" stopIfTrue="1" operator="equal">
      <formula>"Fail"</formula>
    </cfRule>
    <cfRule type="cellIs" dxfId="18360" priority="18200" stopIfTrue="1" operator="equal">
      <formula>"Pass"</formula>
    </cfRule>
  </conditionalFormatting>
  <conditionalFormatting sqref="A925:A933">
    <cfRule type="cellIs" dxfId="18359" priority="18197" stopIfTrue="1" operator="equal">
      <formula>"Pass"</formula>
    </cfRule>
    <cfRule type="cellIs" dxfId="18358" priority="18198" stopIfTrue="1" operator="equal">
      <formula>"Fail"</formula>
    </cfRule>
  </conditionalFormatting>
  <conditionalFormatting sqref="A925:A933">
    <cfRule type="cellIs" dxfId="18357" priority="18195" stopIfTrue="1" operator="equal">
      <formula>"Pass"</formula>
    </cfRule>
    <cfRule type="cellIs" dxfId="18356" priority="18196" stopIfTrue="1" operator="equal">
      <formula>"Fail"</formula>
    </cfRule>
  </conditionalFormatting>
  <conditionalFormatting sqref="A925:A933">
    <cfRule type="cellIs" dxfId="18355" priority="18193" stopIfTrue="1" operator="equal">
      <formula>"Pass"</formula>
    </cfRule>
    <cfRule type="cellIs" dxfId="18354" priority="18194" stopIfTrue="1" operator="equal">
      <formula>"Fail"</formula>
    </cfRule>
  </conditionalFormatting>
  <conditionalFormatting sqref="A925:A933">
    <cfRule type="cellIs" dxfId="18353" priority="18191" stopIfTrue="1" operator="equal">
      <formula>"Pass"</formula>
    </cfRule>
    <cfRule type="cellIs" dxfId="18352" priority="18192" stopIfTrue="1" operator="equal">
      <formula>"Fail"</formula>
    </cfRule>
  </conditionalFormatting>
  <conditionalFormatting sqref="A925:A933">
    <cfRule type="cellIs" dxfId="18351" priority="18189" stopIfTrue="1" operator="equal">
      <formula>"Pass"</formula>
    </cfRule>
    <cfRule type="cellIs" dxfId="18350" priority="18190" stopIfTrue="1" operator="equal">
      <formula>"Fail"</formula>
    </cfRule>
  </conditionalFormatting>
  <conditionalFormatting sqref="A925:A933">
    <cfRule type="cellIs" dxfId="18349" priority="18187" stopIfTrue="1" operator="equal">
      <formula>"Pass"</formula>
    </cfRule>
    <cfRule type="cellIs" dxfId="18348" priority="18188" stopIfTrue="1" operator="equal">
      <formula>"Fail"</formula>
    </cfRule>
  </conditionalFormatting>
  <conditionalFormatting sqref="A927 A930 A933">
    <cfRule type="cellIs" dxfId="18347" priority="18185" stopIfTrue="1" operator="equal">
      <formula>"Pass"</formula>
    </cfRule>
    <cfRule type="cellIs" dxfId="18346" priority="18186" stopIfTrue="1" operator="equal">
      <formula>"Fail"</formula>
    </cfRule>
  </conditionalFormatting>
  <conditionalFormatting sqref="A925:A933">
    <cfRule type="cellIs" dxfId="18345" priority="18183" stopIfTrue="1" operator="equal">
      <formula>"Pass"</formula>
    </cfRule>
    <cfRule type="cellIs" dxfId="18344" priority="18184" stopIfTrue="1" operator="equal">
      <formula>"Fail"</formula>
    </cfRule>
  </conditionalFormatting>
  <conditionalFormatting sqref="A925:A933">
    <cfRule type="cellIs" dxfId="18343" priority="18181" stopIfTrue="1" operator="equal">
      <formula>"Pass"</formula>
    </cfRule>
    <cfRule type="cellIs" dxfId="18342" priority="18182" stopIfTrue="1" operator="equal">
      <formula>"Fail"</formula>
    </cfRule>
  </conditionalFormatting>
  <conditionalFormatting sqref="A925:A933">
    <cfRule type="cellIs" dxfId="18341" priority="18179" stopIfTrue="1" operator="equal">
      <formula>"Pass"</formula>
    </cfRule>
    <cfRule type="cellIs" dxfId="18340" priority="18180" stopIfTrue="1" operator="equal">
      <formula>"Fail"</formula>
    </cfRule>
  </conditionalFormatting>
  <conditionalFormatting sqref="A925:A933">
    <cfRule type="cellIs" dxfId="18339" priority="18177" stopIfTrue="1" operator="equal">
      <formula>"Pass"</formula>
    </cfRule>
    <cfRule type="cellIs" dxfId="18338" priority="18178" stopIfTrue="1" operator="equal">
      <formula>"Fail"</formula>
    </cfRule>
  </conditionalFormatting>
  <conditionalFormatting sqref="A925:A933">
    <cfRule type="cellIs" dxfId="18337" priority="18175" stopIfTrue="1" operator="equal">
      <formula>"Pass"</formula>
    </cfRule>
    <cfRule type="cellIs" dxfId="18336" priority="18176" stopIfTrue="1" operator="equal">
      <formula>"Fail"</formula>
    </cfRule>
  </conditionalFormatting>
  <conditionalFormatting sqref="A925:A933">
    <cfRule type="cellIs" dxfId="18335" priority="18173" stopIfTrue="1" operator="equal">
      <formula>"Pass"</formula>
    </cfRule>
    <cfRule type="cellIs" dxfId="18334" priority="18174" stopIfTrue="1" operator="equal">
      <formula>"Fail"</formula>
    </cfRule>
  </conditionalFormatting>
  <conditionalFormatting sqref="A927 A930 A933">
    <cfRule type="cellIs" dxfId="18333" priority="18171" stopIfTrue="1" operator="equal">
      <formula>"Pass"</formula>
    </cfRule>
    <cfRule type="cellIs" dxfId="18332" priority="18172" stopIfTrue="1" operator="equal">
      <formula>"Fail"</formula>
    </cfRule>
  </conditionalFormatting>
  <conditionalFormatting sqref="A925:A933">
    <cfRule type="cellIs" dxfId="18331" priority="18169" stopIfTrue="1" operator="equal">
      <formula>"Pass"</formula>
    </cfRule>
    <cfRule type="cellIs" dxfId="18330" priority="18170" stopIfTrue="1" operator="equal">
      <formula>"Fail"</formula>
    </cfRule>
  </conditionalFormatting>
  <conditionalFormatting sqref="H925:H926">
    <cfRule type="cellIs" dxfId="18329" priority="18167" stopIfTrue="1" operator="equal">
      <formula>"Pass"</formula>
    </cfRule>
    <cfRule type="cellIs" dxfId="18328" priority="18168" stopIfTrue="1" operator="equal">
      <formula>"Fail"</formula>
    </cfRule>
  </conditionalFormatting>
  <conditionalFormatting sqref="F925 F927 I925:M926">
    <cfRule type="cellIs" dxfId="18327" priority="18165" stopIfTrue="1" operator="equal">
      <formula>"Pass"</formula>
    </cfRule>
    <cfRule type="cellIs" dxfId="18326" priority="18166" stopIfTrue="1" operator="equal">
      <formula>"Fail"</formula>
    </cfRule>
  </conditionalFormatting>
  <conditionalFormatting sqref="T927 T925 R925:R927 S926:S927">
    <cfRule type="cellIs" dxfId="18325" priority="18163" stopIfTrue="1" operator="equal">
      <formula>"Fail"</formula>
    </cfRule>
    <cfRule type="cellIs" dxfId="18324" priority="18164" stopIfTrue="1" operator="equal">
      <formula>"Pass"</formula>
    </cfRule>
  </conditionalFormatting>
  <conditionalFormatting sqref="F925:G925 F927:G927 J925:N926">
    <cfRule type="cellIs" dxfId="18323" priority="18161" stopIfTrue="1" operator="equal">
      <formula>"Pass"</formula>
    </cfRule>
    <cfRule type="cellIs" dxfId="18322" priority="18162" stopIfTrue="1" operator="equal">
      <formula>"Fail"</formula>
    </cfRule>
  </conditionalFormatting>
  <conditionalFormatting sqref="U927 U925 T925:T927 S926:S927">
    <cfRule type="cellIs" dxfId="18321" priority="18159" stopIfTrue="1" operator="equal">
      <formula>"Fail"</formula>
    </cfRule>
    <cfRule type="cellIs" dxfId="18320" priority="18160" stopIfTrue="1" operator="equal">
      <formula>"Pass"</formula>
    </cfRule>
  </conditionalFormatting>
  <conditionalFormatting sqref="J925:N926 F925:G927">
    <cfRule type="cellIs" dxfId="18319" priority="18157" stopIfTrue="1" operator="equal">
      <formula>"Pass"</formula>
    </cfRule>
    <cfRule type="cellIs" dxfId="18318" priority="18158" stopIfTrue="1" operator="equal">
      <formula>"Fail"</formula>
    </cfRule>
  </conditionalFormatting>
  <conditionalFormatting sqref="K925:O926 F925:H927">
    <cfRule type="cellIs" dxfId="18317" priority="18155" stopIfTrue="1" operator="equal">
      <formula>"Pass"</formula>
    </cfRule>
    <cfRule type="cellIs" dxfId="18316" priority="18156" stopIfTrue="1" operator="equal">
      <formula>"Fail"</formula>
    </cfRule>
  </conditionalFormatting>
  <conditionalFormatting sqref="T925">
    <cfRule type="cellIs" dxfId="18315" priority="18153" stopIfTrue="1" operator="equal">
      <formula>"Fail"</formula>
    </cfRule>
    <cfRule type="cellIs" dxfId="18314" priority="18154" stopIfTrue="1" operator="equal">
      <formula>"Pass"</formula>
    </cfRule>
  </conditionalFormatting>
  <conditionalFormatting sqref="K925:O926 F925:H927">
    <cfRule type="cellIs" dxfId="18313" priority="18151" stopIfTrue="1" operator="equal">
      <formula>"Pass"</formula>
    </cfRule>
    <cfRule type="cellIs" dxfId="18312" priority="18152" stopIfTrue="1" operator="equal">
      <formula>"Fail"</formula>
    </cfRule>
  </conditionalFormatting>
  <conditionalFormatting sqref="T925">
    <cfRule type="cellIs" dxfId="18311" priority="18149" stopIfTrue="1" operator="equal">
      <formula>"Fail"</formula>
    </cfRule>
    <cfRule type="cellIs" dxfId="18310" priority="18150" stopIfTrue="1" operator="equal">
      <formula>"Pass"</formula>
    </cfRule>
  </conditionalFormatting>
  <conditionalFormatting sqref="H925:H926">
    <cfRule type="cellIs" dxfId="18309" priority="18147" stopIfTrue="1" operator="equal">
      <formula>"Pass"</formula>
    </cfRule>
    <cfRule type="cellIs" dxfId="18308" priority="18148" stopIfTrue="1" operator="equal">
      <formula>"Fail"</formula>
    </cfRule>
  </conditionalFormatting>
  <conditionalFormatting sqref="E925:F925 E927:F927 I925:M926 A925:A933">
    <cfRule type="cellIs" dxfId="18307" priority="18145" stopIfTrue="1" operator="equal">
      <formula>"Pass"</formula>
    </cfRule>
    <cfRule type="cellIs" dxfId="18306" priority="18146" stopIfTrue="1" operator="equal">
      <formula>"Fail"</formula>
    </cfRule>
  </conditionalFormatting>
  <conditionalFormatting sqref="T927 T925 R925:R927 S926:S927">
    <cfRule type="cellIs" dxfId="18305" priority="18143" stopIfTrue="1" operator="equal">
      <formula>"Fail"</formula>
    </cfRule>
    <cfRule type="cellIs" dxfId="18304" priority="18144" stopIfTrue="1" operator="equal">
      <formula>"Pass"</formula>
    </cfRule>
  </conditionalFormatting>
  <conditionalFormatting sqref="F925:G925 F927:G927 A925:B927 J925:N926 A928:A933">
    <cfRule type="cellIs" dxfId="18303" priority="18141" stopIfTrue="1" operator="equal">
      <formula>"Pass"</formula>
    </cfRule>
    <cfRule type="cellIs" dxfId="18302" priority="18142" stopIfTrue="1" operator="equal">
      <formula>"Fail"</formula>
    </cfRule>
  </conditionalFormatting>
  <conditionalFormatting sqref="U927 U925 T925:T927 S926:S927">
    <cfRule type="cellIs" dxfId="18301" priority="18139" stopIfTrue="1" operator="equal">
      <formula>"Fail"</formula>
    </cfRule>
    <cfRule type="cellIs" dxfId="18300" priority="18140" stopIfTrue="1" operator="equal">
      <formula>"Pass"</formula>
    </cfRule>
  </conditionalFormatting>
  <conditionalFormatting sqref="A925:A933">
    <cfRule type="cellIs" dxfId="18299" priority="18137" stopIfTrue="1" operator="equal">
      <formula>"Pass"</formula>
    </cfRule>
    <cfRule type="cellIs" dxfId="18298" priority="18138" stopIfTrue="1" operator="equal">
      <formula>"Fail"</formula>
    </cfRule>
  </conditionalFormatting>
  <conditionalFormatting sqref="A925:A933">
    <cfRule type="cellIs" dxfId="18297" priority="18135" stopIfTrue="1" operator="equal">
      <formula>"Pass"</formula>
    </cfRule>
    <cfRule type="cellIs" dxfId="18296" priority="18136" stopIfTrue="1" operator="equal">
      <formula>"Fail"</formula>
    </cfRule>
  </conditionalFormatting>
  <conditionalFormatting sqref="A925:A933">
    <cfRule type="cellIs" dxfId="18295" priority="18133" stopIfTrue="1" operator="equal">
      <formula>"Pass"</formula>
    </cfRule>
    <cfRule type="cellIs" dxfId="18294" priority="18134" stopIfTrue="1" operator="equal">
      <formula>"Fail"</formula>
    </cfRule>
  </conditionalFormatting>
  <conditionalFormatting sqref="J925:N926 E925:G927">
    <cfRule type="cellIs" dxfId="18293" priority="18131" stopIfTrue="1" operator="equal">
      <formula>"Pass"</formula>
    </cfRule>
    <cfRule type="cellIs" dxfId="18292" priority="18132" stopIfTrue="1" operator="equal">
      <formula>"Fail"</formula>
    </cfRule>
  </conditionalFormatting>
  <conditionalFormatting sqref="A927 C927 K925:O926 F925:H927 A930 A933">
    <cfRule type="cellIs" dxfId="18291" priority="18129" stopIfTrue="1" operator="equal">
      <formula>"Pass"</formula>
    </cfRule>
    <cfRule type="cellIs" dxfId="18290" priority="18130" stopIfTrue="1" operator="equal">
      <formula>"Fail"</formula>
    </cfRule>
  </conditionalFormatting>
  <conditionalFormatting sqref="T925">
    <cfRule type="cellIs" dxfId="18289" priority="18127" stopIfTrue="1" operator="equal">
      <formula>"Fail"</formula>
    </cfRule>
    <cfRule type="cellIs" dxfId="18288" priority="18128" stopIfTrue="1" operator="equal">
      <formula>"Pass"</formula>
    </cfRule>
  </conditionalFormatting>
  <conditionalFormatting sqref="A925:A933">
    <cfRule type="cellIs" dxfId="18287" priority="18125" stopIfTrue="1" operator="equal">
      <formula>"Pass"</formula>
    </cfRule>
    <cfRule type="cellIs" dxfId="18286" priority="18126" stopIfTrue="1" operator="equal">
      <formula>"Fail"</formula>
    </cfRule>
  </conditionalFormatting>
  <conditionalFormatting sqref="A925:A933">
    <cfRule type="cellIs" dxfId="18285" priority="18123" stopIfTrue="1" operator="equal">
      <formula>"Pass"</formula>
    </cfRule>
    <cfRule type="cellIs" dxfId="18284" priority="18124" stopIfTrue="1" operator="equal">
      <formula>"Fail"</formula>
    </cfRule>
  </conditionalFormatting>
  <conditionalFormatting sqref="A925:A933">
    <cfRule type="cellIs" dxfId="18283" priority="18121" stopIfTrue="1" operator="equal">
      <formula>"Pass"</formula>
    </cfRule>
    <cfRule type="cellIs" dxfId="18282" priority="18122" stopIfTrue="1" operator="equal">
      <formula>"Fail"</formula>
    </cfRule>
  </conditionalFormatting>
  <conditionalFormatting sqref="A925:A933">
    <cfRule type="cellIs" dxfId="18281" priority="18119" stopIfTrue="1" operator="equal">
      <formula>"Pass"</formula>
    </cfRule>
    <cfRule type="cellIs" dxfId="18280" priority="18120" stopIfTrue="1" operator="equal">
      <formula>"Fail"</formula>
    </cfRule>
  </conditionalFormatting>
  <conditionalFormatting sqref="A925:A933">
    <cfRule type="cellIs" dxfId="18279" priority="18117" stopIfTrue="1" operator="equal">
      <formula>"Pass"</formula>
    </cfRule>
    <cfRule type="cellIs" dxfId="18278" priority="18118" stopIfTrue="1" operator="equal">
      <formula>"Fail"</formula>
    </cfRule>
  </conditionalFormatting>
  <conditionalFormatting sqref="A925:A933">
    <cfRule type="cellIs" dxfId="18277" priority="18115" stopIfTrue="1" operator="equal">
      <formula>"Pass"</formula>
    </cfRule>
    <cfRule type="cellIs" dxfId="18276" priority="18116" stopIfTrue="1" operator="equal">
      <formula>"Fail"</formula>
    </cfRule>
  </conditionalFormatting>
  <conditionalFormatting sqref="A927 A930 A933">
    <cfRule type="cellIs" dxfId="18275" priority="18113" stopIfTrue="1" operator="equal">
      <formula>"Pass"</formula>
    </cfRule>
    <cfRule type="cellIs" dxfId="18274" priority="18114" stopIfTrue="1" operator="equal">
      <formula>"Fail"</formula>
    </cfRule>
  </conditionalFormatting>
  <conditionalFormatting sqref="A925:A933">
    <cfRule type="cellIs" dxfId="18273" priority="18111" stopIfTrue="1" operator="equal">
      <formula>"Pass"</formula>
    </cfRule>
    <cfRule type="cellIs" dxfId="18272" priority="18112" stopIfTrue="1" operator="equal">
      <formula>"Fail"</formula>
    </cfRule>
  </conditionalFormatting>
  <conditionalFormatting sqref="A925:A933">
    <cfRule type="cellIs" dxfId="18271" priority="18109" stopIfTrue="1" operator="equal">
      <formula>"Pass"</formula>
    </cfRule>
    <cfRule type="cellIs" dxfId="18270" priority="18110" stopIfTrue="1" operator="equal">
      <formula>"Fail"</formula>
    </cfRule>
  </conditionalFormatting>
  <conditionalFormatting sqref="A925:A933">
    <cfRule type="cellIs" dxfId="18269" priority="18107" stopIfTrue="1" operator="equal">
      <formula>"Pass"</formula>
    </cfRule>
    <cfRule type="cellIs" dxfId="18268" priority="18108" stopIfTrue="1" operator="equal">
      <formula>"Fail"</formula>
    </cfRule>
  </conditionalFormatting>
  <conditionalFormatting sqref="A925:A933">
    <cfRule type="cellIs" dxfId="18267" priority="18105" stopIfTrue="1" operator="equal">
      <formula>"Pass"</formula>
    </cfRule>
    <cfRule type="cellIs" dxfId="18266" priority="18106" stopIfTrue="1" operator="equal">
      <formula>"Fail"</formula>
    </cfRule>
  </conditionalFormatting>
  <conditionalFormatting sqref="A925:A933">
    <cfRule type="cellIs" dxfId="18265" priority="18103" stopIfTrue="1" operator="equal">
      <formula>"Pass"</formula>
    </cfRule>
    <cfRule type="cellIs" dxfId="18264" priority="18104" stopIfTrue="1" operator="equal">
      <formula>"Fail"</formula>
    </cfRule>
  </conditionalFormatting>
  <conditionalFormatting sqref="A925:A933">
    <cfRule type="cellIs" dxfId="18263" priority="18101" stopIfTrue="1" operator="equal">
      <formula>"Pass"</formula>
    </cfRule>
    <cfRule type="cellIs" dxfId="18262" priority="18102" stopIfTrue="1" operator="equal">
      <formula>"Fail"</formula>
    </cfRule>
  </conditionalFormatting>
  <conditionalFormatting sqref="A927 A930 A933">
    <cfRule type="cellIs" dxfId="18261" priority="18099" stopIfTrue="1" operator="equal">
      <formula>"Pass"</formula>
    </cfRule>
    <cfRule type="cellIs" dxfId="18260" priority="18100" stopIfTrue="1" operator="equal">
      <formula>"Fail"</formula>
    </cfRule>
  </conditionalFormatting>
  <conditionalFormatting sqref="A925:A933">
    <cfRule type="cellIs" dxfId="18259" priority="18097" stopIfTrue="1" operator="equal">
      <formula>"Pass"</formula>
    </cfRule>
    <cfRule type="cellIs" dxfId="18258" priority="18098" stopIfTrue="1" operator="equal">
      <formula>"Fail"</formula>
    </cfRule>
  </conditionalFormatting>
  <conditionalFormatting sqref="H925:H926">
    <cfRule type="cellIs" dxfId="18257" priority="18095" stopIfTrue="1" operator="equal">
      <formula>"Pass"</formula>
    </cfRule>
    <cfRule type="cellIs" dxfId="18256" priority="18096" stopIfTrue="1" operator="equal">
      <formula>"Fail"</formula>
    </cfRule>
  </conditionalFormatting>
  <conditionalFormatting sqref="F925 F927 I925:M926">
    <cfRule type="cellIs" dxfId="18255" priority="18093" stopIfTrue="1" operator="equal">
      <formula>"Pass"</formula>
    </cfRule>
    <cfRule type="cellIs" dxfId="18254" priority="18094" stopIfTrue="1" operator="equal">
      <formula>"Fail"</formula>
    </cfRule>
  </conditionalFormatting>
  <conditionalFormatting sqref="T927 T925 R925:R927 S926:S927">
    <cfRule type="cellIs" dxfId="18253" priority="18091" stopIfTrue="1" operator="equal">
      <formula>"Fail"</formula>
    </cfRule>
    <cfRule type="cellIs" dxfId="18252" priority="18092" stopIfTrue="1" operator="equal">
      <formula>"Pass"</formula>
    </cfRule>
  </conditionalFormatting>
  <conditionalFormatting sqref="F925:G925 F927:G927 J925:N926">
    <cfRule type="cellIs" dxfId="18251" priority="18089" stopIfTrue="1" operator="equal">
      <formula>"Pass"</formula>
    </cfRule>
    <cfRule type="cellIs" dxfId="18250" priority="18090" stopIfTrue="1" operator="equal">
      <formula>"Fail"</formula>
    </cfRule>
  </conditionalFormatting>
  <conditionalFormatting sqref="U927 U925 T925:T927 S926:S927">
    <cfRule type="cellIs" dxfId="18249" priority="18087" stopIfTrue="1" operator="equal">
      <formula>"Fail"</formula>
    </cfRule>
    <cfRule type="cellIs" dxfId="18248" priority="18088" stopIfTrue="1" operator="equal">
      <formula>"Pass"</formula>
    </cfRule>
  </conditionalFormatting>
  <conditionalFormatting sqref="J925:N926 F925:G927">
    <cfRule type="cellIs" dxfId="18247" priority="18085" stopIfTrue="1" operator="equal">
      <formula>"Pass"</formula>
    </cfRule>
    <cfRule type="cellIs" dxfId="18246" priority="18086" stopIfTrue="1" operator="equal">
      <formula>"Fail"</formula>
    </cfRule>
  </conditionalFormatting>
  <conditionalFormatting sqref="K925:O926 F925:H927">
    <cfRule type="cellIs" dxfId="18245" priority="18083" stopIfTrue="1" operator="equal">
      <formula>"Pass"</formula>
    </cfRule>
    <cfRule type="cellIs" dxfId="18244" priority="18084" stopIfTrue="1" operator="equal">
      <formula>"Fail"</formula>
    </cfRule>
  </conditionalFormatting>
  <conditionalFormatting sqref="T925">
    <cfRule type="cellIs" dxfId="18243" priority="18081" stopIfTrue="1" operator="equal">
      <formula>"Fail"</formula>
    </cfRule>
    <cfRule type="cellIs" dxfId="18242" priority="18082" stopIfTrue="1" operator="equal">
      <formula>"Pass"</formula>
    </cfRule>
  </conditionalFormatting>
  <conditionalFormatting sqref="K925:O926 F925:H927">
    <cfRule type="cellIs" dxfId="18241" priority="18079" stopIfTrue="1" operator="equal">
      <formula>"Pass"</formula>
    </cfRule>
    <cfRule type="cellIs" dxfId="18240" priority="18080" stopIfTrue="1" operator="equal">
      <formula>"Fail"</formula>
    </cfRule>
  </conditionalFormatting>
  <conditionalFormatting sqref="T925">
    <cfRule type="cellIs" dxfId="18239" priority="18077" stopIfTrue="1" operator="equal">
      <formula>"Fail"</formula>
    </cfRule>
    <cfRule type="cellIs" dxfId="18238" priority="18078" stopIfTrue="1" operator="equal">
      <formula>"Pass"</formula>
    </cfRule>
  </conditionalFormatting>
  <conditionalFormatting sqref="A928">
    <cfRule type="cellIs" dxfId="18237" priority="18075" stopIfTrue="1" operator="equal">
      <formula>"Pass"</formula>
    </cfRule>
    <cfRule type="cellIs" dxfId="18236" priority="18076" stopIfTrue="1" operator="equal">
      <formula>"Fail"</formula>
    </cfRule>
  </conditionalFormatting>
  <conditionalFormatting sqref="A928">
    <cfRule type="cellIs" dxfId="18235" priority="18073" stopIfTrue="1" operator="equal">
      <formula>"Pass"</formula>
    </cfRule>
    <cfRule type="cellIs" dxfId="18234" priority="18074" stopIfTrue="1" operator="equal">
      <formula>"Fail"</formula>
    </cfRule>
  </conditionalFormatting>
  <conditionalFormatting sqref="A928">
    <cfRule type="cellIs" dxfId="18233" priority="18071" stopIfTrue="1" operator="equal">
      <formula>"Pass"</formula>
    </cfRule>
    <cfRule type="cellIs" dxfId="18232" priority="18072" stopIfTrue="1" operator="equal">
      <formula>"Fail"</formula>
    </cfRule>
  </conditionalFormatting>
  <conditionalFormatting sqref="A928">
    <cfRule type="cellIs" dxfId="18231" priority="18069" stopIfTrue="1" operator="equal">
      <formula>"Pass"</formula>
    </cfRule>
    <cfRule type="cellIs" dxfId="18230" priority="18070" stopIfTrue="1" operator="equal">
      <formula>"Fail"</formula>
    </cfRule>
  </conditionalFormatting>
  <conditionalFormatting sqref="A928">
    <cfRule type="cellIs" dxfId="18229" priority="18067" stopIfTrue="1" operator="equal">
      <formula>"Pass"</formula>
    </cfRule>
    <cfRule type="cellIs" dxfId="18228" priority="18068" stopIfTrue="1" operator="equal">
      <formula>"Fail"</formula>
    </cfRule>
  </conditionalFormatting>
  <conditionalFormatting sqref="A928">
    <cfRule type="cellIs" dxfId="18227" priority="18065" stopIfTrue="1" operator="equal">
      <formula>"Pass"</formula>
    </cfRule>
    <cfRule type="cellIs" dxfId="18226" priority="18066" stopIfTrue="1" operator="equal">
      <formula>"Fail"</formula>
    </cfRule>
  </conditionalFormatting>
  <conditionalFormatting sqref="A928">
    <cfRule type="cellIs" dxfId="18225" priority="18063" stopIfTrue="1" operator="equal">
      <formula>"Pass"</formula>
    </cfRule>
    <cfRule type="cellIs" dxfId="18224" priority="18064" stopIfTrue="1" operator="equal">
      <formula>"Fail"</formula>
    </cfRule>
  </conditionalFormatting>
  <conditionalFormatting sqref="A928">
    <cfRule type="cellIs" dxfId="18223" priority="18061" stopIfTrue="1" operator="equal">
      <formula>"Pass"</formula>
    </cfRule>
    <cfRule type="cellIs" dxfId="18222" priority="18062" stopIfTrue="1" operator="equal">
      <formula>"Fail"</formula>
    </cfRule>
  </conditionalFormatting>
  <conditionalFormatting sqref="A928">
    <cfRule type="cellIs" dxfId="18221" priority="18059" stopIfTrue="1" operator="equal">
      <formula>"Pass"</formula>
    </cfRule>
    <cfRule type="cellIs" dxfId="18220" priority="18060" stopIfTrue="1" operator="equal">
      <formula>"Fail"</formula>
    </cfRule>
  </conditionalFormatting>
  <conditionalFormatting sqref="A928">
    <cfRule type="cellIs" dxfId="18219" priority="18057" stopIfTrue="1" operator="equal">
      <formula>"Pass"</formula>
    </cfRule>
    <cfRule type="cellIs" dxfId="18218" priority="18058" stopIfTrue="1" operator="equal">
      <formula>"Fail"</formula>
    </cfRule>
  </conditionalFormatting>
  <conditionalFormatting sqref="A928">
    <cfRule type="cellIs" dxfId="18217" priority="18055" stopIfTrue="1" operator="equal">
      <formula>"Pass"</formula>
    </cfRule>
    <cfRule type="cellIs" dxfId="18216" priority="18056" stopIfTrue="1" operator="equal">
      <formula>"Fail"</formula>
    </cfRule>
  </conditionalFormatting>
  <conditionalFormatting sqref="A928">
    <cfRule type="cellIs" dxfId="18215" priority="18053" stopIfTrue="1" operator="equal">
      <formula>"Pass"</formula>
    </cfRule>
    <cfRule type="cellIs" dxfId="18214" priority="18054" stopIfTrue="1" operator="equal">
      <formula>"Fail"</formula>
    </cfRule>
  </conditionalFormatting>
  <conditionalFormatting sqref="A928">
    <cfRule type="cellIs" dxfId="18213" priority="18051" stopIfTrue="1" operator="equal">
      <formula>"Pass"</formula>
    </cfRule>
    <cfRule type="cellIs" dxfId="18212" priority="18052" stopIfTrue="1" operator="equal">
      <formula>"Fail"</formula>
    </cfRule>
  </conditionalFormatting>
  <conditionalFormatting sqref="A928">
    <cfRule type="cellIs" dxfId="18211" priority="18049" stopIfTrue="1" operator="equal">
      <formula>"Pass"</formula>
    </cfRule>
    <cfRule type="cellIs" dxfId="18210" priority="18050" stopIfTrue="1" operator="equal">
      <formula>"Fail"</formula>
    </cfRule>
  </conditionalFormatting>
  <conditionalFormatting sqref="A928">
    <cfRule type="cellIs" dxfId="18209" priority="18047" stopIfTrue="1" operator="equal">
      <formula>"Pass"</formula>
    </cfRule>
    <cfRule type="cellIs" dxfId="18208" priority="18048" stopIfTrue="1" operator="equal">
      <formula>"Fail"</formula>
    </cfRule>
  </conditionalFormatting>
  <conditionalFormatting sqref="A928">
    <cfRule type="cellIs" dxfId="18207" priority="18045" stopIfTrue="1" operator="equal">
      <formula>"Pass"</formula>
    </cfRule>
    <cfRule type="cellIs" dxfId="18206" priority="18046" stopIfTrue="1" operator="equal">
      <formula>"Fail"</formula>
    </cfRule>
  </conditionalFormatting>
  <conditionalFormatting sqref="A928">
    <cfRule type="cellIs" dxfId="18205" priority="18043" stopIfTrue="1" operator="equal">
      <formula>"Pass"</formula>
    </cfRule>
    <cfRule type="cellIs" dxfId="18204" priority="18044" stopIfTrue="1" operator="equal">
      <formula>"Fail"</formula>
    </cfRule>
  </conditionalFormatting>
  <conditionalFormatting sqref="A928">
    <cfRule type="cellIs" dxfId="18203" priority="18041" stopIfTrue="1" operator="equal">
      <formula>"Pass"</formula>
    </cfRule>
    <cfRule type="cellIs" dxfId="18202" priority="18042" stopIfTrue="1" operator="equal">
      <formula>"Fail"</formula>
    </cfRule>
  </conditionalFormatting>
  <conditionalFormatting sqref="J928:J929">
    <cfRule type="cellIs" dxfId="18201" priority="18039" stopIfTrue="1" operator="equal">
      <formula>"Pass"</formula>
    </cfRule>
    <cfRule type="cellIs" dxfId="18200" priority="18040" stopIfTrue="1" operator="equal">
      <formula>"Fail"</formula>
    </cfRule>
  </conditionalFormatting>
  <conditionalFormatting sqref="H928:H929 I929">
    <cfRule type="cellIs" dxfId="18199" priority="18037" stopIfTrue="1" operator="equal">
      <formula>"Pass"</formula>
    </cfRule>
    <cfRule type="cellIs" dxfId="18198" priority="18038" stopIfTrue="1" operator="equal">
      <formula>"Fail"</formula>
    </cfRule>
  </conditionalFormatting>
  <conditionalFormatting sqref="A928 C928 F930 F928:G928 K928:N929">
    <cfRule type="cellIs" dxfId="18197" priority="18035" stopIfTrue="1" operator="equal">
      <formula>"Pass"</formula>
    </cfRule>
    <cfRule type="cellIs" dxfId="18196" priority="18036" stopIfTrue="1" operator="equal">
      <formula>"Fail"</formula>
    </cfRule>
  </conditionalFormatting>
  <conditionalFormatting sqref="T928:T930 U929:U930">
    <cfRule type="cellIs" dxfId="18195" priority="18033" stopIfTrue="1" operator="equal">
      <formula>"Fail"</formula>
    </cfRule>
    <cfRule type="cellIs" dxfId="18194" priority="18034" stopIfTrue="1" operator="equal">
      <formula>"Pass"</formula>
    </cfRule>
  </conditionalFormatting>
  <conditionalFormatting sqref="A928">
    <cfRule type="cellIs" dxfId="18193" priority="18031" stopIfTrue="1" operator="equal">
      <formula>"Pass"</formula>
    </cfRule>
    <cfRule type="cellIs" dxfId="18192" priority="18032" stopIfTrue="1" operator="equal">
      <formula>"Fail"</formula>
    </cfRule>
  </conditionalFormatting>
  <conditionalFormatting sqref="A928">
    <cfRule type="cellIs" dxfId="18191" priority="18029" stopIfTrue="1" operator="equal">
      <formula>"Pass"</formula>
    </cfRule>
    <cfRule type="cellIs" dxfId="18190" priority="18030" stopIfTrue="1" operator="equal">
      <formula>"Fail"</formula>
    </cfRule>
  </conditionalFormatting>
  <conditionalFormatting sqref="A928">
    <cfRule type="cellIs" dxfId="18189" priority="18027" stopIfTrue="1" operator="equal">
      <formula>"Pass"</formula>
    </cfRule>
    <cfRule type="cellIs" dxfId="18188" priority="18028" stopIfTrue="1" operator="equal">
      <formula>"Fail"</formula>
    </cfRule>
  </conditionalFormatting>
  <conditionalFormatting sqref="A928">
    <cfRule type="cellIs" dxfId="18187" priority="18025" stopIfTrue="1" operator="equal">
      <formula>"Pass"</formula>
    </cfRule>
    <cfRule type="cellIs" dxfId="18186" priority="18026" stopIfTrue="1" operator="equal">
      <formula>"Fail"</formula>
    </cfRule>
  </conditionalFormatting>
  <conditionalFormatting sqref="A928">
    <cfRule type="cellIs" dxfId="18185" priority="18023" stopIfTrue="1" operator="equal">
      <formula>"Pass"</formula>
    </cfRule>
    <cfRule type="cellIs" dxfId="18184" priority="18024" stopIfTrue="1" operator="equal">
      <formula>"Fail"</formula>
    </cfRule>
  </conditionalFormatting>
  <conditionalFormatting sqref="A928">
    <cfRule type="cellIs" dxfId="18183" priority="18021" stopIfTrue="1" operator="equal">
      <formula>"Pass"</formula>
    </cfRule>
    <cfRule type="cellIs" dxfId="18182" priority="18022" stopIfTrue="1" operator="equal">
      <formula>"Fail"</formula>
    </cfRule>
  </conditionalFormatting>
  <conditionalFormatting sqref="A928">
    <cfRule type="cellIs" dxfId="18181" priority="18019" stopIfTrue="1" operator="equal">
      <formula>"Pass"</formula>
    </cfRule>
    <cfRule type="cellIs" dxfId="18180" priority="18020" stopIfTrue="1" operator="equal">
      <formula>"Fail"</formula>
    </cfRule>
  </conditionalFormatting>
  <conditionalFormatting sqref="A928">
    <cfRule type="cellIs" dxfId="18179" priority="18017" stopIfTrue="1" operator="equal">
      <formula>"Pass"</formula>
    </cfRule>
    <cfRule type="cellIs" dxfId="18178" priority="18018" stopIfTrue="1" operator="equal">
      <formula>"Fail"</formula>
    </cfRule>
  </conditionalFormatting>
  <conditionalFormatting sqref="A928">
    <cfRule type="cellIs" dxfId="18177" priority="18015" stopIfTrue="1" operator="equal">
      <formula>"Pass"</formula>
    </cfRule>
    <cfRule type="cellIs" dxfId="18176" priority="18016" stopIfTrue="1" operator="equal">
      <formula>"Fail"</formula>
    </cfRule>
  </conditionalFormatting>
  <conditionalFormatting sqref="A928">
    <cfRule type="cellIs" dxfId="18175" priority="18013" stopIfTrue="1" operator="equal">
      <formula>"Pass"</formula>
    </cfRule>
    <cfRule type="cellIs" dxfId="18174" priority="18014" stopIfTrue="1" operator="equal">
      <formula>"Fail"</formula>
    </cfRule>
  </conditionalFormatting>
  <conditionalFormatting sqref="A928">
    <cfRule type="cellIs" dxfId="18173" priority="18011" stopIfTrue="1" operator="equal">
      <formula>"Pass"</formula>
    </cfRule>
    <cfRule type="cellIs" dxfId="18172" priority="18012" stopIfTrue="1" operator="equal">
      <formula>"Fail"</formula>
    </cfRule>
  </conditionalFormatting>
  <conditionalFormatting sqref="A928">
    <cfRule type="cellIs" dxfId="18171" priority="18009" stopIfTrue="1" operator="equal">
      <formula>"Pass"</formula>
    </cfRule>
    <cfRule type="cellIs" dxfId="18170" priority="18010" stopIfTrue="1" operator="equal">
      <formula>"Fail"</formula>
    </cfRule>
  </conditionalFormatting>
  <conditionalFormatting sqref="A928">
    <cfRule type="cellIs" dxfId="18169" priority="18007" stopIfTrue="1" operator="equal">
      <formula>"Pass"</formula>
    </cfRule>
    <cfRule type="cellIs" dxfId="18168" priority="18008" stopIfTrue="1" operator="equal">
      <formula>"Fail"</formula>
    </cfRule>
  </conditionalFormatting>
  <conditionalFormatting sqref="A928">
    <cfRule type="cellIs" dxfId="18167" priority="18005" stopIfTrue="1" operator="equal">
      <formula>"Pass"</formula>
    </cfRule>
    <cfRule type="cellIs" dxfId="18166" priority="18006" stopIfTrue="1" operator="equal">
      <formula>"Fail"</formula>
    </cfRule>
  </conditionalFormatting>
  <conditionalFormatting sqref="A928">
    <cfRule type="cellIs" dxfId="18165" priority="18003" stopIfTrue="1" operator="equal">
      <formula>"Pass"</formula>
    </cfRule>
    <cfRule type="cellIs" dxfId="18164" priority="18004" stopIfTrue="1" operator="equal">
      <formula>"Fail"</formula>
    </cfRule>
  </conditionalFormatting>
  <conditionalFormatting sqref="A928">
    <cfRule type="cellIs" dxfId="18163" priority="18001" stopIfTrue="1" operator="equal">
      <formula>"Pass"</formula>
    </cfRule>
    <cfRule type="cellIs" dxfId="18162" priority="18002" stopIfTrue="1" operator="equal">
      <formula>"Fail"</formula>
    </cfRule>
  </conditionalFormatting>
  <conditionalFormatting sqref="U928">
    <cfRule type="cellIs" dxfId="18161" priority="17999" stopIfTrue="1" operator="equal">
      <formula>"Fail"</formula>
    </cfRule>
    <cfRule type="cellIs" dxfId="18160" priority="18000" stopIfTrue="1" operator="equal">
      <formula>"Pass"</formula>
    </cfRule>
  </conditionalFormatting>
  <conditionalFormatting sqref="U928">
    <cfRule type="cellIs" dxfId="18159" priority="17997" stopIfTrue="1" operator="equal">
      <formula>"Fail"</formula>
    </cfRule>
    <cfRule type="cellIs" dxfId="18158" priority="17998" stopIfTrue="1" operator="equal">
      <formula>"Pass"</formula>
    </cfRule>
  </conditionalFormatting>
  <conditionalFormatting sqref="J928:J929">
    <cfRule type="cellIs" dxfId="18157" priority="17995" stopIfTrue="1" operator="equal">
      <formula>"Pass"</formula>
    </cfRule>
    <cfRule type="cellIs" dxfId="18156" priority="17996" stopIfTrue="1" operator="equal">
      <formula>"Fail"</formula>
    </cfRule>
  </conditionalFormatting>
  <conditionalFormatting sqref="H928:H929 I929">
    <cfRule type="cellIs" dxfId="18155" priority="17993" stopIfTrue="1" operator="equal">
      <formula>"Pass"</formula>
    </cfRule>
    <cfRule type="cellIs" dxfId="18154" priority="17994" stopIfTrue="1" operator="equal">
      <formula>"Fail"</formula>
    </cfRule>
  </conditionalFormatting>
  <conditionalFormatting sqref="F930 F928:G928 K928:N929">
    <cfRule type="cellIs" dxfId="18153" priority="17991" stopIfTrue="1" operator="equal">
      <formula>"Pass"</formula>
    </cfRule>
    <cfRule type="cellIs" dxfId="18152" priority="17992" stopIfTrue="1" operator="equal">
      <formula>"Fail"</formula>
    </cfRule>
  </conditionalFormatting>
  <conditionalFormatting sqref="T928:T930 U929:U930">
    <cfRule type="cellIs" dxfId="18151" priority="17989" stopIfTrue="1" operator="equal">
      <formula>"Fail"</formula>
    </cfRule>
    <cfRule type="cellIs" dxfId="18150" priority="17990" stopIfTrue="1" operator="equal">
      <formula>"Pass"</formula>
    </cfRule>
  </conditionalFormatting>
  <conditionalFormatting sqref="U928">
    <cfRule type="cellIs" dxfId="18149" priority="17987" stopIfTrue="1" operator="equal">
      <formula>"Fail"</formula>
    </cfRule>
    <cfRule type="cellIs" dxfId="18148" priority="17988" stopIfTrue="1" operator="equal">
      <formula>"Pass"</formula>
    </cfRule>
  </conditionalFormatting>
  <conditionalFormatting sqref="U928">
    <cfRule type="cellIs" dxfId="18147" priority="17985" stopIfTrue="1" operator="equal">
      <formula>"Fail"</formula>
    </cfRule>
    <cfRule type="cellIs" dxfId="18146" priority="17986" stopIfTrue="1" operator="equal">
      <formula>"Pass"</formula>
    </cfRule>
  </conditionalFormatting>
  <conditionalFormatting sqref="F928:G928 K928:N928">
    <cfRule type="cellIs" dxfId="18145" priority="17983" stopIfTrue="1" operator="equal">
      <formula>"Pass"</formula>
    </cfRule>
    <cfRule type="cellIs" dxfId="18144" priority="17984" stopIfTrue="1" operator="equal">
      <formula>"Fail"</formula>
    </cfRule>
  </conditionalFormatting>
  <conditionalFormatting sqref="K929:N929">
    <cfRule type="cellIs" dxfId="18143" priority="17981" stopIfTrue="1" operator="equal">
      <formula>"Pass"</formula>
    </cfRule>
    <cfRule type="cellIs" dxfId="18142" priority="17982" stopIfTrue="1" operator="equal">
      <formula>"Fail"</formula>
    </cfRule>
  </conditionalFormatting>
  <conditionalFormatting sqref="U928">
    <cfRule type="cellIs" dxfId="18141" priority="17979" stopIfTrue="1" operator="equal">
      <formula>"Fail"</formula>
    </cfRule>
    <cfRule type="cellIs" dxfId="18140" priority="17980" stopIfTrue="1" operator="equal">
      <formula>"Pass"</formula>
    </cfRule>
  </conditionalFormatting>
  <conditionalFormatting sqref="A928">
    <cfRule type="cellIs" dxfId="18139" priority="17977" stopIfTrue="1" operator="equal">
      <formula>"Pass"</formula>
    </cfRule>
    <cfRule type="cellIs" dxfId="18138" priority="17978" stopIfTrue="1" operator="equal">
      <formula>"Fail"</formula>
    </cfRule>
  </conditionalFormatting>
  <conditionalFormatting sqref="A928">
    <cfRule type="cellIs" dxfId="18137" priority="17975" stopIfTrue="1" operator="equal">
      <formula>"Pass"</formula>
    </cfRule>
    <cfRule type="cellIs" dxfId="18136" priority="17976" stopIfTrue="1" operator="equal">
      <formula>"Fail"</formula>
    </cfRule>
  </conditionalFormatting>
  <conditionalFormatting sqref="A928">
    <cfRule type="cellIs" dxfId="18135" priority="17973" stopIfTrue="1" operator="equal">
      <formula>"Pass"</formula>
    </cfRule>
    <cfRule type="cellIs" dxfId="18134" priority="17974" stopIfTrue="1" operator="equal">
      <formula>"Fail"</formula>
    </cfRule>
  </conditionalFormatting>
  <conditionalFormatting sqref="A928">
    <cfRule type="cellIs" dxfId="18133" priority="17971" stopIfTrue="1" operator="equal">
      <formula>"Pass"</formula>
    </cfRule>
    <cfRule type="cellIs" dxfId="18132" priority="17972" stopIfTrue="1" operator="equal">
      <formula>"Fail"</formula>
    </cfRule>
  </conditionalFormatting>
  <conditionalFormatting sqref="A928">
    <cfRule type="cellIs" dxfId="18131" priority="17969" stopIfTrue="1" operator="equal">
      <formula>"Pass"</formula>
    </cfRule>
    <cfRule type="cellIs" dxfId="18130" priority="17970" stopIfTrue="1" operator="equal">
      <formula>"Fail"</formula>
    </cfRule>
  </conditionalFormatting>
  <conditionalFormatting sqref="A928">
    <cfRule type="cellIs" dxfId="18129" priority="17967" stopIfTrue="1" operator="equal">
      <formula>"Pass"</formula>
    </cfRule>
    <cfRule type="cellIs" dxfId="18128" priority="17968" stopIfTrue="1" operator="equal">
      <formula>"Fail"</formula>
    </cfRule>
  </conditionalFormatting>
  <conditionalFormatting sqref="A928">
    <cfRule type="cellIs" dxfId="18127" priority="17965" stopIfTrue="1" operator="equal">
      <formula>"Pass"</formula>
    </cfRule>
    <cfRule type="cellIs" dxfId="18126" priority="17966" stopIfTrue="1" operator="equal">
      <formula>"Fail"</formula>
    </cfRule>
  </conditionalFormatting>
  <conditionalFormatting sqref="A928">
    <cfRule type="cellIs" dxfId="18125" priority="17963" stopIfTrue="1" operator="equal">
      <formula>"Pass"</formula>
    </cfRule>
    <cfRule type="cellIs" dxfId="18124" priority="17964" stopIfTrue="1" operator="equal">
      <formula>"Fail"</formula>
    </cfRule>
  </conditionalFormatting>
  <conditionalFormatting sqref="A928">
    <cfRule type="cellIs" dxfId="18123" priority="17961" stopIfTrue="1" operator="equal">
      <formula>"Pass"</formula>
    </cfRule>
    <cfRule type="cellIs" dxfId="18122" priority="17962" stopIfTrue="1" operator="equal">
      <formula>"Fail"</formula>
    </cfRule>
  </conditionalFormatting>
  <conditionalFormatting sqref="A928">
    <cfRule type="cellIs" dxfId="18121" priority="17959" stopIfTrue="1" operator="equal">
      <formula>"Pass"</formula>
    </cfRule>
    <cfRule type="cellIs" dxfId="18120" priority="17960" stopIfTrue="1" operator="equal">
      <formula>"Fail"</formula>
    </cfRule>
  </conditionalFormatting>
  <conditionalFormatting sqref="A928">
    <cfRule type="cellIs" dxfId="18119" priority="17957" stopIfTrue="1" operator="equal">
      <formula>"Pass"</formula>
    </cfRule>
    <cfRule type="cellIs" dxfId="18118" priority="17958" stopIfTrue="1" operator="equal">
      <formula>"Fail"</formula>
    </cfRule>
  </conditionalFormatting>
  <conditionalFormatting sqref="A928">
    <cfRule type="cellIs" dxfId="18117" priority="17955" stopIfTrue="1" operator="equal">
      <formula>"Pass"</formula>
    </cfRule>
    <cfRule type="cellIs" dxfId="18116" priority="17956" stopIfTrue="1" operator="equal">
      <formula>"Fail"</formula>
    </cfRule>
  </conditionalFormatting>
  <conditionalFormatting sqref="J928:J929">
    <cfRule type="cellIs" dxfId="18115" priority="17953" stopIfTrue="1" operator="equal">
      <formula>"Pass"</formula>
    </cfRule>
    <cfRule type="cellIs" dxfId="18114" priority="17954" stopIfTrue="1" operator="equal">
      <formula>"Fail"</formula>
    </cfRule>
  </conditionalFormatting>
  <conditionalFormatting sqref="H928:H929 I929">
    <cfRule type="cellIs" dxfId="18113" priority="17951" stopIfTrue="1" operator="equal">
      <formula>"Pass"</formula>
    </cfRule>
    <cfRule type="cellIs" dxfId="18112" priority="17952" stopIfTrue="1" operator="equal">
      <formula>"Fail"</formula>
    </cfRule>
  </conditionalFormatting>
  <conditionalFormatting sqref="F930 F928:G928 K928:N929">
    <cfRule type="cellIs" dxfId="18111" priority="17949" stopIfTrue="1" operator="equal">
      <formula>"Pass"</formula>
    </cfRule>
    <cfRule type="cellIs" dxfId="18110" priority="17950" stopIfTrue="1" operator="equal">
      <formula>"Fail"</formula>
    </cfRule>
  </conditionalFormatting>
  <conditionalFormatting sqref="T928:T930 U929:U930">
    <cfRule type="cellIs" dxfId="18109" priority="17947" stopIfTrue="1" operator="equal">
      <formula>"Fail"</formula>
    </cfRule>
    <cfRule type="cellIs" dxfId="18108" priority="17948" stopIfTrue="1" operator="equal">
      <formula>"Pass"</formula>
    </cfRule>
  </conditionalFormatting>
  <conditionalFormatting sqref="U928">
    <cfRule type="cellIs" dxfId="18107" priority="17945" stopIfTrue="1" operator="equal">
      <formula>"Fail"</formula>
    </cfRule>
    <cfRule type="cellIs" dxfId="18106" priority="17946" stopIfTrue="1" operator="equal">
      <formula>"Pass"</formula>
    </cfRule>
  </conditionalFormatting>
  <conditionalFormatting sqref="U928">
    <cfRule type="cellIs" dxfId="18105" priority="17943" stopIfTrue="1" operator="equal">
      <formula>"Fail"</formula>
    </cfRule>
    <cfRule type="cellIs" dxfId="18104" priority="17944" stopIfTrue="1" operator="equal">
      <formula>"Pass"</formula>
    </cfRule>
  </conditionalFormatting>
  <conditionalFormatting sqref="J928:J929">
    <cfRule type="cellIs" dxfId="18103" priority="17941" stopIfTrue="1" operator="equal">
      <formula>"Pass"</formula>
    </cfRule>
    <cfRule type="cellIs" dxfId="18102" priority="17942" stopIfTrue="1" operator="equal">
      <formula>"Fail"</formula>
    </cfRule>
  </conditionalFormatting>
  <conditionalFormatting sqref="H928:H929 I929">
    <cfRule type="cellIs" dxfId="18101" priority="17939" stopIfTrue="1" operator="equal">
      <formula>"Pass"</formula>
    </cfRule>
    <cfRule type="cellIs" dxfId="18100" priority="17940" stopIfTrue="1" operator="equal">
      <formula>"Fail"</formula>
    </cfRule>
  </conditionalFormatting>
  <conditionalFormatting sqref="F930 F928:G928 K928:N929">
    <cfRule type="cellIs" dxfId="18099" priority="17937" stopIfTrue="1" operator="equal">
      <formula>"Pass"</formula>
    </cfRule>
    <cfRule type="cellIs" dxfId="18098" priority="17938" stopIfTrue="1" operator="equal">
      <formula>"Fail"</formula>
    </cfRule>
  </conditionalFormatting>
  <conditionalFormatting sqref="T928:T930 U929:U930">
    <cfRule type="cellIs" dxfId="18097" priority="17935" stopIfTrue="1" operator="equal">
      <formula>"Fail"</formula>
    </cfRule>
    <cfRule type="cellIs" dxfId="18096" priority="17936" stopIfTrue="1" operator="equal">
      <formula>"Pass"</formula>
    </cfRule>
  </conditionalFormatting>
  <conditionalFormatting sqref="U928">
    <cfRule type="cellIs" dxfId="18095" priority="17933" stopIfTrue="1" operator="equal">
      <formula>"Fail"</formula>
    </cfRule>
    <cfRule type="cellIs" dxfId="18094" priority="17934" stopIfTrue="1" operator="equal">
      <formula>"Pass"</formula>
    </cfRule>
  </conditionalFormatting>
  <conditionalFormatting sqref="U928">
    <cfRule type="cellIs" dxfId="18093" priority="17931" stopIfTrue="1" operator="equal">
      <formula>"Fail"</formula>
    </cfRule>
    <cfRule type="cellIs" dxfId="18092" priority="17932" stopIfTrue="1" operator="equal">
      <formula>"Pass"</formula>
    </cfRule>
  </conditionalFormatting>
  <conditionalFormatting sqref="F928:G928 K928:N928">
    <cfRule type="cellIs" dxfId="18091" priority="17929" stopIfTrue="1" operator="equal">
      <formula>"Pass"</formula>
    </cfRule>
    <cfRule type="cellIs" dxfId="18090" priority="17930" stopIfTrue="1" operator="equal">
      <formula>"Fail"</formula>
    </cfRule>
  </conditionalFormatting>
  <conditionalFormatting sqref="K929:N929">
    <cfRule type="cellIs" dxfId="18089" priority="17927" stopIfTrue="1" operator="equal">
      <formula>"Pass"</formula>
    </cfRule>
    <cfRule type="cellIs" dxfId="18088" priority="17928" stopIfTrue="1" operator="equal">
      <formula>"Fail"</formula>
    </cfRule>
  </conditionalFormatting>
  <conditionalFormatting sqref="U928">
    <cfRule type="cellIs" dxfId="18087" priority="17925" stopIfTrue="1" operator="equal">
      <formula>"Fail"</formula>
    </cfRule>
    <cfRule type="cellIs" dxfId="18086" priority="17926" stopIfTrue="1" operator="equal">
      <formula>"Pass"</formula>
    </cfRule>
  </conditionalFormatting>
  <conditionalFormatting sqref="J928:J929">
    <cfRule type="cellIs" dxfId="18085" priority="17923" stopIfTrue="1" operator="equal">
      <formula>"Pass"</formula>
    </cfRule>
    <cfRule type="cellIs" dxfId="18084" priority="17924" stopIfTrue="1" operator="equal">
      <formula>"Fail"</formula>
    </cfRule>
  </conditionalFormatting>
  <conditionalFormatting sqref="H928:H929 I929">
    <cfRule type="cellIs" dxfId="18083" priority="17921" stopIfTrue="1" operator="equal">
      <formula>"Pass"</formula>
    </cfRule>
    <cfRule type="cellIs" dxfId="18082" priority="17922" stopIfTrue="1" operator="equal">
      <formula>"Fail"</formula>
    </cfRule>
  </conditionalFormatting>
  <conditionalFormatting sqref="F928:G928 K928:N929">
    <cfRule type="cellIs" dxfId="18081" priority="17919" stopIfTrue="1" operator="equal">
      <formula>"Pass"</formula>
    </cfRule>
    <cfRule type="cellIs" dxfId="18080" priority="17920" stopIfTrue="1" operator="equal">
      <formula>"Fail"</formula>
    </cfRule>
  </conditionalFormatting>
  <conditionalFormatting sqref="T928:T929 U929">
    <cfRule type="cellIs" dxfId="18079" priority="17917" stopIfTrue="1" operator="equal">
      <formula>"Fail"</formula>
    </cfRule>
    <cfRule type="cellIs" dxfId="18078" priority="17918" stopIfTrue="1" operator="equal">
      <formula>"Pass"</formula>
    </cfRule>
  </conditionalFormatting>
  <conditionalFormatting sqref="U928">
    <cfRule type="cellIs" dxfId="18077" priority="17915" stopIfTrue="1" operator="equal">
      <formula>"Fail"</formula>
    </cfRule>
    <cfRule type="cellIs" dxfId="18076" priority="17916" stopIfTrue="1" operator="equal">
      <formula>"Pass"</formula>
    </cfRule>
  </conditionalFormatting>
  <conditionalFormatting sqref="U928">
    <cfRule type="cellIs" dxfId="18075" priority="17913" stopIfTrue="1" operator="equal">
      <formula>"Fail"</formula>
    </cfRule>
    <cfRule type="cellIs" dxfId="18074" priority="17914" stopIfTrue="1" operator="equal">
      <formula>"Pass"</formula>
    </cfRule>
  </conditionalFormatting>
  <conditionalFormatting sqref="J928:J929">
    <cfRule type="cellIs" dxfId="18073" priority="17911" stopIfTrue="1" operator="equal">
      <formula>"Pass"</formula>
    </cfRule>
    <cfRule type="cellIs" dxfId="18072" priority="17912" stopIfTrue="1" operator="equal">
      <formula>"Fail"</formula>
    </cfRule>
  </conditionalFormatting>
  <conditionalFormatting sqref="H928:H929 I929">
    <cfRule type="cellIs" dxfId="18071" priority="17909" stopIfTrue="1" operator="equal">
      <formula>"Pass"</formula>
    </cfRule>
    <cfRule type="cellIs" dxfId="18070" priority="17910" stopIfTrue="1" operator="equal">
      <formula>"Fail"</formula>
    </cfRule>
  </conditionalFormatting>
  <conditionalFormatting sqref="F928:G928 K928:N929">
    <cfRule type="cellIs" dxfId="18069" priority="17907" stopIfTrue="1" operator="equal">
      <formula>"Pass"</formula>
    </cfRule>
    <cfRule type="cellIs" dxfId="18068" priority="17908" stopIfTrue="1" operator="equal">
      <formula>"Fail"</formula>
    </cfRule>
  </conditionalFormatting>
  <conditionalFormatting sqref="T928:T929 U929">
    <cfRule type="cellIs" dxfId="18067" priority="17905" stopIfTrue="1" operator="equal">
      <formula>"Fail"</formula>
    </cfRule>
    <cfRule type="cellIs" dxfId="18066" priority="17906" stopIfTrue="1" operator="equal">
      <formula>"Pass"</formula>
    </cfRule>
  </conditionalFormatting>
  <conditionalFormatting sqref="U928">
    <cfRule type="cellIs" dxfId="18065" priority="17903" stopIfTrue="1" operator="equal">
      <formula>"Fail"</formula>
    </cfRule>
    <cfRule type="cellIs" dxfId="18064" priority="17904" stopIfTrue="1" operator="equal">
      <formula>"Pass"</formula>
    </cfRule>
  </conditionalFormatting>
  <conditionalFormatting sqref="U928">
    <cfRule type="cellIs" dxfId="18063" priority="17901" stopIfTrue="1" operator="equal">
      <formula>"Fail"</formula>
    </cfRule>
    <cfRule type="cellIs" dxfId="18062" priority="17902" stopIfTrue="1" operator="equal">
      <formula>"Pass"</formula>
    </cfRule>
  </conditionalFormatting>
  <conditionalFormatting sqref="F928:G928 K928:N928">
    <cfRule type="cellIs" dxfId="18061" priority="17899" stopIfTrue="1" operator="equal">
      <formula>"Pass"</formula>
    </cfRule>
    <cfRule type="cellIs" dxfId="18060" priority="17900" stopIfTrue="1" operator="equal">
      <formula>"Fail"</formula>
    </cfRule>
  </conditionalFormatting>
  <conditionalFormatting sqref="K929:N929">
    <cfRule type="cellIs" dxfId="18059" priority="17897" stopIfTrue="1" operator="equal">
      <formula>"Pass"</formula>
    </cfRule>
    <cfRule type="cellIs" dxfId="18058" priority="17898" stopIfTrue="1" operator="equal">
      <formula>"Fail"</formula>
    </cfRule>
  </conditionalFormatting>
  <conditionalFormatting sqref="U928">
    <cfRule type="cellIs" dxfId="18057" priority="17895" stopIfTrue="1" operator="equal">
      <formula>"Fail"</formula>
    </cfRule>
    <cfRule type="cellIs" dxfId="18056" priority="17896" stopIfTrue="1" operator="equal">
      <formula>"Pass"</formula>
    </cfRule>
  </conditionalFormatting>
  <conditionalFormatting sqref="U928">
    <cfRule type="cellIs" dxfId="18055" priority="17893" stopIfTrue="1" operator="equal">
      <formula>"Fail"</formula>
    </cfRule>
    <cfRule type="cellIs" dxfId="18054" priority="17894" stopIfTrue="1" operator="equal">
      <formula>"Pass"</formula>
    </cfRule>
  </conditionalFormatting>
  <conditionalFormatting sqref="U928">
    <cfRule type="cellIs" dxfId="18053" priority="17891" stopIfTrue="1" operator="equal">
      <formula>"Fail"</formula>
    </cfRule>
    <cfRule type="cellIs" dxfId="18052" priority="17892" stopIfTrue="1" operator="equal">
      <formula>"Pass"</formula>
    </cfRule>
  </conditionalFormatting>
  <conditionalFormatting sqref="U928">
    <cfRule type="cellIs" dxfId="18051" priority="17889" stopIfTrue="1" operator="equal">
      <formula>"Fail"</formula>
    </cfRule>
    <cfRule type="cellIs" dxfId="18050" priority="17890" stopIfTrue="1" operator="equal">
      <formula>"Pass"</formula>
    </cfRule>
  </conditionalFormatting>
  <conditionalFormatting sqref="A931">
    <cfRule type="cellIs" dxfId="18049" priority="17887" stopIfTrue="1" operator="equal">
      <formula>"Pass"</formula>
    </cfRule>
    <cfRule type="cellIs" dxfId="18048" priority="17888" stopIfTrue="1" operator="equal">
      <formula>"Fail"</formula>
    </cfRule>
  </conditionalFormatting>
  <conditionalFormatting sqref="A931">
    <cfRule type="cellIs" dxfId="18047" priority="17885" stopIfTrue="1" operator="equal">
      <formula>"Pass"</formula>
    </cfRule>
    <cfRule type="cellIs" dxfId="18046" priority="17886" stopIfTrue="1" operator="equal">
      <formula>"Fail"</formula>
    </cfRule>
  </conditionalFormatting>
  <conditionalFormatting sqref="A931">
    <cfRule type="cellIs" dxfId="18045" priority="17883" stopIfTrue="1" operator="equal">
      <formula>"Pass"</formula>
    </cfRule>
    <cfRule type="cellIs" dxfId="18044" priority="17884" stopIfTrue="1" operator="equal">
      <formula>"Fail"</formula>
    </cfRule>
  </conditionalFormatting>
  <conditionalFormatting sqref="A931">
    <cfRule type="cellIs" dxfId="18043" priority="17881" stopIfTrue="1" operator="equal">
      <formula>"Pass"</formula>
    </cfRule>
    <cfRule type="cellIs" dxfId="18042" priority="17882" stopIfTrue="1" operator="equal">
      <formula>"Fail"</formula>
    </cfRule>
  </conditionalFormatting>
  <conditionalFormatting sqref="A931">
    <cfRule type="cellIs" dxfId="18041" priority="17879" stopIfTrue="1" operator="equal">
      <formula>"Pass"</formula>
    </cfRule>
    <cfRule type="cellIs" dxfId="18040" priority="17880" stopIfTrue="1" operator="equal">
      <formula>"Fail"</formula>
    </cfRule>
  </conditionalFormatting>
  <conditionalFormatting sqref="A931">
    <cfRule type="cellIs" dxfId="18039" priority="17877" stopIfTrue="1" operator="equal">
      <formula>"Pass"</formula>
    </cfRule>
    <cfRule type="cellIs" dxfId="18038" priority="17878" stopIfTrue="1" operator="equal">
      <formula>"Fail"</formula>
    </cfRule>
  </conditionalFormatting>
  <conditionalFormatting sqref="H931:H932">
    <cfRule type="cellIs" dxfId="18037" priority="17875" stopIfTrue="1" operator="equal">
      <formula>"Pass"</formula>
    </cfRule>
    <cfRule type="cellIs" dxfId="18036" priority="17876" stopIfTrue="1" operator="equal">
      <formula>"Fail"</formula>
    </cfRule>
  </conditionalFormatting>
  <conditionalFormatting sqref="E931:F931 E933:F933 A931 I931:M932">
    <cfRule type="cellIs" dxfId="18035" priority="17873" stopIfTrue="1" operator="equal">
      <formula>"Pass"</formula>
    </cfRule>
    <cfRule type="cellIs" dxfId="18034" priority="17874" stopIfTrue="1" operator="equal">
      <formula>"Fail"</formula>
    </cfRule>
  </conditionalFormatting>
  <conditionalFormatting sqref="T933 T931 R931:R933 S932:S933">
    <cfRule type="cellIs" dxfId="18033" priority="17871" stopIfTrue="1" operator="equal">
      <formula>"Fail"</formula>
    </cfRule>
    <cfRule type="cellIs" dxfId="18032" priority="17872" stopIfTrue="1" operator="equal">
      <formula>"Pass"</formula>
    </cfRule>
  </conditionalFormatting>
  <conditionalFormatting sqref="F931:G931 F933:G933 B931:B933 A931 J931:N932">
    <cfRule type="cellIs" dxfId="18031" priority="17869" stopIfTrue="1" operator="equal">
      <formula>"Pass"</formula>
    </cfRule>
    <cfRule type="cellIs" dxfId="18030" priority="17870" stopIfTrue="1" operator="equal">
      <formula>"Fail"</formula>
    </cfRule>
  </conditionalFormatting>
  <conditionalFormatting sqref="U933 T931:T933 S932:S933">
    <cfRule type="cellIs" dxfId="18029" priority="17867" stopIfTrue="1" operator="equal">
      <formula>"Fail"</formula>
    </cfRule>
    <cfRule type="cellIs" dxfId="18028" priority="17868" stopIfTrue="1" operator="equal">
      <formula>"Pass"</formula>
    </cfRule>
  </conditionalFormatting>
  <conditionalFormatting sqref="A931">
    <cfRule type="cellIs" dxfId="18027" priority="17865" stopIfTrue="1" operator="equal">
      <formula>"Pass"</formula>
    </cfRule>
    <cfRule type="cellIs" dxfId="18026" priority="17866" stopIfTrue="1" operator="equal">
      <formula>"Fail"</formula>
    </cfRule>
  </conditionalFormatting>
  <conditionalFormatting sqref="A931">
    <cfRule type="cellIs" dxfId="18025" priority="17863" stopIfTrue="1" operator="equal">
      <formula>"Pass"</formula>
    </cfRule>
    <cfRule type="cellIs" dxfId="18024" priority="17864" stopIfTrue="1" operator="equal">
      <formula>"Fail"</formula>
    </cfRule>
  </conditionalFormatting>
  <conditionalFormatting sqref="A931">
    <cfRule type="cellIs" dxfId="18023" priority="17861" stopIfTrue="1" operator="equal">
      <formula>"Pass"</formula>
    </cfRule>
    <cfRule type="cellIs" dxfId="18022" priority="17862" stopIfTrue="1" operator="equal">
      <formula>"Fail"</formula>
    </cfRule>
  </conditionalFormatting>
  <conditionalFormatting sqref="A931">
    <cfRule type="cellIs" dxfId="18021" priority="17859" stopIfTrue="1" operator="equal">
      <formula>"Pass"</formula>
    </cfRule>
    <cfRule type="cellIs" dxfId="18020" priority="17860" stopIfTrue="1" operator="equal">
      <formula>"Fail"</formula>
    </cfRule>
  </conditionalFormatting>
  <conditionalFormatting sqref="A931">
    <cfRule type="cellIs" dxfId="18019" priority="17857" stopIfTrue="1" operator="equal">
      <formula>"Pass"</formula>
    </cfRule>
    <cfRule type="cellIs" dxfId="18018" priority="17858" stopIfTrue="1" operator="equal">
      <formula>"Fail"</formula>
    </cfRule>
  </conditionalFormatting>
  <conditionalFormatting sqref="A931">
    <cfRule type="cellIs" dxfId="18017" priority="17855" stopIfTrue="1" operator="equal">
      <formula>"Pass"</formula>
    </cfRule>
    <cfRule type="cellIs" dxfId="18016" priority="17856" stopIfTrue="1" operator="equal">
      <formula>"Fail"</formula>
    </cfRule>
  </conditionalFormatting>
  <conditionalFormatting sqref="A931">
    <cfRule type="cellIs" dxfId="18015" priority="17853" stopIfTrue="1" operator="equal">
      <formula>"Pass"</formula>
    </cfRule>
    <cfRule type="cellIs" dxfId="18014" priority="17854" stopIfTrue="1" operator="equal">
      <formula>"Fail"</formula>
    </cfRule>
  </conditionalFormatting>
  <conditionalFormatting sqref="A931">
    <cfRule type="cellIs" dxfId="18013" priority="17851" stopIfTrue="1" operator="equal">
      <formula>"Pass"</formula>
    </cfRule>
    <cfRule type="cellIs" dxfId="18012" priority="17852" stopIfTrue="1" operator="equal">
      <formula>"Fail"</formula>
    </cfRule>
  </conditionalFormatting>
  <conditionalFormatting sqref="A931">
    <cfRule type="cellIs" dxfId="18011" priority="17849" stopIfTrue="1" operator="equal">
      <formula>"Pass"</formula>
    </cfRule>
    <cfRule type="cellIs" dxfId="18010" priority="17850" stopIfTrue="1" operator="equal">
      <formula>"Fail"</formula>
    </cfRule>
  </conditionalFormatting>
  <conditionalFormatting sqref="A931">
    <cfRule type="cellIs" dxfId="18009" priority="17847" stopIfTrue="1" operator="equal">
      <formula>"Pass"</formula>
    </cfRule>
    <cfRule type="cellIs" dxfId="18008" priority="17848" stopIfTrue="1" operator="equal">
      <formula>"Fail"</formula>
    </cfRule>
  </conditionalFormatting>
  <conditionalFormatting sqref="U931">
    <cfRule type="cellIs" dxfId="18007" priority="17845" stopIfTrue="1" operator="equal">
      <formula>"Fail"</formula>
    </cfRule>
    <cfRule type="cellIs" dxfId="18006" priority="17846" stopIfTrue="1" operator="equal">
      <formula>"Pass"</formula>
    </cfRule>
  </conditionalFormatting>
  <conditionalFormatting sqref="F931:G931 J931:N931">
    <cfRule type="cellIs" dxfId="18005" priority="17843" stopIfTrue="1" operator="equal">
      <formula>"Pass"</formula>
    </cfRule>
    <cfRule type="cellIs" dxfId="18004" priority="17844" stopIfTrue="1" operator="equal">
      <formula>"Fail"</formula>
    </cfRule>
  </conditionalFormatting>
  <conditionalFormatting sqref="J932:N932">
    <cfRule type="cellIs" dxfId="18003" priority="17841" stopIfTrue="1" operator="equal">
      <formula>"Pass"</formula>
    </cfRule>
    <cfRule type="cellIs" dxfId="18002" priority="17842" stopIfTrue="1" operator="equal">
      <formula>"Fail"</formula>
    </cfRule>
  </conditionalFormatting>
  <conditionalFormatting sqref="A931">
    <cfRule type="cellIs" dxfId="18001" priority="17839" stopIfTrue="1" operator="equal">
      <formula>"Pass"</formula>
    </cfRule>
    <cfRule type="cellIs" dxfId="18000" priority="17840" stopIfTrue="1" operator="equal">
      <formula>"Fail"</formula>
    </cfRule>
  </conditionalFormatting>
  <conditionalFormatting sqref="A931">
    <cfRule type="cellIs" dxfId="17999" priority="17837" stopIfTrue="1" operator="equal">
      <formula>"Pass"</formula>
    </cfRule>
    <cfRule type="cellIs" dxfId="17998" priority="17838" stopIfTrue="1" operator="equal">
      <formula>"Fail"</formula>
    </cfRule>
  </conditionalFormatting>
  <conditionalFormatting sqref="A931">
    <cfRule type="cellIs" dxfId="17997" priority="17835" stopIfTrue="1" operator="equal">
      <formula>"Pass"</formula>
    </cfRule>
    <cfRule type="cellIs" dxfId="17996" priority="17836" stopIfTrue="1" operator="equal">
      <formula>"Fail"</formula>
    </cfRule>
  </conditionalFormatting>
  <conditionalFormatting sqref="A931">
    <cfRule type="cellIs" dxfId="17995" priority="17833" stopIfTrue="1" operator="equal">
      <formula>"Pass"</formula>
    </cfRule>
    <cfRule type="cellIs" dxfId="17994" priority="17834" stopIfTrue="1" operator="equal">
      <formula>"Fail"</formula>
    </cfRule>
  </conditionalFormatting>
  <conditionalFormatting sqref="A931">
    <cfRule type="cellIs" dxfId="17993" priority="17831" stopIfTrue="1" operator="equal">
      <formula>"Pass"</formula>
    </cfRule>
    <cfRule type="cellIs" dxfId="17992" priority="17832" stopIfTrue="1" operator="equal">
      <formula>"Fail"</formula>
    </cfRule>
  </conditionalFormatting>
  <conditionalFormatting sqref="A931">
    <cfRule type="cellIs" dxfId="17991" priority="17829" stopIfTrue="1" operator="equal">
      <formula>"Pass"</formula>
    </cfRule>
    <cfRule type="cellIs" dxfId="17990" priority="17830" stopIfTrue="1" operator="equal">
      <formula>"Fail"</formula>
    </cfRule>
  </conditionalFormatting>
  <conditionalFormatting sqref="A931">
    <cfRule type="cellIs" dxfId="17989" priority="17827" stopIfTrue="1" operator="equal">
      <formula>"Pass"</formula>
    </cfRule>
    <cfRule type="cellIs" dxfId="17988" priority="17828" stopIfTrue="1" operator="equal">
      <formula>"Fail"</formula>
    </cfRule>
  </conditionalFormatting>
  <conditionalFormatting sqref="A931">
    <cfRule type="cellIs" dxfId="17987" priority="17825" stopIfTrue="1" operator="equal">
      <formula>"Pass"</formula>
    </cfRule>
    <cfRule type="cellIs" dxfId="17986" priority="17826" stopIfTrue="1" operator="equal">
      <formula>"Fail"</formula>
    </cfRule>
  </conditionalFormatting>
  <conditionalFormatting sqref="A931">
    <cfRule type="cellIs" dxfId="17985" priority="17823" stopIfTrue="1" operator="equal">
      <formula>"Pass"</formula>
    </cfRule>
    <cfRule type="cellIs" dxfId="17984" priority="17824" stopIfTrue="1" operator="equal">
      <formula>"Fail"</formula>
    </cfRule>
  </conditionalFormatting>
  <conditionalFormatting sqref="A931">
    <cfRule type="cellIs" dxfId="17983" priority="17821" stopIfTrue="1" operator="equal">
      <formula>"Pass"</formula>
    </cfRule>
    <cfRule type="cellIs" dxfId="17982" priority="17822" stopIfTrue="1" operator="equal">
      <formula>"Fail"</formula>
    </cfRule>
  </conditionalFormatting>
  <conditionalFormatting sqref="A931">
    <cfRule type="cellIs" dxfId="17981" priority="17819" stopIfTrue="1" operator="equal">
      <formula>"Pass"</formula>
    </cfRule>
    <cfRule type="cellIs" dxfId="17980" priority="17820" stopIfTrue="1" operator="equal">
      <formula>"Fail"</formula>
    </cfRule>
  </conditionalFormatting>
  <conditionalFormatting sqref="A931">
    <cfRule type="cellIs" dxfId="17979" priority="17817" stopIfTrue="1" operator="equal">
      <formula>"Pass"</formula>
    </cfRule>
    <cfRule type="cellIs" dxfId="17978" priority="17818" stopIfTrue="1" operator="equal">
      <formula>"Fail"</formula>
    </cfRule>
  </conditionalFormatting>
  <conditionalFormatting sqref="H931:H932">
    <cfRule type="cellIs" dxfId="17977" priority="17815" stopIfTrue="1" operator="equal">
      <formula>"Pass"</formula>
    </cfRule>
    <cfRule type="cellIs" dxfId="17976" priority="17816" stopIfTrue="1" operator="equal">
      <formula>"Fail"</formula>
    </cfRule>
  </conditionalFormatting>
  <conditionalFormatting sqref="F931 F933 I931:M932">
    <cfRule type="cellIs" dxfId="17975" priority="17813" stopIfTrue="1" operator="equal">
      <formula>"Pass"</formula>
    </cfRule>
    <cfRule type="cellIs" dxfId="17974" priority="17814" stopIfTrue="1" operator="equal">
      <formula>"Fail"</formula>
    </cfRule>
  </conditionalFormatting>
  <conditionalFormatting sqref="T933 T931 R931:R933 S932:S933">
    <cfRule type="cellIs" dxfId="17973" priority="17811" stopIfTrue="1" operator="equal">
      <formula>"Fail"</formula>
    </cfRule>
    <cfRule type="cellIs" dxfId="17972" priority="17812" stopIfTrue="1" operator="equal">
      <formula>"Pass"</formula>
    </cfRule>
  </conditionalFormatting>
  <conditionalFormatting sqref="F931:G931 F933:G933 J931:N932">
    <cfRule type="cellIs" dxfId="17971" priority="17809" stopIfTrue="1" operator="equal">
      <formula>"Pass"</formula>
    </cfRule>
    <cfRule type="cellIs" dxfId="17970" priority="17810" stopIfTrue="1" operator="equal">
      <formula>"Fail"</formula>
    </cfRule>
  </conditionalFormatting>
  <conditionalFormatting sqref="U933 T931:T933 S932:S933">
    <cfRule type="cellIs" dxfId="17969" priority="17807" stopIfTrue="1" operator="equal">
      <formula>"Fail"</formula>
    </cfRule>
    <cfRule type="cellIs" dxfId="17968" priority="17808" stopIfTrue="1" operator="equal">
      <formula>"Pass"</formula>
    </cfRule>
  </conditionalFormatting>
  <conditionalFormatting sqref="U931">
    <cfRule type="cellIs" dxfId="17967" priority="17805" stopIfTrue="1" operator="equal">
      <formula>"Fail"</formula>
    </cfRule>
    <cfRule type="cellIs" dxfId="17966" priority="17806" stopIfTrue="1" operator="equal">
      <formula>"Pass"</formula>
    </cfRule>
  </conditionalFormatting>
  <conditionalFormatting sqref="F931:G931 J931:N931">
    <cfRule type="cellIs" dxfId="17965" priority="17803" stopIfTrue="1" operator="equal">
      <formula>"Pass"</formula>
    </cfRule>
    <cfRule type="cellIs" dxfId="17964" priority="17804" stopIfTrue="1" operator="equal">
      <formula>"Fail"</formula>
    </cfRule>
  </conditionalFormatting>
  <conditionalFormatting sqref="J932:N932">
    <cfRule type="cellIs" dxfId="17963" priority="17801" stopIfTrue="1" operator="equal">
      <formula>"Pass"</formula>
    </cfRule>
    <cfRule type="cellIs" dxfId="17962" priority="17802" stopIfTrue="1" operator="equal">
      <formula>"Fail"</formula>
    </cfRule>
  </conditionalFormatting>
  <conditionalFormatting sqref="H931:H932">
    <cfRule type="cellIs" dxfId="17961" priority="17799" stopIfTrue="1" operator="equal">
      <formula>"Pass"</formula>
    </cfRule>
    <cfRule type="cellIs" dxfId="17960" priority="17800" stopIfTrue="1" operator="equal">
      <formula>"Fail"</formula>
    </cfRule>
  </conditionalFormatting>
  <conditionalFormatting sqref="F931 F933 I931:M932">
    <cfRule type="cellIs" dxfId="17959" priority="17797" stopIfTrue="1" operator="equal">
      <formula>"Pass"</formula>
    </cfRule>
    <cfRule type="cellIs" dxfId="17958" priority="17798" stopIfTrue="1" operator="equal">
      <formula>"Fail"</formula>
    </cfRule>
  </conditionalFormatting>
  <conditionalFormatting sqref="T933 T931 R931:R933 S932:S933">
    <cfRule type="cellIs" dxfId="17957" priority="17795" stopIfTrue="1" operator="equal">
      <formula>"Fail"</formula>
    </cfRule>
    <cfRule type="cellIs" dxfId="17956" priority="17796" stopIfTrue="1" operator="equal">
      <formula>"Pass"</formula>
    </cfRule>
  </conditionalFormatting>
  <conditionalFormatting sqref="F931:G931 F933:G933 J931:N932">
    <cfRule type="cellIs" dxfId="17955" priority="17793" stopIfTrue="1" operator="equal">
      <formula>"Pass"</formula>
    </cfRule>
    <cfRule type="cellIs" dxfId="17954" priority="17794" stopIfTrue="1" operator="equal">
      <formula>"Fail"</formula>
    </cfRule>
  </conditionalFormatting>
  <conditionalFormatting sqref="U933 T931:T933 S932:S933">
    <cfRule type="cellIs" dxfId="17953" priority="17791" stopIfTrue="1" operator="equal">
      <formula>"Fail"</formula>
    </cfRule>
    <cfRule type="cellIs" dxfId="17952" priority="17792" stopIfTrue="1" operator="equal">
      <formula>"Pass"</formula>
    </cfRule>
  </conditionalFormatting>
  <conditionalFormatting sqref="U931">
    <cfRule type="cellIs" dxfId="17951" priority="17789" stopIfTrue="1" operator="equal">
      <formula>"Fail"</formula>
    </cfRule>
    <cfRule type="cellIs" dxfId="17950" priority="17790" stopIfTrue="1" operator="equal">
      <formula>"Pass"</formula>
    </cfRule>
  </conditionalFormatting>
  <conditionalFormatting sqref="F931:G931 J931:N931">
    <cfRule type="cellIs" dxfId="17949" priority="17787" stopIfTrue="1" operator="equal">
      <formula>"Pass"</formula>
    </cfRule>
    <cfRule type="cellIs" dxfId="17948" priority="17788" stopIfTrue="1" operator="equal">
      <formula>"Fail"</formula>
    </cfRule>
  </conditionalFormatting>
  <conditionalFormatting sqref="J932:N932">
    <cfRule type="cellIs" dxfId="17947" priority="17785" stopIfTrue="1" operator="equal">
      <formula>"Pass"</formula>
    </cfRule>
    <cfRule type="cellIs" dxfId="17946" priority="17786" stopIfTrue="1" operator="equal">
      <formula>"Fail"</formula>
    </cfRule>
  </conditionalFormatting>
  <conditionalFormatting sqref="U931">
    <cfRule type="cellIs" dxfId="17945" priority="17783" stopIfTrue="1" operator="equal">
      <formula>"Fail"</formula>
    </cfRule>
    <cfRule type="cellIs" dxfId="17944" priority="17784" stopIfTrue="1" operator="equal">
      <formula>"Pass"</formula>
    </cfRule>
  </conditionalFormatting>
  <conditionalFormatting sqref="U931">
    <cfRule type="cellIs" dxfId="17943" priority="17781" stopIfTrue="1" operator="equal">
      <formula>"Fail"</formula>
    </cfRule>
    <cfRule type="cellIs" dxfId="17942" priority="17782" stopIfTrue="1" operator="equal">
      <formula>"Pass"</formula>
    </cfRule>
  </conditionalFormatting>
  <conditionalFormatting sqref="U931">
    <cfRule type="cellIs" dxfId="17941" priority="17779" stopIfTrue="1" operator="equal">
      <formula>"Fail"</formula>
    </cfRule>
    <cfRule type="cellIs" dxfId="17940" priority="17780" stopIfTrue="1" operator="equal">
      <formula>"Pass"</formula>
    </cfRule>
  </conditionalFormatting>
  <conditionalFormatting sqref="N931">
    <cfRule type="cellIs" dxfId="17939" priority="17777" stopIfTrue="1" operator="equal">
      <formula>"Pass"</formula>
    </cfRule>
    <cfRule type="cellIs" dxfId="17938" priority="17778" stopIfTrue="1" operator="equal">
      <formula>"Fail"</formula>
    </cfRule>
  </conditionalFormatting>
  <conditionalFormatting sqref="N931">
    <cfRule type="cellIs" dxfId="17937" priority="17775" stopIfTrue="1" operator="equal">
      <formula>"Pass"</formula>
    </cfRule>
    <cfRule type="cellIs" dxfId="17936" priority="17776" stopIfTrue="1" operator="equal">
      <formula>"Fail"</formula>
    </cfRule>
  </conditionalFormatting>
  <conditionalFormatting sqref="N931">
    <cfRule type="cellIs" dxfId="17935" priority="17773" stopIfTrue="1" operator="equal">
      <formula>"Pass"</formula>
    </cfRule>
    <cfRule type="cellIs" dxfId="17934" priority="17774" stopIfTrue="1" operator="equal">
      <formula>"Fail"</formula>
    </cfRule>
  </conditionalFormatting>
  <conditionalFormatting sqref="A928">
    <cfRule type="cellIs" dxfId="17933" priority="17771" stopIfTrue="1" operator="equal">
      <formula>"Pass"</formula>
    </cfRule>
    <cfRule type="cellIs" dxfId="17932" priority="17772" stopIfTrue="1" operator="equal">
      <formula>"Fail"</formula>
    </cfRule>
  </conditionalFormatting>
  <conditionalFormatting sqref="A928">
    <cfRule type="cellIs" dxfId="17931" priority="17769" stopIfTrue="1" operator="equal">
      <formula>"Pass"</formula>
    </cfRule>
    <cfRule type="cellIs" dxfId="17930" priority="17770" stopIfTrue="1" operator="equal">
      <formula>"Fail"</formula>
    </cfRule>
  </conditionalFormatting>
  <conditionalFormatting sqref="A928">
    <cfRule type="cellIs" dxfId="17929" priority="17767" stopIfTrue="1" operator="equal">
      <formula>"Pass"</formula>
    </cfRule>
    <cfRule type="cellIs" dxfId="17928" priority="17768" stopIfTrue="1" operator="equal">
      <formula>"Fail"</formula>
    </cfRule>
  </conditionalFormatting>
  <conditionalFormatting sqref="A928">
    <cfRule type="cellIs" dxfId="17927" priority="17765" stopIfTrue="1" operator="equal">
      <formula>"Pass"</formula>
    </cfRule>
    <cfRule type="cellIs" dxfId="17926" priority="17766" stopIfTrue="1" operator="equal">
      <formula>"Fail"</formula>
    </cfRule>
  </conditionalFormatting>
  <conditionalFormatting sqref="A928">
    <cfRule type="cellIs" dxfId="17925" priority="17763" stopIfTrue="1" operator="equal">
      <formula>"Pass"</formula>
    </cfRule>
    <cfRule type="cellIs" dxfId="17924" priority="17764" stopIfTrue="1" operator="equal">
      <formula>"Fail"</formula>
    </cfRule>
  </conditionalFormatting>
  <conditionalFormatting sqref="A928">
    <cfRule type="cellIs" dxfId="17923" priority="17761" stopIfTrue="1" operator="equal">
      <formula>"Pass"</formula>
    </cfRule>
    <cfRule type="cellIs" dxfId="17922" priority="17762" stopIfTrue="1" operator="equal">
      <formula>"Fail"</formula>
    </cfRule>
  </conditionalFormatting>
  <conditionalFormatting sqref="A928">
    <cfRule type="cellIs" dxfId="17921" priority="17759" stopIfTrue="1" operator="equal">
      <formula>"Pass"</formula>
    </cfRule>
    <cfRule type="cellIs" dxfId="17920" priority="17760" stopIfTrue="1" operator="equal">
      <formula>"Fail"</formula>
    </cfRule>
  </conditionalFormatting>
  <conditionalFormatting sqref="A928">
    <cfRule type="cellIs" dxfId="17919" priority="17757" stopIfTrue="1" operator="equal">
      <formula>"Pass"</formula>
    </cfRule>
    <cfRule type="cellIs" dxfId="17918" priority="17758" stopIfTrue="1" operator="equal">
      <formula>"Fail"</formula>
    </cfRule>
  </conditionalFormatting>
  <conditionalFormatting sqref="A928">
    <cfRule type="cellIs" dxfId="17917" priority="17755" stopIfTrue="1" operator="equal">
      <formula>"Pass"</formula>
    </cfRule>
    <cfRule type="cellIs" dxfId="17916" priority="17756" stopIfTrue="1" operator="equal">
      <formula>"Fail"</formula>
    </cfRule>
  </conditionalFormatting>
  <conditionalFormatting sqref="A928">
    <cfRule type="cellIs" dxfId="17915" priority="17753" stopIfTrue="1" operator="equal">
      <formula>"Pass"</formula>
    </cfRule>
    <cfRule type="cellIs" dxfId="17914" priority="17754" stopIfTrue="1" operator="equal">
      <formula>"Fail"</formula>
    </cfRule>
  </conditionalFormatting>
  <conditionalFormatting sqref="A928">
    <cfRule type="cellIs" dxfId="17913" priority="17751" stopIfTrue="1" operator="equal">
      <formula>"Pass"</formula>
    </cfRule>
    <cfRule type="cellIs" dxfId="17912" priority="17752" stopIfTrue="1" operator="equal">
      <formula>"Fail"</formula>
    </cfRule>
  </conditionalFormatting>
  <conditionalFormatting sqref="A928">
    <cfRule type="cellIs" dxfId="17911" priority="17749" stopIfTrue="1" operator="equal">
      <formula>"Pass"</formula>
    </cfRule>
    <cfRule type="cellIs" dxfId="17910" priority="17750" stopIfTrue="1" operator="equal">
      <formula>"Fail"</formula>
    </cfRule>
  </conditionalFormatting>
  <conditionalFormatting sqref="A928">
    <cfRule type="cellIs" dxfId="17909" priority="17747" stopIfTrue="1" operator="equal">
      <formula>"Pass"</formula>
    </cfRule>
    <cfRule type="cellIs" dxfId="17908" priority="17748" stopIfTrue="1" operator="equal">
      <formula>"Fail"</formula>
    </cfRule>
  </conditionalFormatting>
  <conditionalFormatting sqref="A928">
    <cfRule type="cellIs" dxfId="17907" priority="17745" stopIfTrue="1" operator="equal">
      <formula>"Pass"</formula>
    </cfRule>
    <cfRule type="cellIs" dxfId="17906" priority="17746" stopIfTrue="1" operator="equal">
      <formula>"Fail"</formula>
    </cfRule>
  </conditionalFormatting>
  <conditionalFormatting sqref="A928">
    <cfRule type="cellIs" dxfId="17905" priority="17743" stopIfTrue="1" operator="equal">
      <formula>"Pass"</formula>
    </cfRule>
    <cfRule type="cellIs" dxfId="17904" priority="17744" stopIfTrue="1" operator="equal">
      <formula>"Fail"</formula>
    </cfRule>
  </conditionalFormatting>
  <conditionalFormatting sqref="A928">
    <cfRule type="cellIs" dxfId="17903" priority="17741" stopIfTrue="1" operator="equal">
      <formula>"Pass"</formula>
    </cfRule>
    <cfRule type="cellIs" dxfId="17902" priority="17742" stopIfTrue="1" operator="equal">
      <formula>"Fail"</formula>
    </cfRule>
  </conditionalFormatting>
  <conditionalFormatting sqref="A928">
    <cfRule type="cellIs" dxfId="17901" priority="17739" stopIfTrue="1" operator="equal">
      <formula>"Pass"</formula>
    </cfRule>
    <cfRule type="cellIs" dxfId="17900" priority="17740" stopIfTrue="1" operator="equal">
      <formula>"Fail"</formula>
    </cfRule>
  </conditionalFormatting>
  <conditionalFormatting sqref="A928">
    <cfRule type="cellIs" dxfId="17899" priority="17737" stopIfTrue="1" operator="equal">
      <formula>"Pass"</formula>
    </cfRule>
    <cfRule type="cellIs" dxfId="17898" priority="17738" stopIfTrue="1" operator="equal">
      <formula>"Fail"</formula>
    </cfRule>
  </conditionalFormatting>
  <conditionalFormatting sqref="A931">
    <cfRule type="cellIs" dxfId="17897" priority="17735" stopIfTrue="1" operator="equal">
      <formula>"Pass"</formula>
    </cfRule>
    <cfRule type="cellIs" dxfId="17896" priority="17736" stopIfTrue="1" operator="equal">
      <formula>"Fail"</formula>
    </cfRule>
  </conditionalFormatting>
  <conditionalFormatting sqref="A931">
    <cfRule type="cellIs" dxfId="17895" priority="17733" stopIfTrue="1" operator="equal">
      <formula>"Pass"</formula>
    </cfRule>
    <cfRule type="cellIs" dxfId="17894" priority="17734" stopIfTrue="1" operator="equal">
      <formula>"Fail"</formula>
    </cfRule>
  </conditionalFormatting>
  <conditionalFormatting sqref="A931">
    <cfRule type="cellIs" dxfId="17893" priority="17731" stopIfTrue="1" operator="equal">
      <formula>"Pass"</formula>
    </cfRule>
    <cfRule type="cellIs" dxfId="17892" priority="17732" stopIfTrue="1" operator="equal">
      <formula>"Fail"</formula>
    </cfRule>
  </conditionalFormatting>
  <conditionalFormatting sqref="A931">
    <cfRule type="cellIs" dxfId="17891" priority="17729" stopIfTrue="1" operator="equal">
      <formula>"Pass"</formula>
    </cfRule>
    <cfRule type="cellIs" dxfId="17890" priority="17730" stopIfTrue="1" operator="equal">
      <formula>"Fail"</formula>
    </cfRule>
  </conditionalFormatting>
  <conditionalFormatting sqref="A931">
    <cfRule type="cellIs" dxfId="17889" priority="17727" stopIfTrue="1" operator="equal">
      <formula>"Pass"</formula>
    </cfRule>
    <cfRule type="cellIs" dxfId="17888" priority="17728" stopIfTrue="1" operator="equal">
      <formula>"Fail"</formula>
    </cfRule>
  </conditionalFormatting>
  <conditionalFormatting sqref="A931">
    <cfRule type="cellIs" dxfId="17887" priority="17725" stopIfTrue="1" operator="equal">
      <formula>"Pass"</formula>
    </cfRule>
    <cfRule type="cellIs" dxfId="17886" priority="17726" stopIfTrue="1" operator="equal">
      <formula>"Fail"</formula>
    </cfRule>
  </conditionalFormatting>
  <conditionalFormatting sqref="A931">
    <cfRule type="cellIs" dxfId="17885" priority="17723" stopIfTrue="1" operator="equal">
      <formula>"Pass"</formula>
    </cfRule>
    <cfRule type="cellIs" dxfId="17884" priority="17724" stopIfTrue="1" operator="equal">
      <formula>"Fail"</formula>
    </cfRule>
  </conditionalFormatting>
  <conditionalFormatting sqref="A931">
    <cfRule type="cellIs" dxfId="17883" priority="17721" stopIfTrue="1" operator="equal">
      <formula>"Pass"</formula>
    </cfRule>
    <cfRule type="cellIs" dxfId="17882" priority="17722" stopIfTrue="1" operator="equal">
      <formula>"Fail"</formula>
    </cfRule>
  </conditionalFormatting>
  <conditionalFormatting sqref="A931">
    <cfRule type="cellIs" dxfId="17881" priority="17719" stopIfTrue="1" operator="equal">
      <formula>"Pass"</formula>
    </cfRule>
    <cfRule type="cellIs" dxfId="17880" priority="17720" stopIfTrue="1" operator="equal">
      <formula>"Fail"</formula>
    </cfRule>
  </conditionalFormatting>
  <conditionalFormatting sqref="A931">
    <cfRule type="cellIs" dxfId="17879" priority="17717" stopIfTrue="1" operator="equal">
      <formula>"Pass"</formula>
    </cfRule>
    <cfRule type="cellIs" dxfId="17878" priority="17718" stopIfTrue="1" operator="equal">
      <formula>"Fail"</formula>
    </cfRule>
  </conditionalFormatting>
  <conditionalFormatting sqref="A931">
    <cfRule type="cellIs" dxfId="17877" priority="17715" stopIfTrue="1" operator="equal">
      <formula>"Pass"</formula>
    </cfRule>
    <cfRule type="cellIs" dxfId="17876" priority="17716" stopIfTrue="1" operator="equal">
      <formula>"Fail"</formula>
    </cfRule>
  </conditionalFormatting>
  <conditionalFormatting sqref="A931">
    <cfRule type="cellIs" dxfId="17875" priority="17713" stopIfTrue="1" operator="equal">
      <formula>"Pass"</formula>
    </cfRule>
    <cfRule type="cellIs" dxfId="17874" priority="17714" stopIfTrue="1" operator="equal">
      <formula>"Fail"</formula>
    </cfRule>
  </conditionalFormatting>
  <conditionalFormatting sqref="A931">
    <cfRule type="cellIs" dxfId="17873" priority="17711" stopIfTrue="1" operator="equal">
      <formula>"Pass"</formula>
    </cfRule>
    <cfRule type="cellIs" dxfId="17872" priority="17712" stopIfTrue="1" operator="equal">
      <formula>"Fail"</formula>
    </cfRule>
  </conditionalFormatting>
  <conditionalFormatting sqref="A931">
    <cfRule type="cellIs" dxfId="17871" priority="17709" stopIfTrue="1" operator="equal">
      <formula>"Pass"</formula>
    </cfRule>
    <cfRule type="cellIs" dxfId="17870" priority="17710" stopIfTrue="1" operator="equal">
      <formula>"Fail"</formula>
    </cfRule>
  </conditionalFormatting>
  <conditionalFormatting sqref="A931">
    <cfRule type="cellIs" dxfId="17869" priority="17707" stopIfTrue="1" operator="equal">
      <formula>"Pass"</formula>
    </cfRule>
    <cfRule type="cellIs" dxfId="17868" priority="17708" stopIfTrue="1" operator="equal">
      <formula>"Fail"</formula>
    </cfRule>
  </conditionalFormatting>
  <conditionalFormatting sqref="A931">
    <cfRule type="cellIs" dxfId="17867" priority="17705" stopIfTrue="1" operator="equal">
      <formula>"Pass"</formula>
    </cfRule>
    <cfRule type="cellIs" dxfId="17866" priority="17706" stopIfTrue="1" operator="equal">
      <formula>"Fail"</formula>
    </cfRule>
  </conditionalFormatting>
  <conditionalFormatting sqref="A931">
    <cfRule type="cellIs" dxfId="17865" priority="17703" stopIfTrue="1" operator="equal">
      <formula>"Pass"</formula>
    </cfRule>
    <cfRule type="cellIs" dxfId="17864" priority="17704" stopIfTrue="1" operator="equal">
      <formula>"Fail"</formula>
    </cfRule>
  </conditionalFormatting>
  <conditionalFormatting sqref="A931">
    <cfRule type="cellIs" dxfId="17863" priority="17701" stopIfTrue="1" operator="equal">
      <formula>"Pass"</formula>
    </cfRule>
    <cfRule type="cellIs" dxfId="17862" priority="17702" stopIfTrue="1" operator="equal">
      <formula>"Fail"</formula>
    </cfRule>
  </conditionalFormatting>
  <conditionalFormatting sqref="H931:H932">
    <cfRule type="cellIs" dxfId="17861" priority="17699" stopIfTrue="1" operator="equal">
      <formula>"Pass"</formula>
    </cfRule>
    <cfRule type="cellIs" dxfId="17860" priority="17700" stopIfTrue="1" operator="equal">
      <formula>"Fail"</formula>
    </cfRule>
  </conditionalFormatting>
  <conditionalFormatting sqref="F931 F933 I931:M932">
    <cfRule type="cellIs" dxfId="17859" priority="17697" stopIfTrue="1" operator="equal">
      <formula>"Pass"</formula>
    </cfRule>
    <cfRule type="cellIs" dxfId="17858" priority="17698" stopIfTrue="1" operator="equal">
      <formula>"Fail"</formula>
    </cfRule>
  </conditionalFormatting>
  <conditionalFormatting sqref="T933 T931 R931:R933 S932:S933">
    <cfRule type="cellIs" dxfId="17857" priority="17695" stopIfTrue="1" operator="equal">
      <formula>"Fail"</formula>
    </cfRule>
    <cfRule type="cellIs" dxfId="17856" priority="17696" stopIfTrue="1" operator="equal">
      <formula>"Pass"</formula>
    </cfRule>
  </conditionalFormatting>
  <conditionalFormatting sqref="F931:G931 F933:G933 J931:N932">
    <cfRule type="cellIs" dxfId="17855" priority="17693" stopIfTrue="1" operator="equal">
      <formula>"Pass"</formula>
    </cfRule>
    <cfRule type="cellIs" dxfId="17854" priority="17694" stopIfTrue="1" operator="equal">
      <formula>"Fail"</formula>
    </cfRule>
  </conditionalFormatting>
  <conditionalFormatting sqref="U933 T931:T933 S932:S933">
    <cfRule type="cellIs" dxfId="17853" priority="17691" stopIfTrue="1" operator="equal">
      <formula>"Fail"</formula>
    </cfRule>
    <cfRule type="cellIs" dxfId="17852" priority="17692" stopIfTrue="1" operator="equal">
      <formula>"Pass"</formula>
    </cfRule>
  </conditionalFormatting>
  <conditionalFormatting sqref="U931">
    <cfRule type="cellIs" dxfId="17851" priority="17689" stopIfTrue="1" operator="equal">
      <formula>"Fail"</formula>
    </cfRule>
    <cfRule type="cellIs" dxfId="17850" priority="17690" stopIfTrue="1" operator="equal">
      <formula>"Pass"</formula>
    </cfRule>
  </conditionalFormatting>
  <conditionalFormatting sqref="F931:G931 J931:N931">
    <cfRule type="cellIs" dxfId="17849" priority="17687" stopIfTrue="1" operator="equal">
      <formula>"Pass"</formula>
    </cfRule>
    <cfRule type="cellIs" dxfId="17848" priority="17688" stopIfTrue="1" operator="equal">
      <formula>"Fail"</formula>
    </cfRule>
  </conditionalFormatting>
  <conditionalFormatting sqref="J932:N932">
    <cfRule type="cellIs" dxfId="17847" priority="17685" stopIfTrue="1" operator="equal">
      <formula>"Pass"</formula>
    </cfRule>
    <cfRule type="cellIs" dxfId="17846" priority="17686" stopIfTrue="1" operator="equal">
      <formula>"Fail"</formula>
    </cfRule>
  </conditionalFormatting>
  <conditionalFormatting sqref="H931:H932">
    <cfRule type="cellIs" dxfId="17845" priority="17683" stopIfTrue="1" operator="equal">
      <formula>"Pass"</formula>
    </cfRule>
    <cfRule type="cellIs" dxfId="17844" priority="17684" stopIfTrue="1" operator="equal">
      <formula>"Fail"</formula>
    </cfRule>
  </conditionalFormatting>
  <conditionalFormatting sqref="F931 F933 I931:M932">
    <cfRule type="cellIs" dxfId="17843" priority="17681" stopIfTrue="1" operator="equal">
      <formula>"Pass"</formula>
    </cfRule>
    <cfRule type="cellIs" dxfId="17842" priority="17682" stopIfTrue="1" operator="equal">
      <formula>"Fail"</formula>
    </cfRule>
  </conditionalFormatting>
  <conditionalFormatting sqref="T933 T931 R931:R933 S932:S933">
    <cfRule type="cellIs" dxfId="17841" priority="17679" stopIfTrue="1" operator="equal">
      <formula>"Fail"</formula>
    </cfRule>
    <cfRule type="cellIs" dxfId="17840" priority="17680" stopIfTrue="1" operator="equal">
      <formula>"Pass"</formula>
    </cfRule>
  </conditionalFormatting>
  <conditionalFormatting sqref="F931:G931 F933:G933 J931:N932">
    <cfRule type="cellIs" dxfId="17839" priority="17677" stopIfTrue="1" operator="equal">
      <formula>"Pass"</formula>
    </cfRule>
    <cfRule type="cellIs" dxfId="17838" priority="17678" stopIfTrue="1" operator="equal">
      <formula>"Fail"</formula>
    </cfRule>
  </conditionalFormatting>
  <conditionalFormatting sqref="U933 T931:T933 S932:S933">
    <cfRule type="cellIs" dxfId="17837" priority="17675" stopIfTrue="1" operator="equal">
      <formula>"Fail"</formula>
    </cfRule>
    <cfRule type="cellIs" dxfId="17836" priority="17676" stopIfTrue="1" operator="equal">
      <formula>"Pass"</formula>
    </cfRule>
  </conditionalFormatting>
  <conditionalFormatting sqref="U931">
    <cfRule type="cellIs" dxfId="17835" priority="17673" stopIfTrue="1" operator="equal">
      <formula>"Fail"</formula>
    </cfRule>
    <cfRule type="cellIs" dxfId="17834" priority="17674" stopIfTrue="1" operator="equal">
      <formula>"Pass"</formula>
    </cfRule>
  </conditionalFormatting>
  <conditionalFormatting sqref="F931:G931 J931:N931">
    <cfRule type="cellIs" dxfId="17833" priority="17671" stopIfTrue="1" operator="equal">
      <formula>"Pass"</formula>
    </cfRule>
    <cfRule type="cellIs" dxfId="17832" priority="17672" stopIfTrue="1" operator="equal">
      <formula>"Fail"</formula>
    </cfRule>
  </conditionalFormatting>
  <conditionalFormatting sqref="J932:N932">
    <cfRule type="cellIs" dxfId="17831" priority="17669" stopIfTrue="1" operator="equal">
      <formula>"Pass"</formula>
    </cfRule>
    <cfRule type="cellIs" dxfId="17830" priority="17670" stopIfTrue="1" operator="equal">
      <formula>"Fail"</formula>
    </cfRule>
  </conditionalFormatting>
  <conditionalFormatting sqref="H931:H932">
    <cfRule type="cellIs" dxfId="17829" priority="17667" stopIfTrue="1" operator="equal">
      <formula>"Pass"</formula>
    </cfRule>
    <cfRule type="cellIs" dxfId="17828" priority="17668" stopIfTrue="1" operator="equal">
      <formula>"Fail"</formula>
    </cfRule>
  </conditionalFormatting>
  <conditionalFormatting sqref="F931 F933 I931:M932">
    <cfRule type="cellIs" dxfId="17827" priority="17665" stopIfTrue="1" operator="equal">
      <formula>"Pass"</formula>
    </cfRule>
    <cfRule type="cellIs" dxfId="17826" priority="17666" stopIfTrue="1" operator="equal">
      <formula>"Fail"</formula>
    </cfRule>
  </conditionalFormatting>
  <conditionalFormatting sqref="T933 T931 R931:R933 S932:S933">
    <cfRule type="cellIs" dxfId="17825" priority="17663" stopIfTrue="1" operator="equal">
      <formula>"Fail"</formula>
    </cfRule>
    <cfRule type="cellIs" dxfId="17824" priority="17664" stopIfTrue="1" operator="equal">
      <formula>"Pass"</formula>
    </cfRule>
  </conditionalFormatting>
  <conditionalFormatting sqref="F931:G931 F933:G933 J931:N932">
    <cfRule type="cellIs" dxfId="17823" priority="17661" stopIfTrue="1" operator="equal">
      <formula>"Pass"</formula>
    </cfRule>
    <cfRule type="cellIs" dxfId="17822" priority="17662" stopIfTrue="1" operator="equal">
      <formula>"Fail"</formula>
    </cfRule>
  </conditionalFormatting>
  <conditionalFormatting sqref="U933 T931:T933 S932:S933">
    <cfRule type="cellIs" dxfId="17821" priority="17659" stopIfTrue="1" operator="equal">
      <formula>"Fail"</formula>
    </cfRule>
    <cfRule type="cellIs" dxfId="17820" priority="17660" stopIfTrue="1" operator="equal">
      <formula>"Pass"</formula>
    </cfRule>
  </conditionalFormatting>
  <conditionalFormatting sqref="U931">
    <cfRule type="cellIs" dxfId="17819" priority="17657" stopIfTrue="1" operator="equal">
      <formula>"Fail"</formula>
    </cfRule>
    <cfRule type="cellIs" dxfId="17818" priority="17658" stopIfTrue="1" operator="equal">
      <formula>"Pass"</formula>
    </cfRule>
  </conditionalFormatting>
  <conditionalFormatting sqref="F931:G931 J931:N931">
    <cfRule type="cellIs" dxfId="17817" priority="17655" stopIfTrue="1" operator="equal">
      <formula>"Pass"</formula>
    </cfRule>
    <cfRule type="cellIs" dxfId="17816" priority="17656" stopIfTrue="1" operator="equal">
      <formula>"Fail"</formula>
    </cfRule>
  </conditionalFormatting>
  <conditionalFormatting sqref="J932:N932">
    <cfRule type="cellIs" dxfId="17815" priority="17653" stopIfTrue="1" operator="equal">
      <formula>"Pass"</formula>
    </cfRule>
    <cfRule type="cellIs" dxfId="17814" priority="17654" stopIfTrue="1" operator="equal">
      <formula>"Fail"</formula>
    </cfRule>
  </conditionalFormatting>
  <conditionalFormatting sqref="U931">
    <cfRule type="cellIs" dxfId="17813" priority="17651" stopIfTrue="1" operator="equal">
      <formula>"Fail"</formula>
    </cfRule>
    <cfRule type="cellIs" dxfId="17812" priority="17652" stopIfTrue="1" operator="equal">
      <formula>"Pass"</formula>
    </cfRule>
  </conditionalFormatting>
  <conditionalFormatting sqref="U931">
    <cfRule type="cellIs" dxfId="17811" priority="17649" stopIfTrue="1" operator="equal">
      <formula>"Fail"</formula>
    </cfRule>
    <cfRule type="cellIs" dxfId="17810" priority="17650" stopIfTrue="1" operator="equal">
      <formula>"Pass"</formula>
    </cfRule>
  </conditionalFormatting>
  <conditionalFormatting sqref="U931">
    <cfRule type="cellIs" dxfId="17809" priority="17647" stopIfTrue="1" operator="equal">
      <formula>"Fail"</formula>
    </cfRule>
    <cfRule type="cellIs" dxfId="17808" priority="17648" stopIfTrue="1" operator="equal">
      <formula>"Pass"</formula>
    </cfRule>
  </conditionalFormatting>
  <conditionalFormatting sqref="N931">
    <cfRule type="cellIs" dxfId="17807" priority="17645" stopIfTrue="1" operator="equal">
      <formula>"Pass"</formula>
    </cfRule>
    <cfRule type="cellIs" dxfId="17806" priority="17646" stopIfTrue="1" operator="equal">
      <formula>"Fail"</formula>
    </cfRule>
  </conditionalFormatting>
  <conditionalFormatting sqref="N931">
    <cfRule type="cellIs" dxfId="17805" priority="17643" stopIfTrue="1" operator="equal">
      <formula>"Pass"</formula>
    </cfRule>
    <cfRule type="cellIs" dxfId="17804" priority="17644" stopIfTrue="1" operator="equal">
      <formula>"Fail"</formula>
    </cfRule>
  </conditionalFormatting>
  <conditionalFormatting sqref="N931">
    <cfRule type="cellIs" dxfId="17803" priority="17641" stopIfTrue="1" operator="equal">
      <formula>"Pass"</formula>
    </cfRule>
    <cfRule type="cellIs" dxfId="17802" priority="17642" stopIfTrue="1" operator="equal">
      <formula>"Fail"</formula>
    </cfRule>
  </conditionalFormatting>
  <conditionalFormatting sqref="U928">
    <cfRule type="cellIs" dxfId="17801" priority="17639" stopIfTrue="1" operator="equal">
      <formula>"Fail"</formula>
    </cfRule>
    <cfRule type="cellIs" dxfId="17800" priority="17640" stopIfTrue="1" operator="equal">
      <formula>"Pass"</formula>
    </cfRule>
  </conditionalFormatting>
  <conditionalFormatting sqref="U928">
    <cfRule type="cellIs" dxfId="17799" priority="17637" stopIfTrue="1" operator="equal">
      <formula>"Fail"</formula>
    </cfRule>
    <cfRule type="cellIs" dxfId="17798" priority="17638" stopIfTrue="1" operator="equal">
      <formula>"Pass"</formula>
    </cfRule>
  </conditionalFormatting>
  <conditionalFormatting sqref="U928">
    <cfRule type="cellIs" dxfId="17797" priority="17635" stopIfTrue="1" operator="equal">
      <formula>"Fail"</formula>
    </cfRule>
    <cfRule type="cellIs" dxfId="17796" priority="17636" stopIfTrue="1" operator="equal">
      <formula>"Pass"</formula>
    </cfRule>
  </conditionalFormatting>
  <conditionalFormatting sqref="U928">
    <cfRule type="cellIs" dxfId="17795" priority="17633" stopIfTrue="1" operator="equal">
      <formula>"Fail"</formula>
    </cfRule>
    <cfRule type="cellIs" dxfId="17794" priority="17634" stopIfTrue="1" operator="equal">
      <formula>"Pass"</formula>
    </cfRule>
  </conditionalFormatting>
  <conditionalFormatting sqref="U931">
    <cfRule type="cellIs" dxfId="17793" priority="17631" stopIfTrue="1" operator="equal">
      <formula>"Fail"</formula>
    </cfRule>
    <cfRule type="cellIs" dxfId="17792" priority="17632" stopIfTrue="1" operator="equal">
      <formula>"Pass"</formula>
    </cfRule>
  </conditionalFormatting>
  <conditionalFormatting sqref="U931">
    <cfRule type="cellIs" dxfId="17791" priority="17629" stopIfTrue="1" operator="equal">
      <formula>"Fail"</formula>
    </cfRule>
    <cfRule type="cellIs" dxfId="17790" priority="17630" stopIfTrue="1" operator="equal">
      <formula>"Pass"</formula>
    </cfRule>
  </conditionalFormatting>
  <conditionalFormatting sqref="U931">
    <cfRule type="cellIs" dxfId="17789" priority="17627" stopIfTrue="1" operator="equal">
      <formula>"Fail"</formula>
    </cfRule>
    <cfRule type="cellIs" dxfId="17788" priority="17628" stopIfTrue="1" operator="equal">
      <formula>"Pass"</formula>
    </cfRule>
  </conditionalFormatting>
  <conditionalFormatting sqref="U931">
    <cfRule type="cellIs" dxfId="17787" priority="17625" stopIfTrue="1" operator="equal">
      <formula>"Fail"</formula>
    </cfRule>
    <cfRule type="cellIs" dxfId="17786" priority="17626" stopIfTrue="1" operator="equal">
      <formula>"Pass"</formula>
    </cfRule>
  </conditionalFormatting>
  <conditionalFormatting sqref="U928">
    <cfRule type="cellIs" dxfId="17785" priority="17623" stopIfTrue="1" operator="equal">
      <formula>"Fail"</formula>
    </cfRule>
    <cfRule type="cellIs" dxfId="17784" priority="17624" stopIfTrue="1" operator="equal">
      <formula>"Pass"</formula>
    </cfRule>
  </conditionalFormatting>
  <conditionalFormatting sqref="U928">
    <cfRule type="cellIs" dxfId="17783" priority="17621" stopIfTrue="1" operator="equal">
      <formula>"Fail"</formula>
    </cfRule>
    <cfRule type="cellIs" dxfId="17782" priority="17622" stopIfTrue="1" operator="equal">
      <formula>"Pass"</formula>
    </cfRule>
  </conditionalFormatting>
  <conditionalFormatting sqref="U928">
    <cfRule type="cellIs" dxfId="17781" priority="17619" stopIfTrue="1" operator="equal">
      <formula>"Fail"</formula>
    </cfRule>
    <cfRule type="cellIs" dxfId="17780" priority="17620" stopIfTrue="1" operator="equal">
      <formula>"Pass"</formula>
    </cfRule>
  </conditionalFormatting>
  <conditionalFormatting sqref="U928">
    <cfRule type="cellIs" dxfId="17779" priority="17617" stopIfTrue="1" operator="equal">
      <formula>"Fail"</formula>
    </cfRule>
    <cfRule type="cellIs" dxfId="17778" priority="17618" stopIfTrue="1" operator="equal">
      <formula>"Pass"</formula>
    </cfRule>
  </conditionalFormatting>
  <conditionalFormatting sqref="U928 U931">
    <cfRule type="cellIs" dxfId="17777" priority="17615" stopIfTrue="1" operator="equal">
      <formula>"Fail"</formula>
    </cfRule>
    <cfRule type="cellIs" dxfId="17776" priority="17616" stopIfTrue="1" operator="equal">
      <formula>"Pass"</formula>
    </cfRule>
  </conditionalFormatting>
  <conditionalFormatting sqref="U928 U931">
    <cfRule type="cellIs" dxfId="17775" priority="17613" stopIfTrue="1" operator="equal">
      <formula>"Fail"</formula>
    </cfRule>
    <cfRule type="cellIs" dxfId="17774" priority="17614" stopIfTrue="1" operator="equal">
      <formula>"Pass"</formula>
    </cfRule>
  </conditionalFormatting>
  <conditionalFormatting sqref="U928 U931">
    <cfRule type="cellIs" dxfId="17773" priority="17611" stopIfTrue="1" operator="equal">
      <formula>"Fail"</formula>
    </cfRule>
    <cfRule type="cellIs" dxfId="17772" priority="17612" stopIfTrue="1" operator="equal">
      <formula>"Pass"</formula>
    </cfRule>
  </conditionalFormatting>
  <conditionalFormatting sqref="U928 U931">
    <cfRule type="cellIs" dxfId="17771" priority="17609" stopIfTrue="1" operator="equal">
      <formula>"Fail"</formula>
    </cfRule>
    <cfRule type="cellIs" dxfId="17770" priority="17610" stopIfTrue="1" operator="equal">
      <formula>"Pass"</formula>
    </cfRule>
  </conditionalFormatting>
  <conditionalFormatting sqref="H934:H935">
    <cfRule type="cellIs" dxfId="17769" priority="17607" stopIfTrue="1" operator="equal">
      <formula>"Pass"</formula>
    </cfRule>
    <cfRule type="cellIs" dxfId="17768" priority="17608" stopIfTrue="1" operator="equal">
      <formula>"Fail"</formula>
    </cfRule>
  </conditionalFormatting>
  <conditionalFormatting sqref="E934:F934 E936:F936 I934:M935 A934:A942">
    <cfRule type="cellIs" dxfId="17767" priority="17605" stopIfTrue="1" operator="equal">
      <formula>"Pass"</formula>
    </cfRule>
    <cfRule type="cellIs" dxfId="17766" priority="17606" stopIfTrue="1" operator="equal">
      <formula>"Fail"</formula>
    </cfRule>
  </conditionalFormatting>
  <conditionalFormatting sqref="T936 T934 R934:R936 S935:S936">
    <cfRule type="cellIs" dxfId="17765" priority="17603" stopIfTrue="1" operator="equal">
      <formula>"Fail"</formula>
    </cfRule>
    <cfRule type="cellIs" dxfId="17764" priority="17604" stopIfTrue="1" operator="equal">
      <formula>"Pass"</formula>
    </cfRule>
  </conditionalFormatting>
  <conditionalFormatting sqref="F934:G934 F936:G936 A934:B936 J934:N935 A937:A942">
    <cfRule type="cellIs" dxfId="17763" priority="17601" stopIfTrue="1" operator="equal">
      <formula>"Pass"</formula>
    </cfRule>
    <cfRule type="cellIs" dxfId="17762" priority="17602" stopIfTrue="1" operator="equal">
      <formula>"Fail"</formula>
    </cfRule>
  </conditionalFormatting>
  <conditionalFormatting sqref="U936:V936 U934:V934 T934:T936 S935:S936">
    <cfRule type="cellIs" dxfId="17761" priority="17599" stopIfTrue="1" operator="equal">
      <formula>"Fail"</formula>
    </cfRule>
    <cfRule type="cellIs" dxfId="17760" priority="17600" stopIfTrue="1" operator="equal">
      <formula>"Pass"</formula>
    </cfRule>
  </conditionalFormatting>
  <conditionalFormatting sqref="A934:A942">
    <cfRule type="cellIs" dxfId="17759" priority="17597" stopIfTrue="1" operator="equal">
      <formula>"Pass"</formula>
    </cfRule>
    <cfRule type="cellIs" dxfId="17758" priority="17598" stopIfTrue="1" operator="equal">
      <formula>"Fail"</formula>
    </cfRule>
  </conditionalFormatting>
  <conditionalFormatting sqref="A934:A942">
    <cfRule type="cellIs" dxfId="17757" priority="17595" stopIfTrue="1" operator="equal">
      <formula>"Pass"</formula>
    </cfRule>
    <cfRule type="cellIs" dxfId="17756" priority="17596" stopIfTrue="1" operator="equal">
      <formula>"Fail"</formula>
    </cfRule>
  </conditionalFormatting>
  <conditionalFormatting sqref="A934:A942">
    <cfRule type="cellIs" dxfId="17755" priority="17593" stopIfTrue="1" operator="equal">
      <formula>"Pass"</formula>
    </cfRule>
    <cfRule type="cellIs" dxfId="17754" priority="17594" stopIfTrue="1" operator="equal">
      <formula>"Fail"</formula>
    </cfRule>
  </conditionalFormatting>
  <conditionalFormatting sqref="J934:N935 E934:G936">
    <cfRule type="cellIs" dxfId="17753" priority="17591" stopIfTrue="1" operator="equal">
      <formula>"Pass"</formula>
    </cfRule>
    <cfRule type="cellIs" dxfId="17752" priority="17592" stopIfTrue="1" operator="equal">
      <formula>"Fail"</formula>
    </cfRule>
  </conditionalFormatting>
  <conditionalFormatting sqref="A936 C936 K934:O935 F934:H936 A939 A942">
    <cfRule type="cellIs" dxfId="17751" priority="17589" stopIfTrue="1" operator="equal">
      <formula>"Pass"</formula>
    </cfRule>
    <cfRule type="cellIs" dxfId="17750" priority="17590" stopIfTrue="1" operator="equal">
      <formula>"Fail"</formula>
    </cfRule>
  </conditionalFormatting>
  <conditionalFormatting sqref="T934">
    <cfRule type="cellIs" dxfId="17749" priority="17587" stopIfTrue="1" operator="equal">
      <formula>"Fail"</formula>
    </cfRule>
    <cfRule type="cellIs" dxfId="17748" priority="17588" stopIfTrue="1" operator="equal">
      <formula>"Pass"</formula>
    </cfRule>
  </conditionalFormatting>
  <conditionalFormatting sqref="A934:A942">
    <cfRule type="cellIs" dxfId="17747" priority="17585" stopIfTrue="1" operator="equal">
      <formula>"Pass"</formula>
    </cfRule>
    <cfRule type="cellIs" dxfId="17746" priority="17586" stopIfTrue="1" operator="equal">
      <formula>"Fail"</formula>
    </cfRule>
  </conditionalFormatting>
  <conditionalFormatting sqref="A934:A942">
    <cfRule type="cellIs" dxfId="17745" priority="17583" stopIfTrue="1" operator="equal">
      <formula>"Pass"</formula>
    </cfRule>
    <cfRule type="cellIs" dxfId="17744" priority="17584" stopIfTrue="1" operator="equal">
      <formula>"Fail"</formula>
    </cfRule>
  </conditionalFormatting>
  <conditionalFormatting sqref="A934:A942">
    <cfRule type="cellIs" dxfId="17743" priority="17581" stopIfTrue="1" operator="equal">
      <formula>"Pass"</formula>
    </cfRule>
    <cfRule type="cellIs" dxfId="17742" priority="17582" stopIfTrue="1" operator="equal">
      <formula>"Fail"</formula>
    </cfRule>
  </conditionalFormatting>
  <conditionalFormatting sqref="A934:A942">
    <cfRule type="cellIs" dxfId="17741" priority="17579" stopIfTrue="1" operator="equal">
      <formula>"Pass"</formula>
    </cfRule>
    <cfRule type="cellIs" dxfId="17740" priority="17580" stopIfTrue="1" operator="equal">
      <formula>"Fail"</formula>
    </cfRule>
  </conditionalFormatting>
  <conditionalFormatting sqref="A934:A942">
    <cfRule type="cellIs" dxfId="17739" priority="17577" stopIfTrue="1" operator="equal">
      <formula>"Pass"</formula>
    </cfRule>
    <cfRule type="cellIs" dxfId="17738" priority="17578" stopIfTrue="1" operator="equal">
      <formula>"Fail"</formula>
    </cfRule>
  </conditionalFormatting>
  <conditionalFormatting sqref="A934:A942">
    <cfRule type="cellIs" dxfId="17737" priority="17575" stopIfTrue="1" operator="equal">
      <formula>"Pass"</formula>
    </cfRule>
    <cfRule type="cellIs" dxfId="17736" priority="17576" stopIfTrue="1" operator="equal">
      <formula>"Fail"</formula>
    </cfRule>
  </conditionalFormatting>
  <conditionalFormatting sqref="A936 A939 A942">
    <cfRule type="cellIs" dxfId="17735" priority="17573" stopIfTrue="1" operator="equal">
      <formula>"Pass"</formula>
    </cfRule>
    <cfRule type="cellIs" dxfId="17734" priority="17574" stopIfTrue="1" operator="equal">
      <formula>"Fail"</formula>
    </cfRule>
  </conditionalFormatting>
  <conditionalFormatting sqref="A934:A942">
    <cfRule type="cellIs" dxfId="17733" priority="17571" stopIfTrue="1" operator="equal">
      <formula>"Pass"</formula>
    </cfRule>
    <cfRule type="cellIs" dxfId="17732" priority="17572" stopIfTrue="1" operator="equal">
      <formula>"Fail"</formula>
    </cfRule>
  </conditionalFormatting>
  <conditionalFormatting sqref="A934:A942">
    <cfRule type="cellIs" dxfId="17731" priority="17569" stopIfTrue="1" operator="equal">
      <formula>"Pass"</formula>
    </cfRule>
    <cfRule type="cellIs" dxfId="17730" priority="17570" stopIfTrue="1" operator="equal">
      <formula>"Fail"</formula>
    </cfRule>
  </conditionalFormatting>
  <conditionalFormatting sqref="A934:A942">
    <cfRule type="cellIs" dxfId="17729" priority="17567" stopIfTrue="1" operator="equal">
      <formula>"Pass"</formula>
    </cfRule>
    <cfRule type="cellIs" dxfId="17728" priority="17568" stopIfTrue="1" operator="equal">
      <formula>"Fail"</formula>
    </cfRule>
  </conditionalFormatting>
  <conditionalFormatting sqref="A934:A942">
    <cfRule type="cellIs" dxfId="17727" priority="17565" stopIfTrue="1" operator="equal">
      <formula>"Pass"</formula>
    </cfRule>
    <cfRule type="cellIs" dxfId="17726" priority="17566" stopIfTrue="1" operator="equal">
      <formula>"Fail"</formula>
    </cfRule>
  </conditionalFormatting>
  <conditionalFormatting sqref="A934:A942">
    <cfRule type="cellIs" dxfId="17725" priority="17563" stopIfTrue="1" operator="equal">
      <formula>"Pass"</formula>
    </cfRule>
    <cfRule type="cellIs" dxfId="17724" priority="17564" stopIfTrue="1" operator="equal">
      <formula>"Fail"</formula>
    </cfRule>
  </conditionalFormatting>
  <conditionalFormatting sqref="A934:A942">
    <cfRule type="cellIs" dxfId="17723" priority="17561" stopIfTrue="1" operator="equal">
      <formula>"Pass"</formula>
    </cfRule>
    <cfRule type="cellIs" dxfId="17722" priority="17562" stopIfTrue="1" operator="equal">
      <formula>"Fail"</formula>
    </cfRule>
  </conditionalFormatting>
  <conditionalFormatting sqref="A936 A939 A942">
    <cfRule type="cellIs" dxfId="17721" priority="17559" stopIfTrue="1" operator="equal">
      <formula>"Pass"</formula>
    </cfRule>
    <cfRule type="cellIs" dxfId="17720" priority="17560" stopIfTrue="1" operator="equal">
      <formula>"Fail"</formula>
    </cfRule>
  </conditionalFormatting>
  <conditionalFormatting sqref="A934:A942">
    <cfRule type="cellIs" dxfId="17719" priority="17557" stopIfTrue="1" operator="equal">
      <formula>"Pass"</formula>
    </cfRule>
    <cfRule type="cellIs" dxfId="17718" priority="17558" stopIfTrue="1" operator="equal">
      <formula>"Fail"</formula>
    </cfRule>
  </conditionalFormatting>
  <conditionalFormatting sqref="H934:H935">
    <cfRule type="cellIs" dxfId="17717" priority="17555" stopIfTrue="1" operator="equal">
      <formula>"Pass"</formula>
    </cfRule>
    <cfRule type="cellIs" dxfId="17716" priority="17556" stopIfTrue="1" operator="equal">
      <formula>"Fail"</formula>
    </cfRule>
  </conditionalFormatting>
  <conditionalFormatting sqref="F934 F936 I934:M935">
    <cfRule type="cellIs" dxfId="17715" priority="17553" stopIfTrue="1" operator="equal">
      <formula>"Pass"</formula>
    </cfRule>
    <cfRule type="cellIs" dxfId="17714" priority="17554" stopIfTrue="1" operator="equal">
      <formula>"Fail"</formula>
    </cfRule>
  </conditionalFormatting>
  <conditionalFormatting sqref="T936 T934 R934:R936 S935:S936">
    <cfRule type="cellIs" dxfId="17713" priority="17551" stopIfTrue="1" operator="equal">
      <formula>"Fail"</formula>
    </cfRule>
    <cfRule type="cellIs" dxfId="17712" priority="17552" stopIfTrue="1" operator="equal">
      <formula>"Pass"</formula>
    </cfRule>
  </conditionalFormatting>
  <conditionalFormatting sqref="F934:G934 F936:G936 J934:N935">
    <cfRule type="cellIs" dxfId="17711" priority="17549" stopIfTrue="1" operator="equal">
      <formula>"Pass"</formula>
    </cfRule>
    <cfRule type="cellIs" dxfId="17710" priority="17550" stopIfTrue="1" operator="equal">
      <formula>"Fail"</formula>
    </cfRule>
  </conditionalFormatting>
  <conditionalFormatting sqref="U936:V936 U934:V934 T934:T936 S935:S936">
    <cfRule type="cellIs" dxfId="17709" priority="17547" stopIfTrue="1" operator="equal">
      <formula>"Fail"</formula>
    </cfRule>
    <cfRule type="cellIs" dxfId="17708" priority="17548" stopIfTrue="1" operator="equal">
      <formula>"Pass"</formula>
    </cfRule>
  </conditionalFormatting>
  <conditionalFormatting sqref="J934:N935 F934:G936">
    <cfRule type="cellIs" dxfId="17707" priority="17545" stopIfTrue="1" operator="equal">
      <formula>"Pass"</formula>
    </cfRule>
    <cfRule type="cellIs" dxfId="17706" priority="17546" stopIfTrue="1" operator="equal">
      <formula>"Fail"</formula>
    </cfRule>
  </conditionalFormatting>
  <conditionalFormatting sqref="K934:O935 F934:H936">
    <cfRule type="cellIs" dxfId="17705" priority="17543" stopIfTrue="1" operator="equal">
      <formula>"Pass"</formula>
    </cfRule>
    <cfRule type="cellIs" dxfId="17704" priority="17544" stopIfTrue="1" operator="equal">
      <formula>"Fail"</formula>
    </cfRule>
  </conditionalFormatting>
  <conditionalFormatting sqref="T934">
    <cfRule type="cellIs" dxfId="17703" priority="17541" stopIfTrue="1" operator="equal">
      <formula>"Fail"</formula>
    </cfRule>
    <cfRule type="cellIs" dxfId="17702" priority="17542" stopIfTrue="1" operator="equal">
      <formula>"Pass"</formula>
    </cfRule>
  </conditionalFormatting>
  <conditionalFormatting sqref="K934:O935 F934:H936">
    <cfRule type="cellIs" dxfId="17701" priority="17539" stopIfTrue="1" operator="equal">
      <formula>"Pass"</formula>
    </cfRule>
    <cfRule type="cellIs" dxfId="17700" priority="17540" stopIfTrue="1" operator="equal">
      <formula>"Fail"</formula>
    </cfRule>
  </conditionalFormatting>
  <conditionalFormatting sqref="T934">
    <cfRule type="cellIs" dxfId="17699" priority="17537" stopIfTrue="1" operator="equal">
      <formula>"Fail"</formula>
    </cfRule>
    <cfRule type="cellIs" dxfId="17698" priority="17538" stopIfTrue="1" operator="equal">
      <formula>"Pass"</formula>
    </cfRule>
  </conditionalFormatting>
  <conditionalFormatting sqref="H934:H935">
    <cfRule type="cellIs" dxfId="17697" priority="17535" stopIfTrue="1" operator="equal">
      <formula>"Pass"</formula>
    </cfRule>
    <cfRule type="cellIs" dxfId="17696" priority="17536" stopIfTrue="1" operator="equal">
      <formula>"Fail"</formula>
    </cfRule>
  </conditionalFormatting>
  <conditionalFormatting sqref="E934:F934 E936:F936 I934:M935 A934:A942">
    <cfRule type="cellIs" dxfId="17695" priority="17533" stopIfTrue="1" operator="equal">
      <formula>"Pass"</formula>
    </cfRule>
    <cfRule type="cellIs" dxfId="17694" priority="17534" stopIfTrue="1" operator="equal">
      <formula>"Fail"</formula>
    </cfRule>
  </conditionalFormatting>
  <conditionalFormatting sqref="T936 T934 R934:R936 S935:S936">
    <cfRule type="cellIs" dxfId="17693" priority="17531" stopIfTrue="1" operator="equal">
      <formula>"Fail"</formula>
    </cfRule>
    <cfRule type="cellIs" dxfId="17692" priority="17532" stopIfTrue="1" operator="equal">
      <formula>"Pass"</formula>
    </cfRule>
  </conditionalFormatting>
  <conditionalFormatting sqref="F934:G934 F936:G936 A934:B936 J934:N935 A937:A942">
    <cfRule type="cellIs" dxfId="17691" priority="17529" stopIfTrue="1" operator="equal">
      <formula>"Pass"</formula>
    </cfRule>
    <cfRule type="cellIs" dxfId="17690" priority="17530" stopIfTrue="1" operator="equal">
      <formula>"Fail"</formula>
    </cfRule>
  </conditionalFormatting>
  <conditionalFormatting sqref="U936:V936 U934:V934 T934:T936 S935:S936">
    <cfRule type="cellIs" dxfId="17689" priority="17527" stopIfTrue="1" operator="equal">
      <formula>"Fail"</formula>
    </cfRule>
    <cfRule type="cellIs" dxfId="17688" priority="17528" stopIfTrue="1" operator="equal">
      <formula>"Pass"</formula>
    </cfRule>
  </conditionalFormatting>
  <conditionalFormatting sqref="A934:A942">
    <cfRule type="cellIs" dxfId="17687" priority="17525" stopIfTrue="1" operator="equal">
      <formula>"Pass"</formula>
    </cfRule>
    <cfRule type="cellIs" dxfId="17686" priority="17526" stopIfTrue="1" operator="equal">
      <formula>"Fail"</formula>
    </cfRule>
  </conditionalFormatting>
  <conditionalFormatting sqref="A934:A942">
    <cfRule type="cellIs" dxfId="17685" priority="17523" stopIfTrue="1" operator="equal">
      <formula>"Pass"</formula>
    </cfRule>
    <cfRule type="cellIs" dxfId="17684" priority="17524" stopIfTrue="1" operator="equal">
      <formula>"Fail"</formula>
    </cfRule>
  </conditionalFormatting>
  <conditionalFormatting sqref="A934:A942">
    <cfRule type="cellIs" dxfId="17683" priority="17521" stopIfTrue="1" operator="equal">
      <formula>"Pass"</formula>
    </cfRule>
    <cfRule type="cellIs" dxfId="17682" priority="17522" stopIfTrue="1" operator="equal">
      <formula>"Fail"</formula>
    </cfRule>
  </conditionalFormatting>
  <conditionalFormatting sqref="J934:N935 E934:G936">
    <cfRule type="cellIs" dxfId="17681" priority="17519" stopIfTrue="1" operator="equal">
      <formula>"Pass"</formula>
    </cfRule>
    <cfRule type="cellIs" dxfId="17680" priority="17520" stopIfTrue="1" operator="equal">
      <formula>"Fail"</formula>
    </cfRule>
  </conditionalFormatting>
  <conditionalFormatting sqref="A936 C936 K934:O935 F934:H936 A939 A942">
    <cfRule type="cellIs" dxfId="17679" priority="17517" stopIfTrue="1" operator="equal">
      <formula>"Pass"</formula>
    </cfRule>
    <cfRule type="cellIs" dxfId="17678" priority="17518" stopIfTrue="1" operator="equal">
      <formula>"Fail"</formula>
    </cfRule>
  </conditionalFormatting>
  <conditionalFormatting sqref="T934">
    <cfRule type="cellIs" dxfId="17677" priority="17515" stopIfTrue="1" operator="equal">
      <formula>"Fail"</formula>
    </cfRule>
    <cfRule type="cellIs" dxfId="17676" priority="17516" stopIfTrue="1" operator="equal">
      <formula>"Pass"</formula>
    </cfRule>
  </conditionalFormatting>
  <conditionalFormatting sqref="A934:A942">
    <cfRule type="cellIs" dxfId="17675" priority="17513" stopIfTrue="1" operator="equal">
      <formula>"Pass"</formula>
    </cfRule>
    <cfRule type="cellIs" dxfId="17674" priority="17514" stopIfTrue="1" operator="equal">
      <formula>"Fail"</formula>
    </cfRule>
  </conditionalFormatting>
  <conditionalFormatting sqref="A934:A942">
    <cfRule type="cellIs" dxfId="17673" priority="17511" stopIfTrue="1" operator="equal">
      <formula>"Pass"</formula>
    </cfRule>
    <cfRule type="cellIs" dxfId="17672" priority="17512" stopIfTrue="1" operator="equal">
      <formula>"Fail"</formula>
    </cfRule>
  </conditionalFormatting>
  <conditionalFormatting sqref="A934:A942">
    <cfRule type="cellIs" dxfId="17671" priority="17509" stopIfTrue="1" operator="equal">
      <formula>"Pass"</formula>
    </cfRule>
    <cfRule type="cellIs" dxfId="17670" priority="17510" stopIfTrue="1" operator="equal">
      <formula>"Fail"</formula>
    </cfRule>
  </conditionalFormatting>
  <conditionalFormatting sqref="A934:A942">
    <cfRule type="cellIs" dxfId="17669" priority="17507" stopIfTrue="1" operator="equal">
      <formula>"Pass"</formula>
    </cfRule>
    <cfRule type="cellIs" dxfId="17668" priority="17508" stopIfTrue="1" operator="equal">
      <formula>"Fail"</formula>
    </cfRule>
  </conditionalFormatting>
  <conditionalFormatting sqref="A934:A942">
    <cfRule type="cellIs" dxfId="17667" priority="17505" stopIfTrue="1" operator="equal">
      <formula>"Pass"</formula>
    </cfRule>
    <cfRule type="cellIs" dxfId="17666" priority="17506" stopIfTrue="1" operator="equal">
      <formula>"Fail"</formula>
    </cfRule>
  </conditionalFormatting>
  <conditionalFormatting sqref="A934:A942">
    <cfRule type="cellIs" dxfId="17665" priority="17503" stopIfTrue="1" operator="equal">
      <formula>"Pass"</formula>
    </cfRule>
    <cfRule type="cellIs" dxfId="17664" priority="17504" stopIfTrue="1" operator="equal">
      <formula>"Fail"</formula>
    </cfRule>
  </conditionalFormatting>
  <conditionalFormatting sqref="A936 A939 A942">
    <cfRule type="cellIs" dxfId="17663" priority="17501" stopIfTrue="1" operator="equal">
      <formula>"Pass"</formula>
    </cfRule>
    <cfRule type="cellIs" dxfId="17662" priority="17502" stopIfTrue="1" operator="equal">
      <formula>"Fail"</formula>
    </cfRule>
  </conditionalFormatting>
  <conditionalFormatting sqref="A934:A942">
    <cfRule type="cellIs" dxfId="17661" priority="17499" stopIfTrue="1" operator="equal">
      <formula>"Pass"</formula>
    </cfRule>
    <cfRule type="cellIs" dxfId="17660" priority="17500" stopIfTrue="1" operator="equal">
      <formula>"Fail"</formula>
    </cfRule>
  </conditionalFormatting>
  <conditionalFormatting sqref="A934:A942">
    <cfRule type="cellIs" dxfId="17659" priority="17497" stopIfTrue="1" operator="equal">
      <formula>"Pass"</formula>
    </cfRule>
    <cfRule type="cellIs" dxfId="17658" priority="17498" stopIfTrue="1" operator="equal">
      <formula>"Fail"</formula>
    </cfRule>
  </conditionalFormatting>
  <conditionalFormatting sqref="A934:A942">
    <cfRule type="cellIs" dxfId="17657" priority="17495" stopIfTrue="1" operator="equal">
      <formula>"Pass"</formula>
    </cfRule>
    <cfRule type="cellIs" dxfId="17656" priority="17496" stopIfTrue="1" operator="equal">
      <formula>"Fail"</formula>
    </cfRule>
  </conditionalFormatting>
  <conditionalFormatting sqref="A934:A942">
    <cfRule type="cellIs" dxfId="17655" priority="17493" stopIfTrue="1" operator="equal">
      <formula>"Pass"</formula>
    </cfRule>
    <cfRule type="cellIs" dxfId="17654" priority="17494" stopIfTrue="1" operator="equal">
      <formula>"Fail"</formula>
    </cfRule>
  </conditionalFormatting>
  <conditionalFormatting sqref="A934:A942">
    <cfRule type="cellIs" dxfId="17653" priority="17491" stopIfTrue="1" operator="equal">
      <formula>"Pass"</formula>
    </cfRule>
    <cfRule type="cellIs" dxfId="17652" priority="17492" stopIfTrue="1" operator="equal">
      <formula>"Fail"</formula>
    </cfRule>
  </conditionalFormatting>
  <conditionalFormatting sqref="A934:A942">
    <cfRule type="cellIs" dxfId="17651" priority="17489" stopIfTrue="1" operator="equal">
      <formula>"Pass"</formula>
    </cfRule>
    <cfRule type="cellIs" dxfId="17650" priority="17490" stopIfTrue="1" operator="equal">
      <formula>"Fail"</formula>
    </cfRule>
  </conditionalFormatting>
  <conditionalFormatting sqref="A936 A939 A942">
    <cfRule type="cellIs" dxfId="17649" priority="17487" stopIfTrue="1" operator="equal">
      <formula>"Pass"</formula>
    </cfRule>
    <cfRule type="cellIs" dxfId="17648" priority="17488" stopIfTrue="1" operator="equal">
      <formula>"Fail"</formula>
    </cfRule>
  </conditionalFormatting>
  <conditionalFormatting sqref="A934:A942">
    <cfRule type="cellIs" dxfId="17647" priority="17485" stopIfTrue="1" operator="equal">
      <formula>"Pass"</formula>
    </cfRule>
    <cfRule type="cellIs" dxfId="17646" priority="17486" stopIfTrue="1" operator="equal">
      <formula>"Fail"</formula>
    </cfRule>
  </conditionalFormatting>
  <conditionalFormatting sqref="H934:H935">
    <cfRule type="cellIs" dxfId="17645" priority="17483" stopIfTrue="1" operator="equal">
      <formula>"Pass"</formula>
    </cfRule>
    <cfRule type="cellIs" dxfId="17644" priority="17484" stopIfTrue="1" operator="equal">
      <formula>"Fail"</formula>
    </cfRule>
  </conditionalFormatting>
  <conditionalFormatting sqref="F934 F936 I934:M935">
    <cfRule type="cellIs" dxfId="17643" priority="17481" stopIfTrue="1" operator="equal">
      <formula>"Pass"</formula>
    </cfRule>
    <cfRule type="cellIs" dxfId="17642" priority="17482" stopIfTrue="1" operator="equal">
      <formula>"Fail"</formula>
    </cfRule>
  </conditionalFormatting>
  <conditionalFormatting sqref="T936 T934 R934:R936 S935:S936">
    <cfRule type="cellIs" dxfId="17641" priority="17479" stopIfTrue="1" operator="equal">
      <formula>"Fail"</formula>
    </cfRule>
    <cfRule type="cellIs" dxfId="17640" priority="17480" stopIfTrue="1" operator="equal">
      <formula>"Pass"</formula>
    </cfRule>
  </conditionalFormatting>
  <conditionalFormatting sqref="F934:G934 F936:G936 J934:N935">
    <cfRule type="cellIs" dxfId="17639" priority="17477" stopIfTrue="1" operator="equal">
      <formula>"Pass"</formula>
    </cfRule>
    <cfRule type="cellIs" dxfId="17638" priority="17478" stopIfTrue="1" operator="equal">
      <formula>"Fail"</formula>
    </cfRule>
  </conditionalFormatting>
  <conditionalFormatting sqref="U936:V936 U934:V934 T934:T936 S935:S936">
    <cfRule type="cellIs" dxfId="17637" priority="17475" stopIfTrue="1" operator="equal">
      <formula>"Fail"</formula>
    </cfRule>
    <cfRule type="cellIs" dxfId="17636" priority="17476" stopIfTrue="1" operator="equal">
      <formula>"Pass"</formula>
    </cfRule>
  </conditionalFormatting>
  <conditionalFormatting sqref="J934:N935 F934:G936">
    <cfRule type="cellIs" dxfId="17635" priority="17473" stopIfTrue="1" operator="equal">
      <formula>"Pass"</formula>
    </cfRule>
    <cfRule type="cellIs" dxfId="17634" priority="17474" stopIfTrue="1" operator="equal">
      <formula>"Fail"</formula>
    </cfRule>
  </conditionalFormatting>
  <conditionalFormatting sqref="K934:O935 F934:H936">
    <cfRule type="cellIs" dxfId="17633" priority="17471" stopIfTrue="1" operator="equal">
      <formula>"Pass"</formula>
    </cfRule>
    <cfRule type="cellIs" dxfId="17632" priority="17472" stopIfTrue="1" operator="equal">
      <formula>"Fail"</formula>
    </cfRule>
  </conditionalFormatting>
  <conditionalFormatting sqref="T934">
    <cfRule type="cellIs" dxfId="17631" priority="17469" stopIfTrue="1" operator="equal">
      <formula>"Fail"</formula>
    </cfRule>
    <cfRule type="cellIs" dxfId="17630" priority="17470" stopIfTrue="1" operator="equal">
      <formula>"Pass"</formula>
    </cfRule>
  </conditionalFormatting>
  <conditionalFormatting sqref="K934:O935 F934:H936">
    <cfRule type="cellIs" dxfId="17629" priority="17467" stopIfTrue="1" operator="equal">
      <formula>"Pass"</formula>
    </cfRule>
    <cfRule type="cellIs" dxfId="17628" priority="17468" stopIfTrue="1" operator="equal">
      <formula>"Fail"</formula>
    </cfRule>
  </conditionalFormatting>
  <conditionalFormatting sqref="T934">
    <cfRule type="cellIs" dxfId="17627" priority="17465" stopIfTrue="1" operator="equal">
      <formula>"Fail"</formula>
    </cfRule>
    <cfRule type="cellIs" dxfId="17626" priority="17466" stopIfTrue="1" operator="equal">
      <formula>"Pass"</formula>
    </cfRule>
  </conditionalFormatting>
  <conditionalFormatting sqref="A937">
    <cfRule type="cellIs" dxfId="17625" priority="17463" stopIfTrue="1" operator="equal">
      <formula>"Pass"</formula>
    </cfRule>
    <cfRule type="cellIs" dxfId="17624" priority="17464" stopIfTrue="1" operator="equal">
      <formula>"Fail"</formula>
    </cfRule>
  </conditionalFormatting>
  <conditionalFormatting sqref="A937">
    <cfRule type="cellIs" dxfId="17623" priority="17461" stopIfTrue="1" operator="equal">
      <formula>"Pass"</formula>
    </cfRule>
    <cfRule type="cellIs" dxfId="17622" priority="17462" stopIfTrue="1" operator="equal">
      <formula>"Fail"</formula>
    </cfRule>
  </conditionalFormatting>
  <conditionalFormatting sqref="A937">
    <cfRule type="cellIs" dxfId="17621" priority="17459" stopIfTrue="1" operator="equal">
      <formula>"Pass"</formula>
    </cfRule>
    <cfRule type="cellIs" dxfId="17620" priority="17460" stopIfTrue="1" operator="equal">
      <formula>"Fail"</formula>
    </cfRule>
  </conditionalFormatting>
  <conditionalFormatting sqref="A937">
    <cfRule type="cellIs" dxfId="17619" priority="17457" stopIfTrue="1" operator="equal">
      <formula>"Pass"</formula>
    </cfRule>
    <cfRule type="cellIs" dxfId="17618" priority="17458" stopIfTrue="1" operator="equal">
      <formula>"Fail"</formula>
    </cfRule>
  </conditionalFormatting>
  <conditionalFormatting sqref="A937">
    <cfRule type="cellIs" dxfId="17617" priority="17455" stopIfTrue="1" operator="equal">
      <formula>"Pass"</formula>
    </cfRule>
    <cfRule type="cellIs" dxfId="17616" priority="17456" stopIfTrue="1" operator="equal">
      <formula>"Fail"</formula>
    </cfRule>
  </conditionalFormatting>
  <conditionalFormatting sqref="A937">
    <cfRule type="cellIs" dxfId="17615" priority="17453" stopIfTrue="1" operator="equal">
      <formula>"Pass"</formula>
    </cfRule>
    <cfRule type="cellIs" dxfId="17614" priority="17454" stopIfTrue="1" operator="equal">
      <formula>"Fail"</formula>
    </cfRule>
  </conditionalFormatting>
  <conditionalFormatting sqref="A937">
    <cfRule type="cellIs" dxfId="17613" priority="17451" stopIfTrue="1" operator="equal">
      <formula>"Pass"</formula>
    </cfRule>
    <cfRule type="cellIs" dxfId="17612" priority="17452" stopIfTrue="1" operator="equal">
      <formula>"Fail"</formula>
    </cfRule>
  </conditionalFormatting>
  <conditionalFormatting sqref="A937">
    <cfRule type="cellIs" dxfId="17611" priority="17449" stopIfTrue="1" operator="equal">
      <formula>"Pass"</formula>
    </cfRule>
    <cfRule type="cellIs" dxfId="17610" priority="17450" stopIfTrue="1" operator="equal">
      <formula>"Fail"</formula>
    </cfRule>
  </conditionalFormatting>
  <conditionalFormatting sqref="A937">
    <cfRule type="cellIs" dxfId="17609" priority="17447" stopIfTrue="1" operator="equal">
      <formula>"Pass"</formula>
    </cfRule>
    <cfRule type="cellIs" dxfId="17608" priority="17448" stopIfTrue="1" operator="equal">
      <formula>"Fail"</formula>
    </cfRule>
  </conditionalFormatting>
  <conditionalFormatting sqref="A937">
    <cfRule type="cellIs" dxfId="17607" priority="17445" stopIfTrue="1" operator="equal">
      <formula>"Pass"</formula>
    </cfRule>
    <cfRule type="cellIs" dxfId="17606" priority="17446" stopIfTrue="1" operator="equal">
      <formula>"Fail"</formula>
    </cfRule>
  </conditionalFormatting>
  <conditionalFormatting sqref="A937">
    <cfRule type="cellIs" dxfId="17605" priority="17443" stopIfTrue="1" operator="equal">
      <formula>"Pass"</formula>
    </cfRule>
    <cfRule type="cellIs" dxfId="17604" priority="17444" stopIfTrue="1" operator="equal">
      <formula>"Fail"</formula>
    </cfRule>
  </conditionalFormatting>
  <conditionalFormatting sqref="A937">
    <cfRule type="cellIs" dxfId="17603" priority="17441" stopIfTrue="1" operator="equal">
      <formula>"Pass"</formula>
    </cfRule>
    <cfRule type="cellIs" dxfId="17602" priority="17442" stopIfTrue="1" operator="equal">
      <formula>"Fail"</formula>
    </cfRule>
  </conditionalFormatting>
  <conditionalFormatting sqref="A937">
    <cfRule type="cellIs" dxfId="17601" priority="17439" stopIfTrue="1" operator="equal">
      <formula>"Pass"</formula>
    </cfRule>
    <cfRule type="cellIs" dxfId="17600" priority="17440" stopIfTrue="1" operator="equal">
      <formula>"Fail"</formula>
    </cfRule>
  </conditionalFormatting>
  <conditionalFormatting sqref="A937">
    <cfRule type="cellIs" dxfId="17599" priority="17437" stopIfTrue="1" operator="equal">
      <formula>"Pass"</formula>
    </cfRule>
    <cfRule type="cellIs" dxfId="17598" priority="17438" stopIfTrue="1" operator="equal">
      <formula>"Fail"</formula>
    </cfRule>
  </conditionalFormatting>
  <conditionalFormatting sqref="A937">
    <cfRule type="cellIs" dxfId="17597" priority="17435" stopIfTrue="1" operator="equal">
      <formula>"Pass"</formula>
    </cfRule>
    <cfRule type="cellIs" dxfId="17596" priority="17436" stopIfTrue="1" operator="equal">
      <formula>"Fail"</formula>
    </cfRule>
  </conditionalFormatting>
  <conditionalFormatting sqref="A937">
    <cfRule type="cellIs" dxfId="17595" priority="17433" stopIfTrue="1" operator="equal">
      <formula>"Pass"</formula>
    </cfRule>
    <cfRule type="cellIs" dxfId="17594" priority="17434" stopIfTrue="1" operator="equal">
      <formula>"Fail"</formula>
    </cfRule>
  </conditionalFormatting>
  <conditionalFormatting sqref="A937">
    <cfRule type="cellIs" dxfId="17593" priority="17431" stopIfTrue="1" operator="equal">
      <formula>"Pass"</formula>
    </cfRule>
    <cfRule type="cellIs" dxfId="17592" priority="17432" stopIfTrue="1" operator="equal">
      <formula>"Fail"</formula>
    </cfRule>
  </conditionalFormatting>
  <conditionalFormatting sqref="A937">
    <cfRule type="cellIs" dxfId="17591" priority="17429" stopIfTrue="1" operator="equal">
      <formula>"Pass"</formula>
    </cfRule>
    <cfRule type="cellIs" dxfId="17590" priority="17430" stopIfTrue="1" operator="equal">
      <formula>"Fail"</formula>
    </cfRule>
  </conditionalFormatting>
  <conditionalFormatting sqref="J937:J938">
    <cfRule type="cellIs" dxfId="17589" priority="17427" stopIfTrue="1" operator="equal">
      <formula>"Pass"</formula>
    </cfRule>
    <cfRule type="cellIs" dxfId="17588" priority="17428" stopIfTrue="1" operator="equal">
      <formula>"Fail"</formula>
    </cfRule>
  </conditionalFormatting>
  <conditionalFormatting sqref="H937:H938 I938">
    <cfRule type="cellIs" dxfId="17587" priority="17425" stopIfTrue="1" operator="equal">
      <formula>"Pass"</formula>
    </cfRule>
    <cfRule type="cellIs" dxfId="17586" priority="17426" stopIfTrue="1" operator="equal">
      <formula>"Fail"</formula>
    </cfRule>
  </conditionalFormatting>
  <conditionalFormatting sqref="A937 C937 F939 F937:G937 K937:N938">
    <cfRule type="cellIs" dxfId="17585" priority="17423" stopIfTrue="1" operator="equal">
      <formula>"Pass"</formula>
    </cfRule>
    <cfRule type="cellIs" dxfId="17584" priority="17424" stopIfTrue="1" operator="equal">
      <formula>"Fail"</formula>
    </cfRule>
  </conditionalFormatting>
  <conditionalFormatting sqref="T937:T939 U938:V939">
    <cfRule type="cellIs" dxfId="17583" priority="17421" stopIfTrue="1" operator="equal">
      <formula>"Fail"</formula>
    </cfRule>
    <cfRule type="cellIs" dxfId="17582" priority="17422" stopIfTrue="1" operator="equal">
      <formula>"Pass"</formula>
    </cfRule>
  </conditionalFormatting>
  <conditionalFormatting sqref="A937">
    <cfRule type="cellIs" dxfId="17581" priority="17419" stopIfTrue="1" operator="equal">
      <formula>"Pass"</formula>
    </cfRule>
    <cfRule type="cellIs" dxfId="17580" priority="17420" stopIfTrue="1" operator="equal">
      <formula>"Fail"</formula>
    </cfRule>
  </conditionalFormatting>
  <conditionalFormatting sqref="A937">
    <cfRule type="cellIs" dxfId="17579" priority="17417" stopIfTrue="1" operator="equal">
      <formula>"Pass"</formula>
    </cfRule>
    <cfRule type="cellIs" dxfId="17578" priority="17418" stopIfTrue="1" operator="equal">
      <formula>"Fail"</formula>
    </cfRule>
  </conditionalFormatting>
  <conditionalFormatting sqref="A937">
    <cfRule type="cellIs" dxfId="17577" priority="17415" stopIfTrue="1" operator="equal">
      <formula>"Pass"</formula>
    </cfRule>
    <cfRule type="cellIs" dxfId="17576" priority="17416" stopIfTrue="1" operator="equal">
      <formula>"Fail"</formula>
    </cfRule>
  </conditionalFormatting>
  <conditionalFormatting sqref="A937">
    <cfRule type="cellIs" dxfId="17575" priority="17413" stopIfTrue="1" operator="equal">
      <formula>"Pass"</formula>
    </cfRule>
    <cfRule type="cellIs" dxfId="17574" priority="17414" stopIfTrue="1" operator="equal">
      <formula>"Fail"</formula>
    </cfRule>
  </conditionalFormatting>
  <conditionalFormatting sqref="A937">
    <cfRule type="cellIs" dxfId="17573" priority="17411" stopIfTrue="1" operator="equal">
      <formula>"Pass"</formula>
    </cfRule>
    <cfRule type="cellIs" dxfId="17572" priority="17412" stopIfTrue="1" operator="equal">
      <formula>"Fail"</formula>
    </cfRule>
  </conditionalFormatting>
  <conditionalFormatting sqref="A937">
    <cfRule type="cellIs" dxfId="17571" priority="17409" stopIfTrue="1" operator="equal">
      <formula>"Pass"</formula>
    </cfRule>
    <cfRule type="cellIs" dxfId="17570" priority="17410" stopIfTrue="1" operator="equal">
      <formula>"Fail"</formula>
    </cfRule>
  </conditionalFormatting>
  <conditionalFormatting sqref="A937">
    <cfRule type="cellIs" dxfId="17569" priority="17407" stopIfTrue="1" operator="equal">
      <formula>"Pass"</formula>
    </cfRule>
    <cfRule type="cellIs" dxfId="17568" priority="17408" stopIfTrue="1" operator="equal">
      <formula>"Fail"</formula>
    </cfRule>
  </conditionalFormatting>
  <conditionalFormatting sqref="A937">
    <cfRule type="cellIs" dxfId="17567" priority="17405" stopIfTrue="1" operator="equal">
      <formula>"Pass"</formula>
    </cfRule>
    <cfRule type="cellIs" dxfId="17566" priority="17406" stopIfTrue="1" operator="equal">
      <formula>"Fail"</formula>
    </cfRule>
  </conditionalFormatting>
  <conditionalFormatting sqref="A937">
    <cfRule type="cellIs" dxfId="17565" priority="17403" stopIfTrue="1" operator="equal">
      <formula>"Pass"</formula>
    </cfRule>
    <cfRule type="cellIs" dxfId="17564" priority="17404" stopIfTrue="1" operator="equal">
      <formula>"Fail"</formula>
    </cfRule>
  </conditionalFormatting>
  <conditionalFormatting sqref="A937">
    <cfRule type="cellIs" dxfId="17563" priority="17401" stopIfTrue="1" operator="equal">
      <formula>"Pass"</formula>
    </cfRule>
    <cfRule type="cellIs" dxfId="17562" priority="17402" stopIfTrue="1" operator="equal">
      <formula>"Fail"</formula>
    </cfRule>
  </conditionalFormatting>
  <conditionalFormatting sqref="A937">
    <cfRule type="cellIs" dxfId="17561" priority="17399" stopIfTrue="1" operator="equal">
      <formula>"Pass"</formula>
    </cfRule>
    <cfRule type="cellIs" dxfId="17560" priority="17400" stopIfTrue="1" operator="equal">
      <formula>"Fail"</formula>
    </cfRule>
  </conditionalFormatting>
  <conditionalFormatting sqref="A937">
    <cfRule type="cellIs" dxfId="17559" priority="17397" stopIfTrue="1" operator="equal">
      <formula>"Pass"</formula>
    </cfRule>
    <cfRule type="cellIs" dxfId="17558" priority="17398" stopIfTrue="1" operator="equal">
      <formula>"Fail"</formula>
    </cfRule>
  </conditionalFormatting>
  <conditionalFormatting sqref="A937">
    <cfRule type="cellIs" dxfId="17557" priority="17395" stopIfTrue="1" operator="equal">
      <formula>"Pass"</formula>
    </cfRule>
    <cfRule type="cellIs" dxfId="17556" priority="17396" stopIfTrue="1" operator="equal">
      <formula>"Fail"</formula>
    </cfRule>
  </conditionalFormatting>
  <conditionalFormatting sqref="A937">
    <cfRule type="cellIs" dxfId="17555" priority="17393" stopIfTrue="1" operator="equal">
      <formula>"Pass"</formula>
    </cfRule>
    <cfRule type="cellIs" dxfId="17554" priority="17394" stopIfTrue="1" operator="equal">
      <formula>"Fail"</formula>
    </cfRule>
  </conditionalFormatting>
  <conditionalFormatting sqref="A937">
    <cfRule type="cellIs" dxfId="17553" priority="17391" stopIfTrue="1" operator="equal">
      <formula>"Pass"</formula>
    </cfRule>
    <cfRule type="cellIs" dxfId="17552" priority="17392" stopIfTrue="1" operator="equal">
      <formula>"Fail"</formula>
    </cfRule>
  </conditionalFormatting>
  <conditionalFormatting sqref="A937">
    <cfRule type="cellIs" dxfId="17551" priority="17389" stopIfTrue="1" operator="equal">
      <formula>"Pass"</formula>
    </cfRule>
    <cfRule type="cellIs" dxfId="17550" priority="17390" stopIfTrue="1" operator="equal">
      <formula>"Fail"</formula>
    </cfRule>
  </conditionalFormatting>
  <conditionalFormatting sqref="U937:V937">
    <cfRule type="cellIs" dxfId="17549" priority="17387" stopIfTrue="1" operator="equal">
      <formula>"Fail"</formula>
    </cfRule>
    <cfRule type="cellIs" dxfId="17548" priority="17388" stopIfTrue="1" operator="equal">
      <formula>"Pass"</formula>
    </cfRule>
  </conditionalFormatting>
  <conditionalFormatting sqref="U937:V937">
    <cfRule type="cellIs" dxfId="17547" priority="17385" stopIfTrue="1" operator="equal">
      <formula>"Fail"</formula>
    </cfRule>
    <cfRule type="cellIs" dxfId="17546" priority="17386" stopIfTrue="1" operator="equal">
      <formula>"Pass"</formula>
    </cfRule>
  </conditionalFormatting>
  <conditionalFormatting sqref="J937:J938">
    <cfRule type="cellIs" dxfId="17545" priority="17383" stopIfTrue="1" operator="equal">
      <formula>"Pass"</formula>
    </cfRule>
    <cfRule type="cellIs" dxfId="17544" priority="17384" stopIfTrue="1" operator="equal">
      <formula>"Fail"</formula>
    </cfRule>
  </conditionalFormatting>
  <conditionalFormatting sqref="H937:H938 I938">
    <cfRule type="cellIs" dxfId="17543" priority="17381" stopIfTrue="1" operator="equal">
      <formula>"Pass"</formula>
    </cfRule>
    <cfRule type="cellIs" dxfId="17542" priority="17382" stopIfTrue="1" operator="equal">
      <formula>"Fail"</formula>
    </cfRule>
  </conditionalFormatting>
  <conditionalFormatting sqref="F939 F937:G937 K937:N938">
    <cfRule type="cellIs" dxfId="17541" priority="17379" stopIfTrue="1" operator="equal">
      <formula>"Pass"</formula>
    </cfRule>
    <cfRule type="cellIs" dxfId="17540" priority="17380" stopIfTrue="1" operator="equal">
      <formula>"Fail"</formula>
    </cfRule>
  </conditionalFormatting>
  <conditionalFormatting sqref="T937:T939 U938:V939">
    <cfRule type="cellIs" dxfId="17539" priority="17377" stopIfTrue="1" operator="equal">
      <formula>"Fail"</formula>
    </cfRule>
    <cfRule type="cellIs" dxfId="17538" priority="17378" stopIfTrue="1" operator="equal">
      <formula>"Pass"</formula>
    </cfRule>
  </conditionalFormatting>
  <conditionalFormatting sqref="U937:V937">
    <cfRule type="cellIs" dxfId="17537" priority="17375" stopIfTrue="1" operator="equal">
      <formula>"Fail"</formula>
    </cfRule>
    <cfRule type="cellIs" dxfId="17536" priority="17376" stopIfTrue="1" operator="equal">
      <formula>"Pass"</formula>
    </cfRule>
  </conditionalFormatting>
  <conditionalFormatting sqref="U937:V937">
    <cfRule type="cellIs" dxfId="17535" priority="17373" stopIfTrue="1" operator="equal">
      <formula>"Fail"</formula>
    </cfRule>
    <cfRule type="cellIs" dxfId="17534" priority="17374" stopIfTrue="1" operator="equal">
      <formula>"Pass"</formula>
    </cfRule>
  </conditionalFormatting>
  <conditionalFormatting sqref="F937:G937 K937:N937">
    <cfRule type="cellIs" dxfId="17533" priority="17371" stopIfTrue="1" operator="equal">
      <formula>"Pass"</formula>
    </cfRule>
    <cfRule type="cellIs" dxfId="17532" priority="17372" stopIfTrue="1" operator="equal">
      <formula>"Fail"</formula>
    </cfRule>
  </conditionalFormatting>
  <conditionalFormatting sqref="K938:N938">
    <cfRule type="cellIs" dxfId="17531" priority="17369" stopIfTrue="1" operator="equal">
      <formula>"Pass"</formula>
    </cfRule>
    <cfRule type="cellIs" dxfId="17530" priority="17370" stopIfTrue="1" operator="equal">
      <formula>"Fail"</formula>
    </cfRule>
  </conditionalFormatting>
  <conditionalFormatting sqref="U937:V937">
    <cfRule type="cellIs" dxfId="17529" priority="17367" stopIfTrue="1" operator="equal">
      <formula>"Fail"</formula>
    </cfRule>
    <cfRule type="cellIs" dxfId="17528" priority="17368" stopIfTrue="1" operator="equal">
      <formula>"Pass"</formula>
    </cfRule>
  </conditionalFormatting>
  <conditionalFormatting sqref="A937">
    <cfRule type="cellIs" dxfId="17527" priority="17365" stopIfTrue="1" operator="equal">
      <formula>"Pass"</formula>
    </cfRule>
    <cfRule type="cellIs" dxfId="17526" priority="17366" stopIfTrue="1" operator="equal">
      <formula>"Fail"</formula>
    </cfRule>
  </conditionalFormatting>
  <conditionalFormatting sqref="A937">
    <cfRule type="cellIs" dxfId="17525" priority="17363" stopIfTrue="1" operator="equal">
      <formula>"Pass"</formula>
    </cfRule>
    <cfRule type="cellIs" dxfId="17524" priority="17364" stopIfTrue="1" operator="equal">
      <formula>"Fail"</formula>
    </cfRule>
  </conditionalFormatting>
  <conditionalFormatting sqref="A937">
    <cfRule type="cellIs" dxfId="17523" priority="17361" stopIfTrue="1" operator="equal">
      <formula>"Pass"</formula>
    </cfRule>
    <cfRule type="cellIs" dxfId="17522" priority="17362" stopIfTrue="1" operator="equal">
      <formula>"Fail"</formula>
    </cfRule>
  </conditionalFormatting>
  <conditionalFormatting sqref="A937">
    <cfRule type="cellIs" dxfId="17521" priority="17359" stopIfTrue="1" operator="equal">
      <formula>"Pass"</formula>
    </cfRule>
    <cfRule type="cellIs" dxfId="17520" priority="17360" stopIfTrue="1" operator="equal">
      <formula>"Fail"</formula>
    </cfRule>
  </conditionalFormatting>
  <conditionalFormatting sqref="A937">
    <cfRule type="cellIs" dxfId="17519" priority="17357" stopIfTrue="1" operator="equal">
      <formula>"Pass"</formula>
    </cfRule>
    <cfRule type="cellIs" dxfId="17518" priority="17358" stopIfTrue="1" operator="equal">
      <formula>"Fail"</formula>
    </cfRule>
  </conditionalFormatting>
  <conditionalFormatting sqref="A937">
    <cfRule type="cellIs" dxfId="17517" priority="17355" stopIfTrue="1" operator="equal">
      <formula>"Pass"</formula>
    </cfRule>
    <cfRule type="cellIs" dxfId="17516" priority="17356" stopIfTrue="1" operator="equal">
      <formula>"Fail"</formula>
    </cfRule>
  </conditionalFormatting>
  <conditionalFormatting sqref="A937">
    <cfRule type="cellIs" dxfId="17515" priority="17353" stopIfTrue="1" operator="equal">
      <formula>"Pass"</formula>
    </cfRule>
    <cfRule type="cellIs" dxfId="17514" priority="17354" stopIfTrue="1" operator="equal">
      <formula>"Fail"</formula>
    </cfRule>
  </conditionalFormatting>
  <conditionalFormatting sqref="A937">
    <cfRule type="cellIs" dxfId="17513" priority="17351" stopIfTrue="1" operator="equal">
      <formula>"Pass"</formula>
    </cfRule>
    <cfRule type="cellIs" dxfId="17512" priority="17352" stopIfTrue="1" operator="equal">
      <formula>"Fail"</formula>
    </cfRule>
  </conditionalFormatting>
  <conditionalFormatting sqref="A937">
    <cfRule type="cellIs" dxfId="17511" priority="17349" stopIfTrue="1" operator="equal">
      <formula>"Pass"</formula>
    </cfRule>
    <cfRule type="cellIs" dxfId="17510" priority="17350" stopIfTrue="1" operator="equal">
      <formula>"Fail"</formula>
    </cfRule>
  </conditionalFormatting>
  <conditionalFormatting sqref="A937">
    <cfRule type="cellIs" dxfId="17509" priority="17347" stopIfTrue="1" operator="equal">
      <formula>"Pass"</formula>
    </cfRule>
    <cfRule type="cellIs" dxfId="17508" priority="17348" stopIfTrue="1" operator="equal">
      <formula>"Fail"</formula>
    </cfRule>
  </conditionalFormatting>
  <conditionalFormatting sqref="A937">
    <cfRule type="cellIs" dxfId="17507" priority="17345" stopIfTrue="1" operator="equal">
      <formula>"Pass"</formula>
    </cfRule>
    <cfRule type="cellIs" dxfId="17506" priority="17346" stopIfTrue="1" operator="equal">
      <formula>"Fail"</formula>
    </cfRule>
  </conditionalFormatting>
  <conditionalFormatting sqref="A937">
    <cfRule type="cellIs" dxfId="17505" priority="17343" stopIfTrue="1" operator="equal">
      <formula>"Pass"</formula>
    </cfRule>
    <cfRule type="cellIs" dxfId="17504" priority="17344" stopIfTrue="1" operator="equal">
      <formula>"Fail"</formula>
    </cfRule>
  </conditionalFormatting>
  <conditionalFormatting sqref="J937:J938">
    <cfRule type="cellIs" dxfId="17503" priority="17341" stopIfTrue="1" operator="equal">
      <formula>"Pass"</formula>
    </cfRule>
    <cfRule type="cellIs" dxfId="17502" priority="17342" stopIfTrue="1" operator="equal">
      <formula>"Fail"</formula>
    </cfRule>
  </conditionalFormatting>
  <conditionalFormatting sqref="H937:H938 I938">
    <cfRule type="cellIs" dxfId="17501" priority="17339" stopIfTrue="1" operator="equal">
      <formula>"Pass"</formula>
    </cfRule>
    <cfRule type="cellIs" dxfId="17500" priority="17340" stopIfTrue="1" operator="equal">
      <formula>"Fail"</formula>
    </cfRule>
  </conditionalFormatting>
  <conditionalFormatting sqref="F939 F937:G937 K937:N938">
    <cfRule type="cellIs" dxfId="17499" priority="17337" stopIfTrue="1" operator="equal">
      <formula>"Pass"</formula>
    </cfRule>
    <cfRule type="cellIs" dxfId="17498" priority="17338" stopIfTrue="1" operator="equal">
      <formula>"Fail"</formula>
    </cfRule>
  </conditionalFormatting>
  <conditionalFormatting sqref="T937:T939 U938:V939">
    <cfRule type="cellIs" dxfId="17497" priority="17335" stopIfTrue="1" operator="equal">
      <formula>"Fail"</formula>
    </cfRule>
    <cfRule type="cellIs" dxfId="17496" priority="17336" stopIfTrue="1" operator="equal">
      <formula>"Pass"</formula>
    </cfRule>
  </conditionalFormatting>
  <conditionalFormatting sqref="U937:V937">
    <cfRule type="cellIs" dxfId="17495" priority="17333" stopIfTrue="1" operator="equal">
      <formula>"Fail"</formula>
    </cfRule>
    <cfRule type="cellIs" dxfId="17494" priority="17334" stopIfTrue="1" operator="equal">
      <formula>"Pass"</formula>
    </cfRule>
  </conditionalFormatting>
  <conditionalFormatting sqref="U937:V937">
    <cfRule type="cellIs" dxfId="17493" priority="17331" stopIfTrue="1" operator="equal">
      <formula>"Fail"</formula>
    </cfRule>
    <cfRule type="cellIs" dxfId="17492" priority="17332" stopIfTrue="1" operator="equal">
      <formula>"Pass"</formula>
    </cfRule>
  </conditionalFormatting>
  <conditionalFormatting sqref="J937:J938">
    <cfRule type="cellIs" dxfId="17491" priority="17329" stopIfTrue="1" operator="equal">
      <formula>"Pass"</formula>
    </cfRule>
    <cfRule type="cellIs" dxfId="17490" priority="17330" stopIfTrue="1" operator="equal">
      <formula>"Fail"</formula>
    </cfRule>
  </conditionalFormatting>
  <conditionalFormatting sqref="H937:H938 I938">
    <cfRule type="cellIs" dxfId="17489" priority="17327" stopIfTrue="1" operator="equal">
      <formula>"Pass"</formula>
    </cfRule>
    <cfRule type="cellIs" dxfId="17488" priority="17328" stopIfTrue="1" operator="equal">
      <formula>"Fail"</formula>
    </cfRule>
  </conditionalFormatting>
  <conditionalFormatting sqref="F939 F937:G937 K937:N938">
    <cfRule type="cellIs" dxfId="17487" priority="17325" stopIfTrue="1" operator="equal">
      <formula>"Pass"</formula>
    </cfRule>
    <cfRule type="cellIs" dxfId="17486" priority="17326" stopIfTrue="1" operator="equal">
      <formula>"Fail"</formula>
    </cfRule>
  </conditionalFormatting>
  <conditionalFormatting sqref="T937:T939 U938:V939">
    <cfRule type="cellIs" dxfId="17485" priority="17323" stopIfTrue="1" operator="equal">
      <formula>"Fail"</formula>
    </cfRule>
    <cfRule type="cellIs" dxfId="17484" priority="17324" stopIfTrue="1" operator="equal">
      <formula>"Pass"</formula>
    </cfRule>
  </conditionalFormatting>
  <conditionalFormatting sqref="U937:V937">
    <cfRule type="cellIs" dxfId="17483" priority="17321" stopIfTrue="1" operator="equal">
      <formula>"Fail"</formula>
    </cfRule>
    <cfRule type="cellIs" dxfId="17482" priority="17322" stopIfTrue="1" operator="equal">
      <formula>"Pass"</formula>
    </cfRule>
  </conditionalFormatting>
  <conditionalFormatting sqref="U937:V937">
    <cfRule type="cellIs" dxfId="17481" priority="17319" stopIfTrue="1" operator="equal">
      <formula>"Fail"</formula>
    </cfRule>
    <cfRule type="cellIs" dxfId="17480" priority="17320" stopIfTrue="1" operator="equal">
      <formula>"Pass"</formula>
    </cfRule>
  </conditionalFormatting>
  <conditionalFormatting sqref="F937:G937 K937:N937">
    <cfRule type="cellIs" dxfId="17479" priority="17317" stopIfTrue="1" operator="equal">
      <formula>"Pass"</formula>
    </cfRule>
    <cfRule type="cellIs" dxfId="17478" priority="17318" stopIfTrue="1" operator="equal">
      <formula>"Fail"</formula>
    </cfRule>
  </conditionalFormatting>
  <conditionalFormatting sqref="K938:N938">
    <cfRule type="cellIs" dxfId="17477" priority="17315" stopIfTrue="1" operator="equal">
      <formula>"Pass"</formula>
    </cfRule>
    <cfRule type="cellIs" dxfId="17476" priority="17316" stopIfTrue="1" operator="equal">
      <formula>"Fail"</formula>
    </cfRule>
  </conditionalFormatting>
  <conditionalFormatting sqref="U937:V937">
    <cfRule type="cellIs" dxfId="17475" priority="17313" stopIfTrue="1" operator="equal">
      <formula>"Fail"</formula>
    </cfRule>
    <cfRule type="cellIs" dxfId="17474" priority="17314" stopIfTrue="1" operator="equal">
      <formula>"Pass"</formula>
    </cfRule>
  </conditionalFormatting>
  <conditionalFormatting sqref="J937:J938">
    <cfRule type="cellIs" dxfId="17473" priority="17311" stopIfTrue="1" operator="equal">
      <formula>"Pass"</formula>
    </cfRule>
    <cfRule type="cellIs" dxfId="17472" priority="17312" stopIfTrue="1" operator="equal">
      <formula>"Fail"</formula>
    </cfRule>
  </conditionalFormatting>
  <conditionalFormatting sqref="H937:H938 I938">
    <cfRule type="cellIs" dxfId="17471" priority="17309" stopIfTrue="1" operator="equal">
      <formula>"Pass"</formula>
    </cfRule>
    <cfRule type="cellIs" dxfId="17470" priority="17310" stopIfTrue="1" operator="equal">
      <formula>"Fail"</formula>
    </cfRule>
  </conditionalFormatting>
  <conditionalFormatting sqref="F937:G937 K937:N938">
    <cfRule type="cellIs" dxfId="17469" priority="17307" stopIfTrue="1" operator="equal">
      <formula>"Pass"</formula>
    </cfRule>
    <cfRule type="cellIs" dxfId="17468" priority="17308" stopIfTrue="1" operator="equal">
      <formula>"Fail"</formula>
    </cfRule>
  </conditionalFormatting>
  <conditionalFormatting sqref="T937:T938 U938:V938">
    <cfRule type="cellIs" dxfId="17467" priority="17305" stopIfTrue="1" operator="equal">
      <formula>"Fail"</formula>
    </cfRule>
    <cfRule type="cellIs" dxfId="17466" priority="17306" stopIfTrue="1" operator="equal">
      <formula>"Pass"</formula>
    </cfRule>
  </conditionalFormatting>
  <conditionalFormatting sqref="U937:V937">
    <cfRule type="cellIs" dxfId="17465" priority="17303" stopIfTrue="1" operator="equal">
      <formula>"Fail"</formula>
    </cfRule>
    <cfRule type="cellIs" dxfId="17464" priority="17304" stopIfTrue="1" operator="equal">
      <formula>"Pass"</formula>
    </cfRule>
  </conditionalFormatting>
  <conditionalFormatting sqref="U937:V937">
    <cfRule type="cellIs" dxfId="17463" priority="17301" stopIfTrue="1" operator="equal">
      <formula>"Fail"</formula>
    </cfRule>
    <cfRule type="cellIs" dxfId="17462" priority="17302" stopIfTrue="1" operator="equal">
      <formula>"Pass"</formula>
    </cfRule>
  </conditionalFormatting>
  <conditionalFormatting sqref="J937:J938">
    <cfRule type="cellIs" dxfId="17461" priority="17299" stopIfTrue="1" operator="equal">
      <formula>"Pass"</formula>
    </cfRule>
    <cfRule type="cellIs" dxfId="17460" priority="17300" stopIfTrue="1" operator="equal">
      <formula>"Fail"</formula>
    </cfRule>
  </conditionalFormatting>
  <conditionalFormatting sqref="H937:H938 I938">
    <cfRule type="cellIs" dxfId="17459" priority="17297" stopIfTrue="1" operator="equal">
      <formula>"Pass"</formula>
    </cfRule>
    <cfRule type="cellIs" dxfId="17458" priority="17298" stopIfTrue="1" operator="equal">
      <formula>"Fail"</formula>
    </cfRule>
  </conditionalFormatting>
  <conditionalFormatting sqref="F937:G937 K937:N938">
    <cfRule type="cellIs" dxfId="17457" priority="17295" stopIfTrue="1" operator="equal">
      <formula>"Pass"</formula>
    </cfRule>
    <cfRule type="cellIs" dxfId="17456" priority="17296" stopIfTrue="1" operator="equal">
      <formula>"Fail"</formula>
    </cfRule>
  </conditionalFormatting>
  <conditionalFormatting sqref="T937:T938 U938:V938">
    <cfRule type="cellIs" dxfId="17455" priority="17293" stopIfTrue="1" operator="equal">
      <formula>"Fail"</formula>
    </cfRule>
    <cfRule type="cellIs" dxfId="17454" priority="17294" stopIfTrue="1" operator="equal">
      <formula>"Pass"</formula>
    </cfRule>
  </conditionalFormatting>
  <conditionalFormatting sqref="U937:V937">
    <cfRule type="cellIs" dxfId="17453" priority="17291" stopIfTrue="1" operator="equal">
      <formula>"Fail"</formula>
    </cfRule>
    <cfRule type="cellIs" dxfId="17452" priority="17292" stopIfTrue="1" operator="equal">
      <formula>"Pass"</formula>
    </cfRule>
  </conditionalFormatting>
  <conditionalFormatting sqref="U937:V937">
    <cfRule type="cellIs" dxfId="17451" priority="17289" stopIfTrue="1" operator="equal">
      <formula>"Fail"</formula>
    </cfRule>
    <cfRule type="cellIs" dxfId="17450" priority="17290" stopIfTrue="1" operator="equal">
      <formula>"Pass"</formula>
    </cfRule>
  </conditionalFormatting>
  <conditionalFormatting sqref="F937:G937 K937:N937">
    <cfRule type="cellIs" dxfId="17449" priority="17287" stopIfTrue="1" operator="equal">
      <formula>"Pass"</formula>
    </cfRule>
    <cfRule type="cellIs" dxfId="17448" priority="17288" stopIfTrue="1" operator="equal">
      <formula>"Fail"</formula>
    </cfRule>
  </conditionalFormatting>
  <conditionalFormatting sqref="K938:N938">
    <cfRule type="cellIs" dxfId="17447" priority="17285" stopIfTrue="1" operator="equal">
      <formula>"Pass"</formula>
    </cfRule>
    <cfRule type="cellIs" dxfId="17446" priority="17286" stopIfTrue="1" operator="equal">
      <formula>"Fail"</formula>
    </cfRule>
  </conditionalFormatting>
  <conditionalFormatting sqref="U937:V937">
    <cfRule type="cellIs" dxfId="17445" priority="17283" stopIfTrue="1" operator="equal">
      <formula>"Fail"</formula>
    </cfRule>
    <cfRule type="cellIs" dxfId="17444" priority="17284" stopIfTrue="1" operator="equal">
      <formula>"Pass"</formula>
    </cfRule>
  </conditionalFormatting>
  <conditionalFormatting sqref="U937:V937">
    <cfRule type="cellIs" dxfId="17443" priority="17281" stopIfTrue="1" operator="equal">
      <formula>"Fail"</formula>
    </cfRule>
    <cfRule type="cellIs" dxfId="17442" priority="17282" stopIfTrue="1" operator="equal">
      <formula>"Pass"</formula>
    </cfRule>
  </conditionalFormatting>
  <conditionalFormatting sqref="U937:V937">
    <cfRule type="cellIs" dxfId="17441" priority="17279" stopIfTrue="1" operator="equal">
      <formula>"Fail"</formula>
    </cfRule>
    <cfRule type="cellIs" dxfId="17440" priority="17280" stopIfTrue="1" operator="equal">
      <formula>"Pass"</formula>
    </cfRule>
  </conditionalFormatting>
  <conditionalFormatting sqref="U937:V937">
    <cfRule type="cellIs" dxfId="17439" priority="17277" stopIfTrue="1" operator="equal">
      <formula>"Fail"</formula>
    </cfRule>
    <cfRule type="cellIs" dxfId="17438" priority="17278" stopIfTrue="1" operator="equal">
      <formula>"Pass"</formula>
    </cfRule>
  </conditionalFormatting>
  <conditionalFormatting sqref="A940">
    <cfRule type="cellIs" dxfId="17437" priority="17275" stopIfTrue="1" operator="equal">
      <formula>"Pass"</formula>
    </cfRule>
    <cfRule type="cellIs" dxfId="17436" priority="17276" stopIfTrue="1" operator="equal">
      <formula>"Fail"</formula>
    </cfRule>
  </conditionalFormatting>
  <conditionalFormatting sqref="A940">
    <cfRule type="cellIs" dxfId="17435" priority="17273" stopIfTrue="1" operator="equal">
      <formula>"Pass"</formula>
    </cfRule>
    <cfRule type="cellIs" dxfId="17434" priority="17274" stopIfTrue="1" operator="equal">
      <formula>"Fail"</formula>
    </cfRule>
  </conditionalFormatting>
  <conditionalFormatting sqref="A940">
    <cfRule type="cellIs" dxfId="17433" priority="17271" stopIfTrue="1" operator="equal">
      <formula>"Pass"</formula>
    </cfRule>
    <cfRule type="cellIs" dxfId="17432" priority="17272" stopIfTrue="1" operator="equal">
      <formula>"Fail"</formula>
    </cfRule>
  </conditionalFormatting>
  <conditionalFormatting sqref="A940">
    <cfRule type="cellIs" dxfId="17431" priority="17269" stopIfTrue="1" operator="equal">
      <formula>"Pass"</formula>
    </cfRule>
    <cfRule type="cellIs" dxfId="17430" priority="17270" stopIfTrue="1" operator="equal">
      <formula>"Fail"</formula>
    </cfRule>
  </conditionalFormatting>
  <conditionalFormatting sqref="A940">
    <cfRule type="cellIs" dxfId="17429" priority="17267" stopIfTrue="1" operator="equal">
      <formula>"Pass"</formula>
    </cfRule>
    <cfRule type="cellIs" dxfId="17428" priority="17268" stopIfTrue="1" operator="equal">
      <formula>"Fail"</formula>
    </cfRule>
  </conditionalFormatting>
  <conditionalFormatting sqref="A940">
    <cfRule type="cellIs" dxfId="17427" priority="17265" stopIfTrue="1" operator="equal">
      <formula>"Pass"</formula>
    </cfRule>
    <cfRule type="cellIs" dxfId="17426" priority="17266" stopIfTrue="1" operator="equal">
      <formula>"Fail"</formula>
    </cfRule>
  </conditionalFormatting>
  <conditionalFormatting sqref="H940:H941">
    <cfRule type="cellIs" dxfId="17425" priority="17263" stopIfTrue="1" operator="equal">
      <formula>"Pass"</formula>
    </cfRule>
    <cfRule type="cellIs" dxfId="17424" priority="17264" stopIfTrue="1" operator="equal">
      <formula>"Fail"</formula>
    </cfRule>
  </conditionalFormatting>
  <conditionalFormatting sqref="E940:F940 E942:F942 A940 I940:M941">
    <cfRule type="cellIs" dxfId="17423" priority="17261" stopIfTrue="1" operator="equal">
      <formula>"Pass"</formula>
    </cfRule>
    <cfRule type="cellIs" dxfId="17422" priority="17262" stopIfTrue="1" operator="equal">
      <formula>"Fail"</formula>
    </cfRule>
  </conditionalFormatting>
  <conditionalFormatting sqref="T942 T940 R940:R942 S941:S942">
    <cfRule type="cellIs" dxfId="17421" priority="17259" stopIfTrue="1" operator="equal">
      <formula>"Fail"</formula>
    </cfRule>
    <cfRule type="cellIs" dxfId="17420" priority="17260" stopIfTrue="1" operator="equal">
      <formula>"Pass"</formula>
    </cfRule>
  </conditionalFormatting>
  <conditionalFormatting sqref="F940:G940 F942:G942 B940:B942 A940 J940:N941">
    <cfRule type="cellIs" dxfId="17419" priority="17257" stopIfTrue="1" operator="equal">
      <formula>"Pass"</formula>
    </cfRule>
    <cfRule type="cellIs" dxfId="17418" priority="17258" stopIfTrue="1" operator="equal">
      <formula>"Fail"</formula>
    </cfRule>
  </conditionalFormatting>
  <conditionalFormatting sqref="U942:V942 T940:T942 S941:S942">
    <cfRule type="cellIs" dxfId="17417" priority="17255" stopIfTrue="1" operator="equal">
      <formula>"Fail"</formula>
    </cfRule>
    <cfRule type="cellIs" dxfId="17416" priority="17256" stopIfTrue="1" operator="equal">
      <formula>"Pass"</formula>
    </cfRule>
  </conditionalFormatting>
  <conditionalFormatting sqref="A940">
    <cfRule type="cellIs" dxfId="17415" priority="17253" stopIfTrue="1" operator="equal">
      <formula>"Pass"</formula>
    </cfRule>
    <cfRule type="cellIs" dxfId="17414" priority="17254" stopIfTrue="1" operator="equal">
      <formula>"Fail"</formula>
    </cfRule>
  </conditionalFormatting>
  <conditionalFormatting sqref="A940">
    <cfRule type="cellIs" dxfId="17413" priority="17251" stopIfTrue="1" operator="equal">
      <formula>"Pass"</formula>
    </cfRule>
    <cfRule type="cellIs" dxfId="17412" priority="17252" stopIfTrue="1" operator="equal">
      <formula>"Fail"</formula>
    </cfRule>
  </conditionalFormatting>
  <conditionalFormatting sqref="A940">
    <cfRule type="cellIs" dxfId="17411" priority="17249" stopIfTrue="1" operator="equal">
      <formula>"Pass"</formula>
    </cfRule>
    <cfRule type="cellIs" dxfId="17410" priority="17250" stopIfTrue="1" operator="equal">
      <formula>"Fail"</formula>
    </cfRule>
  </conditionalFormatting>
  <conditionalFormatting sqref="A940">
    <cfRule type="cellIs" dxfId="17409" priority="17247" stopIfTrue="1" operator="equal">
      <formula>"Pass"</formula>
    </cfRule>
    <cfRule type="cellIs" dxfId="17408" priority="17248" stopIfTrue="1" operator="equal">
      <formula>"Fail"</formula>
    </cfRule>
  </conditionalFormatting>
  <conditionalFormatting sqref="A940">
    <cfRule type="cellIs" dxfId="17407" priority="17245" stopIfTrue="1" operator="equal">
      <formula>"Pass"</formula>
    </cfRule>
    <cfRule type="cellIs" dxfId="17406" priority="17246" stopIfTrue="1" operator="equal">
      <formula>"Fail"</formula>
    </cfRule>
  </conditionalFormatting>
  <conditionalFormatting sqref="A940">
    <cfRule type="cellIs" dxfId="17405" priority="17243" stopIfTrue="1" operator="equal">
      <formula>"Pass"</formula>
    </cfRule>
    <cfRule type="cellIs" dxfId="17404" priority="17244" stopIfTrue="1" operator="equal">
      <formula>"Fail"</formula>
    </cfRule>
  </conditionalFormatting>
  <conditionalFormatting sqref="A940">
    <cfRule type="cellIs" dxfId="17403" priority="17241" stopIfTrue="1" operator="equal">
      <formula>"Pass"</formula>
    </cfRule>
    <cfRule type="cellIs" dxfId="17402" priority="17242" stopIfTrue="1" operator="equal">
      <formula>"Fail"</formula>
    </cfRule>
  </conditionalFormatting>
  <conditionalFormatting sqref="A940">
    <cfRule type="cellIs" dxfId="17401" priority="17239" stopIfTrue="1" operator="equal">
      <formula>"Pass"</formula>
    </cfRule>
    <cfRule type="cellIs" dxfId="17400" priority="17240" stopIfTrue="1" operator="equal">
      <formula>"Fail"</formula>
    </cfRule>
  </conditionalFormatting>
  <conditionalFormatting sqref="A940">
    <cfRule type="cellIs" dxfId="17399" priority="17237" stopIfTrue="1" operator="equal">
      <formula>"Pass"</formula>
    </cfRule>
    <cfRule type="cellIs" dxfId="17398" priority="17238" stopIfTrue="1" operator="equal">
      <formula>"Fail"</formula>
    </cfRule>
  </conditionalFormatting>
  <conditionalFormatting sqref="A940">
    <cfRule type="cellIs" dxfId="17397" priority="17235" stopIfTrue="1" operator="equal">
      <formula>"Pass"</formula>
    </cfRule>
    <cfRule type="cellIs" dxfId="17396" priority="17236" stopIfTrue="1" operator="equal">
      <formula>"Fail"</formula>
    </cfRule>
  </conditionalFormatting>
  <conditionalFormatting sqref="U940:V940">
    <cfRule type="cellIs" dxfId="17395" priority="17233" stopIfTrue="1" operator="equal">
      <formula>"Fail"</formula>
    </cfRule>
    <cfRule type="cellIs" dxfId="17394" priority="17234" stopIfTrue="1" operator="equal">
      <formula>"Pass"</formula>
    </cfRule>
  </conditionalFormatting>
  <conditionalFormatting sqref="F940:G940 J940:N940">
    <cfRule type="cellIs" dxfId="17393" priority="17231" stopIfTrue="1" operator="equal">
      <formula>"Pass"</formula>
    </cfRule>
    <cfRule type="cellIs" dxfId="17392" priority="17232" stopIfTrue="1" operator="equal">
      <formula>"Fail"</formula>
    </cfRule>
  </conditionalFormatting>
  <conditionalFormatting sqref="J941:N941">
    <cfRule type="cellIs" dxfId="17391" priority="17229" stopIfTrue="1" operator="equal">
      <formula>"Pass"</formula>
    </cfRule>
    <cfRule type="cellIs" dxfId="17390" priority="17230" stopIfTrue="1" operator="equal">
      <formula>"Fail"</formula>
    </cfRule>
  </conditionalFormatting>
  <conditionalFormatting sqref="A940">
    <cfRule type="cellIs" dxfId="17389" priority="17227" stopIfTrue="1" operator="equal">
      <formula>"Pass"</formula>
    </cfRule>
    <cfRule type="cellIs" dxfId="17388" priority="17228" stopIfTrue="1" operator="equal">
      <formula>"Fail"</formula>
    </cfRule>
  </conditionalFormatting>
  <conditionalFormatting sqref="A940">
    <cfRule type="cellIs" dxfId="17387" priority="17225" stopIfTrue="1" operator="equal">
      <formula>"Pass"</formula>
    </cfRule>
    <cfRule type="cellIs" dxfId="17386" priority="17226" stopIfTrue="1" operator="equal">
      <formula>"Fail"</formula>
    </cfRule>
  </conditionalFormatting>
  <conditionalFormatting sqref="A940">
    <cfRule type="cellIs" dxfId="17385" priority="17223" stopIfTrue="1" operator="equal">
      <formula>"Pass"</formula>
    </cfRule>
    <cfRule type="cellIs" dxfId="17384" priority="17224" stopIfTrue="1" operator="equal">
      <formula>"Fail"</formula>
    </cfRule>
  </conditionalFormatting>
  <conditionalFormatting sqref="A940">
    <cfRule type="cellIs" dxfId="17383" priority="17221" stopIfTrue="1" operator="equal">
      <formula>"Pass"</formula>
    </cfRule>
    <cfRule type="cellIs" dxfId="17382" priority="17222" stopIfTrue="1" operator="equal">
      <formula>"Fail"</formula>
    </cfRule>
  </conditionalFormatting>
  <conditionalFormatting sqref="A940">
    <cfRule type="cellIs" dxfId="17381" priority="17219" stopIfTrue="1" operator="equal">
      <formula>"Pass"</formula>
    </cfRule>
    <cfRule type="cellIs" dxfId="17380" priority="17220" stopIfTrue="1" operator="equal">
      <formula>"Fail"</formula>
    </cfRule>
  </conditionalFormatting>
  <conditionalFormatting sqref="A940">
    <cfRule type="cellIs" dxfId="17379" priority="17217" stopIfTrue="1" operator="equal">
      <formula>"Pass"</formula>
    </cfRule>
    <cfRule type="cellIs" dxfId="17378" priority="17218" stopIfTrue="1" operator="equal">
      <formula>"Fail"</formula>
    </cfRule>
  </conditionalFormatting>
  <conditionalFormatting sqref="A940">
    <cfRule type="cellIs" dxfId="17377" priority="17215" stopIfTrue="1" operator="equal">
      <formula>"Pass"</formula>
    </cfRule>
    <cfRule type="cellIs" dxfId="17376" priority="17216" stopIfTrue="1" operator="equal">
      <formula>"Fail"</formula>
    </cfRule>
  </conditionalFormatting>
  <conditionalFormatting sqref="A940">
    <cfRule type="cellIs" dxfId="17375" priority="17213" stopIfTrue="1" operator="equal">
      <formula>"Pass"</formula>
    </cfRule>
    <cfRule type="cellIs" dxfId="17374" priority="17214" stopIfTrue="1" operator="equal">
      <formula>"Fail"</formula>
    </cfRule>
  </conditionalFormatting>
  <conditionalFormatting sqref="A940">
    <cfRule type="cellIs" dxfId="17373" priority="17211" stopIfTrue="1" operator="equal">
      <formula>"Pass"</formula>
    </cfRule>
    <cfRule type="cellIs" dxfId="17372" priority="17212" stopIfTrue="1" operator="equal">
      <formula>"Fail"</formula>
    </cfRule>
  </conditionalFormatting>
  <conditionalFormatting sqref="A940">
    <cfRule type="cellIs" dxfId="17371" priority="17209" stopIfTrue="1" operator="equal">
      <formula>"Pass"</formula>
    </cfRule>
    <cfRule type="cellIs" dxfId="17370" priority="17210" stopIfTrue="1" operator="equal">
      <formula>"Fail"</formula>
    </cfRule>
  </conditionalFormatting>
  <conditionalFormatting sqref="A940">
    <cfRule type="cellIs" dxfId="17369" priority="17207" stopIfTrue="1" operator="equal">
      <formula>"Pass"</formula>
    </cfRule>
    <cfRule type="cellIs" dxfId="17368" priority="17208" stopIfTrue="1" operator="equal">
      <formula>"Fail"</formula>
    </cfRule>
  </conditionalFormatting>
  <conditionalFormatting sqref="A940">
    <cfRule type="cellIs" dxfId="17367" priority="17205" stopIfTrue="1" operator="equal">
      <formula>"Pass"</formula>
    </cfRule>
    <cfRule type="cellIs" dxfId="17366" priority="17206" stopIfTrue="1" operator="equal">
      <formula>"Fail"</formula>
    </cfRule>
  </conditionalFormatting>
  <conditionalFormatting sqref="H940:H941">
    <cfRule type="cellIs" dxfId="17365" priority="17203" stopIfTrue="1" operator="equal">
      <formula>"Pass"</formula>
    </cfRule>
    <cfRule type="cellIs" dxfId="17364" priority="17204" stopIfTrue="1" operator="equal">
      <formula>"Fail"</formula>
    </cfRule>
  </conditionalFormatting>
  <conditionalFormatting sqref="F940 F942 I940:M941">
    <cfRule type="cellIs" dxfId="17363" priority="17201" stopIfTrue="1" operator="equal">
      <formula>"Pass"</formula>
    </cfRule>
    <cfRule type="cellIs" dxfId="17362" priority="17202" stopIfTrue="1" operator="equal">
      <formula>"Fail"</formula>
    </cfRule>
  </conditionalFormatting>
  <conditionalFormatting sqref="T942 T940 R940:R942 S941:S942">
    <cfRule type="cellIs" dxfId="17361" priority="17199" stopIfTrue="1" operator="equal">
      <formula>"Fail"</formula>
    </cfRule>
    <cfRule type="cellIs" dxfId="17360" priority="17200" stopIfTrue="1" operator="equal">
      <formula>"Pass"</formula>
    </cfRule>
  </conditionalFormatting>
  <conditionalFormatting sqref="F940:G940 F942:G942 J940:N941">
    <cfRule type="cellIs" dxfId="17359" priority="17197" stopIfTrue="1" operator="equal">
      <formula>"Pass"</formula>
    </cfRule>
    <cfRule type="cellIs" dxfId="17358" priority="17198" stopIfTrue="1" operator="equal">
      <formula>"Fail"</formula>
    </cfRule>
  </conditionalFormatting>
  <conditionalFormatting sqref="U942:V942 T940:T942 S941:S942">
    <cfRule type="cellIs" dxfId="17357" priority="17195" stopIfTrue="1" operator="equal">
      <formula>"Fail"</formula>
    </cfRule>
    <cfRule type="cellIs" dxfId="17356" priority="17196" stopIfTrue="1" operator="equal">
      <formula>"Pass"</formula>
    </cfRule>
  </conditionalFormatting>
  <conditionalFormatting sqref="U940:V940">
    <cfRule type="cellIs" dxfId="17355" priority="17193" stopIfTrue="1" operator="equal">
      <formula>"Fail"</formula>
    </cfRule>
    <cfRule type="cellIs" dxfId="17354" priority="17194" stopIfTrue="1" operator="equal">
      <formula>"Pass"</formula>
    </cfRule>
  </conditionalFormatting>
  <conditionalFormatting sqref="F940:G940 J940:N940">
    <cfRule type="cellIs" dxfId="17353" priority="17191" stopIfTrue="1" operator="equal">
      <formula>"Pass"</formula>
    </cfRule>
    <cfRule type="cellIs" dxfId="17352" priority="17192" stopIfTrue="1" operator="equal">
      <formula>"Fail"</formula>
    </cfRule>
  </conditionalFormatting>
  <conditionalFormatting sqref="J941:N941">
    <cfRule type="cellIs" dxfId="17351" priority="17189" stopIfTrue="1" operator="equal">
      <formula>"Pass"</formula>
    </cfRule>
    <cfRule type="cellIs" dxfId="17350" priority="17190" stopIfTrue="1" operator="equal">
      <formula>"Fail"</formula>
    </cfRule>
  </conditionalFormatting>
  <conditionalFormatting sqref="H940:H941">
    <cfRule type="cellIs" dxfId="17349" priority="17187" stopIfTrue="1" operator="equal">
      <formula>"Pass"</formula>
    </cfRule>
    <cfRule type="cellIs" dxfId="17348" priority="17188" stopIfTrue="1" operator="equal">
      <formula>"Fail"</formula>
    </cfRule>
  </conditionalFormatting>
  <conditionalFormatting sqref="F940 F942 I940:M941">
    <cfRule type="cellIs" dxfId="17347" priority="17185" stopIfTrue="1" operator="equal">
      <formula>"Pass"</formula>
    </cfRule>
    <cfRule type="cellIs" dxfId="17346" priority="17186" stopIfTrue="1" operator="equal">
      <formula>"Fail"</formula>
    </cfRule>
  </conditionalFormatting>
  <conditionalFormatting sqref="T942 T940 R940:R942 S941:S942">
    <cfRule type="cellIs" dxfId="17345" priority="17183" stopIfTrue="1" operator="equal">
      <formula>"Fail"</formula>
    </cfRule>
    <cfRule type="cellIs" dxfId="17344" priority="17184" stopIfTrue="1" operator="equal">
      <formula>"Pass"</formula>
    </cfRule>
  </conditionalFormatting>
  <conditionalFormatting sqref="F940:G940 F942:G942 J940:N941">
    <cfRule type="cellIs" dxfId="17343" priority="17181" stopIfTrue="1" operator="equal">
      <formula>"Pass"</formula>
    </cfRule>
    <cfRule type="cellIs" dxfId="17342" priority="17182" stopIfTrue="1" operator="equal">
      <formula>"Fail"</formula>
    </cfRule>
  </conditionalFormatting>
  <conditionalFormatting sqref="U942:V942 T940:T942 S941:S942">
    <cfRule type="cellIs" dxfId="17341" priority="17179" stopIfTrue="1" operator="equal">
      <formula>"Fail"</formula>
    </cfRule>
    <cfRule type="cellIs" dxfId="17340" priority="17180" stopIfTrue="1" operator="equal">
      <formula>"Pass"</formula>
    </cfRule>
  </conditionalFormatting>
  <conditionalFormatting sqref="U940:V940">
    <cfRule type="cellIs" dxfId="17339" priority="17177" stopIfTrue="1" operator="equal">
      <formula>"Fail"</formula>
    </cfRule>
    <cfRule type="cellIs" dxfId="17338" priority="17178" stopIfTrue="1" operator="equal">
      <formula>"Pass"</formula>
    </cfRule>
  </conditionalFormatting>
  <conditionalFormatting sqref="F940:G940 J940:N940">
    <cfRule type="cellIs" dxfId="17337" priority="17175" stopIfTrue="1" operator="equal">
      <formula>"Pass"</formula>
    </cfRule>
    <cfRule type="cellIs" dxfId="17336" priority="17176" stopIfTrue="1" operator="equal">
      <formula>"Fail"</formula>
    </cfRule>
  </conditionalFormatting>
  <conditionalFormatting sqref="J941:N941">
    <cfRule type="cellIs" dxfId="17335" priority="17173" stopIfTrue="1" operator="equal">
      <formula>"Pass"</formula>
    </cfRule>
    <cfRule type="cellIs" dxfId="17334" priority="17174" stopIfTrue="1" operator="equal">
      <formula>"Fail"</formula>
    </cfRule>
  </conditionalFormatting>
  <conditionalFormatting sqref="U940:V940">
    <cfRule type="cellIs" dxfId="17333" priority="17171" stopIfTrue="1" operator="equal">
      <formula>"Fail"</formula>
    </cfRule>
    <cfRule type="cellIs" dxfId="17332" priority="17172" stopIfTrue="1" operator="equal">
      <formula>"Pass"</formula>
    </cfRule>
  </conditionalFormatting>
  <conditionalFormatting sqref="U940:V940">
    <cfRule type="cellIs" dxfId="17331" priority="17169" stopIfTrue="1" operator="equal">
      <formula>"Fail"</formula>
    </cfRule>
    <cfRule type="cellIs" dxfId="17330" priority="17170" stopIfTrue="1" operator="equal">
      <formula>"Pass"</formula>
    </cfRule>
  </conditionalFormatting>
  <conditionalFormatting sqref="U940:V940">
    <cfRule type="cellIs" dxfId="17329" priority="17167" stopIfTrue="1" operator="equal">
      <formula>"Fail"</formula>
    </cfRule>
    <cfRule type="cellIs" dxfId="17328" priority="17168" stopIfTrue="1" operator="equal">
      <formula>"Pass"</formula>
    </cfRule>
  </conditionalFormatting>
  <conditionalFormatting sqref="N940">
    <cfRule type="cellIs" dxfId="17327" priority="17165" stopIfTrue="1" operator="equal">
      <formula>"Pass"</formula>
    </cfRule>
    <cfRule type="cellIs" dxfId="17326" priority="17166" stopIfTrue="1" operator="equal">
      <formula>"Fail"</formula>
    </cfRule>
  </conditionalFormatting>
  <conditionalFormatting sqref="N940">
    <cfRule type="cellIs" dxfId="17325" priority="17163" stopIfTrue="1" operator="equal">
      <formula>"Pass"</formula>
    </cfRule>
    <cfRule type="cellIs" dxfId="17324" priority="17164" stopIfTrue="1" operator="equal">
      <formula>"Fail"</formula>
    </cfRule>
  </conditionalFormatting>
  <conditionalFormatting sqref="N940">
    <cfRule type="cellIs" dxfId="17323" priority="17161" stopIfTrue="1" operator="equal">
      <formula>"Pass"</formula>
    </cfRule>
    <cfRule type="cellIs" dxfId="17322" priority="17162" stopIfTrue="1" operator="equal">
      <formula>"Fail"</formula>
    </cfRule>
  </conditionalFormatting>
  <conditionalFormatting sqref="A937">
    <cfRule type="cellIs" dxfId="17321" priority="17159" stopIfTrue="1" operator="equal">
      <formula>"Pass"</formula>
    </cfRule>
    <cfRule type="cellIs" dxfId="17320" priority="17160" stopIfTrue="1" operator="equal">
      <formula>"Fail"</formula>
    </cfRule>
  </conditionalFormatting>
  <conditionalFormatting sqref="A937">
    <cfRule type="cellIs" dxfId="17319" priority="17157" stopIfTrue="1" operator="equal">
      <formula>"Pass"</formula>
    </cfRule>
    <cfRule type="cellIs" dxfId="17318" priority="17158" stopIfTrue="1" operator="equal">
      <formula>"Fail"</formula>
    </cfRule>
  </conditionalFormatting>
  <conditionalFormatting sqref="A937">
    <cfRule type="cellIs" dxfId="17317" priority="17155" stopIfTrue="1" operator="equal">
      <formula>"Pass"</formula>
    </cfRule>
    <cfRule type="cellIs" dxfId="17316" priority="17156" stopIfTrue="1" operator="equal">
      <formula>"Fail"</formula>
    </cfRule>
  </conditionalFormatting>
  <conditionalFormatting sqref="A937">
    <cfRule type="cellIs" dxfId="17315" priority="17153" stopIfTrue="1" operator="equal">
      <formula>"Pass"</formula>
    </cfRule>
    <cfRule type="cellIs" dxfId="17314" priority="17154" stopIfTrue="1" operator="equal">
      <formula>"Fail"</formula>
    </cfRule>
  </conditionalFormatting>
  <conditionalFormatting sqref="A937">
    <cfRule type="cellIs" dxfId="17313" priority="17151" stopIfTrue="1" operator="equal">
      <formula>"Pass"</formula>
    </cfRule>
    <cfRule type="cellIs" dxfId="17312" priority="17152" stopIfTrue="1" operator="equal">
      <formula>"Fail"</formula>
    </cfRule>
  </conditionalFormatting>
  <conditionalFormatting sqref="A937">
    <cfRule type="cellIs" dxfId="17311" priority="17149" stopIfTrue="1" operator="equal">
      <formula>"Pass"</formula>
    </cfRule>
    <cfRule type="cellIs" dxfId="17310" priority="17150" stopIfTrue="1" operator="equal">
      <formula>"Fail"</formula>
    </cfRule>
  </conditionalFormatting>
  <conditionalFormatting sqref="A937">
    <cfRule type="cellIs" dxfId="17309" priority="17147" stopIfTrue="1" operator="equal">
      <formula>"Pass"</formula>
    </cfRule>
    <cfRule type="cellIs" dxfId="17308" priority="17148" stopIfTrue="1" operator="equal">
      <formula>"Fail"</formula>
    </cfRule>
  </conditionalFormatting>
  <conditionalFormatting sqref="A937">
    <cfRule type="cellIs" dxfId="17307" priority="17145" stopIfTrue="1" operator="equal">
      <formula>"Pass"</formula>
    </cfRule>
    <cfRule type="cellIs" dxfId="17306" priority="17146" stopIfTrue="1" operator="equal">
      <formula>"Fail"</formula>
    </cfRule>
  </conditionalFormatting>
  <conditionalFormatting sqref="A937">
    <cfRule type="cellIs" dxfId="17305" priority="17143" stopIfTrue="1" operator="equal">
      <formula>"Pass"</formula>
    </cfRule>
    <cfRule type="cellIs" dxfId="17304" priority="17144" stopIfTrue="1" operator="equal">
      <formula>"Fail"</formula>
    </cfRule>
  </conditionalFormatting>
  <conditionalFormatting sqref="A937">
    <cfRule type="cellIs" dxfId="17303" priority="17141" stopIfTrue="1" operator="equal">
      <formula>"Pass"</formula>
    </cfRule>
    <cfRule type="cellIs" dxfId="17302" priority="17142" stopIfTrue="1" operator="equal">
      <formula>"Fail"</formula>
    </cfRule>
  </conditionalFormatting>
  <conditionalFormatting sqref="A937">
    <cfRule type="cellIs" dxfId="17301" priority="17139" stopIfTrue="1" operator="equal">
      <formula>"Pass"</formula>
    </cfRule>
    <cfRule type="cellIs" dxfId="17300" priority="17140" stopIfTrue="1" operator="equal">
      <formula>"Fail"</formula>
    </cfRule>
  </conditionalFormatting>
  <conditionalFormatting sqref="A937">
    <cfRule type="cellIs" dxfId="17299" priority="17137" stopIfTrue="1" operator="equal">
      <formula>"Pass"</formula>
    </cfRule>
    <cfRule type="cellIs" dxfId="17298" priority="17138" stopIfTrue="1" operator="equal">
      <formula>"Fail"</formula>
    </cfRule>
  </conditionalFormatting>
  <conditionalFormatting sqref="A937">
    <cfRule type="cellIs" dxfId="17297" priority="17135" stopIfTrue="1" operator="equal">
      <formula>"Pass"</formula>
    </cfRule>
    <cfRule type="cellIs" dxfId="17296" priority="17136" stopIfTrue="1" operator="equal">
      <formula>"Fail"</formula>
    </cfRule>
  </conditionalFormatting>
  <conditionalFormatting sqref="A937">
    <cfRule type="cellIs" dxfId="17295" priority="17133" stopIfTrue="1" operator="equal">
      <formula>"Pass"</formula>
    </cfRule>
    <cfRule type="cellIs" dxfId="17294" priority="17134" stopIfTrue="1" operator="equal">
      <formula>"Fail"</formula>
    </cfRule>
  </conditionalFormatting>
  <conditionalFormatting sqref="A937">
    <cfRule type="cellIs" dxfId="17293" priority="17131" stopIfTrue="1" operator="equal">
      <formula>"Pass"</formula>
    </cfRule>
    <cfRule type="cellIs" dxfId="17292" priority="17132" stopIfTrue="1" operator="equal">
      <formula>"Fail"</formula>
    </cfRule>
  </conditionalFormatting>
  <conditionalFormatting sqref="A937">
    <cfRule type="cellIs" dxfId="17291" priority="17129" stopIfTrue="1" operator="equal">
      <formula>"Pass"</formula>
    </cfRule>
    <cfRule type="cellIs" dxfId="17290" priority="17130" stopIfTrue="1" operator="equal">
      <formula>"Fail"</formula>
    </cfRule>
  </conditionalFormatting>
  <conditionalFormatting sqref="A937">
    <cfRule type="cellIs" dxfId="17289" priority="17127" stopIfTrue="1" operator="equal">
      <formula>"Pass"</formula>
    </cfRule>
    <cfRule type="cellIs" dxfId="17288" priority="17128" stopIfTrue="1" operator="equal">
      <formula>"Fail"</formula>
    </cfRule>
  </conditionalFormatting>
  <conditionalFormatting sqref="A937">
    <cfRule type="cellIs" dxfId="17287" priority="17125" stopIfTrue="1" operator="equal">
      <formula>"Pass"</formula>
    </cfRule>
    <cfRule type="cellIs" dxfId="17286" priority="17126" stopIfTrue="1" operator="equal">
      <formula>"Fail"</formula>
    </cfRule>
  </conditionalFormatting>
  <conditionalFormatting sqref="A940">
    <cfRule type="cellIs" dxfId="17285" priority="17123" stopIfTrue="1" operator="equal">
      <formula>"Pass"</formula>
    </cfRule>
    <cfRule type="cellIs" dxfId="17284" priority="17124" stopIfTrue="1" operator="equal">
      <formula>"Fail"</formula>
    </cfRule>
  </conditionalFormatting>
  <conditionalFormatting sqref="A940">
    <cfRule type="cellIs" dxfId="17283" priority="17121" stopIfTrue="1" operator="equal">
      <formula>"Pass"</formula>
    </cfRule>
    <cfRule type="cellIs" dxfId="17282" priority="17122" stopIfTrue="1" operator="equal">
      <formula>"Fail"</formula>
    </cfRule>
  </conditionalFormatting>
  <conditionalFormatting sqref="A940">
    <cfRule type="cellIs" dxfId="17281" priority="17119" stopIfTrue="1" operator="equal">
      <formula>"Pass"</formula>
    </cfRule>
    <cfRule type="cellIs" dxfId="17280" priority="17120" stopIfTrue="1" operator="equal">
      <formula>"Fail"</formula>
    </cfRule>
  </conditionalFormatting>
  <conditionalFormatting sqref="A940">
    <cfRule type="cellIs" dxfId="17279" priority="17117" stopIfTrue="1" operator="equal">
      <formula>"Pass"</formula>
    </cfRule>
    <cfRule type="cellIs" dxfId="17278" priority="17118" stopIfTrue="1" operator="equal">
      <formula>"Fail"</formula>
    </cfRule>
  </conditionalFormatting>
  <conditionalFormatting sqref="A940">
    <cfRule type="cellIs" dxfId="17277" priority="17115" stopIfTrue="1" operator="equal">
      <formula>"Pass"</formula>
    </cfRule>
    <cfRule type="cellIs" dxfId="17276" priority="17116" stopIfTrue="1" operator="equal">
      <formula>"Fail"</formula>
    </cfRule>
  </conditionalFormatting>
  <conditionalFormatting sqref="A940">
    <cfRule type="cellIs" dxfId="17275" priority="17113" stopIfTrue="1" operator="equal">
      <formula>"Pass"</formula>
    </cfRule>
    <cfRule type="cellIs" dxfId="17274" priority="17114" stopIfTrue="1" operator="equal">
      <formula>"Fail"</formula>
    </cfRule>
  </conditionalFormatting>
  <conditionalFormatting sqref="A940">
    <cfRule type="cellIs" dxfId="17273" priority="17111" stopIfTrue="1" operator="equal">
      <formula>"Pass"</formula>
    </cfRule>
    <cfRule type="cellIs" dxfId="17272" priority="17112" stopIfTrue="1" operator="equal">
      <formula>"Fail"</formula>
    </cfRule>
  </conditionalFormatting>
  <conditionalFormatting sqref="A940">
    <cfRule type="cellIs" dxfId="17271" priority="17109" stopIfTrue="1" operator="equal">
      <formula>"Pass"</formula>
    </cfRule>
    <cfRule type="cellIs" dxfId="17270" priority="17110" stopIfTrue="1" operator="equal">
      <formula>"Fail"</formula>
    </cfRule>
  </conditionalFormatting>
  <conditionalFormatting sqref="A940">
    <cfRule type="cellIs" dxfId="17269" priority="17107" stopIfTrue="1" operator="equal">
      <formula>"Pass"</formula>
    </cfRule>
    <cfRule type="cellIs" dxfId="17268" priority="17108" stopIfTrue="1" operator="equal">
      <formula>"Fail"</formula>
    </cfRule>
  </conditionalFormatting>
  <conditionalFormatting sqref="A940">
    <cfRule type="cellIs" dxfId="17267" priority="17105" stopIfTrue="1" operator="equal">
      <formula>"Pass"</formula>
    </cfRule>
    <cfRule type="cellIs" dxfId="17266" priority="17106" stopIfTrue="1" operator="equal">
      <formula>"Fail"</formula>
    </cfRule>
  </conditionalFormatting>
  <conditionalFormatting sqref="A940">
    <cfRule type="cellIs" dxfId="17265" priority="17103" stopIfTrue="1" operator="equal">
      <formula>"Pass"</formula>
    </cfRule>
    <cfRule type="cellIs" dxfId="17264" priority="17104" stopIfTrue="1" operator="equal">
      <formula>"Fail"</formula>
    </cfRule>
  </conditionalFormatting>
  <conditionalFormatting sqref="A940">
    <cfRule type="cellIs" dxfId="17263" priority="17101" stopIfTrue="1" operator="equal">
      <formula>"Pass"</formula>
    </cfRule>
    <cfRule type="cellIs" dxfId="17262" priority="17102" stopIfTrue="1" operator="equal">
      <formula>"Fail"</formula>
    </cfRule>
  </conditionalFormatting>
  <conditionalFormatting sqref="A940">
    <cfRule type="cellIs" dxfId="17261" priority="17099" stopIfTrue="1" operator="equal">
      <formula>"Pass"</formula>
    </cfRule>
    <cfRule type="cellIs" dxfId="17260" priority="17100" stopIfTrue="1" operator="equal">
      <formula>"Fail"</formula>
    </cfRule>
  </conditionalFormatting>
  <conditionalFormatting sqref="A940">
    <cfRule type="cellIs" dxfId="17259" priority="17097" stopIfTrue="1" operator="equal">
      <formula>"Pass"</formula>
    </cfRule>
    <cfRule type="cellIs" dxfId="17258" priority="17098" stopIfTrue="1" operator="equal">
      <formula>"Fail"</formula>
    </cfRule>
  </conditionalFormatting>
  <conditionalFormatting sqref="A940">
    <cfRule type="cellIs" dxfId="17257" priority="17095" stopIfTrue="1" operator="equal">
      <formula>"Pass"</formula>
    </cfRule>
    <cfRule type="cellIs" dxfId="17256" priority="17096" stopIfTrue="1" operator="equal">
      <formula>"Fail"</formula>
    </cfRule>
  </conditionalFormatting>
  <conditionalFormatting sqref="A940">
    <cfRule type="cellIs" dxfId="17255" priority="17093" stopIfTrue="1" operator="equal">
      <formula>"Pass"</formula>
    </cfRule>
    <cfRule type="cellIs" dxfId="17254" priority="17094" stopIfTrue="1" operator="equal">
      <formula>"Fail"</formula>
    </cfRule>
  </conditionalFormatting>
  <conditionalFormatting sqref="A940">
    <cfRule type="cellIs" dxfId="17253" priority="17091" stopIfTrue="1" operator="equal">
      <formula>"Pass"</formula>
    </cfRule>
    <cfRule type="cellIs" dxfId="17252" priority="17092" stopIfTrue="1" operator="equal">
      <formula>"Fail"</formula>
    </cfRule>
  </conditionalFormatting>
  <conditionalFormatting sqref="A940">
    <cfRule type="cellIs" dxfId="17251" priority="17089" stopIfTrue="1" operator="equal">
      <formula>"Pass"</formula>
    </cfRule>
    <cfRule type="cellIs" dxfId="17250" priority="17090" stopIfTrue="1" operator="equal">
      <formula>"Fail"</formula>
    </cfRule>
  </conditionalFormatting>
  <conditionalFormatting sqref="H940:H941">
    <cfRule type="cellIs" dxfId="17249" priority="17087" stopIfTrue="1" operator="equal">
      <formula>"Pass"</formula>
    </cfRule>
    <cfRule type="cellIs" dxfId="17248" priority="17088" stopIfTrue="1" operator="equal">
      <formula>"Fail"</formula>
    </cfRule>
  </conditionalFormatting>
  <conditionalFormatting sqref="F940 F942 I940:M941">
    <cfRule type="cellIs" dxfId="17247" priority="17085" stopIfTrue="1" operator="equal">
      <formula>"Pass"</formula>
    </cfRule>
    <cfRule type="cellIs" dxfId="17246" priority="17086" stopIfTrue="1" operator="equal">
      <formula>"Fail"</formula>
    </cfRule>
  </conditionalFormatting>
  <conditionalFormatting sqref="T942 T940 R940:R942 S941:S942">
    <cfRule type="cellIs" dxfId="17245" priority="17083" stopIfTrue="1" operator="equal">
      <formula>"Fail"</formula>
    </cfRule>
    <cfRule type="cellIs" dxfId="17244" priority="17084" stopIfTrue="1" operator="equal">
      <formula>"Pass"</formula>
    </cfRule>
  </conditionalFormatting>
  <conditionalFormatting sqref="F940:G940 F942:G942 J940:N941">
    <cfRule type="cellIs" dxfId="17243" priority="17081" stopIfTrue="1" operator="equal">
      <formula>"Pass"</formula>
    </cfRule>
    <cfRule type="cellIs" dxfId="17242" priority="17082" stopIfTrue="1" operator="equal">
      <formula>"Fail"</formula>
    </cfRule>
  </conditionalFormatting>
  <conditionalFormatting sqref="U942:V942 T940:T942 S941:S942">
    <cfRule type="cellIs" dxfId="17241" priority="17079" stopIfTrue="1" operator="equal">
      <formula>"Fail"</formula>
    </cfRule>
    <cfRule type="cellIs" dxfId="17240" priority="17080" stopIfTrue="1" operator="equal">
      <formula>"Pass"</formula>
    </cfRule>
  </conditionalFormatting>
  <conditionalFormatting sqref="U940:V940">
    <cfRule type="cellIs" dxfId="17239" priority="17077" stopIfTrue="1" operator="equal">
      <formula>"Fail"</formula>
    </cfRule>
    <cfRule type="cellIs" dxfId="17238" priority="17078" stopIfTrue="1" operator="equal">
      <formula>"Pass"</formula>
    </cfRule>
  </conditionalFormatting>
  <conditionalFormatting sqref="F940:G940 J940:N940">
    <cfRule type="cellIs" dxfId="17237" priority="17075" stopIfTrue="1" operator="equal">
      <formula>"Pass"</formula>
    </cfRule>
    <cfRule type="cellIs" dxfId="17236" priority="17076" stopIfTrue="1" operator="equal">
      <formula>"Fail"</formula>
    </cfRule>
  </conditionalFormatting>
  <conditionalFormatting sqref="J941:N941">
    <cfRule type="cellIs" dxfId="17235" priority="17073" stopIfTrue="1" operator="equal">
      <formula>"Pass"</formula>
    </cfRule>
    <cfRule type="cellIs" dxfId="17234" priority="17074" stopIfTrue="1" operator="equal">
      <formula>"Fail"</formula>
    </cfRule>
  </conditionalFormatting>
  <conditionalFormatting sqref="H940:H941">
    <cfRule type="cellIs" dxfId="17233" priority="17071" stopIfTrue="1" operator="equal">
      <formula>"Pass"</formula>
    </cfRule>
    <cfRule type="cellIs" dxfId="17232" priority="17072" stopIfTrue="1" operator="equal">
      <formula>"Fail"</formula>
    </cfRule>
  </conditionalFormatting>
  <conditionalFormatting sqref="F940 F942 I940:M941">
    <cfRule type="cellIs" dxfId="17231" priority="17069" stopIfTrue="1" operator="equal">
      <formula>"Pass"</formula>
    </cfRule>
    <cfRule type="cellIs" dxfId="17230" priority="17070" stopIfTrue="1" operator="equal">
      <formula>"Fail"</formula>
    </cfRule>
  </conditionalFormatting>
  <conditionalFormatting sqref="T942 T940 R940:R942 S941:S942">
    <cfRule type="cellIs" dxfId="17229" priority="17067" stopIfTrue="1" operator="equal">
      <formula>"Fail"</formula>
    </cfRule>
    <cfRule type="cellIs" dxfId="17228" priority="17068" stopIfTrue="1" operator="equal">
      <formula>"Pass"</formula>
    </cfRule>
  </conditionalFormatting>
  <conditionalFormatting sqref="F940:G940 F942:G942 J940:N941">
    <cfRule type="cellIs" dxfId="17227" priority="17065" stopIfTrue="1" operator="equal">
      <formula>"Pass"</formula>
    </cfRule>
    <cfRule type="cellIs" dxfId="17226" priority="17066" stopIfTrue="1" operator="equal">
      <formula>"Fail"</formula>
    </cfRule>
  </conditionalFormatting>
  <conditionalFormatting sqref="U942:V942 T940:T942 S941:S942">
    <cfRule type="cellIs" dxfId="17225" priority="17063" stopIfTrue="1" operator="equal">
      <formula>"Fail"</formula>
    </cfRule>
    <cfRule type="cellIs" dxfId="17224" priority="17064" stopIfTrue="1" operator="equal">
      <formula>"Pass"</formula>
    </cfRule>
  </conditionalFormatting>
  <conditionalFormatting sqref="U940:V940">
    <cfRule type="cellIs" dxfId="17223" priority="17061" stopIfTrue="1" operator="equal">
      <formula>"Fail"</formula>
    </cfRule>
    <cfRule type="cellIs" dxfId="17222" priority="17062" stopIfTrue="1" operator="equal">
      <formula>"Pass"</formula>
    </cfRule>
  </conditionalFormatting>
  <conditionalFormatting sqref="F940:G940 J940:N940">
    <cfRule type="cellIs" dxfId="17221" priority="17059" stopIfTrue="1" operator="equal">
      <formula>"Pass"</formula>
    </cfRule>
    <cfRule type="cellIs" dxfId="17220" priority="17060" stopIfTrue="1" operator="equal">
      <formula>"Fail"</formula>
    </cfRule>
  </conditionalFormatting>
  <conditionalFormatting sqref="J941:N941">
    <cfRule type="cellIs" dxfId="17219" priority="17057" stopIfTrue="1" operator="equal">
      <formula>"Pass"</formula>
    </cfRule>
    <cfRule type="cellIs" dxfId="17218" priority="17058" stopIfTrue="1" operator="equal">
      <formula>"Fail"</formula>
    </cfRule>
  </conditionalFormatting>
  <conditionalFormatting sqref="H940:H941">
    <cfRule type="cellIs" dxfId="17217" priority="17055" stopIfTrue="1" operator="equal">
      <formula>"Pass"</formula>
    </cfRule>
    <cfRule type="cellIs" dxfId="17216" priority="17056" stopIfTrue="1" operator="equal">
      <formula>"Fail"</formula>
    </cfRule>
  </conditionalFormatting>
  <conditionalFormatting sqref="F940 F942 I940:M941">
    <cfRule type="cellIs" dxfId="17215" priority="17053" stopIfTrue="1" operator="equal">
      <formula>"Pass"</formula>
    </cfRule>
    <cfRule type="cellIs" dxfId="17214" priority="17054" stopIfTrue="1" operator="equal">
      <formula>"Fail"</formula>
    </cfRule>
  </conditionalFormatting>
  <conditionalFormatting sqref="T942 T940 R940:R942 S941:S942">
    <cfRule type="cellIs" dxfId="17213" priority="17051" stopIfTrue="1" operator="equal">
      <formula>"Fail"</formula>
    </cfRule>
    <cfRule type="cellIs" dxfId="17212" priority="17052" stopIfTrue="1" operator="equal">
      <formula>"Pass"</formula>
    </cfRule>
  </conditionalFormatting>
  <conditionalFormatting sqref="F940:G940 F942:G942 J940:N941">
    <cfRule type="cellIs" dxfId="17211" priority="17049" stopIfTrue="1" operator="equal">
      <formula>"Pass"</formula>
    </cfRule>
    <cfRule type="cellIs" dxfId="17210" priority="17050" stopIfTrue="1" operator="equal">
      <formula>"Fail"</formula>
    </cfRule>
  </conditionalFormatting>
  <conditionalFormatting sqref="U942:V942 T940:T942 S941:S942">
    <cfRule type="cellIs" dxfId="17209" priority="17047" stopIfTrue="1" operator="equal">
      <formula>"Fail"</formula>
    </cfRule>
    <cfRule type="cellIs" dxfId="17208" priority="17048" stopIfTrue="1" operator="equal">
      <formula>"Pass"</formula>
    </cfRule>
  </conditionalFormatting>
  <conditionalFormatting sqref="U940:V940">
    <cfRule type="cellIs" dxfId="17207" priority="17045" stopIfTrue="1" operator="equal">
      <formula>"Fail"</formula>
    </cfRule>
    <cfRule type="cellIs" dxfId="17206" priority="17046" stopIfTrue="1" operator="equal">
      <formula>"Pass"</formula>
    </cfRule>
  </conditionalFormatting>
  <conditionalFormatting sqref="F940:G940 J940:N940">
    <cfRule type="cellIs" dxfId="17205" priority="17043" stopIfTrue="1" operator="equal">
      <formula>"Pass"</formula>
    </cfRule>
    <cfRule type="cellIs" dxfId="17204" priority="17044" stopIfTrue="1" operator="equal">
      <formula>"Fail"</formula>
    </cfRule>
  </conditionalFormatting>
  <conditionalFormatting sqref="J941:N941">
    <cfRule type="cellIs" dxfId="17203" priority="17041" stopIfTrue="1" operator="equal">
      <formula>"Pass"</formula>
    </cfRule>
    <cfRule type="cellIs" dxfId="17202" priority="17042" stopIfTrue="1" operator="equal">
      <formula>"Fail"</formula>
    </cfRule>
  </conditionalFormatting>
  <conditionalFormatting sqref="U940:V940">
    <cfRule type="cellIs" dxfId="17201" priority="17039" stopIfTrue="1" operator="equal">
      <formula>"Fail"</formula>
    </cfRule>
    <cfRule type="cellIs" dxfId="17200" priority="17040" stopIfTrue="1" operator="equal">
      <formula>"Pass"</formula>
    </cfRule>
  </conditionalFormatting>
  <conditionalFormatting sqref="U940:V940">
    <cfRule type="cellIs" dxfId="17199" priority="17037" stopIfTrue="1" operator="equal">
      <formula>"Fail"</formula>
    </cfRule>
    <cfRule type="cellIs" dxfId="17198" priority="17038" stopIfTrue="1" operator="equal">
      <formula>"Pass"</formula>
    </cfRule>
  </conditionalFormatting>
  <conditionalFormatting sqref="U940:V940">
    <cfRule type="cellIs" dxfId="17197" priority="17035" stopIfTrue="1" operator="equal">
      <formula>"Fail"</formula>
    </cfRule>
    <cfRule type="cellIs" dxfId="17196" priority="17036" stopIfTrue="1" operator="equal">
      <formula>"Pass"</formula>
    </cfRule>
  </conditionalFormatting>
  <conditionalFormatting sqref="N940">
    <cfRule type="cellIs" dxfId="17195" priority="17033" stopIfTrue="1" operator="equal">
      <formula>"Pass"</formula>
    </cfRule>
    <cfRule type="cellIs" dxfId="17194" priority="17034" stopIfTrue="1" operator="equal">
      <formula>"Fail"</formula>
    </cfRule>
  </conditionalFormatting>
  <conditionalFormatting sqref="N940">
    <cfRule type="cellIs" dxfId="17193" priority="17031" stopIfTrue="1" operator="equal">
      <formula>"Pass"</formula>
    </cfRule>
    <cfRule type="cellIs" dxfId="17192" priority="17032" stopIfTrue="1" operator="equal">
      <formula>"Fail"</formula>
    </cfRule>
  </conditionalFormatting>
  <conditionalFormatting sqref="N940">
    <cfRule type="cellIs" dxfId="17191" priority="17029" stopIfTrue="1" operator="equal">
      <formula>"Pass"</formula>
    </cfRule>
    <cfRule type="cellIs" dxfId="17190" priority="17030" stopIfTrue="1" operator="equal">
      <formula>"Fail"</formula>
    </cfRule>
  </conditionalFormatting>
  <conditionalFormatting sqref="U937:V937">
    <cfRule type="cellIs" dxfId="17189" priority="17027" stopIfTrue="1" operator="equal">
      <formula>"Fail"</formula>
    </cfRule>
    <cfRule type="cellIs" dxfId="17188" priority="17028" stopIfTrue="1" operator="equal">
      <formula>"Pass"</formula>
    </cfRule>
  </conditionalFormatting>
  <conditionalFormatting sqref="U937:V937">
    <cfRule type="cellIs" dxfId="17187" priority="17025" stopIfTrue="1" operator="equal">
      <formula>"Fail"</formula>
    </cfRule>
    <cfRule type="cellIs" dxfId="17186" priority="17026" stopIfTrue="1" operator="equal">
      <formula>"Pass"</formula>
    </cfRule>
  </conditionalFormatting>
  <conditionalFormatting sqref="U937:V937">
    <cfRule type="cellIs" dxfId="17185" priority="17023" stopIfTrue="1" operator="equal">
      <formula>"Fail"</formula>
    </cfRule>
    <cfRule type="cellIs" dxfId="17184" priority="17024" stopIfTrue="1" operator="equal">
      <formula>"Pass"</formula>
    </cfRule>
  </conditionalFormatting>
  <conditionalFormatting sqref="U937:V937">
    <cfRule type="cellIs" dxfId="17183" priority="17021" stopIfTrue="1" operator="equal">
      <formula>"Fail"</formula>
    </cfRule>
    <cfRule type="cellIs" dxfId="17182" priority="17022" stopIfTrue="1" operator="equal">
      <formula>"Pass"</formula>
    </cfRule>
  </conditionalFormatting>
  <conditionalFormatting sqref="U940:V940">
    <cfRule type="cellIs" dxfId="17181" priority="17019" stopIfTrue="1" operator="equal">
      <formula>"Fail"</formula>
    </cfRule>
    <cfRule type="cellIs" dxfId="17180" priority="17020" stopIfTrue="1" operator="equal">
      <formula>"Pass"</formula>
    </cfRule>
  </conditionalFormatting>
  <conditionalFormatting sqref="U940:V940">
    <cfRule type="cellIs" dxfId="17179" priority="17017" stopIfTrue="1" operator="equal">
      <formula>"Fail"</formula>
    </cfRule>
    <cfRule type="cellIs" dxfId="17178" priority="17018" stopIfTrue="1" operator="equal">
      <formula>"Pass"</formula>
    </cfRule>
  </conditionalFormatting>
  <conditionalFormatting sqref="U940:V940">
    <cfRule type="cellIs" dxfId="17177" priority="17015" stopIfTrue="1" operator="equal">
      <formula>"Fail"</formula>
    </cfRule>
    <cfRule type="cellIs" dxfId="17176" priority="17016" stopIfTrue="1" operator="equal">
      <formula>"Pass"</formula>
    </cfRule>
  </conditionalFormatting>
  <conditionalFormatting sqref="U940:V940">
    <cfRule type="cellIs" dxfId="17175" priority="17013" stopIfTrue="1" operator="equal">
      <formula>"Fail"</formula>
    </cfRule>
    <cfRule type="cellIs" dxfId="17174" priority="17014" stopIfTrue="1" operator="equal">
      <formula>"Pass"</formula>
    </cfRule>
  </conditionalFormatting>
  <conditionalFormatting sqref="H943:H944">
    <cfRule type="cellIs" dxfId="17173" priority="17011" stopIfTrue="1" operator="equal">
      <formula>"Pass"</formula>
    </cfRule>
    <cfRule type="cellIs" dxfId="17172" priority="17012" stopIfTrue="1" operator="equal">
      <formula>"Fail"</formula>
    </cfRule>
  </conditionalFormatting>
  <conditionalFormatting sqref="E943:F943 E945:F945 I943:M944 A943:A951">
    <cfRule type="cellIs" dxfId="17171" priority="17009" stopIfTrue="1" operator="equal">
      <formula>"Pass"</formula>
    </cfRule>
    <cfRule type="cellIs" dxfId="17170" priority="17010" stopIfTrue="1" operator="equal">
      <formula>"Fail"</formula>
    </cfRule>
  </conditionalFormatting>
  <conditionalFormatting sqref="T945 T943 R943:R945 S944:S945">
    <cfRule type="cellIs" dxfId="17169" priority="17007" stopIfTrue="1" operator="equal">
      <formula>"Fail"</formula>
    </cfRule>
    <cfRule type="cellIs" dxfId="17168" priority="17008" stopIfTrue="1" operator="equal">
      <formula>"Pass"</formula>
    </cfRule>
  </conditionalFormatting>
  <conditionalFormatting sqref="F943:G943 F945:G945 A943:B945 J943:N944 A946:A951">
    <cfRule type="cellIs" dxfId="17167" priority="17005" stopIfTrue="1" operator="equal">
      <formula>"Pass"</formula>
    </cfRule>
    <cfRule type="cellIs" dxfId="17166" priority="17006" stopIfTrue="1" operator="equal">
      <formula>"Fail"</formula>
    </cfRule>
  </conditionalFormatting>
  <conditionalFormatting sqref="U945 U943 T943:T945 S944:S945">
    <cfRule type="cellIs" dxfId="17165" priority="17003" stopIfTrue="1" operator="equal">
      <formula>"Fail"</formula>
    </cfRule>
    <cfRule type="cellIs" dxfId="17164" priority="17004" stopIfTrue="1" operator="equal">
      <formula>"Pass"</formula>
    </cfRule>
  </conditionalFormatting>
  <conditionalFormatting sqref="A943:A951">
    <cfRule type="cellIs" dxfId="17163" priority="17001" stopIfTrue="1" operator="equal">
      <formula>"Pass"</formula>
    </cfRule>
    <cfRule type="cellIs" dxfId="17162" priority="17002" stopIfTrue="1" operator="equal">
      <formula>"Fail"</formula>
    </cfRule>
  </conditionalFormatting>
  <conditionalFormatting sqref="A943:A951">
    <cfRule type="cellIs" dxfId="17161" priority="16999" stopIfTrue="1" operator="equal">
      <formula>"Pass"</formula>
    </cfRule>
    <cfRule type="cellIs" dxfId="17160" priority="17000" stopIfTrue="1" operator="equal">
      <formula>"Fail"</formula>
    </cfRule>
  </conditionalFormatting>
  <conditionalFormatting sqref="A943:A951">
    <cfRule type="cellIs" dxfId="17159" priority="16997" stopIfTrue="1" operator="equal">
      <formula>"Pass"</formula>
    </cfRule>
    <cfRule type="cellIs" dxfId="17158" priority="16998" stopIfTrue="1" operator="equal">
      <formula>"Fail"</formula>
    </cfRule>
  </conditionalFormatting>
  <conditionalFormatting sqref="J943:N944 E943:G945">
    <cfRule type="cellIs" dxfId="17157" priority="16995" stopIfTrue="1" operator="equal">
      <formula>"Pass"</formula>
    </cfRule>
    <cfRule type="cellIs" dxfId="17156" priority="16996" stopIfTrue="1" operator="equal">
      <formula>"Fail"</formula>
    </cfRule>
  </conditionalFormatting>
  <conditionalFormatting sqref="A945 C945 K943:O944 F943:H945 A948 A951">
    <cfRule type="cellIs" dxfId="17155" priority="16993" stopIfTrue="1" operator="equal">
      <formula>"Pass"</formula>
    </cfRule>
    <cfRule type="cellIs" dxfId="17154" priority="16994" stopIfTrue="1" operator="equal">
      <formula>"Fail"</formula>
    </cfRule>
  </conditionalFormatting>
  <conditionalFormatting sqref="T943">
    <cfRule type="cellIs" dxfId="17153" priority="16991" stopIfTrue="1" operator="equal">
      <formula>"Fail"</formula>
    </cfRule>
    <cfRule type="cellIs" dxfId="17152" priority="16992" stopIfTrue="1" operator="equal">
      <formula>"Pass"</formula>
    </cfRule>
  </conditionalFormatting>
  <conditionalFormatting sqref="A943:A951">
    <cfRule type="cellIs" dxfId="17151" priority="16989" stopIfTrue="1" operator="equal">
      <formula>"Pass"</formula>
    </cfRule>
    <cfRule type="cellIs" dxfId="17150" priority="16990" stopIfTrue="1" operator="equal">
      <formula>"Fail"</formula>
    </cfRule>
  </conditionalFormatting>
  <conditionalFormatting sqref="A943:A951">
    <cfRule type="cellIs" dxfId="17149" priority="16987" stopIfTrue="1" operator="equal">
      <formula>"Pass"</formula>
    </cfRule>
    <cfRule type="cellIs" dxfId="17148" priority="16988" stopIfTrue="1" operator="equal">
      <formula>"Fail"</formula>
    </cfRule>
  </conditionalFormatting>
  <conditionalFormatting sqref="A943:A951">
    <cfRule type="cellIs" dxfId="17147" priority="16985" stopIfTrue="1" operator="equal">
      <formula>"Pass"</formula>
    </cfRule>
    <cfRule type="cellIs" dxfId="17146" priority="16986" stopIfTrue="1" operator="equal">
      <formula>"Fail"</formula>
    </cfRule>
  </conditionalFormatting>
  <conditionalFormatting sqref="A943:A951">
    <cfRule type="cellIs" dxfId="17145" priority="16983" stopIfTrue="1" operator="equal">
      <formula>"Pass"</formula>
    </cfRule>
    <cfRule type="cellIs" dxfId="17144" priority="16984" stopIfTrue="1" operator="equal">
      <formula>"Fail"</formula>
    </cfRule>
  </conditionalFormatting>
  <conditionalFormatting sqref="A943:A951">
    <cfRule type="cellIs" dxfId="17143" priority="16981" stopIfTrue="1" operator="equal">
      <formula>"Pass"</formula>
    </cfRule>
    <cfRule type="cellIs" dxfId="17142" priority="16982" stopIfTrue="1" operator="equal">
      <formula>"Fail"</formula>
    </cfRule>
  </conditionalFormatting>
  <conditionalFormatting sqref="A943:A951">
    <cfRule type="cellIs" dxfId="17141" priority="16979" stopIfTrue="1" operator="equal">
      <formula>"Pass"</formula>
    </cfRule>
    <cfRule type="cellIs" dxfId="17140" priority="16980" stopIfTrue="1" operator="equal">
      <formula>"Fail"</formula>
    </cfRule>
  </conditionalFormatting>
  <conditionalFormatting sqref="A945 A948 A951">
    <cfRule type="cellIs" dxfId="17139" priority="16977" stopIfTrue="1" operator="equal">
      <formula>"Pass"</formula>
    </cfRule>
    <cfRule type="cellIs" dxfId="17138" priority="16978" stopIfTrue="1" operator="equal">
      <formula>"Fail"</formula>
    </cfRule>
  </conditionalFormatting>
  <conditionalFormatting sqref="A943:A951">
    <cfRule type="cellIs" dxfId="17137" priority="16975" stopIfTrue="1" operator="equal">
      <formula>"Pass"</formula>
    </cfRule>
    <cfRule type="cellIs" dxfId="17136" priority="16976" stopIfTrue="1" operator="equal">
      <formula>"Fail"</formula>
    </cfRule>
  </conditionalFormatting>
  <conditionalFormatting sqref="A943:A951">
    <cfRule type="cellIs" dxfId="17135" priority="16973" stopIfTrue="1" operator="equal">
      <formula>"Pass"</formula>
    </cfRule>
    <cfRule type="cellIs" dxfId="17134" priority="16974" stopIfTrue="1" operator="equal">
      <formula>"Fail"</formula>
    </cfRule>
  </conditionalFormatting>
  <conditionalFormatting sqref="A943:A951">
    <cfRule type="cellIs" dxfId="17133" priority="16971" stopIfTrue="1" operator="equal">
      <formula>"Pass"</formula>
    </cfRule>
    <cfRule type="cellIs" dxfId="17132" priority="16972" stopIfTrue="1" operator="equal">
      <formula>"Fail"</formula>
    </cfRule>
  </conditionalFormatting>
  <conditionalFormatting sqref="A943:A951">
    <cfRule type="cellIs" dxfId="17131" priority="16969" stopIfTrue="1" operator="equal">
      <formula>"Pass"</formula>
    </cfRule>
    <cfRule type="cellIs" dxfId="17130" priority="16970" stopIfTrue="1" operator="equal">
      <formula>"Fail"</formula>
    </cfRule>
  </conditionalFormatting>
  <conditionalFormatting sqref="A943:A951">
    <cfRule type="cellIs" dxfId="17129" priority="16967" stopIfTrue="1" operator="equal">
      <formula>"Pass"</formula>
    </cfRule>
    <cfRule type="cellIs" dxfId="17128" priority="16968" stopIfTrue="1" operator="equal">
      <formula>"Fail"</formula>
    </cfRule>
  </conditionalFormatting>
  <conditionalFormatting sqref="A943:A951">
    <cfRule type="cellIs" dxfId="17127" priority="16965" stopIfTrue="1" operator="equal">
      <formula>"Pass"</formula>
    </cfRule>
    <cfRule type="cellIs" dxfId="17126" priority="16966" stopIfTrue="1" operator="equal">
      <formula>"Fail"</formula>
    </cfRule>
  </conditionalFormatting>
  <conditionalFormatting sqref="A945 A948 A951">
    <cfRule type="cellIs" dxfId="17125" priority="16963" stopIfTrue="1" operator="equal">
      <formula>"Pass"</formula>
    </cfRule>
    <cfRule type="cellIs" dxfId="17124" priority="16964" stopIfTrue="1" operator="equal">
      <formula>"Fail"</formula>
    </cfRule>
  </conditionalFormatting>
  <conditionalFormatting sqref="A943:A951">
    <cfRule type="cellIs" dxfId="17123" priority="16961" stopIfTrue="1" operator="equal">
      <formula>"Pass"</formula>
    </cfRule>
    <cfRule type="cellIs" dxfId="17122" priority="16962" stopIfTrue="1" operator="equal">
      <formula>"Fail"</formula>
    </cfRule>
  </conditionalFormatting>
  <conditionalFormatting sqref="H943:H944">
    <cfRule type="cellIs" dxfId="17121" priority="16959" stopIfTrue="1" operator="equal">
      <formula>"Pass"</formula>
    </cfRule>
    <cfRule type="cellIs" dxfId="17120" priority="16960" stopIfTrue="1" operator="equal">
      <formula>"Fail"</formula>
    </cfRule>
  </conditionalFormatting>
  <conditionalFormatting sqref="F943 F945 I943:M944">
    <cfRule type="cellIs" dxfId="17119" priority="16957" stopIfTrue="1" operator="equal">
      <formula>"Pass"</formula>
    </cfRule>
    <cfRule type="cellIs" dxfId="17118" priority="16958" stopIfTrue="1" operator="equal">
      <formula>"Fail"</formula>
    </cfRule>
  </conditionalFormatting>
  <conditionalFormatting sqref="T945 T943 R943:R945 S944:S945">
    <cfRule type="cellIs" dxfId="17117" priority="16955" stopIfTrue="1" operator="equal">
      <formula>"Fail"</formula>
    </cfRule>
    <cfRule type="cellIs" dxfId="17116" priority="16956" stopIfTrue="1" operator="equal">
      <formula>"Pass"</formula>
    </cfRule>
  </conditionalFormatting>
  <conditionalFormatting sqref="F943:G943 F945:G945 J943:N944">
    <cfRule type="cellIs" dxfId="17115" priority="16953" stopIfTrue="1" operator="equal">
      <formula>"Pass"</formula>
    </cfRule>
    <cfRule type="cellIs" dxfId="17114" priority="16954" stopIfTrue="1" operator="equal">
      <formula>"Fail"</formula>
    </cfRule>
  </conditionalFormatting>
  <conditionalFormatting sqref="U945 U943 T943:T945 S944:S945">
    <cfRule type="cellIs" dxfId="17113" priority="16951" stopIfTrue="1" operator="equal">
      <formula>"Fail"</formula>
    </cfRule>
    <cfRule type="cellIs" dxfId="17112" priority="16952" stopIfTrue="1" operator="equal">
      <formula>"Pass"</formula>
    </cfRule>
  </conditionalFormatting>
  <conditionalFormatting sqref="J943:N944 F943:G945">
    <cfRule type="cellIs" dxfId="17111" priority="16949" stopIfTrue="1" operator="equal">
      <formula>"Pass"</formula>
    </cfRule>
    <cfRule type="cellIs" dxfId="17110" priority="16950" stopIfTrue="1" operator="equal">
      <formula>"Fail"</formula>
    </cfRule>
  </conditionalFormatting>
  <conditionalFormatting sqref="K943:O944 F943:H945">
    <cfRule type="cellIs" dxfId="17109" priority="16947" stopIfTrue="1" operator="equal">
      <formula>"Pass"</formula>
    </cfRule>
    <cfRule type="cellIs" dxfId="17108" priority="16948" stopIfTrue="1" operator="equal">
      <formula>"Fail"</formula>
    </cfRule>
  </conditionalFormatting>
  <conditionalFormatting sqref="T943">
    <cfRule type="cellIs" dxfId="17107" priority="16945" stopIfTrue="1" operator="equal">
      <formula>"Fail"</formula>
    </cfRule>
    <cfRule type="cellIs" dxfId="17106" priority="16946" stopIfTrue="1" operator="equal">
      <formula>"Pass"</formula>
    </cfRule>
  </conditionalFormatting>
  <conditionalFormatting sqref="K943:O944 F943:H945">
    <cfRule type="cellIs" dxfId="17105" priority="16943" stopIfTrue="1" operator="equal">
      <formula>"Pass"</formula>
    </cfRule>
    <cfRule type="cellIs" dxfId="17104" priority="16944" stopIfTrue="1" operator="equal">
      <formula>"Fail"</formula>
    </cfRule>
  </conditionalFormatting>
  <conditionalFormatting sqref="T943">
    <cfRule type="cellIs" dxfId="17103" priority="16941" stopIfTrue="1" operator="equal">
      <formula>"Fail"</formula>
    </cfRule>
    <cfRule type="cellIs" dxfId="17102" priority="16942" stopIfTrue="1" operator="equal">
      <formula>"Pass"</formula>
    </cfRule>
  </conditionalFormatting>
  <conditionalFormatting sqref="H943:H944">
    <cfRule type="cellIs" dxfId="17101" priority="16939" stopIfTrue="1" operator="equal">
      <formula>"Pass"</formula>
    </cfRule>
    <cfRule type="cellIs" dxfId="17100" priority="16940" stopIfTrue="1" operator="equal">
      <formula>"Fail"</formula>
    </cfRule>
  </conditionalFormatting>
  <conditionalFormatting sqref="E943:F943 E945:F945 I943:M944 A943:A951">
    <cfRule type="cellIs" dxfId="17099" priority="16937" stopIfTrue="1" operator="equal">
      <formula>"Pass"</formula>
    </cfRule>
    <cfRule type="cellIs" dxfId="17098" priority="16938" stopIfTrue="1" operator="equal">
      <formula>"Fail"</formula>
    </cfRule>
  </conditionalFormatting>
  <conditionalFormatting sqref="T945 T943 R943:R945 S944:S945">
    <cfRule type="cellIs" dxfId="17097" priority="16935" stopIfTrue="1" operator="equal">
      <formula>"Fail"</formula>
    </cfRule>
    <cfRule type="cellIs" dxfId="17096" priority="16936" stopIfTrue="1" operator="equal">
      <formula>"Pass"</formula>
    </cfRule>
  </conditionalFormatting>
  <conditionalFormatting sqref="F943:G943 F945:G945 A943:B945 J943:N944 A946:A951">
    <cfRule type="cellIs" dxfId="17095" priority="16933" stopIfTrue="1" operator="equal">
      <formula>"Pass"</formula>
    </cfRule>
    <cfRule type="cellIs" dxfId="17094" priority="16934" stopIfTrue="1" operator="equal">
      <formula>"Fail"</formula>
    </cfRule>
  </conditionalFormatting>
  <conditionalFormatting sqref="U945 U943 T943:T945 S944:S945">
    <cfRule type="cellIs" dxfId="17093" priority="16931" stopIfTrue="1" operator="equal">
      <formula>"Fail"</formula>
    </cfRule>
    <cfRule type="cellIs" dxfId="17092" priority="16932" stopIfTrue="1" operator="equal">
      <formula>"Pass"</formula>
    </cfRule>
  </conditionalFormatting>
  <conditionalFormatting sqref="A943:A951">
    <cfRule type="cellIs" dxfId="17091" priority="16929" stopIfTrue="1" operator="equal">
      <formula>"Pass"</formula>
    </cfRule>
    <cfRule type="cellIs" dxfId="17090" priority="16930" stopIfTrue="1" operator="equal">
      <formula>"Fail"</formula>
    </cfRule>
  </conditionalFormatting>
  <conditionalFormatting sqref="A943:A951">
    <cfRule type="cellIs" dxfId="17089" priority="16927" stopIfTrue="1" operator="equal">
      <formula>"Pass"</formula>
    </cfRule>
    <cfRule type="cellIs" dxfId="17088" priority="16928" stopIfTrue="1" operator="equal">
      <formula>"Fail"</formula>
    </cfRule>
  </conditionalFormatting>
  <conditionalFormatting sqref="A943:A951">
    <cfRule type="cellIs" dxfId="17087" priority="16925" stopIfTrue="1" operator="equal">
      <formula>"Pass"</formula>
    </cfRule>
    <cfRule type="cellIs" dxfId="17086" priority="16926" stopIfTrue="1" operator="equal">
      <formula>"Fail"</formula>
    </cfRule>
  </conditionalFormatting>
  <conditionalFormatting sqref="J943:N944 E943:G945">
    <cfRule type="cellIs" dxfId="17085" priority="16923" stopIfTrue="1" operator="equal">
      <formula>"Pass"</formula>
    </cfRule>
    <cfRule type="cellIs" dxfId="17084" priority="16924" stopIfTrue="1" operator="equal">
      <formula>"Fail"</formula>
    </cfRule>
  </conditionalFormatting>
  <conditionalFormatting sqref="A945 C945 K943:O944 F943:H945 A948 A951">
    <cfRule type="cellIs" dxfId="17083" priority="16921" stopIfTrue="1" operator="equal">
      <formula>"Pass"</formula>
    </cfRule>
    <cfRule type="cellIs" dxfId="17082" priority="16922" stopIfTrue="1" operator="equal">
      <formula>"Fail"</formula>
    </cfRule>
  </conditionalFormatting>
  <conditionalFormatting sqref="T943">
    <cfRule type="cellIs" dxfId="17081" priority="16919" stopIfTrue="1" operator="equal">
      <formula>"Fail"</formula>
    </cfRule>
    <cfRule type="cellIs" dxfId="17080" priority="16920" stopIfTrue="1" operator="equal">
      <formula>"Pass"</formula>
    </cfRule>
  </conditionalFormatting>
  <conditionalFormatting sqref="A943:A951">
    <cfRule type="cellIs" dxfId="17079" priority="16917" stopIfTrue="1" operator="equal">
      <formula>"Pass"</formula>
    </cfRule>
    <cfRule type="cellIs" dxfId="17078" priority="16918" stopIfTrue="1" operator="equal">
      <formula>"Fail"</formula>
    </cfRule>
  </conditionalFormatting>
  <conditionalFormatting sqref="A943:A951">
    <cfRule type="cellIs" dxfId="17077" priority="16915" stopIfTrue="1" operator="equal">
      <formula>"Pass"</formula>
    </cfRule>
    <cfRule type="cellIs" dxfId="17076" priority="16916" stopIfTrue="1" operator="equal">
      <formula>"Fail"</formula>
    </cfRule>
  </conditionalFormatting>
  <conditionalFormatting sqref="A943:A951">
    <cfRule type="cellIs" dxfId="17075" priority="16913" stopIfTrue="1" operator="equal">
      <formula>"Pass"</formula>
    </cfRule>
    <cfRule type="cellIs" dxfId="17074" priority="16914" stopIfTrue="1" operator="equal">
      <formula>"Fail"</formula>
    </cfRule>
  </conditionalFormatting>
  <conditionalFormatting sqref="A943:A951">
    <cfRule type="cellIs" dxfId="17073" priority="16911" stopIfTrue="1" operator="equal">
      <formula>"Pass"</formula>
    </cfRule>
    <cfRule type="cellIs" dxfId="17072" priority="16912" stopIfTrue="1" operator="equal">
      <formula>"Fail"</formula>
    </cfRule>
  </conditionalFormatting>
  <conditionalFormatting sqref="A943:A951">
    <cfRule type="cellIs" dxfId="17071" priority="16909" stopIfTrue="1" operator="equal">
      <formula>"Pass"</formula>
    </cfRule>
    <cfRule type="cellIs" dxfId="17070" priority="16910" stopIfTrue="1" operator="equal">
      <formula>"Fail"</formula>
    </cfRule>
  </conditionalFormatting>
  <conditionalFormatting sqref="A943:A951">
    <cfRule type="cellIs" dxfId="17069" priority="16907" stopIfTrue="1" operator="equal">
      <formula>"Pass"</formula>
    </cfRule>
    <cfRule type="cellIs" dxfId="17068" priority="16908" stopIfTrue="1" operator="equal">
      <formula>"Fail"</formula>
    </cfRule>
  </conditionalFormatting>
  <conditionalFormatting sqref="A945 A948 A951">
    <cfRule type="cellIs" dxfId="17067" priority="16905" stopIfTrue="1" operator="equal">
      <formula>"Pass"</formula>
    </cfRule>
    <cfRule type="cellIs" dxfId="17066" priority="16906" stopIfTrue="1" operator="equal">
      <formula>"Fail"</formula>
    </cfRule>
  </conditionalFormatting>
  <conditionalFormatting sqref="A943:A951">
    <cfRule type="cellIs" dxfId="17065" priority="16903" stopIfTrue="1" operator="equal">
      <formula>"Pass"</formula>
    </cfRule>
    <cfRule type="cellIs" dxfId="17064" priority="16904" stopIfTrue="1" operator="equal">
      <formula>"Fail"</formula>
    </cfRule>
  </conditionalFormatting>
  <conditionalFormatting sqref="A943:A951">
    <cfRule type="cellIs" dxfId="17063" priority="16901" stopIfTrue="1" operator="equal">
      <formula>"Pass"</formula>
    </cfRule>
    <cfRule type="cellIs" dxfId="17062" priority="16902" stopIfTrue="1" operator="equal">
      <formula>"Fail"</formula>
    </cfRule>
  </conditionalFormatting>
  <conditionalFormatting sqref="A943:A951">
    <cfRule type="cellIs" dxfId="17061" priority="16899" stopIfTrue="1" operator="equal">
      <formula>"Pass"</formula>
    </cfRule>
    <cfRule type="cellIs" dxfId="17060" priority="16900" stopIfTrue="1" operator="equal">
      <formula>"Fail"</formula>
    </cfRule>
  </conditionalFormatting>
  <conditionalFormatting sqref="A943:A951">
    <cfRule type="cellIs" dxfId="17059" priority="16897" stopIfTrue="1" operator="equal">
      <formula>"Pass"</formula>
    </cfRule>
    <cfRule type="cellIs" dxfId="17058" priority="16898" stopIfTrue="1" operator="equal">
      <formula>"Fail"</formula>
    </cfRule>
  </conditionalFormatting>
  <conditionalFormatting sqref="A943:A951">
    <cfRule type="cellIs" dxfId="17057" priority="16895" stopIfTrue="1" operator="equal">
      <formula>"Pass"</formula>
    </cfRule>
    <cfRule type="cellIs" dxfId="17056" priority="16896" stopIfTrue="1" operator="equal">
      <formula>"Fail"</formula>
    </cfRule>
  </conditionalFormatting>
  <conditionalFormatting sqref="A943:A951">
    <cfRule type="cellIs" dxfId="17055" priority="16893" stopIfTrue="1" operator="equal">
      <formula>"Pass"</formula>
    </cfRule>
    <cfRule type="cellIs" dxfId="17054" priority="16894" stopIfTrue="1" operator="equal">
      <formula>"Fail"</formula>
    </cfRule>
  </conditionalFormatting>
  <conditionalFormatting sqref="A945 A948 A951">
    <cfRule type="cellIs" dxfId="17053" priority="16891" stopIfTrue="1" operator="equal">
      <formula>"Pass"</formula>
    </cfRule>
    <cfRule type="cellIs" dxfId="17052" priority="16892" stopIfTrue="1" operator="equal">
      <formula>"Fail"</formula>
    </cfRule>
  </conditionalFormatting>
  <conditionalFormatting sqref="A943:A951">
    <cfRule type="cellIs" dxfId="17051" priority="16889" stopIfTrue="1" operator="equal">
      <formula>"Pass"</formula>
    </cfRule>
    <cfRule type="cellIs" dxfId="17050" priority="16890" stopIfTrue="1" operator="equal">
      <formula>"Fail"</formula>
    </cfRule>
  </conditionalFormatting>
  <conditionalFormatting sqref="H943:H944">
    <cfRule type="cellIs" dxfId="17049" priority="16887" stopIfTrue="1" operator="equal">
      <formula>"Pass"</formula>
    </cfRule>
    <cfRule type="cellIs" dxfId="17048" priority="16888" stopIfTrue="1" operator="equal">
      <formula>"Fail"</formula>
    </cfRule>
  </conditionalFormatting>
  <conditionalFormatting sqref="F943 F945 I943:M944">
    <cfRule type="cellIs" dxfId="17047" priority="16885" stopIfTrue="1" operator="equal">
      <formula>"Pass"</formula>
    </cfRule>
    <cfRule type="cellIs" dxfId="17046" priority="16886" stopIfTrue="1" operator="equal">
      <formula>"Fail"</formula>
    </cfRule>
  </conditionalFormatting>
  <conditionalFormatting sqref="T945 T943 R943:R945 S944:S945">
    <cfRule type="cellIs" dxfId="17045" priority="16883" stopIfTrue="1" operator="equal">
      <formula>"Fail"</formula>
    </cfRule>
    <cfRule type="cellIs" dxfId="17044" priority="16884" stopIfTrue="1" operator="equal">
      <formula>"Pass"</formula>
    </cfRule>
  </conditionalFormatting>
  <conditionalFormatting sqref="F943:G943 F945:G945 J943:N944">
    <cfRule type="cellIs" dxfId="17043" priority="16881" stopIfTrue="1" operator="equal">
      <formula>"Pass"</formula>
    </cfRule>
    <cfRule type="cellIs" dxfId="17042" priority="16882" stopIfTrue="1" operator="equal">
      <formula>"Fail"</formula>
    </cfRule>
  </conditionalFormatting>
  <conditionalFormatting sqref="U945 U943 T943:T945 S944:S945">
    <cfRule type="cellIs" dxfId="17041" priority="16879" stopIfTrue="1" operator="equal">
      <formula>"Fail"</formula>
    </cfRule>
    <cfRule type="cellIs" dxfId="17040" priority="16880" stopIfTrue="1" operator="equal">
      <formula>"Pass"</formula>
    </cfRule>
  </conditionalFormatting>
  <conditionalFormatting sqref="J943:N944 F943:G945">
    <cfRule type="cellIs" dxfId="17039" priority="16877" stopIfTrue="1" operator="equal">
      <formula>"Pass"</formula>
    </cfRule>
    <cfRule type="cellIs" dxfId="17038" priority="16878" stopIfTrue="1" operator="equal">
      <formula>"Fail"</formula>
    </cfRule>
  </conditionalFormatting>
  <conditionalFormatting sqref="K943:O944 F943:H945">
    <cfRule type="cellIs" dxfId="17037" priority="16875" stopIfTrue="1" operator="equal">
      <formula>"Pass"</formula>
    </cfRule>
    <cfRule type="cellIs" dxfId="17036" priority="16876" stopIfTrue="1" operator="equal">
      <formula>"Fail"</formula>
    </cfRule>
  </conditionalFormatting>
  <conditionalFormatting sqref="T943">
    <cfRule type="cellIs" dxfId="17035" priority="16873" stopIfTrue="1" operator="equal">
      <formula>"Fail"</formula>
    </cfRule>
    <cfRule type="cellIs" dxfId="17034" priority="16874" stopIfTrue="1" operator="equal">
      <formula>"Pass"</formula>
    </cfRule>
  </conditionalFormatting>
  <conditionalFormatting sqref="K943:O944 F943:H945">
    <cfRule type="cellIs" dxfId="17033" priority="16871" stopIfTrue="1" operator="equal">
      <formula>"Pass"</formula>
    </cfRule>
    <cfRule type="cellIs" dxfId="17032" priority="16872" stopIfTrue="1" operator="equal">
      <formula>"Fail"</formula>
    </cfRule>
  </conditionalFormatting>
  <conditionalFormatting sqref="T943">
    <cfRule type="cellIs" dxfId="17031" priority="16869" stopIfTrue="1" operator="equal">
      <formula>"Fail"</formula>
    </cfRule>
    <cfRule type="cellIs" dxfId="17030" priority="16870" stopIfTrue="1" operator="equal">
      <formula>"Pass"</formula>
    </cfRule>
  </conditionalFormatting>
  <conditionalFormatting sqref="A946">
    <cfRule type="cellIs" dxfId="17029" priority="16867" stopIfTrue="1" operator="equal">
      <formula>"Pass"</formula>
    </cfRule>
    <cfRule type="cellIs" dxfId="17028" priority="16868" stopIfTrue="1" operator="equal">
      <formula>"Fail"</formula>
    </cfRule>
  </conditionalFormatting>
  <conditionalFormatting sqref="A946">
    <cfRule type="cellIs" dxfId="17027" priority="16865" stopIfTrue="1" operator="equal">
      <formula>"Pass"</formula>
    </cfRule>
    <cfRule type="cellIs" dxfId="17026" priority="16866" stopIfTrue="1" operator="equal">
      <formula>"Fail"</formula>
    </cfRule>
  </conditionalFormatting>
  <conditionalFormatting sqref="A946">
    <cfRule type="cellIs" dxfId="17025" priority="16863" stopIfTrue="1" operator="equal">
      <formula>"Pass"</formula>
    </cfRule>
    <cfRule type="cellIs" dxfId="17024" priority="16864" stopIfTrue="1" operator="equal">
      <formula>"Fail"</formula>
    </cfRule>
  </conditionalFormatting>
  <conditionalFormatting sqref="A946">
    <cfRule type="cellIs" dxfId="17023" priority="16861" stopIfTrue="1" operator="equal">
      <formula>"Pass"</formula>
    </cfRule>
    <cfRule type="cellIs" dxfId="17022" priority="16862" stopIfTrue="1" operator="equal">
      <formula>"Fail"</formula>
    </cfRule>
  </conditionalFormatting>
  <conditionalFormatting sqref="A946">
    <cfRule type="cellIs" dxfId="17021" priority="16859" stopIfTrue="1" operator="equal">
      <formula>"Pass"</formula>
    </cfRule>
    <cfRule type="cellIs" dxfId="17020" priority="16860" stopIfTrue="1" operator="equal">
      <formula>"Fail"</formula>
    </cfRule>
  </conditionalFormatting>
  <conditionalFormatting sqref="A946">
    <cfRule type="cellIs" dxfId="17019" priority="16857" stopIfTrue="1" operator="equal">
      <formula>"Pass"</formula>
    </cfRule>
    <cfRule type="cellIs" dxfId="17018" priority="16858" stopIfTrue="1" operator="equal">
      <formula>"Fail"</formula>
    </cfRule>
  </conditionalFormatting>
  <conditionalFormatting sqref="A946">
    <cfRule type="cellIs" dxfId="17017" priority="16855" stopIfTrue="1" operator="equal">
      <formula>"Pass"</formula>
    </cfRule>
    <cfRule type="cellIs" dxfId="17016" priority="16856" stopIfTrue="1" operator="equal">
      <formula>"Fail"</formula>
    </cfRule>
  </conditionalFormatting>
  <conditionalFormatting sqref="A946">
    <cfRule type="cellIs" dxfId="17015" priority="16853" stopIfTrue="1" operator="equal">
      <formula>"Pass"</formula>
    </cfRule>
    <cfRule type="cellIs" dxfId="17014" priority="16854" stopIfTrue="1" operator="equal">
      <formula>"Fail"</formula>
    </cfRule>
  </conditionalFormatting>
  <conditionalFormatting sqref="A946">
    <cfRule type="cellIs" dxfId="17013" priority="16851" stopIfTrue="1" operator="equal">
      <formula>"Pass"</formula>
    </cfRule>
    <cfRule type="cellIs" dxfId="17012" priority="16852" stopIfTrue="1" operator="equal">
      <formula>"Fail"</formula>
    </cfRule>
  </conditionalFormatting>
  <conditionalFormatting sqref="A946">
    <cfRule type="cellIs" dxfId="17011" priority="16849" stopIfTrue="1" operator="equal">
      <formula>"Pass"</formula>
    </cfRule>
    <cfRule type="cellIs" dxfId="17010" priority="16850" stopIfTrue="1" operator="equal">
      <formula>"Fail"</formula>
    </cfRule>
  </conditionalFormatting>
  <conditionalFormatting sqref="A946">
    <cfRule type="cellIs" dxfId="17009" priority="16847" stopIfTrue="1" operator="equal">
      <formula>"Pass"</formula>
    </cfRule>
    <cfRule type="cellIs" dxfId="17008" priority="16848" stopIfTrue="1" operator="equal">
      <formula>"Fail"</formula>
    </cfRule>
  </conditionalFormatting>
  <conditionalFormatting sqref="A946">
    <cfRule type="cellIs" dxfId="17007" priority="16845" stopIfTrue="1" operator="equal">
      <formula>"Pass"</formula>
    </cfRule>
    <cfRule type="cellIs" dxfId="17006" priority="16846" stopIfTrue="1" operator="equal">
      <formula>"Fail"</formula>
    </cfRule>
  </conditionalFormatting>
  <conditionalFormatting sqref="A946">
    <cfRule type="cellIs" dxfId="17005" priority="16843" stopIfTrue="1" operator="equal">
      <formula>"Pass"</formula>
    </cfRule>
    <cfRule type="cellIs" dxfId="17004" priority="16844" stopIfTrue="1" operator="equal">
      <formula>"Fail"</formula>
    </cfRule>
  </conditionalFormatting>
  <conditionalFormatting sqref="A946">
    <cfRule type="cellIs" dxfId="17003" priority="16841" stopIfTrue="1" operator="equal">
      <formula>"Pass"</formula>
    </cfRule>
    <cfRule type="cellIs" dxfId="17002" priority="16842" stopIfTrue="1" operator="equal">
      <formula>"Fail"</formula>
    </cfRule>
  </conditionalFormatting>
  <conditionalFormatting sqref="A946">
    <cfRule type="cellIs" dxfId="17001" priority="16839" stopIfTrue="1" operator="equal">
      <formula>"Pass"</formula>
    </cfRule>
    <cfRule type="cellIs" dxfId="17000" priority="16840" stopIfTrue="1" operator="equal">
      <formula>"Fail"</formula>
    </cfRule>
  </conditionalFormatting>
  <conditionalFormatting sqref="A946">
    <cfRule type="cellIs" dxfId="16999" priority="16837" stopIfTrue="1" operator="equal">
      <formula>"Pass"</formula>
    </cfRule>
    <cfRule type="cellIs" dxfId="16998" priority="16838" stopIfTrue="1" operator="equal">
      <formula>"Fail"</formula>
    </cfRule>
  </conditionalFormatting>
  <conditionalFormatting sqref="A946">
    <cfRule type="cellIs" dxfId="16997" priority="16835" stopIfTrue="1" operator="equal">
      <formula>"Pass"</formula>
    </cfRule>
    <cfRule type="cellIs" dxfId="16996" priority="16836" stopIfTrue="1" operator="equal">
      <formula>"Fail"</formula>
    </cfRule>
  </conditionalFormatting>
  <conditionalFormatting sqref="A946">
    <cfRule type="cellIs" dxfId="16995" priority="16833" stopIfTrue="1" operator="equal">
      <formula>"Pass"</formula>
    </cfRule>
    <cfRule type="cellIs" dxfId="16994" priority="16834" stopIfTrue="1" operator="equal">
      <formula>"Fail"</formula>
    </cfRule>
  </conditionalFormatting>
  <conditionalFormatting sqref="J946:J947">
    <cfRule type="cellIs" dxfId="16993" priority="16831" stopIfTrue="1" operator="equal">
      <formula>"Pass"</formula>
    </cfRule>
    <cfRule type="cellIs" dxfId="16992" priority="16832" stopIfTrue="1" operator="equal">
      <formula>"Fail"</formula>
    </cfRule>
  </conditionalFormatting>
  <conditionalFormatting sqref="H946:H947 I947">
    <cfRule type="cellIs" dxfId="16991" priority="16829" stopIfTrue="1" operator="equal">
      <formula>"Pass"</formula>
    </cfRule>
    <cfRule type="cellIs" dxfId="16990" priority="16830" stopIfTrue="1" operator="equal">
      <formula>"Fail"</formula>
    </cfRule>
  </conditionalFormatting>
  <conditionalFormatting sqref="A946 C946 F948 F946:G946 K946:N947">
    <cfRule type="cellIs" dxfId="16989" priority="16827" stopIfTrue="1" operator="equal">
      <formula>"Pass"</formula>
    </cfRule>
    <cfRule type="cellIs" dxfId="16988" priority="16828" stopIfTrue="1" operator="equal">
      <formula>"Fail"</formula>
    </cfRule>
  </conditionalFormatting>
  <conditionalFormatting sqref="T946:T948 U947:U948">
    <cfRule type="cellIs" dxfId="16987" priority="16825" stopIfTrue="1" operator="equal">
      <formula>"Fail"</formula>
    </cfRule>
    <cfRule type="cellIs" dxfId="16986" priority="16826" stopIfTrue="1" operator="equal">
      <formula>"Pass"</formula>
    </cfRule>
  </conditionalFormatting>
  <conditionalFormatting sqref="A946">
    <cfRule type="cellIs" dxfId="16985" priority="16823" stopIfTrue="1" operator="equal">
      <formula>"Pass"</formula>
    </cfRule>
    <cfRule type="cellIs" dxfId="16984" priority="16824" stopIfTrue="1" operator="equal">
      <formula>"Fail"</formula>
    </cfRule>
  </conditionalFormatting>
  <conditionalFormatting sqref="A946">
    <cfRule type="cellIs" dxfId="16983" priority="16821" stopIfTrue="1" operator="equal">
      <formula>"Pass"</formula>
    </cfRule>
    <cfRule type="cellIs" dxfId="16982" priority="16822" stopIfTrue="1" operator="equal">
      <formula>"Fail"</formula>
    </cfRule>
  </conditionalFormatting>
  <conditionalFormatting sqref="A946">
    <cfRule type="cellIs" dxfId="16981" priority="16819" stopIfTrue="1" operator="equal">
      <formula>"Pass"</formula>
    </cfRule>
    <cfRule type="cellIs" dxfId="16980" priority="16820" stopIfTrue="1" operator="equal">
      <formula>"Fail"</formula>
    </cfRule>
  </conditionalFormatting>
  <conditionalFormatting sqref="A946">
    <cfRule type="cellIs" dxfId="16979" priority="16817" stopIfTrue="1" operator="equal">
      <formula>"Pass"</formula>
    </cfRule>
    <cfRule type="cellIs" dxfId="16978" priority="16818" stopIfTrue="1" operator="equal">
      <formula>"Fail"</formula>
    </cfRule>
  </conditionalFormatting>
  <conditionalFormatting sqref="A946">
    <cfRule type="cellIs" dxfId="16977" priority="16815" stopIfTrue="1" operator="equal">
      <formula>"Pass"</formula>
    </cfRule>
    <cfRule type="cellIs" dxfId="16976" priority="16816" stopIfTrue="1" operator="equal">
      <formula>"Fail"</formula>
    </cfRule>
  </conditionalFormatting>
  <conditionalFormatting sqref="A946">
    <cfRule type="cellIs" dxfId="16975" priority="16813" stopIfTrue="1" operator="equal">
      <formula>"Pass"</formula>
    </cfRule>
    <cfRule type="cellIs" dxfId="16974" priority="16814" stopIfTrue="1" operator="equal">
      <formula>"Fail"</formula>
    </cfRule>
  </conditionalFormatting>
  <conditionalFormatting sqref="A946">
    <cfRule type="cellIs" dxfId="16973" priority="16811" stopIfTrue="1" operator="equal">
      <formula>"Pass"</formula>
    </cfRule>
    <cfRule type="cellIs" dxfId="16972" priority="16812" stopIfTrue="1" operator="equal">
      <formula>"Fail"</formula>
    </cfRule>
  </conditionalFormatting>
  <conditionalFormatting sqref="A946">
    <cfRule type="cellIs" dxfId="16971" priority="16809" stopIfTrue="1" operator="equal">
      <formula>"Pass"</formula>
    </cfRule>
    <cfRule type="cellIs" dxfId="16970" priority="16810" stopIfTrue="1" operator="equal">
      <formula>"Fail"</formula>
    </cfRule>
  </conditionalFormatting>
  <conditionalFormatting sqref="A946">
    <cfRule type="cellIs" dxfId="16969" priority="16807" stopIfTrue="1" operator="equal">
      <formula>"Pass"</formula>
    </cfRule>
    <cfRule type="cellIs" dxfId="16968" priority="16808" stopIfTrue="1" operator="equal">
      <formula>"Fail"</formula>
    </cfRule>
  </conditionalFormatting>
  <conditionalFormatting sqref="A946">
    <cfRule type="cellIs" dxfId="16967" priority="16805" stopIfTrue="1" operator="equal">
      <formula>"Pass"</formula>
    </cfRule>
    <cfRule type="cellIs" dxfId="16966" priority="16806" stopIfTrue="1" operator="equal">
      <formula>"Fail"</formula>
    </cfRule>
  </conditionalFormatting>
  <conditionalFormatting sqref="A946">
    <cfRule type="cellIs" dxfId="16965" priority="16803" stopIfTrue="1" operator="equal">
      <formula>"Pass"</formula>
    </cfRule>
    <cfRule type="cellIs" dxfId="16964" priority="16804" stopIfTrue="1" operator="equal">
      <formula>"Fail"</formula>
    </cfRule>
  </conditionalFormatting>
  <conditionalFormatting sqref="A946">
    <cfRule type="cellIs" dxfId="16963" priority="16801" stopIfTrue="1" operator="equal">
      <formula>"Pass"</formula>
    </cfRule>
    <cfRule type="cellIs" dxfId="16962" priority="16802" stopIfTrue="1" operator="equal">
      <formula>"Fail"</formula>
    </cfRule>
  </conditionalFormatting>
  <conditionalFormatting sqref="A946">
    <cfRule type="cellIs" dxfId="16961" priority="16799" stopIfTrue="1" operator="equal">
      <formula>"Pass"</formula>
    </cfRule>
    <cfRule type="cellIs" dxfId="16960" priority="16800" stopIfTrue="1" operator="equal">
      <formula>"Fail"</formula>
    </cfRule>
  </conditionalFormatting>
  <conditionalFormatting sqref="A946">
    <cfRule type="cellIs" dxfId="16959" priority="16797" stopIfTrue="1" operator="equal">
      <formula>"Pass"</formula>
    </cfRule>
    <cfRule type="cellIs" dxfId="16958" priority="16798" stopIfTrue="1" operator="equal">
      <formula>"Fail"</formula>
    </cfRule>
  </conditionalFormatting>
  <conditionalFormatting sqref="A946">
    <cfRule type="cellIs" dxfId="16957" priority="16795" stopIfTrue="1" operator="equal">
      <formula>"Pass"</formula>
    </cfRule>
    <cfRule type="cellIs" dxfId="16956" priority="16796" stopIfTrue="1" operator="equal">
      <formula>"Fail"</formula>
    </cfRule>
  </conditionalFormatting>
  <conditionalFormatting sqref="A946">
    <cfRule type="cellIs" dxfId="16955" priority="16793" stopIfTrue="1" operator="equal">
      <formula>"Pass"</formula>
    </cfRule>
    <cfRule type="cellIs" dxfId="16954" priority="16794" stopIfTrue="1" operator="equal">
      <formula>"Fail"</formula>
    </cfRule>
  </conditionalFormatting>
  <conditionalFormatting sqref="U946">
    <cfRule type="cellIs" dxfId="16953" priority="16791" stopIfTrue="1" operator="equal">
      <formula>"Fail"</formula>
    </cfRule>
    <cfRule type="cellIs" dxfId="16952" priority="16792" stopIfTrue="1" operator="equal">
      <formula>"Pass"</formula>
    </cfRule>
  </conditionalFormatting>
  <conditionalFormatting sqref="U946">
    <cfRule type="cellIs" dxfId="16951" priority="16789" stopIfTrue="1" operator="equal">
      <formula>"Fail"</formula>
    </cfRule>
    <cfRule type="cellIs" dxfId="16950" priority="16790" stopIfTrue="1" operator="equal">
      <formula>"Pass"</formula>
    </cfRule>
  </conditionalFormatting>
  <conditionalFormatting sqref="J946:J947">
    <cfRule type="cellIs" dxfId="16949" priority="16787" stopIfTrue="1" operator="equal">
      <formula>"Pass"</formula>
    </cfRule>
    <cfRule type="cellIs" dxfId="16948" priority="16788" stopIfTrue="1" operator="equal">
      <formula>"Fail"</formula>
    </cfRule>
  </conditionalFormatting>
  <conditionalFormatting sqref="H946:H947 I947">
    <cfRule type="cellIs" dxfId="16947" priority="16785" stopIfTrue="1" operator="equal">
      <formula>"Pass"</formula>
    </cfRule>
    <cfRule type="cellIs" dxfId="16946" priority="16786" stopIfTrue="1" operator="equal">
      <formula>"Fail"</formula>
    </cfRule>
  </conditionalFormatting>
  <conditionalFormatting sqref="F948 F946:G946 K946:N947">
    <cfRule type="cellIs" dxfId="16945" priority="16783" stopIfTrue="1" operator="equal">
      <formula>"Pass"</formula>
    </cfRule>
    <cfRule type="cellIs" dxfId="16944" priority="16784" stopIfTrue="1" operator="equal">
      <formula>"Fail"</formula>
    </cfRule>
  </conditionalFormatting>
  <conditionalFormatting sqref="T946:T948 U947:U948">
    <cfRule type="cellIs" dxfId="16943" priority="16781" stopIfTrue="1" operator="equal">
      <formula>"Fail"</formula>
    </cfRule>
    <cfRule type="cellIs" dxfId="16942" priority="16782" stopIfTrue="1" operator="equal">
      <formula>"Pass"</formula>
    </cfRule>
  </conditionalFormatting>
  <conditionalFormatting sqref="U946">
    <cfRule type="cellIs" dxfId="16941" priority="16779" stopIfTrue="1" operator="equal">
      <formula>"Fail"</formula>
    </cfRule>
    <cfRule type="cellIs" dxfId="16940" priority="16780" stopIfTrue="1" operator="equal">
      <formula>"Pass"</formula>
    </cfRule>
  </conditionalFormatting>
  <conditionalFormatting sqref="U946">
    <cfRule type="cellIs" dxfId="16939" priority="16777" stopIfTrue="1" operator="equal">
      <formula>"Fail"</formula>
    </cfRule>
    <cfRule type="cellIs" dxfId="16938" priority="16778" stopIfTrue="1" operator="equal">
      <formula>"Pass"</formula>
    </cfRule>
  </conditionalFormatting>
  <conditionalFormatting sqref="F946:G946 K946:N946">
    <cfRule type="cellIs" dxfId="16937" priority="16775" stopIfTrue="1" operator="equal">
      <formula>"Pass"</formula>
    </cfRule>
    <cfRule type="cellIs" dxfId="16936" priority="16776" stopIfTrue="1" operator="equal">
      <formula>"Fail"</formula>
    </cfRule>
  </conditionalFormatting>
  <conditionalFormatting sqref="K947:N947">
    <cfRule type="cellIs" dxfId="16935" priority="16773" stopIfTrue="1" operator="equal">
      <formula>"Pass"</formula>
    </cfRule>
    <cfRule type="cellIs" dxfId="16934" priority="16774" stopIfTrue="1" operator="equal">
      <formula>"Fail"</formula>
    </cfRule>
  </conditionalFormatting>
  <conditionalFormatting sqref="U946">
    <cfRule type="cellIs" dxfId="16933" priority="16771" stopIfTrue="1" operator="equal">
      <formula>"Fail"</formula>
    </cfRule>
    <cfRule type="cellIs" dxfId="16932" priority="16772" stopIfTrue="1" operator="equal">
      <formula>"Pass"</formula>
    </cfRule>
  </conditionalFormatting>
  <conditionalFormatting sqref="A946">
    <cfRule type="cellIs" dxfId="16931" priority="16769" stopIfTrue="1" operator="equal">
      <formula>"Pass"</formula>
    </cfRule>
    <cfRule type="cellIs" dxfId="16930" priority="16770" stopIfTrue="1" operator="equal">
      <formula>"Fail"</formula>
    </cfRule>
  </conditionalFormatting>
  <conditionalFormatting sqref="A946">
    <cfRule type="cellIs" dxfId="16929" priority="16767" stopIfTrue="1" operator="equal">
      <formula>"Pass"</formula>
    </cfRule>
    <cfRule type="cellIs" dxfId="16928" priority="16768" stopIfTrue="1" operator="equal">
      <formula>"Fail"</formula>
    </cfRule>
  </conditionalFormatting>
  <conditionalFormatting sqref="A946">
    <cfRule type="cellIs" dxfId="16927" priority="16765" stopIfTrue="1" operator="equal">
      <formula>"Pass"</formula>
    </cfRule>
    <cfRule type="cellIs" dxfId="16926" priority="16766" stopIfTrue="1" operator="equal">
      <formula>"Fail"</formula>
    </cfRule>
  </conditionalFormatting>
  <conditionalFormatting sqref="A946">
    <cfRule type="cellIs" dxfId="16925" priority="16763" stopIfTrue="1" operator="equal">
      <formula>"Pass"</formula>
    </cfRule>
    <cfRule type="cellIs" dxfId="16924" priority="16764" stopIfTrue="1" operator="equal">
      <formula>"Fail"</formula>
    </cfRule>
  </conditionalFormatting>
  <conditionalFormatting sqref="A946">
    <cfRule type="cellIs" dxfId="16923" priority="16761" stopIfTrue="1" operator="equal">
      <formula>"Pass"</formula>
    </cfRule>
    <cfRule type="cellIs" dxfId="16922" priority="16762" stopIfTrue="1" operator="equal">
      <formula>"Fail"</formula>
    </cfRule>
  </conditionalFormatting>
  <conditionalFormatting sqref="A946">
    <cfRule type="cellIs" dxfId="16921" priority="16759" stopIfTrue="1" operator="equal">
      <formula>"Pass"</formula>
    </cfRule>
    <cfRule type="cellIs" dxfId="16920" priority="16760" stopIfTrue="1" operator="equal">
      <formula>"Fail"</formula>
    </cfRule>
  </conditionalFormatting>
  <conditionalFormatting sqref="A946">
    <cfRule type="cellIs" dxfId="16919" priority="16757" stopIfTrue="1" operator="equal">
      <formula>"Pass"</formula>
    </cfRule>
    <cfRule type="cellIs" dxfId="16918" priority="16758" stopIfTrue="1" operator="equal">
      <formula>"Fail"</formula>
    </cfRule>
  </conditionalFormatting>
  <conditionalFormatting sqref="A946">
    <cfRule type="cellIs" dxfId="16917" priority="16755" stopIfTrue="1" operator="equal">
      <formula>"Pass"</formula>
    </cfRule>
    <cfRule type="cellIs" dxfId="16916" priority="16756" stopIfTrue="1" operator="equal">
      <formula>"Fail"</formula>
    </cfRule>
  </conditionalFormatting>
  <conditionalFormatting sqref="A946">
    <cfRule type="cellIs" dxfId="16915" priority="16753" stopIfTrue="1" operator="equal">
      <formula>"Pass"</formula>
    </cfRule>
    <cfRule type="cellIs" dxfId="16914" priority="16754" stopIfTrue="1" operator="equal">
      <formula>"Fail"</formula>
    </cfRule>
  </conditionalFormatting>
  <conditionalFormatting sqref="A946">
    <cfRule type="cellIs" dxfId="16913" priority="16751" stopIfTrue="1" operator="equal">
      <formula>"Pass"</formula>
    </cfRule>
    <cfRule type="cellIs" dxfId="16912" priority="16752" stopIfTrue="1" operator="equal">
      <formula>"Fail"</formula>
    </cfRule>
  </conditionalFormatting>
  <conditionalFormatting sqref="A946">
    <cfRule type="cellIs" dxfId="16911" priority="16749" stopIfTrue="1" operator="equal">
      <formula>"Pass"</formula>
    </cfRule>
    <cfRule type="cellIs" dxfId="16910" priority="16750" stopIfTrue="1" operator="equal">
      <formula>"Fail"</formula>
    </cfRule>
  </conditionalFormatting>
  <conditionalFormatting sqref="A946">
    <cfRule type="cellIs" dxfId="16909" priority="16747" stopIfTrue="1" operator="equal">
      <formula>"Pass"</formula>
    </cfRule>
    <cfRule type="cellIs" dxfId="16908" priority="16748" stopIfTrue="1" operator="equal">
      <formula>"Fail"</formula>
    </cfRule>
  </conditionalFormatting>
  <conditionalFormatting sqref="J946:J947">
    <cfRule type="cellIs" dxfId="16907" priority="16745" stopIfTrue="1" operator="equal">
      <formula>"Pass"</formula>
    </cfRule>
    <cfRule type="cellIs" dxfId="16906" priority="16746" stopIfTrue="1" operator="equal">
      <formula>"Fail"</formula>
    </cfRule>
  </conditionalFormatting>
  <conditionalFormatting sqref="H946:H947 I947">
    <cfRule type="cellIs" dxfId="16905" priority="16743" stopIfTrue="1" operator="equal">
      <formula>"Pass"</formula>
    </cfRule>
    <cfRule type="cellIs" dxfId="16904" priority="16744" stopIfTrue="1" operator="equal">
      <formula>"Fail"</formula>
    </cfRule>
  </conditionalFormatting>
  <conditionalFormatting sqref="F948 F946:G946 K946:N947">
    <cfRule type="cellIs" dxfId="16903" priority="16741" stopIfTrue="1" operator="equal">
      <formula>"Pass"</formula>
    </cfRule>
    <cfRule type="cellIs" dxfId="16902" priority="16742" stopIfTrue="1" operator="equal">
      <formula>"Fail"</formula>
    </cfRule>
  </conditionalFormatting>
  <conditionalFormatting sqref="T946:T948 U947:U948">
    <cfRule type="cellIs" dxfId="16901" priority="16739" stopIfTrue="1" operator="equal">
      <formula>"Fail"</formula>
    </cfRule>
    <cfRule type="cellIs" dxfId="16900" priority="16740" stopIfTrue="1" operator="equal">
      <formula>"Pass"</formula>
    </cfRule>
  </conditionalFormatting>
  <conditionalFormatting sqref="U946">
    <cfRule type="cellIs" dxfId="16899" priority="16737" stopIfTrue="1" operator="equal">
      <formula>"Fail"</formula>
    </cfRule>
    <cfRule type="cellIs" dxfId="16898" priority="16738" stopIfTrue="1" operator="equal">
      <formula>"Pass"</formula>
    </cfRule>
  </conditionalFormatting>
  <conditionalFormatting sqref="U946">
    <cfRule type="cellIs" dxfId="16897" priority="16735" stopIfTrue="1" operator="equal">
      <formula>"Fail"</formula>
    </cfRule>
    <cfRule type="cellIs" dxfId="16896" priority="16736" stopIfTrue="1" operator="equal">
      <formula>"Pass"</formula>
    </cfRule>
  </conditionalFormatting>
  <conditionalFormatting sqref="J946:J947">
    <cfRule type="cellIs" dxfId="16895" priority="16733" stopIfTrue="1" operator="equal">
      <formula>"Pass"</formula>
    </cfRule>
    <cfRule type="cellIs" dxfId="16894" priority="16734" stopIfTrue="1" operator="equal">
      <formula>"Fail"</formula>
    </cfRule>
  </conditionalFormatting>
  <conditionalFormatting sqref="H946:H947 I947">
    <cfRule type="cellIs" dxfId="16893" priority="16731" stopIfTrue="1" operator="equal">
      <formula>"Pass"</formula>
    </cfRule>
    <cfRule type="cellIs" dxfId="16892" priority="16732" stopIfTrue="1" operator="equal">
      <formula>"Fail"</formula>
    </cfRule>
  </conditionalFormatting>
  <conditionalFormatting sqref="F948 F946:G946 K946:N947">
    <cfRule type="cellIs" dxfId="16891" priority="16729" stopIfTrue="1" operator="equal">
      <formula>"Pass"</formula>
    </cfRule>
    <cfRule type="cellIs" dxfId="16890" priority="16730" stopIfTrue="1" operator="equal">
      <formula>"Fail"</formula>
    </cfRule>
  </conditionalFormatting>
  <conditionalFormatting sqref="T946:T948 U947:U948">
    <cfRule type="cellIs" dxfId="16889" priority="16727" stopIfTrue="1" operator="equal">
      <formula>"Fail"</formula>
    </cfRule>
    <cfRule type="cellIs" dxfId="16888" priority="16728" stopIfTrue="1" operator="equal">
      <formula>"Pass"</formula>
    </cfRule>
  </conditionalFormatting>
  <conditionalFormatting sqref="U946">
    <cfRule type="cellIs" dxfId="16887" priority="16725" stopIfTrue="1" operator="equal">
      <formula>"Fail"</formula>
    </cfRule>
    <cfRule type="cellIs" dxfId="16886" priority="16726" stopIfTrue="1" operator="equal">
      <formula>"Pass"</formula>
    </cfRule>
  </conditionalFormatting>
  <conditionalFormatting sqref="U946">
    <cfRule type="cellIs" dxfId="16885" priority="16723" stopIfTrue="1" operator="equal">
      <formula>"Fail"</formula>
    </cfRule>
    <cfRule type="cellIs" dxfId="16884" priority="16724" stopIfTrue="1" operator="equal">
      <formula>"Pass"</formula>
    </cfRule>
  </conditionalFormatting>
  <conditionalFormatting sqref="F946:G946 K946:N946">
    <cfRule type="cellIs" dxfId="16883" priority="16721" stopIfTrue="1" operator="equal">
      <formula>"Pass"</formula>
    </cfRule>
    <cfRule type="cellIs" dxfId="16882" priority="16722" stopIfTrue="1" operator="equal">
      <formula>"Fail"</formula>
    </cfRule>
  </conditionalFormatting>
  <conditionalFormatting sqref="K947:N947">
    <cfRule type="cellIs" dxfId="16881" priority="16719" stopIfTrue="1" operator="equal">
      <formula>"Pass"</formula>
    </cfRule>
    <cfRule type="cellIs" dxfId="16880" priority="16720" stopIfTrue="1" operator="equal">
      <formula>"Fail"</formula>
    </cfRule>
  </conditionalFormatting>
  <conditionalFormatting sqref="U946">
    <cfRule type="cellIs" dxfId="16879" priority="16717" stopIfTrue="1" operator="equal">
      <formula>"Fail"</formula>
    </cfRule>
    <cfRule type="cellIs" dxfId="16878" priority="16718" stopIfTrue="1" operator="equal">
      <formula>"Pass"</formula>
    </cfRule>
  </conditionalFormatting>
  <conditionalFormatting sqref="J946:J947">
    <cfRule type="cellIs" dxfId="16877" priority="16715" stopIfTrue="1" operator="equal">
      <formula>"Pass"</formula>
    </cfRule>
    <cfRule type="cellIs" dxfId="16876" priority="16716" stopIfTrue="1" operator="equal">
      <formula>"Fail"</formula>
    </cfRule>
  </conditionalFormatting>
  <conditionalFormatting sqref="H946:H947 I947">
    <cfRule type="cellIs" dxfId="16875" priority="16713" stopIfTrue="1" operator="equal">
      <formula>"Pass"</formula>
    </cfRule>
    <cfRule type="cellIs" dxfId="16874" priority="16714" stopIfTrue="1" operator="equal">
      <formula>"Fail"</formula>
    </cfRule>
  </conditionalFormatting>
  <conditionalFormatting sqref="F946:G946 K946:N947">
    <cfRule type="cellIs" dxfId="16873" priority="16711" stopIfTrue="1" operator="equal">
      <formula>"Pass"</formula>
    </cfRule>
    <cfRule type="cellIs" dxfId="16872" priority="16712" stopIfTrue="1" operator="equal">
      <formula>"Fail"</formula>
    </cfRule>
  </conditionalFormatting>
  <conditionalFormatting sqref="T946:T947 U947">
    <cfRule type="cellIs" dxfId="16871" priority="16709" stopIfTrue="1" operator="equal">
      <formula>"Fail"</formula>
    </cfRule>
    <cfRule type="cellIs" dxfId="16870" priority="16710" stopIfTrue="1" operator="equal">
      <formula>"Pass"</formula>
    </cfRule>
  </conditionalFormatting>
  <conditionalFormatting sqref="U946">
    <cfRule type="cellIs" dxfId="16869" priority="16707" stopIfTrue="1" operator="equal">
      <formula>"Fail"</formula>
    </cfRule>
    <cfRule type="cellIs" dxfId="16868" priority="16708" stopIfTrue="1" operator="equal">
      <formula>"Pass"</formula>
    </cfRule>
  </conditionalFormatting>
  <conditionalFormatting sqref="U946">
    <cfRule type="cellIs" dxfId="16867" priority="16705" stopIfTrue="1" operator="equal">
      <formula>"Fail"</formula>
    </cfRule>
    <cfRule type="cellIs" dxfId="16866" priority="16706" stopIfTrue="1" operator="equal">
      <formula>"Pass"</formula>
    </cfRule>
  </conditionalFormatting>
  <conditionalFormatting sqref="J946:J947">
    <cfRule type="cellIs" dxfId="16865" priority="16703" stopIfTrue="1" operator="equal">
      <formula>"Pass"</formula>
    </cfRule>
    <cfRule type="cellIs" dxfId="16864" priority="16704" stopIfTrue="1" operator="equal">
      <formula>"Fail"</formula>
    </cfRule>
  </conditionalFormatting>
  <conditionalFormatting sqref="H946:H947 I947">
    <cfRule type="cellIs" dxfId="16863" priority="16701" stopIfTrue="1" operator="equal">
      <formula>"Pass"</formula>
    </cfRule>
    <cfRule type="cellIs" dxfId="16862" priority="16702" stopIfTrue="1" operator="equal">
      <formula>"Fail"</formula>
    </cfRule>
  </conditionalFormatting>
  <conditionalFormatting sqref="F946:G946 K946:N947">
    <cfRule type="cellIs" dxfId="16861" priority="16699" stopIfTrue="1" operator="equal">
      <formula>"Pass"</formula>
    </cfRule>
    <cfRule type="cellIs" dxfId="16860" priority="16700" stopIfTrue="1" operator="equal">
      <formula>"Fail"</formula>
    </cfRule>
  </conditionalFormatting>
  <conditionalFormatting sqref="T946:T947 U947">
    <cfRule type="cellIs" dxfId="16859" priority="16697" stopIfTrue="1" operator="equal">
      <formula>"Fail"</formula>
    </cfRule>
    <cfRule type="cellIs" dxfId="16858" priority="16698" stopIfTrue="1" operator="equal">
      <formula>"Pass"</formula>
    </cfRule>
  </conditionalFormatting>
  <conditionalFormatting sqref="U946">
    <cfRule type="cellIs" dxfId="16857" priority="16695" stopIfTrue="1" operator="equal">
      <formula>"Fail"</formula>
    </cfRule>
    <cfRule type="cellIs" dxfId="16856" priority="16696" stopIfTrue="1" operator="equal">
      <formula>"Pass"</formula>
    </cfRule>
  </conditionalFormatting>
  <conditionalFormatting sqref="U946">
    <cfRule type="cellIs" dxfId="16855" priority="16693" stopIfTrue="1" operator="equal">
      <formula>"Fail"</formula>
    </cfRule>
    <cfRule type="cellIs" dxfId="16854" priority="16694" stopIfTrue="1" operator="equal">
      <formula>"Pass"</formula>
    </cfRule>
  </conditionalFormatting>
  <conditionalFormatting sqref="F946:G946 K946:N946">
    <cfRule type="cellIs" dxfId="16853" priority="16691" stopIfTrue="1" operator="equal">
      <formula>"Pass"</formula>
    </cfRule>
    <cfRule type="cellIs" dxfId="16852" priority="16692" stopIfTrue="1" operator="equal">
      <formula>"Fail"</formula>
    </cfRule>
  </conditionalFormatting>
  <conditionalFormatting sqref="K947:N947">
    <cfRule type="cellIs" dxfId="16851" priority="16689" stopIfTrue="1" operator="equal">
      <formula>"Pass"</formula>
    </cfRule>
    <cfRule type="cellIs" dxfId="16850" priority="16690" stopIfTrue="1" operator="equal">
      <formula>"Fail"</formula>
    </cfRule>
  </conditionalFormatting>
  <conditionalFormatting sqref="U946">
    <cfRule type="cellIs" dxfId="16849" priority="16687" stopIfTrue="1" operator="equal">
      <formula>"Fail"</formula>
    </cfRule>
    <cfRule type="cellIs" dxfId="16848" priority="16688" stopIfTrue="1" operator="equal">
      <formula>"Pass"</formula>
    </cfRule>
  </conditionalFormatting>
  <conditionalFormatting sqref="U946">
    <cfRule type="cellIs" dxfId="16847" priority="16685" stopIfTrue="1" operator="equal">
      <formula>"Fail"</formula>
    </cfRule>
    <cfRule type="cellIs" dxfId="16846" priority="16686" stopIfTrue="1" operator="equal">
      <formula>"Pass"</formula>
    </cfRule>
  </conditionalFormatting>
  <conditionalFormatting sqref="U946">
    <cfRule type="cellIs" dxfId="16845" priority="16683" stopIfTrue="1" operator="equal">
      <formula>"Fail"</formula>
    </cfRule>
    <cfRule type="cellIs" dxfId="16844" priority="16684" stopIfTrue="1" operator="equal">
      <formula>"Pass"</formula>
    </cfRule>
  </conditionalFormatting>
  <conditionalFormatting sqref="U946">
    <cfRule type="cellIs" dxfId="16843" priority="16681" stopIfTrue="1" operator="equal">
      <formula>"Fail"</formula>
    </cfRule>
    <cfRule type="cellIs" dxfId="16842" priority="16682" stopIfTrue="1" operator="equal">
      <formula>"Pass"</formula>
    </cfRule>
  </conditionalFormatting>
  <conditionalFormatting sqref="A949">
    <cfRule type="cellIs" dxfId="16841" priority="16679" stopIfTrue="1" operator="equal">
      <formula>"Pass"</formula>
    </cfRule>
    <cfRule type="cellIs" dxfId="16840" priority="16680" stopIfTrue="1" operator="equal">
      <formula>"Fail"</formula>
    </cfRule>
  </conditionalFormatting>
  <conditionalFormatting sqref="A949">
    <cfRule type="cellIs" dxfId="16839" priority="16677" stopIfTrue="1" operator="equal">
      <formula>"Pass"</formula>
    </cfRule>
    <cfRule type="cellIs" dxfId="16838" priority="16678" stopIfTrue="1" operator="equal">
      <formula>"Fail"</formula>
    </cfRule>
  </conditionalFormatting>
  <conditionalFormatting sqref="A949">
    <cfRule type="cellIs" dxfId="16837" priority="16675" stopIfTrue="1" operator="equal">
      <formula>"Pass"</formula>
    </cfRule>
    <cfRule type="cellIs" dxfId="16836" priority="16676" stopIfTrue="1" operator="equal">
      <formula>"Fail"</formula>
    </cfRule>
  </conditionalFormatting>
  <conditionalFormatting sqref="A949">
    <cfRule type="cellIs" dxfId="16835" priority="16673" stopIfTrue="1" operator="equal">
      <formula>"Pass"</formula>
    </cfRule>
    <cfRule type="cellIs" dxfId="16834" priority="16674" stopIfTrue="1" operator="equal">
      <formula>"Fail"</formula>
    </cfRule>
  </conditionalFormatting>
  <conditionalFormatting sqref="A949">
    <cfRule type="cellIs" dxfId="16833" priority="16671" stopIfTrue="1" operator="equal">
      <formula>"Pass"</formula>
    </cfRule>
    <cfRule type="cellIs" dxfId="16832" priority="16672" stopIfTrue="1" operator="equal">
      <formula>"Fail"</formula>
    </cfRule>
  </conditionalFormatting>
  <conditionalFormatting sqref="A949">
    <cfRule type="cellIs" dxfId="16831" priority="16669" stopIfTrue="1" operator="equal">
      <formula>"Pass"</formula>
    </cfRule>
    <cfRule type="cellIs" dxfId="16830" priority="16670" stopIfTrue="1" operator="equal">
      <formula>"Fail"</formula>
    </cfRule>
  </conditionalFormatting>
  <conditionalFormatting sqref="H949:H950">
    <cfRule type="cellIs" dxfId="16829" priority="16667" stopIfTrue="1" operator="equal">
      <formula>"Pass"</formula>
    </cfRule>
    <cfRule type="cellIs" dxfId="16828" priority="16668" stopIfTrue="1" operator="equal">
      <formula>"Fail"</formula>
    </cfRule>
  </conditionalFormatting>
  <conditionalFormatting sqref="E949:F949 E951:F951 A949 I949:M950">
    <cfRule type="cellIs" dxfId="16827" priority="16665" stopIfTrue="1" operator="equal">
      <formula>"Pass"</formula>
    </cfRule>
    <cfRule type="cellIs" dxfId="16826" priority="16666" stopIfTrue="1" operator="equal">
      <formula>"Fail"</formula>
    </cfRule>
  </conditionalFormatting>
  <conditionalFormatting sqref="T951 T949 R949:R951 S950:S951">
    <cfRule type="cellIs" dxfId="16825" priority="16663" stopIfTrue="1" operator="equal">
      <formula>"Fail"</formula>
    </cfRule>
    <cfRule type="cellIs" dxfId="16824" priority="16664" stopIfTrue="1" operator="equal">
      <formula>"Pass"</formula>
    </cfRule>
  </conditionalFormatting>
  <conditionalFormatting sqref="F949:G949 F951:G951 B949:B951 A949 J949:N950">
    <cfRule type="cellIs" dxfId="16823" priority="16661" stopIfTrue="1" operator="equal">
      <formula>"Pass"</formula>
    </cfRule>
    <cfRule type="cellIs" dxfId="16822" priority="16662" stopIfTrue="1" operator="equal">
      <formula>"Fail"</formula>
    </cfRule>
  </conditionalFormatting>
  <conditionalFormatting sqref="U951 T949:T951 S950:S951">
    <cfRule type="cellIs" dxfId="16821" priority="16659" stopIfTrue="1" operator="equal">
      <formula>"Fail"</formula>
    </cfRule>
    <cfRule type="cellIs" dxfId="16820" priority="16660" stopIfTrue="1" operator="equal">
      <formula>"Pass"</formula>
    </cfRule>
  </conditionalFormatting>
  <conditionalFormatting sqref="A949">
    <cfRule type="cellIs" dxfId="16819" priority="16657" stopIfTrue="1" operator="equal">
      <formula>"Pass"</formula>
    </cfRule>
    <cfRule type="cellIs" dxfId="16818" priority="16658" stopIfTrue="1" operator="equal">
      <formula>"Fail"</formula>
    </cfRule>
  </conditionalFormatting>
  <conditionalFormatting sqref="A949">
    <cfRule type="cellIs" dxfId="16817" priority="16655" stopIfTrue="1" operator="equal">
      <formula>"Pass"</formula>
    </cfRule>
    <cfRule type="cellIs" dxfId="16816" priority="16656" stopIfTrue="1" operator="equal">
      <formula>"Fail"</formula>
    </cfRule>
  </conditionalFormatting>
  <conditionalFormatting sqref="A949">
    <cfRule type="cellIs" dxfId="16815" priority="16653" stopIfTrue="1" operator="equal">
      <formula>"Pass"</formula>
    </cfRule>
    <cfRule type="cellIs" dxfId="16814" priority="16654" stopIfTrue="1" operator="equal">
      <formula>"Fail"</formula>
    </cfRule>
  </conditionalFormatting>
  <conditionalFormatting sqref="A949">
    <cfRule type="cellIs" dxfId="16813" priority="16651" stopIfTrue="1" operator="equal">
      <formula>"Pass"</formula>
    </cfRule>
    <cfRule type="cellIs" dxfId="16812" priority="16652" stopIfTrue="1" operator="equal">
      <formula>"Fail"</formula>
    </cfRule>
  </conditionalFormatting>
  <conditionalFormatting sqref="A949">
    <cfRule type="cellIs" dxfId="16811" priority="16649" stopIfTrue="1" operator="equal">
      <formula>"Pass"</formula>
    </cfRule>
    <cfRule type="cellIs" dxfId="16810" priority="16650" stopIfTrue="1" operator="equal">
      <formula>"Fail"</formula>
    </cfRule>
  </conditionalFormatting>
  <conditionalFormatting sqref="A949">
    <cfRule type="cellIs" dxfId="16809" priority="16647" stopIfTrue="1" operator="equal">
      <formula>"Pass"</formula>
    </cfRule>
    <cfRule type="cellIs" dxfId="16808" priority="16648" stopIfTrue="1" operator="equal">
      <formula>"Fail"</formula>
    </cfRule>
  </conditionalFormatting>
  <conditionalFormatting sqref="A949">
    <cfRule type="cellIs" dxfId="16807" priority="16645" stopIfTrue="1" operator="equal">
      <formula>"Pass"</formula>
    </cfRule>
    <cfRule type="cellIs" dxfId="16806" priority="16646" stopIfTrue="1" operator="equal">
      <formula>"Fail"</formula>
    </cfRule>
  </conditionalFormatting>
  <conditionalFormatting sqref="A949">
    <cfRule type="cellIs" dxfId="16805" priority="16643" stopIfTrue="1" operator="equal">
      <formula>"Pass"</formula>
    </cfRule>
    <cfRule type="cellIs" dxfId="16804" priority="16644" stopIfTrue="1" operator="equal">
      <formula>"Fail"</formula>
    </cfRule>
  </conditionalFormatting>
  <conditionalFormatting sqref="A949">
    <cfRule type="cellIs" dxfId="16803" priority="16641" stopIfTrue="1" operator="equal">
      <formula>"Pass"</formula>
    </cfRule>
    <cfRule type="cellIs" dxfId="16802" priority="16642" stopIfTrue="1" operator="equal">
      <formula>"Fail"</formula>
    </cfRule>
  </conditionalFormatting>
  <conditionalFormatting sqref="A949">
    <cfRule type="cellIs" dxfId="16801" priority="16639" stopIfTrue="1" operator="equal">
      <formula>"Pass"</formula>
    </cfRule>
    <cfRule type="cellIs" dxfId="16800" priority="16640" stopIfTrue="1" operator="equal">
      <formula>"Fail"</formula>
    </cfRule>
  </conditionalFormatting>
  <conditionalFormatting sqref="U949">
    <cfRule type="cellIs" dxfId="16799" priority="16637" stopIfTrue="1" operator="equal">
      <formula>"Fail"</formula>
    </cfRule>
    <cfRule type="cellIs" dxfId="16798" priority="16638" stopIfTrue="1" operator="equal">
      <formula>"Pass"</formula>
    </cfRule>
  </conditionalFormatting>
  <conditionalFormatting sqref="F949:G949 J949:N949">
    <cfRule type="cellIs" dxfId="16797" priority="16635" stopIfTrue="1" operator="equal">
      <formula>"Pass"</formula>
    </cfRule>
    <cfRule type="cellIs" dxfId="16796" priority="16636" stopIfTrue="1" operator="equal">
      <formula>"Fail"</formula>
    </cfRule>
  </conditionalFormatting>
  <conditionalFormatting sqref="J950:N950">
    <cfRule type="cellIs" dxfId="16795" priority="16633" stopIfTrue="1" operator="equal">
      <formula>"Pass"</formula>
    </cfRule>
    <cfRule type="cellIs" dxfId="16794" priority="16634" stopIfTrue="1" operator="equal">
      <formula>"Fail"</formula>
    </cfRule>
  </conditionalFormatting>
  <conditionalFormatting sqref="A949">
    <cfRule type="cellIs" dxfId="16793" priority="16631" stopIfTrue="1" operator="equal">
      <formula>"Pass"</formula>
    </cfRule>
    <cfRule type="cellIs" dxfId="16792" priority="16632" stopIfTrue="1" operator="equal">
      <formula>"Fail"</formula>
    </cfRule>
  </conditionalFormatting>
  <conditionalFormatting sqref="A949">
    <cfRule type="cellIs" dxfId="16791" priority="16629" stopIfTrue="1" operator="equal">
      <formula>"Pass"</formula>
    </cfRule>
    <cfRule type="cellIs" dxfId="16790" priority="16630" stopIfTrue="1" operator="equal">
      <formula>"Fail"</formula>
    </cfRule>
  </conditionalFormatting>
  <conditionalFormatting sqref="A949">
    <cfRule type="cellIs" dxfId="16789" priority="16627" stopIfTrue="1" operator="equal">
      <formula>"Pass"</formula>
    </cfRule>
    <cfRule type="cellIs" dxfId="16788" priority="16628" stopIfTrue="1" operator="equal">
      <formula>"Fail"</formula>
    </cfRule>
  </conditionalFormatting>
  <conditionalFormatting sqref="A949">
    <cfRule type="cellIs" dxfId="16787" priority="16625" stopIfTrue="1" operator="equal">
      <formula>"Pass"</formula>
    </cfRule>
    <cfRule type="cellIs" dxfId="16786" priority="16626" stopIfTrue="1" operator="equal">
      <formula>"Fail"</formula>
    </cfRule>
  </conditionalFormatting>
  <conditionalFormatting sqref="A949">
    <cfRule type="cellIs" dxfId="16785" priority="16623" stopIfTrue="1" operator="equal">
      <formula>"Pass"</formula>
    </cfRule>
    <cfRule type="cellIs" dxfId="16784" priority="16624" stopIfTrue="1" operator="equal">
      <formula>"Fail"</formula>
    </cfRule>
  </conditionalFormatting>
  <conditionalFormatting sqref="A949">
    <cfRule type="cellIs" dxfId="16783" priority="16621" stopIfTrue="1" operator="equal">
      <formula>"Pass"</formula>
    </cfRule>
    <cfRule type="cellIs" dxfId="16782" priority="16622" stopIfTrue="1" operator="equal">
      <formula>"Fail"</formula>
    </cfRule>
  </conditionalFormatting>
  <conditionalFormatting sqref="A949">
    <cfRule type="cellIs" dxfId="16781" priority="16619" stopIfTrue="1" operator="equal">
      <formula>"Pass"</formula>
    </cfRule>
    <cfRule type="cellIs" dxfId="16780" priority="16620" stopIfTrue="1" operator="equal">
      <formula>"Fail"</formula>
    </cfRule>
  </conditionalFormatting>
  <conditionalFormatting sqref="A949">
    <cfRule type="cellIs" dxfId="16779" priority="16617" stopIfTrue="1" operator="equal">
      <formula>"Pass"</formula>
    </cfRule>
    <cfRule type="cellIs" dxfId="16778" priority="16618" stopIfTrue="1" operator="equal">
      <formula>"Fail"</formula>
    </cfRule>
  </conditionalFormatting>
  <conditionalFormatting sqref="A949">
    <cfRule type="cellIs" dxfId="16777" priority="16615" stopIfTrue="1" operator="equal">
      <formula>"Pass"</formula>
    </cfRule>
    <cfRule type="cellIs" dxfId="16776" priority="16616" stopIfTrue="1" operator="equal">
      <formula>"Fail"</formula>
    </cfRule>
  </conditionalFormatting>
  <conditionalFormatting sqref="A949">
    <cfRule type="cellIs" dxfId="16775" priority="16613" stopIfTrue="1" operator="equal">
      <formula>"Pass"</formula>
    </cfRule>
    <cfRule type="cellIs" dxfId="16774" priority="16614" stopIfTrue="1" operator="equal">
      <formula>"Fail"</formula>
    </cfRule>
  </conditionalFormatting>
  <conditionalFormatting sqref="A949">
    <cfRule type="cellIs" dxfId="16773" priority="16611" stopIfTrue="1" operator="equal">
      <formula>"Pass"</formula>
    </cfRule>
    <cfRule type="cellIs" dxfId="16772" priority="16612" stopIfTrue="1" operator="equal">
      <formula>"Fail"</formula>
    </cfRule>
  </conditionalFormatting>
  <conditionalFormatting sqref="A949">
    <cfRule type="cellIs" dxfId="16771" priority="16609" stopIfTrue="1" operator="equal">
      <formula>"Pass"</formula>
    </cfRule>
    <cfRule type="cellIs" dxfId="16770" priority="16610" stopIfTrue="1" operator="equal">
      <formula>"Fail"</formula>
    </cfRule>
  </conditionalFormatting>
  <conditionalFormatting sqref="H949:H950">
    <cfRule type="cellIs" dxfId="16769" priority="16607" stopIfTrue="1" operator="equal">
      <formula>"Pass"</formula>
    </cfRule>
    <cfRule type="cellIs" dxfId="16768" priority="16608" stopIfTrue="1" operator="equal">
      <formula>"Fail"</formula>
    </cfRule>
  </conditionalFormatting>
  <conditionalFormatting sqref="F949 F951 I949:M950">
    <cfRule type="cellIs" dxfId="16767" priority="16605" stopIfTrue="1" operator="equal">
      <formula>"Pass"</formula>
    </cfRule>
    <cfRule type="cellIs" dxfId="16766" priority="16606" stopIfTrue="1" operator="equal">
      <formula>"Fail"</formula>
    </cfRule>
  </conditionalFormatting>
  <conditionalFormatting sqref="T951 T949 R949:R951 S950:S951">
    <cfRule type="cellIs" dxfId="16765" priority="16603" stopIfTrue="1" operator="equal">
      <formula>"Fail"</formula>
    </cfRule>
    <cfRule type="cellIs" dxfId="16764" priority="16604" stopIfTrue="1" operator="equal">
      <formula>"Pass"</formula>
    </cfRule>
  </conditionalFormatting>
  <conditionalFormatting sqref="F949:G949 F951:G951 J949:N950">
    <cfRule type="cellIs" dxfId="16763" priority="16601" stopIfTrue="1" operator="equal">
      <formula>"Pass"</formula>
    </cfRule>
    <cfRule type="cellIs" dxfId="16762" priority="16602" stopIfTrue="1" operator="equal">
      <formula>"Fail"</formula>
    </cfRule>
  </conditionalFormatting>
  <conditionalFormatting sqref="U951 T949:T951 S950:S951">
    <cfRule type="cellIs" dxfId="16761" priority="16599" stopIfTrue="1" operator="equal">
      <formula>"Fail"</formula>
    </cfRule>
    <cfRule type="cellIs" dxfId="16760" priority="16600" stopIfTrue="1" operator="equal">
      <formula>"Pass"</formula>
    </cfRule>
  </conditionalFormatting>
  <conditionalFormatting sqref="U949">
    <cfRule type="cellIs" dxfId="16759" priority="16597" stopIfTrue="1" operator="equal">
      <formula>"Fail"</formula>
    </cfRule>
    <cfRule type="cellIs" dxfId="16758" priority="16598" stopIfTrue="1" operator="equal">
      <formula>"Pass"</formula>
    </cfRule>
  </conditionalFormatting>
  <conditionalFormatting sqref="F949:G949 J949:N949">
    <cfRule type="cellIs" dxfId="16757" priority="16595" stopIfTrue="1" operator="equal">
      <formula>"Pass"</formula>
    </cfRule>
    <cfRule type="cellIs" dxfId="16756" priority="16596" stopIfTrue="1" operator="equal">
      <formula>"Fail"</formula>
    </cfRule>
  </conditionalFormatting>
  <conditionalFormatting sqref="J950:N950">
    <cfRule type="cellIs" dxfId="16755" priority="16593" stopIfTrue="1" operator="equal">
      <formula>"Pass"</formula>
    </cfRule>
    <cfRule type="cellIs" dxfId="16754" priority="16594" stopIfTrue="1" operator="equal">
      <formula>"Fail"</formula>
    </cfRule>
  </conditionalFormatting>
  <conditionalFormatting sqref="H949:H950">
    <cfRule type="cellIs" dxfId="16753" priority="16591" stopIfTrue="1" operator="equal">
      <formula>"Pass"</formula>
    </cfRule>
    <cfRule type="cellIs" dxfId="16752" priority="16592" stopIfTrue="1" operator="equal">
      <formula>"Fail"</formula>
    </cfRule>
  </conditionalFormatting>
  <conditionalFormatting sqref="F949 F951 I949:M950">
    <cfRule type="cellIs" dxfId="16751" priority="16589" stopIfTrue="1" operator="equal">
      <formula>"Pass"</formula>
    </cfRule>
    <cfRule type="cellIs" dxfId="16750" priority="16590" stopIfTrue="1" operator="equal">
      <formula>"Fail"</formula>
    </cfRule>
  </conditionalFormatting>
  <conditionalFormatting sqref="T951 T949 R949:R951 S950:S951">
    <cfRule type="cellIs" dxfId="16749" priority="16587" stopIfTrue="1" operator="equal">
      <formula>"Fail"</formula>
    </cfRule>
    <cfRule type="cellIs" dxfId="16748" priority="16588" stopIfTrue="1" operator="equal">
      <formula>"Pass"</formula>
    </cfRule>
  </conditionalFormatting>
  <conditionalFormatting sqref="F949:G949 F951:G951 J949:N950">
    <cfRule type="cellIs" dxfId="16747" priority="16585" stopIfTrue="1" operator="equal">
      <formula>"Pass"</formula>
    </cfRule>
    <cfRule type="cellIs" dxfId="16746" priority="16586" stopIfTrue="1" operator="equal">
      <formula>"Fail"</formula>
    </cfRule>
  </conditionalFormatting>
  <conditionalFormatting sqref="U951 T949:T951 S950:S951">
    <cfRule type="cellIs" dxfId="16745" priority="16583" stopIfTrue="1" operator="equal">
      <formula>"Fail"</formula>
    </cfRule>
    <cfRule type="cellIs" dxfId="16744" priority="16584" stopIfTrue="1" operator="equal">
      <formula>"Pass"</formula>
    </cfRule>
  </conditionalFormatting>
  <conditionalFormatting sqref="U949">
    <cfRule type="cellIs" dxfId="16743" priority="16581" stopIfTrue="1" operator="equal">
      <formula>"Fail"</formula>
    </cfRule>
    <cfRule type="cellIs" dxfId="16742" priority="16582" stopIfTrue="1" operator="equal">
      <formula>"Pass"</formula>
    </cfRule>
  </conditionalFormatting>
  <conditionalFormatting sqref="F949:G949 J949:N949">
    <cfRule type="cellIs" dxfId="16741" priority="16579" stopIfTrue="1" operator="equal">
      <formula>"Pass"</formula>
    </cfRule>
    <cfRule type="cellIs" dxfId="16740" priority="16580" stopIfTrue="1" operator="equal">
      <formula>"Fail"</formula>
    </cfRule>
  </conditionalFormatting>
  <conditionalFormatting sqref="J950:N950">
    <cfRule type="cellIs" dxfId="16739" priority="16577" stopIfTrue="1" operator="equal">
      <formula>"Pass"</formula>
    </cfRule>
    <cfRule type="cellIs" dxfId="16738" priority="16578" stopIfTrue="1" operator="equal">
      <formula>"Fail"</formula>
    </cfRule>
  </conditionalFormatting>
  <conditionalFormatting sqref="U949">
    <cfRule type="cellIs" dxfId="16737" priority="16575" stopIfTrue="1" operator="equal">
      <formula>"Fail"</formula>
    </cfRule>
    <cfRule type="cellIs" dxfId="16736" priority="16576" stopIfTrue="1" operator="equal">
      <formula>"Pass"</formula>
    </cfRule>
  </conditionalFormatting>
  <conditionalFormatting sqref="U949">
    <cfRule type="cellIs" dxfId="16735" priority="16573" stopIfTrue="1" operator="equal">
      <formula>"Fail"</formula>
    </cfRule>
    <cfRule type="cellIs" dxfId="16734" priority="16574" stopIfTrue="1" operator="equal">
      <formula>"Pass"</formula>
    </cfRule>
  </conditionalFormatting>
  <conditionalFormatting sqref="U949">
    <cfRule type="cellIs" dxfId="16733" priority="16571" stopIfTrue="1" operator="equal">
      <formula>"Fail"</formula>
    </cfRule>
    <cfRule type="cellIs" dxfId="16732" priority="16572" stopIfTrue="1" operator="equal">
      <formula>"Pass"</formula>
    </cfRule>
  </conditionalFormatting>
  <conditionalFormatting sqref="N949">
    <cfRule type="cellIs" dxfId="16731" priority="16569" stopIfTrue="1" operator="equal">
      <formula>"Pass"</formula>
    </cfRule>
    <cfRule type="cellIs" dxfId="16730" priority="16570" stopIfTrue="1" operator="equal">
      <formula>"Fail"</formula>
    </cfRule>
  </conditionalFormatting>
  <conditionalFormatting sqref="N949">
    <cfRule type="cellIs" dxfId="16729" priority="16567" stopIfTrue="1" operator="equal">
      <formula>"Pass"</formula>
    </cfRule>
    <cfRule type="cellIs" dxfId="16728" priority="16568" stopIfTrue="1" operator="equal">
      <formula>"Fail"</formula>
    </cfRule>
  </conditionalFormatting>
  <conditionalFormatting sqref="N949">
    <cfRule type="cellIs" dxfId="16727" priority="16565" stopIfTrue="1" operator="equal">
      <formula>"Pass"</formula>
    </cfRule>
    <cfRule type="cellIs" dxfId="16726" priority="16566" stopIfTrue="1" operator="equal">
      <formula>"Fail"</formula>
    </cfRule>
  </conditionalFormatting>
  <conditionalFormatting sqref="A946">
    <cfRule type="cellIs" dxfId="16725" priority="16563" stopIfTrue="1" operator="equal">
      <formula>"Pass"</formula>
    </cfRule>
    <cfRule type="cellIs" dxfId="16724" priority="16564" stopIfTrue="1" operator="equal">
      <formula>"Fail"</formula>
    </cfRule>
  </conditionalFormatting>
  <conditionalFormatting sqref="A946">
    <cfRule type="cellIs" dxfId="16723" priority="16561" stopIfTrue="1" operator="equal">
      <formula>"Pass"</formula>
    </cfRule>
    <cfRule type="cellIs" dxfId="16722" priority="16562" stopIfTrue="1" operator="equal">
      <formula>"Fail"</formula>
    </cfRule>
  </conditionalFormatting>
  <conditionalFormatting sqref="A946">
    <cfRule type="cellIs" dxfId="16721" priority="16559" stopIfTrue="1" operator="equal">
      <formula>"Pass"</formula>
    </cfRule>
    <cfRule type="cellIs" dxfId="16720" priority="16560" stopIfTrue="1" operator="equal">
      <formula>"Fail"</formula>
    </cfRule>
  </conditionalFormatting>
  <conditionalFormatting sqref="A946">
    <cfRule type="cellIs" dxfId="16719" priority="16557" stopIfTrue="1" operator="equal">
      <formula>"Pass"</formula>
    </cfRule>
    <cfRule type="cellIs" dxfId="16718" priority="16558" stopIfTrue="1" operator="equal">
      <formula>"Fail"</formula>
    </cfRule>
  </conditionalFormatting>
  <conditionalFormatting sqref="A946">
    <cfRule type="cellIs" dxfId="16717" priority="16555" stopIfTrue="1" operator="equal">
      <formula>"Pass"</formula>
    </cfRule>
    <cfRule type="cellIs" dxfId="16716" priority="16556" stopIfTrue="1" operator="equal">
      <formula>"Fail"</formula>
    </cfRule>
  </conditionalFormatting>
  <conditionalFormatting sqref="A946">
    <cfRule type="cellIs" dxfId="16715" priority="16553" stopIfTrue="1" operator="equal">
      <formula>"Pass"</formula>
    </cfRule>
    <cfRule type="cellIs" dxfId="16714" priority="16554" stopIfTrue="1" operator="equal">
      <formula>"Fail"</formula>
    </cfRule>
  </conditionalFormatting>
  <conditionalFormatting sqref="A946">
    <cfRule type="cellIs" dxfId="16713" priority="16551" stopIfTrue="1" operator="equal">
      <formula>"Pass"</formula>
    </cfRule>
    <cfRule type="cellIs" dxfId="16712" priority="16552" stopIfTrue="1" operator="equal">
      <formula>"Fail"</formula>
    </cfRule>
  </conditionalFormatting>
  <conditionalFormatting sqref="A946">
    <cfRule type="cellIs" dxfId="16711" priority="16549" stopIfTrue="1" operator="equal">
      <formula>"Pass"</formula>
    </cfRule>
    <cfRule type="cellIs" dxfId="16710" priority="16550" stopIfTrue="1" operator="equal">
      <formula>"Fail"</formula>
    </cfRule>
  </conditionalFormatting>
  <conditionalFormatting sqref="A946">
    <cfRule type="cellIs" dxfId="16709" priority="16547" stopIfTrue="1" operator="equal">
      <formula>"Pass"</formula>
    </cfRule>
    <cfRule type="cellIs" dxfId="16708" priority="16548" stopIfTrue="1" operator="equal">
      <formula>"Fail"</formula>
    </cfRule>
  </conditionalFormatting>
  <conditionalFormatting sqref="A946">
    <cfRule type="cellIs" dxfId="16707" priority="16545" stopIfTrue="1" operator="equal">
      <formula>"Pass"</formula>
    </cfRule>
    <cfRule type="cellIs" dxfId="16706" priority="16546" stopIfTrue="1" operator="equal">
      <formula>"Fail"</formula>
    </cfRule>
  </conditionalFormatting>
  <conditionalFormatting sqref="A946">
    <cfRule type="cellIs" dxfId="16705" priority="16543" stopIfTrue="1" operator="equal">
      <formula>"Pass"</formula>
    </cfRule>
    <cfRule type="cellIs" dxfId="16704" priority="16544" stopIfTrue="1" operator="equal">
      <formula>"Fail"</formula>
    </cfRule>
  </conditionalFormatting>
  <conditionalFormatting sqref="A946">
    <cfRule type="cellIs" dxfId="16703" priority="16541" stopIfTrue="1" operator="equal">
      <formula>"Pass"</formula>
    </cfRule>
    <cfRule type="cellIs" dxfId="16702" priority="16542" stopIfTrue="1" operator="equal">
      <formula>"Fail"</formula>
    </cfRule>
  </conditionalFormatting>
  <conditionalFormatting sqref="A946">
    <cfRule type="cellIs" dxfId="16701" priority="16539" stopIfTrue="1" operator="equal">
      <formula>"Pass"</formula>
    </cfRule>
    <cfRule type="cellIs" dxfId="16700" priority="16540" stopIfTrue="1" operator="equal">
      <formula>"Fail"</formula>
    </cfRule>
  </conditionalFormatting>
  <conditionalFormatting sqref="A946">
    <cfRule type="cellIs" dxfId="16699" priority="16537" stopIfTrue="1" operator="equal">
      <formula>"Pass"</formula>
    </cfRule>
    <cfRule type="cellIs" dxfId="16698" priority="16538" stopIfTrue="1" operator="equal">
      <formula>"Fail"</formula>
    </cfRule>
  </conditionalFormatting>
  <conditionalFormatting sqref="A946">
    <cfRule type="cellIs" dxfId="16697" priority="16535" stopIfTrue="1" operator="equal">
      <formula>"Pass"</formula>
    </cfRule>
    <cfRule type="cellIs" dxfId="16696" priority="16536" stopIfTrue="1" operator="equal">
      <formula>"Fail"</formula>
    </cfRule>
  </conditionalFormatting>
  <conditionalFormatting sqref="A946">
    <cfRule type="cellIs" dxfId="16695" priority="16533" stopIfTrue="1" operator="equal">
      <formula>"Pass"</formula>
    </cfRule>
    <cfRule type="cellIs" dxfId="16694" priority="16534" stopIfTrue="1" operator="equal">
      <formula>"Fail"</formula>
    </cfRule>
  </conditionalFormatting>
  <conditionalFormatting sqref="A946">
    <cfRule type="cellIs" dxfId="16693" priority="16531" stopIfTrue="1" operator="equal">
      <formula>"Pass"</formula>
    </cfRule>
    <cfRule type="cellIs" dxfId="16692" priority="16532" stopIfTrue="1" operator="equal">
      <formula>"Fail"</formula>
    </cfRule>
  </conditionalFormatting>
  <conditionalFormatting sqref="A946">
    <cfRule type="cellIs" dxfId="16691" priority="16529" stopIfTrue="1" operator="equal">
      <formula>"Pass"</formula>
    </cfRule>
    <cfRule type="cellIs" dxfId="16690" priority="16530" stopIfTrue="1" operator="equal">
      <formula>"Fail"</formula>
    </cfRule>
  </conditionalFormatting>
  <conditionalFormatting sqref="A949">
    <cfRule type="cellIs" dxfId="16689" priority="16527" stopIfTrue="1" operator="equal">
      <formula>"Pass"</formula>
    </cfRule>
    <cfRule type="cellIs" dxfId="16688" priority="16528" stopIfTrue="1" operator="equal">
      <formula>"Fail"</formula>
    </cfRule>
  </conditionalFormatting>
  <conditionalFormatting sqref="A949">
    <cfRule type="cellIs" dxfId="16687" priority="16525" stopIfTrue="1" operator="equal">
      <formula>"Pass"</formula>
    </cfRule>
    <cfRule type="cellIs" dxfId="16686" priority="16526" stopIfTrue="1" operator="equal">
      <formula>"Fail"</formula>
    </cfRule>
  </conditionalFormatting>
  <conditionalFormatting sqref="A949">
    <cfRule type="cellIs" dxfId="16685" priority="16523" stopIfTrue="1" operator="equal">
      <formula>"Pass"</formula>
    </cfRule>
    <cfRule type="cellIs" dxfId="16684" priority="16524" stopIfTrue="1" operator="equal">
      <formula>"Fail"</formula>
    </cfRule>
  </conditionalFormatting>
  <conditionalFormatting sqref="A949">
    <cfRule type="cellIs" dxfId="16683" priority="16521" stopIfTrue="1" operator="equal">
      <formula>"Pass"</formula>
    </cfRule>
    <cfRule type="cellIs" dxfId="16682" priority="16522" stopIfTrue="1" operator="equal">
      <formula>"Fail"</formula>
    </cfRule>
  </conditionalFormatting>
  <conditionalFormatting sqref="A949">
    <cfRule type="cellIs" dxfId="16681" priority="16519" stopIfTrue="1" operator="equal">
      <formula>"Pass"</formula>
    </cfRule>
    <cfRule type="cellIs" dxfId="16680" priority="16520" stopIfTrue="1" operator="equal">
      <formula>"Fail"</formula>
    </cfRule>
  </conditionalFormatting>
  <conditionalFormatting sqref="A949">
    <cfRule type="cellIs" dxfId="16679" priority="16517" stopIfTrue="1" operator="equal">
      <formula>"Pass"</formula>
    </cfRule>
    <cfRule type="cellIs" dxfId="16678" priority="16518" stopIfTrue="1" operator="equal">
      <formula>"Fail"</formula>
    </cfRule>
  </conditionalFormatting>
  <conditionalFormatting sqref="A949">
    <cfRule type="cellIs" dxfId="16677" priority="16515" stopIfTrue="1" operator="equal">
      <formula>"Pass"</formula>
    </cfRule>
    <cfRule type="cellIs" dxfId="16676" priority="16516" stopIfTrue="1" operator="equal">
      <formula>"Fail"</formula>
    </cfRule>
  </conditionalFormatting>
  <conditionalFormatting sqref="A949">
    <cfRule type="cellIs" dxfId="16675" priority="16513" stopIfTrue="1" operator="equal">
      <formula>"Pass"</formula>
    </cfRule>
    <cfRule type="cellIs" dxfId="16674" priority="16514" stopIfTrue="1" operator="equal">
      <formula>"Fail"</formula>
    </cfRule>
  </conditionalFormatting>
  <conditionalFormatting sqref="A949">
    <cfRule type="cellIs" dxfId="16673" priority="16511" stopIfTrue="1" operator="equal">
      <formula>"Pass"</formula>
    </cfRule>
    <cfRule type="cellIs" dxfId="16672" priority="16512" stopIfTrue="1" operator="equal">
      <formula>"Fail"</formula>
    </cfRule>
  </conditionalFormatting>
  <conditionalFormatting sqref="A949">
    <cfRule type="cellIs" dxfId="16671" priority="16509" stopIfTrue="1" operator="equal">
      <formula>"Pass"</formula>
    </cfRule>
    <cfRule type="cellIs" dxfId="16670" priority="16510" stopIfTrue="1" operator="equal">
      <formula>"Fail"</formula>
    </cfRule>
  </conditionalFormatting>
  <conditionalFormatting sqref="A949">
    <cfRule type="cellIs" dxfId="16669" priority="16507" stopIfTrue="1" operator="equal">
      <formula>"Pass"</formula>
    </cfRule>
    <cfRule type="cellIs" dxfId="16668" priority="16508" stopIfTrue="1" operator="equal">
      <formula>"Fail"</formula>
    </cfRule>
  </conditionalFormatting>
  <conditionalFormatting sqref="A949">
    <cfRule type="cellIs" dxfId="16667" priority="16505" stopIfTrue="1" operator="equal">
      <formula>"Pass"</formula>
    </cfRule>
    <cfRule type="cellIs" dxfId="16666" priority="16506" stopIfTrue="1" operator="equal">
      <formula>"Fail"</formula>
    </cfRule>
  </conditionalFormatting>
  <conditionalFormatting sqref="A949">
    <cfRule type="cellIs" dxfId="16665" priority="16503" stopIfTrue="1" operator="equal">
      <formula>"Pass"</formula>
    </cfRule>
    <cfRule type="cellIs" dxfId="16664" priority="16504" stopIfTrue="1" operator="equal">
      <formula>"Fail"</formula>
    </cfRule>
  </conditionalFormatting>
  <conditionalFormatting sqref="A949">
    <cfRule type="cellIs" dxfId="16663" priority="16501" stopIfTrue="1" operator="equal">
      <formula>"Pass"</formula>
    </cfRule>
    <cfRule type="cellIs" dxfId="16662" priority="16502" stopIfTrue="1" operator="equal">
      <formula>"Fail"</formula>
    </cfRule>
  </conditionalFormatting>
  <conditionalFormatting sqref="A949">
    <cfRule type="cellIs" dxfId="16661" priority="16499" stopIfTrue="1" operator="equal">
      <formula>"Pass"</formula>
    </cfRule>
    <cfRule type="cellIs" dxfId="16660" priority="16500" stopIfTrue="1" operator="equal">
      <formula>"Fail"</formula>
    </cfRule>
  </conditionalFormatting>
  <conditionalFormatting sqref="A949">
    <cfRule type="cellIs" dxfId="16659" priority="16497" stopIfTrue="1" operator="equal">
      <formula>"Pass"</formula>
    </cfRule>
    <cfRule type="cellIs" dxfId="16658" priority="16498" stopIfTrue="1" operator="equal">
      <formula>"Fail"</formula>
    </cfRule>
  </conditionalFormatting>
  <conditionalFormatting sqref="A949">
    <cfRule type="cellIs" dxfId="16657" priority="16495" stopIfTrue="1" operator="equal">
      <formula>"Pass"</formula>
    </cfRule>
    <cfRule type="cellIs" dxfId="16656" priority="16496" stopIfTrue="1" operator="equal">
      <formula>"Fail"</formula>
    </cfRule>
  </conditionalFormatting>
  <conditionalFormatting sqref="A949">
    <cfRule type="cellIs" dxfId="16655" priority="16493" stopIfTrue="1" operator="equal">
      <formula>"Pass"</formula>
    </cfRule>
    <cfRule type="cellIs" dxfId="16654" priority="16494" stopIfTrue="1" operator="equal">
      <formula>"Fail"</formula>
    </cfRule>
  </conditionalFormatting>
  <conditionalFormatting sqref="H949:H950">
    <cfRule type="cellIs" dxfId="16653" priority="16491" stopIfTrue="1" operator="equal">
      <formula>"Pass"</formula>
    </cfRule>
    <cfRule type="cellIs" dxfId="16652" priority="16492" stopIfTrue="1" operator="equal">
      <formula>"Fail"</formula>
    </cfRule>
  </conditionalFormatting>
  <conditionalFormatting sqref="F949 F951 I949:M950">
    <cfRule type="cellIs" dxfId="16651" priority="16489" stopIfTrue="1" operator="equal">
      <formula>"Pass"</formula>
    </cfRule>
    <cfRule type="cellIs" dxfId="16650" priority="16490" stopIfTrue="1" operator="equal">
      <formula>"Fail"</formula>
    </cfRule>
  </conditionalFormatting>
  <conditionalFormatting sqref="T951 T949 R949:R951 S950:S951">
    <cfRule type="cellIs" dxfId="16649" priority="16487" stopIfTrue="1" operator="equal">
      <formula>"Fail"</formula>
    </cfRule>
    <cfRule type="cellIs" dxfId="16648" priority="16488" stopIfTrue="1" operator="equal">
      <formula>"Pass"</formula>
    </cfRule>
  </conditionalFormatting>
  <conditionalFormatting sqref="F949:G949 F951:G951 J949:N950">
    <cfRule type="cellIs" dxfId="16647" priority="16485" stopIfTrue="1" operator="equal">
      <formula>"Pass"</formula>
    </cfRule>
    <cfRule type="cellIs" dxfId="16646" priority="16486" stopIfTrue="1" operator="equal">
      <formula>"Fail"</formula>
    </cfRule>
  </conditionalFormatting>
  <conditionalFormatting sqref="U951 T949:T951 S950:S951">
    <cfRule type="cellIs" dxfId="16645" priority="16483" stopIfTrue="1" operator="equal">
      <formula>"Fail"</formula>
    </cfRule>
    <cfRule type="cellIs" dxfId="16644" priority="16484" stopIfTrue="1" operator="equal">
      <formula>"Pass"</formula>
    </cfRule>
  </conditionalFormatting>
  <conditionalFormatting sqref="U949">
    <cfRule type="cellIs" dxfId="16643" priority="16481" stopIfTrue="1" operator="equal">
      <formula>"Fail"</formula>
    </cfRule>
    <cfRule type="cellIs" dxfId="16642" priority="16482" stopIfTrue="1" operator="equal">
      <formula>"Pass"</formula>
    </cfRule>
  </conditionalFormatting>
  <conditionalFormatting sqref="F949:G949 J949:N949">
    <cfRule type="cellIs" dxfId="16641" priority="16479" stopIfTrue="1" operator="equal">
      <formula>"Pass"</formula>
    </cfRule>
    <cfRule type="cellIs" dxfId="16640" priority="16480" stopIfTrue="1" operator="equal">
      <formula>"Fail"</formula>
    </cfRule>
  </conditionalFormatting>
  <conditionalFormatting sqref="J950:N950">
    <cfRule type="cellIs" dxfId="16639" priority="16477" stopIfTrue="1" operator="equal">
      <formula>"Pass"</formula>
    </cfRule>
    <cfRule type="cellIs" dxfId="16638" priority="16478" stopIfTrue="1" operator="equal">
      <formula>"Fail"</formula>
    </cfRule>
  </conditionalFormatting>
  <conditionalFormatting sqref="H949:H950">
    <cfRule type="cellIs" dxfId="16637" priority="16475" stopIfTrue="1" operator="equal">
      <formula>"Pass"</formula>
    </cfRule>
    <cfRule type="cellIs" dxfId="16636" priority="16476" stopIfTrue="1" operator="equal">
      <formula>"Fail"</formula>
    </cfRule>
  </conditionalFormatting>
  <conditionalFormatting sqref="F949 F951 I949:M950">
    <cfRule type="cellIs" dxfId="16635" priority="16473" stopIfTrue="1" operator="equal">
      <formula>"Pass"</formula>
    </cfRule>
    <cfRule type="cellIs" dxfId="16634" priority="16474" stopIfTrue="1" operator="equal">
      <formula>"Fail"</formula>
    </cfRule>
  </conditionalFormatting>
  <conditionalFormatting sqref="T951 T949 R949:R951 S950:S951">
    <cfRule type="cellIs" dxfId="16633" priority="16471" stopIfTrue="1" operator="equal">
      <formula>"Fail"</formula>
    </cfRule>
    <cfRule type="cellIs" dxfId="16632" priority="16472" stopIfTrue="1" operator="equal">
      <formula>"Pass"</formula>
    </cfRule>
  </conditionalFormatting>
  <conditionalFormatting sqref="F949:G949 F951:G951 J949:N950">
    <cfRule type="cellIs" dxfId="16631" priority="16469" stopIfTrue="1" operator="equal">
      <formula>"Pass"</formula>
    </cfRule>
    <cfRule type="cellIs" dxfId="16630" priority="16470" stopIfTrue="1" operator="equal">
      <formula>"Fail"</formula>
    </cfRule>
  </conditionalFormatting>
  <conditionalFormatting sqref="U951 T949:T951 S950:S951">
    <cfRule type="cellIs" dxfId="16629" priority="16467" stopIfTrue="1" operator="equal">
      <formula>"Fail"</formula>
    </cfRule>
    <cfRule type="cellIs" dxfId="16628" priority="16468" stopIfTrue="1" operator="equal">
      <formula>"Pass"</formula>
    </cfRule>
  </conditionalFormatting>
  <conditionalFormatting sqref="U949">
    <cfRule type="cellIs" dxfId="16627" priority="16465" stopIfTrue="1" operator="equal">
      <formula>"Fail"</formula>
    </cfRule>
    <cfRule type="cellIs" dxfId="16626" priority="16466" stopIfTrue="1" operator="equal">
      <formula>"Pass"</formula>
    </cfRule>
  </conditionalFormatting>
  <conditionalFormatting sqref="F949:G949 J949:N949">
    <cfRule type="cellIs" dxfId="16625" priority="16463" stopIfTrue="1" operator="equal">
      <formula>"Pass"</formula>
    </cfRule>
    <cfRule type="cellIs" dxfId="16624" priority="16464" stopIfTrue="1" operator="equal">
      <formula>"Fail"</formula>
    </cfRule>
  </conditionalFormatting>
  <conditionalFormatting sqref="J950:N950">
    <cfRule type="cellIs" dxfId="16623" priority="16461" stopIfTrue="1" operator="equal">
      <formula>"Pass"</formula>
    </cfRule>
    <cfRule type="cellIs" dxfId="16622" priority="16462" stopIfTrue="1" operator="equal">
      <formula>"Fail"</formula>
    </cfRule>
  </conditionalFormatting>
  <conditionalFormatting sqref="H949:H950">
    <cfRule type="cellIs" dxfId="16621" priority="16459" stopIfTrue="1" operator="equal">
      <formula>"Pass"</formula>
    </cfRule>
    <cfRule type="cellIs" dxfId="16620" priority="16460" stopIfTrue="1" operator="equal">
      <formula>"Fail"</formula>
    </cfRule>
  </conditionalFormatting>
  <conditionalFormatting sqref="F949 F951 I949:M950">
    <cfRule type="cellIs" dxfId="16619" priority="16457" stopIfTrue="1" operator="equal">
      <formula>"Pass"</formula>
    </cfRule>
    <cfRule type="cellIs" dxfId="16618" priority="16458" stopIfTrue="1" operator="equal">
      <formula>"Fail"</formula>
    </cfRule>
  </conditionalFormatting>
  <conditionalFormatting sqref="T951 T949 R949:R951 S950:S951">
    <cfRule type="cellIs" dxfId="16617" priority="16455" stopIfTrue="1" operator="equal">
      <formula>"Fail"</formula>
    </cfRule>
    <cfRule type="cellIs" dxfId="16616" priority="16456" stopIfTrue="1" operator="equal">
      <formula>"Pass"</formula>
    </cfRule>
  </conditionalFormatting>
  <conditionalFormatting sqref="F949:G949 F951:G951 J949:N950">
    <cfRule type="cellIs" dxfId="16615" priority="16453" stopIfTrue="1" operator="equal">
      <formula>"Pass"</formula>
    </cfRule>
    <cfRule type="cellIs" dxfId="16614" priority="16454" stopIfTrue="1" operator="equal">
      <formula>"Fail"</formula>
    </cfRule>
  </conditionalFormatting>
  <conditionalFormatting sqref="U951 T949:T951 S950:S951">
    <cfRule type="cellIs" dxfId="16613" priority="16451" stopIfTrue="1" operator="equal">
      <formula>"Fail"</formula>
    </cfRule>
    <cfRule type="cellIs" dxfId="16612" priority="16452" stopIfTrue="1" operator="equal">
      <formula>"Pass"</formula>
    </cfRule>
  </conditionalFormatting>
  <conditionalFormatting sqref="U949">
    <cfRule type="cellIs" dxfId="16611" priority="16449" stopIfTrue="1" operator="equal">
      <formula>"Fail"</formula>
    </cfRule>
    <cfRule type="cellIs" dxfId="16610" priority="16450" stopIfTrue="1" operator="equal">
      <formula>"Pass"</formula>
    </cfRule>
  </conditionalFormatting>
  <conditionalFormatting sqref="F949:G949 J949:N949">
    <cfRule type="cellIs" dxfId="16609" priority="16447" stopIfTrue="1" operator="equal">
      <formula>"Pass"</formula>
    </cfRule>
    <cfRule type="cellIs" dxfId="16608" priority="16448" stopIfTrue="1" operator="equal">
      <formula>"Fail"</formula>
    </cfRule>
  </conditionalFormatting>
  <conditionalFormatting sqref="J950:N950">
    <cfRule type="cellIs" dxfId="16607" priority="16445" stopIfTrue="1" operator="equal">
      <formula>"Pass"</formula>
    </cfRule>
    <cfRule type="cellIs" dxfId="16606" priority="16446" stopIfTrue="1" operator="equal">
      <formula>"Fail"</formula>
    </cfRule>
  </conditionalFormatting>
  <conditionalFormatting sqref="U949">
    <cfRule type="cellIs" dxfId="16605" priority="16443" stopIfTrue="1" operator="equal">
      <formula>"Fail"</formula>
    </cfRule>
    <cfRule type="cellIs" dxfId="16604" priority="16444" stopIfTrue="1" operator="equal">
      <formula>"Pass"</formula>
    </cfRule>
  </conditionalFormatting>
  <conditionalFormatting sqref="U949">
    <cfRule type="cellIs" dxfId="16603" priority="16441" stopIfTrue="1" operator="equal">
      <formula>"Fail"</formula>
    </cfRule>
    <cfRule type="cellIs" dxfId="16602" priority="16442" stopIfTrue="1" operator="equal">
      <formula>"Pass"</formula>
    </cfRule>
  </conditionalFormatting>
  <conditionalFormatting sqref="U949">
    <cfRule type="cellIs" dxfId="16601" priority="16439" stopIfTrue="1" operator="equal">
      <formula>"Fail"</formula>
    </cfRule>
    <cfRule type="cellIs" dxfId="16600" priority="16440" stopIfTrue="1" operator="equal">
      <formula>"Pass"</formula>
    </cfRule>
  </conditionalFormatting>
  <conditionalFormatting sqref="N949">
    <cfRule type="cellIs" dxfId="16599" priority="16437" stopIfTrue="1" operator="equal">
      <formula>"Pass"</formula>
    </cfRule>
    <cfRule type="cellIs" dxfId="16598" priority="16438" stopIfTrue="1" operator="equal">
      <formula>"Fail"</formula>
    </cfRule>
  </conditionalFormatting>
  <conditionalFormatting sqref="N949">
    <cfRule type="cellIs" dxfId="16597" priority="16435" stopIfTrue="1" operator="equal">
      <formula>"Pass"</formula>
    </cfRule>
    <cfRule type="cellIs" dxfId="16596" priority="16436" stopIfTrue="1" operator="equal">
      <formula>"Fail"</formula>
    </cfRule>
  </conditionalFormatting>
  <conditionalFormatting sqref="N949">
    <cfRule type="cellIs" dxfId="16595" priority="16433" stopIfTrue="1" operator="equal">
      <formula>"Pass"</formula>
    </cfRule>
    <cfRule type="cellIs" dxfId="16594" priority="16434" stopIfTrue="1" operator="equal">
      <formula>"Fail"</formula>
    </cfRule>
  </conditionalFormatting>
  <conditionalFormatting sqref="U946">
    <cfRule type="cellIs" dxfId="16593" priority="16431" stopIfTrue="1" operator="equal">
      <formula>"Fail"</formula>
    </cfRule>
    <cfRule type="cellIs" dxfId="16592" priority="16432" stopIfTrue="1" operator="equal">
      <formula>"Pass"</formula>
    </cfRule>
  </conditionalFormatting>
  <conditionalFormatting sqref="U946">
    <cfRule type="cellIs" dxfId="16591" priority="16429" stopIfTrue="1" operator="equal">
      <formula>"Fail"</formula>
    </cfRule>
    <cfRule type="cellIs" dxfId="16590" priority="16430" stopIfTrue="1" operator="equal">
      <formula>"Pass"</formula>
    </cfRule>
  </conditionalFormatting>
  <conditionalFormatting sqref="U946">
    <cfRule type="cellIs" dxfId="16589" priority="16427" stopIfTrue="1" operator="equal">
      <formula>"Fail"</formula>
    </cfRule>
    <cfRule type="cellIs" dxfId="16588" priority="16428" stopIfTrue="1" operator="equal">
      <formula>"Pass"</formula>
    </cfRule>
  </conditionalFormatting>
  <conditionalFormatting sqref="U946">
    <cfRule type="cellIs" dxfId="16587" priority="16425" stopIfTrue="1" operator="equal">
      <formula>"Fail"</formula>
    </cfRule>
    <cfRule type="cellIs" dxfId="16586" priority="16426" stopIfTrue="1" operator="equal">
      <formula>"Pass"</formula>
    </cfRule>
  </conditionalFormatting>
  <conditionalFormatting sqref="U949">
    <cfRule type="cellIs" dxfId="16585" priority="16423" stopIfTrue="1" operator="equal">
      <formula>"Fail"</formula>
    </cfRule>
    <cfRule type="cellIs" dxfId="16584" priority="16424" stopIfTrue="1" operator="equal">
      <formula>"Pass"</formula>
    </cfRule>
  </conditionalFormatting>
  <conditionalFormatting sqref="U949">
    <cfRule type="cellIs" dxfId="16583" priority="16421" stopIfTrue="1" operator="equal">
      <formula>"Fail"</formula>
    </cfRule>
    <cfRule type="cellIs" dxfId="16582" priority="16422" stopIfTrue="1" operator="equal">
      <formula>"Pass"</formula>
    </cfRule>
  </conditionalFormatting>
  <conditionalFormatting sqref="U949">
    <cfRule type="cellIs" dxfId="16581" priority="16419" stopIfTrue="1" operator="equal">
      <formula>"Fail"</formula>
    </cfRule>
    <cfRule type="cellIs" dxfId="16580" priority="16420" stopIfTrue="1" operator="equal">
      <formula>"Pass"</formula>
    </cfRule>
  </conditionalFormatting>
  <conditionalFormatting sqref="U949">
    <cfRule type="cellIs" dxfId="16579" priority="16417" stopIfTrue="1" operator="equal">
      <formula>"Fail"</formula>
    </cfRule>
    <cfRule type="cellIs" dxfId="16578" priority="16418" stopIfTrue="1" operator="equal">
      <formula>"Pass"</formula>
    </cfRule>
  </conditionalFormatting>
  <conditionalFormatting sqref="T949">
    <cfRule type="cellIs" dxfId="16577" priority="16415" stopIfTrue="1" operator="equal">
      <formula>"Fail"</formula>
    </cfRule>
    <cfRule type="cellIs" dxfId="16576" priority="16416" stopIfTrue="1" operator="equal">
      <formula>"Pass"</formula>
    </cfRule>
  </conditionalFormatting>
  <conditionalFormatting sqref="T949">
    <cfRule type="cellIs" dxfId="16575" priority="16413" stopIfTrue="1" operator="equal">
      <formula>"Fail"</formula>
    </cfRule>
    <cfRule type="cellIs" dxfId="16574" priority="16414" stopIfTrue="1" operator="equal">
      <formula>"Pass"</formula>
    </cfRule>
  </conditionalFormatting>
  <conditionalFormatting sqref="T949">
    <cfRule type="cellIs" dxfId="16573" priority="16411" stopIfTrue="1" operator="equal">
      <formula>"Fail"</formula>
    </cfRule>
    <cfRule type="cellIs" dxfId="16572" priority="16412" stopIfTrue="1" operator="equal">
      <formula>"Pass"</formula>
    </cfRule>
  </conditionalFormatting>
  <conditionalFormatting sqref="T949">
    <cfRule type="cellIs" dxfId="16571" priority="16409" stopIfTrue="1" operator="equal">
      <formula>"Fail"</formula>
    </cfRule>
    <cfRule type="cellIs" dxfId="16570" priority="16410" stopIfTrue="1" operator="equal">
      <formula>"Pass"</formula>
    </cfRule>
  </conditionalFormatting>
  <conditionalFormatting sqref="T949">
    <cfRule type="cellIs" dxfId="16569" priority="16407" stopIfTrue="1" operator="equal">
      <formula>"Fail"</formula>
    </cfRule>
    <cfRule type="cellIs" dxfId="16568" priority="16408" stopIfTrue="1" operator="equal">
      <formula>"Pass"</formula>
    </cfRule>
  </conditionalFormatting>
  <conditionalFormatting sqref="T949">
    <cfRule type="cellIs" dxfId="16567" priority="16405" stopIfTrue="1" operator="equal">
      <formula>"Fail"</formula>
    </cfRule>
    <cfRule type="cellIs" dxfId="16566" priority="16406" stopIfTrue="1" operator="equal">
      <formula>"Pass"</formula>
    </cfRule>
  </conditionalFormatting>
  <conditionalFormatting sqref="T949">
    <cfRule type="cellIs" dxfId="16565" priority="16403" stopIfTrue="1" operator="equal">
      <formula>"Fail"</formula>
    </cfRule>
    <cfRule type="cellIs" dxfId="16564" priority="16404" stopIfTrue="1" operator="equal">
      <formula>"Pass"</formula>
    </cfRule>
  </conditionalFormatting>
  <conditionalFormatting sqref="T949">
    <cfRule type="cellIs" dxfId="16563" priority="16401" stopIfTrue="1" operator="equal">
      <formula>"Fail"</formula>
    </cfRule>
    <cfRule type="cellIs" dxfId="16562" priority="16402" stopIfTrue="1" operator="equal">
      <formula>"Pass"</formula>
    </cfRule>
  </conditionalFormatting>
  <conditionalFormatting sqref="T949">
    <cfRule type="cellIs" dxfId="16561" priority="16399" stopIfTrue="1" operator="equal">
      <formula>"Fail"</formula>
    </cfRule>
    <cfRule type="cellIs" dxfId="16560" priority="16400" stopIfTrue="1" operator="equal">
      <formula>"Pass"</formula>
    </cfRule>
  </conditionalFormatting>
  <conditionalFormatting sqref="T949">
    <cfRule type="cellIs" dxfId="16559" priority="16397" stopIfTrue="1" operator="equal">
      <formula>"Fail"</formula>
    </cfRule>
    <cfRule type="cellIs" dxfId="16558" priority="16398" stopIfTrue="1" operator="equal">
      <formula>"Pass"</formula>
    </cfRule>
  </conditionalFormatting>
  <conditionalFormatting sqref="T949">
    <cfRule type="cellIs" dxfId="16557" priority="16395" stopIfTrue="1" operator="equal">
      <formula>"Fail"</formula>
    </cfRule>
    <cfRule type="cellIs" dxfId="16556" priority="16396" stopIfTrue="1" operator="equal">
      <formula>"Pass"</formula>
    </cfRule>
  </conditionalFormatting>
  <conditionalFormatting sqref="T949">
    <cfRule type="cellIs" dxfId="16555" priority="16393" stopIfTrue="1" operator="equal">
      <formula>"Fail"</formula>
    </cfRule>
    <cfRule type="cellIs" dxfId="16554" priority="16394" stopIfTrue="1" operator="equal">
      <formula>"Pass"</formula>
    </cfRule>
  </conditionalFormatting>
  <conditionalFormatting sqref="T949">
    <cfRule type="cellIs" dxfId="16553" priority="16391" stopIfTrue="1" operator="equal">
      <formula>"Fail"</formula>
    </cfRule>
    <cfRule type="cellIs" dxfId="16552" priority="16392" stopIfTrue="1" operator="equal">
      <formula>"Pass"</formula>
    </cfRule>
  </conditionalFormatting>
  <conditionalFormatting sqref="T949">
    <cfRule type="cellIs" dxfId="16551" priority="16389" stopIfTrue="1" operator="equal">
      <formula>"Fail"</formula>
    </cfRule>
    <cfRule type="cellIs" dxfId="16550" priority="16390" stopIfTrue="1" operator="equal">
      <formula>"Pass"</formula>
    </cfRule>
  </conditionalFormatting>
  <conditionalFormatting sqref="T949">
    <cfRule type="cellIs" dxfId="16549" priority="16387" stopIfTrue="1" operator="equal">
      <formula>"Fail"</formula>
    </cfRule>
    <cfRule type="cellIs" dxfId="16548" priority="16388" stopIfTrue="1" operator="equal">
      <formula>"Pass"</formula>
    </cfRule>
  </conditionalFormatting>
  <conditionalFormatting sqref="T949">
    <cfRule type="cellIs" dxfId="16547" priority="16385" stopIfTrue="1" operator="equal">
      <formula>"Fail"</formula>
    </cfRule>
    <cfRule type="cellIs" dxfId="16546" priority="16386" stopIfTrue="1" operator="equal">
      <formula>"Pass"</formula>
    </cfRule>
  </conditionalFormatting>
  <conditionalFormatting sqref="T949">
    <cfRule type="cellIs" dxfId="16545" priority="16383" stopIfTrue="1" operator="equal">
      <formula>"Fail"</formula>
    </cfRule>
    <cfRule type="cellIs" dxfId="16544" priority="16384" stopIfTrue="1" operator="equal">
      <formula>"Pass"</formula>
    </cfRule>
  </conditionalFormatting>
  <conditionalFormatting sqref="T949">
    <cfRule type="cellIs" dxfId="16543" priority="16381" stopIfTrue="1" operator="equal">
      <formula>"Fail"</formula>
    </cfRule>
    <cfRule type="cellIs" dxfId="16542" priority="16382" stopIfTrue="1" operator="equal">
      <formula>"Pass"</formula>
    </cfRule>
  </conditionalFormatting>
  <conditionalFormatting sqref="T949">
    <cfRule type="cellIs" dxfId="16541" priority="16379" stopIfTrue="1" operator="equal">
      <formula>"Fail"</formula>
    </cfRule>
    <cfRule type="cellIs" dxfId="16540" priority="16380" stopIfTrue="1" operator="equal">
      <formula>"Pass"</formula>
    </cfRule>
  </conditionalFormatting>
  <conditionalFormatting sqref="T949">
    <cfRule type="cellIs" dxfId="16539" priority="16377" stopIfTrue="1" operator="equal">
      <formula>"Fail"</formula>
    </cfRule>
    <cfRule type="cellIs" dxfId="16538" priority="16378" stopIfTrue="1" operator="equal">
      <formula>"Pass"</formula>
    </cfRule>
  </conditionalFormatting>
  <conditionalFormatting sqref="T949">
    <cfRule type="cellIs" dxfId="16537" priority="16375" stopIfTrue="1" operator="equal">
      <formula>"Fail"</formula>
    </cfRule>
    <cfRule type="cellIs" dxfId="16536" priority="16376" stopIfTrue="1" operator="equal">
      <formula>"Pass"</formula>
    </cfRule>
  </conditionalFormatting>
  <conditionalFormatting sqref="T949">
    <cfRule type="cellIs" dxfId="16535" priority="16373" stopIfTrue="1" operator="equal">
      <formula>"Fail"</formula>
    </cfRule>
    <cfRule type="cellIs" dxfId="16534" priority="16374" stopIfTrue="1" operator="equal">
      <formula>"Pass"</formula>
    </cfRule>
  </conditionalFormatting>
  <conditionalFormatting sqref="T949">
    <cfRule type="cellIs" dxfId="16533" priority="16371" stopIfTrue="1" operator="equal">
      <formula>"Fail"</formula>
    </cfRule>
    <cfRule type="cellIs" dxfId="16532" priority="16372" stopIfTrue="1" operator="equal">
      <formula>"Pass"</formula>
    </cfRule>
  </conditionalFormatting>
  <conditionalFormatting sqref="T949">
    <cfRule type="cellIs" dxfId="16531" priority="16369" stopIfTrue="1" operator="equal">
      <formula>"Fail"</formula>
    </cfRule>
    <cfRule type="cellIs" dxfId="16530" priority="16370" stopIfTrue="1" operator="equal">
      <formula>"Pass"</formula>
    </cfRule>
  </conditionalFormatting>
  <conditionalFormatting sqref="H952:H953">
    <cfRule type="cellIs" dxfId="16529" priority="16367" stopIfTrue="1" operator="equal">
      <formula>"Pass"</formula>
    </cfRule>
    <cfRule type="cellIs" dxfId="16528" priority="16368" stopIfTrue="1" operator="equal">
      <formula>"Fail"</formula>
    </cfRule>
  </conditionalFormatting>
  <conditionalFormatting sqref="E952:F952 E954:F954 I952:M953 A952:A960">
    <cfRule type="cellIs" dxfId="16527" priority="16365" stopIfTrue="1" operator="equal">
      <formula>"Pass"</formula>
    </cfRule>
    <cfRule type="cellIs" dxfId="16526" priority="16366" stopIfTrue="1" operator="equal">
      <formula>"Fail"</formula>
    </cfRule>
  </conditionalFormatting>
  <conditionalFormatting sqref="T954 T952 R952:R954 S953:S954">
    <cfRule type="cellIs" dxfId="16525" priority="16363" stopIfTrue="1" operator="equal">
      <formula>"Fail"</formula>
    </cfRule>
    <cfRule type="cellIs" dxfId="16524" priority="16364" stopIfTrue="1" operator="equal">
      <formula>"Pass"</formula>
    </cfRule>
  </conditionalFormatting>
  <conditionalFormatting sqref="F952:G952 F954:G954 A952:B954 J952:N953 A955:A960">
    <cfRule type="cellIs" dxfId="16523" priority="16361" stopIfTrue="1" operator="equal">
      <formula>"Pass"</formula>
    </cfRule>
    <cfRule type="cellIs" dxfId="16522" priority="16362" stopIfTrue="1" operator="equal">
      <formula>"Fail"</formula>
    </cfRule>
  </conditionalFormatting>
  <conditionalFormatting sqref="U954:V954 U952:V952 T952:T954 S953:S954">
    <cfRule type="cellIs" dxfId="16521" priority="16359" stopIfTrue="1" operator="equal">
      <formula>"Fail"</formula>
    </cfRule>
    <cfRule type="cellIs" dxfId="16520" priority="16360" stopIfTrue="1" operator="equal">
      <formula>"Pass"</formula>
    </cfRule>
  </conditionalFormatting>
  <conditionalFormatting sqref="A952:A960">
    <cfRule type="cellIs" dxfId="16519" priority="16357" stopIfTrue="1" operator="equal">
      <formula>"Pass"</formula>
    </cfRule>
    <cfRule type="cellIs" dxfId="16518" priority="16358" stopIfTrue="1" operator="equal">
      <formula>"Fail"</formula>
    </cfRule>
  </conditionalFormatting>
  <conditionalFormatting sqref="A952:A960">
    <cfRule type="cellIs" dxfId="16517" priority="16355" stopIfTrue="1" operator="equal">
      <formula>"Pass"</formula>
    </cfRule>
    <cfRule type="cellIs" dxfId="16516" priority="16356" stopIfTrue="1" operator="equal">
      <formula>"Fail"</formula>
    </cfRule>
  </conditionalFormatting>
  <conditionalFormatting sqref="A952:A960">
    <cfRule type="cellIs" dxfId="16515" priority="16353" stopIfTrue="1" operator="equal">
      <formula>"Pass"</formula>
    </cfRule>
    <cfRule type="cellIs" dxfId="16514" priority="16354" stopIfTrue="1" operator="equal">
      <formula>"Fail"</formula>
    </cfRule>
  </conditionalFormatting>
  <conditionalFormatting sqref="J952:N953 E952:G954">
    <cfRule type="cellIs" dxfId="16513" priority="16351" stopIfTrue="1" operator="equal">
      <formula>"Pass"</formula>
    </cfRule>
    <cfRule type="cellIs" dxfId="16512" priority="16352" stopIfTrue="1" operator="equal">
      <formula>"Fail"</formula>
    </cfRule>
  </conditionalFormatting>
  <conditionalFormatting sqref="A954 C954 K952:O953 F952:H954 A957 A960">
    <cfRule type="cellIs" dxfId="16511" priority="16349" stopIfTrue="1" operator="equal">
      <formula>"Pass"</formula>
    </cfRule>
    <cfRule type="cellIs" dxfId="16510" priority="16350" stopIfTrue="1" operator="equal">
      <formula>"Fail"</formula>
    </cfRule>
  </conditionalFormatting>
  <conditionalFormatting sqref="T952">
    <cfRule type="cellIs" dxfId="16509" priority="16347" stopIfTrue="1" operator="equal">
      <formula>"Fail"</formula>
    </cfRule>
    <cfRule type="cellIs" dxfId="16508" priority="16348" stopIfTrue="1" operator="equal">
      <formula>"Pass"</formula>
    </cfRule>
  </conditionalFormatting>
  <conditionalFormatting sqref="A952:A960">
    <cfRule type="cellIs" dxfId="16507" priority="16345" stopIfTrue="1" operator="equal">
      <formula>"Pass"</formula>
    </cfRule>
    <cfRule type="cellIs" dxfId="16506" priority="16346" stopIfTrue="1" operator="equal">
      <formula>"Fail"</formula>
    </cfRule>
  </conditionalFormatting>
  <conditionalFormatting sqref="A952:A960">
    <cfRule type="cellIs" dxfId="16505" priority="16343" stopIfTrue="1" operator="equal">
      <formula>"Pass"</formula>
    </cfRule>
    <cfRule type="cellIs" dxfId="16504" priority="16344" stopIfTrue="1" operator="equal">
      <formula>"Fail"</formula>
    </cfRule>
  </conditionalFormatting>
  <conditionalFormatting sqref="A952:A960">
    <cfRule type="cellIs" dxfId="16503" priority="16341" stopIfTrue="1" operator="equal">
      <formula>"Pass"</formula>
    </cfRule>
    <cfRule type="cellIs" dxfId="16502" priority="16342" stopIfTrue="1" operator="equal">
      <formula>"Fail"</formula>
    </cfRule>
  </conditionalFormatting>
  <conditionalFormatting sqref="A952:A960">
    <cfRule type="cellIs" dxfId="16501" priority="16339" stopIfTrue="1" operator="equal">
      <formula>"Pass"</formula>
    </cfRule>
    <cfRule type="cellIs" dxfId="16500" priority="16340" stopIfTrue="1" operator="equal">
      <formula>"Fail"</formula>
    </cfRule>
  </conditionalFormatting>
  <conditionalFormatting sqref="A952:A960">
    <cfRule type="cellIs" dxfId="16499" priority="16337" stopIfTrue="1" operator="equal">
      <formula>"Pass"</formula>
    </cfRule>
    <cfRule type="cellIs" dxfId="16498" priority="16338" stopIfTrue="1" operator="equal">
      <formula>"Fail"</formula>
    </cfRule>
  </conditionalFormatting>
  <conditionalFormatting sqref="A952:A960">
    <cfRule type="cellIs" dxfId="16497" priority="16335" stopIfTrue="1" operator="equal">
      <formula>"Pass"</formula>
    </cfRule>
    <cfRule type="cellIs" dxfId="16496" priority="16336" stopIfTrue="1" operator="equal">
      <formula>"Fail"</formula>
    </cfRule>
  </conditionalFormatting>
  <conditionalFormatting sqref="A954 A957 A960">
    <cfRule type="cellIs" dxfId="16495" priority="16333" stopIfTrue="1" operator="equal">
      <formula>"Pass"</formula>
    </cfRule>
    <cfRule type="cellIs" dxfId="16494" priority="16334" stopIfTrue="1" operator="equal">
      <formula>"Fail"</formula>
    </cfRule>
  </conditionalFormatting>
  <conditionalFormatting sqref="A952:A960">
    <cfRule type="cellIs" dxfId="16493" priority="16331" stopIfTrue="1" operator="equal">
      <formula>"Pass"</formula>
    </cfRule>
    <cfRule type="cellIs" dxfId="16492" priority="16332" stopIfTrue="1" operator="equal">
      <formula>"Fail"</formula>
    </cfRule>
  </conditionalFormatting>
  <conditionalFormatting sqref="A952:A960">
    <cfRule type="cellIs" dxfId="16491" priority="16329" stopIfTrue="1" operator="equal">
      <formula>"Pass"</formula>
    </cfRule>
    <cfRule type="cellIs" dxfId="16490" priority="16330" stopIfTrue="1" operator="equal">
      <formula>"Fail"</formula>
    </cfRule>
  </conditionalFormatting>
  <conditionalFormatting sqref="A952:A960">
    <cfRule type="cellIs" dxfId="16489" priority="16327" stopIfTrue="1" operator="equal">
      <formula>"Pass"</formula>
    </cfRule>
    <cfRule type="cellIs" dxfId="16488" priority="16328" stopIfTrue="1" operator="equal">
      <formula>"Fail"</formula>
    </cfRule>
  </conditionalFormatting>
  <conditionalFormatting sqref="A952:A960">
    <cfRule type="cellIs" dxfId="16487" priority="16325" stopIfTrue="1" operator="equal">
      <formula>"Pass"</formula>
    </cfRule>
    <cfRule type="cellIs" dxfId="16486" priority="16326" stopIfTrue="1" operator="equal">
      <formula>"Fail"</formula>
    </cfRule>
  </conditionalFormatting>
  <conditionalFormatting sqref="A952:A960">
    <cfRule type="cellIs" dxfId="16485" priority="16323" stopIfTrue="1" operator="equal">
      <formula>"Pass"</formula>
    </cfRule>
    <cfRule type="cellIs" dxfId="16484" priority="16324" stopIfTrue="1" operator="equal">
      <formula>"Fail"</formula>
    </cfRule>
  </conditionalFormatting>
  <conditionalFormatting sqref="A952:A960">
    <cfRule type="cellIs" dxfId="16483" priority="16321" stopIfTrue="1" operator="equal">
      <formula>"Pass"</formula>
    </cfRule>
    <cfRule type="cellIs" dxfId="16482" priority="16322" stopIfTrue="1" operator="equal">
      <formula>"Fail"</formula>
    </cfRule>
  </conditionalFormatting>
  <conditionalFormatting sqref="A954 A957 A960">
    <cfRule type="cellIs" dxfId="16481" priority="16319" stopIfTrue="1" operator="equal">
      <formula>"Pass"</formula>
    </cfRule>
    <cfRule type="cellIs" dxfId="16480" priority="16320" stopIfTrue="1" operator="equal">
      <formula>"Fail"</formula>
    </cfRule>
  </conditionalFormatting>
  <conditionalFormatting sqref="A952:A960">
    <cfRule type="cellIs" dxfId="16479" priority="16317" stopIfTrue="1" operator="equal">
      <formula>"Pass"</formula>
    </cfRule>
    <cfRule type="cellIs" dxfId="16478" priority="16318" stopIfTrue="1" operator="equal">
      <formula>"Fail"</formula>
    </cfRule>
  </conditionalFormatting>
  <conditionalFormatting sqref="H952:H953">
    <cfRule type="cellIs" dxfId="16477" priority="16315" stopIfTrue="1" operator="equal">
      <formula>"Pass"</formula>
    </cfRule>
    <cfRule type="cellIs" dxfId="16476" priority="16316" stopIfTrue="1" operator="equal">
      <formula>"Fail"</formula>
    </cfRule>
  </conditionalFormatting>
  <conditionalFormatting sqref="F952 F954 I952:M953">
    <cfRule type="cellIs" dxfId="16475" priority="16313" stopIfTrue="1" operator="equal">
      <formula>"Pass"</formula>
    </cfRule>
    <cfRule type="cellIs" dxfId="16474" priority="16314" stopIfTrue="1" operator="equal">
      <formula>"Fail"</formula>
    </cfRule>
  </conditionalFormatting>
  <conditionalFormatting sqref="T954 T952 R952:R954 S953:S954">
    <cfRule type="cellIs" dxfId="16473" priority="16311" stopIfTrue="1" operator="equal">
      <formula>"Fail"</formula>
    </cfRule>
    <cfRule type="cellIs" dxfId="16472" priority="16312" stopIfTrue="1" operator="equal">
      <formula>"Pass"</formula>
    </cfRule>
  </conditionalFormatting>
  <conditionalFormatting sqref="F952:G952 F954:G954 J952:N953">
    <cfRule type="cellIs" dxfId="16471" priority="16309" stopIfTrue="1" operator="equal">
      <formula>"Pass"</formula>
    </cfRule>
    <cfRule type="cellIs" dxfId="16470" priority="16310" stopIfTrue="1" operator="equal">
      <formula>"Fail"</formula>
    </cfRule>
  </conditionalFormatting>
  <conditionalFormatting sqref="U954:V954 U952:V952 T952:T954 S953:S954">
    <cfRule type="cellIs" dxfId="16469" priority="16307" stopIfTrue="1" operator="equal">
      <formula>"Fail"</formula>
    </cfRule>
    <cfRule type="cellIs" dxfId="16468" priority="16308" stopIfTrue="1" operator="equal">
      <formula>"Pass"</formula>
    </cfRule>
  </conditionalFormatting>
  <conditionalFormatting sqref="J952:N953 F952:G954">
    <cfRule type="cellIs" dxfId="16467" priority="16305" stopIfTrue="1" operator="equal">
      <formula>"Pass"</formula>
    </cfRule>
    <cfRule type="cellIs" dxfId="16466" priority="16306" stopIfTrue="1" operator="equal">
      <formula>"Fail"</formula>
    </cfRule>
  </conditionalFormatting>
  <conditionalFormatting sqref="K952:O953 F952:H954">
    <cfRule type="cellIs" dxfId="16465" priority="16303" stopIfTrue="1" operator="equal">
      <formula>"Pass"</formula>
    </cfRule>
    <cfRule type="cellIs" dxfId="16464" priority="16304" stopIfTrue="1" operator="equal">
      <formula>"Fail"</formula>
    </cfRule>
  </conditionalFormatting>
  <conditionalFormatting sqref="T952">
    <cfRule type="cellIs" dxfId="16463" priority="16301" stopIfTrue="1" operator="equal">
      <formula>"Fail"</formula>
    </cfRule>
    <cfRule type="cellIs" dxfId="16462" priority="16302" stopIfTrue="1" operator="equal">
      <formula>"Pass"</formula>
    </cfRule>
  </conditionalFormatting>
  <conditionalFormatting sqref="K952:O953 F952:H954">
    <cfRule type="cellIs" dxfId="16461" priority="16299" stopIfTrue="1" operator="equal">
      <formula>"Pass"</formula>
    </cfRule>
    <cfRule type="cellIs" dxfId="16460" priority="16300" stopIfTrue="1" operator="equal">
      <formula>"Fail"</formula>
    </cfRule>
  </conditionalFormatting>
  <conditionalFormatting sqref="T952">
    <cfRule type="cellIs" dxfId="16459" priority="16297" stopIfTrue="1" operator="equal">
      <formula>"Fail"</formula>
    </cfRule>
    <cfRule type="cellIs" dxfId="16458" priority="16298" stopIfTrue="1" operator="equal">
      <formula>"Pass"</formula>
    </cfRule>
  </conditionalFormatting>
  <conditionalFormatting sqref="H952:H953">
    <cfRule type="cellIs" dxfId="16457" priority="16295" stopIfTrue="1" operator="equal">
      <formula>"Pass"</formula>
    </cfRule>
    <cfRule type="cellIs" dxfId="16456" priority="16296" stopIfTrue="1" operator="equal">
      <formula>"Fail"</formula>
    </cfRule>
  </conditionalFormatting>
  <conditionalFormatting sqref="E952:F952 E954:F954 I952:M953 A952:A960">
    <cfRule type="cellIs" dxfId="16455" priority="16293" stopIfTrue="1" operator="equal">
      <formula>"Pass"</formula>
    </cfRule>
    <cfRule type="cellIs" dxfId="16454" priority="16294" stopIfTrue="1" operator="equal">
      <formula>"Fail"</formula>
    </cfRule>
  </conditionalFormatting>
  <conditionalFormatting sqref="T954 T952 R952:R954 S953:S954">
    <cfRule type="cellIs" dxfId="16453" priority="16291" stopIfTrue="1" operator="equal">
      <formula>"Fail"</formula>
    </cfRule>
    <cfRule type="cellIs" dxfId="16452" priority="16292" stopIfTrue="1" operator="equal">
      <formula>"Pass"</formula>
    </cfRule>
  </conditionalFormatting>
  <conditionalFormatting sqref="F952:G952 F954:G954 A952:B954 J952:N953 A955:A960">
    <cfRule type="cellIs" dxfId="16451" priority="16289" stopIfTrue="1" operator="equal">
      <formula>"Pass"</formula>
    </cfRule>
    <cfRule type="cellIs" dxfId="16450" priority="16290" stopIfTrue="1" operator="equal">
      <formula>"Fail"</formula>
    </cfRule>
  </conditionalFormatting>
  <conditionalFormatting sqref="U954:V954 U952:V952 T952:T954 S953:S954">
    <cfRule type="cellIs" dxfId="16449" priority="16287" stopIfTrue="1" operator="equal">
      <formula>"Fail"</formula>
    </cfRule>
    <cfRule type="cellIs" dxfId="16448" priority="16288" stopIfTrue="1" operator="equal">
      <formula>"Pass"</formula>
    </cfRule>
  </conditionalFormatting>
  <conditionalFormatting sqref="A952:A960">
    <cfRule type="cellIs" dxfId="16447" priority="16285" stopIfTrue="1" operator="equal">
      <formula>"Pass"</formula>
    </cfRule>
    <cfRule type="cellIs" dxfId="16446" priority="16286" stopIfTrue="1" operator="equal">
      <formula>"Fail"</formula>
    </cfRule>
  </conditionalFormatting>
  <conditionalFormatting sqref="A952:A960">
    <cfRule type="cellIs" dxfId="16445" priority="16283" stopIfTrue="1" operator="equal">
      <formula>"Pass"</formula>
    </cfRule>
    <cfRule type="cellIs" dxfId="16444" priority="16284" stopIfTrue="1" operator="equal">
      <formula>"Fail"</formula>
    </cfRule>
  </conditionalFormatting>
  <conditionalFormatting sqref="A952:A960">
    <cfRule type="cellIs" dxfId="16443" priority="16281" stopIfTrue="1" operator="equal">
      <formula>"Pass"</formula>
    </cfRule>
    <cfRule type="cellIs" dxfId="16442" priority="16282" stopIfTrue="1" operator="equal">
      <formula>"Fail"</formula>
    </cfRule>
  </conditionalFormatting>
  <conditionalFormatting sqref="J952:N953 E952:G954">
    <cfRule type="cellIs" dxfId="16441" priority="16279" stopIfTrue="1" operator="equal">
      <formula>"Pass"</formula>
    </cfRule>
    <cfRule type="cellIs" dxfId="16440" priority="16280" stopIfTrue="1" operator="equal">
      <formula>"Fail"</formula>
    </cfRule>
  </conditionalFormatting>
  <conditionalFormatting sqref="A954 C954 K952:O953 F952:H954 A957 A960">
    <cfRule type="cellIs" dxfId="16439" priority="16277" stopIfTrue="1" operator="equal">
      <formula>"Pass"</formula>
    </cfRule>
    <cfRule type="cellIs" dxfId="16438" priority="16278" stopIfTrue="1" operator="equal">
      <formula>"Fail"</formula>
    </cfRule>
  </conditionalFormatting>
  <conditionalFormatting sqref="T952">
    <cfRule type="cellIs" dxfId="16437" priority="16275" stopIfTrue="1" operator="equal">
      <formula>"Fail"</formula>
    </cfRule>
    <cfRule type="cellIs" dxfId="16436" priority="16276" stopIfTrue="1" operator="equal">
      <formula>"Pass"</formula>
    </cfRule>
  </conditionalFormatting>
  <conditionalFormatting sqref="A952:A960">
    <cfRule type="cellIs" dxfId="16435" priority="16273" stopIfTrue="1" operator="equal">
      <formula>"Pass"</formula>
    </cfRule>
    <cfRule type="cellIs" dxfId="16434" priority="16274" stopIfTrue="1" operator="equal">
      <formula>"Fail"</formula>
    </cfRule>
  </conditionalFormatting>
  <conditionalFormatting sqref="A952:A960">
    <cfRule type="cellIs" dxfId="16433" priority="16271" stopIfTrue="1" operator="equal">
      <formula>"Pass"</formula>
    </cfRule>
    <cfRule type="cellIs" dxfId="16432" priority="16272" stopIfTrue="1" operator="equal">
      <formula>"Fail"</formula>
    </cfRule>
  </conditionalFormatting>
  <conditionalFormatting sqref="A952:A960">
    <cfRule type="cellIs" dxfId="16431" priority="16269" stopIfTrue="1" operator="equal">
      <formula>"Pass"</formula>
    </cfRule>
    <cfRule type="cellIs" dxfId="16430" priority="16270" stopIfTrue="1" operator="equal">
      <formula>"Fail"</formula>
    </cfRule>
  </conditionalFormatting>
  <conditionalFormatting sqref="A952:A960">
    <cfRule type="cellIs" dxfId="16429" priority="16267" stopIfTrue="1" operator="equal">
      <formula>"Pass"</formula>
    </cfRule>
    <cfRule type="cellIs" dxfId="16428" priority="16268" stopIfTrue="1" operator="equal">
      <formula>"Fail"</formula>
    </cfRule>
  </conditionalFormatting>
  <conditionalFormatting sqref="A952:A960">
    <cfRule type="cellIs" dxfId="16427" priority="16265" stopIfTrue="1" operator="equal">
      <formula>"Pass"</formula>
    </cfRule>
    <cfRule type="cellIs" dxfId="16426" priority="16266" stopIfTrue="1" operator="equal">
      <formula>"Fail"</formula>
    </cfRule>
  </conditionalFormatting>
  <conditionalFormatting sqref="A952:A960">
    <cfRule type="cellIs" dxfId="16425" priority="16263" stopIfTrue="1" operator="equal">
      <formula>"Pass"</formula>
    </cfRule>
    <cfRule type="cellIs" dxfId="16424" priority="16264" stopIfTrue="1" operator="equal">
      <formula>"Fail"</formula>
    </cfRule>
  </conditionalFormatting>
  <conditionalFormatting sqref="A954 A957 A960">
    <cfRule type="cellIs" dxfId="16423" priority="16261" stopIfTrue="1" operator="equal">
      <formula>"Pass"</formula>
    </cfRule>
    <cfRule type="cellIs" dxfId="16422" priority="16262" stopIfTrue="1" operator="equal">
      <formula>"Fail"</formula>
    </cfRule>
  </conditionalFormatting>
  <conditionalFormatting sqref="A952:A960">
    <cfRule type="cellIs" dxfId="16421" priority="16259" stopIfTrue="1" operator="equal">
      <formula>"Pass"</formula>
    </cfRule>
    <cfRule type="cellIs" dxfId="16420" priority="16260" stopIfTrue="1" operator="equal">
      <formula>"Fail"</formula>
    </cfRule>
  </conditionalFormatting>
  <conditionalFormatting sqref="A952:A960">
    <cfRule type="cellIs" dxfId="16419" priority="16257" stopIfTrue="1" operator="equal">
      <formula>"Pass"</formula>
    </cfRule>
    <cfRule type="cellIs" dxfId="16418" priority="16258" stopIfTrue="1" operator="equal">
      <formula>"Fail"</formula>
    </cfRule>
  </conditionalFormatting>
  <conditionalFormatting sqref="A952:A960">
    <cfRule type="cellIs" dxfId="16417" priority="16255" stopIfTrue="1" operator="equal">
      <formula>"Pass"</formula>
    </cfRule>
    <cfRule type="cellIs" dxfId="16416" priority="16256" stopIfTrue="1" operator="equal">
      <formula>"Fail"</formula>
    </cfRule>
  </conditionalFormatting>
  <conditionalFormatting sqref="A952:A960">
    <cfRule type="cellIs" dxfId="16415" priority="16253" stopIfTrue="1" operator="equal">
      <formula>"Pass"</formula>
    </cfRule>
    <cfRule type="cellIs" dxfId="16414" priority="16254" stopIfTrue="1" operator="equal">
      <formula>"Fail"</formula>
    </cfRule>
  </conditionalFormatting>
  <conditionalFormatting sqref="A952:A960">
    <cfRule type="cellIs" dxfId="16413" priority="16251" stopIfTrue="1" operator="equal">
      <formula>"Pass"</formula>
    </cfRule>
    <cfRule type="cellIs" dxfId="16412" priority="16252" stopIfTrue="1" operator="equal">
      <formula>"Fail"</formula>
    </cfRule>
  </conditionalFormatting>
  <conditionalFormatting sqref="A952:A960">
    <cfRule type="cellIs" dxfId="16411" priority="16249" stopIfTrue="1" operator="equal">
      <formula>"Pass"</formula>
    </cfRule>
    <cfRule type="cellIs" dxfId="16410" priority="16250" stopIfTrue="1" operator="equal">
      <formula>"Fail"</formula>
    </cfRule>
  </conditionalFormatting>
  <conditionalFormatting sqref="A954 A957 A960">
    <cfRule type="cellIs" dxfId="16409" priority="16247" stopIfTrue="1" operator="equal">
      <formula>"Pass"</formula>
    </cfRule>
    <cfRule type="cellIs" dxfId="16408" priority="16248" stopIfTrue="1" operator="equal">
      <formula>"Fail"</formula>
    </cfRule>
  </conditionalFormatting>
  <conditionalFormatting sqref="A952:A960">
    <cfRule type="cellIs" dxfId="16407" priority="16245" stopIfTrue="1" operator="equal">
      <formula>"Pass"</formula>
    </cfRule>
    <cfRule type="cellIs" dxfId="16406" priority="16246" stopIfTrue="1" operator="equal">
      <formula>"Fail"</formula>
    </cfRule>
  </conditionalFormatting>
  <conditionalFormatting sqref="H952:H953">
    <cfRule type="cellIs" dxfId="16405" priority="16243" stopIfTrue="1" operator="equal">
      <formula>"Pass"</formula>
    </cfRule>
    <cfRule type="cellIs" dxfId="16404" priority="16244" stopIfTrue="1" operator="equal">
      <formula>"Fail"</formula>
    </cfRule>
  </conditionalFormatting>
  <conditionalFormatting sqref="F952 F954 I952:M953">
    <cfRule type="cellIs" dxfId="16403" priority="16241" stopIfTrue="1" operator="equal">
      <formula>"Pass"</formula>
    </cfRule>
    <cfRule type="cellIs" dxfId="16402" priority="16242" stopIfTrue="1" operator="equal">
      <formula>"Fail"</formula>
    </cfRule>
  </conditionalFormatting>
  <conditionalFormatting sqref="T954 T952 R952:R954 S953:S954">
    <cfRule type="cellIs" dxfId="16401" priority="16239" stopIfTrue="1" operator="equal">
      <formula>"Fail"</formula>
    </cfRule>
    <cfRule type="cellIs" dxfId="16400" priority="16240" stopIfTrue="1" operator="equal">
      <formula>"Pass"</formula>
    </cfRule>
  </conditionalFormatting>
  <conditionalFormatting sqref="F952:G952 F954:G954 J952:N953">
    <cfRule type="cellIs" dxfId="16399" priority="16237" stopIfTrue="1" operator="equal">
      <formula>"Pass"</formula>
    </cfRule>
    <cfRule type="cellIs" dxfId="16398" priority="16238" stopIfTrue="1" operator="equal">
      <formula>"Fail"</formula>
    </cfRule>
  </conditionalFormatting>
  <conditionalFormatting sqref="U954:V954 U952:V952 T952:T954 S953:S954">
    <cfRule type="cellIs" dxfId="16397" priority="16235" stopIfTrue="1" operator="equal">
      <formula>"Fail"</formula>
    </cfRule>
    <cfRule type="cellIs" dxfId="16396" priority="16236" stopIfTrue="1" operator="equal">
      <formula>"Pass"</formula>
    </cfRule>
  </conditionalFormatting>
  <conditionalFormatting sqref="J952:N953 F952:G954">
    <cfRule type="cellIs" dxfId="16395" priority="16233" stopIfTrue="1" operator="equal">
      <formula>"Pass"</formula>
    </cfRule>
    <cfRule type="cellIs" dxfId="16394" priority="16234" stopIfTrue="1" operator="equal">
      <formula>"Fail"</formula>
    </cfRule>
  </conditionalFormatting>
  <conditionalFormatting sqref="K952:O953 F952:H954">
    <cfRule type="cellIs" dxfId="16393" priority="16231" stopIfTrue="1" operator="equal">
      <formula>"Pass"</formula>
    </cfRule>
    <cfRule type="cellIs" dxfId="16392" priority="16232" stopIfTrue="1" operator="equal">
      <formula>"Fail"</formula>
    </cfRule>
  </conditionalFormatting>
  <conditionalFormatting sqref="T952">
    <cfRule type="cellIs" dxfId="16391" priority="16229" stopIfTrue="1" operator="equal">
      <formula>"Fail"</formula>
    </cfRule>
    <cfRule type="cellIs" dxfId="16390" priority="16230" stopIfTrue="1" operator="equal">
      <formula>"Pass"</formula>
    </cfRule>
  </conditionalFormatting>
  <conditionalFormatting sqref="K952:O953 F952:H954">
    <cfRule type="cellIs" dxfId="16389" priority="16227" stopIfTrue="1" operator="equal">
      <formula>"Pass"</formula>
    </cfRule>
    <cfRule type="cellIs" dxfId="16388" priority="16228" stopIfTrue="1" operator="equal">
      <formula>"Fail"</formula>
    </cfRule>
  </conditionalFormatting>
  <conditionalFormatting sqref="T952">
    <cfRule type="cellIs" dxfId="16387" priority="16225" stopIfTrue="1" operator="equal">
      <formula>"Fail"</formula>
    </cfRule>
    <cfRule type="cellIs" dxfId="16386" priority="16226" stopIfTrue="1" operator="equal">
      <formula>"Pass"</formula>
    </cfRule>
  </conditionalFormatting>
  <conditionalFormatting sqref="A955">
    <cfRule type="cellIs" dxfId="16385" priority="16223" stopIfTrue="1" operator="equal">
      <formula>"Pass"</formula>
    </cfRule>
    <cfRule type="cellIs" dxfId="16384" priority="16224" stopIfTrue="1" operator="equal">
      <formula>"Fail"</formula>
    </cfRule>
  </conditionalFormatting>
  <conditionalFormatting sqref="A955">
    <cfRule type="cellIs" dxfId="16383" priority="16221" stopIfTrue="1" operator="equal">
      <formula>"Pass"</formula>
    </cfRule>
    <cfRule type="cellIs" dxfId="16382" priority="16222" stopIfTrue="1" operator="equal">
      <formula>"Fail"</formula>
    </cfRule>
  </conditionalFormatting>
  <conditionalFormatting sqref="A955">
    <cfRule type="cellIs" dxfId="16381" priority="16219" stopIfTrue="1" operator="equal">
      <formula>"Pass"</formula>
    </cfRule>
    <cfRule type="cellIs" dxfId="16380" priority="16220" stopIfTrue="1" operator="equal">
      <formula>"Fail"</formula>
    </cfRule>
  </conditionalFormatting>
  <conditionalFormatting sqref="A955">
    <cfRule type="cellIs" dxfId="16379" priority="16217" stopIfTrue="1" operator="equal">
      <formula>"Pass"</formula>
    </cfRule>
    <cfRule type="cellIs" dxfId="16378" priority="16218" stopIfTrue="1" operator="equal">
      <formula>"Fail"</formula>
    </cfRule>
  </conditionalFormatting>
  <conditionalFormatting sqref="A955">
    <cfRule type="cellIs" dxfId="16377" priority="16215" stopIfTrue="1" operator="equal">
      <formula>"Pass"</formula>
    </cfRule>
    <cfRule type="cellIs" dxfId="16376" priority="16216" stopIfTrue="1" operator="equal">
      <formula>"Fail"</formula>
    </cfRule>
  </conditionalFormatting>
  <conditionalFormatting sqref="A955">
    <cfRule type="cellIs" dxfId="16375" priority="16213" stopIfTrue="1" operator="equal">
      <formula>"Pass"</formula>
    </cfRule>
    <cfRule type="cellIs" dxfId="16374" priority="16214" stopIfTrue="1" operator="equal">
      <formula>"Fail"</formula>
    </cfRule>
  </conditionalFormatting>
  <conditionalFormatting sqref="A955">
    <cfRule type="cellIs" dxfId="16373" priority="16211" stopIfTrue="1" operator="equal">
      <formula>"Pass"</formula>
    </cfRule>
    <cfRule type="cellIs" dxfId="16372" priority="16212" stopIfTrue="1" operator="equal">
      <formula>"Fail"</formula>
    </cfRule>
  </conditionalFormatting>
  <conditionalFormatting sqref="A955">
    <cfRule type="cellIs" dxfId="16371" priority="16209" stopIfTrue="1" operator="equal">
      <formula>"Pass"</formula>
    </cfRule>
    <cfRule type="cellIs" dxfId="16370" priority="16210" stopIfTrue="1" operator="equal">
      <formula>"Fail"</formula>
    </cfRule>
  </conditionalFormatting>
  <conditionalFormatting sqref="A955">
    <cfRule type="cellIs" dxfId="16369" priority="16207" stopIfTrue="1" operator="equal">
      <formula>"Pass"</formula>
    </cfRule>
    <cfRule type="cellIs" dxfId="16368" priority="16208" stopIfTrue="1" operator="equal">
      <formula>"Fail"</formula>
    </cfRule>
  </conditionalFormatting>
  <conditionalFormatting sqref="A955">
    <cfRule type="cellIs" dxfId="16367" priority="16205" stopIfTrue="1" operator="equal">
      <formula>"Pass"</formula>
    </cfRule>
    <cfRule type="cellIs" dxfId="16366" priority="16206" stopIfTrue="1" operator="equal">
      <formula>"Fail"</formula>
    </cfRule>
  </conditionalFormatting>
  <conditionalFormatting sqref="A955">
    <cfRule type="cellIs" dxfId="16365" priority="16203" stopIfTrue="1" operator="equal">
      <formula>"Pass"</formula>
    </cfRule>
    <cfRule type="cellIs" dxfId="16364" priority="16204" stopIfTrue="1" operator="equal">
      <formula>"Fail"</formula>
    </cfRule>
  </conditionalFormatting>
  <conditionalFormatting sqref="A955">
    <cfRule type="cellIs" dxfId="16363" priority="16201" stopIfTrue="1" operator="equal">
      <formula>"Pass"</formula>
    </cfRule>
    <cfRule type="cellIs" dxfId="16362" priority="16202" stopIfTrue="1" operator="equal">
      <formula>"Fail"</formula>
    </cfRule>
  </conditionalFormatting>
  <conditionalFormatting sqref="A955">
    <cfRule type="cellIs" dxfId="16361" priority="16199" stopIfTrue="1" operator="equal">
      <formula>"Pass"</formula>
    </cfRule>
    <cfRule type="cellIs" dxfId="16360" priority="16200" stopIfTrue="1" operator="equal">
      <formula>"Fail"</formula>
    </cfRule>
  </conditionalFormatting>
  <conditionalFormatting sqref="A955">
    <cfRule type="cellIs" dxfId="16359" priority="16197" stopIfTrue="1" operator="equal">
      <formula>"Pass"</formula>
    </cfRule>
    <cfRule type="cellIs" dxfId="16358" priority="16198" stopIfTrue="1" operator="equal">
      <formula>"Fail"</formula>
    </cfRule>
  </conditionalFormatting>
  <conditionalFormatting sqref="A955">
    <cfRule type="cellIs" dxfId="16357" priority="16195" stopIfTrue="1" operator="equal">
      <formula>"Pass"</formula>
    </cfRule>
    <cfRule type="cellIs" dxfId="16356" priority="16196" stopIfTrue="1" operator="equal">
      <formula>"Fail"</formula>
    </cfRule>
  </conditionalFormatting>
  <conditionalFormatting sqref="A955">
    <cfRule type="cellIs" dxfId="16355" priority="16193" stopIfTrue="1" operator="equal">
      <formula>"Pass"</formula>
    </cfRule>
    <cfRule type="cellIs" dxfId="16354" priority="16194" stopIfTrue="1" operator="equal">
      <formula>"Fail"</formula>
    </cfRule>
  </conditionalFormatting>
  <conditionalFormatting sqref="A955">
    <cfRule type="cellIs" dxfId="16353" priority="16191" stopIfTrue="1" operator="equal">
      <formula>"Pass"</formula>
    </cfRule>
    <cfRule type="cellIs" dxfId="16352" priority="16192" stopIfTrue="1" operator="equal">
      <formula>"Fail"</formula>
    </cfRule>
  </conditionalFormatting>
  <conditionalFormatting sqref="A955">
    <cfRule type="cellIs" dxfId="16351" priority="16189" stopIfTrue="1" operator="equal">
      <formula>"Pass"</formula>
    </cfRule>
    <cfRule type="cellIs" dxfId="16350" priority="16190" stopIfTrue="1" operator="equal">
      <formula>"Fail"</formula>
    </cfRule>
  </conditionalFormatting>
  <conditionalFormatting sqref="J955:J956">
    <cfRule type="cellIs" dxfId="16349" priority="16187" stopIfTrue="1" operator="equal">
      <formula>"Pass"</formula>
    </cfRule>
    <cfRule type="cellIs" dxfId="16348" priority="16188" stopIfTrue="1" operator="equal">
      <formula>"Fail"</formula>
    </cfRule>
  </conditionalFormatting>
  <conditionalFormatting sqref="H955:H956 I956">
    <cfRule type="cellIs" dxfId="16347" priority="16185" stopIfTrue="1" operator="equal">
      <formula>"Pass"</formula>
    </cfRule>
    <cfRule type="cellIs" dxfId="16346" priority="16186" stopIfTrue="1" operator="equal">
      <formula>"Fail"</formula>
    </cfRule>
  </conditionalFormatting>
  <conditionalFormatting sqref="A955 C955 F957 F955:G955 K955:N956">
    <cfRule type="cellIs" dxfId="16345" priority="16183" stopIfTrue="1" operator="equal">
      <formula>"Pass"</formula>
    </cfRule>
    <cfRule type="cellIs" dxfId="16344" priority="16184" stopIfTrue="1" operator="equal">
      <formula>"Fail"</formula>
    </cfRule>
  </conditionalFormatting>
  <conditionalFormatting sqref="T955:T957 U956:V957">
    <cfRule type="cellIs" dxfId="16343" priority="16181" stopIfTrue="1" operator="equal">
      <formula>"Fail"</formula>
    </cfRule>
    <cfRule type="cellIs" dxfId="16342" priority="16182" stopIfTrue="1" operator="equal">
      <formula>"Pass"</formula>
    </cfRule>
  </conditionalFormatting>
  <conditionalFormatting sqref="A955">
    <cfRule type="cellIs" dxfId="16341" priority="16179" stopIfTrue="1" operator="equal">
      <formula>"Pass"</formula>
    </cfRule>
    <cfRule type="cellIs" dxfId="16340" priority="16180" stopIfTrue="1" operator="equal">
      <formula>"Fail"</formula>
    </cfRule>
  </conditionalFormatting>
  <conditionalFormatting sqref="A955">
    <cfRule type="cellIs" dxfId="16339" priority="16177" stopIfTrue="1" operator="equal">
      <formula>"Pass"</formula>
    </cfRule>
    <cfRule type="cellIs" dxfId="16338" priority="16178" stopIfTrue="1" operator="equal">
      <formula>"Fail"</formula>
    </cfRule>
  </conditionalFormatting>
  <conditionalFormatting sqref="A955">
    <cfRule type="cellIs" dxfId="16337" priority="16175" stopIfTrue="1" operator="equal">
      <formula>"Pass"</formula>
    </cfRule>
    <cfRule type="cellIs" dxfId="16336" priority="16176" stopIfTrue="1" operator="equal">
      <formula>"Fail"</formula>
    </cfRule>
  </conditionalFormatting>
  <conditionalFormatting sqref="A955">
    <cfRule type="cellIs" dxfId="16335" priority="16173" stopIfTrue="1" operator="equal">
      <formula>"Pass"</formula>
    </cfRule>
    <cfRule type="cellIs" dxfId="16334" priority="16174" stopIfTrue="1" operator="equal">
      <formula>"Fail"</formula>
    </cfRule>
  </conditionalFormatting>
  <conditionalFormatting sqref="A955">
    <cfRule type="cellIs" dxfId="16333" priority="16171" stopIfTrue="1" operator="equal">
      <formula>"Pass"</formula>
    </cfRule>
    <cfRule type="cellIs" dxfId="16332" priority="16172" stopIfTrue="1" operator="equal">
      <formula>"Fail"</formula>
    </cfRule>
  </conditionalFormatting>
  <conditionalFormatting sqref="A955">
    <cfRule type="cellIs" dxfId="16331" priority="16169" stopIfTrue="1" operator="equal">
      <formula>"Pass"</formula>
    </cfRule>
    <cfRule type="cellIs" dxfId="16330" priority="16170" stopIfTrue="1" operator="equal">
      <formula>"Fail"</formula>
    </cfRule>
  </conditionalFormatting>
  <conditionalFormatting sqref="A955">
    <cfRule type="cellIs" dxfId="16329" priority="16167" stopIfTrue="1" operator="equal">
      <formula>"Pass"</formula>
    </cfRule>
    <cfRule type="cellIs" dxfId="16328" priority="16168" stopIfTrue="1" operator="equal">
      <formula>"Fail"</formula>
    </cfRule>
  </conditionalFormatting>
  <conditionalFormatting sqref="A955">
    <cfRule type="cellIs" dxfId="16327" priority="16165" stopIfTrue="1" operator="equal">
      <formula>"Pass"</formula>
    </cfRule>
    <cfRule type="cellIs" dxfId="16326" priority="16166" stopIfTrue="1" operator="equal">
      <formula>"Fail"</formula>
    </cfRule>
  </conditionalFormatting>
  <conditionalFormatting sqref="A955">
    <cfRule type="cellIs" dxfId="16325" priority="16163" stopIfTrue="1" operator="equal">
      <formula>"Pass"</formula>
    </cfRule>
    <cfRule type="cellIs" dxfId="16324" priority="16164" stopIfTrue="1" operator="equal">
      <formula>"Fail"</formula>
    </cfRule>
  </conditionalFormatting>
  <conditionalFormatting sqref="A955">
    <cfRule type="cellIs" dxfId="16323" priority="16161" stopIfTrue="1" operator="equal">
      <formula>"Pass"</formula>
    </cfRule>
    <cfRule type="cellIs" dxfId="16322" priority="16162" stopIfTrue="1" operator="equal">
      <formula>"Fail"</formula>
    </cfRule>
  </conditionalFormatting>
  <conditionalFormatting sqref="A955">
    <cfRule type="cellIs" dxfId="16321" priority="16159" stopIfTrue="1" operator="equal">
      <formula>"Pass"</formula>
    </cfRule>
    <cfRule type="cellIs" dxfId="16320" priority="16160" stopIfTrue="1" operator="equal">
      <formula>"Fail"</formula>
    </cfRule>
  </conditionalFormatting>
  <conditionalFormatting sqref="A955">
    <cfRule type="cellIs" dxfId="16319" priority="16157" stopIfTrue="1" operator="equal">
      <formula>"Pass"</formula>
    </cfRule>
    <cfRule type="cellIs" dxfId="16318" priority="16158" stopIfTrue="1" operator="equal">
      <formula>"Fail"</formula>
    </cfRule>
  </conditionalFormatting>
  <conditionalFormatting sqref="A955">
    <cfRule type="cellIs" dxfId="16317" priority="16155" stopIfTrue="1" operator="equal">
      <formula>"Pass"</formula>
    </cfRule>
    <cfRule type="cellIs" dxfId="16316" priority="16156" stopIfTrue="1" operator="equal">
      <formula>"Fail"</formula>
    </cfRule>
  </conditionalFormatting>
  <conditionalFormatting sqref="A955">
    <cfRule type="cellIs" dxfId="16315" priority="16153" stopIfTrue="1" operator="equal">
      <formula>"Pass"</formula>
    </cfRule>
    <cfRule type="cellIs" dxfId="16314" priority="16154" stopIfTrue="1" operator="equal">
      <formula>"Fail"</formula>
    </cfRule>
  </conditionalFormatting>
  <conditionalFormatting sqref="A955">
    <cfRule type="cellIs" dxfId="16313" priority="16151" stopIfTrue="1" operator="equal">
      <formula>"Pass"</formula>
    </cfRule>
    <cfRule type="cellIs" dxfId="16312" priority="16152" stopIfTrue="1" operator="equal">
      <formula>"Fail"</formula>
    </cfRule>
  </conditionalFormatting>
  <conditionalFormatting sqref="A955">
    <cfRule type="cellIs" dxfId="16311" priority="16149" stopIfTrue="1" operator="equal">
      <formula>"Pass"</formula>
    </cfRule>
    <cfRule type="cellIs" dxfId="16310" priority="16150" stopIfTrue="1" operator="equal">
      <formula>"Fail"</formula>
    </cfRule>
  </conditionalFormatting>
  <conditionalFormatting sqref="U955:V955">
    <cfRule type="cellIs" dxfId="16309" priority="16147" stopIfTrue="1" operator="equal">
      <formula>"Fail"</formula>
    </cfRule>
    <cfRule type="cellIs" dxfId="16308" priority="16148" stopIfTrue="1" operator="equal">
      <formula>"Pass"</formula>
    </cfRule>
  </conditionalFormatting>
  <conditionalFormatting sqref="U955:V955">
    <cfRule type="cellIs" dxfId="16307" priority="16145" stopIfTrue="1" operator="equal">
      <formula>"Fail"</formula>
    </cfRule>
    <cfRule type="cellIs" dxfId="16306" priority="16146" stopIfTrue="1" operator="equal">
      <formula>"Pass"</formula>
    </cfRule>
  </conditionalFormatting>
  <conditionalFormatting sqref="J955:J956">
    <cfRule type="cellIs" dxfId="16305" priority="16143" stopIfTrue="1" operator="equal">
      <formula>"Pass"</formula>
    </cfRule>
    <cfRule type="cellIs" dxfId="16304" priority="16144" stopIfTrue="1" operator="equal">
      <formula>"Fail"</formula>
    </cfRule>
  </conditionalFormatting>
  <conditionalFormatting sqref="H955:H956 I956">
    <cfRule type="cellIs" dxfId="16303" priority="16141" stopIfTrue="1" operator="equal">
      <formula>"Pass"</formula>
    </cfRule>
    <cfRule type="cellIs" dxfId="16302" priority="16142" stopIfTrue="1" operator="equal">
      <formula>"Fail"</formula>
    </cfRule>
  </conditionalFormatting>
  <conditionalFormatting sqref="F957 F955:G955 K955:N956">
    <cfRule type="cellIs" dxfId="16301" priority="16139" stopIfTrue="1" operator="equal">
      <formula>"Pass"</formula>
    </cfRule>
    <cfRule type="cellIs" dxfId="16300" priority="16140" stopIfTrue="1" operator="equal">
      <formula>"Fail"</formula>
    </cfRule>
  </conditionalFormatting>
  <conditionalFormatting sqref="T955:T957 U956:V957">
    <cfRule type="cellIs" dxfId="16299" priority="16137" stopIfTrue="1" operator="equal">
      <formula>"Fail"</formula>
    </cfRule>
    <cfRule type="cellIs" dxfId="16298" priority="16138" stopIfTrue="1" operator="equal">
      <formula>"Pass"</formula>
    </cfRule>
  </conditionalFormatting>
  <conditionalFormatting sqref="U955:V955">
    <cfRule type="cellIs" dxfId="16297" priority="16135" stopIfTrue="1" operator="equal">
      <formula>"Fail"</formula>
    </cfRule>
    <cfRule type="cellIs" dxfId="16296" priority="16136" stopIfTrue="1" operator="equal">
      <formula>"Pass"</formula>
    </cfRule>
  </conditionalFormatting>
  <conditionalFormatting sqref="U955:V955">
    <cfRule type="cellIs" dxfId="16295" priority="16133" stopIfTrue="1" operator="equal">
      <formula>"Fail"</formula>
    </cfRule>
    <cfRule type="cellIs" dxfId="16294" priority="16134" stopIfTrue="1" operator="equal">
      <formula>"Pass"</formula>
    </cfRule>
  </conditionalFormatting>
  <conditionalFormatting sqref="F955:G955 K955:N955">
    <cfRule type="cellIs" dxfId="16293" priority="16131" stopIfTrue="1" operator="equal">
      <formula>"Pass"</formula>
    </cfRule>
    <cfRule type="cellIs" dxfId="16292" priority="16132" stopIfTrue="1" operator="equal">
      <formula>"Fail"</formula>
    </cfRule>
  </conditionalFormatting>
  <conditionalFormatting sqref="K956:N956">
    <cfRule type="cellIs" dxfId="16291" priority="16129" stopIfTrue="1" operator="equal">
      <formula>"Pass"</formula>
    </cfRule>
    <cfRule type="cellIs" dxfId="16290" priority="16130" stopIfTrue="1" operator="equal">
      <formula>"Fail"</formula>
    </cfRule>
  </conditionalFormatting>
  <conditionalFormatting sqref="U955:V955">
    <cfRule type="cellIs" dxfId="16289" priority="16127" stopIfTrue="1" operator="equal">
      <formula>"Fail"</formula>
    </cfRule>
    <cfRule type="cellIs" dxfId="16288" priority="16128" stopIfTrue="1" operator="equal">
      <formula>"Pass"</formula>
    </cfRule>
  </conditionalFormatting>
  <conditionalFormatting sqref="A955">
    <cfRule type="cellIs" dxfId="16287" priority="16125" stopIfTrue="1" operator="equal">
      <formula>"Pass"</formula>
    </cfRule>
    <cfRule type="cellIs" dxfId="16286" priority="16126" stopIfTrue="1" operator="equal">
      <formula>"Fail"</formula>
    </cfRule>
  </conditionalFormatting>
  <conditionalFormatting sqref="A955">
    <cfRule type="cellIs" dxfId="16285" priority="16123" stopIfTrue="1" operator="equal">
      <formula>"Pass"</formula>
    </cfRule>
    <cfRule type="cellIs" dxfId="16284" priority="16124" stopIfTrue="1" operator="equal">
      <formula>"Fail"</formula>
    </cfRule>
  </conditionalFormatting>
  <conditionalFormatting sqref="A955">
    <cfRule type="cellIs" dxfId="16283" priority="16121" stopIfTrue="1" operator="equal">
      <formula>"Pass"</formula>
    </cfRule>
    <cfRule type="cellIs" dxfId="16282" priority="16122" stopIfTrue="1" operator="equal">
      <formula>"Fail"</formula>
    </cfRule>
  </conditionalFormatting>
  <conditionalFormatting sqref="A955">
    <cfRule type="cellIs" dxfId="16281" priority="16119" stopIfTrue="1" operator="equal">
      <formula>"Pass"</formula>
    </cfRule>
    <cfRule type="cellIs" dxfId="16280" priority="16120" stopIfTrue="1" operator="equal">
      <formula>"Fail"</formula>
    </cfRule>
  </conditionalFormatting>
  <conditionalFormatting sqref="A955">
    <cfRule type="cellIs" dxfId="16279" priority="16117" stopIfTrue="1" operator="equal">
      <formula>"Pass"</formula>
    </cfRule>
    <cfRule type="cellIs" dxfId="16278" priority="16118" stopIfTrue="1" operator="equal">
      <formula>"Fail"</formula>
    </cfRule>
  </conditionalFormatting>
  <conditionalFormatting sqref="A955">
    <cfRule type="cellIs" dxfId="16277" priority="16115" stopIfTrue="1" operator="equal">
      <formula>"Pass"</formula>
    </cfRule>
    <cfRule type="cellIs" dxfId="16276" priority="16116" stopIfTrue="1" operator="equal">
      <formula>"Fail"</formula>
    </cfRule>
  </conditionalFormatting>
  <conditionalFormatting sqref="A955">
    <cfRule type="cellIs" dxfId="16275" priority="16113" stopIfTrue="1" operator="equal">
      <formula>"Pass"</formula>
    </cfRule>
    <cfRule type="cellIs" dxfId="16274" priority="16114" stopIfTrue="1" operator="equal">
      <formula>"Fail"</formula>
    </cfRule>
  </conditionalFormatting>
  <conditionalFormatting sqref="A955">
    <cfRule type="cellIs" dxfId="16273" priority="16111" stopIfTrue="1" operator="equal">
      <formula>"Pass"</formula>
    </cfRule>
    <cfRule type="cellIs" dxfId="16272" priority="16112" stopIfTrue="1" operator="equal">
      <formula>"Fail"</formula>
    </cfRule>
  </conditionalFormatting>
  <conditionalFormatting sqref="A955">
    <cfRule type="cellIs" dxfId="16271" priority="16109" stopIfTrue="1" operator="equal">
      <formula>"Pass"</formula>
    </cfRule>
    <cfRule type="cellIs" dxfId="16270" priority="16110" stopIfTrue="1" operator="equal">
      <formula>"Fail"</formula>
    </cfRule>
  </conditionalFormatting>
  <conditionalFormatting sqref="A955">
    <cfRule type="cellIs" dxfId="16269" priority="16107" stopIfTrue="1" operator="equal">
      <formula>"Pass"</formula>
    </cfRule>
    <cfRule type="cellIs" dxfId="16268" priority="16108" stopIfTrue="1" operator="equal">
      <formula>"Fail"</formula>
    </cfRule>
  </conditionalFormatting>
  <conditionalFormatting sqref="A955">
    <cfRule type="cellIs" dxfId="16267" priority="16105" stopIfTrue="1" operator="equal">
      <formula>"Pass"</formula>
    </cfRule>
    <cfRule type="cellIs" dxfId="16266" priority="16106" stopIfTrue="1" operator="equal">
      <formula>"Fail"</formula>
    </cfRule>
  </conditionalFormatting>
  <conditionalFormatting sqref="A955">
    <cfRule type="cellIs" dxfId="16265" priority="16103" stopIfTrue="1" operator="equal">
      <formula>"Pass"</formula>
    </cfRule>
    <cfRule type="cellIs" dxfId="16264" priority="16104" stopIfTrue="1" operator="equal">
      <formula>"Fail"</formula>
    </cfRule>
  </conditionalFormatting>
  <conditionalFormatting sqref="J955:J956">
    <cfRule type="cellIs" dxfId="16263" priority="16101" stopIfTrue="1" operator="equal">
      <formula>"Pass"</formula>
    </cfRule>
    <cfRule type="cellIs" dxfId="16262" priority="16102" stopIfTrue="1" operator="equal">
      <formula>"Fail"</formula>
    </cfRule>
  </conditionalFormatting>
  <conditionalFormatting sqref="H955:H956 I956">
    <cfRule type="cellIs" dxfId="16261" priority="16099" stopIfTrue="1" operator="equal">
      <formula>"Pass"</formula>
    </cfRule>
    <cfRule type="cellIs" dxfId="16260" priority="16100" stopIfTrue="1" operator="equal">
      <formula>"Fail"</formula>
    </cfRule>
  </conditionalFormatting>
  <conditionalFormatting sqref="F957 F955:G955 K955:N956">
    <cfRule type="cellIs" dxfId="16259" priority="16097" stopIfTrue="1" operator="equal">
      <formula>"Pass"</formula>
    </cfRule>
    <cfRule type="cellIs" dxfId="16258" priority="16098" stopIfTrue="1" operator="equal">
      <formula>"Fail"</formula>
    </cfRule>
  </conditionalFormatting>
  <conditionalFormatting sqref="T955:T957 U956:V957">
    <cfRule type="cellIs" dxfId="16257" priority="16095" stopIfTrue="1" operator="equal">
      <formula>"Fail"</formula>
    </cfRule>
    <cfRule type="cellIs" dxfId="16256" priority="16096" stopIfTrue="1" operator="equal">
      <formula>"Pass"</formula>
    </cfRule>
  </conditionalFormatting>
  <conditionalFormatting sqref="U955:V955">
    <cfRule type="cellIs" dxfId="16255" priority="16093" stopIfTrue="1" operator="equal">
      <formula>"Fail"</formula>
    </cfRule>
    <cfRule type="cellIs" dxfId="16254" priority="16094" stopIfTrue="1" operator="equal">
      <formula>"Pass"</formula>
    </cfRule>
  </conditionalFormatting>
  <conditionalFormatting sqref="U955:V955">
    <cfRule type="cellIs" dxfId="16253" priority="16091" stopIfTrue="1" operator="equal">
      <formula>"Fail"</formula>
    </cfRule>
    <cfRule type="cellIs" dxfId="16252" priority="16092" stopIfTrue="1" operator="equal">
      <formula>"Pass"</formula>
    </cfRule>
  </conditionalFormatting>
  <conditionalFormatting sqref="J955:J956">
    <cfRule type="cellIs" dxfId="16251" priority="16089" stopIfTrue="1" operator="equal">
      <formula>"Pass"</formula>
    </cfRule>
    <cfRule type="cellIs" dxfId="16250" priority="16090" stopIfTrue="1" operator="equal">
      <formula>"Fail"</formula>
    </cfRule>
  </conditionalFormatting>
  <conditionalFormatting sqref="H955:H956 I956">
    <cfRule type="cellIs" dxfId="16249" priority="16087" stopIfTrue="1" operator="equal">
      <formula>"Pass"</formula>
    </cfRule>
    <cfRule type="cellIs" dxfId="16248" priority="16088" stopIfTrue="1" operator="equal">
      <formula>"Fail"</formula>
    </cfRule>
  </conditionalFormatting>
  <conditionalFormatting sqref="F957 F955:G955 K955:N956">
    <cfRule type="cellIs" dxfId="16247" priority="16085" stopIfTrue="1" operator="equal">
      <formula>"Pass"</formula>
    </cfRule>
    <cfRule type="cellIs" dxfId="16246" priority="16086" stopIfTrue="1" operator="equal">
      <formula>"Fail"</formula>
    </cfRule>
  </conditionalFormatting>
  <conditionalFormatting sqref="T955:T957 U956:V957">
    <cfRule type="cellIs" dxfId="16245" priority="16083" stopIfTrue="1" operator="equal">
      <formula>"Fail"</formula>
    </cfRule>
    <cfRule type="cellIs" dxfId="16244" priority="16084" stopIfTrue="1" operator="equal">
      <formula>"Pass"</formula>
    </cfRule>
  </conditionalFormatting>
  <conditionalFormatting sqref="U955:V955">
    <cfRule type="cellIs" dxfId="16243" priority="16081" stopIfTrue="1" operator="equal">
      <formula>"Fail"</formula>
    </cfRule>
    <cfRule type="cellIs" dxfId="16242" priority="16082" stopIfTrue="1" operator="equal">
      <formula>"Pass"</formula>
    </cfRule>
  </conditionalFormatting>
  <conditionalFormatting sqref="U955:V955">
    <cfRule type="cellIs" dxfId="16241" priority="16079" stopIfTrue="1" operator="equal">
      <formula>"Fail"</formula>
    </cfRule>
    <cfRule type="cellIs" dxfId="16240" priority="16080" stopIfTrue="1" operator="equal">
      <formula>"Pass"</formula>
    </cfRule>
  </conditionalFormatting>
  <conditionalFormatting sqref="F955:G955 K955:N955">
    <cfRule type="cellIs" dxfId="16239" priority="16077" stopIfTrue="1" operator="equal">
      <formula>"Pass"</formula>
    </cfRule>
    <cfRule type="cellIs" dxfId="16238" priority="16078" stopIfTrue="1" operator="equal">
      <formula>"Fail"</formula>
    </cfRule>
  </conditionalFormatting>
  <conditionalFormatting sqref="K956:N956">
    <cfRule type="cellIs" dxfId="16237" priority="16075" stopIfTrue="1" operator="equal">
      <formula>"Pass"</formula>
    </cfRule>
    <cfRule type="cellIs" dxfId="16236" priority="16076" stopIfTrue="1" operator="equal">
      <formula>"Fail"</formula>
    </cfRule>
  </conditionalFormatting>
  <conditionalFormatting sqref="U955:V955">
    <cfRule type="cellIs" dxfId="16235" priority="16073" stopIfTrue="1" operator="equal">
      <formula>"Fail"</formula>
    </cfRule>
    <cfRule type="cellIs" dxfId="16234" priority="16074" stopIfTrue="1" operator="equal">
      <formula>"Pass"</formula>
    </cfRule>
  </conditionalFormatting>
  <conditionalFormatting sqref="J955:J956">
    <cfRule type="cellIs" dxfId="16233" priority="16071" stopIfTrue="1" operator="equal">
      <formula>"Pass"</formula>
    </cfRule>
    <cfRule type="cellIs" dxfId="16232" priority="16072" stopIfTrue="1" operator="equal">
      <formula>"Fail"</formula>
    </cfRule>
  </conditionalFormatting>
  <conditionalFormatting sqref="H955:H956 I956">
    <cfRule type="cellIs" dxfId="16231" priority="16069" stopIfTrue="1" operator="equal">
      <formula>"Pass"</formula>
    </cfRule>
    <cfRule type="cellIs" dxfId="16230" priority="16070" stopIfTrue="1" operator="equal">
      <formula>"Fail"</formula>
    </cfRule>
  </conditionalFormatting>
  <conditionalFormatting sqref="F955:G955 K955:N956">
    <cfRule type="cellIs" dxfId="16229" priority="16067" stopIfTrue="1" operator="equal">
      <formula>"Pass"</formula>
    </cfRule>
    <cfRule type="cellIs" dxfId="16228" priority="16068" stopIfTrue="1" operator="equal">
      <formula>"Fail"</formula>
    </cfRule>
  </conditionalFormatting>
  <conditionalFormatting sqref="T955:T956 U956:V956">
    <cfRule type="cellIs" dxfId="16227" priority="16065" stopIfTrue="1" operator="equal">
      <formula>"Fail"</formula>
    </cfRule>
    <cfRule type="cellIs" dxfId="16226" priority="16066" stopIfTrue="1" operator="equal">
      <formula>"Pass"</formula>
    </cfRule>
  </conditionalFormatting>
  <conditionalFormatting sqref="U955:V955">
    <cfRule type="cellIs" dxfId="16225" priority="16063" stopIfTrue="1" operator="equal">
      <formula>"Fail"</formula>
    </cfRule>
    <cfRule type="cellIs" dxfId="16224" priority="16064" stopIfTrue="1" operator="equal">
      <formula>"Pass"</formula>
    </cfRule>
  </conditionalFormatting>
  <conditionalFormatting sqref="U955:V955">
    <cfRule type="cellIs" dxfId="16223" priority="16061" stopIfTrue="1" operator="equal">
      <formula>"Fail"</formula>
    </cfRule>
    <cfRule type="cellIs" dxfId="16222" priority="16062" stopIfTrue="1" operator="equal">
      <formula>"Pass"</formula>
    </cfRule>
  </conditionalFormatting>
  <conditionalFormatting sqref="J955:J956">
    <cfRule type="cellIs" dxfId="16221" priority="16059" stopIfTrue="1" operator="equal">
      <formula>"Pass"</formula>
    </cfRule>
    <cfRule type="cellIs" dxfId="16220" priority="16060" stopIfTrue="1" operator="equal">
      <formula>"Fail"</formula>
    </cfRule>
  </conditionalFormatting>
  <conditionalFormatting sqref="H955:H956 I956">
    <cfRule type="cellIs" dxfId="16219" priority="16057" stopIfTrue="1" operator="equal">
      <formula>"Pass"</formula>
    </cfRule>
    <cfRule type="cellIs" dxfId="16218" priority="16058" stopIfTrue="1" operator="equal">
      <formula>"Fail"</formula>
    </cfRule>
  </conditionalFormatting>
  <conditionalFormatting sqref="F955:G955 K955:N956">
    <cfRule type="cellIs" dxfId="16217" priority="16055" stopIfTrue="1" operator="equal">
      <formula>"Pass"</formula>
    </cfRule>
    <cfRule type="cellIs" dxfId="16216" priority="16056" stopIfTrue="1" operator="equal">
      <formula>"Fail"</formula>
    </cfRule>
  </conditionalFormatting>
  <conditionalFormatting sqref="T955:T956 U956:V956">
    <cfRule type="cellIs" dxfId="16215" priority="16053" stopIfTrue="1" operator="equal">
      <formula>"Fail"</formula>
    </cfRule>
    <cfRule type="cellIs" dxfId="16214" priority="16054" stopIfTrue="1" operator="equal">
      <formula>"Pass"</formula>
    </cfRule>
  </conditionalFormatting>
  <conditionalFormatting sqref="U955:V955">
    <cfRule type="cellIs" dxfId="16213" priority="16051" stopIfTrue="1" operator="equal">
      <formula>"Fail"</formula>
    </cfRule>
    <cfRule type="cellIs" dxfId="16212" priority="16052" stopIfTrue="1" operator="equal">
      <formula>"Pass"</formula>
    </cfRule>
  </conditionalFormatting>
  <conditionalFormatting sqref="U955:V955">
    <cfRule type="cellIs" dxfId="16211" priority="16049" stopIfTrue="1" operator="equal">
      <formula>"Fail"</formula>
    </cfRule>
    <cfRule type="cellIs" dxfId="16210" priority="16050" stopIfTrue="1" operator="equal">
      <formula>"Pass"</formula>
    </cfRule>
  </conditionalFormatting>
  <conditionalFormatting sqref="F955:G955 K955:N955">
    <cfRule type="cellIs" dxfId="16209" priority="16047" stopIfTrue="1" operator="equal">
      <formula>"Pass"</formula>
    </cfRule>
    <cfRule type="cellIs" dxfId="16208" priority="16048" stopIfTrue="1" operator="equal">
      <formula>"Fail"</formula>
    </cfRule>
  </conditionalFormatting>
  <conditionalFormatting sqref="K956:N956">
    <cfRule type="cellIs" dxfId="16207" priority="16045" stopIfTrue="1" operator="equal">
      <formula>"Pass"</formula>
    </cfRule>
    <cfRule type="cellIs" dxfId="16206" priority="16046" stopIfTrue="1" operator="equal">
      <formula>"Fail"</formula>
    </cfRule>
  </conditionalFormatting>
  <conditionalFormatting sqref="U955:V955">
    <cfRule type="cellIs" dxfId="16205" priority="16043" stopIfTrue="1" operator="equal">
      <formula>"Fail"</formula>
    </cfRule>
    <cfRule type="cellIs" dxfId="16204" priority="16044" stopIfTrue="1" operator="equal">
      <formula>"Pass"</formula>
    </cfRule>
  </conditionalFormatting>
  <conditionalFormatting sqref="U955:V955">
    <cfRule type="cellIs" dxfId="16203" priority="16041" stopIfTrue="1" operator="equal">
      <formula>"Fail"</formula>
    </cfRule>
    <cfRule type="cellIs" dxfId="16202" priority="16042" stopIfTrue="1" operator="equal">
      <formula>"Pass"</formula>
    </cfRule>
  </conditionalFormatting>
  <conditionalFormatting sqref="U955:V955">
    <cfRule type="cellIs" dxfId="16201" priority="16039" stopIfTrue="1" operator="equal">
      <formula>"Fail"</formula>
    </cfRule>
    <cfRule type="cellIs" dxfId="16200" priority="16040" stopIfTrue="1" operator="equal">
      <formula>"Pass"</formula>
    </cfRule>
  </conditionalFormatting>
  <conditionalFormatting sqref="U955:V955">
    <cfRule type="cellIs" dxfId="16199" priority="16037" stopIfTrue="1" operator="equal">
      <formula>"Fail"</formula>
    </cfRule>
    <cfRule type="cellIs" dxfId="16198" priority="16038" stopIfTrue="1" operator="equal">
      <formula>"Pass"</formula>
    </cfRule>
  </conditionalFormatting>
  <conditionalFormatting sqref="A958">
    <cfRule type="cellIs" dxfId="16197" priority="16035" stopIfTrue="1" operator="equal">
      <formula>"Pass"</formula>
    </cfRule>
    <cfRule type="cellIs" dxfId="16196" priority="16036" stopIfTrue="1" operator="equal">
      <formula>"Fail"</formula>
    </cfRule>
  </conditionalFormatting>
  <conditionalFormatting sqref="A958">
    <cfRule type="cellIs" dxfId="16195" priority="16033" stopIfTrue="1" operator="equal">
      <formula>"Pass"</formula>
    </cfRule>
    <cfRule type="cellIs" dxfId="16194" priority="16034" stopIfTrue="1" operator="equal">
      <formula>"Fail"</formula>
    </cfRule>
  </conditionalFormatting>
  <conditionalFormatting sqref="A958">
    <cfRule type="cellIs" dxfId="16193" priority="16031" stopIfTrue="1" operator="equal">
      <formula>"Pass"</formula>
    </cfRule>
    <cfRule type="cellIs" dxfId="16192" priority="16032" stopIfTrue="1" operator="equal">
      <formula>"Fail"</formula>
    </cfRule>
  </conditionalFormatting>
  <conditionalFormatting sqref="A958">
    <cfRule type="cellIs" dxfId="16191" priority="16029" stopIfTrue="1" operator="equal">
      <formula>"Pass"</formula>
    </cfRule>
    <cfRule type="cellIs" dxfId="16190" priority="16030" stopIfTrue="1" operator="equal">
      <formula>"Fail"</formula>
    </cfRule>
  </conditionalFormatting>
  <conditionalFormatting sqref="A958">
    <cfRule type="cellIs" dxfId="16189" priority="16027" stopIfTrue="1" operator="equal">
      <formula>"Pass"</formula>
    </cfRule>
    <cfRule type="cellIs" dxfId="16188" priority="16028" stopIfTrue="1" operator="equal">
      <formula>"Fail"</formula>
    </cfRule>
  </conditionalFormatting>
  <conditionalFormatting sqref="A958">
    <cfRule type="cellIs" dxfId="16187" priority="16025" stopIfTrue="1" operator="equal">
      <formula>"Pass"</formula>
    </cfRule>
    <cfRule type="cellIs" dxfId="16186" priority="16026" stopIfTrue="1" operator="equal">
      <formula>"Fail"</formula>
    </cfRule>
  </conditionalFormatting>
  <conditionalFormatting sqref="H958:H959">
    <cfRule type="cellIs" dxfId="16185" priority="16023" stopIfTrue="1" operator="equal">
      <formula>"Pass"</formula>
    </cfRule>
    <cfRule type="cellIs" dxfId="16184" priority="16024" stopIfTrue="1" operator="equal">
      <formula>"Fail"</formula>
    </cfRule>
  </conditionalFormatting>
  <conditionalFormatting sqref="E958:F958 E960:F960 A958 I958:M959">
    <cfRule type="cellIs" dxfId="16183" priority="16021" stopIfTrue="1" operator="equal">
      <formula>"Pass"</formula>
    </cfRule>
    <cfRule type="cellIs" dxfId="16182" priority="16022" stopIfTrue="1" operator="equal">
      <formula>"Fail"</formula>
    </cfRule>
  </conditionalFormatting>
  <conditionalFormatting sqref="T960 T958 R958:R960 S959:S960">
    <cfRule type="cellIs" dxfId="16181" priority="16019" stopIfTrue="1" operator="equal">
      <formula>"Fail"</formula>
    </cfRule>
    <cfRule type="cellIs" dxfId="16180" priority="16020" stopIfTrue="1" operator="equal">
      <formula>"Pass"</formula>
    </cfRule>
  </conditionalFormatting>
  <conditionalFormatting sqref="F958:G958 F960:G960 B958:B960 A958 J958:N959">
    <cfRule type="cellIs" dxfId="16179" priority="16017" stopIfTrue="1" operator="equal">
      <formula>"Pass"</formula>
    </cfRule>
    <cfRule type="cellIs" dxfId="16178" priority="16018" stopIfTrue="1" operator="equal">
      <formula>"Fail"</formula>
    </cfRule>
  </conditionalFormatting>
  <conditionalFormatting sqref="U960:V960 T958:T960 S959:S960">
    <cfRule type="cellIs" dxfId="16177" priority="16015" stopIfTrue="1" operator="equal">
      <formula>"Fail"</formula>
    </cfRule>
    <cfRule type="cellIs" dxfId="16176" priority="16016" stopIfTrue="1" operator="equal">
      <formula>"Pass"</formula>
    </cfRule>
  </conditionalFormatting>
  <conditionalFormatting sqref="A958">
    <cfRule type="cellIs" dxfId="16175" priority="16013" stopIfTrue="1" operator="equal">
      <formula>"Pass"</formula>
    </cfRule>
    <cfRule type="cellIs" dxfId="16174" priority="16014" stopIfTrue="1" operator="equal">
      <formula>"Fail"</formula>
    </cfRule>
  </conditionalFormatting>
  <conditionalFormatting sqref="A958">
    <cfRule type="cellIs" dxfId="16173" priority="16011" stopIfTrue="1" operator="equal">
      <formula>"Pass"</formula>
    </cfRule>
    <cfRule type="cellIs" dxfId="16172" priority="16012" stopIfTrue="1" operator="equal">
      <formula>"Fail"</formula>
    </cfRule>
  </conditionalFormatting>
  <conditionalFormatting sqref="A958">
    <cfRule type="cellIs" dxfId="16171" priority="16009" stopIfTrue="1" operator="equal">
      <formula>"Pass"</formula>
    </cfRule>
    <cfRule type="cellIs" dxfId="16170" priority="16010" stopIfTrue="1" operator="equal">
      <formula>"Fail"</formula>
    </cfRule>
  </conditionalFormatting>
  <conditionalFormatting sqref="A958">
    <cfRule type="cellIs" dxfId="16169" priority="16007" stopIfTrue="1" operator="equal">
      <formula>"Pass"</formula>
    </cfRule>
    <cfRule type="cellIs" dxfId="16168" priority="16008" stopIfTrue="1" operator="equal">
      <formula>"Fail"</formula>
    </cfRule>
  </conditionalFormatting>
  <conditionalFormatting sqref="A958">
    <cfRule type="cellIs" dxfId="16167" priority="16005" stopIfTrue="1" operator="equal">
      <formula>"Pass"</formula>
    </cfRule>
    <cfRule type="cellIs" dxfId="16166" priority="16006" stopIfTrue="1" operator="equal">
      <formula>"Fail"</formula>
    </cfRule>
  </conditionalFormatting>
  <conditionalFormatting sqref="A958">
    <cfRule type="cellIs" dxfId="16165" priority="16003" stopIfTrue="1" operator="equal">
      <formula>"Pass"</formula>
    </cfRule>
    <cfRule type="cellIs" dxfId="16164" priority="16004" stopIfTrue="1" operator="equal">
      <formula>"Fail"</formula>
    </cfRule>
  </conditionalFormatting>
  <conditionalFormatting sqref="A958">
    <cfRule type="cellIs" dxfId="16163" priority="16001" stopIfTrue="1" operator="equal">
      <formula>"Pass"</formula>
    </cfRule>
    <cfRule type="cellIs" dxfId="16162" priority="16002" stopIfTrue="1" operator="equal">
      <formula>"Fail"</formula>
    </cfRule>
  </conditionalFormatting>
  <conditionalFormatting sqref="A958">
    <cfRule type="cellIs" dxfId="16161" priority="15999" stopIfTrue="1" operator="equal">
      <formula>"Pass"</formula>
    </cfRule>
    <cfRule type="cellIs" dxfId="16160" priority="16000" stopIfTrue="1" operator="equal">
      <formula>"Fail"</formula>
    </cfRule>
  </conditionalFormatting>
  <conditionalFormatting sqref="A958">
    <cfRule type="cellIs" dxfId="16159" priority="15997" stopIfTrue="1" operator="equal">
      <formula>"Pass"</formula>
    </cfRule>
    <cfRule type="cellIs" dxfId="16158" priority="15998" stopIfTrue="1" operator="equal">
      <formula>"Fail"</formula>
    </cfRule>
  </conditionalFormatting>
  <conditionalFormatting sqref="A958">
    <cfRule type="cellIs" dxfId="16157" priority="15995" stopIfTrue="1" operator="equal">
      <formula>"Pass"</formula>
    </cfRule>
    <cfRule type="cellIs" dxfId="16156" priority="15996" stopIfTrue="1" operator="equal">
      <formula>"Fail"</formula>
    </cfRule>
  </conditionalFormatting>
  <conditionalFormatting sqref="U958:V958">
    <cfRule type="cellIs" dxfId="16155" priority="15993" stopIfTrue="1" operator="equal">
      <formula>"Fail"</formula>
    </cfRule>
    <cfRule type="cellIs" dxfId="16154" priority="15994" stopIfTrue="1" operator="equal">
      <formula>"Pass"</formula>
    </cfRule>
  </conditionalFormatting>
  <conditionalFormatting sqref="F958:G958 J958:N958">
    <cfRule type="cellIs" dxfId="16153" priority="15991" stopIfTrue="1" operator="equal">
      <formula>"Pass"</formula>
    </cfRule>
    <cfRule type="cellIs" dxfId="16152" priority="15992" stopIfTrue="1" operator="equal">
      <formula>"Fail"</formula>
    </cfRule>
  </conditionalFormatting>
  <conditionalFormatting sqref="J959:N959">
    <cfRule type="cellIs" dxfId="16151" priority="15989" stopIfTrue="1" operator="equal">
      <formula>"Pass"</formula>
    </cfRule>
    <cfRule type="cellIs" dxfId="16150" priority="15990" stopIfTrue="1" operator="equal">
      <formula>"Fail"</formula>
    </cfRule>
  </conditionalFormatting>
  <conditionalFormatting sqref="A958">
    <cfRule type="cellIs" dxfId="16149" priority="15987" stopIfTrue="1" operator="equal">
      <formula>"Pass"</formula>
    </cfRule>
    <cfRule type="cellIs" dxfId="16148" priority="15988" stopIfTrue="1" operator="equal">
      <formula>"Fail"</formula>
    </cfRule>
  </conditionalFormatting>
  <conditionalFormatting sqref="A958">
    <cfRule type="cellIs" dxfId="16147" priority="15985" stopIfTrue="1" operator="equal">
      <formula>"Pass"</formula>
    </cfRule>
    <cfRule type="cellIs" dxfId="16146" priority="15986" stopIfTrue="1" operator="equal">
      <formula>"Fail"</formula>
    </cfRule>
  </conditionalFormatting>
  <conditionalFormatting sqref="A958">
    <cfRule type="cellIs" dxfId="16145" priority="15983" stopIfTrue="1" operator="equal">
      <formula>"Pass"</formula>
    </cfRule>
    <cfRule type="cellIs" dxfId="16144" priority="15984" stopIfTrue="1" operator="equal">
      <formula>"Fail"</formula>
    </cfRule>
  </conditionalFormatting>
  <conditionalFormatting sqref="A958">
    <cfRule type="cellIs" dxfId="16143" priority="15981" stopIfTrue="1" operator="equal">
      <formula>"Pass"</formula>
    </cfRule>
    <cfRule type="cellIs" dxfId="16142" priority="15982" stopIfTrue="1" operator="equal">
      <formula>"Fail"</formula>
    </cfRule>
  </conditionalFormatting>
  <conditionalFormatting sqref="A958">
    <cfRule type="cellIs" dxfId="16141" priority="15979" stopIfTrue="1" operator="equal">
      <formula>"Pass"</formula>
    </cfRule>
    <cfRule type="cellIs" dxfId="16140" priority="15980" stopIfTrue="1" operator="equal">
      <formula>"Fail"</formula>
    </cfRule>
  </conditionalFormatting>
  <conditionalFormatting sqref="A958">
    <cfRule type="cellIs" dxfId="16139" priority="15977" stopIfTrue="1" operator="equal">
      <formula>"Pass"</formula>
    </cfRule>
    <cfRule type="cellIs" dxfId="16138" priority="15978" stopIfTrue="1" operator="equal">
      <formula>"Fail"</formula>
    </cfRule>
  </conditionalFormatting>
  <conditionalFormatting sqref="A958">
    <cfRule type="cellIs" dxfId="16137" priority="15975" stopIfTrue="1" operator="equal">
      <formula>"Pass"</formula>
    </cfRule>
    <cfRule type="cellIs" dxfId="16136" priority="15976" stopIfTrue="1" operator="equal">
      <formula>"Fail"</formula>
    </cfRule>
  </conditionalFormatting>
  <conditionalFormatting sqref="A958">
    <cfRule type="cellIs" dxfId="16135" priority="15973" stopIfTrue="1" operator="equal">
      <formula>"Pass"</formula>
    </cfRule>
    <cfRule type="cellIs" dxfId="16134" priority="15974" stopIfTrue="1" operator="equal">
      <formula>"Fail"</formula>
    </cfRule>
  </conditionalFormatting>
  <conditionalFormatting sqref="A958">
    <cfRule type="cellIs" dxfId="16133" priority="15971" stopIfTrue="1" operator="equal">
      <formula>"Pass"</formula>
    </cfRule>
    <cfRule type="cellIs" dxfId="16132" priority="15972" stopIfTrue="1" operator="equal">
      <formula>"Fail"</formula>
    </cfRule>
  </conditionalFormatting>
  <conditionalFormatting sqref="A958">
    <cfRule type="cellIs" dxfId="16131" priority="15969" stopIfTrue="1" operator="equal">
      <formula>"Pass"</formula>
    </cfRule>
    <cfRule type="cellIs" dxfId="16130" priority="15970" stopIfTrue="1" operator="equal">
      <formula>"Fail"</formula>
    </cfRule>
  </conditionalFormatting>
  <conditionalFormatting sqref="A958">
    <cfRule type="cellIs" dxfId="16129" priority="15967" stopIfTrue="1" operator="equal">
      <formula>"Pass"</formula>
    </cfRule>
    <cfRule type="cellIs" dxfId="16128" priority="15968" stopIfTrue="1" operator="equal">
      <formula>"Fail"</formula>
    </cfRule>
  </conditionalFormatting>
  <conditionalFormatting sqref="A958">
    <cfRule type="cellIs" dxfId="16127" priority="15965" stopIfTrue="1" operator="equal">
      <formula>"Pass"</formula>
    </cfRule>
    <cfRule type="cellIs" dxfId="16126" priority="15966" stopIfTrue="1" operator="equal">
      <formula>"Fail"</formula>
    </cfRule>
  </conditionalFormatting>
  <conditionalFormatting sqref="H958:H959">
    <cfRule type="cellIs" dxfId="16125" priority="15963" stopIfTrue="1" operator="equal">
      <formula>"Pass"</formula>
    </cfRule>
    <cfRule type="cellIs" dxfId="16124" priority="15964" stopIfTrue="1" operator="equal">
      <formula>"Fail"</formula>
    </cfRule>
  </conditionalFormatting>
  <conditionalFormatting sqref="F958 F960 I958:M959">
    <cfRule type="cellIs" dxfId="16123" priority="15961" stopIfTrue="1" operator="equal">
      <formula>"Pass"</formula>
    </cfRule>
    <cfRule type="cellIs" dxfId="16122" priority="15962" stopIfTrue="1" operator="equal">
      <formula>"Fail"</formula>
    </cfRule>
  </conditionalFormatting>
  <conditionalFormatting sqref="T960 T958 R958:R960 S959:S960">
    <cfRule type="cellIs" dxfId="16121" priority="15959" stopIfTrue="1" operator="equal">
      <formula>"Fail"</formula>
    </cfRule>
    <cfRule type="cellIs" dxfId="16120" priority="15960" stopIfTrue="1" operator="equal">
      <formula>"Pass"</formula>
    </cfRule>
  </conditionalFormatting>
  <conditionalFormatting sqref="F958:G958 F960:G960 J958:N959">
    <cfRule type="cellIs" dxfId="16119" priority="15957" stopIfTrue="1" operator="equal">
      <formula>"Pass"</formula>
    </cfRule>
    <cfRule type="cellIs" dxfId="16118" priority="15958" stopIfTrue="1" operator="equal">
      <formula>"Fail"</formula>
    </cfRule>
  </conditionalFormatting>
  <conditionalFormatting sqref="U960:V960 T958:T960 S959:S960">
    <cfRule type="cellIs" dxfId="16117" priority="15955" stopIfTrue="1" operator="equal">
      <formula>"Fail"</formula>
    </cfRule>
    <cfRule type="cellIs" dxfId="16116" priority="15956" stopIfTrue="1" operator="equal">
      <formula>"Pass"</formula>
    </cfRule>
  </conditionalFormatting>
  <conditionalFormatting sqref="U958:V958">
    <cfRule type="cellIs" dxfId="16115" priority="15953" stopIfTrue="1" operator="equal">
      <formula>"Fail"</formula>
    </cfRule>
    <cfRule type="cellIs" dxfId="16114" priority="15954" stopIfTrue="1" operator="equal">
      <formula>"Pass"</formula>
    </cfRule>
  </conditionalFormatting>
  <conditionalFormatting sqref="F958:G958 J958:N958">
    <cfRule type="cellIs" dxfId="16113" priority="15951" stopIfTrue="1" operator="equal">
      <formula>"Pass"</formula>
    </cfRule>
    <cfRule type="cellIs" dxfId="16112" priority="15952" stopIfTrue="1" operator="equal">
      <formula>"Fail"</formula>
    </cfRule>
  </conditionalFormatting>
  <conditionalFormatting sqref="J959:N959">
    <cfRule type="cellIs" dxfId="16111" priority="15949" stopIfTrue="1" operator="equal">
      <formula>"Pass"</formula>
    </cfRule>
    <cfRule type="cellIs" dxfId="16110" priority="15950" stopIfTrue="1" operator="equal">
      <formula>"Fail"</formula>
    </cfRule>
  </conditionalFormatting>
  <conditionalFormatting sqref="H958:H959">
    <cfRule type="cellIs" dxfId="16109" priority="15947" stopIfTrue="1" operator="equal">
      <formula>"Pass"</formula>
    </cfRule>
    <cfRule type="cellIs" dxfId="16108" priority="15948" stopIfTrue="1" operator="equal">
      <formula>"Fail"</formula>
    </cfRule>
  </conditionalFormatting>
  <conditionalFormatting sqref="F958 F960 I958:M959">
    <cfRule type="cellIs" dxfId="16107" priority="15945" stopIfTrue="1" operator="equal">
      <formula>"Pass"</formula>
    </cfRule>
    <cfRule type="cellIs" dxfId="16106" priority="15946" stopIfTrue="1" operator="equal">
      <formula>"Fail"</formula>
    </cfRule>
  </conditionalFormatting>
  <conditionalFormatting sqref="T960 T958 R958:R960 S959:S960">
    <cfRule type="cellIs" dxfId="16105" priority="15943" stopIfTrue="1" operator="equal">
      <formula>"Fail"</formula>
    </cfRule>
    <cfRule type="cellIs" dxfId="16104" priority="15944" stopIfTrue="1" operator="equal">
      <formula>"Pass"</formula>
    </cfRule>
  </conditionalFormatting>
  <conditionalFormatting sqref="F958:G958 F960:G960 J958:N959">
    <cfRule type="cellIs" dxfId="16103" priority="15941" stopIfTrue="1" operator="equal">
      <formula>"Pass"</formula>
    </cfRule>
    <cfRule type="cellIs" dxfId="16102" priority="15942" stopIfTrue="1" operator="equal">
      <formula>"Fail"</formula>
    </cfRule>
  </conditionalFormatting>
  <conditionalFormatting sqref="U960:V960 T958:T960 S959:S960">
    <cfRule type="cellIs" dxfId="16101" priority="15939" stopIfTrue="1" operator="equal">
      <formula>"Fail"</formula>
    </cfRule>
    <cfRule type="cellIs" dxfId="16100" priority="15940" stopIfTrue="1" operator="equal">
      <formula>"Pass"</formula>
    </cfRule>
  </conditionalFormatting>
  <conditionalFormatting sqref="U958:V958">
    <cfRule type="cellIs" dxfId="16099" priority="15937" stopIfTrue="1" operator="equal">
      <formula>"Fail"</formula>
    </cfRule>
    <cfRule type="cellIs" dxfId="16098" priority="15938" stopIfTrue="1" operator="equal">
      <formula>"Pass"</formula>
    </cfRule>
  </conditionalFormatting>
  <conditionalFormatting sqref="F958:G958 J958:N958">
    <cfRule type="cellIs" dxfId="16097" priority="15935" stopIfTrue="1" operator="equal">
      <formula>"Pass"</formula>
    </cfRule>
    <cfRule type="cellIs" dxfId="16096" priority="15936" stopIfTrue="1" operator="equal">
      <formula>"Fail"</formula>
    </cfRule>
  </conditionalFormatting>
  <conditionalFormatting sqref="J959:N959">
    <cfRule type="cellIs" dxfId="16095" priority="15933" stopIfTrue="1" operator="equal">
      <formula>"Pass"</formula>
    </cfRule>
    <cfRule type="cellIs" dxfId="16094" priority="15934" stopIfTrue="1" operator="equal">
      <formula>"Fail"</formula>
    </cfRule>
  </conditionalFormatting>
  <conditionalFormatting sqref="U958:V958">
    <cfRule type="cellIs" dxfId="16093" priority="15931" stopIfTrue="1" operator="equal">
      <formula>"Fail"</formula>
    </cfRule>
    <cfRule type="cellIs" dxfId="16092" priority="15932" stopIfTrue="1" operator="equal">
      <formula>"Pass"</formula>
    </cfRule>
  </conditionalFormatting>
  <conditionalFormatting sqref="U958:V958">
    <cfRule type="cellIs" dxfId="16091" priority="15929" stopIfTrue="1" operator="equal">
      <formula>"Fail"</formula>
    </cfRule>
    <cfRule type="cellIs" dxfId="16090" priority="15930" stopIfTrue="1" operator="equal">
      <formula>"Pass"</formula>
    </cfRule>
  </conditionalFormatting>
  <conditionalFormatting sqref="U958:V958">
    <cfRule type="cellIs" dxfId="16089" priority="15927" stopIfTrue="1" operator="equal">
      <formula>"Fail"</formula>
    </cfRule>
    <cfRule type="cellIs" dxfId="16088" priority="15928" stopIfTrue="1" operator="equal">
      <formula>"Pass"</formula>
    </cfRule>
  </conditionalFormatting>
  <conditionalFormatting sqref="N958">
    <cfRule type="cellIs" dxfId="16087" priority="15925" stopIfTrue="1" operator="equal">
      <formula>"Pass"</formula>
    </cfRule>
    <cfRule type="cellIs" dxfId="16086" priority="15926" stopIfTrue="1" operator="equal">
      <formula>"Fail"</formula>
    </cfRule>
  </conditionalFormatting>
  <conditionalFormatting sqref="N958">
    <cfRule type="cellIs" dxfId="16085" priority="15923" stopIfTrue="1" operator="equal">
      <formula>"Pass"</formula>
    </cfRule>
    <cfRule type="cellIs" dxfId="16084" priority="15924" stopIfTrue="1" operator="equal">
      <formula>"Fail"</formula>
    </cfRule>
  </conditionalFormatting>
  <conditionalFormatting sqref="N958">
    <cfRule type="cellIs" dxfId="16083" priority="15921" stopIfTrue="1" operator="equal">
      <formula>"Pass"</formula>
    </cfRule>
    <cfRule type="cellIs" dxfId="16082" priority="15922" stopIfTrue="1" operator="equal">
      <formula>"Fail"</formula>
    </cfRule>
  </conditionalFormatting>
  <conditionalFormatting sqref="A955">
    <cfRule type="cellIs" dxfId="16081" priority="15919" stopIfTrue="1" operator="equal">
      <formula>"Pass"</formula>
    </cfRule>
    <cfRule type="cellIs" dxfId="16080" priority="15920" stopIfTrue="1" operator="equal">
      <formula>"Fail"</formula>
    </cfRule>
  </conditionalFormatting>
  <conditionalFormatting sqref="A955">
    <cfRule type="cellIs" dxfId="16079" priority="15917" stopIfTrue="1" operator="equal">
      <formula>"Pass"</formula>
    </cfRule>
    <cfRule type="cellIs" dxfId="16078" priority="15918" stopIfTrue="1" operator="equal">
      <formula>"Fail"</formula>
    </cfRule>
  </conditionalFormatting>
  <conditionalFormatting sqref="A955">
    <cfRule type="cellIs" dxfId="16077" priority="15915" stopIfTrue="1" operator="equal">
      <formula>"Pass"</formula>
    </cfRule>
    <cfRule type="cellIs" dxfId="16076" priority="15916" stopIfTrue="1" operator="equal">
      <formula>"Fail"</formula>
    </cfRule>
  </conditionalFormatting>
  <conditionalFormatting sqref="A955">
    <cfRule type="cellIs" dxfId="16075" priority="15913" stopIfTrue="1" operator="equal">
      <formula>"Pass"</formula>
    </cfRule>
    <cfRule type="cellIs" dxfId="16074" priority="15914" stopIfTrue="1" operator="equal">
      <formula>"Fail"</formula>
    </cfRule>
  </conditionalFormatting>
  <conditionalFormatting sqref="A955">
    <cfRule type="cellIs" dxfId="16073" priority="15911" stopIfTrue="1" operator="equal">
      <formula>"Pass"</formula>
    </cfRule>
    <cfRule type="cellIs" dxfId="16072" priority="15912" stopIfTrue="1" operator="equal">
      <formula>"Fail"</formula>
    </cfRule>
  </conditionalFormatting>
  <conditionalFormatting sqref="A955">
    <cfRule type="cellIs" dxfId="16071" priority="15909" stopIfTrue="1" operator="equal">
      <formula>"Pass"</formula>
    </cfRule>
    <cfRule type="cellIs" dxfId="16070" priority="15910" stopIfTrue="1" operator="equal">
      <formula>"Fail"</formula>
    </cfRule>
  </conditionalFormatting>
  <conditionalFormatting sqref="A955">
    <cfRule type="cellIs" dxfId="16069" priority="15907" stopIfTrue="1" operator="equal">
      <formula>"Pass"</formula>
    </cfRule>
    <cfRule type="cellIs" dxfId="16068" priority="15908" stopIfTrue="1" operator="equal">
      <formula>"Fail"</formula>
    </cfRule>
  </conditionalFormatting>
  <conditionalFormatting sqref="A955">
    <cfRule type="cellIs" dxfId="16067" priority="15905" stopIfTrue="1" operator="equal">
      <formula>"Pass"</formula>
    </cfRule>
    <cfRule type="cellIs" dxfId="16066" priority="15906" stopIfTrue="1" operator="equal">
      <formula>"Fail"</formula>
    </cfRule>
  </conditionalFormatting>
  <conditionalFormatting sqref="A955">
    <cfRule type="cellIs" dxfId="16065" priority="15903" stopIfTrue="1" operator="equal">
      <formula>"Pass"</formula>
    </cfRule>
    <cfRule type="cellIs" dxfId="16064" priority="15904" stopIfTrue="1" operator="equal">
      <formula>"Fail"</formula>
    </cfRule>
  </conditionalFormatting>
  <conditionalFormatting sqref="A955">
    <cfRule type="cellIs" dxfId="16063" priority="15901" stopIfTrue="1" operator="equal">
      <formula>"Pass"</formula>
    </cfRule>
    <cfRule type="cellIs" dxfId="16062" priority="15902" stopIfTrue="1" operator="equal">
      <formula>"Fail"</formula>
    </cfRule>
  </conditionalFormatting>
  <conditionalFormatting sqref="A955">
    <cfRule type="cellIs" dxfId="16061" priority="15899" stopIfTrue="1" operator="equal">
      <formula>"Pass"</formula>
    </cfRule>
    <cfRule type="cellIs" dxfId="16060" priority="15900" stopIfTrue="1" operator="equal">
      <formula>"Fail"</formula>
    </cfRule>
  </conditionalFormatting>
  <conditionalFormatting sqref="A955">
    <cfRule type="cellIs" dxfId="16059" priority="15897" stopIfTrue="1" operator="equal">
      <formula>"Pass"</formula>
    </cfRule>
    <cfRule type="cellIs" dxfId="16058" priority="15898" stopIfTrue="1" operator="equal">
      <formula>"Fail"</formula>
    </cfRule>
  </conditionalFormatting>
  <conditionalFormatting sqref="A955">
    <cfRule type="cellIs" dxfId="16057" priority="15895" stopIfTrue="1" operator="equal">
      <formula>"Pass"</formula>
    </cfRule>
    <cfRule type="cellIs" dxfId="16056" priority="15896" stopIfTrue="1" operator="equal">
      <formula>"Fail"</formula>
    </cfRule>
  </conditionalFormatting>
  <conditionalFormatting sqref="A955">
    <cfRule type="cellIs" dxfId="16055" priority="15893" stopIfTrue="1" operator="equal">
      <formula>"Pass"</formula>
    </cfRule>
    <cfRule type="cellIs" dxfId="16054" priority="15894" stopIfTrue="1" operator="equal">
      <formula>"Fail"</formula>
    </cfRule>
  </conditionalFormatting>
  <conditionalFormatting sqref="A955">
    <cfRule type="cellIs" dxfId="16053" priority="15891" stopIfTrue="1" operator="equal">
      <formula>"Pass"</formula>
    </cfRule>
    <cfRule type="cellIs" dxfId="16052" priority="15892" stopIfTrue="1" operator="equal">
      <formula>"Fail"</formula>
    </cfRule>
  </conditionalFormatting>
  <conditionalFormatting sqref="A955">
    <cfRule type="cellIs" dxfId="16051" priority="15889" stopIfTrue="1" operator="equal">
      <formula>"Pass"</formula>
    </cfRule>
    <cfRule type="cellIs" dxfId="16050" priority="15890" stopIfTrue="1" operator="equal">
      <formula>"Fail"</formula>
    </cfRule>
  </conditionalFormatting>
  <conditionalFormatting sqref="A955">
    <cfRule type="cellIs" dxfId="16049" priority="15887" stopIfTrue="1" operator="equal">
      <formula>"Pass"</formula>
    </cfRule>
    <cfRule type="cellIs" dxfId="16048" priority="15888" stopIfTrue="1" operator="equal">
      <formula>"Fail"</formula>
    </cfRule>
  </conditionalFormatting>
  <conditionalFormatting sqref="A955">
    <cfRule type="cellIs" dxfId="16047" priority="15885" stopIfTrue="1" operator="equal">
      <formula>"Pass"</formula>
    </cfRule>
    <cfRule type="cellIs" dxfId="16046" priority="15886" stopIfTrue="1" operator="equal">
      <formula>"Fail"</formula>
    </cfRule>
  </conditionalFormatting>
  <conditionalFormatting sqref="A958">
    <cfRule type="cellIs" dxfId="16045" priority="15883" stopIfTrue="1" operator="equal">
      <formula>"Pass"</formula>
    </cfRule>
    <cfRule type="cellIs" dxfId="16044" priority="15884" stopIfTrue="1" operator="equal">
      <formula>"Fail"</formula>
    </cfRule>
  </conditionalFormatting>
  <conditionalFormatting sqref="A958">
    <cfRule type="cellIs" dxfId="16043" priority="15881" stopIfTrue="1" operator="equal">
      <formula>"Pass"</formula>
    </cfRule>
    <cfRule type="cellIs" dxfId="16042" priority="15882" stopIfTrue="1" operator="equal">
      <formula>"Fail"</formula>
    </cfRule>
  </conditionalFormatting>
  <conditionalFormatting sqref="A958">
    <cfRule type="cellIs" dxfId="16041" priority="15879" stopIfTrue="1" operator="equal">
      <formula>"Pass"</formula>
    </cfRule>
    <cfRule type="cellIs" dxfId="16040" priority="15880" stopIfTrue="1" operator="equal">
      <formula>"Fail"</formula>
    </cfRule>
  </conditionalFormatting>
  <conditionalFormatting sqref="A958">
    <cfRule type="cellIs" dxfId="16039" priority="15877" stopIfTrue="1" operator="equal">
      <formula>"Pass"</formula>
    </cfRule>
    <cfRule type="cellIs" dxfId="16038" priority="15878" stopIfTrue="1" operator="equal">
      <formula>"Fail"</formula>
    </cfRule>
  </conditionalFormatting>
  <conditionalFormatting sqref="A958">
    <cfRule type="cellIs" dxfId="16037" priority="15875" stopIfTrue="1" operator="equal">
      <formula>"Pass"</formula>
    </cfRule>
    <cfRule type="cellIs" dxfId="16036" priority="15876" stopIfTrue="1" operator="equal">
      <formula>"Fail"</formula>
    </cfRule>
  </conditionalFormatting>
  <conditionalFormatting sqref="A958">
    <cfRule type="cellIs" dxfId="16035" priority="15873" stopIfTrue="1" operator="equal">
      <formula>"Pass"</formula>
    </cfRule>
    <cfRule type="cellIs" dxfId="16034" priority="15874" stopIfTrue="1" operator="equal">
      <formula>"Fail"</formula>
    </cfRule>
  </conditionalFormatting>
  <conditionalFormatting sqref="A958">
    <cfRule type="cellIs" dxfId="16033" priority="15871" stopIfTrue="1" operator="equal">
      <formula>"Pass"</formula>
    </cfRule>
    <cfRule type="cellIs" dxfId="16032" priority="15872" stopIfTrue="1" operator="equal">
      <formula>"Fail"</formula>
    </cfRule>
  </conditionalFormatting>
  <conditionalFormatting sqref="A958">
    <cfRule type="cellIs" dxfId="16031" priority="15869" stopIfTrue="1" operator="equal">
      <formula>"Pass"</formula>
    </cfRule>
    <cfRule type="cellIs" dxfId="16030" priority="15870" stopIfTrue="1" operator="equal">
      <formula>"Fail"</formula>
    </cfRule>
  </conditionalFormatting>
  <conditionalFormatting sqref="A958">
    <cfRule type="cellIs" dxfId="16029" priority="15867" stopIfTrue="1" operator="equal">
      <formula>"Pass"</formula>
    </cfRule>
    <cfRule type="cellIs" dxfId="16028" priority="15868" stopIfTrue="1" operator="equal">
      <formula>"Fail"</formula>
    </cfRule>
  </conditionalFormatting>
  <conditionalFormatting sqref="A958">
    <cfRule type="cellIs" dxfId="16027" priority="15865" stopIfTrue="1" operator="equal">
      <formula>"Pass"</formula>
    </cfRule>
    <cfRule type="cellIs" dxfId="16026" priority="15866" stopIfTrue="1" operator="equal">
      <formula>"Fail"</formula>
    </cfRule>
  </conditionalFormatting>
  <conditionalFormatting sqref="A958">
    <cfRule type="cellIs" dxfId="16025" priority="15863" stopIfTrue="1" operator="equal">
      <formula>"Pass"</formula>
    </cfRule>
    <cfRule type="cellIs" dxfId="16024" priority="15864" stopIfTrue="1" operator="equal">
      <formula>"Fail"</formula>
    </cfRule>
  </conditionalFormatting>
  <conditionalFormatting sqref="A958">
    <cfRule type="cellIs" dxfId="16023" priority="15861" stopIfTrue="1" operator="equal">
      <formula>"Pass"</formula>
    </cfRule>
    <cfRule type="cellIs" dxfId="16022" priority="15862" stopIfTrue="1" operator="equal">
      <formula>"Fail"</formula>
    </cfRule>
  </conditionalFormatting>
  <conditionalFormatting sqref="A958">
    <cfRule type="cellIs" dxfId="16021" priority="15859" stopIfTrue="1" operator="equal">
      <formula>"Pass"</formula>
    </cfRule>
    <cfRule type="cellIs" dxfId="16020" priority="15860" stopIfTrue="1" operator="equal">
      <formula>"Fail"</formula>
    </cfRule>
  </conditionalFormatting>
  <conditionalFormatting sqref="A958">
    <cfRule type="cellIs" dxfId="16019" priority="15857" stopIfTrue="1" operator="equal">
      <formula>"Pass"</formula>
    </cfRule>
    <cfRule type="cellIs" dxfId="16018" priority="15858" stopIfTrue="1" operator="equal">
      <formula>"Fail"</formula>
    </cfRule>
  </conditionalFormatting>
  <conditionalFormatting sqref="A958">
    <cfRule type="cellIs" dxfId="16017" priority="15855" stopIfTrue="1" operator="equal">
      <formula>"Pass"</formula>
    </cfRule>
    <cfRule type="cellIs" dxfId="16016" priority="15856" stopIfTrue="1" operator="equal">
      <formula>"Fail"</formula>
    </cfRule>
  </conditionalFormatting>
  <conditionalFormatting sqref="A958">
    <cfRule type="cellIs" dxfId="16015" priority="15853" stopIfTrue="1" operator="equal">
      <formula>"Pass"</formula>
    </cfRule>
    <cfRule type="cellIs" dxfId="16014" priority="15854" stopIfTrue="1" operator="equal">
      <formula>"Fail"</formula>
    </cfRule>
  </conditionalFormatting>
  <conditionalFormatting sqref="A958">
    <cfRule type="cellIs" dxfId="16013" priority="15851" stopIfTrue="1" operator="equal">
      <formula>"Pass"</formula>
    </cfRule>
    <cfRule type="cellIs" dxfId="16012" priority="15852" stopIfTrue="1" operator="equal">
      <formula>"Fail"</formula>
    </cfRule>
  </conditionalFormatting>
  <conditionalFormatting sqref="A958">
    <cfRule type="cellIs" dxfId="16011" priority="15849" stopIfTrue="1" operator="equal">
      <formula>"Pass"</formula>
    </cfRule>
    <cfRule type="cellIs" dxfId="16010" priority="15850" stopIfTrue="1" operator="equal">
      <formula>"Fail"</formula>
    </cfRule>
  </conditionalFormatting>
  <conditionalFormatting sqref="H958:H959">
    <cfRule type="cellIs" dxfId="16009" priority="15847" stopIfTrue="1" operator="equal">
      <formula>"Pass"</formula>
    </cfRule>
    <cfRule type="cellIs" dxfId="16008" priority="15848" stopIfTrue="1" operator="equal">
      <formula>"Fail"</formula>
    </cfRule>
  </conditionalFormatting>
  <conditionalFormatting sqref="F958 F960 I958:M959">
    <cfRule type="cellIs" dxfId="16007" priority="15845" stopIfTrue="1" operator="equal">
      <formula>"Pass"</formula>
    </cfRule>
    <cfRule type="cellIs" dxfId="16006" priority="15846" stopIfTrue="1" operator="equal">
      <formula>"Fail"</formula>
    </cfRule>
  </conditionalFormatting>
  <conditionalFormatting sqref="T960 T958 R958:R960 S959:S960">
    <cfRule type="cellIs" dxfId="16005" priority="15843" stopIfTrue="1" operator="equal">
      <formula>"Fail"</formula>
    </cfRule>
    <cfRule type="cellIs" dxfId="16004" priority="15844" stopIfTrue="1" operator="equal">
      <formula>"Pass"</formula>
    </cfRule>
  </conditionalFormatting>
  <conditionalFormatting sqref="F958:G958 F960:G960 J958:N959">
    <cfRule type="cellIs" dxfId="16003" priority="15841" stopIfTrue="1" operator="equal">
      <formula>"Pass"</formula>
    </cfRule>
    <cfRule type="cellIs" dxfId="16002" priority="15842" stopIfTrue="1" operator="equal">
      <formula>"Fail"</formula>
    </cfRule>
  </conditionalFormatting>
  <conditionalFormatting sqref="U960:V960 T958:T960 S959:S960">
    <cfRule type="cellIs" dxfId="16001" priority="15839" stopIfTrue="1" operator="equal">
      <formula>"Fail"</formula>
    </cfRule>
    <cfRule type="cellIs" dxfId="16000" priority="15840" stopIfTrue="1" operator="equal">
      <formula>"Pass"</formula>
    </cfRule>
  </conditionalFormatting>
  <conditionalFormatting sqref="U958:V958">
    <cfRule type="cellIs" dxfId="15999" priority="15837" stopIfTrue="1" operator="equal">
      <formula>"Fail"</formula>
    </cfRule>
    <cfRule type="cellIs" dxfId="15998" priority="15838" stopIfTrue="1" operator="equal">
      <formula>"Pass"</formula>
    </cfRule>
  </conditionalFormatting>
  <conditionalFormatting sqref="F958:G958 J958:N958">
    <cfRule type="cellIs" dxfId="15997" priority="15835" stopIfTrue="1" operator="equal">
      <formula>"Pass"</formula>
    </cfRule>
    <cfRule type="cellIs" dxfId="15996" priority="15836" stopIfTrue="1" operator="equal">
      <formula>"Fail"</formula>
    </cfRule>
  </conditionalFormatting>
  <conditionalFormatting sqref="J959:N959">
    <cfRule type="cellIs" dxfId="15995" priority="15833" stopIfTrue="1" operator="equal">
      <formula>"Pass"</formula>
    </cfRule>
    <cfRule type="cellIs" dxfId="15994" priority="15834" stopIfTrue="1" operator="equal">
      <formula>"Fail"</formula>
    </cfRule>
  </conditionalFormatting>
  <conditionalFormatting sqref="H958:H959">
    <cfRule type="cellIs" dxfId="15993" priority="15831" stopIfTrue="1" operator="equal">
      <formula>"Pass"</formula>
    </cfRule>
    <cfRule type="cellIs" dxfId="15992" priority="15832" stopIfTrue="1" operator="equal">
      <formula>"Fail"</formula>
    </cfRule>
  </conditionalFormatting>
  <conditionalFormatting sqref="F958 F960 I958:M959">
    <cfRule type="cellIs" dxfId="15991" priority="15829" stopIfTrue="1" operator="equal">
      <formula>"Pass"</formula>
    </cfRule>
    <cfRule type="cellIs" dxfId="15990" priority="15830" stopIfTrue="1" operator="equal">
      <formula>"Fail"</formula>
    </cfRule>
  </conditionalFormatting>
  <conditionalFormatting sqref="T960 T958 R958:R960 S959:S960">
    <cfRule type="cellIs" dxfId="15989" priority="15827" stopIfTrue="1" operator="equal">
      <formula>"Fail"</formula>
    </cfRule>
    <cfRule type="cellIs" dxfId="15988" priority="15828" stopIfTrue="1" operator="equal">
      <formula>"Pass"</formula>
    </cfRule>
  </conditionalFormatting>
  <conditionalFormatting sqref="F958:G958 F960:G960 J958:N959">
    <cfRule type="cellIs" dxfId="15987" priority="15825" stopIfTrue="1" operator="equal">
      <formula>"Pass"</formula>
    </cfRule>
    <cfRule type="cellIs" dxfId="15986" priority="15826" stopIfTrue="1" operator="equal">
      <formula>"Fail"</formula>
    </cfRule>
  </conditionalFormatting>
  <conditionalFormatting sqref="U960:V960 T958:T960 S959:S960">
    <cfRule type="cellIs" dxfId="15985" priority="15823" stopIfTrue="1" operator="equal">
      <formula>"Fail"</formula>
    </cfRule>
    <cfRule type="cellIs" dxfId="15984" priority="15824" stopIfTrue="1" operator="equal">
      <formula>"Pass"</formula>
    </cfRule>
  </conditionalFormatting>
  <conditionalFormatting sqref="U958:V958">
    <cfRule type="cellIs" dxfId="15983" priority="15821" stopIfTrue="1" operator="equal">
      <formula>"Fail"</formula>
    </cfRule>
    <cfRule type="cellIs" dxfId="15982" priority="15822" stopIfTrue="1" operator="equal">
      <formula>"Pass"</formula>
    </cfRule>
  </conditionalFormatting>
  <conditionalFormatting sqref="F958:G958 J958:N958">
    <cfRule type="cellIs" dxfId="15981" priority="15819" stopIfTrue="1" operator="equal">
      <formula>"Pass"</formula>
    </cfRule>
    <cfRule type="cellIs" dxfId="15980" priority="15820" stopIfTrue="1" operator="equal">
      <formula>"Fail"</formula>
    </cfRule>
  </conditionalFormatting>
  <conditionalFormatting sqref="J959:N959">
    <cfRule type="cellIs" dxfId="15979" priority="15817" stopIfTrue="1" operator="equal">
      <formula>"Pass"</formula>
    </cfRule>
    <cfRule type="cellIs" dxfId="15978" priority="15818" stopIfTrue="1" operator="equal">
      <formula>"Fail"</formula>
    </cfRule>
  </conditionalFormatting>
  <conditionalFormatting sqref="H958:H959">
    <cfRule type="cellIs" dxfId="15977" priority="15815" stopIfTrue="1" operator="equal">
      <formula>"Pass"</formula>
    </cfRule>
    <cfRule type="cellIs" dxfId="15976" priority="15816" stopIfTrue="1" operator="equal">
      <formula>"Fail"</formula>
    </cfRule>
  </conditionalFormatting>
  <conditionalFormatting sqref="F958 F960 I958:M959">
    <cfRule type="cellIs" dxfId="15975" priority="15813" stopIfTrue="1" operator="equal">
      <formula>"Pass"</formula>
    </cfRule>
    <cfRule type="cellIs" dxfId="15974" priority="15814" stopIfTrue="1" operator="equal">
      <formula>"Fail"</formula>
    </cfRule>
  </conditionalFormatting>
  <conditionalFormatting sqref="T960 T958 R958:R960 S959:S960">
    <cfRule type="cellIs" dxfId="15973" priority="15811" stopIfTrue="1" operator="equal">
      <formula>"Fail"</formula>
    </cfRule>
    <cfRule type="cellIs" dxfId="15972" priority="15812" stopIfTrue="1" operator="equal">
      <formula>"Pass"</formula>
    </cfRule>
  </conditionalFormatting>
  <conditionalFormatting sqref="F958:G958 F960:G960 J958:N959">
    <cfRule type="cellIs" dxfId="15971" priority="15809" stopIfTrue="1" operator="equal">
      <formula>"Pass"</formula>
    </cfRule>
    <cfRule type="cellIs" dxfId="15970" priority="15810" stopIfTrue="1" operator="equal">
      <formula>"Fail"</formula>
    </cfRule>
  </conditionalFormatting>
  <conditionalFormatting sqref="U960:V960 T958:T960 S959:S960">
    <cfRule type="cellIs" dxfId="15969" priority="15807" stopIfTrue="1" operator="equal">
      <formula>"Fail"</formula>
    </cfRule>
    <cfRule type="cellIs" dxfId="15968" priority="15808" stopIfTrue="1" operator="equal">
      <formula>"Pass"</formula>
    </cfRule>
  </conditionalFormatting>
  <conditionalFormatting sqref="U958:V958">
    <cfRule type="cellIs" dxfId="15967" priority="15805" stopIfTrue="1" operator="equal">
      <formula>"Fail"</formula>
    </cfRule>
    <cfRule type="cellIs" dxfId="15966" priority="15806" stopIfTrue="1" operator="equal">
      <formula>"Pass"</formula>
    </cfRule>
  </conditionalFormatting>
  <conditionalFormatting sqref="F958:G958 J958:N958">
    <cfRule type="cellIs" dxfId="15965" priority="15803" stopIfTrue="1" operator="equal">
      <formula>"Pass"</formula>
    </cfRule>
    <cfRule type="cellIs" dxfId="15964" priority="15804" stopIfTrue="1" operator="equal">
      <formula>"Fail"</formula>
    </cfRule>
  </conditionalFormatting>
  <conditionalFormatting sqref="J959:N959">
    <cfRule type="cellIs" dxfId="15963" priority="15801" stopIfTrue="1" operator="equal">
      <formula>"Pass"</formula>
    </cfRule>
    <cfRule type="cellIs" dxfId="15962" priority="15802" stopIfTrue="1" operator="equal">
      <formula>"Fail"</formula>
    </cfRule>
  </conditionalFormatting>
  <conditionalFormatting sqref="U958:V958">
    <cfRule type="cellIs" dxfId="15961" priority="15799" stopIfTrue="1" operator="equal">
      <formula>"Fail"</formula>
    </cfRule>
    <cfRule type="cellIs" dxfId="15960" priority="15800" stopIfTrue="1" operator="equal">
      <formula>"Pass"</formula>
    </cfRule>
  </conditionalFormatting>
  <conditionalFormatting sqref="U958:V958">
    <cfRule type="cellIs" dxfId="15959" priority="15797" stopIfTrue="1" operator="equal">
      <formula>"Fail"</formula>
    </cfRule>
    <cfRule type="cellIs" dxfId="15958" priority="15798" stopIfTrue="1" operator="equal">
      <formula>"Pass"</formula>
    </cfRule>
  </conditionalFormatting>
  <conditionalFormatting sqref="U958:V958">
    <cfRule type="cellIs" dxfId="15957" priority="15795" stopIfTrue="1" operator="equal">
      <formula>"Fail"</formula>
    </cfRule>
    <cfRule type="cellIs" dxfId="15956" priority="15796" stopIfTrue="1" operator="equal">
      <formula>"Pass"</formula>
    </cfRule>
  </conditionalFormatting>
  <conditionalFormatting sqref="N958">
    <cfRule type="cellIs" dxfId="15955" priority="15793" stopIfTrue="1" operator="equal">
      <formula>"Pass"</formula>
    </cfRule>
    <cfRule type="cellIs" dxfId="15954" priority="15794" stopIfTrue="1" operator="equal">
      <formula>"Fail"</formula>
    </cfRule>
  </conditionalFormatting>
  <conditionalFormatting sqref="N958">
    <cfRule type="cellIs" dxfId="15953" priority="15791" stopIfTrue="1" operator="equal">
      <formula>"Pass"</formula>
    </cfRule>
    <cfRule type="cellIs" dxfId="15952" priority="15792" stopIfTrue="1" operator="equal">
      <formula>"Fail"</formula>
    </cfRule>
  </conditionalFormatting>
  <conditionalFormatting sqref="N958">
    <cfRule type="cellIs" dxfId="15951" priority="15789" stopIfTrue="1" operator="equal">
      <formula>"Pass"</formula>
    </cfRule>
    <cfRule type="cellIs" dxfId="15950" priority="15790" stopIfTrue="1" operator="equal">
      <formula>"Fail"</formula>
    </cfRule>
  </conditionalFormatting>
  <conditionalFormatting sqref="U955:V955">
    <cfRule type="cellIs" dxfId="15949" priority="15787" stopIfTrue="1" operator="equal">
      <formula>"Fail"</formula>
    </cfRule>
    <cfRule type="cellIs" dxfId="15948" priority="15788" stopIfTrue="1" operator="equal">
      <formula>"Pass"</formula>
    </cfRule>
  </conditionalFormatting>
  <conditionalFormatting sqref="U955:V955">
    <cfRule type="cellIs" dxfId="15947" priority="15785" stopIfTrue="1" operator="equal">
      <formula>"Fail"</formula>
    </cfRule>
    <cfRule type="cellIs" dxfId="15946" priority="15786" stopIfTrue="1" operator="equal">
      <formula>"Pass"</formula>
    </cfRule>
  </conditionalFormatting>
  <conditionalFormatting sqref="U955:V955">
    <cfRule type="cellIs" dxfId="15945" priority="15783" stopIfTrue="1" operator="equal">
      <formula>"Fail"</formula>
    </cfRule>
    <cfRule type="cellIs" dxfId="15944" priority="15784" stopIfTrue="1" operator="equal">
      <formula>"Pass"</formula>
    </cfRule>
  </conditionalFormatting>
  <conditionalFormatting sqref="U955:V955">
    <cfRule type="cellIs" dxfId="15943" priority="15781" stopIfTrue="1" operator="equal">
      <formula>"Fail"</formula>
    </cfRule>
    <cfRule type="cellIs" dxfId="15942" priority="15782" stopIfTrue="1" operator="equal">
      <formula>"Pass"</formula>
    </cfRule>
  </conditionalFormatting>
  <conditionalFormatting sqref="U958:V958">
    <cfRule type="cellIs" dxfId="15941" priority="15779" stopIfTrue="1" operator="equal">
      <formula>"Fail"</formula>
    </cfRule>
    <cfRule type="cellIs" dxfId="15940" priority="15780" stopIfTrue="1" operator="equal">
      <formula>"Pass"</formula>
    </cfRule>
  </conditionalFormatting>
  <conditionalFormatting sqref="U958:V958">
    <cfRule type="cellIs" dxfId="15939" priority="15777" stopIfTrue="1" operator="equal">
      <formula>"Fail"</formula>
    </cfRule>
    <cfRule type="cellIs" dxfId="15938" priority="15778" stopIfTrue="1" operator="equal">
      <formula>"Pass"</formula>
    </cfRule>
  </conditionalFormatting>
  <conditionalFormatting sqref="U958:V958">
    <cfRule type="cellIs" dxfId="15937" priority="15775" stopIfTrue="1" operator="equal">
      <formula>"Fail"</formula>
    </cfRule>
    <cfRule type="cellIs" dxfId="15936" priority="15776" stopIfTrue="1" operator="equal">
      <formula>"Pass"</formula>
    </cfRule>
  </conditionalFormatting>
  <conditionalFormatting sqref="U958:V958">
    <cfRule type="cellIs" dxfId="15935" priority="15773" stopIfTrue="1" operator="equal">
      <formula>"Fail"</formula>
    </cfRule>
    <cfRule type="cellIs" dxfId="15934" priority="15774" stopIfTrue="1" operator="equal">
      <formula>"Pass"</formula>
    </cfRule>
  </conditionalFormatting>
  <conditionalFormatting sqref="T958">
    <cfRule type="cellIs" dxfId="15933" priority="15771" stopIfTrue="1" operator="equal">
      <formula>"Fail"</formula>
    </cfRule>
    <cfRule type="cellIs" dxfId="15932" priority="15772" stopIfTrue="1" operator="equal">
      <formula>"Pass"</formula>
    </cfRule>
  </conditionalFormatting>
  <conditionalFormatting sqref="T958">
    <cfRule type="cellIs" dxfId="15931" priority="15769" stopIfTrue="1" operator="equal">
      <formula>"Fail"</formula>
    </cfRule>
    <cfRule type="cellIs" dxfId="15930" priority="15770" stopIfTrue="1" operator="equal">
      <formula>"Pass"</formula>
    </cfRule>
  </conditionalFormatting>
  <conditionalFormatting sqref="T958">
    <cfRule type="cellIs" dxfId="15929" priority="15767" stopIfTrue="1" operator="equal">
      <formula>"Fail"</formula>
    </cfRule>
    <cfRule type="cellIs" dxfId="15928" priority="15768" stopIfTrue="1" operator="equal">
      <formula>"Pass"</formula>
    </cfRule>
  </conditionalFormatting>
  <conditionalFormatting sqref="T958">
    <cfRule type="cellIs" dxfId="15927" priority="15765" stopIfTrue="1" operator="equal">
      <formula>"Fail"</formula>
    </cfRule>
    <cfRule type="cellIs" dxfId="15926" priority="15766" stopIfTrue="1" operator="equal">
      <formula>"Pass"</formula>
    </cfRule>
  </conditionalFormatting>
  <conditionalFormatting sqref="T958">
    <cfRule type="cellIs" dxfId="15925" priority="15763" stopIfTrue="1" operator="equal">
      <formula>"Fail"</formula>
    </cfRule>
    <cfRule type="cellIs" dxfId="15924" priority="15764" stopIfTrue="1" operator="equal">
      <formula>"Pass"</formula>
    </cfRule>
  </conditionalFormatting>
  <conditionalFormatting sqref="T958">
    <cfRule type="cellIs" dxfId="15923" priority="15761" stopIfTrue="1" operator="equal">
      <formula>"Fail"</formula>
    </cfRule>
    <cfRule type="cellIs" dxfId="15922" priority="15762" stopIfTrue="1" operator="equal">
      <formula>"Pass"</formula>
    </cfRule>
  </conditionalFormatting>
  <conditionalFormatting sqref="T958">
    <cfRule type="cellIs" dxfId="15921" priority="15759" stopIfTrue="1" operator="equal">
      <formula>"Fail"</formula>
    </cfRule>
    <cfRule type="cellIs" dxfId="15920" priority="15760" stopIfTrue="1" operator="equal">
      <formula>"Pass"</formula>
    </cfRule>
  </conditionalFormatting>
  <conditionalFormatting sqref="T958">
    <cfRule type="cellIs" dxfId="15919" priority="15757" stopIfTrue="1" operator="equal">
      <formula>"Fail"</formula>
    </cfRule>
    <cfRule type="cellIs" dxfId="15918" priority="15758" stopIfTrue="1" operator="equal">
      <formula>"Pass"</formula>
    </cfRule>
  </conditionalFormatting>
  <conditionalFormatting sqref="T958">
    <cfRule type="cellIs" dxfId="15917" priority="15755" stopIfTrue="1" operator="equal">
      <formula>"Fail"</formula>
    </cfRule>
    <cfRule type="cellIs" dxfId="15916" priority="15756" stopIfTrue="1" operator="equal">
      <formula>"Pass"</formula>
    </cfRule>
  </conditionalFormatting>
  <conditionalFormatting sqref="T958">
    <cfRule type="cellIs" dxfId="15915" priority="15753" stopIfTrue="1" operator="equal">
      <formula>"Fail"</formula>
    </cfRule>
    <cfRule type="cellIs" dxfId="15914" priority="15754" stopIfTrue="1" operator="equal">
      <formula>"Pass"</formula>
    </cfRule>
  </conditionalFormatting>
  <conditionalFormatting sqref="T958">
    <cfRule type="cellIs" dxfId="15913" priority="15751" stopIfTrue="1" operator="equal">
      <formula>"Fail"</formula>
    </cfRule>
    <cfRule type="cellIs" dxfId="15912" priority="15752" stopIfTrue="1" operator="equal">
      <formula>"Pass"</formula>
    </cfRule>
  </conditionalFormatting>
  <conditionalFormatting sqref="T958">
    <cfRule type="cellIs" dxfId="15911" priority="15749" stopIfTrue="1" operator="equal">
      <formula>"Fail"</formula>
    </cfRule>
    <cfRule type="cellIs" dxfId="15910" priority="15750" stopIfTrue="1" operator="equal">
      <formula>"Pass"</formula>
    </cfRule>
  </conditionalFormatting>
  <conditionalFormatting sqref="T958">
    <cfRule type="cellIs" dxfId="15909" priority="15747" stopIfTrue="1" operator="equal">
      <formula>"Fail"</formula>
    </cfRule>
    <cfRule type="cellIs" dxfId="15908" priority="15748" stopIfTrue="1" operator="equal">
      <formula>"Pass"</formula>
    </cfRule>
  </conditionalFormatting>
  <conditionalFormatting sqref="T958">
    <cfRule type="cellIs" dxfId="15907" priority="15745" stopIfTrue="1" operator="equal">
      <formula>"Fail"</formula>
    </cfRule>
    <cfRule type="cellIs" dxfId="15906" priority="15746" stopIfTrue="1" operator="equal">
      <formula>"Pass"</formula>
    </cfRule>
  </conditionalFormatting>
  <conditionalFormatting sqref="T958">
    <cfRule type="cellIs" dxfId="15905" priority="15743" stopIfTrue="1" operator="equal">
      <formula>"Fail"</formula>
    </cfRule>
    <cfRule type="cellIs" dxfId="15904" priority="15744" stopIfTrue="1" operator="equal">
      <formula>"Pass"</formula>
    </cfRule>
  </conditionalFormatting>
  <conditionalFormatting sqref="T958">
    <cfRule type="cellIs" dxfId="15903" priority="15741" stopIfTrue="1" operator="equal">
      <formula>"Fail"</formula>
    </cfRule>
    <cfRule type="cellIs" dxfId="15902" priority="15742" stopIfTrue="1" operator="equal">
      <formula>"Pass"</formula>
    </cfRule>
  </conditionalFormatting>
  <conditionalFormatting sqref="T958">
    <cfRule type="cellIs" dxfId="15901" priority="15739" stopIfTrue="1" operator="equal">
      <formula>"Fail"</formula>
    </cfRule>
    <cfRule type="cellIs" dxfId="15900" priority="15740" stopIfTrue="1" operator="equal">
      <formula>"Pass"</formula>
    </cfRule>
  </conditionalFormatting>
  <conditionalFormatting sqref="T958">
    <cfRule type="cellIs" dxfId="15899" priority="15737" stopIfTrue="1" operator="equal">
      <formula>"Fail"</formula>
    </cfRule>
    <cfRule type="cellIs" dxfId="15898" priority="15738" stopIfTrue="1" operator="equal">
      <formula>"Pass"</formula>
    </cfRule>
  </conditionalFormatting>
  <conditionalFormatting sqref="T958">
    <cfRule type="cellIs" dxfId="15897" priority="15735" stopIfTrue="1" operator="equal">
      <formula>"Fail"</formula>
    </cfRule>
    <cfRule type="cellIs" dxfId="15896" priority="15736" stopIfTrue="1" operator="equal">
      <formula>"Pass"</formula>
    </cfRule>
  </conditionalFormatting>
  <conditionalFormatting sqref="T958">
    <cfRule type="cellIs" dxfId="15895" priority="15733" stopIfTrue="1" operator="equal">
      <formula>"Fail"</formula>
    </cfRule>
    <cfRule type="cellIs" dxfId="15894" priority="15734" stopIfTrue="1" operator="equal">
      <formula>"Pass"</formula>
    </cfRule>
  </conditionalFormatting>
  <conditionalFormatting sqref="T958">
    <cfRule type="cellIs" dxfId="15893" priority="15731" stopIfTrue="1" operator="equal">
      <formula>"Fail"</formula>
    </cfRule>
    <cfRule type="cellIs" dxfId="15892" priority="15732" stopIfTrue="1" operator="equal">
      <formula>"Pass"</formula>
    </cfRule>
  </conditionalFormatting>
  <conditionalFormatting sqref="T958">
    <cfRule type="cellIs" dxfId="15891" priority="15729" stopIfTrue="1" operator="equal">
      <formula>"Fail"</formula>
    </cfRule>
    <cfRule type="cellIs" dxfId="15890" priority="15730" stopIfTrue="1" operator="equal">
      <formula>"Pass"</formula>
    </cfRule>
  </conditionalFormatting>
  <conditionalFormatting sqref="T958">
    <cfRule type="cellIs" dxfId="15889" priority="15727" stopIfTrue="1" operator="equal">
      <formula>"Fail"</formula>
    </cfRule>
    <cfRule type="cellIs" dxfId="15888" priority="15728" stopIfTrue="1" operator="equal">
      <formula>"Pass"</formula>
    </cfRule>
  </conditionalFormatting>
  <conditionalFormatting sqref="T958">
    <cfRule type="cellIs" dxfId="15887" priority="15725" stopIfTrue="1" operator="equal">
      <formula>"Fail"</formula>
    </cfRule>
    <cfRule type="cellIs" dxfId="15886" priority="15726" stopIfTrue="1" operator="equal">
      <formula>"Pass"</formula>
    </cfRule>
  </conditionalFormatting>
  <conditionalFormatting sqref="A961:A963">
    <cfRule type="cellIs" dxfId="15885" priority="15723" stopIfTrue="1" operator="equal">
      <formula>"Pass"</formula>
    </cfRule>
    <cfRule type="cellIs" dxfId="15884" priority="15724" stopIfTrue="1" operator="equal">
      <formula>"Fail"</formula>
    </cfRule>
  </conditionalFormatting>
  <conditionalFormatting sqref="A961:A963">
    <cfRule type="cellIs" dxfId="15883" priority="15721" stopIfTrue="1" operator="equal">
      <formula>"Pass"</formula>
    </cfRule>
    <cfRule type="cellIs" dxfId="15882" priority="15722" stopIfTrue="1" operator="equal">
      <formula>"Fail"</formula>
    </cfRule>
  </conditionalFormatting>
  <conditionalFormatting sqref="A961:A963">
    <cfRule type="cellIs" dxfId="15881" priority="15719" stopIfTrue="1" operator="equal">
      <formula>"Pass"</formula>
    </cfRule>
    <cfRule type="cellIs" dxfId="15880" priority="15720" stopIfTrue="1" operator="equal">
      <formula>"Fail"</formula>
    </cfRule>
  </conditionalFormatting>
  <conditionalFormatting sqref="A961:A963">
    <cfRule type="cellIs" dxfId="15879" priority="15717" stopIfTrue="1" operator="equal">
      <formula>"Pass"</formula>
    </cfRule>
    <cfRule type="cellIs" dxfId="15878" priority="15718" stopIfTrue="1" operator="equal">
      <formula>"Fail"</formula>
    </cfRule>
  </conditionalFormatting>
  <conditionalFormatting sqref="A961:A963">
    <cfRule type="cellIs" dxfId="15877" priority="15715" stopIfTrue="1" operator="equal">
      <formula>"Pass"</formula>
    </cfRule>
    <cfRule type="cellIs" dxfId="15876" priority="15716" stopIfTrue="1" operator="equal">
      <formula>"Fail"</formula>
    </cfRule>
  </conditionalFormatting>
  <conditionalFormatting sqref="A963">
    <cfRule type="cellIs" dxfId="15875" priority="15713" stopIfTrue="1" operator="equal">
      <formula>"Pass"</formula>
    </cfRule>
    <cfRule type="cellIs" dxfId="15874" priority="15714" stopIfTrue="1" operator="equal">
      <formula>"Fail"</formula>
    </cfRule>
  </conditionalFormatting>
  <conditionalFormatting sqref="A961:A963">
    <cfRule type="cellIs" dxfId="15873" priority="15711" stopIfTrue="1" operator="equal">
      <formula>"Pass"</formula>
    </cfRule>
    <cfRule type="cellIs" dxfId="15872" priority="15712" stopIfTrue="1" operator="equal">
      <formula>"Fail"</formula>
    </cfRule>
  </conditionalFormatting>
  <conditionalFormatting sqref="A961:A963">
    <cfRule type="cellIs" dxfId="15871" priority="15709" stopIfTrue="1" operator="equal">
      <formula>"Pass"</formula>
    </cfRule>
    <cfRule type="cellIs" dxfId="15870" priority="15710" stopIfTrue="1" operator="equal">
      <formula>"Fail"</formula>
    </cfRule>
  </conditionalFormatting>
  <conditionalFormatting sqref="A961:A963">
    <cfRule type="cellIs" dxfId="15869" priority="15707" stopIfTrue="1" operator="equal">
      <formula>"Pass"</formula>
    </cfRule>
    <cfRule type="cellIs" dxfId="15868" priority="15708" stopIfTrue="1" operator="equal">
      <formula>"Fail"</formula>
    </cfRule>
  </conditionalFormatting>
  <conditionalFormatting sqref="A961:A963">
    <cfRule type="cellIs" dxfId="15867" priority="15705" stopIfTrue="1" operator="equal">
      <formula>"Pass"</formula>
    </cfRule>
    <cfRule type="cellIs" dxfId="15866" priority="15706" stopIfTrue="1" operator="equal">
      <formula>"Fail"</formula>
    </cfRule>
  </conditionalFormatting>
  <conditionalFormatting sqref="A961:A963">
    <cfRule type="cellIs" dxfId="15865" priority="15703" stopIfTrue="1" operator="equal">
      <formula>"Pass"</formula>
    </cfRule>
    <cfRule type="cellIs" dxfId="15864" priority="15704" stopIfTrue="1" operator="equal">
      <formula>"Fail"</formula>
    </cfRule>
  </conditionalFormatting>
  <conditionalFormatting sqref="A961:A963">
    <cfRule type="cellIs" dxfId="15863" priority="15701" stopIfTrue="1" operator="equal">
      <formula>"Pass"</formula>
    </cfRule>
    <cfRule type="cellIs" dxfId="15862" priority="15702" stopIfTrue="1" operator="equal">
      <formula>"Fail"</formula>
    </cfRule>
  </conditionalFormatting>
  <conditionalFormatting sqref="A963">
    <cfRule type="cellIs" dxfId="15861" priority="15699" stopIfTrue="1" operator="equal">
      <formula>"Pass"</formula>
    </cfRule>
    <cfRule type="cellIs" dxfId="15860" priority="15700" stopIfTrue="1" operator="equal">
      <formula>"Fail"</formula>
    </cfRule>
  </conditionalFormatting>
  <conditionalFormatting sqref="A961:A963">
    <cfRule type="cellIs" dxfId="15859" priority="15697" stopIfTrue="1" operator="equal">
      <formula>"Pass"</formula>
    </cfRule>
    <cfRule type="cellIs" dxfId="15858" priority="15698" stopIfTrue="1" operator="equal">
      <formula>"Fail"</formula>
    </cfRule>
  </conditionalFormatting>
  <conditionalFormatting sqref="A961:A963">
    <cfRule type="cellIs" dxfId="15857" priority="15695" stopIfTrue="1" operator="equal">
      <formula>"Pass"</formula>
    </cfRule>
    <cfRule type="cellIs" dxfId="15856" priority="15696" stopIfTrue="1" operator="equal">
      <formula>"Fail"</formula>
    </cfRule>
  </conditionalFormatting>
  <conditionalFormatting sqref="A961:A963">
    <cfRule type="cellIs" dxfId="15855" priority="15693" stopIfTrue="1" operator="equal">
      <formula>"Pass"</formula>
    </cfRule>
    <cfRule type="cellIs" dxfId="15854" priority="15694" stopIfTrue="1" operator="equal">
      <formula>"Fail"</formula>
    </cfRule>
  </conditionalFormatting>
  <conditionalFormatting sqref="A961:A963">
    <cfRule type="cellIs" dxfId="15853" priority="15691" stopIfTrue="1" operator="equal">
      <formula>"Pass"</formula>
    </cfRule>
    <cfRule type="cellIs" dxfId="15852" priority="15692" stopIfTrue="1" operator="equal">
      <formula>"Fail"</formula>
    </cfRule>
  </conditionalFormatting>
  <conditionalFormatting sqref="A961:A963">
    <cfRule type="cellIs" dxfId="15851" priority="15689" stopIfTrue="1" operator="equal">
      <formula>"Pass"</formula>
    </cfRule>
    <cfRule type="cellIs" dxfId="15850" priority="15690" stopIfTrue="1" operator="equal">
      <formula>"Fail"</formula>
    </cfRule>
  </conditionalFormatting>
  <conditionalFormatting sqref="A961:A963">
    <cfRule type="cellIs" dxfId="15849" priority="15687" stopIfTrue="1" operator="equal">
      <formula>"Pass"</formula>
    </cfRule>
    <cfRule type="cellIs" dxfId="15848" priority="15688" stopIfTrue="1" operator="equal">
      <formula>"Fail"</formula>
    </cfRule>
  </conditionalFormatting>
  <conditionalFormatting sqref="A963">
    <cfRule type="cellIs" dxfId="15847" priority="15685" stopIfTrue="1" operator="equal">
      <formula>"Pass"</formula>
    </cfRule>
    <cfRule type="cellIs" dxfId="15846" priority="15686" stopIfTrue="1" operator="equal">
      <formula>"Fail"</formula>
    </cfRule>
  </conditionalFormatting>
  <conditionalFormatting sqref="A961:A963">
    <cfRule type="cellIs" dxfId="15845" priority="15683" stopIfTrue="1" operator="equal">
      <formula>"Pass"</formula>
    </cfRule>
    <cfRule type="cellIs" dxfId="15844" priority="15684" stopIfTrue="1" operator="equal">
      <formula>"Fail"</formula>
    </cfRule>
  </conditionalFormatting>
  <conditionalFormatting sqref="A961:A963">
    <cfRule type="cellIs" dxfId="15843" priority="15681" stopIfTrue="1" operator="equal">
      <formula>"Pass"</formula>
    </cfRule>
    <cfRule type="cellIs" dxfId="15842" priority="15682" stopIfTrue="1" operator="equal">
      <formula>"Fail"</formula>
    </cfRule>
  </conditionalFormatting>
  <conditionalFormatting sqref="A961:A963">
    <cfRule type="cellIs" dxfId="15841" priority="15679" stopIfTrue="1" operator="equal">
      <formula>"Pass"</formula>
    </cfRule>
    <cfRule type="cellIs" dxfId="15840" priority="15680" stopIfTrue="1" operator="equal">
      <formula>"Fail"</formula>
    </cfRule>
  </conditionalFormatting>
  <conditionalFormatting sqref="A961:A963">
    <cfRule type="cellIs" dxfId="15839" priority="15677" stopIfTrue="1" operator="equal">
      <formula>"Pass"</formula>
    </cfRule>
    <cfRule type="cellIs" dxfId="15838" priority="15678" stopIfTrue="1" operator="equal">
      <formula>"Fail"</formula>
    </cfRule>
  </conditionalFormatting>
  <conditionalFormatting sqref="A961:A963">
    <cfRule type="cellIs" dxfId="15837" priority="15675" stopIfTrue="1" operator="equal">
      <formula>"Pass"</formula>
    </cfRule>
    <cfRule type="cellIs" dxfId="15836" priority="15676" stopIfTrue="1" operator="equal">
      <formula>"Fail"</formula>
    </cfRule>
  </conditionalFormatting>
  <conditionalFormatting sqref="A961:A963">
    <cfRule type="cellIs" dxfId="15835" priority="15673" stopIfTrue="1" operator="equal">
      <formula>"Pass"</formula>
    </cfRule>
    <cfRule type="cellIs" dxfId="15834" priority="15674" stopIfTrue="1" operator="equal">
      <formula>"Fail"</formula>
    </cfRule>
  </conditionalFormatting>
  <conditionalFormatting sqref="A963">
    <cfRule type="cellIs" dxfId="15833" priority="15671" stopIfTrue="1" operator="equal">
      <formula>"Pass"</formula>
    </cfRule>
    <cfRule type="cellIs" dxfId="15832" priority="15672" stopIfTrue="1" operator="equal">
      <formula>"Fail"</formula>
    </cfRule>
  </conditionalFormatting>
  <conditionalFormatting sqref="A961:A963">
    <cfRule type="cellIs" dxfId="15831" priority="15669" stopIfTrue="1" operator="equal">
      <formula>"Pass"</formula>
    </cfRule>
    <cfRule type="cellIs" dxfId="15830" priority="15670" stopIfTrue="1" operator="equal">
      <formula>"Fail"</formula>
    </cfRule>
  </conditionalFormatting>
  <conditionalFormatting sqref="A961:A963">
    <cfRule type="cellIs" dxfId="15829" priority="15667" stopIfTrue="1" operator="equal">
      <formula>"Pass"</formula>
    </cfRule>
    <cfRule type="cellIs" dxfId="15828" priority="15668" stopIfTrue="1" operator="equal">
      <formula>"Fail"</formula>
    </cfRule>
  </conditionalFormatting>
  <conditionalFormatting sqref="A961:A963">
    <cfRule type="cellIs" dxfId="15827" priority="15665" stopIfTrue="1" operator="equal">
      <formula>"Pass"</formula>
    </cfRule>
    <cfRule type="cellIs" dxfId="15826" priority="15666" stopIfTrue="1" operator="equal">
      <formula>"Fail"</formula>
    </cfRule>
  </conditionalFormatting>
  <conditionalFormatting sqref="A961:A963">
    <cfRule type="cellIs" dxfId="15825" priority="15663" stopIfTrue="1" operator="equal">
      <formula>"Pass"</formula>
    </cfRule>
    <cfRule type="cellIs" dxfId="15824" priority="15664" stopIfTrue="1" operator="equal">
      <formula>"Fail"</formula>
    </cfRule>
  </conditionalFormatting>
  <conditionalFormatting sqref="A961:A963">
    <cfRule type="cellIs" dxfId="15823" priority="15661" stopIfTrue="1" operator="equal">
      <formula>"Pass"</formula>
    </cfRule>
    <cfRule type="cellIs" dxfId="15822" priority="15662" stopIfTrue="1" operator="equal">
      <formula>"Fail"</formula>
    </cfRule>
  </conditionalFormatting>
  <conditionalFormatting sqref="A961:A963">
    <cfRule type="cellIs" dxfId="15821" priority="15659" stopIfTrue="1" operator="equal">
      <formula>"Pass"</formula>
    </cfRule>
    <cfRule type="cellIs" dxfId="15820" priority="15660" stopIfTrue="1" operator="equal">
      <formula>"Fail"</formula>
    </cfRule>
  </conditionalFormatting>
  <conditionalFormatting sqref="A963">
    <cfRule type="cellIs" dxfId="15819" priority="15657" stopIfTrue="1" operator="equal">
      <formula>"Pass"</formula>
    </cfRule>
    <cfRule type="cellIs" dxfId="15818" priority="15658" stopIfTrue="1" operator="equal">
      <formula>"Fail"</formula>
    </cfRule>
  </conditionalFormatting>
  <conditionalFormatting sqref="A961:A963">
    <cfRule type="cellIs" dxfId="15817" priority="15655" stopIfTrue="1" operator="equal">
      <formula>"Pass"</formula>
    </cfRule>
    <cfRule type="cellIs" dxfId="15816" priority="15656" stopIfTrue="1" operator="equal">
      <formula>"Fail"</formula>
    </cfRule>
  </conditionalFormatting>
  <conditionalFormatting sqref="A961:A963">
    <cfRule type="cellIs" dxfId="15815" priority="15653" stopIfTrue="1" operator="equal">
      <formula>"Pass"</formula>
    </cfRule>
    <cfRule type="cellIs" dxfId="15814" priority="15654" stopIfTrue="1" operator="equal">
      <formula>"Fail"</formula>
    </cfRule>
  </conditionalFormatting>
  <conditionalFormatting sqref="A961:A963">
    <cfRule type="cellIs" dxfId="15813" priority="15651" stopIfTrue="1" operator="equal">
      <formula>"Pass"</formula>
    </cfRule>
    <cfRule type="cellIs" dxfId="15812" priority="15652" stopIfTrue="1" operator="equal">
      <formula>"Fail"</formula>
    </cfRule>
  </conditionalFormatting>
  <conditionalFormatting sqref="A961:A963">
    <cfRule type="cellIs" dxfId="15811" priority="15649" stopIfTrue="1" operator="equal">
      <formula>"Pass"</formula>
    </cfRule>
    <cfRule type="cellIs" dxfId="15810" priority="15650" stopIfTrue="1" operator="equal">
      <formula>"Fail"</formula>
    </cfRule>
  </conditionalFormatting>
  <conditionalFormatting sqref="A961:A963">
    <cfRule type="cellIs" dxfId="15809" priority="15647" stopIfTrue="1" operator="equal">
      <formula>"Pass"</formula>
    </cfRule>
    <cfRule type="cellIs" dxfId="15808" priority="15648" stopIfTrue="1" operator="equal">
      <formula>"Fail"</formula>
    </cfRule>
  </conditionalFormatting>
  <conditionalFormatting sqref="A961:A963">
    <cfRule type="cellIs" dxfId="15807" priority="15645" stopIfTrue="1" operator="equal">
      <formula>"Pass"</formula>
    </cfRule>
    <cfRule type="cellIs" dxfId="15806" priority="15646" stopIfTrue="1" operator="equal">
      <formula>"Fail"</formula>
    </cfRule>
  </conditionalFormatting>
  <conditionalFormatting sqref="A963">
    <cfRule type="cellIs" dxfId="15805" priority="15643" stopIfTrue="1" operator="equal">
      <formula>"Pass"</formula>
    </cfRule>
    <cfRule type="cellIs" dxfId="15804" priority="15644" stopIfTrue="1" operator="equal">
      <formula>"Fail"</formula>
    </cfRule>
  </conditionalFormatting>
  <conditionalFormatting sqref="A961:A963">
    <cfRule type="cellIs" dxfId="15803" priority="15641" stopIfTrue="1" operator="equal">
      <formula>"Pass"</formula>
    </cfRule>
    <cfRule type="cellIs" dxfId="15802" priority="15642" stopIfTrue="1" operator="equal">
      <formula>"Fail"</formula>
    </cfRule>
  </conditionalFormatting>
  <conditionalFormatting sqref="A961">
    <cfRule type="cellIs" dxfId="15801" priority="15639" stopIfTrue="1" operator="equal">
      <formula>"Pass"</formula>
    </cfRule>
    <cfRule type="cellIs" dxfId="15800" priority="15640" stopIfTrue="1" operator="equal">
      <formula>"Fail"</formula>
    </cfRule>
  </conditionalFormatting>
  <conditionalFormatting sqref="A961">
    <cfRule type="cellIs" dxfId="15799" priority="15637" stopIfTrue="1" operator="equal">
      <formula>"Pass"</formula>
    </cfRule>
    <cfRule type="cellIs" dxfId="15798" priority="15638" stopIfTrue="1" operator="equal">
      <formula>"Fail"</formula>
    </cfRule>
  </conditionalFormatting>
  <conditionalFormatting sqref="A961">
    <cfRule type="cellIs" dxfId="15797" priority="15635" stopIfTrue="1" operator="equal">
      <formula>"Pass"</formula>
    </cfRule>
    <cfRule type="cellIs" dxfId="15796" priority="15636" stopIfTrue="1" operator="equal">
      <formula>"Fail"</formula>
    </cfRule>
  </conditionalFormatting>
  <conditionalFormatting sqref="A961">
    <cfRule type="cellIs" dxfId="15795" priority="15633" stopIfTrue="1" operator="equal">
      <formula>"Pass"</formula>
    </cfRule>
    <cfRule type="cellIs" dxfId="15794" priority="15634" stopIfTrue="1" operator="equal">
      <formula>"Fail"</formula>
    </cfRule>
  </conditionalFormatting>
  <conditionalFormatting sqref="A961">
    <cfRule type="cellIs" dxfId="15793" priority="15631" stopIfTrue="1" operator="equal">
      <formula>"Pass"</formula>
    </cfRule>
    <cfRule type="cellIs" dxfId="15792" priority="15632" stopIfTrue="1" operator="equal">
      <formula>"Fail"</formula>
    </cfRule>
  </conditionalFormatting>
  <conditionalFormatting sqref="A961">
    <cfRule type="cellIs" dxfId="15791" priority="15629" stopIfTrue="1" operator="equal">
      <formula>"Pass"</formula>
    </cfRule>
    <cfRule type="cellIs" dxfId="15790" priority="15630" stopIfTrue="1" operator="equal">
      <formula>"Fail"</formula>
    </cfRule>
  </conditionalFormatting>
  <conditionalFormatting sqref="A961">
    <cfRule type="cellIs" dxfId="15789" priority="15627" stopIfTrue="1" operator="equal">
      <formula>"Pass"</formula>
    </cfRule>
    <cfRule type="cellIs" dxfId="15788" priority="15628" stopIfTrue="1" operator="equal">
      <formula>"Fail"</formula>
    </cfRule>
  </conditionalFormatting>
  <conditionalFormatting sqref="A961">
    <cfRule type="cellIs" dxfId="15787" priority="15625" stopIfTrue="1" operator="equal">
      <formula>"Pass"</formula>
    </cfRule>
    <cfRule type="cellIs" dxfId="15786" priority="15626" stopIfTrue="1" operator="equal">
      <formula>"Fail"</formula>
    </cfRule>
  </conditionalFormatting>
  <conditionalFormatting sqref="A961">
    <cfRule type="cellIs" dxfId="15785" priority="15623" stopIfTrue="1" operator="equal">
      <formula>"Pass"</formula>
    </cfRule>
    <cfRule type="cellIs" dxfId="15784" priority="15624" stopIfTrue="1" operator="equal">
      <formula>"Fail"</formula>
    </cfRule>
  </conditionalFormatting>
  <conditionalFormatting sqref="A961">
    <cfRule type="cellIs" dxfId="15783" priority="15621" stopIfTrue="1" operator="equal">
      <formula>"Pass"</formula>
    </cfRule>
    <cfRule type="cellIs" dxfId="15782" priority="15622" stopIfTrue="1" operator="equal">
      <formula>"Fail"</formula>
    </cfRule>
  </conditionalFormatting>
  <conditionalFormatting sqref="A961">
    <cfRule type="cellIs" dxfId="15781" priority="15619" stopIfTrue="1" operator="equal">
      <formula>"Pass"</formula>
    </cfRule>
    <cfRule type="cellIs" dxfId="15780" priority="15620" stopIfTrue="1" operator="equal">
      <formula>"Fail"</formula>
    </cfRule>
  </conditionalFormatting>
  <conditionalFormatting sqref="A961">
    <cfRule type="cellIs" dxfId="15779" priority="15617" stopIfTrue="1" operator="equal">
      <formula>"Pass"</formula>
    </cfRule>
    <cfRule type="cellIs" dxfId="15778" priority="15618" stopIfTrue="1" operator="equal">
      <formula>"Fail"</formula>
    </cfRule>
  </conditionalFormatting>
  <conditionalFormatting sqref="A961">
    <cfRule type="cellIs" dxfId="15777" priority="15615" stopIfTrue="1" operator="equal">
      <formula>"Pass"</formula>
    </cfRule>
    <cfRule type="cellIs" dxfId="15776" priority="15616" stopIfTrue="1" operator="equal">
      <formula>"Fail"</formula>
    </cfRule>
  </conditionalFormatting>
  <conditionalFormatting sqref="A961">
    <cfRule type="cellIs" dxfId="15775" priority="15613" stopIfTrue="1" operator="equal">
      <formula>"Pass"</formula>
    </cfRule>
    <cfRule type="cellIs" dxfId="15774" priority="15614" stopIfTrue="1" operator="equal">
      <formula>"Fail"</formula>
    </cfRule>
  </conditionalFormatting>
  <conditionalFormatting sqref="A961">
    <cfRule type="cellIs" dxfId="15773" priority="15611" stopIfTrue="1" operator="equal">
      <formula>"Pass"</formula>
    </cfRule>
    <cfRule type="cellIs" dxfId="15772" priority="15612" stopIfTrue="1" operator="equal">
      <formula>"Fail"</formula>
    </cfRule>
  </conditionalFormatting>
  <conditionalFormatting sqref="A961">
    <cfRule type="cellIs" dxfId="15771" priority="15609" stopIfTrue="1" operator="equal">
      <formula>"Pass"</formula>
    </cfRule>
    <cfRule type="cellIs" dxfId="15770" priority="15610" stopIfTrue="1" operator="equal">
      <formula>"Fail"</formula>
    </cfRule>
  </conditionalFormatting>
  <conditionalFormatting sqref="A961">
    <cfRule type="cellIs" dxfId="15769" priority="15607" stopIfTrue="1" operator="equal">
      <formula>"Pass"</formula>
    </cfRule>
    <cfRule type="cellIs" dxfId="15768" priority="15608" stopIfTrue="1" operator="equal">
      <formula>"Fail"</formula>
    </cfRule>
  </conditionalFormatting>
  <conditionalFormatting sqref="A961">
    <cfRule type="cellIs" dxfId="15767" priority="15605" stopIfTrue="1" operator="equal">
      <formula>"Pass"</formula>
    </cfRule>
    <cfRule type="cellIs" dxfId="15766" priority="15606" stopIfTrue="1" operator="equal">
      <formula>"Fail"</formula>
    </cfRule>
  </conditionalFormatting>
  <conditionalFormatting sqref="J961:J962">
    <cfRule type="cellIs" dxfId="15765" priority="15603" stopIfTrue="1" operator="equal">
      <formula>"Pass"</formula>
    </cfRule>
    <cfRule type="cellIs" dxfId="15764" priority="15604" stopIfTrue="1" operator="equal">
      <formula>"Fail"</formula>
    </cfRule>
  </conditionalFormatting>
  <conditionalFormatting sqref="H961:I962">
    <cfRule type="cellIs" dxfId="15763" priority="15601" stopIfTrue="1" operator="equal">
      <formula>"Pass"</formula>
    </cfRule>
    <cfRule type="cellIs" dxfId="15762" priority="15602" stopIfTrue="1" operator="equal">
      <formula>"Fail"</formula>
    </cfRule>
  </conditionalFormatting>
  <conditionalFormatting sqref="A961 C961 F963 F961:G961 K961:N962">
    <cfRule type="cellIs" dxfId="15761" priority="15599" stopIfTrue="1" operator="equal">
      <formula>"Pass"</formula>
    </cfRule>
    <cfRule type="cellIs" dxfId="15760" priority="15600" stopIfTrue="1" operator="equal">
      <formula>"Fail"</formula>
    </cfRule>
  </conditionalFormatting>
  <conditionalFormatting sqref="T961:T963 U962:V963">
    <cfRule type="cellIs" dxfId="15759" priority="15597" stopIfTrue="1" operator="equal">
      <formula>"Fail"</formula>
    </cfRule>
    <cfRule type="cellIs" dxfId="15758" priority="15598" stopIfTrue="1" operator="equal">
      <formula>"Pass"</formula>
    </cfRule>
  </conditionalFormatting>
  <conditionalFormatting sqref="A961">
    <cfRule type="cellIs" dxfId="15757" priority="15595" stopIfTrue="1" operator="equal">
      <formula>"Pass"</formula>
    </cfRule>
    <cfRule type="cellIs" dxfId="15756" priority="15596" stopIfTrue="1" operator="equal">
      <formula>"Fail"</formula>
    </cfRule>
  </conditionalFormatting>
  <conditionalFormatting sqref="A961">
    <cfRule type="cellIs" dxfId="15755" priority="15593" stopIfTrue="1" operator="equal">
      <formula>"Pass"</formula>
    </cfRule>
    <cfRule type="cellIs" dxfId="15754" priority="15594" stopIfTrue="1" operator="equal">
      <formula>"Fail"</formula>
    </cfRule>
  </conditionalFormatting>
  <conditionalFormatting sqref="A961">
    <cfRule type="cellIs" dxfId="15753" priority="15591" stopIfTrue="1" operator="equal">
      <formula>"Pass"</formula>
    </cfRule>
    <cfRule type="cellIs" dxfId="15752" priority="15592" stopIfTrue="1" operator="equal">
      <formula>"Fail"</formula>
    </cfRule>
  </conditionalFormatting>
  <conditionalFormatting sqref="A961">
    <cfRule type="cellIs" dxfId="15751" priority="15589" stopIfTrue="1" operator="equal">
      <formula>"Pass"</formula>
    </cfRule>
    <cfRule type="cellIs" dxfId="15750" priority="15590" stopIfTrue="1" operator="equal">
      <formula>"Fail"</formula>
    </cfRule>
  </conditionalFormatting>
  <conditionalFormatting sqref="A961">
    <cfRule type="cellIs" dxfId="15749" priority="15587" stopIfTrue="1" operator="equal">
      <formula>"Pass"</formula>
    </cfRule>
    <cfRule type="cellIs" dxfId="15748" priority="15588" stopIfTrue="1" operator="equal">
      <formula>"Fail"</formula>
    </cfRule>
  </conditionalFormatting>
  <conditionalFormatting sqref="A961">
    <cfRule type="cellIs" dxfId="15747" priority="15585" stopIfTrue="1" operator="equal">
      <formula>"Pass"</formula>
    </cfRule>
    <cfRule type="cellIs" dxfId="15746" priority="15586" stopIfTrue="1" operator="equal">
      <formula>"Fail"</formula>
    </cfRule>
  </conditionalFormatting>
  <conditionalFormatting sqref="A961">
    <cfRule type="cellIs" dxfId="15745" priority="15583" stopIfTrue="1" operator="equal">
      <formula>"Pass"</formula>
    </cfRule>
    <cfRule type="cellIs" dxfId="15744" priority="15584" stopIfTrue="1" operator="equal">
      <formula>"Fail"</formula>
    </cfRule>
  </conditionalFormatting>
  <conditionalFormatting sqref="A961">
    <cfRule type="cellIs" dxfId="15743" priority="15581" stopIfTrue="1" operator="equal">
      <formula>"Pass"</formula>
    </cfRule>
    <cfRule type="cellIs" dxfId="15742" priority="15582" stopIfTrue="1" operator="equal">
      <formula>"Fail"</formula>
    </cfRule>
  </conditionalFormatting>
  <conditionalFormatting sqref="A961">
    <cfRule type="cellIs" dxfId="15741" priority="15579" stopIfTrue="1" operator="equal">
      <formula>"Pass"</formula>
    </cfRule>
    <cfRule type="cellIs" dxfId="15740" priority="15580" stopIfTrue="1" operator="equal">
      <formula>"Fail"</formula>
    </cfRule>
  </conditionalFormatting>
  <conditionalFormatting sqref="A961">
    <cfRule type="cellIs" dxfId="15739" priority="15577" stopIfTrue="1" operator="equal">
      <formula>"Pass"</formula>
    </cfRule>
    <cfRule type="cellIs" dxfId="15738" priority="15578" stopIfTrue="1" operator="equal">
      <formula>"Fail"</formula>
    </cfRule>
  </conditionalFormatting>
  <conditionalFormatting sqref="A961">
    <cfRule type="cellIs" dxfId="15737" priority="15575" stopIfTrue="1" operator="equal">
      <formula>"Pass"</formula>
    </cfRule>
    <cfRule type="cellIs" dxfId="15736" priority="15576" stopIfTrue="1" operator="equal">
      <formula>"Fail"</formula>
    </cfRule>
  </conditionalFormatting>
  <conditionalFormatting sqref="A961">
    <cfRule type="cellIs" dxfId="15735" priority="15573" stopIfTrue="1" operator="equal">
      <formula>"Pass"</formula>
    </cfRule>
    <cfRule type="cellIs" dxfId="15734" priority="15574" stopIfTrue="1" operator="equal">
      <formula>"Fail"</formula>
    </cfRule>
  </conditionalFormatting>
  <conditionalFormatting sqref="A961">
    <cfRule type="cellIs" dxfId="15733" priority="15571" stopIfTrue="1" operator="equal">
      <formula>"Pass"</formula>
    </cfRule>
    <cfRule type="cellIs" dxfId="15732" priority="15572" stopIfTrue="1" operator="equal">
      <formula>"Fail"</formula>
    </cfRule>
  </conditionalFormatting>
  <conditionalFormatting sqref="A961">
    <cfRule type="cellIs" dxfId="15731" priority="15569" stopIfTrue="1" operator="equal">
      <formula>"Pass"</formula>
    </cfRule>
    <cfRule type="cellIs" dxfId="15730" priority="15570" stopIfTrue="1" operator="equal">
      <formula>"Fail"</formula>
    </cfRule>
  </conditionalFormatting>
  <conditionalFormatting sqref="A961">
    <cfRule type="cellIs" dxfId="15729" priority="15567" stopIfTrue="1" operator="equal">
      <formula>"Pass"</formula>
    </cfRule>
    <cfRule type="cellIs" dxfId="15728" priority="15568" stopIfTrue="1" operator="equal">
      <formula>"Fail"</formula>
    </cfRule>
  </conditionalFormatting>
  <conditionalFormatting sqref="A961">
    <cfRule type="cellIs" dxfId="15727" priority="15565" stopIfTrue="1" operator="equal">
      <formula>"Pass"</formula>
    </cfRule>
    <cfRule type="cellIs" dxfId="15726" priority="15566" stopIfTrue="1" operator="equal">
      <formula>"Fail"</formula>
    </cfRule>
  </conditionalFormatting>
  <conditionalFormatting sqref="U961:V961">
    <cfRule type="cellIs" dxfId="15725" priority="15563" stopIfTrue="1" operator="equal">
      <formula>"Fail"</formula>
    </cfRule>
    <cfRule type="cellIs" dxfId="15724" priority="15564" stopIfTrue="1" operator="equal">
      <formula>"Pass"</formula>
    </cfRule>
  </conditionalFormatting>
  <conditionalFormatting sqref="U961:V961">
    <cfRule type="cellIs" dxfId="15723" priority="15561" stopIfTrue="1" operator="equal">
      <formula>"Fail"</formula>
    </cfRule>
    <cfRule type="cellIs" dxfId="15722" priority="15562" stopIfTrue="1" operator="equal">
      <formula>"Pass"</formula>
    </cfRule>
  </conditionalFormatting>
  <conditionalFormatting sqref="J961:J962">
    <cfRule type="cellIs" dxfId="15721" priority="15559" stopIfTrue="1" operator="equal">
      <formula>"Pass"</formula>
    </cfRule>
    <cfRule type="cellIs" dxfId="15720" priority="15560" stopIfTrue="1" operator="equal">
      <formula>"Fail"</formula>
    </cfRule>
  </conditionalFormatting>
  <conditionalFormatting sqref="H961:I962">
    <cfRule type="cellIs" dxfId="15719" priority="15557" stopIfTrue="1" operator="equal">
      <formula>"Pass"</formula>
    </cfRule>
    <cfRule type="cellIs" dxfId="15718" priority="15558" stopIfTrue="1" operator="equal">
      <formula>"Fail"</formula>
    </cfRule>
  </conditionalFormatting>
  <conditionalFormatting sqref="F963 F961:G961 K961:N962">
    <cfRule type="cellIs" dxfId="15717" priority="15555" stopIfTrue="1" operator="equal">
      <formula>"Pass"</formula>
    </cfRule>
    <cfRule type="cellIs" dxfId="15716" priority="15556" stopIfTrue="1" operator="equal">
      <formula>"Fail"</formula>
    </cfRule>
  </conditionalFormatting>
  <conditionalFormatting sqref="T961:T963 U962:V963">
    <cfRule type="cellIs" dxfId="15715" priority="15553" stopIfTrue="1" operator="equal">
      <formula>"Fail"</formula>
    </cfRule>
    <cfRule type="cellIs" dxfId="15714" priority="15554" stopIfTrue="1" operator="equal">
      <formula>"Pass"</formula>
    </cfRule>
  </conditionalFormatting>
  <conditionalFormatting sqref="U961:V961">
    <cfRule type="cellIs" dxfId="15713" priority="15551" stopIfTrue="1" operator="equal">
      <formula>"Fail"</formula>
    </cfRule>
    <cfRule type="cellIs" dxfId="15712" priority="15552" stopIfTrue="1" operator="equal">
      <formula>"Pass"</formula>
    </cfRule>
  </conditionalFormatting>
  <conditionalFormatting sqref="U961:V961">
    <cfRule type="cellIs" dxfId="15711" priority="15549" stopIfTrue="1" operator="equal">
      <formula>"Fail"</formula>
    </cfRule>
    <cfRule type="cellIs" dxfId="15710" priority="15550" stopIfTrue="1" operator="equal">
      <formula>"Pass"</formula>
    </cfRule>
  </conditionalFormatting>
  <conditionalFormatting sqref="F961:G961 K961:N961">
    <cfRule type="cellIs" dxfId="15709" priority="15547" stopIfTrue="1" operator="equal">
      <formula>"Pass"</formula>
    </cfRule>
    <cfRule type="cellIs" dxfId="15708" priority="15548" stopIfTrue="1" operator="equal">
      <formula>"Fail"</formula>
    </cfRule>
  </conditionalFormatting>
  <conditionalFormatting sqref="K962:N962">
    <cfRule type="cellIs" dxfId="15707" priority="15545" stopIfTrue="1" operator="equal">
      <formula>"Pass"</formula>
    </cfRule>
    <cfRule type="cellIs" dxfId="15706" priority="15546" stopIfTrue="1" operator="equal">
      <formula>"Fail"</formula>
    </cfRule>
  </conditionalFormatting>
  <conditionalFormatting sqref="U961:V961">
    <cfRule type="cellIs" dxfId="15705" priority="15543" stopIfTrue="1" operator="equal">
      <formula>"Fail"</formula>
    </cfRule>
    <cfRule type="cellIs" dxfId="15704" priority="15544" stopIfTrue="1" operator="equal">
      <formula>"Pass"</formula>
    </cfRule>
  </conditionalFormatting>
  <conditionalFormatting sqref="A961">
    <cfRule type="cellIs" dxfId="15703" priority="15541" stopIfTrue="1" operator="equal">
      <formula>"Pass"</formula>
    </cfRule>
    <cfRule type="cellIs" dxfId="15702" priority="15542" stopIfTrue="1" operator="equal">
      <formula>"Fail"</formula>
    </cfRule>
  </conditionalFormatting>
  <conditionalFormatting sqref="A961">
    <cfRule type="cellIs" dxfId="15701" priority="15539" stopIfTrue="1" operator="equal">
      <formula>"Pass"</formula>
    </cfRule>
    <cfRule type="cellIs" dxfId="15700" priority="15540" stopIfTrue="1" operator="equal">
      <formula>"Fail"</formula>
    </cfRule>
  </conditionalFormatting>
  <conditionalFormatting sqref="A961">
    <cfRule type="cellIs" dxfId="15699" priority="15537" stopIfTrue="1" operator="equal">
      <formula>"Pass"</formula>
    </cfRule>
    <cfRule type="cellIs" dxfId="15698" priority="15538" stopIfTrue="1" operator="equal">
      <formula>"Fail"</formula>
    </cfRule>
  </conditionalFormatting>
  <conditionalFormatting sqref="A961">
    <cfRule type="cellIs" dxfId="15697" priority="15535" stopIfTrue="1" operator="equal">
      <formula>"Pass"</formula>
    </cfRule>
    <cfRule type="cellIs" dxfId="15696" priority="15536" stopIfTrue="1" operator="equal">
      <formula>"Fail"</formula>
    </cfRule>
  </conditionalFormatting>
  <conditionalFormatting sqref="A961">
    <cfRule type="cellIs" dxfId="15695" priority="15533" stopIfTrue="1" operator="equal">
      <formula>"Pass"</formula>
    </cfRule>
    <cfRule type="cellIs" dxfId="15694" priority="15534" stopIfTrue="1" operator="equal">
      <formula>"Fail"</formula>
    </cfRule>
  </conditionalFormatting>
  <conditionalFormatting sqref="A961">
    <cfRule type="cellIs" dxfId="15693" priority="15531" stopIfTrue="1" operator="equal">
      <formula>"Pass"</formula>
    </cfRule>
    <cfRule type="cellIs" dxfId="15692" priority="15532" stopIfTrue="1" operator="equal">
      <formula>"Fail"</formula>
    </cfRule>
  </conditionalFormatting>
  <conditionalFormatting sqref="A961">
    <cfRule type="cellIs" dxfId="15691" priority="15529" stopIfTrue="1" operator="equal">
      <formula>"Pass"</formula>
    </cfRule>
    <cfRule type="cellIs" dxfId="15690" priority="15530" stopIfTrue="1" operator="equal">
      <formula>"Fail"</formula>
    </cfRule>
  </conditionalFormatting>
  <conditionalFormatting sqref="A961">
    <cfRule type="cellIs" dxfId="15689" priority="15527" stopIfTrue="1" operator="equal">
      <formula>"Pass"</formula>
    </cfRule>
    <cfRule type="cellIs" dxfId="15688" priority="15528" stopIfTrue="1" operator="equal">
      <formula>"Fail"</formula>
    </cfRule>
  </conditionalFormatting>
  <conditionalFormatting sqref="A961">
    <cfRule type="cellIs" dxfId="15687" priority="15525" stopIfTrue="1" operator="equal">
      <formula>"Pass"</formula>
    </cfRule>
    <cfRule type="cellIs" dxfId="15686" priority="15526" stopIfTrue="1" operator="equal">
      <formula>"Fail"</formula>
    </cfRule>
  </conditionalFormatting>
  <conditionalFormatting sqref="A961">
    <cfRule type="cellIs" dxfId="15685" priority="15523" stopIfTrue="1" operator="equal">
      <formula>"Pass"</formula>
    </cfRule>
    <cfRule type="cellIs" dxfId="15684" priority="15524" stopIfTrue="1" operator="equal">
      <formula>"Fail"</formula>
    </cfRule>
  </conditionalFormatting>
  <conditionalFormatting sqref="A961">
    <cfRule type="cellIs" dxfId="15683" priority="15521" stopIfTrue="1" operator="equal">
      <formula>"Pass"</formula>
    </cfRule>
    <cfRule type="cellIs" dxfId="15682" priority="15522" stopIfTrue="1" operator="equal">
      <formula>"Fail"</formula>
    </cfRule>
  </conditionalFormatting>
  <conditionalFormatting sqref="A961">
    <cfRule type="cellIs" dxfId="15681" priority="15519" stopIfTrue="1" operator="equal">
      <formula>"Pass"</formula>
    </cfRule>
    <cfRule type="cellIs" dxfId="15680" priority="15520" stopIfTrue="1" operator="equal">
      <formula>"Fail"</formula>
    </cfRule>
  </conditionalFormatting>
  <conditionalFormatting sqref="J961:J962">
    <cfRule type="cellIs" dxfId="15679" priority="15517" stopIfTrue="1" operator="equal">
      <formula>"Pass"</formula>
    </cfRule>
    <cfRule type="cellIs" dxfId="15678" priority="15518" stopIfTrue="1" operator="equal">
      <formula>"Fail"</formula>
    </cfRule>
  </conditionalFormatting>
  <conditionalFormatting sqref="H961:I962">
    <cfRule type="cellIs" dxfId="15677" priority="15515" stopIfTrue="1" operator="equal">
      <formula>"Pass"</formula>
    </cfRule>
    <cfRule type="cellIs" dxfId="15676" priority="15516" stopIfTrue="1" operator="equal">
      <formula>"Fail"</formula>
    </cfRule>
  </conditionalFormatting>
  <conditionalFormatting sqref="F963 F961:G961 K961:N962">
    <cfRule type="cellIs" dxfId="15675" priority="15513" stopIfTrue="1" operator="equal">
      <formula>"Pass"</formula>
    </cfRule>
    <cfRule type="cellIs" dxfId="15674" priority="15514" stopIfTrue="1" operator="equal">
      <formula>"Fail"</formula>
    </cfRule>
  </conditionalFormatting>
  <conditionalFormatting sqref="T961:T963 U962:V963">
    <cfRule type="cellIs" dxfId="15673" priority="15511" stopIfTrue="1" operator="equal">
      <formula>"Fail"</formula>
    </cfRule>
    <cfRule type="cellIs" dxfId="15672" priority="15512" stopIfTrue="1" operator="equal">
      <formula>"Pass"</formula>
    </cfRule>
  </conditionalFormatting>
  <conditionalFormatting sqref="U961:V961">
    <cfRule type="cellIs" dxfId="15671" priority="15509" stopIfTrue="1" operator="equal">
      <formula>"Fail"</formula>
    </cfRule>
    <cfRule type="cellIs" dxfId="15670" priority="15510" stopIfTrue="1" operator="equal">
      <formula>"Pass"</formula>
    </cfRule>
  </conditionalFormatting>
  <conditionalFormatting sqref="U961:V961">
    <cfRule type="cellIs" dxfId="15669" priority="15507" stopIfTrue="1" operator="equal">
      <formula>"Fail"</formula>
    </cfRule>
    <cfRule type="cellIs" dxfId="15668" priority="15508" stopIfTrue="1" operator="equal">
      <formula>"Pass"</formula>
    </cfRule>
  </conditionalFormatting>
  <conditionalFormatting sqref="J961:J962">
    <cfRule type="cellIs" dxfId="15667" priority="15505" stopIfTrue="1" operator="equal">
      <formula>"Pass"</formula>
    </cfRule>
    <cfRule type="cellIs" dxfId="15666" priority="15506" stopIfTrue="1" operator="equal">
      <formula>"Fail"</formula>
    </cfRule>
  </conditionalFormatting>
  <conditionalFormatting sqref="H961:I962">
    <cfRule type="cellIs" dxfId="15665" priority="15503" stopIfTrue="1" operator="equal">
      <formula>"Pass"</formula>
    </cfRule>
    <cfRule type="cellIs" dxfId="15664" priority="15504" stopIfTrue="1" operator="equal">
      <formula>"Fail"</formula>
    </cfRule>
  </conditionalFormatting>
  <conditionalFormatting sqref="F963 F961:G961 K961:N962">
    <cfRule type="cellIs" dxfId="15663" priority="15501" stopIfTrue="1" operator="equal">
      <formula>"Pass"</formula>
    </cfRule>
    <cfRule type="cellIs" dxfId="15662" priority="15502" stopIfTrue="1" operator="equal">
      <formula>"Fail"</formula>
    </cfRule>
  </conditionalFormatting>
  <conditionalFormatting sqref="T961:T963 U962:V963">
    <cfRule type="cellIs" dxfId="15661" priority="15499" stopIfTrue="1" operator="equal">
      <formula>"Fail"</formula>
    </cfRule>
    <cfRule type="cellIs" dxfId="15660" priority="15500" stopIfTrue="1" operator="equal">
      <formula>"Pass"</formula>
    </cfRule>
  </conditionalFormatting>
  <conditionalFormatting sqref="U961:V961">
    <cfRule type="cellIs" dxfId="15659" priority="15497" stopIfTrue="1" operator="equal">
      <formula>"Fail"</formula>
    </cfRule>
    <cfRule type="cellIs" dxfId="15658" priority="15498" stopIfTrue="1" operator="equal">
      <formula>"Pass"</formula>
    </cfRule>
  </conditionalFormatting>
  <conditionalFormatting sqref="U961:V961">
    <cfRule type="cellIs" dxfId="15657" priority="15495" stopIfTrue="1" operator="equal">
      <formula>"Fail"</formula>
    </cfRule>
    <cfRule type="cellIs" dxfId="15656" priority="15496" stopIfTrue="1" operator="equal">
      <formula>"Pass"</formula>
    </cfRule>
  </conditionalFormatting>
  <conditionalFormatting sqref="F961:G961 K961:N961">
    <cfRule type="cellIs" dxfId="15655" priority="15493" stopIfTrue="1" operator="equal">
      <formula>"Pass"</formula>
    </cfRule>
    <cfRule type="cellIs" dxfId="15654" priority="15494" stopIfTrue="1" operator="equal">
      <formula>"Fail"</formula>
    </cfRule>
  </conditionalFormatting>
  <conditionalFormatting sqref="K962:N962">
    <cfRule type="cellIs" dxfId="15653" priority="15491" stopIfTrue="1" operator="equal">
      <formula>"Pass"</formula>
    </cfRule>
    <cfRule type="cellIs" dxfId="15652" priority="15492" stopIfTrue="1" operator="equal">
      <formula>"Fail"</formula>
    </cfRule>
  </conditionalFormatting>
  <conditionalFormatting sqref="U961:V961">
    <cfRule type="cellIs" dxfId="15651" priority="15489" stopIfTrue="1" operator="equal">
      <formula>"Fail"</formula>
    </cfRule>
    <cfRule type="cellIs" dxfId="15650" priority="15490" stopIfTrue="1" operator="equal">
      <formula>"Pass"</formula>
    </cfRule>
  </conditionalFormatting>
  <conditionalFormatting sqref="J961:J962">
    <cfRule type="cellIs" dxfId="15649" priority="15487" stopIfTrue="1" operator="equal">
      <formula>"Pass"</formula>
    </cfRule>
    <cfRule type="cellIs" dxfId="15648" priority="15488" stopIfTrue="1" operator="equal">
      <formula>"Fail"</formula>
    </cfRule>
  </conditionalFormatting>
  <conditionalFormatting sqref="H961:I962">
    <cfRule type="cellIs" dxfId="15647" priority="15485" stopIfTrue="1" operator="equal">
      <formula>"Pass"</formula>
    </cfRule>
    <cfRule type="cellIs" dxfId="15646" priority="15486" stopIfTrue="1" operator="equal">
      <formula>"Fail"</formula>
    </cfRule>
  </conditionalFormatting>
  <conditionalFormatting sqref="F961:G961 K961:N962">
    <cfRule type="cellIs" dxfId="15645" priority="15483" stopIfTrue="1" operator="equal">
      <formula>"Pass"</formula>
    </cfRule>
    <cfRule type="cellIs" dxfId="15644" priority="15484" stopIfTrue="1" operator="equal">
      <formula>"Fail"</formula>
    </cfRule>
  </conditionalFormatting>
  <conditionalFormatting sqref="T961:T962 U962:V962">
    <cfRule type="cellIs" dxfId="15643" priority="15481" stopIfTrue="1" operator="equal">
      <formula>"Fail"</formula>
    </cfRule>
    <cfRule type="cellIs" dxfId="15642" priority="15482" stopIfTrue="1" operator="equal">
      <formula>"Pass"</formula>
    </cfRule>
  </conditionalFormatting>
  <conditionalFormatting sqref="U961:V961">
    <cfRule type="cellIs" dxfId="15641" priority="15479" stopIfTrue="1" operator="equal">
      <formula>"Fail"</formula>
    </cfRule>
    <cfRule type="cellIs" dxfId="15640" priority="15480" stopIfTrue="1" operator="equal">
      <formula>"Pass"</formula>
    </cfRule>
  </conditionalFormatting>
  <conditionalFormatting sqref="U961:V961">
    <cfRule type="cellIs" dxfId="15639" priority="15477" stopIfTrue="1" operator="equal">
      <formula>"Fail"</formula>
    </cfRule>
    <cfRule type="cellIs" dxfId="15638" priority="15478" stopIfTrue="1" operator="equal">
      <formula>"Pass"</formula>
    </cfRule>
  </conditionalFormatting>
  <conditionalFormatting sqref="J961:J962">
    <cfRule type="cellIs" dxfId="15637" priority="15475" stopIfTrue="1" operator="equal">
      <formula>"Pass"</formula>
    </cfRule>
    <cfRule type="cellIs" dxfId="15636" priority="15476" stopIfTrue="1" operator="equal">
      <formula>"Fail"</formula>
    </cfRule>
  </conditionalFormatting>
  <conditionalFormatting sqref="H961:I962">
    <cfRule type="cellIs" dxfId="15635" priority="15473" stopIfTrue="1" operator="equal">
      <formula>"Pass"</formula>
    </cfRule>
    <cfRule type="cellIs" dxfId="15634" priority="15474" stopIfTrue="1" operator="equal">
      <formula>"Fail"</formula>
    </cfRule>
  </conditionalFormatting>
  <conditionalFormatting sqref="F961:G961 K961:N962">
    <cfRule type="cellIs" dxfId="15633" priority="15471" stopIfTrue="1" operator="equal">
      <formula>"Pass"</formula>
    </cfRule>
    <cfRule type="cellIs" dxfId="15632" priority="15472" stopIfTrue="1" operator="equal">
      <formula>"Fail"</formula>
    </cfRule>
  </conditionalFormatting>
  <conditionalFormatting sqref="T961:T962 U962:V962">
    <cfRule type="cellIs" dxfId="15631" priority="15469" stopIfTrue="1" operator="equal">
      <formula>"Fail"</formula>
    </cfRule>
    <cfRule type="cellIs" dxfId="15630" priority="15470" stopIfTrue="1" operator="equal">
      <formula>"Pass"</formula>
    </cfRule>
  </conditionalFormatting>
  <conditionalFormatting sqref="U961:V961">
    <cfRule type="cellIs" dxfId="15629" priority="15467" stopIfTrue="1" operator="equal">
      <formula>"Fail"</formula>
    </cfRule>
    <cfRule type="cellIs" dxfId="15628" priority="15468" stopIfTrue="1" operator="equal">
      <formula>"Pass"</formula>
    </cfRule>
  </conditionalFormatting>
  <conditionalFormatting sqref="U961:V961">
    <cfRule type="cellIs" dxfId="15627" priority="15465" stopIfTrue="1" operator="equal">
      <formula>"Fail"</formula>
    </cfRule>
    <cfRule type="cellIs" dxfId="15626" priority="15466" stopIfTrue="1" operator="equal">
      <formula>"Pass"</formula>
    </cfRule>
  </conditionalFormatting>
  <conditionalFormatting sqref="F961:G961 K961:N961">
    <cfRule type="cellIs" dxfId="15625" priority="15463" stopIfTrue="1" operator="equal">
      <formula>"Pass"</formula>
    </cfRule>
    <cfRule type="cellIs" dxfId="15624" priority="15464" stopIfTrue="1" operator="equal">
      <formula>"Fail"</formula>
    </cfRule>
  </conditionalFormatting>
  <conditionalFormatting sqref="K962:N962">
    <cfRule type="cellIs" dxfId="15623" priority="15461" stopIfTrue="1" operator="equal">
      <formula>"Pass"</formula>
    </cfRule>
    <cfRule type="cellIs" dxfId="15622" priority="15462" stopIfTrue="1" operator="equal">
      <formula>"Fail"</formula>
    </cfRule>
  </conditionalFormatting>
  <conditionalFormatting sqref="U961:V961">
    <cfRule type="cellIs" dxfId="15621" priority="15459" stopIfTrue="1" operator="equal">
      <formula>"Fail"</formula>
    </cfRule>
    <cfRule type="cellIs" dxfId="15620" priority="15460" stopIfTrue="1" operator="equal">
      <formula>"Pass"</formula>
    </cfRule>
  </conditionalFormatting>
  <conditionalFormatting sqref="U961:V961">
    <cfRule type="cellIs" dxfId="15619" priority="15457" stopIfTrue="1" operator="equal">
      <formula>"Fail"</formula>
    </cfRule>
    <cfRule type="cellIs" dxfId="15618" priority="15458" stopIfTrue="1" operator="equal">
      <formula>"Pass"</formula>
    </cfRule>
  </conditionalFormatting>
  <conditionalFormatting sqref="U961:V961">
    <cfRule type="cellIs" dxfId="15617" priority="15455" stopIfTrue="1" operator="equal">
      <formula>"Fail"</formula>
    </cfRule>
    <cfRule type="cellIs" dxfId="15616" priority="15456" stopIfTrue="1" operator="equal">
      <formula>"Pass"</formula>
    </cfRule>
  </conditionalFormatting>
  <conditionalFormatting sqref="U961:V961">
    <cfRule type="cellIs" dxfId="15615" priority="15453" stopIfTrue="1" operator="equal">
      <formula>"Fail"</formula>
    </cfRule>
    <cfRule type="cellIs" dxfId="15614" priority="15454" stopIfTrue="1" operator="equal">
      <formula>"Pass"</formula>
    </cfRule>
  </conditionalFormatting>
  <conditionalFormatting sqref="A961">
    <cfRule type="cellIs" dxfId="15613" priority="15451" stopIfTrue="1" operator="equal">
      <formula>"Pass"</formula>
    </cfRule>
    <cfRule type="cellIs" dxfId="15612" priority="15452" stopIfTrue="1" operator="equal">
      <formula>"Fail"</formula>
    </cfRule>
  </conditionalFormatting>
  <conditionalFormatting sqref="A961">
    <cfRule type="cellIs" dxfId="15611" priority="15449" stopIfTrue="1" operator="equal">
      <formula>"Pass"</formula>
    </cfRule>
    <cfRule type="cellIs" dxfId="15610" priority="15450" stopIfTrue="1" operator="equal">
      <formula>"Fail"</formula>
    </cfRule>
  </conditionalFormatting>
  <conditionalFormatting sqref="A961">
    <cfRule type="cellIs" dxfId="15609" priority="15447" stopIfTrue="1" operator="equal">
      <formula>"Pass"</formula>
    </cfRule>
    <cfRule type="cellIs" dxfId="15608" priority="15448" stopIfTrue="1" operator="equal">
      <formula>"Fail"</formula>
    </cfRule>
  </conditionalFormatting>
  <conditionalFormatting sqref="A961">
    <cfRule type="cellIs" dxfId="15607" priority="15445" stopIfTrue="1" operator="equal">
      <formula>"Pass"</formula>
    </cfRule>
    <cfRule type="cellIs" dxfId="15606" priority="15446" stopIfTrue="1" operator="equal">
      <formula>"Fail"</formula>
    </cfRule>
  </conditionalFormatting>
  <conditionalFormatting sqref="A961">
    <cfRule type="cellIs" dxfId="15605" priority="15443" stopIfTrue="1" operator="equal">
      <formula>"Pass"</formula>
    </cfRule>
    <cfRule type="cellIs" dxfId="15604" priority="15444" stopIfTrue="1" operator="equal">
      <formula>"Fail"</formula>
    </cfRule>
  </conditionalFormatting>
  <conditionalFormatting sqref="A961">
    <cfRule type="cellIs" dxfId="15603" priority="15441" stopIfTrue="1" operator="equal">
      <formula>"Pass"</formula>
    </cfRule>
    <cfRule type="cellIs" dxfId="15602" priority="15442" stopIfTrue="1" operator="equal">
      <formula>"Fail"</formula>
    </cfRule>
  </conditionalFormatting>
  <conditionalFormatting sqref="A961">
    <cfRule type="cellIs" dxfId="15601" priority="15439" stopIfTrue="1" operator="equal">
      <formula>"Pass"</formula>
    </cfRule>
    <cfRule type="cellIs" dxfId="15600" priority="15440" stopIfTrue="1" operator="equal">
      <formula>"Fail"</formula>
    </cfRule>
  </conditionalFormatting>
  <conditionalFormatting sqref="A961">
    <cfRule type="cellIs" dxfId="15599" priority="15437" stopIfTrue="1" operator="equal">
      <formula>"Pass"</formula>
    </cfRule>
    <cfRule type="cellIs" dxfId="15598" priority="15438" stopIfTrue="1" operator="equal">
      <formula>"Fail"</formula>
    </cfRule>
  </conditionalFormatting>
  <conditionalFormatting sqref="A961">
    <cfRule type="cellIs" dxfId="15597" priority="15435" stopIfTrue="1" operator="equal">
      <formula>"Pass"</formula>
    </cfRule>
    <cfRule type="cellIs" dxfId="15596" priority="15436" stopIfTrue="1" operator="equal">
      <formula>"Fail"</formula>
    </cfRule>
  </conditionalFormatting>
  <conditionalFormatting sqref="A961">
    <cfRule type="cellIs" dxfId="15595" priority="15433" stopIfTrue="1" operator="equal">
      <formula>"Pass"</formula>
    </cfRule>
    <cfRule type="cellIs" dxfId="15594" priority="15434" stopIfTrue="1" operator="equal">
      <formula>"Fail"</formula>
    </cfRule>
  </conditionalFormatting>
  <conditionalFormatting sqref="A961">
    <cfRule type="cellIs" dxfId="15593" priority="15431" stopIfTrue="1" operator="equal">
      <formula>"Pass"</formula>
    </cfRule>
    <cfRule type="cellIs" dxfId="15592" priority="15432" stopIfTrue="1" operator="equal">
      <formula>"Fail"</formula>
    </cfRule>
  </conditionalFormatting>
  <conditionalFormatting sqref="A961">
    <cfRule type="cellIs" dxfId="15591" priority="15429" stopIfTrue="1" operator="equal">
      <formula>"Pass"</formula>
    </cfRule>
    <cfRule type="cellIs" dxfId="15590" priority="15430" stopIfTrue="1" operator="equal">
      <formula>"Fail"</formula>
    </cfRule>
  </conditionalFormatting>
  <conditionalFormatting sqref="A961">
    <cfRule type="cellIs" dxfId="15589" priority="15427" stopIfTrue="1" operator="equal">
      <formula>"Pass"</formula>
    </cfRule>
    <cfRule type="cellIs" dxfId="15588" priority="15428" stopIfTrue="1" operator="equal">
      <formula>"Fail"</formula>
    </cfRule>
  </conditionalFormatting>
  <conditionalFormatting sqref="A961">
    <cfRule type="cellIs" dxfId="15587" priority="15425" stopIfTrue="1" operator="equal">
      <formula>"Pass"</formula>
    </cfRule>
    <cfRule type="cellIs" dxfId="15586" priority="15426" stopIfTrue="1" operator="equal">
      <formula>"Fail"</formula>
    </cfRule>
  </conditionalFormatting>
  <conditionalFormatting sqref="A961">
    <cfRule type="cellIs" dxfId="15585" priority="15423" stopIfTrue="1" operator="equal">
      <formula>"Pass"</formula>
    </cfRule>
    <cfRule type="cellIs" dxfId="15584" priority="15424" stopIfTrue="1" operator="equal">
      <formula>"Fail"</formula>
    </cfRule>
  </conditionalFormatting>
  <conditionalFormatting sqref="A961">
    <cfRule type="cellIs" dxfId="15583" priority="15421" stopIfTrue="1" operator="equal">
      <formula>"Pass"</formula>
    </cfRule>
    <cfRule type="cellIs" dxfId="15582" priority="15422" stopIfTrue="1" operator="equal">
      <formula>"Fail"</formula>
    </cfRule>
  </conditionalFormatting>
  <conditionalFormatting sqref="A961">
    <cfRule type="cellIs" dxfId="15581" priority="15419" stopIfTrue="1" operator="equal">
      <formula>"Pass"</formula>
    </cfRule>
    <cfRule type="cellIs" dxfId="15580" priority="15420" stopIfTrue="1" operator="equal">
      <formula>"Fail"</formula>
    </cfRule>
  </conditionalFormatting>
  <conditionalFormatting sqref="A961">
    <cfRule type="cellIs" dxfId="15579" priority="15417" stopIfTrue="1" operator="equal">
      <formula>"Pass"</formula>
    </cfRule>
    <cfRule type="cellIs" dxfId="15578" priority="15418" stopIfTrue="1" operator="equal">
      <formula>"Fail"</formula>
    </cfRule>
  </conditionalFormatting>
  <conditionalFormatting sqref="U961:V961">
    <cfRule type="cellIs" dxfId="15577" priority="15415" stopIfTrue="1" operator="equal">
      <formula>"Fail"</formula>
    </cfRule>
    <cfRule type="cellIs" dxfId="15576" priority="15416" stopIfTrue="1" operator="equal">
      <formula>"Pass"</formula>
    </cfRule>
  </conditionalFormatting>
  <conditionalFormatting sqref="U961:V961">
    <cfRule type="cellIs" dxfId="15575" priority="15413" stopIfTrue="1" operator="equal">
      <formula>"Fail"</formula>
    </cfRule>
    <cfRule type="cellIs" dxfId="15574" priority="15414" stopIfTrue="1" operator="equal">
      <formula>"Pass"</formula>
    </cfRule>
  </conditionalFormatting>
  <conditionalFormatting sqref="U961:V961">
    <cfRule type="cellIs" dxfId="15573" priority="15411" stopIfTrue="1" operator="equal">
      <formula>"Fail"</formula>
    </cfRule>
    <cfRule type="cellIs" dxfId="15572" priority="15412" stopIfTrue="1" operator="equal">
      <formula>"Pass"</formula>
    </cfRule>
  </conditionalFormatting>
  <conditionalFormatting sqref="U961:V961">
    <cfRule type="cellIs" dxfId="15571" priority="15409" stopIfTrue="1" operator="equal">
      <formula>"Fail"</formula>
    </cfRule>
    <cfRule type="cellIs" dxfId="15570" priority="15410" stopIfTrue="1" operator="equal">
      <formula>"Pass"</formula>
    </cfRule>
  </conditionalFormatting>
  <conditionalFormatting sqref="K961:N961">
    <cfRule type="cellIs" dxfId="15569" priority="15407" stopIfTrue="1" operator="equal">
      <formula>"Pass"</formula>
    </cfRule>
    <cfRule type="cellIs" dxfId="15568" priority="15408" stopIfTrue="1" operator="equal">
      <formula>"Fail"</formula>
    </cfRule>
  </conditionalFormatting>
  <conditionalFormatting sqref="K961:N961">
    <cfRule type="cellIs" dxfId="15567" priority="15405" stopIfTrue="1" operator="equal">
      <formula>"Pass"</formula>
    </cfRule>
    <cfRule type="cellIs" dxfId="15566" priority="15406" stopIfTrue="1" operator="equal">
      <formula>"Fail"</formula>
    </cfRule>
  </conditionalFormatting>
  <conditionalFormatting sqref="K961:N961">
    <cfRule type="cellIs" dxfId="15565" priority="15403" stopIfTrue="1" operator="equal">
      <formula>"Pass"</formula>
    </cfRule>
    <cfRule type="cellIs" dxfId="15564" priority="15404" stopIfTrue="1" operator="equal">
      <formula>"Fail"</formula>
    </cfRule>
  </conditionalFormatting>
  <conditionalFormatting sqref="H964:H965">
    <cfRule type="cellIs" dxfId="15563" priority="15401" stopIfTrue="1" operator="equal">
      <formula>"Pass"</formula>
    </cfRule>
    <cfRule type="cellIs" dxfId="15562" priority="15402" stopIfTrue="1" operator="equal">
      <formula>"Fail"</formula>
    </cfRule>
  </conditionalFormatting>
  <conditionalFormatting sqref="E964:F964 E966:F966 A964:A972 I964:M965">
    <cfRule type="cellIs" dxfId="15561" priority="15399" stopIfTrue="1" operator="equal">
      <formula>"Pass"</formula>
    </cfRule>
    <cfRule type="cellIs" dxfId="15560" priority="15400" stopIfTrue="1" operator="equal">
      <formula>"Fail"</formula>
    </cfRule>
  </conditionalFormatting>
  <conditionalFormatting sqref="T966 T964 R964:R966 S965:S966">
    <cfRule type="cellIs" dxfId="15559" priority="15397" stopIfTrue="1" operator="equal">
      <formula>"Fail"</formula>
    </cfRule>
    <cfRule type="cellIs" dxfId="15558" priority="15398" stopIfTrue="1" operator="equal">
      <formula>"Pass"</formula>
    </cfRule>
  </conditionalFormatting>
  <conditionalFormatting sqref="F964:G964 F966:G966 A964:B966 A967:A972 J964:N965">
    <cfRule type="cellIs" dxfId="15557" priority="15395" stopIfTrue="1" operator="equal">
      <formula>"Pass"</formula>
    </cfRule>
    <cfRule type="cellIs" dxfId="15556" priority="15396" stopIfTrue="1" operator="equal">
      <formula>"Fail"</formula>
    </cfRule>
  </conditionalFormatting>
  <conditionalFormatting sqref="U966:V966 U964:V964 T964:T966 S965:S966">
    <cfRule type="cellIs" dxfId="15555" priority="15393" stopIfTrue="1" operator="equal">
      <formula>"Fail"</formula>
    </cfRule>
    <cfRule type="cellIs" dxfId="15554" priority="15394" stopIfTrue="1" operator="equal">
      <formula>"Pass"</formula>
    </cfRule>
  </conditionalFormatting>
  <conditionalFormatting sqref="A964:A972">
    <cfRule type="cellIs" dxfId="15553" priority="15391" stopIfTrue="1" operator="equal">
      <formula>"Pass"</formula>
    </cfRule>
    <cfRule type="cellIs" dxfId="15552" priority="15392" stopIfTrue="1" operator="equal">
      <formula>"Fail"</formula>
    </cfRule>
  </conditionalFormatting>
  <conditionalFormatting sqref="A964:A972">
    <cfRule type="cellIs" dxfId="15551" priority="15389" stopIfTrue="1" operator="equal">
      <formula>"Pass"</formula>
    </cfRule>
    <cfRule type="cellIs" dxfId="15550" priority="15390" stopIfTrue="1" operator="equal">
      <formula>"Fail"</formula>
    </cfRule>
  </conditionalFormatting>
  <conditionalFormatting sqref="A964:A972">
    <cfRule type="cellIs" dxfId="15549" priority="15387" stopIfTrue="1" operator="equal">
      <formula>"Pass"</formula>
    </cfRule>
    <cfRule type="cellIs" dxfId="15548" priority="15388" stopIfTrue="1" operator="equal">
      <formula>"Fail"</formula>
    </cfRule>
  </conditionalFormatting>
  <conditionalFormatting sqref="J964:N965 E964:G966">
    <cfRule type="cellIs" dxfId="15547" priority="15385" stopIfTrue="1" operator="equal">
      <formula>"Pass"</formula>
    </cfRule>
    <cfRule type="cellIs" dxfId="15546" priority="15386" stopIfTrue="1" operator="equal">
      <formula>"Fail"</formula>
    </cfRule>
  </conditionalFormatting>
  <conditionalFormatting sqref="A966 C966 A969 A972 K964:O965 F964:H966">
    <cfRule type="cellIs" dxfId="15545" priority="15383" stopIfTrue="1" operator="equal">
      <formula>"Pass"</formula>
    </cfRule>
    <cfRule type="cellIs" dxfId="15544" priority="15384" stopIfTrue="1" operator="equal">
      <formula>"Fail"</formula>
    </cfRule>
  </conditionalFormatting>
  <conditionalFormatting sqref="T964">
    <cfRule type="cellIs" dxfId="15543" priority="15381" stopIfTrue="1" operator="equal">
      <formula>"Fail"</formula>
    </cfRule>
    <cfRule type="cellIs" dxfId="15542" priority="15382" stopIfTrue="1" operator="equal">
      <formula>"Pass"</formula>
    </cfRule>
  </conditionalFormatting>
  <conditionalFormatting sqref="A964:A972">
    <cfRule type="cellIs" dxfId="15541" priority="15379" stopIfTrue="1" operator="equal">
      <formula>"Pass"</formula>
    </cfRule>
    <cfRule type="cellIs" dxfId="15540" priority="15380" stopIfTrue="1" operator="equal">
      <formula>"Fail"</formula>
    </cfRule>
  </conditionalFormatting>
  <conditionalFormatting sqref="A964:A972">
    <cfRule type="cellIs" dxfId="15539" priority="15377" stopIfTrue="1" operator="equal">
      <formula>"Pass"</formula>
    </cfRule>
    <cfRule type="cellIs" dxfId="15538" priority="15378" stopIfTrue="1" operator="equal">
      <formula>"Fail"</formula>
    </cfRule>
  </conditionalFormatting>
  <conditionalFormatting sqref="A964:A972">
    <cfRule type="cellIs" dxfId="15537" priority="15375" stopIfTrue="1" operator="equal">
      <formula>"Pass"</formula>
    </cfRule>
    <cfRule type="cellIs" dxfId="15536" priority="15376" stopIfTrue="1" operator="equal">
      <formula>"Fail"</formula>
    </cfRule>
  </conditionalFormatting>
  <conditionalFormatting sqref="A964:A972">
    <cfRule type="cellIs" dxfId="15535" priority="15373" stopIfTrue="1" operator="equal">
      <formula>"Pass"</formula>
    </cfRule>
    <cfRule type="cellIs" dxfId="15534" priority="15374" stopIfTrue="1" operator="equal">
      <formula>"Fail"</formula>
    </cfRule>
  </conditionalFormatting>
  <conditionalFormatting sqref="A964:A972">
    <cfRule type="cellIs" dxfId="15533" priority="15371" stopIfTrue="1" operator="equal">
      <formula>"Pass"</formula>
    </cfRule>
    <cfRule type="cellIs" dxfId="15532" priority="15372" stopIfTrue="1" operator="equal">
      <formula>"Fail"</formula>
    </cfRule>
  </conditionalFormatting>
  <conditionalFormatting sqref="A964:A972">
    <cfRule type="cellIs" dxfId="15531" priority="15369" stopIfTrue="1" operator="equal">
      <formula>"Pass"</formula>
    </cfRule>
    <cfRule type="cellIs" dxfId="15530" priority="15370" stopIfTrue="1" operator="equal">
      <formula>"Fail"</formula>
    </cfRule>
  </conditionalFormatting>
  <conditionalFormatting sqref="A966 A969 A972">
    <cfRule type="cellIs" dxfId="15529" priority="15367" stopIfTrue="1" operator="equal">
      <formula>"Pass"</formula>
    </cfRule>
    <cfRule type="cellIs" dxfId="15528" priority="15368" stopIfTrue="1" operator="equal">
      <formula>"Fail"</formula>
    </cfRule>
  </conditionalFormatting>
  <conditionalFormatting sqref="A964:A972">
    <cfRule type="cellIs" dxfId="15527" priority="15365" stopIfTrue="1" operator="equal">
      <formula>"Pass"</formula>
    </cfRule>
    <cfRule type="cellIs" dxfId="15526" priority="15366" stopIfTrue="1" operator="equal">
      <formula>"Fail"</formula>
    </cfRule>
  </conditionalFormatting>
  <conditionalFormatting sqref="A964:A972">
    <cfRule type="cellIs" dxfId="15525" priority="15363" stopIfTrue="1" operator="equal">
      <formula>"Pass"</formula>
    </cfRule>
    <cfRule type="cellIs" dxfId="15524" priority="15364" stopIfTrue="1" operator="equal">
      <formula>"Fail"</formula>
    </cfRule>
  </conditionalFormatting>
  <conditionalFormatting sqref="A964:A972">
    <cfRule type="cellIs" dxfId="15523" priority="15361" stopIfTrue="1" operator="equal">
      <formula>"Pass"</formula>
    </cfRule>
    <cfRule type="cellIs" dxfId="15522" priority="15362" stopIfTrue="1" operator="equal">
      <formula>"Fail"</formula>
    </cfRule>
  </conditionalFormatting>
  <conditionalFormatting sqref="A964:A972">
    <cfRule type="cellIs" dxfId="15521" priority="15359" stopIfTrue="1" operator="equal">
      <formula>"Pass"</formula>
    </cfRule>
    <cfRule type="cellIs" dxfId="15520" priority="15360" stopIfTrue="1" operator="equal">
      <formula>"Fail"</formula>
    </cfRule>
  </conditionalFormatting>
  <conditionalFormatting sqref="A964:A972">
    <cfRule type="cellIs" dxfId="15519" priority="15357" stopIfTrue="1" operator="equal">
      <formula>"Pass"</formula>
    </cfRule>
    <cfRule type="cellIs" dxfId="15518" priority="15358" stopIfTrue="1" operator="equal">
      <formula>"Fail"</formula>
    </cfRule>
  </conditionalFormatting>
  <conditionalFormatting sqref="A964:A972">
    <cfRule type="cellIs" dxfId="15517" priority="15355" stopIfTrue="1" operator="equal">
      <formula>"Pass"</formula>
    </cfRule>
    <cfRule type="cellIs" dxfId="15516" priority="15356" stopIfTrue="1" operator="equal">
      <formula>"Fail"</formula>
    </cfRule>
  </conditionalFormatting>
  <conditionalFormatting sqref="A966 A969 A972">
    <cfRule type="cellIs" dxfId="15515" priority="15353" stopIfTrue="1" operator="equal">
      <formula>"Pass"</formula>
    </cfRule>
    <cfRule type="cellIs" dxfId="15514" priority="15354" stopIfTrue="1" operator="equal">
      <formula>"Fail"</formula>
    </cfRule>
  </conditionalFormatting>
  <conditionalFormatting sqref="A964:A972">
    <cfRule type="cellIs" dxfId="15513" priority="15351" stopIfTrue="1" operator="equal">
      <formula>"Pass"</formula>
    </cfRule>
    <cfRule type="cellIs" dxfId="15512" priority="15352" stopIfTrue="1" operator="equal">
      <formula>"Fail"</formula>
    </cfRule>
  </conditionalFormatting>
  <conditionalFormatting sqref="H964:H965">
    <cfRule type="cellIs" dxfId="15511" priority="15349" stopIfTrue="1" operator="equal">
      <formula>"Pass"</formula>
    </cfRule>
    <cfRule type="cellIs" dxfId="15510" priority="15350" stopIfTrue="1" operator="equal">
      <formula>"Fail"</formula>
    </cfRule>
  </conditionalFormatting>
  <conditionalFormatting sqref="F964 F966 I964:M965">
    <cfRule type="cellIs" dxfId="15509" priority="15347" stopIfTrue="1" operator="equal">
      <formula>"Pass"</formula>
    </cfRule>
    <cfRule type="cellIs" dxfId="15508" priority="15348" stopIfTrue="1" operator="equal">
      <formula>"Fail"</formula>
    </cfRule>
  </conditionalFormatting>
  <conditionalFormatting sqref="T966 T964 R964:R966 S965:S966">
    <cfRule type="cellIs" dxfId="15507" priority="15345" stopIfTrue="1" operator="equal">
      <formula>"Fail"</formula>
    </cfRule>
    <cfRule type="cellIs" dxfId="15506" priority="15346" stopIfTrue="1" operator="equal">
      <formula>"Pass"</formula>
    </cfRule>
  </conditionalFormatting>
  <conditionalFormatting sqref="F964:G964 F966:G966 J964:N965">
    <cfRule type="cellIs" dxfId="15505" priority="15343" stopIfTrue="1" operator="equal">
      <formula>"Pass"</formula>
    </cfRule>
    <cfRule type="cellIs" dxfId="15504" priority="15344" stopIfTrue="1" operator="equal">
      <formula>"Fail"</formula>
    </cfRule>
  </conditionalFormatting>
  <conditionalFormatting sqref="U966:V966 U964:V964 T964:T966 S965:S966">
    <cfRule type="cellIs" dxfId="15503" priority="15341" stopIfTrue="1" operator="equal">
      <formula>"Fail"</formula>
    </cfRule>
    <cfRule type="cellIs" dxfId="15502" priority="15342" stopIfTrue="1" operator="equal">
      <formula>"Pass"</formula>
    </cfRule>
  </conditionalFormatting>
  <conditionalFormatting sqref="J964:N965 F964:G966">
    <cfRule type="cellIs" dxfId="15501" priority="15339" stopIfTrue="1" operator="equal">
      <formula>"Pass"</formula>
    </cfRule>
    <cfRule type="cellIs" dxfId="15500" priority="15340" stopIfTrue="1" operator="equal">
      <formula>"Fail"</formula>
    </cfRule>
  </conditionalFormatting>
  <conditionalFormatting sqref="K964:O965 F964:H966">
    <cfRule type="cellIs" dxfId="15499" priority="15337" stopIfTrue="1" operator="equal">
      <formula>"Pass"</formula>
    </cfRule>
    <cfRule type="cellIs" dxfId="15498" priority="15338" stopIfTrue="1" operator="equal">
      <formula>"Fail"</formula>
    </cfRule>
  </conditionalFormatting>
  <conditionalFormatting sqref="T964">
    <cfRule type="cellIs" dxfId="15497" priority="15335" stopIfTrue="1" operator="equal">
      <formula>"Fail"</formula>
    </cfRule>
    <cfRule type="cellIs" dxfId="15496" priority="15336" stopIfTrue="1" operator="equal">
      <formula>"Pass"</formula>
    </cfRule>
  </conditionalFormatting>
  <conditionalFormatting sqref="K964:O965 F964:H966">
    <cfRule type="cellIs" dxfId="15495" priority="15333" stopIfTrue="1" operator="equal">
      <formula>"Pass"</formula>
    </cfRule>
    <cfRule type="cellIs" dxfId="15494" priority="15334" stopIfTrue="1" operator="equal">
      <formula>"Fail"</formula>
    </cfRule>
  </conditionalFormatting>
  <conditionalFormatting sqref="T964">
    <cfRule type="cellIs" dxfId="15493" priority="15331" stopIfTrue="1" operator="equal">
      <formula>"Fail"</formula>
    </cfRule>
    <cfRule type="cellIs" dxfId="15492" priority="15332" stopIfTrue="1" operator="equal">
      <formula>"Pass"</formula>
    </cfRule>
  </conditionalFormatting>
  <conditionalFormatting sqref="H964:H965">
    <cfRule type="cellIs" dxfId="15491" priority="15329" stopIfTrue="1" operator="equal">
      <formula>"Pass"</formula>
    </cfRule>
    <cfRule type="cellIs" dxfId="15490" priority="15330" stopIfTrue="1" operator="equal">
      <formula>"Fail"</formula>
    </cfRule>
  </conditionalFormatting>
  <conditionalFormatting sqref="E964:F964 E966:F966 A964:A972 I964:M965">
    <cfRule type="cellIs" dxfId="15489" priority="15327" stopIfTrue="1" operator="equal">
      <formula>"Pass"</formula>
    </cfRule>
    <cfRule type="cellIs" dxfId="15488" priority="15328" stopIfTrue="1" operator="equal">
      <formula>"Fail"</formula>
    </cfRule>
  </conditionalFormatting>
  <conditionalFormatting sqref="T966 T964 R964:R966 S965:S966">
    <cfRule type="cellIs" dxfId="15487" priority="15325" stopIfTrue="1" operator="equal">
      <formula>"Fail"</formula>
    </cfRule>
    <cfRule type="cellIs" dxfId="15486" priority="15326" stopIfTrue="1" operator="equal">
      <formula>"Pass"</formula>
    </cfRule>
  </conditionalFormatting>
  <conditionalFormatting sqref="F964:G964 F966:G966 A964:B966 A967:A972 J964:N965">
    <cfRule type="cellIs" dxfId="15485" priority="15323" stopIfTrue="1" operator="equal">
      <formula>"Pass"</formula>
    </cfRule>
    <cfRule type="cellIs" dxfId="15484" priority="15324" stopIfTrue="1" operator="equal">
      <formula>"Fail"</formula>
    </cfRule>
  </conditionalFormatting>
  <conditionalFormatting sqref="U966:V966 U964:V964 T964:T966 S965:S966">
    <cfRule type="cellIs" dxfId="15483" priority="15321" stopIfTrue="1" operator="equal">
      <formula>"Fail"</formula>
    </cfRule>
    <cfRule type="cellIs" dxfId="15482" priority="15322" stopIfTrue="1" operator="equal">
      <formula>"Pass"</formula>
    </cfRule>
  </conditionalFormatting>
  <conditionalFormatting sqref="A964:A972">
    <cfRule type="cellIs" dxfId="15481" priority="15319" stopIfTrue="1" operator="equal">
      <formula>"Pass"</formula>
    </cfRule>
    <cfRule type="cellIs" dxfId="15480" priority="15320" stopIfTrue="1" operator="equal">
      <formula>"Fail"</formula>
    </cfRule>
  </conditionalFormatting>
  <conditionalFormatting sqref="A964:A972">
    <cfRule type="cellIs" dxfId="15479" priority="15317" stopIfTrue="1" operator="equal">
      <formula>"Pass"</formula>
    </cfRule>
    <cfRule type="cellIs" dxfId="15478" priority="15318" stopIfTrue="1" operator="equal">
      <formula>"Fail"</formula>
    </cfRule>
  </conditionalFormatting>
  <conditionalFormatting sqref="A964:A972">
    <cfRule type="cellIs" dxfId="15477" priority="15315" stopIfTrue="1" operator="equal">
      <formula>"Pass"</formula>
    </cfRule>
    <cfRule type="cellIs" dxfId="15476" priority="15316" stopIfTrue="1" operator="equal">
      <formula>"Fail"</formula>
    </cfRule>
  </conditionalFormatting>
  <conditionalFormatting sqref="J964:N965 E964:G966">
    <cfRule type="cellIs" dxfId="15475" priority="15313" stopIfTrue="1" operator="equal">
      <formula>"Pass"</formula>
    </cfRule>
    <cfRule type="cellIs" dxfId="15474" priority="15314" stopIfTrue="1" operator="equal">
      <formula>"Fail"</formula>
    </cfRule>
  </conditionalFormatting>
  <conditionalFormatting sqref="A966 C966 A969 A972 K964:O965 F964:H966">
    <cfRule type="cellIs" dxfId="15473" priority="15311" stopIfTrue="1" operator="equal">
      <formula>"Pass"</formula>
    </cfRule>
    <cfRule type="cellIs" dxfId="15472" priority="15312" stopIfTrue="1" operator="equal">
      <formula>"Fail"</formula>
    </cfRule>
  </conditionalFormatting>
  <conditionalFormatting sqref="T964">
    <cfRule type="cellIs" dxfId="15471" priority="15309" stopIfTrue="1" operator="equal">
      <formula>"Fail"</formula>
    </cfRule>
    <cfRule type="cellIs" dxfId="15470" priority="15310" stopIfTrue="1" operator="equal">
      <formula>"Pass"</formula>
    </cfRule>
  </conditionalFormatting>
  <conditionalFormatting sqref="A964:A972">
    <cfRule type="cellIs" dxfId="15469" priority="15307" stopIfTrue="1" operator="equal">
      <formula>"Pass"</formula>
    </cfRule>
    <cfRule type="cellIs" dxfId="15468" priority="15308" stopIfTrue="1" operator="equal">
      <formula>"Fail"</formula>
    </cfRule>
  </conditionalFormatting>
  <conditionalFormatting sqref="A964:A972">
    <cfRule type="cellIs" dxfId="15467" priority="15305" stopIfTrue="1" operator="equal">
      <formula>"Pass"</formula>
    </cfRule>
    <cfRule type="cellIs" dxfId="15466" priority="15306" stopIfTrue="1" operator="equal">
      <formula>"Fail"</formula>
    </cfRule>
  </conditionalFormatting>
  <conditionalFormatting sqref="A964:A972">
    <cfRule type="cellIs" dxfId="15465" priority="15303" stopIfTrue="1" operator="equal">
      <formula>"Pass"</formula>
    </cfRule>
    <cfRule type="cellIs" dxfId="15464" priority="15304" stopIfTrue="1" operator="equal">
      <formula>"Fail"</formula>
    </cfRule>
  </conditionalFormatting>
  <conditionalFormatting sqref="A964:A972">
    <cfRule type="cellIs" dxfId="15463" priority="15301" stopIfTrue="1" operator="equal">
      <formula>"Pass"</formula>
    </cfRule>
    <cfRule type="cellIs" dxfId="15462" priority="15302" stopIfTrue="1" operator="equal">
      <formula>"Fail"</formula>
    </cfRule>
  </conditionalFormatting>
  <conditionalFormatting sqref="A964:A972">
    <cfRule type="cellIs" dxfId="15461" priority="15299" stopIfTrue="1" operator="equal">
      <formula>"Pass"</formula>
    </cfRule>
    <cfRule type="cellIs" dxfId="15460" priority="15300" stopIfTrue="1" operator="equal">
      <formula>"Fail"</formula>
    </cfRule>
  </conditionalFormatting>
  <conditionalFormatting sqref="A964:A972">
    <cfRule type="cellIs" dxfId="15459" priority="15297" stopIfTrue="1" operator="equal">
      <formula>"Pass"</formula>
    </cfRule>
    <cfRule type="cellIs" dxfId="15458" priority="15298" stopIfTrue="1" operator="equal">
      <formula>"Fail"</formula>
    </cfRule>
  </conditionalFormatting>
  <conditionalFormatting sqref="A966 A969 A972">
    <cfRule type="cellIs" dxfId="15457" priority="15295" stopIfTrue="1" operator="equal">
      <formula>"Pass"</formula>
    </cfRule>
    <cfRule type="cellIs" dxfId="15456" priority="15296" stopIfTrue="1" operator="equal">
      <formula>"Fail"</formula>
    </cfRule>
  </conditionalFormatting>
  <conditionalFormatting sqref="A964:A972">
    <cfRule type="cellIs" dxfId="15455" priority="15293" stopIfTrue="1" operator="equal">
      <formula>"Pass"</formula>
    </cfRule>
    <cfRule type="cellIs" dxfId="15454" priority="15294" stopIfTrue="1" operator="equal">
      <formula>"Fail"</formula>
    </cfRule>
  </conditionalFormatting>
  <conditionalFormatting sqref="A964:A972">
    <cfRule type="cellIs" dxfId="15453" priority="15291" stopIfTrue="1" operator="equal">
      <formula>"Pass"</formula>
    </cfRule>
    <cfRule type="cellIs" dxfId="15452" priority="15292" stopIfTrue="1" operator="equal">
      <formula>"Fail"</formula>
    </cfRule>
  </conditionalFormatting>
  <conditionalFormatting sqref="A964:A972">
    <cfRule type="cellIs" dxfId="15451" priority="15289" stopIfTrue="1" operator="equal">
      <formula>"Pass"</formula>
    </cfRule>
    <cfRule type="cellIs" dxfId="15450" priority="15290" stopIfTrue="1" operator="equal">
      <formula>"Fail"</formula>
    </cfRule>
  </conditionalFormatting>
  <conditionalFormatting sqref="A964:A972">
    <cfRule type="cellIs" dxfId="15449" priority="15287" stopIfTrue="1" operator="equal">
      <formula>"Pass"</formula>
    </cfRule>
    <cfRule type="cellIs" dxfId="15448" priority="15288" stopIfTrue="1" operator="equal">
      <formula>"Fail"</formula>
    </cfRule>
  </conditionalFormatting>
  <conditionalFormatting sqref="A964:A972">
    <cfRule type="cellIs" dxfId="15447" priority="15285" stopIfTrue="1" operator="equal">
      <formula>"Pass"</formula>
    </cfRule>
    <cfRule type="cellIs" dxfId="15446" priority="15286" stopIfTrue="1" operator="equal">
      <formula>"Fail"</formula>
    </cfRule>
  </conditionalFormatting>
  <conditionalFormatting sqref="A964:A972">
    <cfRule type="cellIs" dxfId="15445" priority="15283" stopIfTrue="1" operator="equal">
      <formula>"Pass"</formula>
    </cfRule>
    <cfRule type="cellIs" dxfId="15444" priority="15284" stopIfTrue="1" operator="equal">
      <formula>"Fail"</formula>
    </cfRule>
  </conditionalFormatting>
  <conditionalFormatting sqref="A966 A969 A972">
    <cfRule type="cellIs" dxfId="15443" priority="15281" stopIfTrue="1" operator="equal">
      <formula>"Pass"</formula>
    </cfRule>
    <cfRule type="cellIs" dxfId="15442" priority="15282" stopIfTrue="1" operator="equal">
      <formula>"Fail"</formula>
    </cfRule>
  </conditionalFormatting>
  <conditionalFormatting sqref="A964:A972">
    <cfRule type="cellIs" dxfId="15441" priority="15279" stopIfTrue="1" operator="equal">
      <formula>"Pass"</formula>
    </cfRule>
    <cfRule type="cellIs" dxfId="15440" priority="15280" stopIfTrue="1" operator="equal">
      <formula>"Fail"</formula>
    </cfRule>
  </conditionalFormatting>
  <conditionalFormatting sqref="H964:H965">
    <cfRule type="cellIs" dxfId="15439" priority="15277" stopIfTrue="1" operator="equal">
      <formula>"Pass"</formula>
    </cfRule>
    <cfRule type="cellIs" dxfId="15438" priority="15278" stopIfTrue="1" operator="equal">
      <formula>"Fail"</formula>
    </cfRule>
  </conditionalFormatting>
  <conditionalFormatting sqref="F964 F966 I964:M965">
    <cfRule type="cellIs" dxfId="15437" priority="15275" stopIfTrue="1" operator="equal">
      <formula>"Pass"</formula>
    </cfRule>
    <cfRule type="cellIs" dxfId="15436" priority="15276" stopIfTrue="1" operator="equal">
      <formula>"Fail"</formula>
    </cfRule>
  </conditionalFormatting>
  <conditionalFormatting sqref="T966 T964 R964:R966 S965:S966">
    <cfRule type="cellIs" dxfId="15435" priority="15273" stopIfTrue="1" operator="equal">
      <formula>"Fail"</formula>
    </cfRule>
    <cfRule type="cellIs" dxfId="15434" priority="15274" stopIfTrue="1" operator="equal">
      <formula>"Pass"</formula>
    </cfRule>
  </conditionalFormatting>
  <conditionalFormatting sqref="F964:G964 F966:G966 J964:N965">
    <cfRule type="cellIs" dxfId="15433" priority="15271" stopIfTrue="1" operator="equal">
      <formula>"Pass"</formula>
    </cfRule>
    <cfRule type="cellIs" dxfId="15432" priority="15272" stopIfTrue="1" operator="equal">
      <formula>"Fail"</formula>
    </cfRule>
  </conditionalFormatting>
  <conditionalFormatting sqref="U966:V966 U964:V964 T964:T966 S965:S966">
    <cfRule type="cellIs" dxfId="15431" priority="15269" stopIfTrue="1" operator="equal">
      <formula>"Fail"</formula>
    </cfRule>
    <cfRule type="cellIs" dxfId="15430" priority="15270" stopIfTrue="1" operator="equal">
      <formula>"Pass"</formula>
    </cfRule>
  </conditionalFormatting>
  <conditionalFormatting sqref="J964:N965 F964:G966">
    <cfRule type="cellIs" dxfId="15429" priority="15267" stopIfTrue="1" operator="equal">
      <formula>"Pass"</formula>
    </cfRule>
    <cfRule type="cellIs" dxfId="15428" priority="15268" stopIfTrue="1" operator="equal">
      <formula>"Fail"</formula>
    </cfRule>
  </conditionalFormatting>
  <conditionalFormatting sqref="K964:O965 F964:H966">
    <cfRule type="cellIs" dxfId="15427" priority="15265" stopIfTrue="1" operator="equal">
      <formula>"Pass"</formula>
    </cfRule>
    <cfRule type="cellIs" dxfId="15426" priority="15266" stopIfTrue="1" operator="equal">
      <formula>"Fail"</formula>
    </cfRule>
  </conditionalFormatting>
  <conditionalFormatting sqref="T964">
    <cfRule type="cellIs" dxfId="15425" priority="15263" stopIfTrue="1" operator="equal">
      <formula>"Fail"</formula>
    </cfRule>
    <cfRule type="cellIs" dxfId="15424" priority="15264" stopIfTrue="1" operator="equal">
      <formula>"Pass"</formula>
    </cfRule>
  </conditionalFormatting>
  <conditionalFormatting sqref="K964:O965 F964:H966">
    <cfRule type="cellIs" dxfId="15423" priority="15261" stopIfTrue="1" operator="equal">
      <formula>"Pass"</formula>
    </cfRule>
    <cfRule type="cellIs" dxfId="15422" priority="15262" stopIfTrue="1" operator="equal">
      <formula>"Fail"</formula>
    </cfRule>
  </conditionalFormatting>
  <conditionalFormatting sqref="T964">
    <cfRule type="cellIs" dxfId="15421" priority="15259" stopIfTrue="1" operator="equal">
      <formula>"Fail"</formula>
    </cfRule>
    <cfRule type="cellIs" dxfId="15420" priority="15260" stopIfTrue="1" operator="equal">
      <formula>"Pass"</formula>
    </cfRule>
  </conditionalFormatting>
  <conditionalFormatting sqref="A967">
    <cfRule type="cellIs" dxfId="15419" priority="15257" stopIfTrue="1" operator="equal">
      <formula>"Pass"</formula>
    </cfRule>
    <cfRule type="cellIs" dxfId="15418" priority="15258" stopIfTrue="1" operator="equal">
      <formula>"Fail"</formula>
    </cfRule>
  </conditionalFormatting>
  <conditionalFormatting sqref="A967">
    <cfRule type="cellIs" dxfId="15417" priority="15255" stopIfTrue="1" operator="equal">
      <formula>"Pass"</formula>
    </cfRule>
    <cfRule type="cellIs" dxfId="15416" priority="15256" stopIfTrue="1" operator="equal">
      <formula>"Fail"</formula>
    </cfRule>
  </conditionalFormatting>
  <conditionalFormatting sqref="A967">
    <cfRule type="cellIs" dxfId="15415" priority="15253" stopIfTrue="1" operator="equal">
      <formula>"Pass"</formula>
    </cfRule>
    <cfRule type="cellIs" dxfId="15414" priority="15254" stopIfTrue="1" operator="equal">
      <formula>"Fail"</formula>
    </cfRule>
  </conditionalFormatting>
  <conditionalFormatting sqref="A967">
    <cfRule type="cellIs" dxfId="15413" priority="15251" stopIfTrue="1" operator="equal">
      <formula>"Pass"</formula>
    </cfRule>
    <cfRule type="cellIs" dxfId="15412" priority="15252" stopIfTrue="1" operator="equal">
      <formula>"Fail"</formula>
    </cfRule>
  </conditionalFormatting>
  <conditionalFormatting sqref="A967">
    <cfRule type="cellIs" dxfId="15411" priority="15249" stopIfTrue="1" operator="equal">
      <formula>"Pass"</formula>
    </cfRule>
    <cfRule type="cellIs" dxfId="15410" priority="15250" stopIfTrue="1" operator="equal">
      <formula>"Fail"</formula>
    </cfRule>
  </conditionalFormatting>
  <conditionalFormatting sqref="A967">
    <cfRule type="cellIs" dxfId="15409" priority="15247" stopIfTrue="1" operator="equal">
      <formula>"Pass"</formula>
    </cfRule>
    <cfRule type="cellIs" dxfId="15408" priority="15248" stopIfTrue="1" operator="equal">
      <formula>"Fail"</formula>
    </cfRule>
  </conditionalFormatting>
  <conditionalFormatting sqref="A967">
    <cfRule type="cellIs" dxfId="15407" priority="15245" stopIfTrue="1" operator="equal">
      <formula>"Pass"</formula>
    </cfRule>
    <cfRule type="cellIs" dxfId="15406" priority="15246" stopIfTrue="1" operator="equal">
      <formula>"Fail"</formula>
    </cfRule>
  </conditionalFormatting>
  <conditionalFormatting sqref="A967">
    <cfRule type="cellIs" dxfId="15405" priority="15243" stopIfTrue="1" operator="equal">
      <formula>"Pass"</formula>
    </cfRule>
    <cfRule type="cellIs" dxfId="15404" priority="15244" stopIfTrue="1" operator="equal">
      <formula>"Fail"</formula>
    </cfRule>
  </conditionalFormatting>
  <conditionalFormatting sqref="A967">
    <cfRule type="cellIs" dxfId="15403" priority="15241" stopIfTrue="1" operator="equal">
      <formula>"Pass"</formula>
    </cfRule>
    <cfRule type="cellIs" dxfId="15402" priority="15242" stopIfTrue="1" operator="equal">
      <formula>"Fail"</formula>
    </cfRule>
  </conditionalFormatting>
  <conditionalFormatting sqref="A967">
    <cfRule type="cellIs" dxfId="15401" priority="15239" stopIfTrue="1" operator="equal">
      <formula>"Pass"</formula>
    </cfRule>
    <cfRule type="cellIs" dxfId="15400" priority="15240" stopIfTrue="1" operator="equal">
      <formula>"Fail"</formula>
    </cfRule>
  </conditionalFormatting>
  <conditionalFormatting sqref="A967">
    <cfRule type="cellIs" dxfId="15399" priority="15237" stopIfTrue="1" operator="equal">
      <formula>"Pass"</formula>
    </cfRule>
    <cfRule type="cellIs" dxfId="15398" priority="15238" stopIfTrue="1" operator="equal">
      <formula>"Fail"</formula>
    </cfRule>
  </conditionalFormatting>
  <conditionalFormatting sqref="A967">
    <cfRule type="cellIs" dxfId="15397" priority="15235" stopIfTrue="1" operator="equal">
      <formula>"Pass"</formula>
    </cfRule>
    <cfRule type="cellIs" dxfId="15396" priority="15236" stopIfTrue="1" operator="equal">
      <formula>"Fail"</formula>
    </cfRule>
  </conditionalFormatting>
  <conditionalFormatting sqref="A967">
    <cfRule type="cellIs" dxfId="15395" priority="15233" stopIfTrue="1" operator="equal">
      <formula>"Pass"</formula>
    </cfRule>
    <cfRule type="cellIs" dxfId="15394" priority="15234" stopIfTrue="1" operator="equal">
      <formula>"Fail"</formula>
    </cfRule>
  </conditionalFormatting>
  <conditionalFormatting sqref="A967">
    <cfRule type="cellIs" dxfId="15393" priority="15231" stopIfTrue="1" operator="equal">
      <formula>"Pass"</formula>
    </cfRule>
    <cfRule type="cellIs" dxfId="15392" priority="15232" stopIfTrue="1" operator="equal">
      <formula>"Fail"</formula>
    </cfRule>
  </conditionalFormatting>
  <conditionalFormatting sqref="A967">
    <cfRule type="cellIs" dxfId="15391" priority="15229" stopIfTrue="1" operator="equal">
      <formula>"Pass"</formula>
    </cfRule>
    <cfRule type="cellIs" dxfId="15390" priority="15230" stopIfTrue="1" operator="equal">
      <formula>"Fail"</formula>
    </cfRule>
  </conditionalFormatting>
  <conditionalFormatting sqref="A967">
    <cfRule type="cellIs" dxfId="15389" priority="15227" stopIfTrue="1" operator="equal">
      <formula>"Pass"</formula>
    </cfRule>
    <cfRule type="cellIs" dxfId="15388" priority="15228" stopIfTrue="1" operator="equal">
      <formula>"Fail"</formula>
    </cfRule>
  </conditionalFormatting>
  <conditionalFormatting sqref="A967">
    <cfRule type="cellIs" dxfId="15387" priority="15225" stopIfTrue="1" operator="equal">
      <formula>"Pass"</formula>
    </cfRule>
    <cfRule type="cellIs" dxfId="15386" priority="15226" stopIfTrue="1" operator="equal">
      <formula>"Fail"</formula>
    </cfRule>
  </conditionalFormatting>
  <conditionalFormatting sqref="A967">
    <cfRule type="cellIs" dxfId="15385" priority="15223" stopIfTrue="1" operator="equal">
      <formula>"Pass"</formula>
    </cfRule>
    <cfRule type="cellIs" dxfId="15384" priority="15224" stopIfTrue="1" operator="equal">
      <formula>"Fail"</formula>
    </cfRule>
  </conditionalFormatting>
  <conditionalFormatting sqref="J967:J968">
    <cfRule type="cellIs" dxfId="15383" priority="15221" stopIfTrue="1" operator="equal">
      <formula>"Pass"</formula>
    </cfRule>
    <cfRule type="cellIs" dxfId="15382" priority="15222" stopIfTrue="1" operator="equal">
      <formula>"Fail"</formula>
    </cfRule>
  </conditionalFormatting>
  <conditionalFormatting sqref="H967:H968 I968">
    <cfRule type="cellIs" dxfId="15381" priority="15219" stopIfTrue="1" operator="equal">
      <formula>"Pass"</formula>
    </cfRule>
    <cfRule type="cellIs" dxfId="15380" priority="15220" stopIfTrue="1" operator="equal">
      <formula>"Fail"</formula>
    </cfRule>
  </conditionalFormatting>
  <conditionalFormatting sqref="A967 C967 F969 F967:G967 K967:N968">
    <cfRule type="cellIs" dxfId="15379" priority="15217" stopIfTrue="1" operator="equal">
      <formula>"Pass"</formula>
    </cfRule>
    <cfRule type="cellIs" dxfId="15378" priority="15218" stopIfTrue="1" operator="equal">
      <formula>"Fail"</formula>
    </cfRule>
  </conditionalFormatting>
  <conditionalFormatting sqref="T967:T969 U968:V969">
    <cfRule type="cellIs" dxfId="15377" priority="15215" stopIfTrue="1" operator="equal">
      <formula>"Fail"</formula>
    </cfRule>
    <cfRule type="cellIs" dxfId="15376" priority="15216" stopIfTrue="1" operator="equal">
      <formula>"Pass"</formula>
    </cfRule>
  </conditionalFormatting>
  <conditionalFormatting sqref="A967">
    <cfRule type="cellIs" dxfId="15375" priority="15213" stopIfTrue="1" operator="equal">
      <formula>"Pass"</formula>
    </cfRule>
    <cfRule type="cellIs" dxfId="15374" priority="15214" stopIfTrue="1" operator="equal">
      <formula>"Fail"</formula>
    </cfRule>
  </conditionalFormatting>
  <conditionalFormatting sqref="A967">
    <cfRule type="cellIs" dxfId="15373" priority="15211" stopIfTrue="1" operator="equal">
      <formula>"Pass"</formula>
    </cfRule>
    <cfRule type="cellIs" dxfId="15372" priority="15212" stopIfTrue="1" operator="equal">
      <formula>"Fail"</formula>
    </cfRule>
  </conditionalFormatting>
  <conditionalFormatting sqref="A967">
    <cfRule type="cellIs" dxfId="15371" priority="15209" stopIfTrue="1" operator="equal">
      <formula>"Pass"</formula>
    </cfRule>
    <cfRule type="cellIs" dxfId="15370" priority="15210" stopIfTrue="1" operator="equal">
      <formula>"Fail"</formula>
    </cfRule>
  </conditionalFormatting>
  <conditionalFormatting sqref="A967">
    <cfRule type="cellIs" dxfId="15369" priority="15207" stopIfTrue="1" operator="equal">
      <formula>"Pass"</formula>
    </cfRule>
    <cfRule type="cellIs" dxfId="15368" priority="15208" stopIfTrue="1" operator="equal">
      <formula>"Fail"</formula>
    </cfRule>
  </conditionalFormatting>
  <conditionalFormatting sqref="A967">
    <cfRule type="cellIs" dxfId="15367" priority="15205" stopIfTrue="1" operator="equal">
      <formula>"Pass"</formula>
    </cfRule>
    <cfRule type="cellIs" dxfId="15366" priority="15206" stopIfTrue="1" operator="equal">
      <formula>"Fail"</formula>
    </cfRule>
  </conditionalFormatting>
  <conditionalFormatting sqref="A967">
    <cfRule type="cellIs" dxfId="15365" priority="15203" stopIfTrue="1" operator="equal">
      <formula>"Pass"</formula>
    </cfRule>
    <cfRule type="cellIs" dxfId="15364" priority="15204" stopIfTrue="1" operator="equal">
      <formula>"Fail"</formula>
    </cfRule>
  </conditionalFormatting>
  <conditionalFormatting sqref="A967">
    <cfRule type="cellIs" dxfId="15363" priority="15201" stopIfTrue="1" operator="equal">
      <formula>"Pass"</formula>
    </cfRule>
    <cfRule type="cellIs" dxfId="15362" priority="15202" stopIfTrue="1" operator="equal">
      <formula>"Fail"</formula>
    </cfRule>
  </conditionalFormatting>
  <conditionalFormatting sqref="A967">
    <cfRule type="cellIs" dxfId="15361" priority="15199" stopIfTrue="1" operator="equal">
      <formula>"Pass"</formula>
    </cfRule>
    <cfRule type="cellIs" dxfId="15360" priority="15200" stopIfTrue="1" operator="equal">
      <formula>"Fail"</formula>
    </cfRule>
  </conditionalFormatting>
  <conditionalFormatting sqref="A967">
    <cfRule type="cellIs" dxfId="15359" priority="15197" stopIfTrue="1" operator="equal">
      <formula>"Pass"</formula>
    </cfRule>
    <cfRule type="cellIs" dxfId="15358" priority="15198" stopIfTrue="1" operator="equal">
      <formula>"Fail"</formula>
    </cfRule>
  </conditionalFormatting>
  <conditionalFormatting sqref="A967">
    <cfRule type="cellIs" dxfId="15357" priority="15195" stopIfTrue="1" operator="equal">
      <formula>"Pass"</formula>
    </cfRule>
    <cfRule type="cellIs" dxfId="15356" priority="15196" stopIfTrue="1" operator="equal">
      <formula>"Fail"</formula>
    </cfRule>
  </conditionalFormatting>
  <conditionalFormatting sqref="A967">
    <cfRule type="cellIs" dxfId="15355" priority="15193" stopIfTrue="1" operator="equal">
      <formula>"Pass"</formula>
    </cfRule>
    <cfRule type="cellIs" dxfId="15354" priority="15194" stopIfTrue="1" operator="equal">
      <formula>"Fail"</formula>
    </cfRule>
  </conditionalFormatting>
  <conditionalFormatting sqref="A967">
    <cfRule type="cellIs" dxfId="15353" priority="15191" stopIfTrue="1" operator="equal">
      <formula>"Pass"</formula>
    </cfRule>
    <cfRule type="cellIs" dxfId="15352" priority="15192" stopIfTrue="1" operator="equal">
      <formula>"Fail"</formula>
    </cfRule>
  </conditionalFormatting>
  <conditionalFormatting sqref="A967">
    <cfRule type="cellIs" dxfId="15351" priority="15189" stopIfTrue="1" operator="equal">
      <formula>"Pass"</formula>
    </cfRule>
    <cfRule type="cellIs" dxfId="15350" priority="15190" stopIfTrue="1" operator="equal">
      <formula>"Fail"</formula>
    </cfRule>
  </conditionalFormatting>
  <conditionalFormatting sqref="A967">
    <cfRule type="cellIs" dxfId="15349" priority="15187" stopIfTrue="1" operator="equal">
      <formula>"Pass"</formula>
    </cfRule>
    <cfRule type="cellIs" dxfId="15348" priority="15188" stopIfTrue="1" operator="equal">
      <formula>"Fail"</formula>
    </cfRule>
  </conditionalFormatting>
  <conditionalFormatting sqref="A967">
    <cfRule type="cellIs" dxfId="15347" priority="15185" stopIfTrue="1" operator="equal">
      <formula>"Pass"</formula>
    </cfRule>
    <cfRule type="cellIs" dxfId="15346" priority="15186" stopIfTrue="1" operator="equal">
      <formula>"Fail"</formula>
    </cfRule>
  </conditionalFormatting>
  <conditionalFormatting sqref="A967">
    <cfRule type="cellIs" dxfId="15345" priority="15183" stopIfTrue="1" operator="equal">
      <formula>"Pass"</formula>
    </cfRule>
    <cfRule type="cellIs" dxfId="15344" priority="15184" stopIfTrue="1" operator="equal">
      <formula>"Fail"</formula>
    </cfRule>
  </conditionalFormatting>
  <conditionalFormatting sqref="U967:V967">
    <cfRule type="cellIs" dxfId="15343" priority="15181" stopIfTrue="1" operator="equal">
      <formula>"Fail"</formula>
    </cfRule>
    <cfRule type="cellIs" dxfId="15342" priority="15182" stopIfTrue="1" operator="equal">
      <formula>"Pass"</formula>
    </cfRule>
  </conditionalFormatting>
  <conditionalFormatting sqref="U967:V967">
    <cfRule type="cellIs" dxfId="15341" priority="15179" stopIfTrue="1" operator="equal">
      <formula>"Fail"</formula>
    </cfRule>
    <cfRule type="cellIs" dxfId="15340" priority="15180" stopIfTrue="1" operator="equal">
      <formula>"Pass"</formula>
    </cfRule>
  </conditionalFormatting>
  <conditionalFormatting sqref="J967:J968">
    <cfRule type="cellIs" dxfId="15339" priority="15177" stopIfTrue="1" operator="equal">
      <formula>"Pass"</formula>
    </cfRule>
    <cfRule type="cellIs" dxfId="15338" priority="15178" stopIfTrue="1" operator="equal">
      <formula>"Fail"</formula>
    </cfRule>
  </conditionalFormatting>
  <conditionalFormatting sqref="H967:H968 I968">
    <cfRule type="cellIs" dxfId="15337" priority="15175" stopIfTrue="1" operator="equal">
      <formula>"Pass"</formula>
    </cfRule>
    <cfRule type="cellIs" dxfId="15336" priority="15176" stopIfTrue="1" operator="equal">
      <formula>"Fail"</formula>
    </cfRule>
  </conditionalFormatting>
  <conditionalFormatting sqref="F969 F967:G967 K967:N968">
    <cfRule type="cellIs" dxfId="15335" priority="15173" stopIfTrue="1" operator="equal">
      <formula>"Pass"</formula>
    </cfRule>
    <cfRule type="cellIs" dxfId="15334" priority="15174" stopIfTrue="1" operator="equal">
      <formula>"Fail"</formula>
    </cfRule>
  </conditionalFormatting>
  <conditionalFormatting sqref="T967:T969 U968:V969">
    <cfRule type="cellIs" dxfId="15333" priority="15171" stopIfTrue="1" operator="equal">
      <formula>"Fail"</formula>
    </cfRule>
    <cfRule type="cellIs" dxfId="15332" priority="15172" stopIfTrue="1" operator="equal">
      <formula>"Pass"</formula>
    </cfRule>
  </conditionalFormatting>
  <conditionalFormatting sqref="U967:V967">
    <cfRule type="cellIs" dxfId="15331" priority="15169" stopIfTrue="1" operator="equal">
      <formula>"Fail"</formula>
    </cfRule>
    <cfRule type="cellIs" dxfId="15330" priority="15170" stopIfTrue="1" operator="equal">
      <formula>"Pass"</formula>
    </cfRule>
  </conditionalFormatting>
  <conditionalFormatting sqref="U967:V967">
    <cfRule type="cellIs" dxfId="15329" priority="15167" stopIfTrue="1" operator="equal">
      <formula>"Fail"</formula>
    </cfRule>
    <cfRule type="cellIs" dxfId="15328" priority="15168" stopIfTrue="1" operator="equal">
      <formula>"Pass"</formula>
    </cfRule>
  </conditionalFormatting>
  <conditionalFormatting sqref="F967:G967 K967:N967">
    <cfRule type="cellIs" dxfId="15327" priority="15165" stopIfTrue="1" operator="equal">
      <formula>"Pass"</formula>
    </cfRule>
    <cfRule type="cellIs" dxfId="15326" priority="15166" stopIfTrue="1" operator="equal">
      <formula>"Fail"</formula>
    </cfRule>
  </conditionalFormatting>
  <conditionalFormatting sqref="K968:N968">
    <cfRule type="cellIs" dxfId="15325" priority="15163" stopIfTrue="1" operator="equal">
      <formula>"Pass"</formula>
    </cfRule>
    <cfRule type="cellIs" dxfId="15324" priority="15164" stopIfTrue="1" operator="equal">
      <formula>"Fail"</formula>
    </cfRule>
  </conditionalFormatting>
  <conditionalFormatting sqref="U967:V967">
    <cfRule type="cellIs" dxfId="15323" priority="15161" stopIfTrue="1" operator="equal">
      <formula>"Fail"</formula>
    </cfRule>
    <cfRule type="cellIs" dxfId="15322" priority="15162" stopIfTrue="1" operator="equal">
      <formula>"Pass"</formula>
    </cfRule>
  </conditionalFormatting>
  <conditionalFormatting sqref="A967">
    <cfRule type="cellIs" dxfId="15321" priority="15159" stopIfTrue="1" operator="equal">
      <formula>"Pass"</formula>
    </cfRule>
    <cfRule type="cellIs" dxfId="15320" priority="15160" stopIfTrue="1" operator="equal">
      <formula>"Fail"</formula>
    </cfRule>
  </conditionalFormatting>
  <conditionalFormatting sqref="A967">
    <cfRule type="cellIs" dxfId="15319" priority="15157" stopIfTrue="1" operator="equal">
      <formula>"Pass"</formula>
    </cfRule>
    <cfRule type="cellIs" dxfId="15318" priority="15158" stopIfTrue="1" operator="equal">
      <formula>"Fail"</formula>
    </cfRule>
  </conditionalFormatting>
  <conditionalFormatting sqref="A967">
    <cfRule type="cellIs" dxfId="15317" priority="15155" stopIfTrue="1" operator="equal">
      <formula>"Pass"</formula>
    </cfRule>
    <cfRule type="cellIs" dxfId="15316" priority="15156" stopIfTrue="1" operator="equal">
      <formula>"Fail"</formula>
    </cfRule>
  </conditionalFormatting>
  <conditionalFormatting sqref="A967">
    <cfRule type="cellIs" dxfId="15315" priority="15153" stopIfTrue="1" operator="equal">
      <formula>"Pass"</formula>
    </cfRule>
    <cfRule type="cellIs" dxfId="15314" priority="15154" stopIfTrue="1" operator="equal">
      <formula>"Fail"</formula>
    </cfRule>
  </conditionalFormatting>
  <conditionalFormatting sqref="A967">
    <cfRule type="cellIs" dxfId="15313" priority="15151" stopIfTrue="1" operator="equal">
      <formula>"Pass"</formula>
    </cfRule>
    <cfRule type="cellIs" dxfId="15312" priority="15152" stopIfTrue="1" operator="equal">
      <formula>"Fail"</formula>
    </cfRule>
  </conditionalFormatting>
  <conditionalFormatting sqref="A967">
    <cfRule type="cellIs" dxfId="15311" priority="15149" stopIfTrue="1" operator="equal">
      <formula>"Pass"</formula>
    </cfRule>
    <cfRule type="cellIs" dxfId="15310" priority="15150" stopIfTrue="1" operator="equal">
      <formula>"Fail"</formula>
    </cfRule>
  </conditionalFormatting>
  <conditionalFormatting sqref="A967">
    <cfRule type="cellIs" dxfId="15309" priority="15147" stopIfTrue="1" operator="equal">
      <formula>"Pass"</formula>
    </cfRule>
    <cfRule type="cellIs" dxfId="15308" priority="15148" stopIfTrue="1" operator="equal">
      <formula>"Fail"</formula>
    </cfRule>
  </conditionalFormatting>
  <conditionalFormatting sqref="A967">
    <cfRule type="cellIs" dxfId="15307" priority="15145" stopIfTrue="1" operator="equal">
      <formula>"Pass"</formula>
    </cfRule>
    <cfRule type="cellIs" dxfId="15306" priority="15146" stopIfTrue="1" operator="equal">
      <formula>"Fail"</formula>
    </cfRule>
  </conditionalFormatting>
  <conditionalFormatting sqref="A967">
    <cfRule type="cellIs" dxfId="15305" priority="15143" stopIfTrue="1" operator="equal">
      <formula>"Pass"</formula>
    </cfRule>
    <cfRule type="cellIs" dxfId="15304" priority="15144" stopIfTrue="1" operator="equal">
      <formula>"Fail"</formula>
    </cfRule>
  </conditionalFormatting>
  <conditionalFormatting sqref="A967">
    <cfRule type="cellIs" dxfId="15303" priority="15141" stopIfTrue="1" operator="equal">
      <formula>"Pass"</formula>
    </cfRule>
    <cfRule type="cellIs" dxfId="15302" priority="15142" stopIfTrue="1" operator="equal">
      <formula>"Fail"</formula>
    </cfRule>
  </conditionalFormatting>
  <conditionalFormatting sqref="A967">
    <cfRule type="cellIs" dxfId="15301" priority="15139" stopIfTrue="1" operator="equal">
      <formula>"Pass"</formula>
    </cfRule>
    <cfRule type="cellIs" dxfId="15300" priority="15140" stopIfTrue="1" operator="equal">
      <formula>"Fail"</formula>
    </cfRule>
  </conditionalFormatting>
  <conditionalFormatting sqref="A967">
    <cfRule type="cellIs" dxfId="15299" priority="15137" stopIfTrue="1" operator="equal">
      <formula>"Pass"</formula>
    </cfRule>
    <cfRule type="cellIs" dxfId="15298" priority="15138" stopIfTrue="1" operator="equal">
      <formula>"Fail"</formula>
    </cfRule>
  </conditionalFormatting>
  <conditionalFormatting sqref="J967:J968">
    <cfRule type="cellIs" dxfId="15297" priority="15135" stopIfTrue="1" operator="equal">
      <formula>"Pass"</formula>
    </cfRule>
    <cfRule type="cellIs" dxfId="15296" priority="15136" stopIfTrue="1" operator="equal">
      <formula>"Fail"</formula>
    </cfRule>
  </conditionalFormatting>
  <conditionalFormatting sqref="H967:H968 I968">
    <cfRule type="cellIs" dxfId="15295" priority="15133" stopIfTrue="1" operator="equal">
      <formula>"Pass"</formula>
    </cfRule>
    <cfRule type="cellIs" dxfId="15294" priority="15134" stopIfTrue="1" operator="equal">
      <formula>"Fail"</formula>
    </cfRule>
  </conditionalFormatting>
  <conditionalFormatting sqref="F969 F967:G967 K967:N968">
    <cfRule type="cellIs" dxfId="15293" priority="15131" stopIfTrue="1" operator="equal">
      <formula>"Pass"</formula>
    </cfRule>
    <cfRule type="cellIs" dxfId="15292" priority="15132" stopIfTrue="1" operator="equal">
      <formula>"Fail"</formula>
    </cfRule>
  </conditionalFormatting>
  <conditionalFormatting sqref="T967:T969 U968:V969">
    <cfRule type="cellIs" dxfId="15291" priority="15129" stopIfTrue="1" operator="equal">
      <formula>"Fail"</formula>
    </cfRule>
    <cfRule type="cellIs" dxfId="15290" priority="15130" stopIfTrue="1" operator="equal">
      <formula>"Pass"</formula>
    </cfRule>
  </conditionalFormatting>
  <conditionalFormatting sqref="U967:V967">
    <cfRule type="cellIs" dxfId="15289" priority="15127" stopIfTrue="1" operator="equal">
      <formula>"Fail"</formula>
    </cfRule>
    <cfRule type="cellIs" dxfId="15288" priority="15128" stopIfTrue="1" operator="equal">
      <formula>"Pass"</formula>
    </cfRule>
  </conditionalFormatting>
  <conditionalFormatting sqref="U967:V967">
    <cfRule type="cellIs" dxfId="15287" priority="15125" stopIfTrue="1" operator="equal">
      <formula>"Fail"</formula>
    </cfRule>
    <cfRule type="cellIs" dxfId="15286" priority="15126" stopIfTrue="1" operator="equal">
      <formula>"Pass"</formula>
    </cfRule>
  </conditionalFormatting>
  <conditionalFormatting sqref="J967:J968">
    <cfRule type="cellIs" dxfId="15285" priority="15123" stopIfTrue="1" operator="equal">
      <formula>"Pass"</formula>
    </cfRule>
    <cfRule type="cellIs" dxfId="15284" priority="15124" stopIfTrue="1" operator="equal">
      <formula>"Fail"</formula>
    </cfRule>
  </conditionalFormatting>
  <conditionalFormatting sqref="H967:H968 I968">
    <cfRule type="cellIs" dxfId="15283" priority="15121" stopIfTrue="1" operator="equal">
      <formula>"Pass"</formula>
    </cfRule>
    <cfRule type="cellIs" dxfId="15282" priority="15122" stopIfTrue="1" operator="equal">
      <formula>"Fail"</formula>
    </cfRule>
  </conditionalFormatting>
  <conditionalFormatting sqref="F969 F967:G967 K967:N968">
    <cfRule type="cellIs" dxfId="15281" priority="15119" stopIfTrue="1" operator="equal">
      <formula>"Pass"</formula>
    </cfRule>
    <cfRule type="cellIs" dxfId="15280" priority="15120" stopIfTrue="1" operator="equal">
      <formula>"Fail"</formula>
    </cfRule>
  </conditionalFormatting>
  <conditionalFormatting sqref="T967:T969 U968:V969">
    <cfRule type="cellIs" dxfId="15279" priority="15117" stopIfTrue="1" operator="equal">
      <formula>"Fail"</formula>
    </cfRule>
    <cfRule type="cellIs" dxfId="15278" priority="15118" stopIfTrue="1" operator="equal">
      <formula>"Pass"</formula>
    </cfRule>
  </conditionalFormatting>
  <conditionalFormatting sqref="U967:V967">
    <cfRule type="cellIs" dxfId="15277" priority="15115" stopIfTrue="1" operator="equal">
      <formula>"Fail"</formula>
    </cfRule>
    <cfRule type="cellIs" dxfId="15276" priority="15116" stopIfTrue="1" operator="equal">
      <formula>"Pass"</formula>
    </cfRule>
  </conditionalFormatting>
  <conditionalFormatting sqref="U967:V967">
    <cfRule type="cellIs" dxfId="15275" priority="15113" stopIfTrue="1" operator="equal">
      <formula>"Fail"</formula>
    </cfRule>
    <cfRule type="cellIs" dxfId="15274" priority="15114" stopIfTrue="1" operator="equal">
      <formula>"Pass"</formula>
    </cfRule>
  </conditionalFormatting>
  <conditionalFormatting sqref="F967:G967 K967:N967">
    <cfRule type="cellIs" dxfId="15273" priority="15111" stopIfTrue="1" operator="equal">
      <formula>"Pass"</formula>
    </cfRule>
    <cfRule type="cellIs" dxfId="15272" priority="15112" stopIfTrue="1" operator="equal">
      <formula>"Fail"</formula>
    </cfRule>
  </conditionalFormatting>
  <conditionalFormatting sqref="K968:N968">
    <cfRule type="cellIs" dxfId="15271" priority="15109" stopIfTrue="1" operator="equal">
      <formula>"Pass"</formula>
    </cfRule>
    <cfRule type="cellIs" dxfId="15270" priority="15110" stopIfTrue="1" operator="equal">
      <formula>"Fail"</formula>
    </cfRule>
  </conditionalFormatting>
  <conditionalFormatting sqref="U967:V967">
    <cfRule type="cellIs" dxfId="15269" priority="15107" stopIfTrue="1" operator="equal">
      <formula>"Fail"</formula>
    </cfRule>
    <cfRule type="cellIs" dxfId="15268" priority="15108" stopIfTrue="1" operator="equal">
      <formula>"Pass"</formula>
    </cfRule>
  </conditionalFormatting>
  <conditionalFormatting sqref="J967:J968">
    <cfRule type="cellIs" dxfId="15267" priority="15105" stopIfTrue="1" operator="equal">
      <formula>"Pass"</formula>
    </cfRule>
    <cfRule type="cellIs" dxfId="15266" priority="15106" stopIfTrue="1" operator="equal">
      <formula>"Fail"</formula>
    </cfRule>
  </conditionalFormatting>
  <conditionalFormatting sqref="H967:H968 I968">
    <cfRule type="cellIs" dxfId="15265" priority="15103" stopIfTrue="1" operator="equal">
      <formula>"Pass"</formula>
    </cfRule>
    <cfRule type="cellIs" dxfId="15264" priority="15104" stopIfTrue="1" operator="equal">
      <formula>"Fail"</formula>
    </cfRule>
  </conditionalFormatting>
  <conditionalFormatting sqref="F967:G967 K967:N968">
    <cfRule type="cellIs" dxfId="15263" priority="15101" stopIfTrue="1" operator="equal">
      <formula>"Pass"</formula>
    </cfRule>
    <cfRule type="cellIs" dxfId="15262" priority="15102" stopIfTrue="1" operator="equal">
      <formula>"Fail"</formula>
    </cfRule>
  </conditionalFormatting>
  <conditionalFormatting sqref="T967:T968 U968:V968">
    <cfRule type="cellIs" dxfId="15261" priority="15099" stopIfTrue="1" operator="equal">
      <formula>"Fail"</formula>
    </cfRule>
    <cfRule type="cellIs" dxfId="15260" priority="15100" stopIfTrue="1" operator="equal">
      <formula>"Pass"</formula>
    </cfRule>
  </conditionalFormatting>
  <conditionalFormatting sqref="U967:V967">
    <cfRule type="cellIs" dxfId="15259" priority="15097" stopIfTrue="1" operator="equal">
      <formula>"Fail"</formula>
    </cfRule>
    <cfRule type="cellIs" dxfId="15258" priority="15098" stopIfTrue="1" operator="equal">
      <formula>"Pass"</formula>
    </cfRule>
  </conditionalFormatting>
  <conditionalFormatting sqref="U967:V967">
    <cfRule type="cellIs" dxfId="15257" priority="15095" stopIfTrue="1" operator="equal">
      <formula>"Fail"</formula>
    </cfRule>
    <cfRule type="cellIs" dxfId="15256" priority="15096" stopIfTrue="1" operator="equal">
      <formula>"Pass"</formula>
    </cfRule>
  </conditionalFormatting>
  <conditionalFormatting sqref="J967:J968">
    <cfRule type="cellIs" dxfId="15255" priority="15093" stopIfTrue="1" operator="equal">
      <formula>"Pass"</formula>
    </cfRule>
    <cfRule type="cellIs" dxfId="15254" priority="15094" stopIfTrue="1" operator="equal">
      <formula>"Fail"</formula>
    </cfRule>
  </conditionalFormatting>
  <conditionalFormatting sqref="H967:H968 I968">
    <cfRule type="cellIs" dxfId="15253" priority="15091" stopIfTrue="1" operator="equal">
      <formula>"Pass"</formula>
    </cfRule>
    <cfRule type="cellIs" dxfId="15252" priority="15092" stopIfTrue="1" operator="equal">
      <formula>"Fail"</formula>
    </cfRule>
  </conditionalFormatting>
  <conditionalFormatting sqref="F967:G967 K967:N968">
    <cfRule type="cellIs" dxfId="15251" priority="15089" stopIfTrue="1" operator="equal">
      <formula>"Pass"</formula>
    </cfRule>
    <cfRule type="cellIs" dxfId="15250" priority="15090" stopIfTrue="1" operator="equal">
      <formula>"Fail"</formula>
    </cfRule>
  </conditionalFormatting>
  <conditionalFormatting sqref="T967:T968 U968:V968">
    <cfRule type="cellIs" dxfId="15249" priority="15087" stopIfTrue="1" operator="equal">
      <formula>"Fail"</formula>
    </cfRule>
    <cfRule type="cellIs" dxfId="15248" priority="15088" stopIfTrue="1" operator="equal">
      <formula>"Pass"</formula>
    </cfRule>
  </conditionalFormatting>
  <conditionalFormatting sqref="U967:V967">
    <cfRule type="cellIs" dxfId="15247" priority="15085" stopIfTrue="1" operator="equal">
      <formula>"Fail"</formula>
    </cfRule>
    <cfRule type="cellIs" dxfId="15246" priority="15086" stopIfTrue="1" operator="equal">
      <formula>"Pass"</formula>
    </cfRule>
  </conditionalFormatting>
  <conditionalFormatting sqref="U967:V967">
    <cfRule type="cellIs" dxfId="15245" priority="15083" stopIfTrue="1" operator="equal">
      <formula>"Fail"</formula>
    </cfRule>
    <cfRule type="cellIs" dxfId="15244" priority="15084" stopIfTrue="1" operator="equal">
      <formula>"Pass"</formula>
    </cfRule>
  </conditionalFormatting>
  <conditionalFormatting sqref="F967:G967 K967:N967">
    <cfRule type="cellIs" dxfId="15243" priority="15081" stopIfTrue="1" operator="equal">
      <formula>"Pass"</formula>
    </cfRule>
    <cfRule type="cellIs" dxfId="15242" priority="15082" stopIfTrue="1" operator="equal">
      <formula>"Fail"</formula>
    </cfRule>
  </conditionalFormatting>
  <conditionalFormatting sqref="K968:N968">
    <cfRule type="cellIs" dxfId="15241" priority="15079" stopIfTrue="1" operator="equal">
      <formula>"Pass"</formula>
    </cfRule>
    <cfRule type="cellIs" dxfId="15240" priority="15080" stopIfTrue="1" operator="equal">
      <formula>"Fail"</formula>
    </cfRule>
  </conditionalFormatting>
  <conditionalFormatting sqref="U967:V967">
    <cfRule type="cellIs" dxfId="15239" priority="15077" stopIfTrue="1" operator="equal">
      <formula>"Fail"</formula>
    </cfRule>
    <cfRule type="cellIs" dxfId="15238" priority="15078" stopIfTrue="1" operator="equal">
      <formula>"Pass"</formula>
    </cfRule>
  </conditionalFormatting>
  <conditionalFormatting sqref="U967:V967">
    <cfRule type="cellIs" dxfId="15237" priority="15075" stopIfTrue="1" operator="equal">
      <formula>"Fail"</formula>
    </cfRule>
    <cfRule type="cellIs" dxfId="15236" priority="15076" stopIfTrue="1" operator="equal">
      <formula>"Pass"</formula>
    </cfRule>
  </conditionalFormatting>
  <conditionalFormatting sqref="U967:V967">
    <cfRule type="cellIs" dxfId="15235" priority="15073" stopIfTrue="1" operator="equal">
      <formula>"Fail"</formula>
    </cfRule>
    <cfRule type="cellIs" dxfId="15234" priority="15074" stopIfTrue="1" operator="equal">
      <formula>"Pass"</formula>
    </cfRule>
  </conditionalFormatting>
  <conditionalFormatting sqref="U967:V967">
    <cfRule type="cellIs" dxfId="15233" priority="15071" stopIfTrue="1" operator="equal">
      <formula>"Fail"</formula>
    </cfRule>
    <cfRule type="cellIs" dxfId="15232" priority="15072" stopIfTrue="1" operator="equal">
      <formula>"Pass"</formula>
    </cfRule>
  </conditionalFormatting>
  <conditionalFormatting sqref="A970">
    <cfRule type="cellIs" dxfId="15231" priority="15069" stopIfTrue="1" operator="equal">
      <formula>"Pass"</formula>
    </cfRule>
    <cfRule type="cellIs" dxfId="15230" priority="15070" stopIfTrue="1" operator="equal">
      <formula>"Fail"</formula>
    </cfRule>
  </conditionalFormatting>
  <conditionalFormatting sqref="A970">
    <cfRule type="cellIs" dxfId="15229" priority="15067" stopIfTrue="1" operator="equal">
      <formula>"Pass"</formula>
    </cfRule>
    <cfRule type="cellIs" dxfId="15228" priority="15068" stopIfTrue="1" operator="equal">
      <formula>"Fail"</formula>
    </cfRule>
  </conditionalFormatting>
  <conditionalFormatting sqref="A970">
    <cfRule type="cellIs" dxfId="15227" priority="15065" stopIfTrue="1" operator="equal">
      <formula>"Pass"</formula>
    </cfRule>
    <cfRule type="cellIs" dxfId="15226" priority="15066" stopIfTrue="1" operator="equal">
      <formula>"Fail"</formula>
    </cfRule>
  </conditionalFormatting>
  <conditionalFormatting sqref="A970">
    <cfRule type="cellIs" dxfId="15225" priority="15063" stopIfTrue="1" operator="equal">
      <formula>"Pass"</formula>
    </cfRule>
    <cfRule type="cellIs" dxfId="15224" priority="15064" stopIfTrue="1" operator="equal">
      <formula>"Fail"</formula>
    </cfRule>
  </conditionalFormatting>
  <conditionalFormatting sqref="A970">
    <cfRule type="cellIs" dxfId="15223" priority="15061" stopIfTrue="1" operator="equal">
      <formula>"Pass"</formula>
    </cfRule>
    <cfRule type="cellIs" dxfId="15222" priority="15062" stopIfTrue="1" operator="equal">
      <formula>"Fail"</formula>
    </cfRule>
  </conditionalFormatting>
  <conditionalFormatting sqref="A970">
    <cfRule type="cellIs" dxfId="15221" priority="15059" stopIfTrue="1" operator="equal">
      <formula>"Pass"</formula>
    </cfRule>
    <cfRule type="cellIs" dxfId="15220" priority="15060" stopIfTrue="1" operator="equal">
      <formula>"Fail"</formula>
    </cfRule>
  </conditionalFormatting>
  <conditionalFormatting sqref="H970:H971">
    <cfRule type="cellIs" dxfId="15219" priority="15057" stopIfTrue="1" operator="equal">
      <formula>"Pass"</formula>
    </cfRule>
    <cfRule type="cellIs" dxfId="15218" priority="15058" stopIfTrue="1" operator="equal">
      <formula>"Fail"</formula>
    </cfRule>
  </conditionalFormatting>
  <conditionalFormatting sqref="E970:F970 E972:F972 A970 I970:M971">
    <cfRule type="cellIs" dxfId="15217" priority="15055" stopIfTrue="1" operator="equal">
      <formula>"Pass"</formula>
    </cfRule>
    <cfRule type="cellIs" dxfId="15216" priority="15056" stopIfTrue="1" operator="equal">
      <formula>"Fail"</formula>
    </cfRule>
  </conditionalFormatting>
  <conditionalFormatting sqref="T972 T970 R970:R972 S971:S972">
    <cfRule type="cellIs" dxfId="15215" priority="15053" stopIfTrue="1" operator="equal">
      <formula>"Fail"</formula>
    </cfRule>
    <cfRule type="cellIs" dxfId="15214" priority="15054" stopIfTrue="1" operator="equal">
      <formula>"Pass"</formula>
    </cfRule>
  </conditionalFormatting>
  <conditionalFormatting sqref="F970:G970 F972:G972 B970:B972 A970 J970:N971">
    <cfRule type="cellIs" dxfId="15213" priority="15051" stopIfTrue="1" operator="equal">
      <formula>"Pass"</formula>
    </cfRule>
    <cfRule type="cellIs" dxfId="15212" priority="15052" stopIfTrue="1" operator="equal">
      <formula>"Fail"</formula>
    </cfRule>
  </conditionalFormatting>
  <conditionalFormatting sqref="U972:V972 T970:T972 S971:S972">
    <cfRule type="cellIs" dxfId="15211" priority="15049" stopIfTrue="1" operator="equal">
      <formula>"Fail"</formula>
    </cfRule>
    <cfRule type="cellIs" dxfId="15210" priority="15050" stopIfTrue="1" operator="equal">
      <formula>"Pass"</formula>
    </cfRule>
  </conditionalFormatting>
  <conditionalFormatting sqref="A970">
    <cfRule type="cellIs" dxfId="15209" priority="15047" stopIfTrue="1" operator="equal">
      <formula>"Pass"</formula>
    </cfRule>
    <cfRule type="cellIs" dxfId="15208" priority="15048" stopIfTrue="1" operator="equal">
      <formula>"Fail"</formula>
    </cfRule>
  </conditionalFormatting>
  <conditionalFormatting sqref="A970">
    <cfRule type="cellIs" dxfId="15207" priority="15045" stopIfTrue="1" operator="equal">
      <formula>"Pass"</formula>
    </cfRule>
    <cfRule type="cellIs" dxfId="15206" priority="15046" stopIfTrue="1" operator="equal">
      <formula>"Fail"</formula>
    </cfRule>
  </conditionalFormatting>
  <conditionalFormatting sqref="A970">
    <cfRule type="cellIs" dxfId="15205" priority="15043" stopIfTrue="1" operator="equal">
      <formula>"Pass"</formula>
    </cfRule>
    <cfRule type="cellIs" dxfId="15204" priority="15044" stopIfTrue="1" operator="equal">
      <formula>"Fail"</formula>
    </cfRule>
  </conditionalFormatting>
  <conditionalFormatting sqref="A970">
    <cfRule type="cellIs" dxfId="15203" priority="15041" stopIfTrue="1" operator="equal">
      <formula>"Pass"</formula>
    </cfRule>
    <cfRule type="cellIs" dxfId="15202" priority="15042" stopIfTrue="1" operator="equal">
      <formula>"Fail"</formula>
    </cfRule>
  </conditionalFormatting>
  <conditionalFormatting sqref="A970">
    <cfRule type="cellIs" dxfId="15201" priority="15039" stopIfTrue="1" operator="equal">
      <formula>"Pass"</formula>
    </cfRule>
    <cfRule type="cellIs" dxfId="15200" priority="15040" stopIfTrue="1" operator="equal">
      <formula>"Fail"</formula>
    </cfRule>
  </conditionalFormatting>
  <conditionalFormatting sqref="A970">
    <cfRule type="cellIs" dxfId="15199" priority="15037" stopIfTrue="1" operator="equal">
      <formula>"Pass"</formula>
    </cfRule>
    <cfRule type="cellIs" dxfId="15198" priority="15038" stopIfTrue="1" operator="equal">
      <formula>"Fail"</formula>
    </cfRule>
  </conditionalFormatting>
  <conditionalFormatting sqref="A970">
    <cfRule type="cellIs" dxfId="15197" priority="15035" stopIfTrue="1" operator="equal">
      <formula>"Pass"</formula>
    </cfRule>
    <cfRule type="cellIs" dxfId="15196" priority="15036" stopIfTrue="1" operator="equal">
      <formula>"Fail"</formula>
    </cfRule>
  </conditionalFormatting>
  <conditionalFormatting sqref="A970">
    <cfRule type="cellIs" dxfId="15195" priority="15033" stopIfTrue="1" operator="equal">
      <formula>"Pass"</formula>
    </cfRule>
    <cfRule type="cellIs" dxfId="15194" priority="15034" stopIfTrue="1" operator="equal">
      <formula>"Fail"</formula>
    </cfRule>
  </conditionalFormatting>
  <conditionalFormatting sqref="A970">
    <cfRule type="cellIs" dxfId="15193" priority="15031" stopIfTrue="1" operator="equal">
      <formula>"Pass"</formula>
    </cfRule>
    <cfRule type="cellIs" dxfId="15192" priority="15032" stopIfTrue="1" operator="equal">
      <formula>"Fail"</formula>
    </cfRule>
  </conditionalFormatting>
  <conditionalFormatting sqref="A970">
    <cfRule type="cellIs" dxfId="15191" priority="15029" stopIfTrue="1" operator="equal">
      <formula>"Pass"</formula>
    </cfRule>
    <cfRule type="cellIs" dxfId="15190" priority="15030" stopIfTrue="1" operator="equal">
      <formula>"Fail"</formula>
    </cfRule>
  </conditionalFormatting>
  <conditionalFormatting sqref="U970:V970">
    <cfRule type="cellIs" dxfId="15189" priority="15027" stopIfTrue="1" operator="equal">
      <formula>"Fail"</formula>
    </cfRule>
    <cfRule type="cellIs" dxfId="15188" priority="15028" stopIfTrue="1" operator="equal">
      <formula>"Pass"</formula>
    </cfRule>
  </conditionalFormatting>
  <conditionalFormatting sqref="F970:G970 J970:N970">
    <cfRule type="cellIs" dxfId="15187" priority="15025" stopIfTrue="1" operator="equal">
      <formula>"Pass"</formula>
    </cfRule>
    <cfRule type="cellIs" dxfId="15186" priority="15026" stopIfTrue="1" operator="equal">
      <formula>"Fail"</formula>
    </cfRule>
  </conditionalFormatting>
  <conditionalFormatting sqref="J971:N971">
    <cfRule type="cellIs" dxfId="15185" priority="15023" stopIfTrue="1" operator="equal">
      <formula>"Pass"</formula>
    </cfRule>
    <cfRule type="cellIs" dxfId="15184" priority="15024" stopIfTrue="1" operator="equal">
      <formula>"Fail"</formula>
    </cfRule>
  </conditionalFormatting>
  <conditionalFormatting sqref="A970">
    <cfRule type="cellIs" dxfId="15183" priority="15021" stopIfTrue="1" operator="equal">
      <formula>"Pass"</formula>
    </cfRule>
    <cfRule type="cellIs" dxfId="15182" priority="15022" stopIfTrue="1" operator="equal">
      <formula>"Fail"</formula>
    </cfRule>
  </conditionalFormatting>
  <conditionalFormatting sqref="A970">
    <cfRule type="cellIs" dxfId="15181" priority="15019" stopIfTrue="1" operator="equal">
      <formula>"Pass"</formula>
    </cfRule>
    <cfRule type="cellIs" dxfId="15180" priority="15020" stopIfTrue="1" operator="equal">
      <formula>"Fail"</formula>
    </cfRule>
  </conditionalFormatting>
  <conditionalFormatting sqref="A970">
    <cfRule type="cellIs" dxfId="15179" priority="15017" stopIfTrue="1" operator="equal">
      <formula>"Pass"</formula>
    </cfRule>
    <cfRule type="cellIs" dxfId="15178" priority="15018" stopIfTrue="1" operator="equal">
      <formula>"Fail"</formula>
    </cfRule>
  </conditionalFormatting>
  <conditionalFormatting sqref="A970">
    <cfRule type="cellIs" dxfId="15177" priority="15015" stopIfTrue="1" operator="equal">
      <formula>"Pass"</formula>
    </cfRule>
    <cfRule type="cellIs" dxfId="15176" priority="15016" stopIfTrue="1" operator="equal">
      <formula>"Fail"</formula>
    </cfRule>
  </conditionalFormatting>
  <conditionalFormatting sqref="A970">
    <cfRule type="cellIs" dxfId="15175" priority="15013" stopIfTrue="1" operator="equal">
      <formula>"Pass"</formula>
    </cfRule>
    <cfRule type="cellIs" dxfId="15174" priority="15014" stopIfTrue="1" operator="equal">
      <formula>"Fail"</formula>
    </cfRule>
  </conditionalFormatting>
  <conditionalFormatting sqref="A970">
    <cfRule type="cellIs" dxfId="15173" priority="15011" stopIfTrue="1" operator="equal">
      <formula>"Pass"</formula>
    </cfRule>
    <cfRule type="cellIs" dxfId="15172" priority="15012" stopIfTrue="1" operator="equal">
      <formula>"Fail"</formula>
    </cfRule>
  </conditionalFormatting>
  <conditionalFormatting sqref="A970">
    <cfRule type="cellIs" dxfId="15171" priority="15009" stopIfTrue="1" operator="equal">
      <formula>"Pass"</formula>
    </cfRule>
    <cfRule type="cellIs" dxfId="15170" priority="15010" stopIfTrue="1" operator="equal">
      <formula>"Fail"</formula>
    </cfRule>
  </conditionalFormatting>
  <conditionalFormatting sqref="A970">
    <cfRule type="cellIs" dxfId="15169" priority="15007" stopIfTrue="1" operator="equal">
      <formula>"Pass"</formula>
    </cfRule>
    <cfRule type="cellIs" dxfId="15168" priority="15008" stopIfTrue="1" operator="equal">
      <formula>"Fail"</formula>
    </cfRule>
  </conditionalFormatting>
  <conditionalFormatting sqref="A970">
    <cfRule type="cellIs" dxfId="15167" priority="15005" stopIfTrue="1" operator="equal">
      <formula>"Pass"</formula>
    </cfRule>
    <cfRule type="cellIs" dxfId="15166" priority="15006" stopIfTrue="1" operator="equal">
      <formula>"Fail"</formula>
    </cfRule>
  </conditionalFormatting>
  <conditionalFormatting sqref="A970">
    <cfRule type="cellIs" dxfId="15165" priority="15003" stopIfTrue="1" operator="equal">
      <formula>"Pass"</formula>
    </cfRule>
    <cfRule type="cellIs" dxfId="15164" priority="15004" stopIfTrue="1" operator="equal">
      <formula>"Fail"</formula>
    </cfRule>
  </conditionalFormatting>
  <conditionalFormatting sqref="A970">
    <cfRule type="cellIs" dxfId="15163" priority="15001" stopIfTrue="1" operator="equal">
      <formula>"Pass"</formula>
    </cfRule>
    <cfRule type="cellIs" dxfId="15162" priority="15002" stopIfTrue="1" operator="equal">
      <formula>"Fail"</formula>
    </cfRule>
  </conditionalFormatting>
  <conditionalFormatting sqref="A970">
    <cfRule type="cellIs" dxfId="15161" priority="14999" stopIfTrue="1" operator="equal">
      <formula>"Pass"</formula>
    </cfRule>
    <cfRule type="cellIs" dxfId="15160" priority="15000" stopIfTrue="1" operator="equal">
      <formula>"Fail"</formula>
    </cfRule>
  </conditionalFormatting>
  <conditionalFormatting sqref="H970:H971">
    <cfRule type="cellIs" dxfId="15159" priority="14997" stopIfTrue="1" operator="equal">
      <formula>"Pass"</formula>
    </cfRule>
    <cfRule type="cellIs" dxfId="15158" priority="14998" stopIfTrue="1" operator="equal">
      <formula>"Fail"</formula>
    </cfRule>
  </conditionalFormatting>
  <conditionalFormatting sqref="F970 F972 I970:M971">
    <cfRule type="cellIs" dxfId="15157" priority="14995" stopIfTrue="1" operator="equal">
      <formula>"Pass"</formula>
    </cfRule>
    <cfRule type="cellIs" dxfId="15156" priority="14996" stopIfTrue="1" operator="equal">
      <formula>"Fail"</formula>
    </cfRule>
  </conditionalFormatting>
  <conditionalFormatting sqref="T972 T970 R970:R972 S971:S972">
    <cfRule type="cellIs" dxfId="15155" priority="14993" stopIfTrue="1" operator="equal">
      <formula>"Fail"</formula>
    </cfRule>
    <cfRule type="cellIs" dxfId="15154" priority="14994" stopIfTrue="1" operator="equal">
      <formula>"Pass"</formula>
    </cfRule>
  </conditionalFormatting>
  <conditionalFormatting sqref="F970:G970 F972:G972 J970:N971">
    <cfRule type="cellIs" dxfId="15153" priority="14991" stopIfTrue="1" operator="equal">
      <formula>"Pass"</formula>
    </cfRule>
    <cfRule type="cellIs" dxfId="15152" priority="14992" stopIfTrue="1" operator="equal">
      <formula>"Fail"</formula>
    </cfRule>
  </conditionalFormatting>
  <conditionalFormatting sqref="U972:V972 T970:T972 S971:S972">
    <cfRule type="cellIs" dxfId="15151" priority="14989" stopIfTrue="1" operator="equal">
      <formula>"Fail"</formula>
    </cfRule>
    <cfRule type="cellIs" dxfId="15150" priority="14990" stopIfTrue="1" operator="equal">
      <formula>"Pass"</formula>
    </cfRule>
  </conditionalFormatting>
  <conditionalFormatting sqref="U970:V970">
    <cfRule type="cellIs" dxfId="15149" priority="14987" stopIfTrue="1" operator="equal">
      <formula>"Fail"</formula>
    </cfRule>
    <cfRule type="cellIs" dxfId="15148" priority="14988" stopIfTrue="1" operator="equal">
      <formula>"Pass"</formula>
    </cfRule>
  </conditionalFormatting>
  <conditionalFormatting sqref="F970:G970 J970:N970">
    <cfRule type="cellIs" dxfId="15147" priority="14985" stopIfTrue="1" operator="equal">
      <formula>"Pass"</formula>
    </cfRule>
    <cfRule type="cellIs" dxfId="15146" priority="14986" stopIfTrue="1" operator="equal">
      <formula>"Fail"</formula>
    </cfRule>
  </conditionalFormatting>
  <conditionalFormatting sqref="J971:N971">
    <cfRule type="cellIs" dxfId="15145" priority="14983" stopIfTrue="1" operator="equal">
      <formula>"Pass"</formula>
    </cfRule>
    <cfRule type="cellIs" dxfId="15144" priority="14984" stopIfTrue="1" operator="equal">
      <formula>"Fail"</formula>
    </cfRule>
  </conditionalFormatting>
  <conditionalFormatting sqref="H970:H971">
    <cfRule type="cellIs" dxfId="15143" priority="14981" stopIfTrue="1" operator="equal">
      <formula>"Pass"</formula>
    </cfRule>
    <cfRule type="cellIs" dxfId="15142" priority="14982" stopIfTrue="1" operator="equal">
      <formula>"Fail"</formula>
    </cfRule>
  </conditionalFormatting>
  <conditionalFormatting sqref="F970 F972 I970:M971">
    <cfRule type="cellIs" dxfId="15141" priority="14979" stopIfTrue="1" operator="equal">
      <formula>"Pass"</formula>
    </cfRule>
    <cfRule type="cellIs" dxfId="15140" priority="14980" stopIfTrue="1" operator="equal">
      <formula>"Fail"</formula>
    </cfRule>
  </conditionalFormatting>
  <conditionalFormatting sqref="T972 T970 R970:R972 S971:S972">
    <cfRule type="cellIs" dxfId="15139" priority="14977" stopIfTrue="1" operator="equal">
      <formula>"Fail"</formula>
    </cfRule>
    <cfRule type="cellIs" dxfId="15138" priority="14978" stopIfTrue="1" operator="equal">
      <formula>"Pass"</formula>
    </cfRule>
  </conditionalFormatting>
  <conditionalFormatting sqref="F970:G970 F972:G972 J970:N971">
    <cfRule type="cellIs" dxfId="15137" priority="14975" stopIfTrue="1" operator="equal">
      <formula>"Pass"</formula>
    </cfRule>
    <cfRule type="cellIs" dxfId="15136" priority="14976" stopIfTrue="1" operator="equal">
      <formula>"Fail"</formula>
    </cfRule>
  </conditionalFormatting>
  <conditionalFormatting sqref="U972:V972 T970:T972 S971:S972">
    <cfRule type="cellIs" dxfId="15135" priority="14973" stopIfTrue="1" operator="equal">
      <formula>"Fail"</formula>
    </cfRule>
    <cfRule type="cellIs" dxfId="15134" priority="14974" stopIfTrue="1" operator="equal">
      <formula>"Pass"</formula>
    </cfRule>
  </conditionalFormatting>
  <conditionalFormatting sqref="U970:V970">
    <cfRule type="cellIs" dxfId="15133" priority="14971" stopIfTrue="1" operator="equal">
      <formula>"Fail"</formula>
    </cfRule>
    <cfRule type="cellIs" dxfId="15132" priority="14972" stopIfTrue="1" operator="equal">
      <formula>"Pass"</formula>
    </cfRule>
  </conditionalFormatting>
  <conditionalFormatting sqref="F970:G970 J970:N970">
    <cfRule type="cellIs" dxfId="15131" priority="14969" stopIfTrue="1" operator="equal">
      <formula>"Pass"</formula>
    </cfRule>
    <cfRule type="cellIs" dxfId="15130" priority="14970" stopIfTrue="1" operator="equal">
      <formula>"Fail"</formula>
    </cfRule>
  </conditionalFormatting>
  <conditionalFormatting sqref="J971:N971">
    <cfRule type="cellIs" dxfId="15129" priority="14967" stopIfTrue="1" operator="equal">
      <formula>"Pass"</formula>
    </cfRule>
    <cfRule type="cellIs" dxfId="15128" priority="14968" stopIfTrue="1" operator="equal">
      <formula>"Fail"</formula>
    </cfRule>
  </conditionalFormatting>
  <conditionalFormatting sqref="U970:V970">
    <cfRule type="cellIs" dxfId="15127" priority="14965" stopIfTrue="1" operator="equal">
      <formula>"Fail"</formula>
    </cfRule>
    <cfRule type="cellIs" dxfId="15126" priority="14966" stopIfTrue="1" operator="equal">
      <formula>"Pass"</formula>
    </cfRule>
  </conditionalFormatting>
  <conditionalFormatting sqref="U970:V970">
    <cfRule type="cellIs" dxfId="15125" priority="14963" stopIfTrue="1" operator="equal">
      <formula>"Fail"</formula>
    </cfRule>
    <cfRule type="cellIs" dxfId="15124" priority="14964" stopIfTrue="1" operator="equal">
      <formula>"Pass"</formula>
    </cfRule>
  </conditionalFormatting>
  <conditionalFormatting sqref="U970:V970">
    <cfRule type="cellIs" dxfId="15123" priority="14961" stopIfTrue="1" operator="equal">
      <formula>"Fail"</formula>
    </cfRule>
    <cfRule type="cellIs" dxfId="15122" priority="14962" stopIfTrue="1" operator="equal">
      <formula>"Pass"</formula>
    </cfRule>
  </conditionalFormatting>
  <conditionalFormatting sqref="N970">
    <cfRule type="cellIs" dxfId="15121" priority="14959" stopIfTrue="1" operator="equal">
      <formula>"Pass"</formula>
    </cfRule>
    <cfRule type="cellIs" dxfId="15120" priority="14960" stopIfTrue="1" operator="equal">
      <formula>"Fail"</formula>
    </cfRule>
  </conditionalFormatting>
  <conditionalFormatting sqref="N970">
    <cfRule type="cellIs" dxfId="15119" priority="14957" stopIfTrue="1" operator="equal">
      <formula>"Pass"</formula>
    </cfRule>
    <cfRule type="cellIs" dxfId="15118" priority="14958" stopIfTrue="1" operator="equal">
      <formula>"Fail"</formula>
    </cfRule>
  </conditionalFormatting>
  <conditionalFormatting sqref="N970">
    <cfRule type="cellIs" dxfId="15117" priority="14955" stopIfTrue="1" operator="equal">
      <formula>"Pass"</formula>
    </cfRule>
    <cfRule type="cellIs" dxfId="15116" priority="14956" stopIfTrue="1" operator="equal">
      <formula>"Fail"</formula>
    </cfRule>
  </conditionalFormatting>
  <conditionalFormatting sqref="A967">
    <cfRule type="cellIs" dxfId="15115" priority="14953" stopIfTrue="1" operator="equal">
      <formula>"Pass"</formula>
    </cfRule>
    <cfRule type="cellIs" dxfId="15114" priority="14954" stopIfTrue="1" operator="equal">
      <formula>"Fail"</formula>
    </cfRule>
  </conditionalFormatting>
  <conditionalFormatting sqref="A967">
    <cfRule type="cellIs" dxfId="15113" priority="14951" stopIfTrue="1" operator="equal">
      <formula>"Pass"</formula>
    </cfRule>
    <cfRule type="cellIs" dxfId="15112" priority="14952" stopIfTrue="1" operator="equal">
      <formula>"Fail"</formula>
    </cfRule>
  </conditionalFormatting>
  <conditionalFormatting sqref="A967">
    <cfRule type="cellIs" dxfId="15111" priority="14949" stopIfTrue="1" operator="equal">
      <formula>"Pass"</formula>
    </cfRule>
    <cfRule type="cellIs" dxfId="15110" priority="14950" stopIfTrue="1" operator="equal">
      <formula>"Fail"</formula>
    </cfRule>
  </conditionalFormatting>
  <conditionalFormatting sqref="A967">
    <cfRule type="cellIs" dxfId="15109" priority="14947" stopIfTrue="1" operator="equal">
      <formula>"Pass"</formula>
    </cfRule>
    <cfRule type="cellIs" dxfId="15108" priority="14948" stopIfTrue="1" operator="equal">
      <formula>"Fail"</formula>
    </cfRule>
  </conditionalFormatting>
  <conditionalFormatting sqref="A967">
    <cfRule type="cellIs" dxfId="15107" priority="14945" stopIfTrue="1" operator="equal">
      <formula>"Pass"</formula>
    </cfRule>
    <cfRule type="cellIs" dxfId="15106" priority="14946" stopIfTrue="1" operator="equal">
      <formula>"Fail"</formula>
    </cfRule>
  </conditionalFormatting>
  <conditionalFormatting sqref="A967">
    <cfRule type="cellIs" dxfId="15105" priority="14943" stopIfTrue="1" operator="equal">
      <formula>"Pass"</formula>
    </cfRule>
    <cfRule type="cellIs" dxfId="15104" priority="14944" stopIfTrue="1" operator="equal">
      <formula>"Fail"</formula>
    </cfRule>
  </conditionalFormatting>
  <conditionalFormatting sqref="A967">
    <cfRule type="cellIs" dxfId="15103" priority="14941" stopIfTrue="1" operator="equal">
      <formula>"Pass"</formula>
    </cfRule>
    <cfRule type="cellIs" dxfId="15102" priority="14942" stopIfTrue="1" operator="equal">
      <formula>"Fail"</formula>
    </cfRule>
  </conditionalFormatting>
  <conditionalFormatting sqref="A967">
    <cfRule type="cellIs" dxfId="15101" priority="14939" stopIfTrue="1" operator="equal">
      <formula>"Pass"</formula>
    </cfRule>
    <cfRule type="cellIs" dxfId="15100" priority="14940" stopIfTrue="1" operator="equal">
      <formula>"Fail"</formula>
    </cfRule>
  </conditionalFormatting>
  <conditionalFormatting sqref="A967">
    <cfRule type="cellIs" dxfId="15099" priority="14937" stopIfTrue="1" operator="equal">
      <formula>"Pass"</formula>
    </cfRule>
    <cfRule type="cellIs" dxfId="15098" priority="14938" stopIfTrue="1" operator="equal">
      <formula>"Fail"</formula>
    </cfRule>
  </conditionalFormatting>
  <conditionalFormatting sqref="A967">
    <cfRule type="cellIs" dxfId="15097" priority="14935" stopIfTrue="1" operator="equal">
      <formula>"Pass"</formula>
    </cfRule>
    <cfRule type="cellIs" dxfId="15096" priority="14936" stopIfTrue="1" operator="equal">
      <formula>"Fail"</formula>
    </cfRule>
  </conditionalFormatting>
  <conditionalFormatting sqref="A967">
    <cfRule type="cellIs" dxfId="15095" priority="14933" stopIfTrue="1" operator="equal">
      <formula>"Pass"</formula>
    </cfRule>
    <cfRule type="cellIs" dxfId="15094" priority="14934" stopIfTrue="1" operator="equal">
      <formula>"Fail"</formula>
    </cfRule>
  </conditionalFormatting>
  <conditionalFormatting sqref="A967">
    <cfRule type="cellIs" dxfId="15093" priority="14931" stopIfTrue="1" operator="equal">
      <formula>"Pass"</formula>
    </cfRule>
    <cfRule type="cellIs" dxfId="15092" priority="14932" stopIfTrue="1" operator="equal">
      <formula>"Fail"</formula>
    </cfRule>
  </conditionalFormatting>
  <conditionalFormatting sqref="A967">
    <cfRule type="cellIs" dxfId="15091" priority="14929" stopIfTrue="1" operator="equal">
      <formula>"Pass"</formula>
    </cfRule>
    <cfRule type="cellIs" dxfId="15090" priority="14930" stopIfTrue="1" operator="equal">
      <formula>"Fail"</formula>
    </cfRule>
  </conditionalFormatting>
  <conditionalFormatting sqref="A967">
    <cfRule type="cellIs" dxfId="15089" priority="14927" stopIfTrue="1" operator="equal">
      <formula>"Pass"</formula>
    </cfRule>
    <cfRule type="cellIs" dxfId="15088" priority="14928" stopIfTrue="1" operator="equal">
      <formula>"Fail"</formula>
    </cfRule>
  </conditionalFormatting>
  <conditionalFormatting sqref="A967">
    <cfRule type="cellIs" dxfId="15087" priority="14925" stopIfTrue="1" operator="equal">
      <formula>"Pass"</formula>
    </cfRule>
    <cfRule type="cellIs" dxfId="15086" priority="14926" stopIfTrue="1" operator="equal">
      <formula>"Fail"</formula>
    </cfRule>
  </conditionalFormatting>
  <conditionalFormatting sqref="A967">
    <cfRule type="cellIs" dxfId="15085" priority="14923" stopIfTrue="1" operator="equal">
      <formula>"Pass"</formula>
    </cfRule>
    <cfRule type="cellIs" dxfId="15084" priority="14924" stopIfTrue="1" operator="equal">
      <formula>"Fail"</formula>
    </cfRule>
  </conditionalFormatting>
  <conditionalFormatting sqref="A967">
    <cfRule type="cellIs" dxfId="15083" priority="14921" stopIfTrue="1" operator="equal">
      <formula>"Pass"</formula>
    </cfRule>
    <cfRule type="cellIs" dxfId="15082" priority="14922" stopIfTrue="1" operator="equal">
      <formula>"Fail"</formula>
    </cfRule>
  </conditionalFormatting>
  <conditionalFormatting sqref="A967">
    <cfRule type="cellIs" dxfId="15081" priority="14919" stopIfTrue="1" operator="equal">
      <formula>"Pass"</formula>
    </cfRule>
    <cfRule type="cellIs" dxfId="15080" priority="14920" stopIfTrue="1" operator="equal">
      <formula>"Fail"</formula>
    </cfRule>
  </conditionalFormatting>
  <conditionalFormatting sqref="A970">
    <cfRule type="cellIs" dxfId="15079" priority="14917" stopIfTrue="1" operator="equal">
      <formula>"Pass"</formula>
    </cfRule>
    <cfRule type="cellIs" dxfId="15078" priority="14918" stopIfTrue="1" operator="equal">
      <formula>"Fail"</formula>
    </cfRule>
  </conditionalFormatting>
  <conditionalFormatting sqref="A970">
    <cfRule type="cellIs" dxfId="15077" priority="14915" stopIfTrue="1" operator="equal">
      <formula>"Pass"</formula>
    </cfRule>
    <cfRule type="cellIs" dxfId="15076" priority="14916" stopIfTrue="1" operator="equal">
      <formula>"Fail"</formula>
    </cfRule>
  </conditionalFormatting>
  <conditionalFormatting sqref="A970">
    <cfRule type="cellIs" dxfId="15075" priority="14913" stopIfTrue="1" operator="equal">
      <formula>"Pass"</formula>
    </cfRule>
    <cfRule type="cellIs" dxfId="15074" priority="14914" stopIfTrue="1" operator="equal">
      <formula>"Fail"</formula>
    </cfRule>
  </conditionalFormatting>
  <conditionalFormatting sqref="A970">
    <cfRule type="cellIs" dxfId="15073" priority="14911" stopIfTrue="1" operator="equal">
      <formula>"Pass"</formula>
    </cfRule>
    <cfRule type="cellIs" dxfId="15072" priority="14912" stopIfTrue="1" operator="equal">
      <formula>"Fail"</formula>
    </cfRule>
  </conditionalFormatting>
  <conditionalFormatting sqref="A970">
    <cfRule type="cellIs" dxfId="15071" priority="14909" stopIfTrue="1" operator="equal">
      <formula>"Pass"</formula>
    </cfRule>
    <cfRule type="cellIs" dxfId="15070" priority="14910" stopIfTrue="1" operator="equal">
      <formula>"Fail"</formula>
    </cfRule>
  </conditionalFormatting>
  <conditionalFormatting sqref="A970">
    <cfRule type="cellIs" dxfId="15069" priority="14907" stopIfTrue="1" operator="equal">
      <formula>"Pass"</formula>
    </cfRule>
    <cfRule type="cellIs" dxfId="15068" priority="14908" stopIfTrue="1" operator="equal">
      <formula>"Fail"</formula>
    </cfRule>
  </conditionalFormatting>
  <conditionalFormatting sqref="A970">
    <cfRule type="cellIs" dxfId="15067" priority="14905" stopIfTrue="1" operator="equal">
      <formula>"Pass"</formula>
    </cfRule>
    <cfRule type="cellIs" dxfId="15066" priority="14906" stopIfTrue="1" operator="equal">
      <formula>"Fail"</formula>
    </cfRule>
  </conditionalFormatting>
  <conditionalFormatting sqref="A970">
    <cfRule type="cellIs" dxfId="15065" priority="14903" stopIfTrue="1" operator="equal">
      <formula>"Pass"</formula>
    </cfRule>
    <cfRule type="cellIs" dxfId="15064" priority="14904" stopIfTrue="1" operator="equal">
      <formula>"Fail"</formula>
    </cfRule>
  </conditionalFormatting>
  <conditionalFormatting sqref="A970">
    <cfRule type="cellIs" dxfId="15063" priority="14901" stopIfTrue="1" operator="equal">
      <formula>"Pass"</formula>
    </cfRule>
    <cfRule type="cellIs" dxfId="15062" priority="14902" stopIfTrue="1" operator="equal">
      <formula>"Fail"</formula>
    </cfRule>
  </conditionalFormatting>
  <conditionalFormatting sqref="A970">
    <cfRule type="cellIs" dxfId="15061" priority="14899" stopIfTrue="1" operator="equal">
      <formula>"Pass"</formula>
    </cfRule>
    <cfRule type="cellIs" dxfId="15060" priority="14900" stopIfTrue="1" operator="equal">
      <formula>"Fail"</formula>
    </cfRule>
  </conditionalFormatting>
  <conditionalFormatting sqref="A970">
    <cfRule type="cellIs" dxfId="15059" priority="14897" stopIfTrue="1" operator="equal">
      <formula>"Pass"</formula>
    </cfRule>
    <cfRule type="cellIs" dxfId="15058" priority="14898" stopIfTrue="1" operator="equal">
      <formula>"Fail"</formula>
    </cfRule>
  </conditionalFormatting>
  <conditionalFormatting sqref="A970">
    <cfRule type="cellIs" dxfId="15057" priority="14895" stopIfTrue="1" operator="equal">
      <formula>"Pass"</formula>
    </cfRule>
    <cfRule type="cellIs" dxfId="15056" priority="14896" stopIfTrue="1" operator="equal">
      <formula>"Fail"</formula>
    </cfRule>
  </conditionalFormatting>
  <conditionalFormatting sqref="A970">
    <cfRule type="cellIs" dxfId="15055" priority="14893" stopIfTrue="1" operator="equal">
      <formula>"Pass"</formula>
    </cfRule>
    <cfRule type="cellIs" dxfId="15054" priority="14894" stopIfTrue="1" operator="equal">
      <formula>"Fail"</formula>
    </cfRule>
  </conditionalFormatting>
  <conditionalFormatting sqref="A970">
    <cfRule type="cellIs" dxfId="15053" priority="14891" stopIfTrue="1" operator="equal">
      <formula>"Pass"</formula>
    </cfRule>
    <cfRule type="cellIs" dxfId="15052" priority="14892" stopIfTrue="1" operator="equal">
      <formula>"Fail"</formula>
    </cfRule>
  </conditionalFormatting>
  <conditionalFormatting sqref="A970">
    <cfRule type="cellIs" dxfId="15051" priority="14889" stopIfTrue="1" operator="equal">
      <formula>"Pass"</formula>
    </cfRule>
    <cfRule type="cellIs" dxfId="15050" priority="14890" stopIfTrue="1" operator="equal">
      <formula>"Fail"</formula>
    </cfRule>
  </conditionalFormatting>
  <conditionalFormatting sqref="A970">
    <cfRule type="cellIs" dxfId="15049" priority="14887" stopIfTrue="1" operator="equal">
      <formula>"Pass"</formula>
    </cfRule>
    <cfRule type="cellIs" dxfId="15048" priority="14888" stopIfTrue="1" operator="equal">
      <formula>"Fail"</formula>
    </cfRule>
  </conditionalFormatting>
  <conditionalFormatting sqref="A970">
    <cfRule type="cellIs" dxfId="15047" priority="14885" stopIfTrue="1" operator="equal">
      <formula>"Pass"</formula>
    </cfRule>
    <cfRule type="cellIs" dxfId="15046" priority="14886" stopIfTrue="1" operator="equal">
      <formula>"Fail"</formula>
    </cfRule>
  </conditionalFormatting>
  <conditionalFormatting sqref="A970">
    <cfRule type="cellIs" dxfId="15045" priority="14883" stopIfTrue="1" operator="equal">
      <formula>"Pass"</formula>
    </cfRule>
    <cfRule type="cellIs" dxfId="15044" priority="14884" stopIfTrue="1" operator="equal">
      <formula>"Fail"</formula>
    </cfRule>
  </conditionalFormatting>
  <conditionalFormatting sqref="H970:H971">
    <cfRule type="cellIs" dxfId="15043" priority="14881" stopIfTrue="1" operator="equal">
      <formula>"Pass"</formula>
    </cfRule>
    <cfRule type="cellIs" dxfId="15042" priority="14882" stopIfTrue="1" operator="equal">
      <formula>"Fail"</formula>
    </cfRule>
  </conditionalFormatting>
  <conditionalFormatting sqref="F970 F972 I970:M971">
    <cfRule type="cellIs" dxfId="15041" priority="14879" stopIfTrue="1" operator="equal">
      <formula>"Pass"</formula>
    </cfRule>
    <cfRule type="cellIs" dxfId="15040" priority="14880" stopIfTrue="1" operator="equal">
      <formula>"Fail"</formula>
    </cfRule>
  </conditionalFormatting>
  <conditionalFormatting sqref="T972 T970 R970:R972 S971:S972">
    <cfRule type="cellIs" dxfId="15039" priority="14877" stopIfTrue="1" operator="equal">
      <formula>"Fail"</formula>
    </cfRule>
    <cfRule type="cellIs" dxfId="15038" priority="14878" stopIfTrue="1" operator="equal">
      <formula>"Pass"</formula>
    </cfRule>
  </conditionalFormatting>
  <conditionalFormatting sqref="F970:G970 F972:G972 J970:N971">
    <cfRule type="cellIs" dxfId="15037" priority="14875" stopIfTrue="1" operator="equal">
      <formula>"Pass"</formula>
    </cfRule>
    <cfRule type="cellIs" dxfId="15036" priority="14876" stopIfTrue="1" operator="equal">
      <formula>"Fail"</formula>
    </cfRule>
  </conditionalFormatting>
  <conditionalFormatting sqref="U972:V972 T970:T972 S971:S972">
    <cfRule type="cellIs" dxfId="15035" priority="14873" stopIfTrue="1" operator="equal">
      <formula>"Fail"</formula>
    </cfRule>
    <cfRule type="cellIs" dxfId="15034" priority="14874" stopIfTrue="1" operator="equal">
      <formula>"Pass"</formula>
    </cfRule>
  </conditionalFormatting>
  <conditionalFormatting sqref="U970:V970">
    <cfRule type="cellIs" dxfId="15033" priority="14871" stopIfTrue="1" operator="equal">
      <formula>"Fail"</formula>
    </cfRule>
    <cfRule type="cellIs" dxfId="15032" priority="14872" stopIfTrue="1" operator="equal">
      <formula>"Pass"</formula>
    </cfRule>
  </conditionalFormatting>
  <conditionalFormatting sqref="F970:G970 J970:N970">
    <cfRule type="cellIs" dxfId="15031" priority="14869" stopIfTrue="1" operator="equal">
      <formula>"Pass"</formula>
    </cfRule>
    <cfRule type="cellIs" dxfId="15030" priority="14870" stopIfTrue="1" operator="equal">
      <formula>"Fail"</formula>
    </cfRule>
  </conditionalFormatting>
  <conditionalFormatting sqref="J971:N971">
    <cfRule type="cellIs" dxfId="15029" priority="14867" stopIfTrue="1" operator="equal">
      <formula>"Pass"</formula>
    </cfRule>
    <cfRule type="cellIs" dxfId="15028" priority="14868" stopIfTrue="1" operator="equal">
      <formula>"Fail"</formula>
    </cfRule>
  </conditionalFormatting>
  <conditionalFormatting sqref="H970:H971">
    <cfRule type="cellIs" dxfId="15027" priority="14865" stopIfTrue="1" operator="equal">
      <formula>"Pass"</formula>
    </cfRule>
    <cfRule type="cellIs" dxfId="15026" priority="14866" stopIfTrue="1" operator="equal">
      <formula>"Fail"</formula>
    </cfRule>
  </conditionalFormatting>
  <conditionalFormatting sqref="F970 F972 I970:M971">
    <cfRule type="cellIs" dxfId="15025" priority="14863" stopIfTrue="1" operator="equal">
      <formula>"Pass"</formula>
    </cfRule>
    <cfRule type="cellIs" dxfId="15024" priority="14864" stopIfTrue="1" operator="equal">
      <formula>"Fail"</formula>
    </cfRule>
  </conditionalFormatting>
  <conditionalFormatting sqref="T972 T970 R970:R972 S971:S972">
    <cfRule type="cellIs" dxfId="15023" priority="14861" stopIfTrue="1" operator="equal">
      <formula>"Fail"</formula>
    </cfRule>
    <cfRule type="cellIs" dxfId="15022" priority="14862" stopIfTrue="1" operator="equal">
      <formula>"Pass"</formula>
    </cfRule>
  </conditionalFormatting>
  <conditionalFormatting sqref="F970:G970 F972:G972 J970:N971">
    <cfRule type="cellIs" dxfId="15021" priority="14859" stopIfTrue="1" operator="equal">
      <formula>"Pass"</formula>
    </cfRule>
    <cfRule type="cellIs" dxfId="15020" priority="14860" stopIfTrue="1" operator="equal">
      <formula>"Fail"</formula>
    </cfRule>
  </conditionalFormatting>
  <conditionalFormatting sqref="U972:V972 T970:T972 S971:S972">
    <cfRule type="cellIs" dxfId="15019" priority="14857" stopIfTrue="1" operator="equal">
      <formula>"Fail"</formula>
    </cfRule>
    <cfRule type="cellIs" dxfId="15018" priority="14858" stopIfTrue="1" operator="equal">
      <formula>"Pass"</formula>
    </cfRule>
  </conditionalFormatting>
  <conditionalFormatting sqref="U970:V970">
    <cfRule type="cellIs" dxfId="15017" priority="14855" stopIfTrue="1" operator="equal">
      <formula>"Fail"</formula>
    </cfRule>
    <cfRule type="cellIs" dxfId="15016" priority="14856" stopIfTrue="1" operator="equal">
      <formula>"Pass"</formula>
    </cfRule>
  </conditionalFormatting>
  <conditionalFormatting sqref="F970:G970 J970:N970">
    <cfRule type="cellIs" dxfId="15015" priority="14853" stopIfTrue="1" operator="equal">
      <formula>"Pass"</formula>
    </cfRule>
    <cfRule type="cellIs" dxfId="15014" priority="14854" stopIfTrue="1" operator="equal">
      <formula>"Fail"</formula>
    </cfRule>
  </conditionalFormatting>
  <conditionalFormatting sqref="J971:N971">
    <cfRule type="cellIs" dxfId="15013" priority="14851" stopIfTrue="1" operator="equal">
      <formula>"Pass"</formula>
    </cfRule>
    <cfRule type="cellIs" dxfId="15012" priority="14852" stopIfTrue="1" operator="equal">
      <formula>"Fail"</formula>
    </cfRule>
  </conditionalFormatting>
  <conditionalFormatting sqref="H970:H971">
    <cfRule type="cellIs" dxfId="15011" priority="14849" stopIfTrue="1" operator="equal">
      <formula>"Pass"</formula>
    </cfRule>
    <cfRule type="cellIs" dxfId="15010" priority="14850" stopIfTrue="1" operator="equal">
      <formula>"Fail"</formula>
    </cfRule>
  </conditionalFormatting>
  <conditionalFormatting sqref="F970 F972 I970:M971">
    <cfRule type="cellIs" dxfId="15009" priority="14847" stopIfTrue="1" operator="equal">
      <formula>"Pass"</formula>
    </cfRule>
    <cfRule type="cellIs" dxfId="15008" priority="14848" stopIfTrue="1" operator="equal">
      <formula>"Fail"</formula>
    </cfRule>
  </conditionalFormatting>
  <conditionalFormatting sqref="T972 T970 R970:R972 S971:S972">
    <cfRule type="cellIs" dxfId="15007" priority="14845" stopIfTrue="1" operator="equal">
      <formula>"Fail"</formula>
    </cfRule>
    <cfRule type="cellIs" dxfId="15006" priority="14846" stopIfTrue="1" operator="equal">
      <formula>"Pass"</formula>
    </cfRule>
  </conditionalFormatting>
  <conditionalFormatting sqref="F970:G970 F972:G972 J970:N971">
    <cfRule type="cellIs" dxfId="15005" priority="14843" stopIfTrue="1" operator="equal">
      <formula>"Pass"</formula>
    </cfRule>
    <cfRule type="cellIs" dxfId="15004" priority="14844" stopIfTrue="1" operator="equal">
      <formula>"Fail"</formula>
    </cfRule>
  </conditionalFormatting>
  <conditionalFormatting sqref="U972:V972 T970:T972 S971:S972">
    <cfRule type="cellIs" dxfId="15003" priority="14841" stopIfTrue="1" operator="equal">
      <formula>"Fail"</formula>
    </cfRule>
    <cfRule type="cellIs" dxfId="15002" priority="14842" stopIfTrue="1" operator="equal">
      <formula>"Pass"</formula>
    </cfRule>
  </conditionalFormatting>
  <conditionalFormatting sqref="U970:V970">
    <cfRule type="cellIs" dxfId="15001" priority="14839" stopIfTrue="1" operator="equal">
      <formula>"Fail"</formula>
    </cfRule>
    <cfRule type="cellIs" dxfId="15000" priority="14840" stopIfTrue="1" operator="equal">
      <formula>"Pass"</formula>
    </cfRule>
  </conditionalFormatting>
  <conditionalFormatting sqref="F970:G970 J970:N970">
    <cfRule type="cellIs" dxfId="14999" priority="14837" stopIfTrue="1" operator="equal">
      <formula>"Pass"</formula>
    </cfRule>
    <cfRule type="cellIs" dxfId="14998" priority="14838" stopIfTrue="1" operator="equal">
      <formula>"Fail"</formula>
    </cfRule>
  </conditionalFormatting>
  <conditionalFormatting sqref="J971:N971">
    <cfRule type="cellIs" dxfId="14997" priority="14835" stopIfTrue="1" operator="equal">
      <formula>"Pass"</formula>
    </cfRule>
    <cfRule type="cellIs" dxfId="14996" priority="14836" stopIfTrue="1" operator="equal">
      <formula>"Fail"</formula>
    </cfRule>
  </conditionalFormatting>
  <conditionalFormatting sqref="U970:V970">
    <cfRule type="cellIs" dxfId="14995" priority="14833" stopIfTrue="1" operator="equal">
      <formula>"Fail"</formula>
    </cfRule>
    <cfRule type="cellIs" dxfId="14994" priority="14834" stopIfTrue="1" operator="equal">
      <formula>"Pass"</formula>
    </cfRule>
  </conditionalFormatting>
  <conditionalFormatting sqref="U970:V970">
    <cfRule type="cellIs" dxfId="14993" priority="14831" stopIfTrue="1" operator="equal">
      <formula>"Fail"</formula>
    </cfRule>
    <cfRule type="cellIs" dxfId="14992" priority="14832" stopIfTrue="1" operator="equal">
      <formula>"Pass"</formula>
    </cfRule>
  </conditionalFormatting>
  <conditionalFormatting sqref="U970:V970">
    <cfRule type="cellIs" dxfId="14991" priority="14829" stopIfTrue="1" operator="equal">
      <formula>"Fail"</formula>
    </cfRule>
    <cfRule type="cellIs" dxfId="14990" priority="14830" stopIfTrue="1" operator="equal">
      <formula>"Pass"</formula>
    </cfRule>
  </conditionalFormatting>
  <conditionalFormatting sqref="N970">
    <cfRule type="cellIs" dxfId="14989" priority="14827" stopIfTrue="1" operator="equal">
      <formula>"Pass"</formula>
    </cfRule>
    <cfRule type="cellIs" dxfId="14988" priority="14828" stopIfTrue="1" operator="equal">
      <formula>"Fail"</formula>
    </cfRule>
  </conditionalFormatting>
  <conditionalFormatting sqref="N970">
    <cfRule type="cellIs" dxfId="14987" priority="14825" stopIfTrue="1" operator="equal">
      <formula>"Pass"</formula>
    </cfRule>
    <cfRule type="cellIs" dxfId="14986" priority="14826" stopIfTrue="1" operator="equal">
      <formula>"Fail"</formula>
    </cfRule>
  </conditionalFormatting>
  <conditionalFormatting sqref="N970">
    <cfRule type="cellIs" dxfId="14985" priority="14823" stopIfTrue="1" operator="equal">
      <formula>"Pass"</formula>
    </cfRule>
    <cfRule type="cellIs" dxfId="14984" priority="14824" stopIfTrue="1" operator="equal">
      <formula>"Fail"</formula>
    </cfRule>
  </conditionalFormatting>
  <conditionalFormatting sqref="U967:V967">
    <cfRule type="cellIs" dxfId="14983" priority="14821" stopIfTrue="1" operator="equal">
      <formula>"Fail"</formula>
    </cfRule>
    <cfRule type="cellIs" dxfId="14982" priority="14822" stopIfTrue="1" operator="equal">
      <formula>"Pass"</formula>
    </cfRule>
  </conditionalFormatting>
  <conditionalFormatting sqref="U967:V967">
    <cfRule type="cellIs" dxfId="14981" priority="14819" stopIfTrue="1" operator="equal">
      <formula>"Fail"</formula>
    </cfRule>
    <cfRule type="cellIs" dxfId="14980" priority="14820" stopIfTrue="1" operator="equal">
      <formula>"Pass"</formula>
    </cfRule>
  </conditionalFormatting>
  <conditionalFormatting sqref="U967:V967">
    <cfRule type="cellIs" dxfId="14979" priority="14817" stopIfTrue="1" operator="equal">
      <formula>"Fail"</formula>
    </cfRule>
    <cfRule type="cellIs" dxfId="14978" priority="14818" stopIfTrue="1" operator="equal">
      <formula>"Pass"</formula>
    </cfRule>
  </conditionalFormatting>
  <conditionalFormatting sqref="U967:V967">
    <cfRule type="cellIs" dxfId="14977" priority="14815" stopIfTrue="1" operator="equal">
      <formula>"Fail"</formula>
    </cfRule>
    <cfRule type="cellIs" dxfId="14976" priority="14816" stopIfTrue="1" operator="equal">
      <formula>"Pass"</formula>
    </cfRule>
  </conditionalFormatting>
  <conditionalFormatting sqref="U970:V970">
    <cfRule type="cellIs" dxfId="14975" priority="14813" stopIfTrue="1" operator="equal">
      <formula>"Fail"</formula>
    </cfRule>
    <cfRule type="cellIs" dxfId="14974" priority="14814" stopIfTrue="1" operator="equal">
      <formula>"Pass"</formula>
    </cfRule>
  </conditionalFormatting>
  <conditionalFormatting sqref="U970:V970">
    <cfRule type="cellIs" dxfId="14973" priority="14811" stopIfTrue="1" operator="equal">
      <formula>"Fail"</formula>
    </cfRule>
    <cfRule type="cellIs" dxfId="14972" priority="14812" stopIfTrue="1" operator="equal">
      <formula>"Pass"</formula>
    </cfRule>
  </conditionalFormatting>
  <conditionalFormatting sqref="U970:V970">
    <cfRule type="cellIs" dxfId="14971" priority="14809" stopIfTrue="1" operator="equal">
      <formula>"Fail"</formula>
    </cfRule>
    <cfRule type="cellIs" dxfId="14970" priority="14810" stopIfTrue="1" operator="equal">
      <formula>"Pass"</formula>
    </cfRule>
  </conditionalFormatting>
  <conditionalFormatting sqref="U970:V970">
    <cfRule type="cellIs" dxfId="14969" priority="14807" stopIfTrue="1" operator="equal">
      <formula>"Fail"</formula>
    </cfRule>
    <cfRule type="cellIs" dxfId="14968" priority="14808" stopIfTrue="1" operator="equal">
      <formula>"Pass"</formula>
    </cfRule>
  </conditionalFormatting>
  <conditionalFormatting sqref="T970">
    <cfRule type="cellIs" dxfId="14967" priority="14805" stopIfTrue="1" operator="equal">
      <formula>"Fail"</formula>
    </cfRule>
    <cfRule type="cellIs" dxfId="14966" priority="14806" stopIfTrue="1" operator="equal">
      <formula>"Pass"</formula>
    </cfRule>
  </conditionalFormatting>
  <conditionalFormatting sqref="T970">
    <cfRule type="cellIs" dxfId="14965" priority="14803" stopIfTrue="1" operator="equal">
      <formula>"Fail"</formula>
    </cfRule>
    <cfRule type="cellIs" dxfId="14964" priority="14804" stopIfTrue="1" operator="equal">
      <formula>"Pass"</formula>
    </cfRule>
  </conditionalFormatting>
  <conditionalFormatting sqref="T970">
    <cfRule type="cellIs" dxfId="14963" priority="14801" stopIfTrue="1" operator="equal">
      <formula>"Fail"</formula>
    </cfRule>
    <cfRule type="cellIs" dxfId="14962" priority="14802" stopIfTrue="1" operator="equal">
      <formula>"Pass"</formula>
    </cfRule>
  </conditionalFormatting>
  <conditionalFormatting sqref="T970">
    <cfRule type="cellIs" dxfId="14961" priority="14799" stopIfTrue="1" operator="equal">
      <formula>"Fail"</formula>
    </cfRule>
    <cfRule type="cellIs" dxfId="14960" priority="14800" stopIfTrue="1" operator="equal">
      <formula>"Pass"</formula>
    </cfRule>
  </conditionalFormatting>
  <conditionalFormatting sqref="T970">
    <cfRule type="cellIs" dxfId="14959" priority="14797" stopIfTrue="1" operator="equal">
      <formula>"Fail"</formula>
    </cfRule>
    <cfRule type="cellIs" dxfId="14958" priority="14798" stopIfTrue="1" operator="equal">
      <formula>"Pass"</formula>
    </cfRule>
  </conditionalFormatting>
  <conditionalFormatting sqref="T970">
    <cfRule type="cellIs" dxfId="14957" priority="14795" stopIfTrue="1" operator="equal">
      <formula>"Fail"</formula>
    </cfRule>
    <cfRule type="cellIs" dxfId="14956" priority="14796" stopIfTrue="1" operator="equal">
      <formula>"Pass"</formula>
    </cfRule>
  </conditionalFormatting>
  <conditionalFormatting sqref="T970">
    <cfRule type="cellIs" dxfId="14955" priority="14793" stopIfTrue="1" operator="equal">
      <formula>"Fail"</formula>
    </cfRule>
    <cfRule type="cellIs" dxfId="14954" priority="14794" stopIfTrue="1" operator="equal">
      <formula>"Pass"</formula>
    </cfRule>
  </conditionalFormatting>
  <conditionalFormatting sqref="T970">
    <cfRule type="cellIs" dxfId="14953" priority="14791" stopIfTrue="1" operator="equal">
      <formula>"Fail"</formula>
    </cfRule>
    <cfRule type="cellIs" dxfId="14952" priority="14792" stopIfTrue="1" operator="equal">
      <formula>"Pass"</formula>
    </cfRule>
  </conditionalFormatting>
  <conditionalFormatting sqref="T970">
    <cfRule type="cellIs" dxfId="14951" priority="14789" stopIfTrue="1" operator="equal">
      <formula>"Fail"</formula>
    </cfRule>
    <cfRule type="cellIs" dxfId="14950" priority="14790" stopIfTrue="1" operator="equal">
      <formula>"Pass"</formula>
    </cfRule>
  </conditionalFormatting>
  <conditionalFormatting sqref="T970">
    <cfRule type="cellIs" dxfId="14949" priority="14787" stopIfTrue="1" operator="equal">
      <formula>"Fail"</formula>
    </cfRule>
    <cfRule type="cellIs" dxfId="14948" priority="14788" stopIfTrue="1" operator="equal">
      <formula>"Pass"</formula>
    </cfRule>
  </conditionalFormatting>
  <conditionalFormatting sqref="T970">
    <cfRule type="cellIs" dxfId="14947" priority="14785" stopIfTrue="1" operator="equal">
      <formula>"Fail"</formula>
    </cfRule>
    <cfRule type="cellIs" dxfId="14946" priority="14786" stopIfTrue="1" operator="equal">
      <formula>"Pass"</formula>
    </cfRule>
  </conditionalFormatting>
  <conditionalFormatting sqref="T970">
    <cfRule type="cellIs" dxfId="14945" priority="14783" stopIfTrue="1" operator="equal">
      <formula>"Fail"</formula>
    </cfRule>
    <cfRule type="cellIs" dxfId="14944" priority="14784" stopIfTrue="1" operator="equal">
      <formula>"Pass"</formula>
    </cfRule>
  </conditionalFormatting>
  <conditionalFormatting sqref="T970">
    <cfRule type="cellIs" dxfId="14943" priority="14781" stopIfTrue="1" operator="equal">
      <formula>"Fail"</formula>
    </cfRule>
    <cfRule type="cellIs" dxfId="14942" priority="14782" stopIfTrue="1" operator="equal">
      <formula>"Pass"</formula>
    </cfRule>
  </conditionalFormatting>
  <conditionalFormatting sqref="T970">
    <cfRule type="cellIs" dxfId="14941" priority="14779" stopIfTrue="1" operator="equal">
      <formula>"Fail"</formula>
    </cfRule>
    <cfRule type="cellIs" dxfId="14940" priority="14780" stopIfTrue="1" operator="equal">
      <formula>"Pass"</formula>
    </cfRule>
  </conditionalFormatting>
  <conditionalFormatting sqref="T970">
    <cfRule type="cellIs" dxfId="14939" priority="14777" stopIfTrue="1" operator="equal">
      <formula>"Fail"</formula>
    </cfRule>
    <cfRule type="cellIs" dxfId="14938" priority="14778" stopIfTrue="1" operator="equal">
      <formula>"Pass"</formula>
    </cfRule>
  </conditionalFormatting>
  <conditionalFormatting sqref="T970">
    <cfRule type="cellIs" dxfId="14937" priority="14775" stopIfTrue="1" operator="equal">
      <formula>"Fail"</formula>
    </cfRule>
    <cfRule type="cellIs" dxfId="14936" priority="14776" stopIfTrue="1" operator="equal">
      <formula>"Pass"</formula>
    </cfRule>
  </conditionalFormatting>
  <conditionalFormatting sqref="T970">
    <cfRule type="cellIs" dxfId="14935" priority="14773" stopIfTrue="1" operator="equal">
      <formula>"Fail"</formula>
    </cfRule>
    <cfRule type="cellIs" dxfId="14934" priority="14774" stopIfTrue="1" operator="equal">
      <formula>"Pass"</formula>
    </cfRule>
  </conditionalFormatting>
  <conditionalFormatting sqref="T970">
    <cfRule type="cellIs" dxfId="14933" priority="14771" stopIfTrue="1" operator="equal">
      <formula>"Fail"</formula>
    </cfRule>
    <cfRule type="cellIs" dxfId="14932" priority="14772" stopIfTrue="1" operator="equal">
      <formula>"Pass"</formula>
    </cfRule>
  </conditionalFormatting>
  <conditionalFormatting sqref="T970">
    <cfRule type="cellIs" dxfId="14931" priority="14769" stopIfTrue="1" operator="equal">
      <formula>"Fail"</formula>
    </cfRule>
    <cfRule type="cellIs" dxfId="14930" priority="14770" stopIfTrue="1" operator="equal">
      <formula>"Pass"</formula>
    </cfRule>
  </conditionalFormatting>
  <conditionalFormatting sqref="T970">
    <cfRule type="cellIs" dxfId="14929" priority="14767" stopIfTrue="1" operator="equal">
      <formula>"Fail"</formula>
    </cfRule>
    <cfRule type="cellIs" dxfId="14928" priority="14768" stopIfTrue="1" operator="equal">
      <formula>"Pass"</formula>
    </cfRule>
  </conditionalFormatting>
  <conditionalFormatting sqref="T970">
    <cfRule type="cellIs" dxfId="14927" priority="14765" stopIfTrue="1" operator="equal">
      <formula>"Fail"</formula>
    </cfRule>
    <cfRule type="cellIs" dxfId="14926" priority="14766" stopIfTrue="1" operator="equal">
      <formula>"Pass"</formula>
    </cfRule>
  </conditionalFormatting>
  <conditionalFormatting sqref="T970">
    <cfRule type="cellIs" dxfId="14925" priority="14763" stopIfTrue="1" operator="equal">
      <formula>"Fail"</formula>
    </cfRule>
    <cfRule type="cellIs" dxfId="14924" priority="14764" stopIfTrue="1" operator="equal">
      <formula>"Pass"</formula>
    </cfRule>
  </conditionalFormatting>
  <conditionalFormatting sqref="T970">
    <cfRule type="cellIs" dxfId="14923" priority="14761" stopIfTrue="1" operator="equal">
      <formula>"Fail"</formula>
    </cfRule>
    <cfRule type="cellIs" dxfId="14922" priority="14762" stopIfTrue="1" operator="equal">
      <formula>"Pass"</formula>
    </cfRule>
  </conditionalFormatting>
  <conditionalFormatting sqref="T970">
    <cfRule type="cellIs" dxfId="14921" priority="14759" stopIfTrue="1" operator="equal">
      <formula>"Fail"</formula>
    </cfRule>
    <cfRule type="cellIs" dxfId="14920" priority="14760" stopIfTrue="1" operator="equal">
      <formula>"Pass"</formula>
    </cfRule>
  </conditionalFormatting>
  <conditionalFormatting sqref="H973:H974">
    <cfRule type="cellIs" dxfId="14919" priority="14757" stopIfTrue="1" operator="equal">
      <formula>"Pass"</formula>
    </cfRule>
    <cfRule type="cellIs" dxfId="14918" priority="14758" stopIfTrue="1" operator="equal">
      <formula>"Fail"</formula>
    </cfRule>
  </conditionalFormatting>
  <conditionalFormatting sqref="E973:F973 E975:F975 A973:A981 I973:M974">
    <cfRule type="cellIs" dxfId="14917" priority="14755" stopIfTrue="1" operator="equal">
      <formula>"Pass"</formula>
    </cfRule>
    <cfRule type="cellIs" dxfId="14916" priority="14756" stopIfTrue="1" operator="equal">
      <formula>"Fail"</formula>
    </cfRule>
  </conditionalFormatting>
  <conditionalFormatting sqref="T975 T973 R973:R975 S974:S975">
    <cfRule type="cellIs" dxfId="14915" priority="14753" stopIfTrue="1" operator="equal">
      <formula>"Fail"</formula>
    </cfRule>
    <cfRule type="cellIs" dxfId="14914" priority="14754" stopIfTrue="1" operator="equal">
      <formula>"Pass"</formula>
    </cfRule>
  </conditionalFormatting>
  <conditionalFormatting sqref="F973:G973 F975:G975 A973:B975 A976:A981 J973:N974">
    <cfRule type="cellIs" dxfId="14913" priority="14751" stopIfTrue="1" operator="equal">
      <formula>"Pass"</formula>
    </cfRule>
    <cfRule type="cellIs" dxfId="14912" priority="14752" stopIfTrue="1" operator="equal">
      <formula>"Fail"</formula>
    </cfRule>
  </conditionalFormatting>
  <conditionalFormatting sqref="U975:V975 U973:V973 T973:T975 S974:S975">
    <cfRule type="cellIs" dxfId="14911" priority="14749" stopIfTrue="1" operator="equal">
      <formula>"Fail"</formula>
    </cfRule>
    <cfRule type="cellIs" dxfId="14910" priority="14750" stopIfTrue="1" operator="equal">
      <formula>"Pass"</formula>
    </cfRule>
  </conditionalFormatting>
  <conditionalFormatting sqref="A973:A981">
    <cfRule type="cellIs" dxfId="14909" priority="14747" stopIfTrue="1" operator="equal">
      <formula>"Pass"</formula>
    </cfRule>
    <cfRule type="cellIs" dxfId="14908" priority="14748" stopIfTrue="1" operator="equal">
      <formula>"Fail"</formula>
    </cfRule>
  </conditionalFormatting>
  <conditionalFormatting sqref="A973:A981">
    <cfRule type="cellIs" dxfId="14907" priority="14745" stopIfTrue="1" operator="equal">
      <formula>"Pass"</formula>
    </cfRule>
    <cfRule type="cellIs" dxfId="14906" priority="14746" stopIfTrue="1" operator="equal">
      <formula>"Fail"</formula>
    </cfRule>
  </conditionalFormatting>
  <conditionalFormatting sqref="A973:A981">
    <cfRule type="cellIs" dxfId="14905" priority="14743" stopIfTrue="1" operator="equal">
      <formula>"Pass"</formula>
    </cfRule>
    <cfRule type="cellIs" dxfId="14904" priority="14744" stopIfTrue="1" operator="equal">
      <formula>"Fail"</formula>
    </cfRule>
  </conditionalFormatting>
  <conditionalFormatting sqref="J973:N974 E973:G975">
    <cfRule type="cellIs" dxfId="14903" priority="14741" stopIfTrue="1" operator="equal">
      <formula>"Pass"</formula>
    </cfRule>
    <cfRule type="cellIs" dxfId="14902" priority="14742" stopIfTrue="1" operator="equal">
      <formula>"Fail"</formula>
    </cfRule>
  </conditionalFormatting>
  <conditionalFormatting sqref="A975 C975 A978 A981 K973:O974 F973:H975">
    <cfRule type="cellIs" dxfId="14901" priority="14739" stopIfTrue="1" operator="equal">
      <formula>"Pass"</formula>
    </cfRule>
    <cfRule type="cellIs" dxfId="14900" priority="14740" stopIfTrue="1" operator="equal">
      <formula>"Fail"</formula>
    </cfRule>
  </conditionalFormatting>
  <conditionalFormatting sqref="T973">
    <cfRule type="cellIs" dxfId="14899" priority="14737" stopIfTrue="1" operator="equal">
      <formula>"Fail"</formula>
    </cfRule>
    <cfRule type="cellIs" dxfId="14898" priority="14738" stopIfTrue="1" operator="equal">
      <formula>"Pass"</formula>
    </cfRule>
  </conditionalFormatting>
  <conditionalFormatting sqref="A973:A981">
    <cfRule type="cellIs" dxfId="14897" priority="14735" stopIfTrue="1" operator="equal">
      <formula>"Pass"</formula>
    </cfRule>
    <cfRule type="cellIs" dxfId="14896" priority="14736" stopIfTrue="1" operator="equal">
      <formula>"Fail"</formula>
    </cfRule>
  </conditionalFormatting>
  <conditionalFormatting sqref="A973:A981">
    <cfRule type="cellIs" dxfId="14895" priority="14733" stopIfTrue="1" operator="equal">
      <formula>"Pass"</formula>
    </cfRule>
    <cfRule type="cellIs" dxfId="14894" priority="14734" stopIfTrue="1" operator="equal">
      <formula>"Fail"</formula>
    </cfRule>
  </conditionalFormatting>
  <conditionalFormatting sqref="A973:A981">
    <cfRule type="cellIs" dxfId="14893" priority="14731" stopIfTrue="1" operator="equal">
      <formula>"Pass"</formula>
    </cfRule>
    <cfRule type="cellIs" dxfId="14892" priority="14732" stopIfTrue="1" operator="equal">
      <formula>"Fail"</formula>
    </cfRule>
  </conditionalFormatting>
  <conditionalFormatting sqref="A973:A981">
    <cfRule type="cellIs" dxfId="14891" priority="14729" stopIfTrue="1" operator="equal">
      <formula>"Pass"</formula>
    </cfRule>
    <cfRule type="cellIs" dxfId="14890" priority="14730" stopIfTrue="1" operator="equal">
      <formula>"Fail"</formula>
    </cfRule>
  </conditionalFormatting>
  <conditionalFormatting sqref="A973:A981">
    <cfRule type="cellIs" dxfId="14889" priority="14727" stopIfTrue="1" operator="equal">
      <formula>"Pass"</formula>
    </cfRule>
    <cfRule type="cellIs" dxfId="14888" priority="14728" stopIfTrue="1" operator="equal">
      <formula>"Fail"</formula>
    </cfRule>
  </conditionalFormatting>
  <conditionalFormatting sqref="A973:A981">
    <cfRule type="cellIs" dxfId="14887" priority="14725" stopIfTrue="1" operator="equal">
      <formula>"Pass"</formula>
    </cfRule>
    <cfRule type="cellIs" dxfId="14886" priority="14726" stopIfTrue="1" operator="equal">
      <formula>"Fail"</formula>
    </cfRule>
  </conditionalFormatting>
  <conditionalFormatting sqref="A975 A978 A981">
    <cfRule type="cellIs" dxfId="14885" priority="14723" stopIfTrue="1" operator="equal">
      <formula>"Pass"</formula>
    </cfRule>
    <cfRule type="cellIs" dxfId="14884" priority="14724" stopIfTrue="1" operator="equal">
      <formula>"Fail"</formula>
    </cfRule>
  </conditionalFormatting>
  <conditionalFormatting sqref="A973:A981">
    <cfRule type="cellIs" dxfId="14883" priority="14721" stopIfTrue="1" operator="equal">
      <formula>"Pass"</formula>
    </cfRule>
    <cfRule type="cellIs" dxfId="14882" priority="14722" stopIfTrue="1" operator="equal">
      <formula>"Fail"</formula>
    </cfRule>
  </conditionalFormatting>
  <conditionalFormatting sqref="A973:A981">
    <cfRule type="cellIs" dxfId="14881" priority="14719" stopIfTrue="1" operator="equal">
      <formula>"Pass"</formula>
    </cfRule>
    <cfRule type="cellIs" dxfId="14880" priority="14720" stopIfTrue="1" operator="equal">
      <formula>"Fail"</formula>
    </cfRule>
  </conditionalFormatting>
  <conditionalFormatting sqref="A973:A981">
    <cfRule type="cellIs" dxfId="14879" priority="14717" stopIfTrue="1" operator="equal">
      <formula>"Pass"</formula>
    </cfRule>
    <cfRule type="cellIs" dxfId="14878" priority="14718" stopIfTrue="1" operator="equal">
      <formula>"Fail"</formula>
    </cfRule>
  </conditionalFormatting>
  <conditionalFormatting sqref="A973:A981">
    <cfRule type="cellIs" dxfId="14877" priority="14715" stopIfTrue="1" operator="equal">
      <formula>"Pass"</formula>
    </cfRule>
    <cfRule type="cellIs" dxfId="14876" priority="14716" stopIfTrue="1" operator="equal">
      <formula>"Fail"</formula>
    </cfRule>
  </conditionalFormatting>
  <conditionalFormatting sqref="A973:A981">
    <cfRule type="cellIs" dxfId="14875" priority="14713" stopIfTrue="1" operator="equal">
      <formula>"Pass"</formula>
    </cfRule>
    <cfRule type="cellIs" dxfId="14874" priority="14714" stopIfTrue="1" operator="equal">
      <formula>"Fail"</formula>
    </cfRule>
  </conditionalFormatting>
  <conditionalFormatting sqref="A973:A981">
    <cfRule type="cellIs" dxfId="14873" priority="14711" stopIfTrue="1" operator="equal">
      <formula>"Pass"</formula>
    </cfRule>
    <cfRule type="cellIs" dxfId="14872" priority="14712" stopIfTrue="1" operator="equal">
      <formula>"Fail"</formula>
    </cfRule>
  </conditionalFormatting>
  <conditionalFormatting sqref="A975 A978 A981">
    <cfRule type="cellIs" dxfId="14871" priority="14709" stopIfTrue="1" operator="equal">
      <formula>"Pass"</formula>
    </cfRule>
    <cfRule type="cellIs" dxfId="14870" priority="14710" stopIfTrue="1" operator="equal">
      <formula>"Fail"</formula>
    </cfRule>
  </conditionalFormatting>
  <conditionalFormatting sqref="A973:A981">
    <cfRule type="cellIs" dxfId="14869" priority="14707" stopIfTrue="1" operator="equal">
      <formula>"Pass"</formula>
    </cfRule>
    <cfRule type="cellIs" dxfId="14868" priority="14708" stopIfTrue="1" operator="equal">
      <formula>"Fail"</formula>
    </cfRule>
  </conditionalFormatting>
  <conditionalFormatting sqref="H973:H974">
    <cfRule type="cellIs" dxfId="14867" priority="14705" stopIfTrue="1" operator="equal">
      <formula>"Pass"</formula>
    </cfRule>
    <cfRule type="cellIs" dxfId="14866" priority="14706" stopIfTrue="1" operator="equal">
      <formula>"Fail"</formula>
    </cfRule>
  </conditionalFormatting>
  <conditionalFormatting sqref="F973 F975 I973:M974">
    <cfRule type="cellIs" dxfId="14865" priority="14703" stopIfTrue="1" operator="equal">
      <formula>"Pass"</formula>
    </cfRule>
    <cfRule type="cellIs" dxfId="14864" priority="14704" stopIfTrue="1" operator="equal">
      <formula>"Fail"</formula>
    </cfRule>
  </conditionalFormatting>
  <conditionalFormatting sqref="T975 T973 R973:R975 S974:S975">
    <cfRule type="cellIs" dxfId="14863" priority="14701" stopIfTrue="1" operator="equal">
      <formula>"Fail"</formula>
    </cfRule>
    <cfRule type="cellIs" dxfId="14862" priority="14702" stopIfTrue="1" operator="equal">
      <formula>"Pass"</formula>
    </cfRule>
  </conditionalFormatting>
  <conditionalFormatting sqref="F973:G973 F975:G975 J973:N974">
    <cfRule type="cellIs" dxfId="14861" priority="14699" stopIfTrue="1" operator="equal">
      <formula>"Pass"</formula>
    </cfRule>
    <cfRule type="cellIs" dxfId="14860" priority="14700" stopIfTrue="1" operator="equal">
      <formula>"Fail"</formula>
    </cfRule>
  </conditionalFormatting>
  <conditionalFormatting sqref="U975:V975 U973:V973 T973:T975 S974:S975">
    <cfRule type="cellIs" dxfId="14859" priority="14697" stopIfTrue="1" operator="equal">
      <formula>"Fail"</formula>
    </cfRule>
    <cfRule type="cellIs" dxfId="14858" priority="14698" stopIfTrue="1" operator="equal">
      <formula>"Pass"</formula>
    </cfRule>
  </conditionalFormatting>
  <conditionalFormatting sqref="J973:N974 F973:G975">
    <cfRule type="cellIs" dxfId="14857" priority="14695" stopIfTrue="1" operator="equal">
      <formula>"Pass"</formula>
    </cfRule>
    <cfRule type="cellIs" dxfId="14856" priority="14696" stopIfTrue="1" operator="equal">
      <formula>"Fail"</formula>
    </cfRule>
  </conditionalFormatting>
  <conditionalFormatting sqref="K973:O974 F973:H975">
    <cfRule type="cellIs" dxfId="14855" priority="14693" stopIfTrue="1" operator="equal">
      <formula>"Pass"</formula>
    </cfRule>
    <cfRule type="cellIs" dxfId="14854" priority="14694" stopIfTrue="1" operator="equal">
      <formula>"Fail"</formula>
    </cfRule>
  </conditionalFormatting>
  <conditionalFormatting sqref="T973">
    <cfRule type="cellIs" dxfId="14853" priority="14691" stopIfTrue="1" operator="equal">
      <formula>"Fail"</formula>
    </cfRule>
    <cfRule type="cellIs" dxfId="14852" priority="14692" stopIfTrue="1" operator="equal">
      <formula>"Pass"</formula>
    </cfRule>
  </conditionalFormatting>
  <conditionalFormatting sqref="K973:O974 F973:H975">
    <cfRule type="cellIs" dxfId="14851" priority="14689" stopIfTrue="1" operator="equal">
      <formula>"Pass"</formula>
    </cfRule>
    <cfRule type="cellIs" dxfId="14850" priority="14690" stopIfTrue="1" operator="equal">
      <formula>"Fail"</formula>
    </cfRule>
  </conditionalFormatting>
  <conditionalFormatting sqref="T973">
    <cfRule type="cellIs" dxfId="14849" priority="14687" stopIfTrue="1" operator="equal">
      <formula>"Fail"</formula>
    </cfRule>
    <cfRule type="cellIs" dxfId="14848" priority="14688" stopIfTrue="1" operator="equal">
      <formula>"Pass"</formula>
    </cfRule>
  </conditionalFormatting>
  <conditionalFormatting sqref="H973:H974">
    <cfRule type="cellIs" dxfId="14847" priority="14685" stopIfTrue="1" operator="equal">
      <formula>"Pass"</formula>
    </cfRule>
    <cfRule type="cellIs" dxfId="14846" priority="14686" stopIfTrue="1" operator="equal">
      <formula>"Fail"</formula>
    </cfRule>
  </conditionalFormatting>
  <conditionalFormatting sqref="E973:F973 E975:F975 A973:A981 I973:M974">
    <cfRule type="cellIs" dxfId="14845" priority="14683" stopIfTrue="1" operator="equal">
      <formula>"Pass"</formula>
    </cfRule>
    <cfRule type="cellIs" dxfId="14844" priority="14684" stopIfTrue="1" operator="equal">
      <formula>"Fail"</formula>
    </cfRule>
  </conditionalFormatting>
  <conditionalFormatting sqref="T975 T973 R973:R975 S974:S975">
    <cfRule type="cellIs" dxfId="14843" priority="14681" stopIfTrue="1" operator="equal">
      <formula>"Fail"</formula>
    </cfRule>
    <cfRule type="cellIs" dxfId="14842" priority="14682" stopIfTrue="1" operator="equal">
      <formula>"Pass"</formula>
    </cfRule>
  </conditionalFormatting>
  <conditionalFormatting sqref="F973:G973 F975:G975 A973:B975 A976:A981 J973:N974">
    <cfRule type="cellIs" dxfId="14841" priority="14679" stopIfTrue="1" operator="equal">
      <formula>"Pass"</formula>
    </cfRule>
    <cfRule type="cellIs" dxfId="14840" priority="14680" stopIfTrue="1" operator="equal">
      <formula>"Fail"</formula>
    </cfRule>
  </conditionalFormatting>
  <conditionalFormatting sqref="U975:V975 U973:V973 T973:T975 S974:S975">
    <cfRule type="cellIs" dxfId="14839" priority="14677" stopIfTrue="1" operator="equal">
      <formula>"Fail"</formula>
    </cfRule>
    <cfRule type="cellIs" dxfId="14838" priority="14678" stopIfTrue="1" operator="equal">
      <formula>"Pass"</formula>
    </cfRule>
  </conditionalFormatting>
  <conditionalFormatting sqref="A973:A981">
    <cfRule type="cellIs" dxfId="14837" priority="14675" stopIfTrue="1" operator="equal">
      <formula>"Pass"</formula>
    </cfRule>
    <cfRule type="cellIs" dxfId="14836" priority="14676" stopIfTrue="1" operator="equal">
      <formula>"Fail"</formula>
    </cfRule>
  </conditionalFormatting>
  <conditionalFormatting sqref="A973:A981">
    <cfRule type="cellIs" dxfId="14835" priority="14673" stopIfTrue="1" operator="equal">
      <formula>"Pass"</formula>
    </cfRule>
    <cfRule type="cellIs" dxfId="14834" priority="14674" stopIfTrue="1" operator="equal">
      <formula>"Fail"</formula>
    </cfRule>
  </conditionalFormatting>
  <conditionalFormatting sqref="A973:A981">
    <cfRule type="cellIs" dxfId="14833" priority="14671" stopIfTrue="1" operator="equal">
      <formula>"Pass"</formula>
    </cfRule>
    <cfRule type="cellIs" dxfId="14832" priority="14672" stopIfTrue="1" operator="equal">
      <formula>"Fail"</formula>
    </cfRule>
  </conditionalFormatting>
  <conditionalFormatting sqref="J973:N974 E973:G975">
    <cfRule type="cellIs" dxfId="14831" priority="14669" stopIfTrue="1" operator="equal">
      <formula>"Pass"</formula>
    </cfRule>
    <cfRule type="cellIs" dxfId="14830" priority="14670" stopIfTrue="1" operator="equal">
      <formula>"Fail"</formula>
    </cfRule>
  </conditionalFormatting>
  <conditionalFormatting sqref="A975 C975 A978 A981 K973:O974 F973:H975">
    <cfRule type="cellIs" dxfId="14829" priority="14667" stopIfTrue="1" operator="equal">
      <formula>"Pass"</formula>
    </cfRule>
    <cfRule type="cellIs" dxfId="14828" priority="14668" stopIfTrue="1" operator="equal">
      <formula>"Fail"</formula>
    </cfRule>
  </conditionalFormatting>
  <conditionalFormatting sqref="T973">
    <cfRule type="cellIs" dxfId="14827" priority="14665" stopIfTrue="1" operator="equal">
      <formula>"Fail"</formula>
    </cfRule>
    <cfRule type="cellIs" dxfId="14826" priority="14666" stopIfTrue="1" operator="equal">
      <formula>"Pass"</formula>
    </cfRule>
  </conditionalFormatting>
  <conditionalFormatting sqref="A973:A981">
    <cfRule type="cellIs" dxfId="14825" priority="14663" stopIfTrue="1" operator="equal">
      <formula>"Pass"</formula>
    </cfRule>
    <cfRule type="cellIs" dxfId="14824" priority="14664" stopIfTrue="1" operator="equal">
      <formula>"Fail"</formula>
    </cfRule>
  </conditionalFormatting>
  <conditionalFormatting sqref="A973:A981">
    <cfRule type="cellIs" dxfId="14823" priority="14661" stopIfTrue="1" operator="equal">
      <formula>"Pass"</formula>
    </cfRule>
    <cfRule type="cellIs" dxfId="14822" priority="14662" stopIfTrue="1" operator="equal">
      <formula>"Fail"</formula>
    </cfRule>
  </conditionalFormatting>
  <conditionalFormatting sqref="A973:A981">
    <cfRule type="cellIs" dxfId="14821" priority="14659" stopIfTrue="1" operator="equal">
      <formula>"Pass"</formula>
    </cfRule>
    <cfRule type="cellIs" dxfId="14820" priority="14660" stopIfTrue="1" operator="equal">
      <formula>"Fail"</formula>
    </cfRule>
  </conditionalFormatting>
  <conditionalFormatting sqref="A973:A981">
    <cfRule type="cellIs" dxfId="14819" priority="14657" stopIfTrue="1" operator="equal">
      <formula>"Pass"</formula>
    </cfRule>
    <cfRule type="cellIs" dxfId="14818" priority="14658" stopIfTrue="1" operator="equal">
      <formula>"Fail"</formula>
    </cfRule>
  </conditionalFormatting>
  <conditionalFormatting sqref="A973:A981">
    <cfRule type="cellIs" dxfId="14817" priority="14655" stopIfTrue="1" operator="equal">
      <formula>"Pass"</formula>
    </cfRule>
    <cfRule type="cellIs" dxfId="14816" priority="14656" stopIfTrue="1" operator="equal">
      <formula>"Fail"</formula>
    </cfRule>
  </conditionalFormatting>
  <conditionalFormatting sqref="A973:A981">
    <cfRule type="cellIs" dxfId="14815" priority="14653" stopIfTrue="1" operator="equal">
      <formula>"Pass"</formula>
    </cfRule>
    <cfRule type="cellIs" dxfId="14814" priority="14654" stopIfTrue="1" operator="equal">
      <formula>"Fail"</formula>
    </cfRule>
  </conditionalFormatting>
  <conditionalFormatting sqref="A975 A978 A981">
    <cfRule type="cellIs" dxfId="14813" priority="14651" stopIfTrue="1" operator="equal">
      <formula>"Pass"</formula>
    </cfRule>
    <cfRule type="cellIs" dxfId="14812" priority="14652" stopIfTrue="1" operator="equal">
      <formula>"Fail"</formula>
    </cfRule>
  </conditionalFormatting>
  <conditionalFormatting sqref="A973:A981">
    <cfRule type="cellIs" dxfId="14811" priority="14649" stopIfTrue="1" operator="equal">
      <formula>"Pass"</formula>
    </cfRule>
    <cfRule type="cellIs" dxfId="14810" priority="14650" stopIfTrue="1" operator="equal">
      <formula>"Fail"</formula>
    </cfRule>
  </conditionalFormatting>
  <conditionalFormatting sqref="A973:A981">
    <cfRule type="cellIs" dxfId="14809" priority="14647" stopIfTrue="1" operator="equal">
      <formula>"Pass"</formula>
    </cfRule>
    <cfRule type="cellIs" dxfId="14808" priority="14648" stopIfTrue="1" operator="equal">
      <formula>"Fail"</formula>
    </cfRule>
  </conditionalFormatting>
  <conditionalFormatting sqref="A973:A981">
    <cfRule type="cellIs" dxfId="14807" priority="14645" stopIfTrue="1" operator="equal">
      <formula>"Pass"</formula>
    </cfRule>
    <cfRule type="cellIs" dxfId="14806" priority="14646" stopIfTrue="1" operator="equal">
      <formula>"Fail"</formula>
    </cfRule>
  </conditionalFormatting>
  <conditionalFormatting sqref="A973:A981">
    <cfRule type="cellIs" dxfId="14805" priority="14643" stopIfTrue="1" operator="equal">
      <formula>"Pass"</formula>
    </cfRule>
    <cfRule type="cellIs" dxfId="14804" priority="14644" stopIfTrue="1" operator="equal">
      <formula>"Fail"</formula>
    </cfRule>
  </conditionalFormatting>
  <conditionalFormatting sqref="A973:A981">
    <cfRule type="cellIs" dxfId="14803" priority="14641" stopIfTrue="1" operator="equal">
      <formula>"Pass"</formula>
    </cfRule>
    <cfRule type="cellIs" dxfId="14802" priority="14642" stopIfTrue="1" operator="equal">
      <formula>"Fail"</formula>
    </cfRule>
  </conditionalFormatting>
  <conditionalFormatting sqref="A973:A981">
    <cfRule type="cellIs" dxfId="14801" priority="14639" stopIfTrue="1" operator="equal">
      <formula>"Pass"</formula>
    </cfRule>
    <cfRule type="cellIs" dxfId="14800" priority="14640" stopIfTrue="1" operator="equal">
      <formula>"Fail"</formula>
    </cfRule>
  </conditionalFormatting>
  <conditionalFormatting sqref="A975 A978 A981">
    <cfRule type="cellIs" dxfId="14799" priority="14637" stopIfTrue="1" operator="equal">
      <formula>"Pass"</formula>
    </cfRule>
    <cfRule type="cellIs" dxfId="14798" priority="14638" stopIfTrue="1" operator="equal">
      <formula>"Fail"</formula>
    </cfRule>
  </conditionalFormatting>
  <conditionalFormatting sqref="A973:A981">
    <cfRule type="cellIs" dxfId="14797" priority="14635" stopIfTrue="1" operator="equal">
      <formula>"Pass"</formula>
    </cfRule>
    <cfRule type="cellIs" dxfId="14796" priority="14636" stopIfTrue="1" operator="equal">
      <formula>"Fail"</formula>
    </cfRule>
  </conditionalFormatting>
  <conditionalFormatting sqref="H973:H974">
    <cfRule type="cellIs" dxfId="14795" priority="14633" stopIfTrue="1" operator="equal">
      <formula>"Pass"</formula>
    </cfRule>
    <cfRule type="cellIs" dxfId="14794" priority="14634" stopIfTrue="1" operator="equal">
      <formula>"Fail"</formula>
    </cfRule>
  </conditionalFormatting>
  <conditionalFormatting sqref="F973 F975 I973:M974">
    <cfRule type="cellIs" dxfId="14793" priority="14631" stopIfTrue="1" operator="equal">
      <formula>"Pass"</formula>
    </cfRule>
    <cfRule type="cellIs" dxfId="14792" priority="14632" stopIfTrue="1" operator="equal">
      <formula>"Fail"</formula>
    </cfRule>
  </conditionalFormatting>
  <conditionalFormatting sqref="T975 T973 R973:R975 S974:S975">
    <cfRule type="cellIs" dxfId="14791" priority="14629" stopIfTrue="1" operator="equal">
      <formula>"Fail"</formula>
    </cfRule>
    <cfRule type="cellIs" dxfId="14790" priority="14630" stopIfTrue="1" operator="equal">
      <formula>"Pass"</formula>
    </cfRule>
  </conditionalFormatting>
  <conditionalFormatting sqref="F973:G973 F975:G975 J973:N974">
    <cfRule type="cellIs" dxfId="14789" priority="14627" stopIfTrue="1" operator="equal">
      <formula>"Pass"</formula>
    </cfRule>
    <cfRule type="cellIs" dxfId="14788" priority="14628" stopIfTrue="1" operator="equal">
      <formula>"Fail"</formula>
    </cfRule>
  </conditionalFormatting>
  <conditionalFormatting sqref="U975:V975 U973:V973 T973:T975 S974:S975">
    <cfRule type="cellIs" dxfId="14787" priority="14625" stopIfTrue="1" operator="equal">
      <formula>"Fail"</formula>
    </cfRule>
    <cfRule type="cellIs" dxfId="14786" priority="14626" stopIfTrue="1" operator="equal">
      <formula>"Pass"</formula>
    </cfRule>
  </conditionalFormatting>
  <conditionalFormatting sqref="J973:N974 F973:G975">
    <cfRule type="cellIs" dxfId="14785" priority="14623" stopIfTrue="1" operator="equal">
      <formula>"Pass"</formula>
    </cfRule>
    <cfRule type="cellIs" dxfId="14784" priority="14624" stopIfTrue="1" operator="equal">
      <formula>"Fail"</formula>
    </cfRule>
  </conditionalFormatting>
  <conditionalFormatting sqref="K973:O974 F973:H975">
    <cfRule type="cellIs" dxfId="14783" priority="14621" stopIfTrue="1" operator="equal">
      <formula>"Pass"</formula>
    </cfRule>
    <cfRule type="cellIs" dxfId="14782" priority="14622" stopIfTrue="1" operator="equal">
      <formula>"Fail"</formula>
    </cfRule>
  </conditionalFormatting>
  <conditionalFormatting sqref="T973">
    <cfRule type="cellIs" dxfId="14781" priority="14619" stopIfTrue="1" operator="equal">
      <formula>"Fail"</formula>
    </cfRule>
    <cfRule type="cellIs" dxfId="14780" priority="14620" stopIfTrue="1" operator="equal">
      <formula>"Pass"</formula>
    </cfRule>
  </conditionalFormatting>
  <conditionalFormatting sqref="K973:O974 F973:H975">
    <cfRule type="cellIs" dxfId="14779" priority="14617" stopIfTrue="1" operator="equal">
      <formula>"Pass"</formula>
    </cfRule>
    <cfRule type="cellIs" dxfId="14778" priority="14618" stopIfTrue="1" operator="equal">
      <formula>"Fail"</formula>
    </cfRule>
  </conditionalFormatting>
  <conditionalFormatting sqref="T973">
    <cfRule type="cellIs" dxfId="14777" priority="14615" stopIfTrue="1" operator="equal">
      <formula>"Fail"</formula>
    </cfRule>
    <cfRule type="cellIs" dxfId="14776" priority="14616" stopIfTrue="1" operator="equal">
      <formula>"Pass"</formula>
    </cfRule>
  </conditionalFormatting>
  <conditionalFormatting sqref="A976">
    <cfRule type="cellIs" dxfId="14775" priority="14613" stopIfTrue="1" operator="equal">
      <formula>"Pass"</formula>
    </cfRule>
    <cfRule type="cellIs" dxfId="14774" priority="14614" stopIfTrue="1" operator="equal">
      <formula>"Fail"</formula>
    </cfRule>
  </conditionalFormatting>
  <conditionalFormatting sqref="A976">
    <cfRule type="cellIs" dxfId="14773" priority="14611" stopIfTrue="1" operator="equal">
      <formula>"Pass"</formula>
    </cfRule>
    <cfRule type="cellIs" dxfId="14772" priority="14612" stopIfTrue="1" operator="equal">
      <formula>"Fail"</formula>
    </cfRule>
  </conditionalFormatting>
  <conditionalFormatting sqref="A976">
    <cfRule type="cellIs" dxfId="14771" priority="14609" stopIfTrue="1" operator="equal">
      <formula>"Pass"</formula>
    </cfRule>
    <cfRule type="cellIs" dxfId="14770" priority="14610" stopIfTrue="1" operator="equal">
      <formula>"Fail"</formula>
    </cfRule>
  </conditionalFormatting>
  <conditionalFormatting sqref="A976">
    <cfRule type="cellIs" dxfId="14769" priority="14607" stopIfTrue="1" operator="equal">
      <formula>"Pass"</formula>
    </cfRule>
    <cfRule type="cellIs" dxfId="14768" priority="14608" stopIfTrue="1" operator="equal">
      <formula>"Fail"</formula>
    </cfRule>
  </conditionalFormatting>
  <conditionalFormatting sqref="A976">
    <cfRule type="cellIs" dxfId="14767" priority="14605" stopIfTrue="1" operator="equal">
      <formula>"Pass"</formula>
    </cfRule>
    <cfRule type="cellIs" dxfId="14766" priority="14606" stopIfTrue="1" operator="equal">
      <formula>"Fail"</formula>
    </cfRule>
  </conditionalFormatting>
  <conditionalFormatting sqref="A976">
    <cfRule type="cellIs" dxfId="14765" priority="14603" stopIfTrue="1" operator="equal">
      <formula>"Pass"</formula>
    </cfRule>
    <cfRule type="cellIs" dxfId="14764" priority="14604" stopIfTrue="1" operator="equal">
      <formula>"Fail"</formula>
    </cfRule>
  </conditionalFormatting>
  <conditionalFormatting sqref="A976">
    <cfRule type="cellIs" dxfId="14763" priority="14601" stopIfTrue="1" operator="equal">
      <formula>"Pass"</formula>
    </cfRule>
    <cfRule type="cellIs" dxfId="14762" priority="14602" stopIfTrue="1" operator="equal">
      <formula>"Fail"</formula>
    </cfRule>
  </conditionalFormatting>
  <conditionalFormatting sqref="A976">
    <cfRule type="cellIs" dxfId="14761" priority="14599" stopIfTrue="1" operator="equal">
      <formula>"Pass"</formula>
    </cfRule>
    <cfRule type="cellIs" dxfId="14760" priority="14600" stopIfTrue="1" operator="equal">
      <formula>"Fail"</formula>
    </cfRule>
  </conditionalFormatting>
  <conditionalFormatting sqref="A976">
    <cfRule type="cellIs" dxfId="14759" priority="14597" stopIfTrue="1" operator="equal">
      <formula>"Pass"</formula>
    </cfRule>
    <cfRule type="cellIs" dxfId="14758" priority="14598" stopIfTrue="1" operator="equal">
      <formula>"Fail"</formula>
    </cfRule>
  </conditionalFormatting>
  <conditionalFormatting sqref="A976">
    <cfRule type="cellIs" dxfId="14757" priority="14595" stopIfTrue="1" operator="equal">
      <formula>"Pass"</formula>
    </cfRule>
    <cfRule type="cellIs" dxfId="14756" priority="14596" stopIfTrue="1" operator="equal">
      <formula>"Fail"</formula>
    </cfRule>
  </conditionalFormatting>
  <conditionalFormatting sqref="A976">
    <cfRule type="cellIs" dxfId="14755" priority="14593" stopIfTrue="1" operator="equal">
      <formula>"Pass"</formula>
    </cfRule>
    <cfRule type="cellIs" dxfId="14754" priority="14594" stopIfTrue="1" operator="equal">
      <formula>"Fail"</formula>
    </cfRule>
  </conditionalFormatting>
  <conditionalFormatting sqref="A976">
    <cfRule type="cellIs" dxfId="14753" priority="14591" stopIfTrue="1" operator="equal">
      <formula>"Pass"</formula>
    </cfRule>
    <cfRule type="cellIs" dxfId="14752" priority="14592" stopIfTrue="1" operator="equal">
      <formula>"Fail"</formula>
    </cfRule>
  </conditionalFormatting>
  <conditionalFormatting sqref="A976">
    <cfRule type="cellIs" dxfId="14751" priority="14589" stopIfTrue="1" operator="equal">
      <formula>"Pass"</formula>
    </cfRule>
    <cfRule type="cellIs" dxfId="14750" priority="14590" stopIfTrue="1" operator="equal">
      <formula>"Fail"</formula>
    </cfRule>
  </conditionalFormatting>
  <conditionalFormatting sqref="A976">
    <cfRule type="cellIs" dxfId="14749" priority="14587" stopIfTrue="1" operator="equal">
      <formula>"Pass"</formula>
    </cfRule>
    <cfRule type="cellIs" dxfId="14748" priority="14588" stopIfTrue="1" operator="equal">
      <formula>"Fail"</formula>
    </cfRule>
  </conditionalFormatting>
  <conditionalFormatting sqref="A976">
    <cfRule type="cellIs" dxfId="14747" priority="14585" stopIfTrue="1" operator="equal">
      <formula>"Pass"</formula>
    </cfRule>
    <cfRule type="cellIs" dxfId="14746" priority="14586" stopIfTrue="1" operator="equal">
      <formula>"Fail"</formula>
    </cfRule>
  </conditionalFormatting>
  <conditionalFormatting sqref="A976">
    <cfRule type="cellIs" dxfId="14745" priority="14583" stopIfTrue="1" operator="equal">
      <formula>"Pass"</formula>
    </cfRule>
    <cfRule type="cellIs" dxfId="14744" priority="14584" stopIfTrue="1" operator="equal">
      <formula>"Fail"</formula>
    </cfRule>
  </conditionalFormatting>
  <conditionalFormatting sqref="A976">
    <cfRule type="cellIs" dxfId="14743" priority="14581" stopIfTrue="1" operator="equal">
      <formula>"Pass"</formula>
    </cfRule>
    <cfRule type="cellIs" dxfId="14742" priority="14582" stopIfTrue="1" operator="equal">
      <formula>"Fail"</formula>
    </cfRule>
  </conditionalFormatting>
  <conditionalFormatting sqref="A976">
    <cfRule type="cellIs" dxfId="14741" priority="14579" stopIfTrue="1" operator="equal">
      <formula>"Pass"</formula>
    </cfRule>
    <cfRule type="cellIs" dxfId="14740" priority="14580" stopIfTrue="1" operator="equal">
      <formula>"Fail"</formula>
    </cfRule>
  </conditionalFormatting>
  <conditionalFormatting sqref="J976:J977">
    <cfRule type="cellIs" dxfId="14739" priority="14577" stopIfTrue="1" operator="equal">
      <formula>"Pass"</formula>
    </cfRule>
    <cfRule type="cellIs" dxfId="14738" priority="14578" stopIfTrue="1" operator="equal">
      <formula>"Fail"</formula>
    </cfRule>
  </conditionalFormatting>
  <conditionalFormatting sqref="H976:H977 I977">
    <cfRule type="cellIs" dxfId="14737" priority="14575" stopIfTrue="1" operator="equal">
      <formula>"Pass"</formula>
    </cfRule>
    <cfRule type="cellIs" dxfId="14736" priority="14576" stopIfTrue="1" operator="equal">
      <formula>"Fail"</formula>
    </cfRule>
  </conditionalFormatting>
  <conditionalFormatting sqref="A976 C976 F978 F976:G976 K976:N977">
    <cfRule type="cellIs" dxfId="14735" priority="14573" stopIfTrue="1" operator="equal">
      <formula>"Pass"</formula>
    </cfRule>
    <cfRule type="cellIs" dxfId="14734" priority="14574" stopIfTrue="1" operator="equal">
      <formula>"Fail"</formula>
    </cfRule>
  </conditionalFormatting>
  <conditionalFormatting sqref="T976:T978 U977:V978">
    <cfRule type="cellIs" dxfId="14733" priority="14571" stopIfTrue="1" operator="equal">
      <formula>"Fail"</formula>
    </cfRule>
    <cfRule type="cellIs" dxfId="14732" priority="14572" stopIfTrue="1" operator="equal">
      <formula>"Pass"</formula>
    </cfRule>
  </conditionalFormatting>
  <conditionalFormatting sqref="A976">
    <cfRule type="cellIs" dxfId="14731" priority="14569" stopIfTrue="1" operator="equal">
      <formula>"Pass"</formula>
    </cfRule>
    <cfRule type="cellIs" dxfId="14730" priority="14570" stopIfTrue="1" operator="equal">
      <formula>"Fail"</formula>
    </cfRule>
  </conditionalFormatting>
  <conditionalFormatting sqref="A976">
    <cfRule type="cellIs" dxfId="14729" priority="14567" stopIfTrue="1" operator="equal">
      <formula>"Pass"</formula>
    </cfRule>
    <cfRule type="cellIs" dxfId="14728" priority="14568" stopIfTrue="1" operator="equal">
      <formula>"Fail"</formula>
    </cfRule>
  </conditionalFormatting>
  <conditionalFormatting sqref="A976">
    <cfRule type="cellIs" dxfId="14727" priority="14565" stopIfTrue="1" operator="equal">
      <formula>"Pass"</formula>
    </cfRule>
    <cfRule type="cellIs" dxfId="14726" priority="14566" stopIfTrue="1" operator="equal">
      <formula>"Fail"</formula>
    </cfRule>
  </conditionalFormatting>
  <conditionalFormatting sqref="A976">
    <cfRule type="cellIs" dxfId="14725" priority="14563" stopIfTrue="1" operator="equal">
      <formula>"Pass"</formula>
    </cfRule>
    <cfRule type="cellIs" dxfId="14724" priority="14564" stopIfTrue="1" operator="equal">
      <formula>"Fail"</formula>
    </cfRule>
  </conditionalFormatting>
  <conditionalFormatting sqref="A976">
    <cfRule type="cellIs" dxfId="14723" priority="14561" stopIfTrue="1" operator="equal">
      <formula>"Pass"</formula>
    </cfRule>
    <cfRule type="cellIs" dxfId="14722" priority="14562" stopIfTrue="1" operator="equal">
      <formula>"Fail"</formula>
    </cfRule>
  </conditionalFormatting>
  <conditionalFormatting sqref="A976">
    <cfRule type="cellIs" dxfId="14721" priority="14559" stopIfTrue="1" operator="equal">
      <formula>"Pass"</formula>
    </cfRule>
    <cfRule type="cellIs" dxfId="14720" priority="14560" stopIfTrue="1" operator="equal">
      <formula>"Fail"</formula>
    </cfRule>
  </conditionalFormatting>
  <conditionalFormatting sqref="A976">
    <cfRule type="cellIs" dxfId="14719" priority="14557" stopIfTrue="1" operator="equal">
      <formula>"Pass"</formula>
    </cfRule>
    <cfRule type="cellIs" dxfId="14718" priority="14558" stopIfTrue="1" operator="equal">
      <formula>"Fail"</formula>
    </cfRule>
  </conditionalFormatting>
  <conditionalFormatting sqref="A976">
    <cfRule type="cellIs" dxfId="14717" priority="14555" stopIfTrue="1" operator="equal">
      <formula>"Pass"</formula>
    </cfRule>
    <cfRule type="cellIs" dxfId="14716" priority="14556" stopIfTrue="1" operator="equal">
      <formula>"Fail"</formula>
    </cfRule>
  </conditionalFormatting>
  <conditionalFormatting sqref="A976">
    <cfRule type="cellIs" dxfId="14715" priority="14553" stopIfTrue="1" operator="equal">
      <formula>"Pass"</formula>
    </cfRule>
    <cfRule type="cellIs" dxfId="14714" priority="14554" stopIfTrue="1" operator="equal">
      <formula>"Fail"</formula>
    </cfRule>
  </conditionalFormatting>
  <conditionalFormatting sqref="A976">
    <cfRule type="cellIs" dxfId="14713" priority="14551" stopIfTrue="1" operator="equal">
      <formula>"Pass"</formula>
    </cfRule>
    <cfRule type="cellIs" dxfId="14712" priority="14552" stopIfTrue="1" operator="equal">
      <formula>"Fail"</formula>
    </cfRule>
  </conditionalFormatting>
  <conditionalFormatting sqref="A976">
    <cfRule type="cellIs" dxfId="14711" priority="14549" stopIfTrue="1" operator="equal">
      <formula>"Pass"</formula>
    </cfRule>
    <cfRule type="cellIs" dxfId="14710" priority="14550" stopIfTrue="1" operator="equal">
      <formula>"Fail"</formula>
    </cfRule>
  </conditionalFormatting>
  <conditionalFormatting sqref="A976">
    <cfRule type="cellIs" dxfId="14709" priority="14547" stopIfTrue="1" operator="equal">
      <formula>"Pass"</formula>
    </cfRule>
    <cfRule type="cellIs" dxfId="14708" priority="14548" stopIfTrue="1" operator="equal">
      <formula>"Fail"</formula>
    </cfRule>
  </conditionalFormatting>
  <conditionalFormatting sqref="A976">
    <cfRule type="cellIs" dxfId="14707" priority="14545" stopIfTrue="1" operator="equal">
      <formula>"Pass"</formula>
    </cfRule>
    <cfRule type="cellIs" dxfId="14706" priority="14546" stopIfTrue="1" operator="equal">
      <formula>"Fail"</formula>
    </cfRule>
  </conditionalFormatting>
  <conditionalFormatting sqref="A976">
    <cfRule type="cellIs" dxfId="14705" priority="14543" stopIfTrue="1" operator="equal">
      <formula>"Pass"</formula>
    </cfRule>
    <cfRule type="cellIs" dxfId="14704" priority="14544" stopIfTrue="1" operator="equal">
      <formula>"Fail"</formula>
    </cfRule>
  </conditionalFormatting>
  <conditionalFormatting sqref="A976">
    <cfRule type="cellIs" dxfId="14703" priority="14541" stopIfTrue="1" operator="equal">
      <formula>"Pass"</formula>
    </cfRule>
    <cfRule type="cellIs" dxfId="14702" priority="14542" stopIfTrue="1" operator="equal">
      <formula>"Fail"</formula>
    </cfRule>
  </conditionalFormatting>
  <conditionalFormatting sqref="A976">
    <cfRule type="cellIs" dxfId="14701" priority="14539" stopIfTrue="1" operator="equal">
      <formula>"Pass"</formula>
    </cfRule>
    <cfRule type="cellIs" dxfId="14700" priority="14540" stopIfTrue="1" operator="equal">
      <formula>"Fail"</formula>
    </cfRule>
  </conditionalFormatting>
  <conditionalFormatting sqref="U976:V976">
    <cfRule type="cellIs" dxfId="14699" priority="14537" stopIfTrue="1" operator="equal">
      <formula>"Fail"</formula>
    </cfRule>
    <cfRule type="cellIs" dxfId="14698" priority="14538" stopIfTrue="1" operator="equal">
      <formula>"Pass"</formula>
    </cfRule>
  </conditionalFormatting>
  <conditionalFormatting sqref="U976:V976">
    <cfRule type="cellIs" dxfId="14697" priority="14535" stopIfTrue="1" operator="equal">
      <formula>"Fail"</formula>
    </cfRule>
    <cfRule type="cellIs" dxfId="14696" priority="14536" stopIfTrue="1" operator="equal">
      <formula>"Pass"</formula>
    </cfRule>
  </conditionalFormatting>
  <conditionalFormatting sqref="J976:J977">
    <cfRule type="cellIs" dxfId="14695" priority="14533" stopIfTrue="1" operator="equal">
      <formula>"Pass"</formula>
    </cfRule>
    <cfRule type="cellIs" dxfId="14694" priority="14534" stopIfTrue="1" operator="equal">
      <formula>"Fail"</formula>
    </cfRule>
  </conditionalFormatting>
  <conditionalFormatting sqref="H976:H977 I977">
    <cfRule type="cellIs" dxfId="14693" priority="14531" stopIfTrue="1" operator="equal">
      <formula>"Pass"</formula>
    </cfRule>
    <cfRule type="cellIs" dxfId="14692" priority="14532" stopIfTrue="1" operator="equal">
      <formula>"Fail"</formula>
    </cfRule>
  </conditionalFormatting>
  <conditionalFormatting sqref="F978 F976:G976 K976:N977">
    <cfRule type="cellIs" dxfId="14691" priority="14529" stopIfTrue="1" operator="equal">
      <formula>"Pass"</formula>
    </cfRule>
    <cfRule type="cellIs" dxfId="14690" priority="14530" stopIfTrue="1" operator="equal">
      <formula>"Fail"</formula>
    </cfRule>
  </conditionalFormatting>
  <conditionalFormatting sqref="T976:T978 U977:V978">
    <cfRule type="cellIs" dxfId="14689" priority="14527" stopIfTrue="1" operator="equal">
      <formula>"Fail"</formula>
    </cfRule>
    <cfRule type="cellIs" dxfId="14688" priority="14528" stopIfTrue="1" operator="equal">
      <formula>"Pass"</formula>
    </cfRule>
  </conditionalFormatting>
  <conditionalFormatting sqref="U976:V976">
    <cfRule type="cellIs" dxfId="14687" priority="14525" stopIfTrue="1" operator="equal">
      <formula>"Fail"</formula>
    </cfRule>
    <cfRule type="cellIs" dxfId="14686" priority="14526" stopIfTrue="1" operator="equal">
      <formula>"Pass"</formula>
    </cfRule>
  </conditionalFormatting>
  <conditionalFormatting sqref="U976:V976">
    <cfRule type="cellIs" dxfId="14685" priority="14523" stopIfTrue="1" operator="equal">
      <formula>"Fail"</formula>
    </cfRule>
    <cfRule type="cellIs" dxfId="14684" priority="14524" stopIfTrue="1" operator="equal">
      <formula>"Pass"</formula>
    </cfRule>
  </conditionalFormatting>
  <conditionalFormatting sqref="F976:G976 K976:N976">
    <cfRule type="cellIs" dxfId="14683" priority="14521" stopIfTrue="1" operator="equal">
      <formula>"Pass"</formula>
    </cfRule>
    <cfRule type="cellIs" dxfId="14682" priority="14522" stopIfTrue="1" operator="equal">
      <formula>"Fail"</formula>
    </cfRule>
  </conditionalFormatting>
  <conditionalFormatting sqref="K977:N977">
    <cfRule type="cellIs" dxfId="14681" priority="14519" stopIfTrue="1" operator="equal">
      <formula>"Pass"</formula>
    </cfRule>
    <cfRule type="cellIs" dxfId="14680" priority="14520" stopIfTrue="1" operator="equal">
      <formula>"Fail"</formula>
    </cfRule>
  </conditionalFormatting>
  <conditionalFormatting sqref="U976:V976">
    <cfRule type="cellIs" dxfId="14679" priority="14517" stopIfTrue="1" operator="equal">
      <formula>"Fail"</formula>
    </cfRule>
    <cfRule type="cellIs" dxfId="14678" priority="14518" stopIfTrue="1" operator="equal">
      <formula>"Pass"</formula>
    </cfRule>
  </conditionalFormatting>
  <conditionalFormatting sqref="A976">
    <cfRule type="cellIs" dxfId="14677" priority="14515" stopIfTrue="1" operator="equal">
      <formula>"Pass"</formula>
    </cfRule>
    <cfRule type="cellIs" dxfId="14676" priority="14516" stopIfTrue="1" operator="equal">
      <formula>"Fail"</formula>
    </cfRule>
  </conditionalFormatting>
  <conditionalFormatting sqref="A976">
    <cfRule type="cellIs" dxfId="14675" priority="14513" stopIfTrue="1" operator="equal">
      <formula>"Pass"</formula>
    </cfRule>
    <cfRule type="cellIs" dxfId="14674" priority="14514" stopIfTrue="1" operator="equal">
      <formula>"Fail"</formula>
    </cfRule>
  </conditionalFormatting>
  <conditionalFormatting sqref="A976">
    <cfRule type="cellIs" dxfId="14673" priority="14511" stopIfTrue="1" operator="equal">
      <formula>"Pass"</formula>
    </cfRule>
    <cfRule type="cellIs" dxfId="14672" priority="14512" stopIfTrue="1" operator="equal">
      <formula>"Fail"</formula>
    </cfRule>
  </conditionalFormatting>
  <conditionalFormatting sqref="A976">
    <cfRule type="cellIs" dxfId="14671" priority="14509" stopIfTrue="1" operator="equal">
      <formula>"Pass"</formula>
    </cfRule>
    <cfRule type="cellIs" dxfId="14670" priority="14510" stopIfTrue="1" operator="equal">
      <formula>"Fail"</formula>
    </cfRule>
  </conditionalFormatting>
  <conditionalFormatting sqref="A976">
    <cfRule type="cellIs" dxfId="14669" priority="14507" stopIfTrue="1" operator="equal">
      <formula>"Pass"</formula>
    </cfRule>
    <cfRule type="cellIs" dxfId="14668" priority="14508" stopIfTrue="1" operator="equal">
      <formula>"Fail"</formula>
    </cfRule>
  </conditionalFormatting>
  <conditionalFormatting sqref="A976">
    <cfRule type="cellIs" dxfId="14667" priority="14505" stopIfTrue="1" operator="equal">
      <formula>"Pass"</formula>
    </cfRule>
    <cfRule type="cellIs" dxfId="14666" priority="14506" stopIfTrue="1" operator="equal">
      <formula>"Fail"</formula>
    </cfRule>
  </conditionalFormatting>
  <conditionalFormatting sqref="A976">
    <cfRule type="cellIs" dxfId="14665" priority="14503" stopIfTrue="1" operator="equal">
      <formula>"Pass"</formula>
    </cfRule>
    <cfRule type="cellIs" dxfId="14664" priority="14504" stopIfTrue="1" operator="equal">
      <formula>"Fail"</formula>
    </cfRule>
  </conditionalFormatting>
  <conditionalFormatting sqref="A976">
    <cfRule type="cellIs" dxfId="14663" priority="14501" stopIfTrue="1" operator="equal">
      <formula>"Pass"</formula>
    </cfRule>
    <cfRule type="cellIs" dxfId="14662" priority="14502" stopIfTrue="1" operator="equal">
      <formula>"Fail"</formula>
    </cfRule>
  </conditionalFormatting>
  <conditionalFormatting sqref="A976">
    <cfRule type="cellIs" dxfId="14661" priority="14499" stopIfTrue="1" operator="equal">
      <formula>"Pass"</formula>
    </cfRule>
    <cfRule type="cellIs" dxfId="14660" priority="14500" stopIfTrue="1" operator="equal">
      <formula>"Fail"</formula>
    </cfRule>
  </conditionalFormatting>
  <conditionalFormatting sqref="A976">
    <cfRule type="cellIs" dxfId="14659" priority="14497" stopIfTrue="1" operator="equal">
      <formula>"Pass"</formula>
    </cfRule>
    <cfRule type="cellIs" dxfId="14658" priority="14498" stopIfTrue="1" operator="equal">
      <formula>"Fail"</formula>
    </cfRule>
  </conditionalFormatting>
  <conditionalFormatting sqref="A976">
    <cfRule type="cellIs" dxfId="14657" priority="14495" stopIfTrue="1" operator="equal">
      <formula>"Pass"</formula>
    </cfRule>
    <cfRule type="cellIs" dxfId="14656" priority="14496" stopIfTrue="1" operator="equal">
      <formula>"Fail"</formula>
    </cfRule>
  </conditionalFormatting>
  <conditionalFormatting sqref="A976">
    <cfRule type="cellIs" dxfId="14655" priority="14493" stopIfTrue="1" operator="equal">
      <formula>"Pass"</formula>
    </cfRule>
    <cfRule type="cellIs" dxfId="14654" priority="14494" stopIfTrue="1" operator="equal">
      <formula>"Fail"</formula>
    </cfRule>
  </conditionalFormatting>
  <conditionalFormatting sqref="J976:J977">
    <cfRule type="cellIs" dxfId="14653" priority="14491" stopIfTrue="1" operator="equal">
      <formula>"Pass"</formula>
    </cfRule>
    <cfRule type="cellIs" dxfId="14652" priority="14492" stopIfTrue="1" operator="equal">
      <formula>"Fail"</formula>
    </cfRule>
  </conditionalFormatting>
  <conditionalFormatting sqref="H976:H977 I977">
    <cfRule type="cellIs" dxfId="14651" priority="14489" stopIfTrue="1" operator="equal">
      <formula>"Pass"</formula>
    </cfRule>
    <cfRule type="cellIs" dxfId="14650" priority="14490" stopIfTrue="1" operator="equal">
      <formula>"Fail"</formula>
    </cfRule>
  </conditionalFormatting>
  <conditionalFormatting sqref="F978 F976:G976 K976:N977">
    <cfRule type="cellIs" dxfId="14649" priority="14487" stopIfTrue="1" operator="equal">
      <formula>"Pass"</formula>
    </cfRule>
    <cfRule type="cellIs" dxfId="14648" priority="14488" stopIfTrue="1" operator="equal">
      <formula>"Fail"</formula>
    </cfRule>
  </conditionalFormatting>
  <conditionalFormatting sqref="T976:T978 U977:V978">
    <cfRule type="cellIs" dxfId="14647" priority="14485" stopIfTrue="1" operator="equal">
      <formula>"Fail"</formula>
    </cfRule>
    <cfRule type="cellIs" dxfId="14646" priority="14486" stopIfTrue="1" operator="equal">
      <formula>"Pass"</formula>
    </cfRule>
  </conditionalFormatting>
  <conditionalFormatting sqref="U976:V976">
    <cfRule type="cellIs" dxfId="14645" priority="14483" stopIfTrue="1" operator="equal">
      <formula>"Fail"</formula>
    </cfRule>
    <cfRule type="cellIs" dxfId="14644" priority="14484" stopIfTrue="1" operator="equal">
      <formula>"Pass"</formula>
    </cfRule>
  </conditionalFormatting>
  <conditionalFormatting sqref="U976:V976">
    <cfRule type="cellIs" dxfId="14643" priority="14481" stopIfTrue="1" operator="equal">
      <formula>"Fail"</formula>
    </cfRule>
    <cfRule type="cellIs" dxfId="14642" priority="14482" stopIfTrue="1" operator="equal">
      <formula>"Pass"</formula>
    </cfRule>
  </conditionalFormatting>
  <conditionalFormatting sqref="J976:J977">
    <cfRule type="cellIs" dxfId="14641" priority="14479" stopIfTrue="1" operator="equal">
      <formula>"Pass"</formula>
    </cfRule>
    <cfRule type="cellIs" dxfId="14640" priority="14480" stopIfTrue="1" operator="equal">
      <formula>"Fail"</formula>
    </cfRule>
  </conditionalFormatting>
  <conditionalFormatting sqref="H976:H977 I977">
    <cfRule type="cellIs" dxfId="14639" priority="14477" stopIfTrue="1" operator="equal">
      <formula>"Pass"</formula>
    </cfRule>
    <cfRule type="cellIs" dxfId="14638" priority="14478" stopIfTrue="1" operator="equal">
      <formula>"Fail"</formula>
    </cfRule>
  </conditionalFormatting>
  <conditionalFormatting sqref="F978 F976:G976 K976:N977">
    <cfRule type="cellIs" dxfId="14637" priority="14475" stopIfTrue="1" operator="equal">
      <formula>"Pass"</formula>
    </cfRule>
    <cfRule type="cellIs" dxfId="14636" priority="14476" stopIfTrue="1" operator="equal">
      <formula>"Fail"</formula>
    </cfRule>
  </conditionalFormatting>
  <conditionalFormatting sqref="T976:T978 U977:V978">
    <cfRule type="cellIs" dxfId="14635" priority="14473" stopIfTrue="1" operator="equal">
      <formula>"Fail"</formula>
    </cfRule>
    <cfRule type="cellIs" dxfId="14634" priority="14474" stopIfTrue="1" operator="equal">
      <formula>"Pass"</formula>
    </cfRule>
  </conditionalFormatting>
  <conditionalFormatting sqref="U976:V976">
    <cfRule type="cellIs" dxfId="14633" priority="14471" stopIfTrue="1" operator="equal">
      <formula>"Fail"</formula>
    </cfRule>
    <cfRule type="cellIs" dxfId="14632" priority="14472" stopIfTrue="1" operator="equal">
      <formula>"Pass"</formula>
    </cfRule>
  </conditionalFormatting>
  <conditionalFormatting sqref="U976:V976">
    <cfRule type="cellIs" dxfId="14631" priority="14469" stopIfTrue="1" operator="equal">
      <formula>"Fail"</formula>
    </cfRule>
    <cfRule type="cellIs" dxfId="14630" priority="14470" stopIfTrue="1" operator="equal">
      <formula>"Pass"</formula>
    </cfRule>
  </conditionalFormatting>
  <conditionalFormatting sqref="F976:G976 K976:N976">
    <cfRule type="cellIs" dxfId="14629" priority="14467" stopIfTrue="1" operator="equal">
      <formula>"Pass"</formula>
    </cfRule>
    <cfRule type="cellIs" dxfId="14628" priority="14468" stopIfTrue="1" operator="equal">
      <formula>"Fail"</formula>
    </cfRule>
  </conditionalFormatting>
  <conditionalFormatting sqref="K977:N977">
    <cfRule type="cellIs" dxfId="14627" priority="14465" stopIfTrue="1" operator="equal">
      <formula>"Pass"</formula>
    </cfRule>
    <cfRule type="cellIs" dxfId="14626" priority="14466" stopIfTrue="1" operator="equal">
      <formula>"Fail"</formula>
    </cfRule>
  </conditionalFormatting>
  <conditionalFormatting sqref="U976:V976">
    <cfRule type="cellIs" dxfId="14625" priority="14463" stopIfTrue="1" operator="equal">
      <formula>"Fail"</formula>
    </cfRule>
    <cfRule type="cellIs" dxfId="14624" priority="14464" stopIfTrue="1" operator="equal">
      <formula>"Pass"</formula>
    </cfRule>
  </conditionalFormatting>
  <conditionalFormatting sqref="J976:J977">
    <cfRule type="cellIs" dxfId="14623" priority="14461" stopIfTrue="1" operator="equal">
      <formula>"Pass"</formula>
    </cfRule>
    <cfRule type="cellIs" dxfId="14622" priority="14462" stopIfTrue="1" operator="equal">
      <formula>"Fail"</formula>
    </cfRule>
  </conditionalFormatting>
  <conditionalFormatting sqref="H976:H977 I977">
    <cfRule type="cellIs" dxfId="14621" priority="14459" stopIfTrue="1" operator="equal">
      <formula>"Pass"</formula>
    </cfRule>
    <cfRule type="cellIs" dxfId="14620" priority="14460" stopIfTrue="1" operator="equal">
      <formula>"Fail"</formula>
    </cfRule>
  </conditionalFormatting>
  <conditionalFormatting sqref="F976:G976 K976:N977">
    <cfRule type="cellIs" dxfId="14619" priority="14457" stopIfTrue="1" operator="equal">
      <formula>"Pass"</formula>
    </cfRule>
    <cfRule type="cellIs" dxfId="14618" priority="14458" stopIfTrue="1" operator="equal">
      <formula>"Fail"</formula>
    </cfRule>
  </conditionalFormatting>
  <conditionalFormatting sqref="T976:T977 U977:V977">
    <cfRule type="cellIs" dxfId="14617" priority="14455" stopIfTrue="1" operator="equal">
      <formula>"Fail"</formula>
    </cfRule>
    <cfRule type="cellIs" dxfId="14616" priority="14456" stopIfTrue="1" operator="equal">
      <formula>"Pass"</formula>
    </cfRule>
  </conditionalFormatting>
  <conditionalFormatting sqref="U976:V976">
    <cfRule type="cellIs" dxfId="14615" priority="14453" stopIfTrue="1" operator="equal">
      <formula>"Fail"</formula>
    </cfRule>
    <cfRule type="cellIs" dxfId="14614" priority="14454" stopIfTrue="1" operator="equal">
      <formula>"Pass"</formula>
    </cfRule>
  </conditionalFormatting>
  <conditionalFormatting sqref="U976:V976">
    <cfRule type="cellIs" dxfId="14613" priority="14451" stopIfTrue="1" operator="equal">
      <formula>"Fail"</formula>
    </cfRule>
    <cfRule type="cellIs" dxfId="14612" priority="14452" stopIfTrue="1" operator="equal">
      <formula>"Pass"</formula>
    </cfRule>
  </conditionalFormatting>
  <conditionalFormatting sqref="J976:J977">
    <cfRule type="cellIs" dxfId="14611" priority="14449" stopIfTrue="1" operator="equal">
      <formula>"Pass"</formula>
    </cfRule>
    <cfRule type="cellIs" dxfId="14610" priority="14450" stopIfTrue="1" operator="equal">
      <formula>"Fail"</formula>
    </cfRule>
  </conditionalFormatting>
  <conditionalFormatting sqref="H976:H977 I977">
    <cfRule type="cellIs" dxfId="14609" priority="14447" stopIfTrue="1" operator="equal">
      <formula>"Pass"</formula>
    </cfRule>
    <cfRule type="cellIs" dxfId="14608" priority="14448" stopIfTrue="1" operator="equal">
      <formula>"Fail"</formula>
    </cfRule>
  </conditionalFormatting>
  <conditionalFormatting sqref="F976:G976 K976:N977">
    <cfRule type="cellIs" dxfId="14607" priority="14445" stopIfTrue="1" operator="equal">
      <formula>"Pass"</formula>
    </cfRule>
    <cfRule type="cellIs" dxfId="14606" priority="14446" stopIfTrue="1" operator="equal">
      <formula>"Fail"</formula>
    </cfRule>
  </conditionalFormatting>
  <conditionalFormatting sqref="T976:T977 U977:V977">
    <cfRule type="cellIs" dxfId="14605" priority="14443" stopIfTrue="1" operator="equal">
      <formula>"Fail"</formula>
    </cfRule>
    <cfRule type="cellIs" dxfId="14604" priority="14444" stopIfTrue="1" operator="equal">
      <formula>"Pass"</formula>
    </cfRule>
  </conditionalFormatting>
  <conditionalFormatting sqref="U976:V976">
    <cfRule type="cellIs" dxfId="14603" priority="14441" stopIfTrue="1" operator="equal">
      <formula>"Fail"</formula>
    </cfRule>
    <cfRule type="cellIs" dxfId="14602" priority="14442" stopIfTrue="1" operator="equal">
      <formula>"Pass"</formula>
    </cfRule>
  </conditionalFormatting>
  <conditionalFormatting sqref="U976:V976">
    <cfRule type="cellIs" dxfId="14601" priority="14439" stopIfTrue="1" operator="equal">
      <formula>"Fail"</formula>
    </cfRule>
    <cfRule type="cellIs" dxfId="14600" priority="14440" stopIfTrue="1" operator="equal">
      <formula>"Pass"</formula>
    </cfRule>
  </conditionalFormatting>
  <conditionalFormatting sqref="F976:G976 K976:N976">
    <cfRule type="cellIs" dxfId="14599" priority="14437" stopIfTrue="1" operator="equal">
      <formula>"Pass"</formula>
    </cfRule>
    <cfRule type="cellIs" dxfId="14598" priority="14438" stopIfTrue="1" operator="equal">
      <formula>"Fail"</formula>
    </cfRule>
  </conditionalFormatting>
  <conditionalFormatting sqref="K977:N977">
    <cfRule type="cellIs" dxfId="14597" priority="14435" stopIfTrue="1" operator="equal">
      <formula>"Pass"</formula>
    </cfRule>
    <cfRule type="cellIs" dxfId="14596" priority="14436" stopIfTrue="1" operator="equal">
      <formula>"Fail"</formula>
    </cfRule>
  </conditionalFormatting>
  <conditionalFormatting sqref="U976:V976">
    <cfRule type="cellIs" dxfId="14595" priority="14433" stopIfTrue="1" operator="equal">
      <formula>"Fail"</formula>
    </cfRule>
    <cfRule type="cellIs" dxfId="14594" priority="14434" stopIfTrue="1" operator="equal">
      <formula>"Pass"</formula>
    </cfRule>
  </conditionalFormatting>
  <conditionalFormatting sqref="U976:V976">
    <cfRule type="cellIs" dxfId="14593" priority="14431" stopIfTrue="1" operator="equal">
      <formula>"Fail"</formula>
    </cfRule>
    <cfRule type="cellIs" dxfId="14592" priority="14432" stopIfTrue="1" operator="equal">
      <formula>"Pass"</formula>
    </cfRule>
  </conditionalFormatting>
  <conditionalFormatting sqref="U976:V976">
    <cfRule type="cellIs" dxfId="14591" priority="14429" stopIfTrue="1" operator="equal">
      <formula>"Fail"</formula>
    </cfRule>
    <cfRule type="cellIs" dxfId="14590" priority="14430" stopIfTrue="1" operator="equal">
      <formula>"Pass"</formula>
    </cfRule>
  </conditionalFormatting>
  <conditionalFormatting sqref="U976:V976">
    <cfRule type="cellIs" dxfId="14589" priority="14427" stopIfTrue="1" operator="equal">
      <formula>"Fail"</formula>
    </cfRule>
    <cfRule type="cellIs" dxfId="14588" priority="14428" stopIfTrue="1" operator="equal">
      <formula>"Pass"</formula>
    </cfRule>
  </conditionalFormatting>
  <conditionalFormatting sqref="A979">
    <cfRule type="cellIs" dxfId="14587" priority="14425" stopIfTrue="1" operator="equal">
      <formula>"Pass"</formula>
    </cfRule>
    <cfRule type="cellIs" dxfId="14586" priority="14426" stopIfTrue="1" operator="equal">
      <formula>"Fail"</formula>
    </cfRule>
  </conditionalFormatting>
  <conditionalFormatting sqref="A979">
    <cfRule type="cellIs" dxfId="14585" priority="14423" stopIfTrue="1" operator="equal">
      <formula>"Pass"</formula>
    </cfRule>
    <cfRule type="cellIs" dxfId="14584" priority="14424" stopIfTrue="1" operator="equal">
      <formula>"Fail"</formula>
    </cfRule>
  </conditionalFormatting>
  <conditionalFormatting sqref="A979">
    <cfRule type="cellIs" dxfId="14583" priority="14421" stopIfTrue="1" operator="equal">
      <formula>"Pass"</formula>
    </cfRule>
    <cfRule type="cellIs" dxfId="14582" priority="14422" stopIfTrue="1" operator="equal">
      <formula>"Fail"</formula>
    </cfRule>
  </conditionalFormatting>
  <conditionalFormatting sqref="A979">
    <cfRule type="cellIs" dxfId="14581" priority="14419" stopIfTrue="1" operator="equal">
      <formula>"Pass"</formula>
    </cfRule>
    <cfRule type="cellIs" dxfId="14580" priority="14420" stopIfTrue="1" operator="equal">
      <formula>"Fail"</formula>
    </cfRule>
  </conditionalFormatting>
  <conditionalFormatting sqref="A979">
    <cfRule type="cellIs" dxfId="14579" priority="14417" stopIfTrue="1" operator="equal">
      <formula>"Pass"</formula>
    </cfRule>
    <cfRule type="cellIs" dxfId="14578" priority="14418" stopIfTrue="1" operator="equal">
      <formula>"Fail"</formula>
    </cfRule>
  </conditionalFormatting>
  <conditionalFormatting sqref="A979">
    <cfRule type="cellIs" dxfId="14577" priority="14415" stopIfTrue="1" operator="equal">
      <formula>"Pass"</formula>
    </cfRule>
    <cfRule type="cellIs" dxfId="14576" priority="14416" stopIfTrue="1" operator="equal">
      <formula>"Fail"</formula>
    </cfRule>
  </conditionalFormatting>
  <conditionalFormatting sqref="H979:H980">
    <cfRule type="cellIs" dxfId="14575" priority="14413" stopIfTrue="1" operator="equal">
      <formula>"Pass"</formula>
    </cfRule>
    <cfRule type="cellIs" dxfId="14574" priority="14414" stopIfTrue="1" operator="equal">
      <formula>"Fail"</formula>
    </cfRule>
  </conditionalFormatting>
  <conditionalFormatting sqref="E979:F979 E981:F981 A979 I979:M980">
    <cfRule type="cellIs" dxfId="14573" priority="14411" stopIfTrue="1" operator="equal">
      <formula>"Pass"</formula>
    </cfRule>
    <cfRule type="cellIs" dxfId="14572" priority="14412" stopIfTrue="1" operator="equal">
      <formula>"Fail"</formula>
    </cfRule>
  </conditionalFormatting>
  <conditionalFormatting sqref="T981 T979 R979:R981 S980:S981">
    <cfRule type="cellIs" dxfId="14571" priority="14409" stopIfTrue="1" operator="equal">
      <formula>"Fail"</formula>
    </cfRule>
    <cfRule type="cellIs" dxfId="14570" priority="14410" stopIfTrue="1" operator="equal">
      <formula>"Pass"</formula>
    </cfRule>
  </conditionalFormatting>
  <conditionalFormatting sqref="F979:G979 F981:G981 B979:B981 A979 J979:N980">
    <cfRule type="cellIs" dxfId="14569" priority="14407" stopIfTrue="1" operator="equal">
      <formula>"Pass"</formula>
    </cfRule>
    <cfRule type="cellIs" dxfId="14568" priority="14408" stopIfTrue="1" operator="equal">
      <formula>"Fail"</formula>
    </cfRule>
  </conditionalFormatting>
  <conditionalFormatting sqref="U981:V981 T979:T981 S980:S981">
    <cfRule type="cellIs" dxfId="14567" priority="14405" stopIfTrue="1" operator="equal">
      <formula>"Fail"</formula>
    </cfRule>
    <cfRule type="cellIs" dxfId="14566" priority="14406" stopIfTrue="1" operator="equal">
      <formula>"Pass"</formula>
    </cfRule>
  </conditionalFormatting>
  <conditionalFormatting sqref="A979">
    <cfRule type="cellIs" dxfId="14565" priority="14403" stopIfTrue="1" operator="equal">
      <formula>"Pass"</formula>
    </cfRule>
    <cfRule type="cellIs" dxfId="14564" priority="14404" stopIfTrue="1" operator="equal">
      <formula>"Fail"</formula>
    </cfRule>
  </conditionalFormatting>
  <conditionalFormatting sqref="A979">
    <cfRule type="cellIs" dxfId="14563" priority="14401" stopIfTrue="1" operator="equal">
      <formula>"Pass"</formula>
    </cfRule>
    <cfRule type="cellIs" dxfId="14562" priority="14402" stopIfTrue="1" operator="equal">
      <formula>"Fail"</formula>
    </cfRule>
  </conditionalFormatting>
  <conditionalFormatting sqref="A979">
    <cfRule type="cellIs" dxfId="14561" priority="14399" stopIfTrue="1" operator="equal">
      <formula>"Pass"</formula>
    </cfRule>
    <cfRule type="cellIs" dxfId="14560" priority="14400" stopIfTrue="1" operator="equal">
      <formula>"Fail"</formula>
    </cfRule>
  </conditionalFormatting>
  <conditionalFormatting sqref="A979">
    <cfRule type="cellIs" dxfId="14559" priority="14397" stopIfTrue="1" operator="equal">
      <formula>"Pass"</formula>
    </cfRule>
    <cfRule type="cellIs" dxfId="14558" priority="14398" stopIfTrue="1" operator="equal">
      <formula>"Fail"</formula>
    </cfRule>
  </conditionalFormatting>
  <conditionalFormatting sqref="A979">
    <cfRule type="cellIs" dxfId="14557" priority="14395" stopIfTrue="1" operator="equal">
      <formula>"Pass"</formula>
    </cfRule>
    <cfRule type="cellIs" dxfId="14556" priority="14396" stopIfTrue="1" operator="equal">
      <formula>"Fail"</formula>
    </cfRule>
  </conditionalFormatting>
  <conditionalFormatting sqref="A979">
    <cfRule type="cellIs" dxfId="14555" priority="14393" stopIfTrue="1" operator="equal">
      <formula>"Pass"</formula>
    </cfRule>
    <cfRule type="cellIs" dxfId="14554" priority="14394" stopIfTrue="1" operator="equal">
      <formula>"Fail"</formula>
    </cfRule>
  </conditionalFormatting>
  <conditionalFormatting sqref="A979">
    <cfRule type="cellIs" dxfId="14553" priority="14391" stopIfTrue="1" operator="equal">
      <formula>"Pass"</formula>
    </cfRule>
    <cfRule type="cellIs" dxfId="14552" priority="14392" stopIfTrue="1" operator="equal">
      <formula>"Fail"</formula>
    </cfRule>
  </conditionalFormatting>
  <conditionalFormatting sqref="A979">
    <cfRule type="cellIs" dxfId="14551" priority="14389" stopIfTrue="1" operator="equal">
      <formula>"Pass"</formula>
    </cfRule>
    <cfRule type="cellIs" dxfId="14550" priority="14390" stopIfTrue="1" operator="equal">
      <formula>"Fail"</formula>
    </cfRule>
  </conditionalFormatting>
  <conditionalFormatting sqref="A979">
    <cfRule type="cellIs" dxfId="14549" priority="14387" stopIfTrue="1" operator="equal">
      <formula>"Pass"</formula>
    </cfRule>
    <cfRule type="cellIs" dxfId="14548" priority="14388" stopIfTrue="1" operator="equal">
      <formula>"Fail"</formula>
    </cfRule>
  </conditionalFormatting>
  <conditionalFormatting sqref="A979">
    <cfRule type="cellIs" dxfId="14547" priority="14385" stopIfTrue="1" operator="equal">
      <formula>"Pass"</formula>
    </cfRule>
    <cfRule type="cellIs" dxfId="14546" priority="14386" stopIfTrue="1" operator="equal">
      <formula>"Fail"</formula>
    </cfRule>
  </conditionalFormatting>
  <conditionalFormatting sqref="U979:V979">
    <cfRule type="cellIs" dxfId="14545" priority="14383" stopIfTrue="1" operator="equal">
      <formula>"Fail"</formula>
    </cfRule>
    <cfRule type="cellIs" dxfId="14544" priority="14384" stopIfTrue="1" operator="equal">
      <formula>"Pass"</formula>
    </cfRule>
  </conditionalFormatting>
  <conditionalFormatting sqref="F979:G979 J979:N979">
    <cfRule type="cellIs" dxfId="14543" priority="14381" stopIfTrue="1" operator="equal">
      <formula>"Pass"</formula>
    </cfRule>
    <cfRule type="cellIs" dxfId="14542" priority="14382" stopIfTrue="1" operator="equal">
      <formula>"Fail"</formula>
    </cfRule>
  </conditionalFormatting>
  <conditionalFormatting sqref="J980:N980">
    <cfRule type="cellIs" dxfId="14541" priority="14379" stopIfTrue="1" operator="equal">
      <formula>"Pass"</formula>
    </cfRule>
    <cfRule type="cellIs" dxfId="14540" priority="14380" stopIfTrue="1" operator="equal">
      <formula>"Fail"</formula>
    </cfRule>
  </conditionalFormatting>
  <conditionalFormatting sqref="A979">
    <cfRule type="cellIs" dxfId="14539" priority="14377" stopIfTrue="1" operator="equal">
      <formula>"Pass"</formula>
    </cfRule>
    <cfRule type="cellIs" dxfId="14538" priority="14378" stopIfTrue="1" operator="equal">
      <formula>"Fail"</formula>
    </cfRule>
  </conditionalFormatting>
  <conditionalFormatting sqref="A979">
    <cfRule type="cellIs" dxfId="14537" priority="14375" stopIfTrue="1" operator="equal">
      <formula>"Pass"</formula>
    </cfRule>
    <cfRule type="cellIs" dxfId="14536" priority="14376" stopIfTrue="1" operator="equal">
      <formula>"Fail"</formula>
    </cfRule>
  </conditionalFormatting>
  <conditionalFormatting sqref="A979">
    <cfRule type="cellIs" dxfId="14535" priority="14373" stopIfTrue="1" operator="equal">
      <formula>"Pass"</formula>
    </cfRule>
    <cfRule type="cellIs" dxfId="14534" priority="14374" stopIfTrue="1" operator="equal">
      <formula>"Fail"</formula>
    </cfRule>
  </conditionalFormatting>
  <conditionalFormatting sqref="A979">
    <cfRule type="cellIs" dxfId="14533" priority="14371" stopIfTrue="1" operator="equal">
      <formula>"Pass"</formula>
    </cfRule>
    <cfRule type="cellIs" dxfId="14532" priority="14372" stopIfTrue="1" operator="equal">
      <formula>"Fail"</formula>
    </cfRule>
  </conditionalFormatting>
  <conditionalFormatting sqref="A979">
    <cfRule type="cellIs" dxfId="14531" priority="14369" stopIfTrue="1" operator="equal">
      <formula>"Pass"</formula>
    </cfRule>
    <cfRule type="cellIs" dxfId="14530" priority="14370" stopIfTrue="1" operator="equal">
      <formula>"Fail"</formula>
    </cfRule>
  </conditionalFormatting>
  <conditionalFormatting sqref="A979">
    <cfRule type="cellIs" dxfId="14529" priority="14367" stopIfTrue="1" operator="equal">
      <formula>"Pass"</formula>
    </cfRule>
    <cfRule type="cellIs" dxfId="14528" priority="14368" stopIfTrue="1" operator="equal">
      <formula>"Fail"</formula>
    </cfRule>
  </conditionalFormatting>
  <conditionalFormatting sqref="A979">
    <cfRule type="cellIs" dxfId="14527" priority="14365" stopIfTrue="1" operator="equal">
      <formula>"Pass"</formula>
    </cfRule>
    <cfRule type="cellIs" dxfId="14526" priority="14366" stopIfTrue="1" operator="equal">
      <formula>"Fail"</formula>
    </cfRule>
  </conditionalFormatting>
  <conditionalFormatting sqref="A979">
    <cfRule type="cellIs" dxfId="14525" priority="14363" stopIfTrue="1" operator="equal">
      <formula>"Pass"</formula>
    </cfRule>
    <cfRule type="cellIs" dxfId="14524" priority="14364" stopIfTrue="1" operator="equal">
      <formula>"Fail"</formula>
    </cfRule>
  </conditionalFormatting>
  <conditionalFormatting sqref="A979">
    <cfRule type="cellIs" dxfId="14523" priority="14361" stopIfTrue="1" operator="equal">
      <formula>"Pass"</formula>
    </cfRule>
    <cfRule type="cellIs" dxfId="14522" priority="14362" stopIfTrue="1" operator="equal">
      <formula>"Fail"</formula>
    </cfRule>
  </conditionalFormatting>
  <conditionalFormatting sqref="A979">
    <cfRule type="cellIs" dxfId="14521" priority="14359" stopIfTrue="1" operator="equal">
      <formula>"Pass"</formula>
    </cfRule>
    <cfRule type="cellIs" dxfId="14520" priority="14360" stopIfTrue="1" operator="equal">
      <formula>"Fail"</formula>
    </cfRule>
  </conditionalFormatting>
  <conditionalFormatting sqref="A979">
    <cfRule type="cellIs" dxfId="14519" priority="14357" stopIfTrue="1" operator="equal">
      <formula>"Pass"</formula>
    </cfRule>
    <cfRule type="cellIs" dxfId="14518" priority="14358" stopIfTrue="1" operator="equal">
      <formula>"Fail"</formula>
    </cfRule>
  </conditionalFormatting>
  <conditionalFormatting sqref="A979">
    <cfRule type="cellIs" dxfId="14517" priority="14355" stopIfTrue="1" operator="equal">
      <formula>"Pass"</formula>
    </cfRule>
    <cfRule type="cellIs" dxfId="14516" priority="14356" stopIfTrue="1" operator="equal">
      <formula>"Fail"</formula>
    </cfRule>
  </conditionalFormatting>
  <conditionalFormatting sqref="H979:H980">
    <cfRule type="cellIs" dxfId="14515" priority="14353" stopIfTrue="1" operator="equal">
      <formula>"Pass"</formula>
    </cfRule>
    <cfRule type="cellIs" dxfId="14514" priority="14354" stopIfTrue="1" operator="equal">
      <formula>"Fail"</formula>
    </cfRule>
  </conditionalFormatting>
  <conditionalFormatting sqref="F979 F981 I979:M980">
    <cfRule type="cellIs" dxfId="14513" priority="14351" stopIfTrue="1" operator="equal">
      <formula>"Pass"</formula>
    </cfRule>
    <cfRule type="cellIs" dxfId="14512" priority="14352" stopIfTrue="1" operator="equal">
      <formula>"Fail"</formula>
    </cfRule>
  </conditionalFormatting>
  <conditionalFormatting sqref="T981 T979 R979:R981 S980:S981">
    <cfRule type="cellIs" dxfId="14511" priority="14349" stopIfTrue="1" operator="equal">
      <formula>"Fail"</formula>
    </cfRule>
    <cfRule type="cellIs" dxfId="14510" priority="14350" stopIfTrue="1" operator="equal">
      <formula>"Pass"</formula>
    </cfRule>
  </conditionalFormatting>
  <conditionalFormatting sqref="F979:G979 F981:G981 J979:N980">
    <cfRule type="cellIs" dxfId="14509" priority="14347" stopIfTrue="1" operator="equal">
      <formula>"Pass"</formula>
    </cfRule>
    <cfRule type="cellIs" dxfId="14508" priority="14348" stopIfTrue="1" operator="equal">
      <formula>"Fail"</formula>
    </cfRule>
  </conditionalFormatting>
  <conditionalFormatting sqref="U981:V981 T979:T981 S980:S981">
    <cfRule type="cellIs" dxfId="14507" priority="14345" stopIfTrue="1" operator="equal">
      <formula>"Fail"</formula>
    </cfRule>
    <cfRule type="cellIs" dxfId="14506" priority="14346" stopIfTrue="1" operator="equal">
      <formula>"Pass"</formula>
    </cfRule>
  </conditionalFormatting>
  <conditionalFormatting sqref="U979:V979">
    <cfRule type="cellIs" dxfId="14505" priority="14343" stopIfTrue="1" operator="equal">
      <formula>"Fail"</formula>
    </cfRule>
    <cfRule type="cellIs" dxfId="14504" priority="14344" stopIfTrue="1" operator="equal">
      <formula>"Pass"</formula>
    </cfRule>
  </conditionalFormatting>
  <conditionalFormatting sqref="F979:G979 J979:N979">
    <cfRule type="cellIs" dxfId="14503" priority="14341" stopIfTrue="1" operator="equal">
      <formula>"Pass"</formula>
    </cfRule>
    <cfRule type="cellIs" dxfId="14502" priority="14342" stopIfTrue="1" operator="equal">
      <formula>"Fail"</formula>
    </cfRule>
  </conditionalFormatting>
  <conditionalFormatting sqref="J980:N980">
    <cfRule type="cellIs" dxfId="14501" priority="14339" stopIfTrue="1" operator="equal">
      <formula>"Pass"</formula>
    </cfRule>
    <cfRule type="cellIs" dxfId="14500" priority="14340" stopIfTrue="1" operator="equal">
      <formula>"Fail"</formula>
    </cfRule>
  </conditionalFormatting>
  <conditionalFormatting sqref="H979:H980">
    <cfRule type="cellIs" dxfId="14499" priority="14337" stopIfTrue="1" operator="equal">
      <formula>"Pass"</formula>
    </cfRule>
    <cfRule type="cellIs" dxfId="14498" priority="14338" stopIfTrue="1" operator="equal">
      <formula>"Fail"</formula>
    </cfRule>
  </conditionalFormatting>
  <conditionalFormatting sqref="F979 F981 I979:M980">
    <cfRule type="cellIs" dxfId="14497" priority="14335" stopIfTrue="1" operator="equal">
      <formula>"Pass"</formula>
    </cfRule>
    <cfRule type="cellIs" dxfId="14496" priority="14336" stopIfTrue="1" operator="equal">
      <formula>"Fail"</formula>
    </cfRule>
  </conditionalFormatting>
  <conditionalFormatting sqref="T981 T979 R979:R981 S980:S981">
    <cfRule type="cellIs" dxfId="14495" priority="14333" stopIfTrue="1" operator="equal">
      <formula>"Fail"</formula>
    </cfRule>
    <cfRule type="cellIs" dxfId="14494" priority="14334" stopIfTrue="1" operator="equal">
      <formula>"Pass"</formula>
    </cfRule>
  </conditionalFormatting>
  <conditionalFormatting sqref="F979:G979 F981:G981 J979:N980">
    <cfRule type="cellIs" dxfId="14493" priority="14331" stopIfTrue="1" operator="equal">
      <formula>"Pass"</formula>
    </cfRule>
    <cfRule type="cellIs" dxfId="14492" priority="14332" stopIfTrue="1" operator="equal">
      <formula>"Fail"</formula>
    </cfRule>
  </conditionalFormatting>
  <conditionalFormatting sqref="U981:V981 T979:T981 S980:S981">
    <cfRule type="cellIs" dxfId="14491" priority="14329" stopIfTrue="1" operator="equal">
      <formula>"Fail"</formula>
    </cfRule>
    <cfRule type="cellIs" dxfId="14490" priority="14330" stopIfTrue="1" operator="equal">
      <formula>"Pass"</formula>
    </cfRule>
  </conditionalFormatting>
  <conditionalFormatting sqref="U979:V979">
    <cfRule type="cellIs" dxfId="14489" priority="14327" stopIfTrue="1" operator="equal">
      <formula>"Fail"</formula>
    </cfRule>
    <cfRule type="cellIs" dxfId="14488" priority="14328" stopIfTrue="1" operator="equal">
      <formula>"Pass"</formula>
    </cfRule>
  </conditionalFormatting>
  <conditionalFormatting sqref="F979:G979 J979:N979">
    <cfRule type="cellIs" dxfId="14487" priority="14325" stopIfTrue="1" operator="equal">
      <formula>"Pass"</formula>
    </cfRule>
    <cfRule type="cellIs" dxfId="14486" priority="14326" stopIfTrue="1" operator="equal">
      <formula>"Fail"</formula>
    </cfRule>
  </conditionalFormatting>
  <conditionalFormatting sqref="J980:N980">
    <cfRule type="cellIs" dxfId="14485" priority="14323" stopIfTrue="1" operator="equal">
      <formula>"Pass"</formula>
    </cfRule>
    <cfRule type="cellIs" dxfId="14484" priority="14324" stopIfTrue="1" operator="equal">
      <formula>"Fail"</formula>
    </cfRule>
  </conditionalFormatting>
  <conditionalFormatting sqref="U979:V979">
    <cfRule type="cellIs" dxfId="14483" priority="14321" stopIfTrue="1" operator="equal">
      <formula>"Fail"</formula>
    </cfRule>
    <cfRule type="cellIs" dxfId="14482" priority="14322" stopIfTrue="1" operator="equal">
      <formula>"Pass"</formula>
    </cfRule>
  </conditionalFormatting>
  <conditionalFormatting sqref="U979:V979">
    <cfRule type="cellIs" dxfId="14481" priority="14319" stopIfTrue="1" operator="equal">
      <formula>"Fail"</formula>
    </cfRule>
    <cfRule type="cellIs" dxfId="14480" priority="14320" stopIfTrue="1" operator="equal">
      <formula>"Pass"</formula>
    </cfRule>
  </conditionalFormatting>
  <conditionalFormatting sqref="U979:V979">
    <cfRule type="cellIs" dxfId="14479" priority="14317" stopIfTrue="1" operator="equal">
      <formula>"Fail"</formula>
    </cfRule>
    <cfRule type="cellIs" dxfId="14478" priority="14318" stopIfTrue="1" operator="equal">
      <formula>"Pass"</formula>
    </cfRule>
  </conditionalFormatting>
  <conditionalFormatting sqref="N979">
    <cfRule type="cellIs" dxfId="14477" priority="14315" stopIfTrue="1" operator="equal">
      <formula>"Pass"</formula>
    </cfRule>
    <cfRule type="cellIs" dxfId="14476" priority="14316" stopIfTrue="1" operator="equal">
      <formula>"Fail"</formula>
    </cfRule>
  </conditionalFormatting>
  <conditionalFormatting sqref="N979">
    <cfRule type="cellIs" dxfId="14475" priority="14313" stopIfTrue="1" operator="equal">
      <formula>"Pass"</formula>
    </cfRule>
    <cfRule type="cellIs" dxfId="14474" priority="14314" stopIfTrue="1" operator="equal">
      <formula>"Fail"</formula>
    </cfRule>
  </conditionalFormatting>
  <conditionalFormatting sqref="N979">
    <cfRule type="cellIs" dxfId="14473" priority="14311" stopIfTrue="1" operator="equal">
      <formula>"Pass"</formula>
    </cfRule>
    <cfRule type="cellIs" dxfId="14472" priority="14312" stopIfTrue="1" operator="equal">
      <formula>"Fail"</formula>
    </cfRule>
  </conditionalFormatting>
  <conditionalFormatting sqref="A976">
    <cfRule type="cellIs" dxfId="14471" priority="14309" stopIfTrue="1" operator="equal">
      <formula>"Pass"</formula>
    </cfRule>
    <cfRule type="cellIs" dxfId="14470" priority="14310" stopIfTrue="1" operator="equal">
      <formula>"Fail"</formula>
    </cfRule>
  </conditionalFormatting>
  <conditionalFormatting sqref="A976">
    <cfRule type="cellIs" dxfId="14469" priority="14307" stopIfTrue="1" operator="equal">
      <formula>"Pass"</formula>
    </cfRule>
    <cfRule type="cellIs" dxfId="14468" priority="14308" stopIfTrue="1" operator="equal">
      <formula>"Fail"</formula>
    </cfRule>
  </conditionalFormatting>
  <conditionalFormatting sqref="A976">
    <cfRule type="cellIs" dxfId="14467" priority="14305" stopIfTrue="1" operator="equal">
      <formula>"Pass"</formula>
    </cfRule>
    <cfRule type="cellIs" dxfId="14466" priority="14306" stopIfTrue="1" operator="equal">
      <formula>"Fail"</formula>
    </cfRule>
  </conditionalFormatting>
  <conditionalFormatting sqref="A976">
    <cfRule type="cellIs" dxfId="14465" priority="14303" stopIfTrue="1" operator="equal">
      <formula>"Pass"</formula>
    </cfRule>
    <cfRule type="cellIs" dxfId="14464" priority="14304" stopIfTrue="1" operator="equal">
      <formula>"Fail"</formula>
    </cfRule>
  </conditionalFormatting>
  <conditionalFormatting sqref="A976">
    <cfRule type="cellIs" dxfId="14463" priority="14301" stopIfTrue="1" operator="equal">
      <formula>"Pass"</formula>
    </cfRule>
    <cfRule type="cellIs" dxfId="14462" priority="14302" stopIfTrue="1" operator="equal">
      <formula>"Fail"</formula>
    </cfRule>
  </conditionalFormatting>
  <conditionalFormatting sqref="A976">
    <cfRule type="cellIs" dxfId="14461" priority="14299" stopIfTrue="1" operator="equal">
      <formula>"Pass"</formula>
    </cfRule>
    <cfRule type="cellIs" dxfId="14460" priority="14300" stopIfTrue="1" operator="equal">
      <formula>"Fail"</formula>
    </cfRule>
  </conditionalFormatting>
  <conditionalFormatting sqref="A976">
    <cfRule type="cellIs" dxfId="14459" priority="14297" stopIfTrue="1" operator="equal">
      <formula>"Pass"</formula>
    </cfRule>
    <cfRule type="cellIs" dxfId="14458" priority="14298" stopIfTrue="1" operator="equal">
      <formula>"Fail"</formula>
    </cfRule>
  </conditionalFormatting>
  <conditionalFormatting sqref="A976">
    <cfRule type="cellIs" dxfId="14457" priority="14295" stopIfTrue="1" operator="equal">
      <formula>"Pass"</formula>
    </cfRule>
    <cfRule type="cellIs" dxfId="14456" priority="14296" stopIfTrue="1" operator="equal">
      <formula>"Fail"</formula>
    </cfRule>
  </conditionalFormatting>
  <conditionalFormatting sqref="A976">
    <cfRule type="cellIs" dxfId="14455" priority="14293" stopIfTrue="1" operator="equal">
      <formula>"Pass"</formula>
    </cfRule>
    <cfRule type="cellIs" dxfId="14454" priority="14294" stopIfTrue="1" operator="equal">
      <formula>"Fail"</formula>
    </cfRule>
  </conditionalFormatting>
  <conditionalFormatting sqref="A976">
    <cfRule type="cellIs" dxfId="14453" priority="14291" stopIfTrue="1" operator="equal">
      <formula>"Pass"</formula>
    </cfRule>
    <cfRule type="cellIs" dxfId="14452" priority="14292" stopIfTrue="1" operator="equal">
      <formula>"Fail"</formula>
    </cfRule>
  </conditionalFormatting>
  <conditionalFormatting sqref="A976">
    <cfRule type="cellIs" dxfId="14451" priority="14289" stopIfTrue="1" operator="equal">
      <formula>"Pass"</formula>
    </cfRule>
    <cfRule type="cellIs" dxfId="14450" priority="14290" stopIfTrue="1" operator="equal">
      <formula>"Fail"</formula>
    </cfRule>
  </conditionalFormatting>
  <conditionalFormatting sqref="A976">
    <cfRule type="cellIs" dxfId="14449" priority="14287" stopIfTrue="1" operator="equal">
      <formula>"Pass"</formula>
    </cfRule>
    <cfRule type="cellIs" dxfId="14448" priority="14288" stopIfTrue="1" operator="equal">
      <formula>"Fail"</formula>
    </cfRule>
  </conditionalFormatting>
  <conditionalFormatting sqref="A976">
    <cfRule type="cellIs" dxfId="14447" priority="14285" stopIfTrue="1" operator="equal">
      <formula>"Pass"</formula>
    </cfRule>
    <cfRule type="cellIs" dxfId="14446" priority="14286" stopIfTrue="1" operator="equal">
      <formula>"Fail"</formula>
    </cfRule>
  </conditionalFormatting>
  <conditionalFormatting sqref="A976">
    <cfRule type="cellIs" dxfId="14445" priority="14283" stopIfTrue="1" operator="equal">
      <formula>"Pass"</formula>
    </cfRule>
    <cfRule type="cellIs" dxfId="14444" priority="14284" stopIfTrue="1" operator="equal">
      <formula>"Fail"</formula>
    </cfRule>
  </conditionalFormatting>
  <conditionalFormatting sqref="A976">
    <cfRule type="cellIs" dxfId="14443" priority="14281" stopIfTrue="1" operator="equal">
      <formula>"Pass"</formula>
    </cfRule>
    <cfRule type="cellIs" dxfId="14442" priority="14282" stopIfTrue="1" operator="equal">
      <formula>"Fail"</formula>
    </cfRule>
  </conditionalFormatting>
  <conditionalFormatting sqref="A976">
    <cfRule type="cellIs" dxfId="14441" priority="14279" stopIfTrue="1" operator="equal">
      <formula>"Pass"</formula>
    </cfRule>
    <cfRule type="cellIs" dxfId="14440" priority="14280" stopIfTrue="1" operator="equal">
      <formula>"Fail"</formula>
    </cfRule>
  </conditionalFormatting>
  <conditionalFormatting sqref="A976">
    <cfRule type="cellIs" dxfId="14439" priority="14277" stopIfTrue="1" operator="equal">
      <formula>"Pass"</formula>
    </cfRule>
    <cfRule type="cellIs" dxfId="14438" priority="14278" stopIfTrue="1" operator="equal">
      <formula>"Fail"</formula>
    </cfRule>
  </conditionalFormatting>
  <conditionalFormatting sqref="A976">
    <cfRule type="cellIs" dxfId="14437" priority="14275" stopIfTrue="1" operator="equal">
      <formula>"Pass"</formula>
    </cfRule>
    <cfRule type="cellIs" dxfId="14436" priority="14276" stopIfTrue="1" operator="equal">
      <formula>"Fail"</formula>
    </cfRule>
  </conditionalFormatting>
  <conditionalFormatting sqref="A979">
    <cfRule type="cellIs" dxfId="14435" priority="14273" stopIfTrue="1" operator="equal">
      <formula>"Pass"</formula>
    </cfRule>
    <cfRule type="cellIs" dxfId="14434" priority="14274" stopIfTrue="1" operator="equal">
      <formula>"Fail"</formula>
    </cfRule>
  </conditionalFormatting>
  <conditionalFormatting sqref="A979">
    <cfRule type="cellIs" dxfId="14433" priority="14271" stopIfTrue="1" operator="equal">
      <formula>"Pass"</formula>
    </cfRule>
    <cfRule type="cellIs" dxfId="14432" priority="14272" stopIfTrue="1" operator="equal">
      <formula>"Fail"</formula>
    </cfRule>
  </conditionalFormatting>
  <conditionalFormatting sqref="A979">
    <cfRule type="cellIs" dxfId="14431" priority="14269" stopIfTrue="1" operator="equal">
      <formula>"Pass"</formula>
    </cfRule>
    <cfRule type="cellIs" dxfId="14430" priority="14270" stopIfTrue="1" operator="equal">
      <formula>"Fail"</formula>
    </cfRule>
  </conditionalFormatting>
  <conditionalFormatting sqref="A979">
    <cfRule type="cellIs" dxfId="14429" priority="14267" stopIfTrue="1" operator="equal">
      <formula>"Pass"</formula>
    </cfRule>
    <cfRule type="cellIs" dxfId="14428" priority="14268" stopIfTrue="1" operator="equal">
      <formula>"Fail"</formula>
    </cfRule>
  </conditionalFormatting>
  <conditionalFormatting sqref="A979">
    <cfRule type="cellIs" dxfId="14427" priority="14265" stopIfTrue="1" operator="equal">
      <formula>"Pass"</formula>
    </cfRule>
    <cfRule type="cellIs" dxfId="14426" priority="14266" stopIfTrue="1" operator="equal">
      <formula>"Fail"</formula>
    </cfRule>
  </conditionalFormatting>
  <conditionalFormatting sqref="A979">
    <cfRule type="cellIs" dxfId="14425" priority="14263" stopIfTrue="1" operator="equal">
      <formula>"Pass"</formula>
    </cfRule>
    <cfRule type="cellIs" dxfId="14424" priority="14264" stopIfTrue="1" operator="equal">
      <formula>"Fail"</formula>
    </cfRule>
  </conditionalFormatting>
  <conditionalFormatting sqref="A979">
    <cfRule type="cellIs" dxfId="14423" priority="14261" stopIfTrue="1" operator="equal">
      <formula>"Pass"</formula>
    </cfRule>
    <cfRule type="cellIs" dxfId="14422" priority="14262" stopIfTrue="1" operator="equal">
      <formula>"Fail"</formula>
    </cfRule>
  </conditionalFormatting>
  <conditionalFormatting sqref="A979">
    <cfRule type="cellIs" dxfId="14421" priority="14259" stopIfTrue="1" operator="equal">
      <formula>"Pass"</formula>
    </cfRule>
    <cfRule type="cellIs" dxfId="14420" priority="14260" stopIfTrue="1" operator="equal">
      <formula>"Fail"</formula>
    </cfRule>
  </conditionalFormatting>
  <conditionalFormatting sqref="A979">
    <cfRule type="cellIs" dxfId="14419" priority="14257" stopIfTrue="1" operator="equal">
      <formula>"Pass"</formula>
    </cfRule>
    <cfRule type="cellIs" dxfId="14418" priority="14258" stopIfTrue="1" operator="equal">
      <formula>"Fail"</formula>
    </cfRule>
  </conditionalFormatting>
  <conditionalFormatting sqref="A979">
    <cfRule type="cellIs" dxfId="14417" priority="14255" stopIfTrue="1" operator="equal">
      <formula>"Pass"</formula>
    </cfRule>
    <cfRule type="cellIs" dxfId="14416" priority="14256" stopIfTrue="1" operator="equal">
      <formula>"Fail"</formula>
    </cfRule>
  </conditionalFormatting>
  <conditionalFormatting sqref="A979">
    <cfRule type="cellIs" dxfId="14415" priority="14253" stopIfTrue="1" operator="equal">
      <formula>"Pass"</formula>
    </cfRule>
    <cfRule type="cellIs" dxfId="14414" priority="14254" stopIfTrue="1" operator="equal">
      <formula>"Fail"</formula>
    </cfRule>
  </conditionalFormatting>
  <conditionalFormatting sqref="A979">
    <cfRule type="cellIs" dxfId="14413" priority="14251" stopIfTrue="1" operator="equal">
      <formula>"Pass"</formula>
    </cfRule>
    <cfRule type="cellIs" dxfId="14412" priority="14252" stopIfTrue="1" operator="equal">
      <formula>"Fail"</formula>
    </cfRule>
  </conditionalFormatting>
  <conditionalFormatting sqref="A979">
    <cfRule type="cellIs" dxfId="14411" priority="14249" stopIfTrue="1" operator="equal">
      <formula>"Pass"</formula>
    </cfRule>
    <cfRule type="cellIs" dxfId="14410" priority="14250" stopIfTrue="1" operator="equal">
      <formula>"Fail"</formula>
    </cfRule>
  </conditionalFormatting>
  <conditionalFormatting sqref="A979">
    <cfRule type="cellIs" dxfId="14409" priority="14247" stopIfTrue="1" operator="equal">
      <formula>"Pass"</formula>
    </cfRule>
    <cfRule type="cellIs" dxfId="14408" priority="14248" stopIfTrue="1" operator="equal">
      <formula>"Fail"</formula>
    </cfRule>
  </conditionalFormatting>
  <conditionalFormatting sqref="A979">
    <cfRule type="cellIs" dxfId="14407" priority="14245" stopIfTrue="1" operator="equal">
      <formula>"Pass"</formula>
    </cfRule>
    <cfRule type="cellIs" dxfId="14406" priority="14246" stopIfTrue="1" operator="equal">
      <formula>"Fail"</formula>
    </cfRule>
  </conditionalFormatting>
  <conditionalFormatting sqref="A979">
    <cfRule type="cellIs" dxfId="14405" priority="14243" stopIfTrue="1" operator="equal">
      <formula>"Pass"</formula>
    </cfRule>
    <cfRule type="cellIs" dxfId="14404" priority="14244" stopIfTrue="1" operator="equal">
      <formula>"Fail"</formula>
    </cfRule>
  </conditionalFormatting>
  <conditionalFormatting sqref="A979">
    <cfRule type="cellIs" dxfId="14403" priority="14241" stopIfTrue="1" operator="equal">
      <formula>"Pass"</formula>
    </cfRule>
    <cfRule type="cellIs" dxfId="14402" priority="14242" stopIfTrue="1" operator="equal">
      <formula>"Fail"</formula>
    </cfRule>
  </conditionalFormatting>
  <conditionalFormatting sqref="A979">
    <cfRule type="cellIs" dxfId="14401" priority="14239" stopIfTrue="1" operator="equal">
      <formula>"Pass"</formula>
    </cfRule>
    <cfRule type="cellIs" dxfId="14400" priority="14240" stopIfTrue="1" operator="equal">
      <formula>"Fail"</formula>
    </cfRule>
  </conditionalFormatting>
  <conditionalFormatting sqref="H979:H980">
    <cfRule type="cellIs" dxfId="14399" priority="14237" stopIfTrue="1" operator="equal">
      <formula>"Pass"</formula>
    </cfRule>
    <cfRule type="cellIs" dxfId="14398" priority="14238" stopIfTrue="1" operator="equal">
      <formula>"Fail"</formula>
    </cfRule>
  </conditionalFormatting>
  <conditionalFormatting sqref="F979 F981 I979:M980">
    <cfRule type="cellIs" dxfId="14397" priority="14235" stopIfTrue="1" operator="equal">
      <formula>"Pass"</formula>
    </cfRule>
    <cfRule type="cellIs" dxfId="14396" priority="14236" stopIfTrue="1" operator="equal">
      <formula>"Fail"</formula>
    </cfRule>
  </conditionalFormatting>
  <conditionalFormatting sqref="T981 T979 R979:R981 S980:S981">
    <cfRule type="cellIs" dxfId="14395" priority="14233" stopIfTrue="1" operator="equal">
      <formula>"Fail"</formula>
    </cfRule>
    <cfRule type="cellIs" dxfId="14394" priority="14234" stopIfTrue="1" operator="equal">
      <formula>"Pass"</formula>
    </cfRule>
  </conditionalFormatting>
  <conditionalFormatting sqref="F979:G979 F981:G981 J979:N980">
    <cfRule type="cellIs" dxfId="14393" priority="14231" stopIfTrue="1" operator="equal">
      <formula>"Pass"</formula>
    </cfRule>
    <cfRule type="cellIs" dxfId="14392" priority="14232" stopIfTrue="1" operator="equal">
      <formula>"Fail"</formula>
    </cfRule>
  </conditionalFormatting>
  <conditionalFormatting sqref="U981:V981 T979:T981 S980:S981">
    <cfRule type="cellIs" dxfId="14391" priority="14229" stopIfTrue="1" operator="equal">
      <formula>"Fail"</formula>
    </cfRule>
    <cfRule type="cellIs" dxfId="14390" priority="14230" stopIfTrue="1" operator="equal">
      <formula>"Pass"</formula>
    </cfRule>
  </conditionalFormatting>
  <conditionalFormatting sqref="U979:V979">
    <cfRule type="cellIs" dxfId="14389" priority="14227" stopIfTrue="1" operator="equal">
      <formula>"Fail"</formula>
    </cfRule>
    <cfRule type="cellIs" dxfId="14388" priority="14228" stopIfTrue="1" operator="equal">
      <formula>"Pass"</formula>
    </cfRule>
  </conditionalFormatting>
  <conditionalFormatting sqref="F979:G979 J979:N979">
    <cfRule type="cellIs" dxfId="14387" priority="14225" stopIfTrue="1" operator="equal">
      <formula>"Pass"</formula>
    </cfRule>
    <cfRule type="cellIs" dxfId="14386" priority="14226" stopIfTrue="1" operator="equal">
      <formula>"Fail"</formula>
    </cfRule>
  </conditionalFormatting>
  <conditionalFormatting sqref="J980:N980">
    <cfRule type="cellIs" dxfId="14385" priority="14223" stopIfTrue="1" operator="equal">
      <formula>"Pass"</formula>
    </cfRule>
    <cfRule type="cellIs" dxfId="14384" priority="14224" stopIfTrue="1" operator="equal">
      <formula>"Fail"</formula>
    </cfRule>
  </conditionalFormatting>
  <conditionalFormatting sqref="H979:H980">
    <cfRule type="cellIs" dxfId="14383" priority="14221" stopIfTrue="1" operator="equal">
      <formula>"Pass"</formula>
    </cfRule>
    <cfRule type="cellIs" dxfId="14382" priority="14222" stopIfTrue="1" operator="equal">
      <formula>"Fail"</formula>
    </cfRule>
  </conditionalFormatting>
  <conditionalFormatting sqref="F979 F981 I979:M980">
    <cfRule type="cellIs" dxfId="14381" priority="14219" stopIfTrue="1" operator="equal">
      <formula>"Pass"</formula>
    </cfRule>
    <cfRule type="cellIs" dxfId="14380" priority="14220" stopIfTrue="1" operator="equal">
      <formula>"Fail"</formula>
    </cfRule>
  </conditionalFormatting>
  <conditionalFormatting sqref="T981 T979 R979:R981 S980:S981">
    <cfRule type="cellIs" dxfId="14379" priority="14217" stopIfTrue="1" operator="equal">
      <formula>"Fail"</formula>
    </cfRule>
    <cfRule type="cellIs" dxfId="14378" priority="14218" stopIfTrue="1" operator="equal">
      <formula>"Pass"</formula>
    </cfRule>
  </conditionalFormatting>
  <conditionalFormatting sqref="F979:G979 F981:G981 J979:N980">
    <cfRule type="cellIs" dxfId="14377" priority="14215" stopIfTrue="1" operator="equal">
      <formula>"Pass"</formula>
    </cfRule>
    <cfRule type="cellIs" dxfId="14376" priority="14216" stopIfTrue="1" operator="equal">
      <formula>"Fail"</formula>
    </cfRule>
  </conditionalFormatting>
  <conditionalFormatting sqref="U981:V981 T979:T981 S980:S981">
    <cfRule type="cellIs" dxfId="14375" priority="14213" stopIfTrue="1" operator="equal">
      <formula>"Fail"</formula>
    </cfRule>
    <cfRule type="cellIs" dxfId="14374" priority="14214" stopIfTrue="1" operator="equal">
      <formula>"Pass"</formula>
    </cfRule>
  </conditionalFormatting>
  <conditionalFormatting sqref="U979:V979">
    <cfRule type="cellIs" dxfId="14373" priority="14211" stopIfTrue="1" operator="equal">
      <formula>"Fail"</formula>
    </cfRule>
    <cfRule type="cellIs" dxfId="14372" priority="14212" stopIfTrue="1" operator="equal">
      <formula>"Pass"</formula>
    </cfRule>
  </conditionalFormatting>
  <conditionalFormatting sqref="F979:G979 J979:N979">
    <cfRule type="cellIs" dxfId="14371" priority="14209" stopIfTrue="1" operator="equal">
      <formula>"Pass"</formula>
    </cfRule>
    <cfRule type="cellIs" dxfId="14370" priority="14210" stopIfTrue="1" operator="equal">
      <formula>"Fail"</formula>
    </cfRule>
  </conditionalFormatting>
  <conditionalFormatting sqref="J980:N980">
    <cfRule type="cellIs" dxfId="14369" priority="14207" stopIfTrue="1" operator="equal">
      <formula>"Pass"</formula>
    </cfRule>
    <cfRule type="cellIs" dxfId="14368" priority="14208" stopIfTrue="1" operator="equal">
      <formula>"Fail"</formula>
    </cfRule>
  </conditionalFormatting>
  <conditionalFormatting sqref="H979:H980">
    <cfRule type="cellIs" dxfId="14367" priority="14205" stopIfTrue="1" operator="equal">
      <formula>"Pass"</formula>
    </cfRule>
    <cfRule type="cellIs" dxfId="14366" priority="14206" stopIfTrue="1" operator="equal">
      <formula>"Fail"</formula>
    </cfRule>
  </conditionalFormatting>
  <conditionalFormatting sqref="F979 F981 I979:M980">
    <cfRule type="cellIs" dxfId="14365" priority="14203" stopIfTrue="1" operator="equal">
      <formula>"Pass"</formula>
    </cfRule>
    <cfRule type="cellIs" dxfId="14364" priority="14204" stopIfTrue="1" operator="equal">
      <formula>"Fail"</formula>
    </cfRule>
  </conditionalFormatting>
  <conditionalFormatting sqref="T981 T979 R979:R981 S980:S981">
    <cfRule type="cellIs" dxfId="14363" priority="14201" stopIfTrue="1" operator="equal">
      <formula>"Fail"</formula>
    </cfRule>
    <cfRule type="cellIs" dxfId="14362" priority="14202" stopIfTrue="1" operator="equal">
      <formula>"Pass"</formula>
    </cfRule>
  </conditionalFormatting>
  <conditionalFormatting sqref="F979:G979 F981:G981 J979:N980">
    <cfRule type="cellIs" dxfId="14361" priority="14199" stopIfTrue="1" operator="equal">
      <formula>"Pass"</formula>
    </cfRule>
    <cfRule type="cellIs" dxfId="14360" priority="14200" stopIfTrue="1" operator="equal">
      <formula>"Fail"</formula>
    </cfRule>
  </conditionalFormatting>
  <conditionalFormatting sqref="U981:V981 T979:T981 S980:S981">
    <cfRule type="cellIs" dxfId="14359" priority="14197" stopIfTrue="1" operator="equal">
      <formula>"Fail"</formula>
    </cfRule>
    <cfRule type="cellIs" dxfId="14358" priority="14198" stopIfTrue="1" operator="equal">
      <formula>"Pass"</formula>
    </cfRule>
  </conditionalFormatting>
  <conditionalFormatting sqref="U979:V979">
    <cfRule type="cellIs" dxfId="14357" priority="14195" stopIfTrue="1" operator="equal">
      <formula>"Fail"</formula>
    </cfRule>
    <cfRule type="cellIs" dxfId="14356" priority="14196" stopIfTrue="1" operator="equal">
      <formula>"Pass"</formula>
    </cfRule>
  </conditionalFormatting>
  <conditionalFormatting sqref="F979:G979 J979:N979">
    <cfRule type="cellIs" dxfId="14355" priority="14193" stopIfTrue="1" operator="equal">
      <formula>"Pass"</formula>
    </cfRule>
    <cfRule type="cellIs" dxfId="14354" priority="14194" stopIfTrue="1" operator="equal">
      <formula>"Fail"</formula>
    </cfRule>
  </conditionalFormatting>
  <conditionalFormatting sqref="J980:N980">
    <cfRule type="cellIs" dxfId="14353" priority="14191" stopIfTrue="1" operator="equal">
      <formula>"Pass"</formula>
    </cfRule>
    <cfRule type="cellIs" dxfId="14352" priority="14192" stopIfTrue="1" operator="equal">
      <formula>"Fail"</formula>
    </cfRule>
  </conditionalFormatting>
  <conditionalFormatting sqref="U979:V979">
    <cfRule type="cellIs" dxfId="14351" priority="14189" stopIfTrue="1" operator="equal">
      <formula>"Fail"</formula>
    </cfRule>
    <cfRule type="cellIs" dxfId="14350" priority="14190" stopIfTrue="1" operator="equal">
      <formula>"Pass"</formula>
    </cfRule>
  </conditionalFormatting>
  <conditionalFormatting sqref="U979:V979">
    <cfRule type="cellIs" dxfId="14349" priority="14187" stopIfTrue="1" operator="equal">
      <formula>"Fail"</formula>
    </cfRule>
    <cfRule type="cellIs" dxfId="14348" priority="14188" stopIfTrue="1" operator="equal">
      <formula>"Pass"</formula>
    </cfRule>
  </conditionalFormatting>
  <conditionalFormatting sqref="U979:V979">
    <cfRule type="cellIs" dxfId="14347" priority="14185" stopIfTrue="1" operator="equal">
      <formula>"Fail"</formula>
    </cfRule>
    <cfRule type="cellIs" dxfId="14346" priority="14186" stopIfTrue="1" operator="equal">
      <formula>"Pass"</formula>
    </cfRule>
  </conditionalFormatting>
  <conditionalFormatting sqref="N979">
    <cfRule type="cellIs" dxfId="14345" priority="14183" stopIfTrue="1" operator="equal">
      <formula>"Pass"</formula>
    </cfRule>
    <cfRule type="cellIs" dxfId="14344" priority="14184" stopIfTrue="1" operator="equal">
      <formula>"Fail"</formula>
    </cfRule>
  </conditionalFormatting>
  <conditionalFormatting sqref="N979">
    <cfRule type="cellIs" dxfId="14343" priority="14181" stopIfTrue="1" operator="equal">
      <formula>"Pass"</formula>
    </cfRule>
    <cfRule type="cellIs" dxfId="14342" priority="14182" stopIfTrue="1" operator="equal">
      <formula>"Fail"</formula>
    </cfRule>
  </conditionalFormatting>
  <conditionalFormatting sqref="N979">
    <cfRule type="cellIs" dxfId="14341" priority="14179" stopIfTrue="1" operator="equal">
      <formula>"Pass"</formula>
    </cfRule>
    <cfRule type="cellIs" dxfId="14340" priority="14180" stopIfTrue="1" operator="equal">
      <formula>"Fail"</formula>
    </cfRule>
  </conditionalFormatting>
  <conditionalFormatting sqref="U976:V976">
    <cfRule type="cellIs" dxfId="14339" priority="14177" stopIfTrue="1" operator="equal">
      <formula>"Fail"</formula>
    </cfRule>
    <cfRule type="cellIs" dxfId="14338" priority="14178" stopIfTrue="1" operator="equal">
      <formula>"Pass"</formula>
    </cfRule>
  </conditionalFormatting>
  <conditionalFormatting sqref="U976:V976">
    <cfRule type="cellIs" dxfId="14337" priority="14175" stopIfTrue="1" operator="equal">
      <formula>"Fail"</formula>
    </cfRule>
    <cfRule type="cellIs" dxfId="14336" priority="14176" stopIfTrue="1" operator="equal">
      <formula>"Pass"</formula>
    </cfRule>
  </conditionalFormatting>
  <conditionalFormatting sqref="U976:V976">
    <cfRule type="cellIs" dxfId="14335" priority="14173" stopIfTrue="1" operator="equal">
      <formula>"Fail"</formula>
    </cfRule>
    <cfRule type="cellIs" dxfId="14334" priority="14174" stopIfTrue="1" operator="equal">
      <formula>"Pass"</formula>
    </cfRule>
  </conditionalFormatting>
  <conditionalFormatting sqref="U976:V976">
    <cfRule type="cellIs" dxfId="14333" priority="14171" stopIfTrue="1" operator="equal">
      <formula>"Fail"</formula>
    </cfRule>
    <cfRule type="cellIs" dxfId="14332" priority="14172" stopIfTrue="1" operator="equal">
      <formula>"Pass"</formula>
    </cfRule>
  </conditionalFormatting>
  <conditionalFormatting sqref="U979:V979">
    <cfRule type="cellIs" dxfId="14331" priority="14169" stopIfTrue="1" operator="equal">
      <formula>"Fail"</formula>
    </cfRule>
    <cfRule type="cellIs" dxfId="14330" priority="14170" stopIfTrue="1" operator="equal">
      <formula>"Pass"</formula>
    </cfRule>
  </conditionalFormatting>
  <conditionalFormatting sqref="U979:V979">
    <cfRule type="cellIs" dxfId="14329" priority="14167" stopIfTrue="1" operator="equal">
      <formula>"Fail"</formula>
    </cfRule>
    <cfRule type="cellIs" dxfId="14328" priority="14168" stopIfTrue="1" operator="equal">
      <formula>"Pass"</formula>
    </cfRule>
  </conditionalFormatting>
  <conditionalFormatting sqref="U979:V979">
    <cfRule type="cellIs" dxfId="14327" priority="14165" stopIfTrue="1" operator="equal">
      <formula>"Fail"</formula>
    </cfRule>
    <cfRule type="cellIs" dxfId="14326" priority="14166" stopIfTrue="1" operator="equal">
      <formula>"Pass"</formula>
    </cfRule>
  </conditionalFormatting>
  <conditionalFormatting sqref="U979:V979">
    <cfRule type="cellIs" dxfId="14325" priority="14163" stopIfTrue="1" operator="equal">
      <formula>"Fail"</formula>
    </cfRule>
    <cfRule type="cellIs" dxfId="14324" priority="14164" stopIfTrue="1" operator="equal">
      <formula>"Pass"</formula>
    </cfRule>
  </conditionalFormatting>
  <conditionalFormatting sqref="T979">
    <cfRule type="cellIs" dxfId="14323" priority="14161" stopIfTrue="1" operator="equal">
      <formula>"Fail"</formula>
    </cfRule>
    <cfRule type="cellIs" dxfId="14322" priority="14162" stopIfTrue="1" operator="equal">
      <formula>"Pass"</formula>
    </cfRule>
  </conditionalFormatting>
  <conditionalFormatting sqref="T979">
    <cfRule type="cellIs" dxfId="14321" priority="14159" stopIfTrue="1" operator="equal">
      <formula>"Fail"</formula>
    </cfRule>
    <cfRule type="cellIs" dxfId="14320" priority="14160" stopIfTrue="1" operator="equal">
      <formula>"Pass"</formula>
    </cfRule>
  </conditionalFormatting>
  <conditionalFormatting sqref="T979">
    <cfRule type="cellIs" dxfId="14319" priority="14157" stopIfTrue="1" operator="equal">
      <formula>"Fail"</formula>
    </cfRule>
    <cfRule type="cellIs" dxfId="14318" priority="14158" stopIfTrue="1" operator="equal">
      <formula>"Pass"</formula>
    </cfRule>
  </conditionalFormatting>
  <conditionalFormatting sqref="T979">
    <cfRule type="cellIs" dxfId="14317" priority="14155" stopIfTrue="1" operator="equal">
      <formula>"Fail"</formula>
    </cfRule>
    <cfRule type="cellIs" dxfId="14316" priority="14156" stopIfTrue="1" operator="equal">
      <formula>"Pass"</formula>
    </cfRule>
  </conditionalFormatting>
  <conditionalFormatting sqref="T979">
    <cfRule type="cellIs" dxfId="14315" priority="14153" stopIfTrue="1" operator="equal">
      <formula>"Fail"</formula>
    </cfRule>
    <cfRule type="cellIs" dxfId="14314" priority="14154" stopIfTrue="1" operator="equal">
      <formula>"Pass"</formula>
    </cfRule>
  </conditionalFormatting>
  <conditionalFormatting sqref="T979">
    <cfRule type="cellIs" dxfId="14313" priority="14151" stopIfTrue="1" operator="equal">
      <formula>"Fail"</formula>
    </cfRule>
    <cfRule type="cellIs" dxfId="14312" priority="14152" stopIfTrue="1" operator="equal">
      <formula>"Pass"</formula>
    </cfRule>
  </conditionalFormatting>
  <conditionalFormatting sqref="T979">
    <cfRule type="cellIs" dxfId="14311" priority="14149" stopIfTrue="1" operator="equal">
      <formula>"Fail"</formula>
    </cfRule>
    <cfRule type="cellIs" dxfId="14310" priority="14150" stopIfTrue="1" operator="equal">
      <formula>"Pass"</formula>
    </cfRule>
  </conditionalFormatting>
  <conditionalFormatting sqref="T979">
    <cfRule type="cellIs" dxfId="14309" priority="14147" stopIfTrue="1" operator="equal">
      <formula>"Fail"</formula>
    </cfRule>
    <cfRule type="cellIs" dxfId="14308" priority="14148" stopIfTrue="1" operator="equal">
      <formula>"Pass"</formula>
    </cfRule>
  </conditionalFormatting>
  <conditionalFormatting sqref="T979">
    <cfRule type="cellIs" dxfId="14307" priority="14145" stopIfTrue="1" operator="equal">
      <formula>"Fail"</formula>
    </cfRule>
    <cfRule type="cellIs" dxfId="14306" priority="14146" stopIfTrue="1" operator="equal">
      <formula>"Pass"</formula>
    </cfRule>
  </conditionalFormatting>
  <conditionalFormatting sqref="T979">
    <cfRule type="cellIs" dxfId="14305" priority="14143" stopIfTrue="1" operator="equal">
      <formula>"Fail"</formula>
    </cfRule>
    <cfRule type="cellIs" dxfId="14304" priority="14144" stopIfTrue="1" operator="equal">
      <formula>"Pass"</formula>
    </cfRule>
  </conditionalFormatting>
  <conditionalFormatting sqref="T979">
    <cfRule type="cellIs" dxfId="14303" priority="14141" stopIfTrue="1" operator="equal">
      <formula>"Fail"</formula>
    </cfRule>
    <cfRule type="cellIs" dxfId="14302" priority="14142" stopIfTrue="1" operator="equal">
      <formula>"Pass"</formula>
    </cfRule>
  </conditionalFormatting>
  <conditionalFormatting sqref="T979">
    <cfRule type="cellIs" dxfId="14301" priority="14139" stopIfTrue="1" operator="equal">
      <formula>"Fail"</formula>
    </cfRule>
    <cfRule type="cellIs" dxfId="14300" priority="14140" stopIfTrue="1" operator="equal">
      <formula>"Pass"</formula>
    </cfRule>
  </conditionalFormatting>
  <conditionalFormatting sqref="T979">
    <cfRule type="cellIs" dxfId="14299" priority="14137" stopIfTrue="1" operator="equal">
      <formula>"Fail"</formula>
    </cfRule>
    <cfRule type="cellIs" dxfId="14298" priority="14138" stopIfTrue="1" operator="equal">
      <formula>"Pass"</formula>
    </cfRule>
  </conditionalFormatting>
  <conditionalFormatting sqref="T979">
    <cfRule type="cellIs" dxfId="14297" priority="14135" stopIfTrue="1" operator="equal">
      <formula>"Fail"</formula>
    </cfRule>
    <cfRule type="cellIs" dxfId="14296" priority="14136" stopIfTrue="1" operator="equal">
      <formula>"Pass"</formula>
    </cfRule>
  </conditionalFormatting>
  <conditionalFormatting sqref="T979">
    <cfRule type="cellIs" dxfId="14295" priority="14133" stopIfTrue="1" operator="equal">
      <formula>"Fail"</formula>
    </cfRule>
    <cfRule type="cellIs" dxfId="14294" priority="14134" stopIfTrue="1" operator="equal">
      <formula>"Pass"</formula>
    </cfRule>
  </conditionalFormatting>
  <conditionalFormatting sqref="T979">
    <cfRule type="cellIs" dxfId="14293" priority="14131" stopIfTrue="1" operator="equal">
      <formula>"Fail"</formula>
    </cfRule>
    <cfRule type="cellIs" dxfId="14292" priority="14132" stopIfTrue="1" operator="equal">
      <formula>"Pass"</formula>
    </cfRule>
  </conditionalFormatting>
  <conditionalFormatting sqref="T979">
    <cfRule type="cellIs" dxfId="14291" priority="14129" stopIfTrue="1" operator="equal">
      <formula>"Fail"</formula>
    </cfRule>
    <cfRule type="cellIs" dxfId="14290" priority="14130" stopIfTrue="1" operator="equal">
      <formula>"Pass"</formula>
    </cfRule>
  </conditionalFormatting>
  <conditionalFormatting sqref="T979">
    <cfRule type="cellIs" dxfId="14289" priority="14127" stopIfTrue="1" operator="equal">
      <formula>"Fail"</formula>
    </cfRule>
    <cfRule type="cellIs" dxfId="14288" priority="14128" stopIfTrue="1" operator="equal">
      <formula>"Pass"</formula>
    </cfRule>
  </conditionalFormatting>
  <conditionalFormatting sqref="T979">
    <cfRule type="cellIs" dxfId="14287" priority="14125" stopIfTrue="1" operator="equal">
      <formula>"Fail"</formula>
    </cfRule>
    <cfRule type="cellIs" dxfId="14286" priority="14126" stopIfTrue="1" operator="equal">
      <formula>"Pass"</formula>
    </cfRule>
  </conditionalFormatting>
  <conditionalFormatting sqref="T979">
    <cfRule type="cellIs" dxfId="14285" priority="14123" stopIfTrue="1" operator="equal">
      <formula>"Fail"</formula>
    </cfRule>
    <cfRule type="cellIs" dxfId="14284" priority="14124" stopIfTrue="1" operator="equal">
      <formula>"Pass"</formula>
    </cfRule>
  </conditionalFormatting>
  <conditionalFormatting sqref="T979">
    <cfRule type="cellIs" dxfId="14283" priority="14121" stopIfTrue="1" operator="equal">
      <formula>"Fail"</formula>
    </cfRule>
    <cfRule type="cellIs" dxfId="14282" priority="14122" stopIfTrue="1" operator="equal">
      <formula>"Pass"</formula>
    </cfRule>
  </conditionalFormatting>
  <conditionalFormatting sqref="T979">
    <cfRule type="cellIs" dxfId="14281" priority="14119" stopIfTrue="1" operator="equal">
      <formula>"Fail"</formula>
    </cfRule>
    <cfRule type="cellIs" dxfId="14280" priority="14120" stopIfTrue="1" operator="equal">
      <formula>"Pass"</formula>
    </cfRule>
  </conditionalFormatting>
  <conditionalFormatting sqref="T979">
    <cfRule type="cellIs" dxfId="14279" priority="14117" stopIfTrue="1" operator="equal">
      <formula>"Fail"</formula>
    </cfRule>
    <cfRule type="cellIs" dxfId="14278" priority="14118" stopIfTrue="1" operator="equal">
      <formula>"Pass"</formula>
    </cfRule>
  </conditionalFormatting>
  <conditionalFormatting sqref="T979">
    <cfRule type="cellIs" dxfId="14277" priority="14115" stopIfTrue="1" operator="equal">
      <formula>"Fail"</formula>
    </cfRule>
    <cfRule type="cellIs" dxfId="14276" priority="14116" stopIfTrue="1" operator="equal">
      <formula>"Pass"</formula>
    </cfRule>
  </conditionalFormatting>
  <conditionalFormatting sqref="H982:H983">
    <cfRule type="cellIs" dxfId="14275" priority="14113" stopIfTrue="1" operator="equal">
      <formula>"Pass"</formula>
    </cfRule>
    <cfRule type="cellIs" dxfId="14274" priority="14114" stopIfTrue="1" operator="equal">
      <formula>"Fail"</formula>
    </cfRule>
  </conditionalFormatting>
  <conditionalFormatting sqref="E982:F982 E984:F984 A982:A984 I982:M983">
    <cfRule type="cellIs" dxfId="14273" priority="14111" stopIfTrue="1" operator="equal">
      <formula>"Pass"</formula>
    </cfRule>
    <cfRule type="cellIs" dxfId="14272" priority="14112" stopIfTrue="1" operator="equal">
      <formula>"Fail"</formula>
    </cfRule>
  </conditionalFormatting>
  <conditionalFormatting sqref="T984 T982 R982:R984 S983:S984">
    <cfRule type="cellIs" dxfId="14271" priority="14109" stopIfTrue="1" operator="equal">
      <formula>"Fail"</formula>
    </cfRule>
    <cfRule type="cellIs" dxfId="14270" priority="14110" stopIfTrue="1" operator="equal">
      <formula>"Pass"</formula>
    </cfRule>
  </conditionalFormatting>
  <conditionalFormatting sqref="F982:G982 F984:G984 A982:B984 J982:N983">
    <cfRule type="cellIs" dxfId="14269" priority="14107" stopIfTrue="1" operator="equal">
      <formula>"Pass"</formula>
    </cfRule>
    <cfRule type="cellIs" dxfId="14268" priority="14108" stopIfTrue="1" operator="equal">
      <formula>"Fail"</formula>
    </cfRule>
  </conditionalFormatting>
  <conditionalFormatting sqref="U984:V984 U982:V982 T982:T984 S983:S984">
    <cfRule type="cellIs" dxfId="14267" priority="14105" stopIfTrue="1" operator="equal">
      <formula>"Fail"</formula>
    </cfRule>
    <cfRule type="cellIs" dxfId="14266" priority="14106" stopIfTrue="1" operator="equal">
      <formula>"Pass"</formula>
    </cfRule>
  </conditionalFormatting>
  <conditionalFormatting sqref="A982:A984">
    <cfRule type="cellIs" dxfId="14265" priority="14103" stopIfTrue="1" operator="equal">
      <formula>"Pass"</formula>
    </cfRule>
    <cfRule type="cellIs" dxfId="14264" priority="14104" stopIfTrue="1" operator="equal">
      <formula>"Fail"</formula>
    </cfRule>
  </conditionalFormatting>
  <conditionalFormatting sqref="A982:A984">
    <cfRule type="cellIs" dxfId="14263" priority="14101" stopIfTrue="1" operator="equal">
      <formula>"Pass"</formula>
    </cfRule>
    <cfRule type="cellIs" dxfId="14262" priority="14102" stopIfTrue="1" operator="equal">
      <formula>"Fail"</formula>
    </cfRule>
  </conditionalFormatting>
  <conditionalFormatting sqref="A982:A984">
    <cfRule type="cellIs" dxfId="14261" priority="14099" stopIfTrue="1" operator="equal">
      <formula>"Pass"</formula>
    </cfRule>
    <cfRule type="cellIs" dxfId="14260" priority="14100" stopIfTrue="1" operator="equal">
      <formula>"Fail"</formula>
    </cfRule>
  </conditionalFormatting>
  <conditionalFormatting sqref="J982:N983 E982:G984">
    <cfRule type="cellIs" dxfId="14259" priority="14097" stopIfTrue="1" operator="equal">
      <formula>"Pass"</formula>
    </cfRule>
    <cfRule type="cellIs" dxfId="14258" priority="14098" stopIfTrue="1" operator="equal">
      <formula>"Fail"</formula>
    </cfRule>
  </conditionalFormatting>
  <conditionalFormatting sqref="A984 C984 K982:O983 F982:H984">
    <cfRule type="cellIs" dxfId="14257" priority="14095" stopIfTrue="1" operator="equal">
      <formula>"Pass"</formula>
    </cfRule>
    <cfRule type="cellIs" dxfId="14256" priority="14096" stopIfTrue="1" operator="equal">
      <formula>"Fail"</formula>
    </cfRule>
  </conditionalFormatting>
  <conditionalFormatting sqref="T982">
    <cfRule type="cellIs" dxfId="14255" priority="14093" stopIfTrue="1" operator="equal">
      <formula>"Fail"</formula>
    </cfRule>
    <cfRule type="cellIs" dxfId="14254" priority="14094" stopIfTrue="1" operator="equal">
      <formula>"Pass"</formula>
    </cfRule>
  </conditionalFormatting>
  <conditionalFormatting sqref="A982:A984">
    <cfRule type="cellIs" dxfId="14253" priority="14091" stopIfTrue="1" operator="equal">
      <formula>"Pass"</formula>
    </cfRule>
    <cfRule type="cellIs" dxfId="14252" priority="14092" stopIfTrue="1" operator="equal">
      <formula>"Fail"</formula>
    </cfRule>
  </conditionalFormatting>
  <conditionalFormatting sqref="A982:A984">
    <cfRule type="cellIs" dxfId="14251" priority="14089" stopIfTrue="1" operator="equal">
      <formula>"Pass"</formula>
    </cfRule>
    <cfRule type="cellIs" dxfId="14250" priority="14090" stopIfTrue="1" operator="equal">
      <formula>"Fail"</formula>
    </cfRule>
  </conditionalFormatting>
  <conditionalFormatting sqref="A982:A984">
    <cfRule type="cellIs" dxfId="14249" priority="14087" stopIfTrue="1" operator="equal">
      <formula>"Pass"</formula>
    </cfRule>
    <cfRule type="cellIs" dxfId="14248" priority="14088" stopIfTrue="1" operator="equal">
      <formula>"Fail"</formula>
    </cfRule>
  </conditionalFormatting>
  <conditionalFormatting sqref="A982:A984">
    <cfRule type="cellIs" dxfId="14247" priority="14085" stopIfTrue="1" operator="equal">
      <formula>"Pass"</formula>
    </cfRule>
    <cfRule type="cellIs" dxfId="14246" priority="14086" stopIfTrue="1" operator="equal">
      <formula>"Fail"</formula>
    </cfRule>
  </conditionalFormatting>
  <conditionalFormatting sqref="A982:A984">
    <cfRule type="cellIs" dxfId="14245" priority="14083" stopIfTrue="1" operator="equal">
      <formula>"Pass"</formula>
    </cfRule>
    <cfRule type="cellIs" dxfId="14244" priority="14084" stopIfTrue="1" operator="equal">
      <formula>"Fail"</formula>
    </cfRule>
  </conditionalFormatting>
  <conditionalFormatting sqref="A982:A984">
    <cfRule type="cellIs" dxfId="14243" priority="14081" stopIfTrue="1" operator="equal">
      <formula>"Pass"</formula>
    </cfRule>
    <cfRule type="cellIs" dxfId="14242" priority="14082" stopIfTrue="1" operator="equal">
      <formula>"Fail"</formula>
    </cfRule>
  </conditionalFormatting>
  <conditionalFormatting sqref="A984">
    <cfRule type="cellIs" dxfId="14241" priority="14079" stopIfTrue="1" operator="equal">
      <formula>"Pass"</formula>
    </cfRule>
    <cfRule type="cellIs" dxfId="14240" priority="14080" stopIfTrue="1" operator="equal">
      <formula>"Fail"</formula>
    </cfRule>
  </conditionalFormatting>
  <conditionalFormatting sqref="A982:A984">
    <cfRule type="cellIs" dxfId="14239" priority="14077" stopIfTrue="1" operator="equal">
      <formula>"Pass"</formula>
    </cfRule>
    <cfRule type="cellIs" dxfId="14238" priority="14078" stopIfTrue="1" operator="equal">
      <formula>"Fail"</formula>
    </cfRule>
  </conditionalFormatting>
  <conditionalFormatting sqref="A982:A984">
    <cfRule type="cellIs" dxfId="14237" priority="14075" stopIfTrue="1" operator="equal">
      <formula>"Pass"</formula>
    </cfRule>
    <cfRule type="cellIs" dxfId="14236" priority="14076" stopIfTrue="1" operator="equal">
      <formula>"Fail"</formula>
    </cfRule>
  </conditionalFormatting>
  <conditionalFormatting sqref="A982:A984">
    <cfRule type="cellIs" dxfId="14235" priority="14073" stopIfTrue="1" operator="equal">
      <formula>"Pass"</formula>
    </cfRule>
    <cfRule type="cellIs" dxfId="14234" priority="14074" stopIfTrue="1" operator="equal">
      <formula>"Fail"</formula>
    </cfRule>
  </conditionalFormatting>
  <conditionalFormatting sqref="A982:A984">
    <cfRule type="cellIs" dxfId="14233" priority="14071" stopIfTrue="1" operator="equal">
      <formula>"Pass"</formula>
    </cfRule>
    <cfRule type="cellIs" dxfId="14232" priority="14072" stopIfTrue="1" operator="equal">
      <formula>"Fail"</formula>
    </cfRule>
  </conditionalFormatting>
  <conditionalFormatting sqref="A982:A984">
    <cfRule type="cellIs" dxfId="14231" priority="14069" stopIfTrue="1" operator="equal">
      <formula>"Pass"</formula>
    </cfRule>
    <cfRule type="cellIs" dxfId="14230" priority="14070" stopIfTrue="1" operator="equal">
      <formula>"Fail"</formula>
    </cfRule>
  </conditionalFormatting>
  <conditionalFormatting sqref="A982:A984">
    <cfRule type="cellIs" dxfId="14229" priority="14067" stopIfTrue="1" operator="equal">
      <formula>"Pass"</formula>
    </cfRule>
    <cfRule type="cellIs" dxfId="14228" priority="14068" stopIfTrue="1" operator="equal">
      <formula>"Fail"</formula>
    </cfRule>
  </conditionalFormatting>
  <conditionalFormatting sqref="A984">
    <cfRule type="cellIs" dxfId="14227" priority="14065" stopIfTrue="1" operator="equal">
      <formula>"Pass"</formula>
    </cfRule>
    <cfRule type="cellIs" dxfId="14226" priority="14066" stopIfTrue="1" operator="equal">
      <formula>"Fail"</formula>
    </cfRule>
  </conditionalFormatting>
  <conditionalFormatting sqref="A982:A984">
    <cfRule type="cellIs" dxfId="14225" priority="14063" stopIfTrue="1" operator="equal">
      <formula>"Pass"</formula>
    </cfRule>
    <cfRule type="cellIs" dxfId="14224" priority="14064" stopIfTrue="1" operator="equal">
      <formula>"Fail"</formula>
    </cfRule>
  </conditionalFormatting>
  <conditionalFormatting sqref="H982:H983">
    <cfRule type="cellIs" dxfId="14223" priority="14061" stopIfTrue="1" operator="equal">
      <formula>"Pass"</formula>
    </cfRule>
    <cfRule type="cellIs" dxfId="14222" priority="14062" stopIfTrue="1" operator="equal">
      <formula>"Fail"</formula>
    </cfRule>
  </conditionalFormatting>
  <conditionalFormatting sqref="F982 F984 I982:M983">
    <cfRule type="cellIs" dxfId="14221" priority="14059" stopIfTrue="1" operator="equal">
      <formula>"Pass"</formula>
    </cfRule>
    <cfRule type="cellIs" dxfId="14220" priority="14060" stopIfTrue="1" operator="equal">
      <formula>"Fail"</formula>
    </cfRule>
  </conditionalFormatting>
  <conditionalFormatting sqref="T984 T982 R982:R984 S983:S984">
    <cfRule type="cellIs" dxfId="14219" priority="14057" stopIfTrue="1" operator="equal">
      <formula>"Fail"</formula>
    </cfRule>
    <cfRule type="cellIs" dxfId="14218" priority="14058" stopIfTrue="1" operator="equal">
      <formula>"Pass"</formula>
    </cfRule>
  </conditionalFormatting>
  <conditionalFormatting sqref="F982:G982 F984:G984 J982:N983">
    <cfRule type="cellIs" dxfId="14217" priority="14055" stopIfTrue="1" operator="equal">
      <formula>"Pass"</formula>
    </cfRule>
    <cfRule type="cellIs" dxfId="14216" priority="14056" stopIfTrue="1" operator="equal">
      <formula>"Fail"</formula>
    </cfRule>
  </conditionalFormatting>
  <conditionalFormatting sqref="U984:V984 U982:V982 T982:T984 S983:S984">
    <cfRule type="cellIs" dxfId="14215" priority="14053" stopIfTrue="1" operator="equal">
      <formula>"Fail"</formula>
    </cfRule>
    <cfRule type="cellIs" dxfId="14214" priority="14054" stopIfTrue="1" operator="equal">
      <formula>"Pass"</formula>
    </cfRule>
  </conditionalFormatting>
  <conditionalFormatting sqref="J982:N983 F982:G984">
    <cfRule type="cellIs" dxfId="14213" priority="14051" stopIfTrue="1" operator="equal">
      <formula>"Pass"</formula>
    </cfRule>
    <cfRule type="cellIs" dxfId="14212" priority="14052" stopIfTrue="1" operator="equal">
      <formula>"Fail"</formula>
    </cfRule>
  </conditionalFormatting>
  <conditionalFormatting sqref="K982:O983 F982:H984">
    <cfRule type="cellIs" dxfId="14211" priority="14049" stopIfTrue="1" operator="equal">
      <formula>"Pass"</formula>
    </cfRule>
    <cfRule type="cellIs" dxfId="14210" priority="14050" stopIfTrue="1" operator="equal">
      <formula>"Fail"</formula>
    </cfRule>
  </conditionalFormatting>
  <conditionalFormatting sqref="T982">
    <cfRule type="cellIs" dxfId="14209" priority="14047" stopIfTrue="1" operator="equal">
      <formula>"Fail"</formula>
    </cfRule>
    <cfRule type="cellIs" dxfId="14208" priority="14048" stopIfTrue="1" operator="equal">
      <formula>"Pass"</formula>
    </cfRule>
  </conditionalFormatting>
  <conditionalFormatting sqref="K982:O983 F982:H984">
    <cfRule type="cellIs" dxfId="14207" priority="14045" stopIfTrue="1" operator="equal">
      <formula>"Pass"</formula>
    </cfRule>
    <cfRule type="cellIs" dxfId="14206" priority="14046" stopIfTrue="1" operator="equal">
      <formula>"Fail"</formula>
    </cfRule>
  </conditionalFormatting>
  <conditionalFormatting sqref="T982">
    <cfRule type="cellIs" dxfId="14205" priority="14043" stopIfTrue="1" operator="equal">
      <formula>"Fail"</formula>
    </cfRule>
    <cfRule type="cellIs" dxfId="14204" priority="14044" stopIfTrue="1" operator="equal">
      <formula>"Pass"</formula>
    </cfRule>
  </conditionalFormatting>
  <conditionalFormatting sqref="H982:H983">
    <cfRule type="cellIs" dxfId="14203" priority="14041" stopIfTrue="1" operator="equal">
      <formula>"Pass"</formula>
    </cfRule>
    <cfRule type="cellIs" dxfId="14202" priority="14042" stopIfTrue="1" operator="equal">
      <formula>"Fail"</formula>
    </cfRule>
  </conditionalFormatting>
  <conditionalFormatting sqref="E982:F982 E984:F984 A982:A984 I982:M983">
    <cfRule type="cellIs" dxfId="14201" priority="14039" stopIfTrue="1" operator="equal">
      <formula>"Pass"</formula>
    </cfRule>
    <cfRule type="cellIs" dxfId="14200" priority="14040" stopIfTrue="1" operator="equal">
      <formula>"Fail"</formula>
    </cfRule>
  </conditionalFormatting>
  <conditionalFormatting sqref="T984 T982 R982:R984 S983:S984">
    <cfRule type="cellIs" dxfId="14199" priority="14037" stopIfTrue="1" operator="equal">
      <formula>"Fail"</formula>
    </cfRule>
    <cfRule type="cellIs" dxfId="14198" priority="14038" stopIfTrue="1" operator="equal">
      <formula>"Pass"</formula>
    </cfRule>
  </conditionalFormatting>
  <conditionalFormatting sqref="F982:G982 F984:G984 A982:B984 J982:N983">
    <cfRule type="cellIs" dxfId="14197" priority="14035" stopIfTrue="1" operator="equal">
      <formula>"Pass"</formula>
    </cfRule>
    <cfRule type="cellIs" dxfId="14196" priority="14036" stopIfTrue="1" operator="equal">
      <formula>"Fail"</formula>
    </cfRule>
  </conditionalFormatting>
  <conditionalFormatting sqref="U984:V984 U982:V982 T982:T984 S983:S984">
    <cfRule type="cellIs" dxfId="14195" priority="14033" stopIfTrue="1" operator="equal">
      <formula>"Fail"</formula>
    </cfRule>
    <cfRule type="cellIs" dxfId="14194" priority="14034" stopIfTrue="1" operator="equal">
      <formula>"Pass"</formula>
    </cfRule>
  </conditionalFormatting>
  <conditionalFormatting sqref="A982:A984">
    <cfRule type="cellIs" dxfId="14193" priority="14031" stopIfTrue="1" operator="equal">
      <formula>"Pass"</formula>
    </cfRule>
    <cfRule type="cellIs" dxfId="14192" priority="14032" stopIfTrue="1" operator="equal">
      <formula>"Fail"</formula>
    </cfRule>
  </conditionalFormatting>
  <conditionalFormatting sqref="A982:A984">
    <cfRule type="cellIs" dxfId="14191" priority="14029" stopIfTrue="1" operator="equal">
      <formula>"Pass"</formula>
    </cfRule>
    <cfRule type="cellIs" dxfId="14190" priority="14030" stopIfTrue="1" operator="equal">
      <formula>"Fail"</formula>
    </cfRule>
  </conditionalFormatting>
  <conditionalFormatting sqref="A982:A984">
    <cfRule type="cellIs" dxfId="14189" priority="14027" stopIfTrue="1" operator="equal">
      <formula>"Pass"</formula>
    </cfRule>
    <cfRule type="cellIs" dxfId="14188" priority="14028" stopIfTrue="1" operator="equal">
      <formula>"Fail"</formula>
    </cfRule>
  </conditionalFormatting>
  <conditionalFormatting sqref="J982:N983 E982:G984">
    <cfRule type="cellIs" dxfId="14187" priority="14025" stopIfTrue="1" operator="equal">
      <formula>"Pass"</formula>
    </cfRule>
    <cfRule type="cellIs" dxfId="14186" priority="14026" stopIfTrue="1" operator="equal">
      <formula>"Fail"</formula>
    </cfRule>
  </conditionalFormatting>
  <conditionalFormatting sqref="A984 C984 K982:O983 F982:H984">
    <cfRule type="cellIs" dxfId="14185" priority="14023" stopIfTrue="1" operator="equal">
      <formula>"Pass"</formula>
    </cfRule>
    <cfRule type="cellIs" dxfId="14184" priority="14024" stopIfTrue="1" operator="equal">
      <formula>"Fail"</formula>
    </cfRule>
  </conditionalFormatting>
  <conditionalFormatting sqref="T982">
    <cfRule type="cellIs" dxfId="14183" priority="14021" stopIfTrue="1" operator="equal">
      <formula>"Fail"</formula>
    </cfRule>
    <cfRule type="cellIs" dxfId="14182" priority="14022" stopIfTrue="1" operator="equal">
      <formula>"Pass"</formula>
    </cfRule>
  </conditionalFormatting>
  <conditionalFormatting sqref="A982:A984">
    <cfRule type="cellIs" dxfId="14181" priority="14019" stopIfTrue="1" operator="equal">
      <formula>"Pass"</formula>
    </cfRule>
    <cfRule type="cellIs" dxfId="14180" priority="14020" stopIfTrue="1" operator="equal">
      <formula>"Fail"</formula>
    </cfRule>
  </conditionalFormatting>
  <conditionalFormatting sqref="A982:A984">
    <cfRule type="cellIs" dxfId="14179" priority="14017" stopIfTrue="1" operator="equal">
      <formula>"Pass"</formula>
    </cfRule>
    <cfRule type="cellIs" dxfId="14178" priority="14018" stopIfTrue="1" operator="equal">
      <formula>"Fail"</formula>
    </cfRule>
  </conditionalFormatting>
  <conditionalFormatting sqref="A982:A984">
    <cfRule type="cellIs" dxfId="14177" priority="14015" stopIfTrue="1" operator="equal">
      <formula>"Pass"</formula>
    </cfRule>
    <cfRule type="cellIs" dxfId="14176" priority="14016" stopIfTrue="1" operator="equal">
      <formula>"Fail"</formula>
    </cfRule>
  </conditionalFormatting>
  <conditionalFormatting sqref="A982:A984">
    <cfRule type="cellIs" dxfId="14175" priority="14013" stopIfTrue="1" operator="equal">
      <formula>"Pass"</formula>
    </cfRule>
    <cfRule type="cellIs" dxfId="14174" priority="14014" stopIfTrue="1" operator="equal">
      <formula>"Fail"</formula>
    </cfRule>
  </conditionalFormatting>
  <conditionalFormatting sqref="A982:A984">
    <cfRule type="cellIs" dxfId="14173" priority="14011" stopIfTrue="1" operator="equal">
      <formula>"Pass"</formula>
    </cfRule>
    <cfRule type="cellIs" dxfId="14172" priority="14012" stopIfTrue="1" operator="equal">
      <formula>"Fail"</formula>
    </cfRule>
  </conditionalFormatting>
  <conditionalFormatting sqref="A982:A984">
    <cfRule type="cellIs" dxfId="14171" priority="14009" stopIfTrue="1" operator="equal">
      <formula>"Pass"</formula>
    </cfRule>
    <cfRule type="cellIs" dxfId="14170" priority="14010" stopIfTrue="1" operator="equal">
      <formula>"Fail"</formula>
    </cfRule>
  </conditionalFormatting>
  <conditionalFormatting sqref="A984">
    <cfRule type="cellIs" dxfId="14169" priority="14007" stopIfTrue="1" operator="equal">
      <formula>"Pass"</formula>
    </cfRule>
    <cfRule type="cellIs" dxfId="14168" priority="14008" stopIfTrue="1" operator="equal">
      <formula>"Fail"</formula>
    </cfRule>
  </conditionalFormatting>
  <conditionalFormatting sqref="A982:A984">
    <cfRule type="cellIs" dxfId="14167" priority="14005" stopIfTrue="1" operator="equal">
      <formula>"Pass"</formula>
    </cfRule>
    <cfRule type="cellIs" dxfId="14166" priority="14006" stopIfTrue="1" operator="equal">
      <formula>"Fail"</formula>
    </cfRule>
  </conditionalFormatting>
  <conditionalFormatting sqref="A982:A984">
    <cfRule type="cellIs" dxfId="14165" priority="14003" stopIfTrue="1" operator="equal">
      <formula>"Pass"</formula>
    </cfRule>
    <cfRule type="cellIs" dxfId="14164" priority="14004" stopIfTrue="1" operator="equal">
      <formula>"Fail"</formula>
    </cfRule>
  </conditionalFormatting>
  <conditionalFormatting sqref="A982:A984">
    <cfRule type="cellIs" dxfId="14163" priority="14001" stopIfTrue="1" operator="equal">
      <formula>"Pass"</formula>
    </cfRule>
    <cfRule type="cellIs" dxfId="14162" priority="14002" stopIfTrue="1" operator="equal">
      <formula>"Fail"</formula>
    </cfRule>
  </conditionalFormatting>
  <conditionalFormatting sqref="A982:A984">
    <cfRule type="cellIs" dxfId="14161" priority="13999" stopIfTrue="1" operator="equal">
      <formula>"Pass"</formula>
    </cfRule>
    <cfRule type="cellIs" dxfId="14160" priority="14000" stopIfTrue="1" operator="equal">
      <formula>"Fail"</formula>
    </cfRule>
  </conditionalFormatting>
  <conditionalFormatting sqref="A982:A984">
    <cfRule type="cellIs" dxfId="14159" priority="13997" stopIfTrue="1" operator="equal">
      <formula>"Pass"</formula>
    </cfRule>
    <cfRule type="cellIs" dxfId="14158" priority="13998" stopIfTrue="1" operator="equal">
      <formula>"Fail"</formula>
    </cfRule>
  </conditionalFormatting>
  <conditionalFormatting sqref="A982:A984">
    <cfRule type="cellIs" dxfId="14157" priority="13995" stopIfTrue="1" operator="equal">
      <formula>"Pass"</formula>
    </cfRule>
    <cfRule type="cellIs" dxfId="14156" priority="13996" stopIfTrue="1" operator="equal">
      <formula>"Fail"</formula>
    </cfRule>
  </conditionalFormatting>
  <conditionalFormatting sqref="A984">
    <cfRule type="cellIs" dxfId="14155" priority="13993" stopIfTrue="1" operator="equal">
      <formula>"Pass"</formula>
    </cfRule>
    <cfRule type="cellIs" dxfId="14154" priority="13994" stopIfTrue="1" operator="equal">
      <formula>"Fail"</formula>
    </cfRule>
  </conditionalFormatting>
  <conditionalFormatting sqref="A982:A984">
    <cfRule type="cellIs" dxfId="14153" priority="13991" stopIfTrue="1" operator="equal">
      <formula>"Pass"</formula>
    </cfRule>
    <cfRule type="cellIs" dxfId="14152" priority="13992" stopIfTrue="1" operator="equal">
      <formula>"Fail"</formula>
    </cfRule>
  </conditionalFormatting>
  <conditionalFormatting sqref="H982:H983">
    <cfRule type="cellIs" dxfId="14151" priority="13989" stopIfTrue="1" operator="equal">
      <formula>"Pass"</formula>
    </cfRule>
    <cfRule type="cellIs" dxfId="14150" priority="13990" stopIfTrue="1" operator="equal">
      <formula>"Fail"</formula>
    </cfRule>
  </conditionalFormatting>
  <conditionalFormatting sqref="F982 F984 I982:M983">
    <cfRule type="cellIs" dxfId="14149" priority="13987" stopIfTrue="1" operator="equal">
      <formula>"Pass"</formula>
    </cfRule>
    <cfRule type="cellIs" dxfId="14148" priority="13988" stopIfTrue="1" operator="equal">
      <formula>"Fail"</formula>
    </cfRule>
  </conditionalFormatting>
  <conditionalFormatting sqref="T984 T982 R982:R984 S983:S984">
    <cfRule type="cellIs" dxfId="14147" priority="13985" stopIfTrue="1" operator="equal">
      <formula>"Fail"</formula>
    </cfRule>
    <cfRule type="cellIs" dxfId="14146" priority="13986" stopIfTrue="1" operator="equal">
      <formula>"Pass"</formula>
    </cfRule>
  </conditionalFormatting>
  <conditionalFormatting sqref="F982:G982 F984:G984 J982:N983">
    <cfRule type="cellIs" dxfId="14145" priority="13983" stopIfTrue="1" operator="equal">
      <formula>"Pass"</formula>
    </cfRule>
    <cfRule type="cellIs" dxfId="14144" priority="13984" stopIfTrue="1" operator="equal">
      <formula>"Fail"</formula>
    </cfRule>
  </conditionalFormatting>
  <conditionalFormatting sqref="U984:V984 U982:V982 T982:T984 S983:S984">
    <cfRule type="cellIs" dxfId="14143" priority="13981" stopIfTrue="1" operator="equal">
      <formula>"Fail"</formula>
    </cfRule>
    <cfRule type="cellIs" dxfId="14142" priority="13982" stopIfTrue="1" operator="equal">
      <formula>"Pass"</formula>
    </cfRule>
  </conditionalFormatting>
  <conditionalFormatting sqref="J982:N983 F982:G984">
    <cfRule type="cellIs" dxfId="14141" priority="13979" stopIfTrue="1" operator="equal">
      <formula>"Pass"</formula>
    </cfRule>
    <cfRule type="cellIs" dxfId="14140" priority="13980" stopIfTrue="1" operator="equal">
      <formula>"Fail"</formula>
    </cfRule>
  </conditionalFormatting>
  <conditionalFormatting sqref="K982:O983 F982:H984">
    <cfRule type="cellIs" dxfId="14139" priority="13977" stopIfTrue="1" operator="equal">
      <formula>"Pass"</formula>
    </cfRule>
    <cfRule type="cellIs" dxfId="14138" priority="13978" stopIfTrue="1" operator="equal">
      <formula>"Fail"</formula>
    </cfRule>
  </conditionalFormatting>
  <conditionalFormatting sqref="T982">
    <cfRule type="cellIs" dxfId="14137" priority="13975" stopIfTrue="1" operator="equal">
      <formula>"Fail"</formula>
    </cfRule>
    <cfRule type="cellIs" dxfId="14136" priority="13976" stopIfTrue="1" operator="equal">
      <formula>"Pass"</formula>
    </cfRule>
  </conditionalFormatting>
  <conditionalFormatting sqref="K982:O983 F982:H984">
    <cfRule type="cellIs" dxfId="14135" priority="13973" stopIfTrue="1" operator="equal">
      <formula>"Pass"</formula>
    </cfRule>
    <cfRule type="cellIs" dxfId="14134" priority="13974" stopIfTrue="1" operator="equal">
      <formula>"Fail"</formula>
    </cfRule>
  </conditionalFormatting>
  <conditionalFormatting sqref="T982">
    <cfRule type="cellIs" dxfId="14133" priority="13971" stopIfTrue="1" operator="equal">
      <formula>"Fail"</formula>
    </cfRule>
    <cfRule type="cellIs" dxfId="14132" priority="13972" stopIfTrue="1" operator="equal">
      <formula>"Pass"</formula>
    </cfRule>
  </conditionalFormatting>
  <conditionalFormatting sqref="A985:A987">
    <cfRule type="cellIs" dxfId="14131" priority="13969" stopIfTrue="1" operator="equal">
      <formula>"Pass"</formula>
    </cfRule>
    <cfRule type="cellIs" dxfId="14130" priority="13970" stopIfTrue="1" operator="equal">
      <formula>"Fail"</formula>
    </cfRule>
  </conditionalFormatting>
  <conditionalFormatting sqref="A985:A987">
    <cfRule type="cellIs" dxfId="14129" priority="13967" stopIfTrue="1" operator="equal">
      <formula>"Pass"</formula>
    </cfRule>
    <cfRule type="cellIs" dxfId="14128" priority="13968" stopIfTrue="1" operator="equal">
      <formula>"Fail"</formula>
    </cfRule>
  </conditionalFormatting>
  <conditionalFormatting sqref="A985:A987">
    <cfRule type="cellIs" dxfId="14127" priority="13965" stopIfTrue="1" operator="equal">
      <formula>"Pass"</formula>
    </cfRule>
    <cfRule type="cellIs" dxfId="14126" priority="13966" stopIfTrue="1" operator="equal">
      <formula>"Fail"</formula>
    </cfRule>
  </conditionalFormatting>
  <conditionalFormatting sqref="A985:A987">
    <cfRule type="cellIs" dxfId="14125" priority="13963" stopIfTrue="1" operator="equal">
      <formula>"Pass"</formula>
    </cfRule>
    <cfRule type="cellIs" dxfId="14124" priority="13964" stopIfTrue="1" operator="equal">
      <formula>"Fail"</formula>
    </cfRule>
  </conditionalFormatting>
  <conditionalFormatting sqref="A985:A987">
    <cfRule type="cellIs" dxfId="14123" priority="13961" stopIfTrue="1" operator="equal">
      <formula>"Pass"</formula>
    </cfRule>
    <cfRule type="cellIs" dxfId="14122" priority="13962" stopIfTrue="1" operator="equal">
      <formula>"Fail"</formula>
    </cfRule>
  </conditionalFormatting>
  <conditionalFormatting sqref="A987">
    <cfRule type="cellIs" dxfId="14121" priority="13959" stopIfTrue="1" operator="equal">
      <formula>"Pass"</formula>
    </cfRule>
    <cfRule type="cellIs" dxfId="14120" priority="13960" stopIfTrue="1" operator="equal">
      <formula>"Fail"</formula>
    </cfRule>
  </conditionalFormatting>
  <conditionalFormatting sqref="A985:A987">
    <cfRule type="cellIs" dxfId="14119" priority="13957" stopIfTrue="1" operator="equal">
      <formula>"Pass"</formula>
    </cfRule>
    <cfRule type="cellIs" dxfId="14118" priority="13958" stopIfTrue="1" operator="equal">
      <formula>"Fail"</formula>
    </cfRule>
  </conditionalFormatting>
  <conditionalFormatting sqref="A985:A987">
    <cfRule type="cellIs" dxfId="14117" priority="13955" stopIfTrue="1" operator="equal">
      <formula>"Pass"</formula>
    </cfRule>
    <cfRule type="cellIs" dxfId="14116" priority="13956" stopIfTrue="1" operator="equal">
      <formula>"Fail"</formula>
    </cfRule>
  </conditionalFormatting>
  <conditionalFormatting sqref="A985:A987">
    <cfRule type="cellIs" dxfId="14115" priority="13953" stopIfTrue="1" operator="equal">
      <formula>"Pass"</formula>
    </cfRule>
    <cfRule type="cellIs" dxfId="14114" priority="13954" stopIfTrue="1" operator="equal">
      <formula>"Fail"</formula>
    </cfRule>
  </conditionalFormatting>
  <conditionalFormatting sqref="A985:A987">
    <cfRule type="cellIs" dxfId="14113" priority="13951" stopIfTrue="1" operator="equal">
      <formula>"Pass"</formula>
    </cfRule>
    <cfRule type="cellIs" dxfId="14112" priority="13952" stopIfTrue="1" operator="equal">
      <formula>"Fail"</formula>
    </cfRule>
  </conditionalFormatting>
  <conditionalFormatting sqref="A985:A987">
    <cfRule type="cellIs" dxfId="14111" priority="13949" stopIfTrue="1" operator="equal">
      <formula>"Pass"</formula>
    </cfRule>
    <cfRule type="cellIs" dxfId="14110" priority="13950" stopIfTrue="1" operator="equal">
      <formula>"Fail"</formula>
    </cfRule>
  </conditionalFormatting>
  <conditionalFormatting sqref="A985:A987">
    <cfRule type="cellIs" dxfId="14109" priority="13947" stopIfTrue="1" operator="equal">
      <formula>"Pass"</formula>
    </cfRule>
    <cfRule type="cellIs" dxfId="14108" priority="13948" stopIfTrue="1" operator="equal">
      <formula>"Fail"</formula>
    </cfRule>
  </conditionalFormatting>
  <conditionalFormatting sqref="A987">
    <cfRule type="cellIs" dxfId="14107" priority="13945" stopIfTrue="1" operator="equal">
      <formula>"Pass"</formula>
    </cfRule>
    <cfRule type="cellIs" dxfId="14106" priority="13946" stopIfTrue="1" operator="equal">
      <formula>"Fail"</formula>
    </cfRule>
  </conditionalFormatting>
  <conditionalFormatting sqref="A985:A987">
    <cfRule type="cellIs" dxfId="14105" priority="13943" stopIfTrue="1" operator="equal">
      <formula>"Pass"</formula>
    </cfRule>
    <cfRule type="cellIs" dxfId="14104" priority="13944" stopIfTrue="1" operator="equal">
      <formula>"Fail"</formula>
    </cfRule>
  </conditionalFormatting>
  <conditionalFormatting sqref="A985:A987">
    <cfRule type="cellIs" dxfId="14103" priority="13941" stopIfTrue="1" operator="equal">
      <formula>"Pass"</formula>
    </cfRule>
    <cfRule type="cellIs" dxfId="14102" priority="13942" stopIfTrue="1" operator="equal">
      <formula>"Fail"</formula>
    </cfRule>
  </conditionalFormatting>
  <conditionalFormatting sqref="A985:A987">
    <cfRule type="cellIs" dxfId="14101" priority="13939" stopIfTrue="1" operator="equal">
      <formula>"Pass"</formula>
    </cfRule>
    <cfRule type="cellIs" dxfId="14100" priority="13940" stopIfTrue="1" operator="equal">
      <formula>"Fail"</formula>
    </cfRule>
  </conditionalFormatting>
  <conditionalFormatting sqref="A985:A987">
    <cfRule type="cellIs" dxfId="14099" priority="13937" stopIfTrue="1" operator="equal">
      <formula>"Pass"</formula>
    </cfRule>
    <cfRule type="cellIs" dxfId="14098" priority="13938" stopIfTrue="1" operator="equal">
      <formula>"Fail"</formula>
    </cfRule>
  </conditionalFormatting>
  <conditionalFormatting sqref="A985:A987">
    <cfRule type="cellIs" dxfId="14097" priority="13935" stopIfTrue="1" operator="equal">
      <formula>"Pass"</formula>
    </cfRule>
    <cfRule type="cellIs" dxfId="14096" priority="13936" stopIfTrue="1" operator="equal">
      <formula>"Fail"</formula>
    </cfRule>
  </conditionalFormatting>
  <conditionalFormatting sqref="A985:A987">
    <cfRule type="cellIs" dxfId="14095" priority="13933" stopIfTrue="1" operator="equal">
      <formula>"Pass"</formula>
    </cfRule>
    <cfRule type="cellIs" dxfId="14094" priority="13934" stopIfTrue="1" operator="equal">
      <formula>"Fail"</formula>
    </cfRule>
  </conditionalFormatting>
  <conditionalFormatting sqref="A987">
    <cfRule type="cellIs" dxfId="14093" priority="13931" stopIfTrue="1" operator="equal">
      <formula>"Pass"</formula>
    </cfRule>
    <cfRule type="cellIs" dxfId="14092" priority="13932" stopIfTrue="1" operator="equal">
      <formula>"Fail"</formula>
    </cfRule>
  </conditionalFormatting>
  <conditionalFormatting sqref="A985:A987">
    <cfRule type="cellIs" dxfId="14091" priority="13929" stopIfTrue="1" operator="equal">
      <formula>"Pass"</formula>
    </cfRule>
    <cfRule type="cellIs" dxfId="14090" priority="13930" stopIfTrue="1" operator="equal">
      <formula>"Fail"</formula>
    </cfRule>
  </conditionalFormatting>
  <conditionalFormatting sqref="A985:A987">
    <cfRule type="cellIs" dxfId="14089" priority="13927" stopIfTrue="1" operator="equal">
      <formula>"Pass"</formula>
    </cfRule>
    <cfRule type="cellIs" dxfId="14088" priority="13928" stopIfTrue="1" operator="equal">
      <formula>"Fail"</formula>
    </cfRule>
  </conditionalFormatting>
  <conditionalFormatting sqref="A985:A987">
    <cfRule type="cellIs" dxfId="14087" priority="13925" stopIfTrue="1" operator="equal">
      <formula>"Pass"</formula>
    </cfRule>
    <cfRule type="cellIs" dxfId="14086" priority="13926" stopIfTrue="1" operator="equal">
      <formula>"Fail"</formula>
    </cfRule>
  </conditionalFormatting>
  <conditionalFormatting sqref="A985:A987">
    <cfRule type="cellIs" dxfId="14085" priority="13923" stopIfTrue="1" operator="equal">
      <formula>"Pass"</formula>
    </cfRule>
    <cfRule type="cellIs" dxfId="14084" priority="13924" stopIfTrue="1" operator="equal">
      <formula>"Fail"</formula>
    </cfRule>
  </conditionalFormatting>
  <conditionalFormatting sqref="A985:A987">
    <cfRule type="cellIs" dxfId="14083" priority="13921" stopIfTrue="1" operator="equal">
      <formula>"Pass"</formula>
    </cfRule>
    <cfRule type="cellIs" dxfId="14082" priority="13922" stopIfTrue="1" operator="equal">
      <formula>"Fail"</formula>
    </cfRule>
  </conditionalFormatting>
  <conditionalFormatting sqref="A985:A987">
    <cfRule type="cellIs" dxfId="14081" priority="13919" stopIfTrue="1" operator="equal">
      <formula>"Pass"</formula>
    </cfRule>
    <cfRule type="cellIs" dxfId="14080" priority="13920" stopIfTrue="1" operator="equal">
      <formula>"Fail"</formula>
    </cfRule>
  </conditionalFormatting>
  <conditionalFormatting sqref="A987">
    <cfRule type="cellIs" dxfId="14079" priority="13917" stopIfTrue="1" operator="equal">
      <formula>"Pass"</formula>
    </cfRule>
    <cfRule type="cellIs" dxfId="14078" priority="13918" stopIfTrue="1" operator="equal">
      <formula>"Fail"</formula>
    </cfRule>
  </conditionalFormatting>
  <conditionalFormatting sqref="A985:A987">
    <cfRule type="cellIs" dxfId="14077" priority="13915" stopIfTrue="1" operator="equal">
      <formula>"Pass"</formula>
    </cfRule>
    <cfRule type="cellIs" dxfId="14076" priority="13916" stopIfTrue="1" operator="equal">
      <formula>"Fail"</formula>
    </cfRule>
  </conditionalFormatting>
  <conditionalFormatting sqref="A985:A987">
    <cfRule type="cellIs" dxfId="14075" priority="13913" stopIfTrue="1" operator="equal">
      <formula>"Pass"</formula>
    </cfRule>
    <cfRule type="cellIs" dxfId="14074" priority="13914" stopIfTrue="1" operator="equal">
      <formula>"Fail"</formula>
    </cfRule>
  </conditionalFormatting>
  <conditionalFormatting sqref="A985:A987">
    <cfRule type="cellIs" dxfId="14073" priority="13911" stopIfTrue="1" operator="equal">
      <formula>"Pass"</formula>
    </cfRule>
    <cfRule type="cellIs" dxfId="14072" priority="13912" stopIfTrue="1" operator="equal">
      <formula>"Fail"</formula>
    </cfRule>
  </conditionalFormatting>
  <conditionalFormatting sqref="A985:A987">
    <cfRule type="cellIs" dxfId="14071" priority="13909" stopIfTrue="1" operator="equal">
      <formula>"Pass"</formula>
    </cfRule>
    <cfRule type="cellIs" dxfId="14070" priority="13910" stopIfTrue="1" operator="equal">
      <formula>"Fail"</formula>
    </cfRule>
  </conditionalFormatting>
  <conditionalFormatting sqref="A985:A987">
    <cfRule type="cellIs" dxfId="14069" priority="13907" stopIfTrue="1" operator="equal">
      <formula>"Pass"</formula>
    </cfRule>
    <cfRule type="cellIs" dxfId="14068" priority="13908" stopIfTrue="1" operator="equal">
      <formula>"Fail"</formula>
    </cfRule>
  </conditionalFormatting>
  <conditionalFormatting sqref="A985:A987">
    <cfRule type="cellIs" dxfId="14067" priority="13905" stopIfTrue="1" operator="equal">
      <formula>"Pass"</formula>
    </cfRule>
    <cfRule type="cellIs" dxfId="14066" priority="13906" stopIfTrue="1" operator="equal">
      <formula>"Fail"</formula>
    </cfRule>
  </conditionalFormatting>
  <conditionalFormatting sqref="A987">
    <cfRule type="cellIs" dxfId="14065" priority="13903" stopIfTrue="1" operator="equal">
      <formula>"Pass"</formula>
    </cfRule>
    <cfRule type="cellIs" dxfId="14064" priority="13904" stopIfTrue="1" operator="equal">
      <formula>"Fail"</formula>
    </cfRule>
  </conditionalFormatting>
  <conditionalFormatting sqref="A985:A987">
    <cfRule type="cellIs" dxfId="14063" priority="13901" stopIfTrue="1" operator="equal">
      <formula>"Pass"</formula>
    </cfRule>
    <cfRule type="cellIs" dxfId="14062" priority="13902" stopIfTrue="1" operator="equal">
      <formula>"Fail"</formula>
    </cfRule>
  </conditionalFormatting>
  <conditionalFormatting sqref="A985:A987">
    <cfRule type="cellIs" dxfId="14061" priority="13899" stopIfTrue="1" operator="equal">
      <formula>"Pass"</formula>
    </cfRule>
    <cfRule type="cellIs" dxfId="14060" priority="13900" stopIfTrue="1" operator="equal">
      <formula>"Fail"</formula>
    </cfRule>
  </conditionalFormatting>
  <conditionalFormatting sqref="A985:A987">
    <cfRule type="cellIs" dxfId="14059" priority="13897" stopIfTrue="1" operator="equal">
      <formula>"Pass"</formula>
    </cfRule>
    <cfRule type="cellIs" dxfId="14058" priority="13898" stopIfTrue="1" operator="equal">
      <formula>"Fail"</formula>
    </cfRule>
  </conditionalFormatting>
  <conditionalFormatting sqref="A985:A987">
    <cfRule type="cellIs" dxfId="14057" priority="13895" stopIfTrue="1" operator="equal">
      <formula>"Pass"</formula>
    </cfRule>
    <cfRule type="cellIs" dxfId="14056" priority="13896" stopIfTrue="1" operator="equal">
      <formula>"Fail"</formula>
    </cfRule>
  </conditionalFormatting>
  <conditionalFormatting sqref="A985:A987">
    <cfRule type="cellIs" dxfId="14055" priority="13893" stopIfTrue="1" operator="equal">
      <formula>"Pass"</formula>
    </cfRule>
    <cfRule type="cellIs" dxfId="14054" priority="13894" stopIfTrue="1" operator="equal">
      <formula>"Fail"</formula>
    </cfRule>
  </conditionalFormatting>
  <conditionalFormatting sqref="A985:A987">
    <cfRule type="cellIs" dxfId="14053" priority="13891" stopIfTrue="1" operator="equal">
      <formula>"Pass"</formula>
    </cfRule>
    <cfRule type="cellIs" dxfId="14052" priority="13892" stopIfTrue="1" operator="equal">
      <formula>"Fail"</formula>
    </cfRule>
  </conditionalFormatting>
  <conditionalFormatting sqref="A987">
    <cfRule type="cellIs" dxfId="14051" priority="13889" stopIfTrue="1" operator="equal">
      <formula>"Pass"</formula>
    </cfRule>
    <cfRule type="cellIs" dxfId="14050" priority="13890" stopIfTrue="1" operator="equal">
      <formula>"Fail"</formula>
    </cfRule>
  </conditionalFormatting>
  <conditionalFormatting sqref="A985:A987">
    <cfRule type="cellIs" dxfId="14049" priority="13887" stopIfTrue="1" operator="equal">
      <formula>"Pass"</formula>
    </cfRule>
    <cfRule type="cellIs" dxfId="14048" priority="13888" stopIfTrue="1" operator="equal">
      <formula>"Fail"</formula>
    </cfRule>
  </conditionalFormatting>
  <conditionalFormatting sqref="A985">
    <cfRule type="cellIs" dxfId="14047" priority="13885" stopIfTrue="1" operator="equal">
      <formula>"Pass"</formula>
    </cfRule>
    <cfRule type="cellIs" dxfId="14046" priority="13886" stopIfTrue="1" operator="equal">
      <formula>"Fail"</formula>
    </cfRule>
  </conditionalFormatting>
  <conditionalFormatting sqref="A985">
    <cfRule type="cellIs" dxfId="14045" priority="13883" stopIfTrue="1" operator="equal">
      <formula>"Pass"</formula>
    </cfRule>
    <cfRule type="cellIs" dxfId="14044" priority="13884" stopIfTrue="1" operator="equal">
      <formula>"Fail"</formula>
    </cfRule>
  </conditionalFormatting>
  <conditionalFormatting sqref="A985">
    <cfRule type="cellIs" dxfId="14043" priority="13881" stopIfTrue="1" operator="equal">
      <formula>"Pass"</formula>
    </cfRule>
    <cfRule type="cellIs" dxfId="14042" priority="13882" stopIfTrue="1" operator="equal">
      <formula>"Fail"</formula>
    </cfRule>
  </conditionalFormatting>
  <conditionalFormatting sqref="A985">
    <cfRule type="cellIs" dxfId="14041" priority="13879" stopIfTrue="1" operator="equal">
      <formula>"Pass"</formula>
    </cfRule>
    <cfRule type="cellIs" dxfId="14040" priority="13880" stopIfTrue="1" operator="equal">
      <formula>"Fail"</formula>
    </cfRule>
  </conditionalFormatting>
  <conditionalFormatting sqref="A985">
    <cfRule type="cellIs" dxfId="14039" priority="13877" stopIfTrue="1" operator="equal">
      <formula>"Pass"</formula>
    </cfRule>
    <cfRule type="cellIs" dxfId="14038" priority="13878" stopIfTrue="1" operator="equal">
      <formula>"Fail"</formula>
    </cfRule>
  </conditionalFormatting>
  <conditionalFormatting sqref="A985">
    <cfRule type="cellIs" dxfId="14037" priority="13875" stopIfTrue="1" operator="equal">
      <formula>"Pass"</formula>
    </cfRule>
    <cfRule type="cellIs" dxfId="14036" priority="13876" stopIfTrue="1" operator="equal">
      <formula>"Fail"</formula>
    </cfRule>
  </conditionalFormatting>
  <conditionalFormatting sqref="A985">
    <cfRule type="cellIs" dxfId="14035" priority="13873" stopIfTrue="1" operator="equal">
      <formula>"Pass"</formula>
    </cfRule>
    <cfRule type="cellIs" dxfId="14034" priority="13874" stopIfTrue="1" operator="equal">
      <formula>"Fail"</formula>
    </cfRule>
  </conditionalFormatting>
  <conditionalFormatting sqref="A985">
    <cfRule type="cellIs" dxfId="14033" priority="13871" stopIfTrue="1" operator="equal">
      <formula>"Pass"</formula>
    </cfRule>
    <cfRule type="cellIs" dxfId="14032" priority="13872" stopIfTrue="1" operator="equal">
      <formula>"Fail"</formula>
    </cfRule>
  </conditionalFormatting>
  <conditionalFormatting sqref="A985">
    <cfRule type="cellIs" dxfId="14031" priority="13869" stopIfTrue="1" operator="equal">
      <formula>"Pass"</formula>
    </cfRule>
    <cfRule type="cellIs" dxfId="14030" priority="13870" stopIfTrue="1" operator="equal">
      <formula>"Fail"</formula>
    </cfRule>
  </conditionalFormatting>
  <conditionalFormatting sqref="A985">
    <cfRule type="cellIs" dxfId="14029" priority="13867" stopIfTrue="1" operator="equal">
      <formula>"Pass"</formula>
    </cfRule>
    <cfRule type="cellIs" dxfId="14028" priority="13868" stopIfTrue="1" operator="equal">
      <formula>"Fail"</formula>
    </cfRule>
  </conditionalFormatting>
  <conditionalFormatting sqref="A985">
    <cfRule type="cellIs" dxfId="14027" priority="13865" stopIfTrue="1" operator="equal">
      <formula>"Pass"</formula>
    </cfRule>
    <cfRule type="cellIs" dxfId="14026" priority="13866" stopIfTrue="1" operator="equal">
      <formula>"Fail"</formula>
    </cfRule>
  </conditionalFormatting>
  <conditionalFormatting sqref="A985">
    <cfRule type="cellIs" dxfId="14025" priority="13863" stopIfTrue="1" operator="equal">
      <formula>"Pass"</formula>
    </cfRule>
    <cfRule type="cellIs" dxfId="14024" priority="13864" stopIfTrue="1" operator="equal">
      <formula>"Fail"</formula>
    </cfRule>
  </conditionalFormatting>
  <conditionalFormatting sqref="A985">
    <cfRule type="cellIs" dxfId="14023" priority="13861" stopIfTrue="1" operator="equal">
      <formula>"Pass"</formula>
    </cfRule>
    <cfRule type="cellIs" dxfId="14022" priority="13862" stopIfTrue="1" operator="equal">
      <formula>"Fail"</formula>
    </cfRule>
  </conditionalFormatting>
  <conditionalFormatting sqref="A985">
    <cfRule type="cellIs" dxfId="14021" priority="13859" stopIfTrue="1" operator="equal">
      <formula>"Pass"</formula>
    </cfRule>
    <cfRule type="cellIs" dxfId="14020" priority="13860" stopIfTrue="1" operator="equal">
      <formula>"Fail"</formula>
    </cfRule>
  </conditionalFormatting>
  <conditionalFormatting sqref="A985">
    <cfRule type="cellIs" dxfId="14019" priority="13857" stopIfTrue="1" operator="equal">
      <formula>"Pass"</formula>
    </cfRule>
    <cfRule type="cellIs" dxfId="14018" priority="13858" stopIfTrue="1" operator="equal">
      <formula>"Fail"</formula>
    </cfRule>
  </conditionalFormatting>
  <conditionalFormatting sqref="A985">
    <cfRule type="cellIs" dxfId="14017" priority="13855" stopIfTrue="1" operator="equal">
      <formula>"Pass"</formula>
    </cfRule>
    <cfRule type="cellIs" dxfId="14016" priority="13856" stopIfTrue="1" operator="equal">
      <formula>"Fail"</formula>
    </cfRule>
  </conditionalFormatting>
  <conditionalFormatting sqref="A985">
    <cfRule type="cellIs" dxfId="14015" priority="13853" stopIfTrue="1" operator="equal">
      <formula>"Pass"</formula>
    </cfRule>
    <cfRule type="cellIs" dxfId="14014" priority="13854" stopIfTrue="1" operator="equal">
      <formula>"Fail"</formula>
    </cfRule>
  </conditionalFormatting>
  <conditionalFormatting sqref="A985">
    <cfRule type="cellIs" dxfId="14013" priority="13851" stopIfTrue="1" operator="equal">
      <formula>"Pass"</formula>
    </cfRule>
    <cfRule type="cellIs" dxfId="14012" priority="13852" stopIfTrue="1" operator="equal">
      <formula>"Fail"</formula>
    </cfRule>
  </conditionalFormatting>
  <conditionalFormatting sqref="J985:J986">
    <cfRule type="cellIs" dxfId="14011" priority="13849" stopIfTrue="1" operator="equal">
      <formula>"Pass"</formula>
    </cfRule>
    <cfRule type="cellIs" dxfId="14010" priority="13850" stopIfTrue="1" operator="equal">
      <formula>"Fail"</formula>
    </cfRule>
  </conditionalFormatting>
  <conditionalFormatting sqref="H985:H986 I986">
    <cfRule type="cellIs" dxfId="14009" priority="13847" stopIfTrue="1" operator="equal">
      <formula>"Pass"</formula>
    </cfRule>
    <cfRule type="cellIs" dxfId="14008" priority="13848" stopIfTrue="1" operator="equal">
      <formula>"Fail"</formula>
    </cfRule>
  </conditionalFormatting>
  <conditionalFormatting sqref="A985 C985 F987 F985:G985 K985:N986">
    <cfRule type="cellIs" dxfId="14007" priority="13845" stopIfTrue="1" operator="equal">
      <formula>"Pass"</formula>
    </cfRule>
    <cfRule type="cellIs" dxfId="14006" priority="13846" stopIfTrue="1" operator="equal">
      <formula>"Fail"</formula>
    </cfRule>
  </conditionalFormatting>
  <conditionalFormatting sqref="T985:T987 U986:V987">
    <cfRule type="cellIs" dxfId="14005" priority="13843" stopIfTrue="1" operator="equal">
      <formula>"Fail"</formula>
    </cfRule>
    <cfRule type="cellIs" dxfId="14004" priority="13844" stopIfTrue="1" operator="equal">
      <formula>"Pass"</formula>
    </cfRule>
  </conditionalFormatting>
  <conditionalFormatting sqref="A985">
    <cfRule type="cellIs" dxfId="14003" priority="13841" stopIfTrue="1" operator="equal">
      <formula>"Pass"</formula>
    </cfRule>
    <cfRule type="cellIs" dxfId="14002" priority="13842" stopIfTrue="1" operator="equal">
      <formula>"Fail"</formula>
    </cfRule>
  </conditionalFormatting>
  <conditionalFormatting sqref="A985">
    <cfRule type="cellIs" dxfId="14001" priority="13839" stopIfTrue="1" operator="equal">
      <formula>"Pass"</formula>
    </cfRule>
    <cfRule type="cellIs" dxfId="14000" priority="13840" stopIfTrue="1" operator="equal">
      <formula>"Fail"</formula>
    </cfRule>
  </conditionalFormatting>
  <conditionalFormatting sqref="A985">
    <cfRule type="cellIs" dxfId="13999" priority="13837" stopIfTrue="1" operator="equal">
      <formula>"Pass"</formula>
    </cfRule>
    <cfRule type="cellIs" dxfId="13998" priority="13838" stopIfTrue="1" operator="equal">
      <formula>"Fail"</formula>
    </cfRule>
  </conditionalFormatting>
  <conditionalFormatting sqref="A985">
    <cfRule type="cellIs" dxfId="13997" priority="13835" stopIfTrue="1" operator="equal">
      <formula>"Pass"</formula>
    </cfRule>
    <cfRule type="cellIs" dxfId="13996" priority="13836" stopIfTrue="1" operator="equal">
      <formula>"Fail"</formula>
    </cfRule>
  </conditionalFormatting>
  <conditionalFormatting sqref="A985">
    <cfRule type="cellIs" dxfId="13995" priority="13833" stopIfTrue="1" operator="equal">
      <formula>"Pass"</formula>
    </cfRule>
    <cfRule type="cellIs" dxfId="13994" priority="13834" stopIfTrue="1" operator="equal">
      <formula>"Fail"</formula>
    </cfRule>
  </conditionalFormatting>
  <conditionalFormatting sqref="A985">
    <cfRule type="cellIs" dxfId="13993" priority="13831" stopIfTrue="1" operator="equal">
      <formula>"Pass"</formula>
    </cfRule>
    <cfRule type="cellIs" dxfId="13992" priority="13832" stopIfTrue="1" operator="equal">
      <formula>"Fail"</formula>
    </cfRule>
  </conditionalFormatting>
  <conditionalFormatting sqref="A985">
    <cfRule type="cellIs" dxfId="13991" priority="13829" stopIfTrue="1" operator="equal">
      <formula>"Pass"</formula>
    </cfRule>
    <cfRule type="cellIs" dxfId="13990" priority="13830" stopIfTrue="1" operator="equal">
      <formula>"Fail"</formula>
    </cfRule>
  </conditionalFormatting>
  <conditionalFormatting sqref="A985">
    <cfRule type="cellIs" dxfId="13989" priority="13827" stopIfTrue="1" operator="equal">
      <formula>"Pass"</formula>
    </cfRule>
    <cfRule type="cellIs" dxfId="13988" priority="13828" stopIfTrue="1" operator="equal">
      <formula>"Fail"</formula>
    </cfRule>
  </conditionalFormatting>
  <conditionalFormatting sqref="A985">
    <cfRule type="cellIs" dxfId="13987" priority="13825" stopIfTrue="1" operator="equal">
      <formula>"Pass"</formula>
    </cfRule>
    <cfRule type="cellIs" dxfId="13986" priority="13826" stopIfTrue="1" operator="equal">
      <formula>"Fail"</formula>
    </cfRule>
  </conditionalFormatting>
  <conditionalFormatting sqref="A985">
    <cfRule type="cellIs" dxfId="13985" priority="13823" stopIfTrue="1" operator="equal">
      <formula>"Pass"</formula>
    </cfRule>
    <cfRule type="cellIs" dxfId="13984" priority="13824" stopIfTrue="1" operator="equal">
      <formula>"Fail"</formula>
    </cfRule>
  </conditionalFormatting>
  <conditionalFormatting sqref="A985">
    <cfRule type="cellIs" dxfId="13983" priority="13821" stopIfTrue="1" operator="equal">
      <formula>"Pass"</formula>
    </cfRule>
    <cfRule type="cellIs" dxfId="13982" priority="13822" stopIfTrue="1" operator="equal">
      <formula>"Fail"</formula>
    </cfRule>
  </conditionalFormatting>
  <conditionalFormatting sqref="A985">
    <cfRule type="cellIs" dxfId="13981" priority="13819" stopIfTrue="1" operator="equal">
      <formula>"Pass"</formula>
    </cfRule>
    <cfRule type="cellIs" dxfId="13980" priority="13820" stopIfTrue="1" operator="equal">
      <formula>"Fail"</formula>
    </cfRule>
  </conditionalFormatting>
  <conditionalFormatting sqref="A985">
    <cfRule type="cellIs" dxfId="13979" priority="13817" stopIfTrue="1" operator="equal">
      <formula>"Pass"</formula>
    </cfRule>
    <cfRule type="cellIs" dxfId="13978" priority="13818" stopIfTrue="1" operator="equal">
      <formula>"Fail"</formula>
    </cfRule>
  </conditionalFormatting>
  <conditionalFormatting sqref="A985">
    <cfRule type="cellIs" dxfId="13977" priority="13815" stopIfTrue="1" operator="equal">
      <formula>"Pass"</formula>
    </cfRule>
    <cfRule type="cellIs" dxfId="13976" priority="13816" stopIfTrue="1" operator="equal">
      <formula>"Fail"</formula>
    </cfRule>
  </conditionalFormatting>
  <conditionalFormatting sqref="A985">
    <cfRule type="cellIs" dxfId="13975" priority="13813" stopIfTrue="1" operator="equal">
      <formula>"Pass"</formula>
    </cfRule>
    <cfRule type="cellIs" dxfId="13974" priority="13814" stopIfTrue="1" operator="equal">
      <formula>"Fail"</formula>
    </cfRule>
  </conditionalFormatting>
  <conditionalFormatting sqref="A985">
    <cfRule type="cellIs" dxfId="13973" priority="13811" stopIfTrue="1" operator="equal">
      <formula>"Pass"</formula>
    </cfRule>
    <cfRule type="cellIs" dxfId="13972" priority="13812" stopIfTrue="1" operator="equal">
      <formula>"Fail"</formula>
    </cfRule>
  </conditionalFormatting>
  <conditionalFormatting sqref="U985:V985">
    <cfRule type="cellIs" dxfId="13971" priority="13809" stopIfTrue="1" operator="equal">
      <formula>"Fail"</formula>
    </cfRule>
    <cfRule type="cellIs" dxfId="13970" priority="13810" stopIfTrue="1" operator="equal">
      <formula>"Pass"</formula>
    </cfRule>
  </conditionalFormatting>
  <conditionalFormatting sqref="U985:V985">
    <cfRule type="cellIs" dxfId="13969" priority="13807" stopIfTrue="1" operator="equal">
      <formula>"Fail"</formula>
    </cfRule>
    <cfRule type="cellIs" dxfId="13968" priority="13808" stopIfTrue="1" operator="equal">
      <formula>"Pass"</formula>
    </cfRule>
  </conditionalFormatting>
  <conditionalFormatting sqref="J985:J986">
    <cfRule type="cellIs" dxfId="13967" priority="13805" stopIfTrue="1" operator="equal">
      <formula>"Pass"</formula>
    </cfRule>
    <cfRule type="cellIs" dxfId="13966" priority="13806" stopIfTrue="1" operator="equal">
      <formula>"Fail"</formula>
    </cfRule>
  </conditionalFormatting>
  <conditionalFormatting sqref="H985:H986 I986">
    <cfRule type="cellIs" dxfId="13965" priority="13803" stopIfTrue="1" operator="equal">
      <formula>"Pass"</formula>
    </cfRule>
    <cfRule type="cellIs" dxfId="13964" priority="13804" stopIfTrue="1" operator="equal">
      <formula>"Fail"</formula>
    </cfRule>
  </conditionalFormatting>
  <conditionalFormatting sqref="F987 F985:G985 K985:N986">
    <cfRule type="cellIs" dxfId="13963" priority="13801" stopIfTrue="1" operator="equal">
      <formula>"Pass"</formula>
    </cfRule>
    <cfRule type="cellIs" dxfId="13962" priority="13802" stopIfTrue="1" operator="equal">
      <formula>"Fail"</formula>
    </cfRule>
  </conditionalFormatting>
  <conditionalFormatting sqref="T985:T987 U986:V987">
    <cfRule type="cellIs" dxfId="13961" priority="13799" stopIfTrue="1" operator="equal">
      <formula>"Fail"</formula>
    </cfRule>
    <cfRule type="cellIs" dxfId="13960" priority="13800" stopIfTrue="1" operator="equal">
      <formula>"Pass"</formula>
    </cfRule>
  </conditionalFormatting>
  <conditionalFormatting sqref="U985:V985">
    <cfRule type="cellIs" dxfId="13959" priority="13797" stopIfTrue="1" operator="equal">
      <formula>"Fail"</formula>
    </cfRule>
    <cfRule type="cellIs" dxfId="13958" priority="13798" stopIfTrue="1" operator="equal">
      <formula>"Pass"</formula>
    </cfRule>
  </conditionalFormatting>
  <conditionalFormatting sqref="U985:V985">
    <cfRule type="cellIs" dxfId="13957" priority="13795" stopIfTrue="1" operator="equal">
      <formula>"Fail"</formula>
    </cfRule>
    <cfRule type="cellIs" dxfId="13956" priority="13796" stopIfTrue="1" operator="equal">
      <formula>"Pass"</formula>
    </cfRule>
  </conditionalFormatting>
  <conditionalFormatting sqref="F985:G985 K985:N985">
    <cfRule type="cellIs" dxfId="13955" priority="13793" stopIfTrue="1" operator="equal">
      <formula>"Pass"</formula>
    </cfRule>
    <cfRule type="cellIs" dxfId="13954" priority="13794" stopIfTrue="1" operator="equal">
      <formula>"Fail"</formula>
    </cfRule>
  </conditionalFormatting>
  <conditionalFormatting sqref="K986:N986">
    <cfRule type="cellIs" dxfId="13953" priority="13791" stopIfTrue="1" operator="equal">
      <formula>"Pass"</formula>
    </cfRule>
    <cfRule type="cellIs" dxfId="13952" priority="13792" stopIfTrue="1" operator="equal">
      <formula>"Fail"</formula>
    </cfRule>
  </conditionalFormatting>
  <conditionalFormatting sqref="U985:V985">
    <cfRule type="cellIs" dxfId="13951" priority="13789" stopIfTrue="1" operator="equal">
      <formula>"Fail"</formula>
    </cfRule>
    <cfRule type="cellIs" dxfId="13950" priority="13790" stopIfTrue="1" operator="equal">
      <formula>"Pass"</formula>
    </cfRule>
  </conditionalFormatting>
  <conditionalFormatting sqref="A985">
    <cfRule type="cellIs" dxfId="13949" priority="13787" stopIfTrue="1" operator="equal">
      <formula>"Pass"</formula>
    </cfRule>
    <cfRule type="cellIs" dxfId="13948" priority="13788" stopIfTrue="1" operator="equal">
      <formula>"Fail"</formula>
    </cfRule>
  </conditionalFormatting>
  <conditionalFormatting sqref="A985">
    <cfRule type="cellIs" dxfId="13947" priority="13785" stopIfTrue="1" operator="equal">
      <formula>"Pass"</formula>
    </cfRule>
    <cfRule type="cellIs" dxfId="13946" priority="13786" stopIfTrue="1" operator="equal">
      <formula>"Fail"</formula>
    </cfRule>
  </conditionalFormatting>
  <conditionalFormatting sqref="A985">
    <cfRule type="cellIs" dxfId="13945" priority="13783" stopIfTrue="1" operator="equal">
      <formula>"Pass"</formula>
    </cfRule>
    <cfRule type="cellIs" dxfId="13944" priority="13784" stopIfTrue="1" operator="equal">
      <formula>"Fail"</formula>
    </cfRule>
  </conditionalFormatting>
  <conditionalFormatting sqref="A985">
    <cfRule type="cellIs" dxfId="13943" priority="13781" stopIfTrue="1" operator="equal">
      <formula>"Pass"</formula>
    </cfRule>
    <cfRule type="cellIs" dxfId="13942" priority="13782" stopIfTrue="1" operator="equal">
      <formula>"Fail"</formula>
    </cfRule>
  </conditionalFormatting>
  <conditionalFormatting sqref="A985">
    <cfRule type="cellIs" dxfId="13941" priority="13779" stopIfTrue="1" operator="equal">
      <formula>"Pass"</formula>
    </cfRule>
    <cfRule type="cellIs" dxfId="13940" priority="13780" stopIfTrue="1" operator="equal">
      <formula>"Fail"</formula>
    </cfRule>
  </conditionalFormatting>
  <conditionalFormatting sqref="A985">
    <cfRule type="cellIs" dxfId="13939" priority="13777" stopIfTrue="1" operator="equal">
      <formula>"Pass"</formula>
    </cfRule>
    <cfRule type="cellIs" dxfId="13938" priority="13778" stopIfTrue="1" operator="equal">
      <formula>"Fail"</formula>
    </cfRule>
  </conditionalFormatting>
  <conditionalFormatting sqref="A985">
    <cfRule type="cellIs" dxfId="13937" priority="13775" stopIfTrue="1" operator="equal">
      <formula>"Pass"</formula>
    </cfRule>
    <cfRule type="cellIs" dxfId="13936" priority="13776" stopIfTrue="1" operator="equal">
      <formula>"Fail"</formula>
    </cfRule>
  </conditionalFormatting>
  <conditionalFormatting sqref="A985">
    <cfRule type="cellIs" dxfId="13935" priority="13773" stopIfTrue="1" operator="equal">
      <formula>"Pass"</formula>
    </cfRule>
    <cfRule type="cellIs" dxfId="13934" priority="13774" stopIfTrue="1" operator="equal">
      <formula>"Fail"</formula>
    </cfRule>
  </conditionalFormatting>
  <conditionalFormatting sqref="A985">
    <cfRule type="cellIs" dxfId="13933" priority="13771" stopIfTrue="1" operator="equal">
      <formula>"Pass"</formula>
    </cfRule>
    <cfRule type="cellIs" dxfId="13932" priority="13772" stopIfTrue="1" operator="equal">
      <formula>"Fail"</formula>
    </cfRule>
  </conditionalFormatting>
  <conditionalFormatting sqref="A985">
    <cfRule type="cellIs" dxfId="13931" priority="13769" stopIfTrue="1" operator="equal">
      <formula>"Pass"</formula>
    </cfRule>
    <cfRule type="cellIs" dxfId="13930" priority="13770" stopIfTrue="1" operator="equal">
      <formula>"Fail"</formula>
    </cfRule>
  </conditionalFormatting>
  <conditionalFormatting sqref="A985">
    <cfRule type="cellIs" dxfId="13929" priority="13767" stopIfTrue="1" operator="equal">
      <formula>"Pass"</formula>
    </cfRule>
    <cfRule type="cellIs" dxfId="13928" priority="13768" stopIfTrue="1" operator="equal">
      <formula>"Fail"</formula>
    </cfRule>
  </conditionalFormatting>
  <conditionalFormatting sqref="A985">
    <cfRule type="cellIs" dxfId="13927" priority="13765" stopIfTrue="1" operator="equal">
      <formula>"Pass"</formula>
    </cfRule>
    <cfRule type="cellIs" dxfId="13926" priority="13766" stopIfTrue="1" operator="equal">
      <formula>"Fail"</formula>
    </cfRule>
  </conditionalFormatting>
  <conditionalFormatting sqref="J985:J986">
    <cfRule type="cellIs" dxfId="13925" priority="13763" stopIfTrue="1" operator="equal">
      <formula>"Pass"</formula>
    </cfRule>
    <cfRule type="cellIs" dxfId="13924" priority="13764" stopIfTrue="1" operator="equal">
      <formula>"Fail"</formula>
    </cfRule>
  </conditionalFormatting>
  <conditionalFormatting sqref="H985:H986 I986">
    <cfRule type="cellIs" dxfId="13923" priority="13761" stopIfTrue="1" operator="equal">
      <formula>"Pass"</formula>
    </cfRule>
    <cfRule type="cellIs" dxfId="13922" priority="13762" stopIfTrue="1" operator="equal">
      <formula>"Fail"</formula>
    </cfRule>
  </conditionalFormatting>
  <conditionalFormatting sqref="F987 F985:G985 K985:N986">
    <cfRule type="cellIs" dxfId="13921" priority="13759" stopIfTrue="1" operator="equal">
      <formula>"Pass"</formula>
    </cfRule>
    <cfRule type="cellIs" dxfId="13920" priority="13760" stopIfTrue="1" operator="equal">
      <formula>"Fail"</formula>
    </cfRule>
  </conditionalFormatting>
  <conditionalFormatting sqref="T985:T987 U986:V987">
    <cfRule type="cellIs" dxfId="13919" priority="13757" stopIfTrue="1" operator="equal">
      <formula>"Fail"</formula>
    </cfRule>
    <cfRule type="cellIs" dxfId="13918" priority="13758" stopIfTrue="1" operator="equal">
      <formula>"Pass"</formula>
    </cfRule>
  </conditionalFormatting>
  <conditionalFormatting sqref="U985:V985">
    <cfRule type="cellIs" dxfId="13917" priority="13755" stopIfTrue="1" operator="equal">
      <formula>"Fail"</formula>
    </cfRule>
    <cfRule type="cellIs" dxfId="13916" priority="13756" stopIfTrue="1" operator="equal">
      <formula>"Pass"</formula>
    </cfRule>
  </conditionalFormatting>
  <conditionalFormatting sqref="U985:V985">
    <cfRule type="cellIs" dxfId="13915" priority="13753" stopIfTrue="1" operator="equal">
      <formula>"Fail"</formula>
    </cfRule>
    <cfRule type="cellIs" dxfId="13914" priority="13754" stopIfTrue="1" operator="equal">
      <formula>"Pass"</formula>
    </cfRule>
  </conditionalFormatting>
  <conditionalFormatting sqref="J985:J986">
    <cfRule type="cellIs" dxfId="13913" priority="13751" stopIfTrue="1" operator="equal">
      <formula>"Pass"</formula>
    </cfRule>
    <cfRule type="cellIs" dxfId="13912" priority="13752" stopIfTrue="1" operator="equal">
      <formula>"Fail"</formula>
    </cfRule>
  </conditionalFormatting>
  <conditionalFormatting sqref="H985:H986 I986">
    <cfRule type="cellIs" dxfId="13911" priority="13749" stopIfTrue="1" operator="equal">
      <formula>"Pass"</formula>
    </cfRule>
    <cfRule type="cellIs" dxfId="13910" priority="13750" stopIfTrue="1" operator="equal">
      <formula>"Fail"</formula>
    </cfRule>
  </conditionalFormatting>
  <conditionalFormatting sqref="F987 F985:G985 K985:N986">
    <cfRule type="cellIs" dxfId="13909" priority="13747" stopIfTrue="1" operator="equal">
      <formula>"Pass"</formula>
    </cfRule>
    <cfRule type="cellIs" dxfId="13908" priority="13748" stopIfTrue="1" operator="equal">
      <formula>"Fail"</formula>
    </cfRule>
  </conditionalFormatting>
  <conditionalFormatting sqref="T985:T987 U986:V987">
    <cfRule type="cellIs" dxfId="13907" priority="13745" stopIfTrue="1" operator="equal">
      <formula>"Fail"</formula>
    </cfRule>
    <cfRule type="cellIs" dxfId="13906" priority="13746" stopIfTrue="1" operator="equal">
      <formula>"Pass"</formula>
    </cfRule>
  </conditionalFormatting>
  <conditionalFormatting sqref="U985:V985">
    <cfRule type="cellIs" dxfId="13905" priority="13743" stopIfTrue="1" operator="equal">
      <formula>"Fail"</formula>
    </cfRule>
    <cfRule type="cellIs" dxfId="13904" priority="13744" stopIfTrue="1" operator="equal">
      <formula>"Pass"</formula>
    </cfRule>
  </conditionalFormatting>
  <conditionalFormatting sqref="U985:V985">
    <cfRule type="cellIs" dxfId="13903" priority="13741" stopIfTrue="1" operator="equal">
      <formula>"Fail"</formula>
    </cfRule>
    <cfRule type="cellIs" dxfId="13902" priority="13742" stopIfTrue="1" operator="equal">
      <formula>"Pass"</formula>
    </cfRule>
  </conditionalFormatting>
  <conditionalFormatting sqref="F985:G985 K985:N985">
    <cfRule type="cellIs" dxfId="13901" priority="13739" stopIfTrue="1" operator="equal">
      <formula>"Pass"</formula>
    </cfRule>
    <cfRule type="cellIs" dxfId="13900" priority="13740" stopIfTrue="1" operator="equal">
      <formula>"Fail"</formula>
    </cfRule>
  </conditionalFormatting>
  <conditionalFormatting sqref="K986:N986">
    <cfRule type="cellIs" dxfId="13899" priority="13737" stopIfTrue="1" operator="equal">
      <formula>"Pass"</formula>
    </cfRule>
    <cfRule type="cellIs" dxfId="13898" priority="13738" stopIfTrue="1" operator="equal">
      <formula>"Fail"</formula>
    </cfRule>
  </conditionalFormatting>
  <conditionalFormatting sqref="U985:V985">
    <cfRule type="cellIs" dxfId="13897" priority="13735" stopIfTrue="1" operator="equal">
      <formula>"Fail"</formula>
    </cfRule>
    <cfRule type="cellIs" dxfId="13896" priority="13736" stopIfTrue="1" operator="equal">
      <formula>"Pass"</formula>
    </cfRule>
  </conditionalFormatting>
  <conditionalFormatting sqref="J985:J986">
    <cfRule type="cellIs" dxfId="13895" priority="13733" stopIfTrue="1" operator="equal">
      <formula>"Pass"</formula>
    </cfRule>
    <cfRule type="cellIs" dxfId="13894" priority="13734" stopIfTrue="1" operator="equal">
      <formula>"Fail"</formula>
    </cfRule>
  </conditionalFormatting>
  <conditionalFormatting sqref="H985:H986 I986">
    <cfRule type="cellIs" dxfId="13893" priority="13731" stopIfTrue="1" operator="equal">
      <formula>"Pass"</formula>
    </cfRule>
    <cfRule type="cellIs" dxfId="13892" priority="13732" stopIfTrue="1" operator="equal">
      <formula>"Fail"</formula>
    </cfRule>
  </conditionalFormatting>
  <conditionalFormatting sqref="F985:G985 K985:N986">
    <cfRule type="cellIs" dxfId="13891" priority="13729" stopIfTrue="1" operator="equal">
      <formula>"Pass"</formula>
    </cfRule>
    <cfRule type="cellIs" dxfId="13890" priority="13730" stopIfTrue="1" operator="equal">
      <formula>"Fail"</formula>
    </cfRule>
  </conditionalFormatting>
  <conditionalFormatting sqref="T985:T986 U986:V986">
    <cfRule type="cellIs" dxfId="13889" priority="13727" stopIfTrue="1" operator="equal">
      <formula>"Fail"</formula>
    </cfRule>
    <cfRule type="cellIs" dxfId="13888" priority="13728" stopIfTrue="1" operator="equal">
      <formula>"Pass"</formula>
    </cfRule>
  </conditionalFormatting>
  <conditionalFormatting sqref="U985:V985">
    <cfRule type="cellIs" dxfId="13887" priority="13725" stopIfTrue="1" operator="equal">
      <formula>"Fail"</formula>
    </cfRule>
    <cfRule type="cellIs" dxfId="13886" priority="13726" stopIfTrue="1" operator="equal">
      <formula>"Pass"</formula>
    </cfRule>
  </conditionalFormatting>
  <conditionalFormatting sqref="U985:V985">
    <cfRule type="cellIs" dxfId="13885" priority="13723" stopIfTrue="1" operator="equal">
      <formula>"Fail"</formula>
    </cfRule>
    <cfRule type="cellIs" dxfId="13884" priority="13724" stopIfTrue="1" operator="equal">
      <formula>"Pass"</formula>
    </cfRule>
  </conditionalFormatting>
  <conditionalFormatting sqref="J985:J986">
    <cfRule type="cellIs" dxfId="13883" priority="13721" stopIfTrue="1" operator="equal">
      <formula>"Pass"</formula>
    </cfRule>
    <cfRule type="cellIs" dxfId="13882" priority="13722" stopIfTrue="1" operator="equal">
      <formula>"Fail"</formula>
    </cfRule>
  </conditionalFormatting>
  <conditionalFormatting sqref="H985:H986 I986">
    <cfRule type="cellIs" dxfId="13881" priority="13719" stopIfTrue="1" operator="equal">
      <formula>"Pass"</formula>
    </cfRule>
    <cfRule type="cellIs" dxfId="13880" priority="13720" stopIfTrue="1" operator="equal">
      <formula>"Fail"</formula>
    </cfRule>
  </conditionalFormatting>
  <conditionalFormatting sqref="F985:G985 K985:N986">
    <cfRule type="cellIs" dxfId="13879" priority="13717" stopIfTrue="1" operator="equal">
      <formula>"Pass"</formula>
    </cfRule>
    <cfRule type="cellIs" dxfId="13878" priority="13718" stopIfTrue="1" operator="equal">
      <formula>"Fail"</formula>
    </cfRule>
  </conditionalFormatting>
  <conditionalFormatting sqref="T985:T986 U986:V986">
    <cfRule type="cellIs" dxfId="13877" priority="13715" stopIfTrue="1" operator="equal">
      <formula>"Fail"</formula>
    </cfRule>
    <cfRule type="cellIs" dxfId="13876" priority="13716" stopIfTrue="1" operator="equal">
      <formula>"Pass"</formula>
    </cfRule>
  </conditionalFormatting>
  <conditionalFormatting sqref="U985:V985">
    <cfRule type="cellIs" dxfId="13875" priority="13713" stopIfTrue="1" operator="equal">
      <formula>"Fail"</formula>
    </cfRule>
    <cfRule type="cellIs" dxfId="13874" priority="13714" stopIfTrue="1" operator="equal">
      <formula>"Pass"</formula>
    </cfRule>
  </conditionalFormatting>
  <conditionalFormatting sqref="U985:V985">
    <cfRule type="cellIs" dxfId="13873" priority="13711" stopIfTrue="1" operator="equal">
      <formula>"Fail"</formula>
    </cfRule>
    <cfRule type="cellIs" dxfId="13872" priority="13712" stopIfTrue="1" operator="equal">
      <formula>"Pass"</formula>
    </cfRule>
  </conditionalFormatting>
  <conditionalFormatting sqref="F985:G985 K985:N985">
    <cfRule type="cellIs" dxfId="13871" priority="13709" stopIfTrue="1" operator="equal">
      <formula>"Pass"</formula>
    </cfRule>
    <cfRule type="cellIs" dxfId="13870" priority="13710" stopIfTrue="1" operator="equal">
      <formula>"Fail"</formula>
    </cfRule>
  </conditionalFormatting>
  <conditionalFormatting sqref="K986:N986">
    <cfRule type="cellIs" dxfId="13869" priority="13707" stopIfTrue="1" operator="equal">
      <formula>"Pass"</formula>
    </cfRule>
    <cfRule type="cellIs" dxfId="13868" priority="13708" stopIfTrue="1" operator="equal">
      <formula>"Fail"</formula>
    </cfRule>
  </conditionalFormatting>
  <conditionalFormatting sqref="U985:V985">
    <cfRule type="cellIs" dxfId="13867" priority="13705" stopIfTrue="1" operator="equal">
      <formula>"Fail"</formula>
    </cfRule>
    <cfRule type="cellIs" dxfId="13866" priority="13706" stopIfTrue="1" operator="equal">
      <formula>"Pass"</formula>
    </cfRule>
  </conditionalFormatting>
  <conditionalFormatting sqref="U985:V985">
    <cfRule type="cellIs" dxfId="13865" priority="13703" stopIfTrue="1" operator="equal">
      <formula>"Fail"</formula>
    </cfRule>
    <cfRule type="cellIs" dxfId="13864" priority="13704" stopIfTrue="1" operator="equal">
      <formula>"Pass"</formula>
    </cfRule>
  </conditionalFormatting>
  <conditionalFormatting sqref="U985:V985">
    <cfRule type="cellIs" dxfId="13863" priority="13701" stopIfTrue="1" operator="equal">
      <formula>"Fail"</formula>
    </cfRule>
    <cfRule type="cellIs" dxfId="13862" priority="13702" stopIfTrue="1" operator="equal">
      <formula>"Pass"</formula>
    </cfRule>
  </conditionalFormatting>
  <conditionalFormatting sqref="U985:V985">
    <cfRule type="cellIs" dxfId="13861" priority="13699" stopIfTrue="1" operator="equal">
      <formula>"Fail"</formula>
    </cfRule>
    <cfRule type="cellIs" dxfId="13860" priority="13700" stopIfTrue="1" operator="equal">
      <formula>"Pass"</formula>
    </cfRule>
  </conditionalFormatting>
  <conditionalFormatting sqref="A985">
    <cfRule type="cellIs" dxfId="13859" priority="13697" stopIfTrue="1" operator="equal">
      <formula>"Pass"</formula>
    </cfRule>
    <cfRule type="cellIs" dxfId="13858" priority="13698" stopIfTrue="1" operator="equal">
      <formula>"Fail"</formula>
    </cfRule>
  </conditionalFormatting>
  <conditionalFormatting sqref="A985">
    <cfRule type="cellIs" dxfId="13857" priority="13695" stopIfTrue="1" operator="equal">
      <formula>"Pass"</formula>
    </cfRule>
    <cfRule type="cellIs" dxfId="13856" priority="13696" stopIfTrue="1" operator="equal">
      <formula>"Fail"</formula>
    </cfRule>
  </conditionalFormatting>
  <conditionalFormatting sqref="A985">
    <cfRule type="cellIs" dxfId="13855" priority="13693" stopIfTrue="1" operator="equal">
      <formula>"Pass"</formula>
    </cfRule>
    <cfRule type="cellIs" dxfId="13854" priority="13694" stopIfTrue="1" operator="equal">
      <formula>"Fail"</formula>
    </cfRule>
  </conditionalFormatting>
  <conditionalFormatting sqref="A985">
    <cfRule type="cellIs" dxfId="13853" priority="13691" stopIfTrue="1" operator="equal">
      <formula>"Pass"</formula>
    </cfRule>
    <cfRule type="cellIs" dxfId="13852" priority="13692" stopIfTrue="1" operator="equal">
      <formula>"Fail"</formula>
    </cfRule>
  </conditionalFormatting>
  <conditionalFormatting sqref="A985">
    <cfRule type="cellIs" dxfId="13851" priority="13689" stopIfTrue="1" operator="equal">
      <formula>"Pass"</formula>
    </cfRule>
    <cfRule type="cellIs" dxfId="13850" priority="13690" stopIfTrue="1" operator="equal">
      <formula>"Fail"</formula>
    </cfRule>
  </conditionalFormatting>
  <conditionalFormatting sqref="A985">
    <cfRule type="cellIs" dxfId="13849" priority="13687" stopIfTrue="1" operator="equal">
      <formula>"Pass"</formula>
    </cfRule>
    <cfRule type="cellIs" dxfId="13848" priority="13688" stopIfTrue="1" operator="equal">
      <formula>"Fail"</formula>
    </cfRule>
  </conditionalFormatting>
  <conditionalFormatting sqref="A985">
    <cfRule type="cellIs" dxfId="13847" priority="13685" stopIfTrue="1" operator="equal">
      <formula>"Pass"</formula>
    </cfRule>
    <cfRule type="cellIs" dxfId="13846" priority="13686" stopIfTrue="1" operator="equal">
      <formula>"Fail"</formula>
    </cfRule>
  </conditionalFormatting>
  <conditionalFormatting sqref="A985">
    <cfRule type="cellIs" dxfId="13845" priority="13683" stopIfTrue="1" operator="equal">
      <formula>"Pass"</formula>
    </cfRule>
    <cfRule type="cellIs" dxfId="13844" priority="13684" stopIfTrue="1" operator="equal">
      <formula>"Fail"</formula>
    </cfRule>
  </conditionalFormatting>
  <conditionalFormatting sqref="A985">
    <cfRule type="cellIs" dxfId="13843" priority="13681" stopIfTrue="1" operator="equal">
      <formula>"Pass"</formula>
    </cfRule>
    <cfRule type="cellIs" dxfId="13842" priority="13682" stopIfTrue="1" operator="equal">
      <formula>"Fail"</formula>
    </cfRule>
  </conditionalFormatting>
  <conditionalFormatting sqref="A985">
    <cfRule type="cellIs" dxfId="13841" priority="13679" stopIfTrue="1" operator="equal">
      <formula>"Pass"</formula>
    </cfRule>
    <cfRule type="cellIs" dxfId="13840" priority="13680" stopIfTrue="1" operator="equal">
      <formula>"Fail"</formula>
    </cfRule>
  </conditionalFormatting>
  <conditionalFormatting sqref="A985">
    <cfRule type="cellIs" dxfId="13839" priority="13677" stopIfTrue="1" operator="equal">
      <formula>"Pass"</formula>
    </cfRule>
    <cfRule type="cellIs" dxfId="13838" priority="13678" stopIfTrue="1" operator="equal">
      <formula>"Fail"</formula>
    </cfRule>
  </conditionalFormatting>
  <conditionalFormatting sqref="A985">
    <cfRule type="cellIs" dxfId="13837" priority="13675" stopIfTrue="1" operator="equal">
      <formula>"Pass"</formula>
    </cfRule>
    <cfRule type="cellIs" dxfId="13836" priority="13676" stopIfTrue="1" operator="equal">
      <formula>"Fail"</formula>
    </cfRule>
  </conditionalFormatting>
  <conditionalFormatting sqref="A985">
    <cfRule type="cellIs" dxfId="13835" priority="13673" stopIfTrue="1" operator="equal">
      <formula>"Pass"</formula>
    </cfRule>
    <cfRule type="cellIs" dxfId="13834" priority="13674" stopIfTrue="1" operator="equal">
      <formula>"Fail"</formula>
    </cfRule>
  </conditionalFormatting>
  <conditionalFormatting sqref="A985">
    <cfRule type="cellIs" dxfId="13833" priority="13671" stopIfTrue="1" operator="equal">
      <formula>"Pass"</formula>
    </cfRule>
    <cfRule type="cellIs" dxfId="13832" priority="13672" stopIfTrue="1" operator="equal">
      <formula>"Fail"</formula>
    </cfRule>
  </conditionalFormatting>
  <conditionalFormatting sqref="A985">
    <cfRule type="cellIs" dxfId="13831" priority="13669" stopIfTrue="1" operator="equal">
      <formula>"Pass"</formula>
    </cfRule>
    <cfRule type="cellIs" dxfId="13830" priority="13670" stopIfTrue="1" operator="equal">
      <formula>"Fail"</formula>
    </cfRule>
  </conditionalFormatting>
  <conditionalFormatting sqref="A985">
    <cfRule type="cellIs" dxfId="13829" priority="13667" stopIfTrue="1" operator="equal">
      <formula>"Pass"</formula>
    </cfRule>
    <cfRule type="cellIs" dxfId="13828" priority="13668" stopIfTrue="1" operator="equal">
      <formula>"Fail"</formula>
    </cfRule>
  </conditionalFormatting>
  <conditionalFormatting sqref="A985">
    <cfRule type="cellIs" dxfId="13827" priority="13665" stopIfTrue="1" operator="equal">
      <formula>"Pass"</formula>
    </cfRule>
    <cfRule type="cellIs" dxfId="13826" priority="13666" stopIfTrue="1" operator="equal">
      <formula>"Fail"</formula>
    </cfRule>
  </conditionalFormatting>
  <conditionalFormatting sqref="A985">
    <cfRule type="cellIs" dxfId="13825" priority="13663" stopIfTrue="1" operator="equal">
      <formula>"Pass"</formula>
    </cfRule>
    <cfRule type="cellIs" dxfId="13824" priority="13664" stopIfTrue="1" operator="equal">
      <formula>"Fail"</formula>
    </cfRule>
  </conditionalFormatting>
  <conditionalFormatting sqref="U985:V985">
    <cfRule type="cellIs" dxfId="13823" priority="13661" stopIfTrue="1" operator="equal">
      <formula>"Fail"</formula>
    </cfRule>
    <cfRule type="cellIs" dxfId="13822" priority="13662" stopIfTrue="1" operator="equal">
      <formula>"Pass"</formula>
    </cfRule>
  </conditionalFormatting>
  <conditionalFormatting sqref="U985:V985">
    <cfRule type="cellIs" dxfId="13821" priority="13659" stopIfTrue="1" operator="equal">
      <formula>"Fail"</formula>
    </cfRule>
    <cfRule type="cellIs" dxfId="13820" priority="13660" stopIfTrue="1" operator="equal">
      <formula>"Pass"</formula>
    </cfRule>
  </conditionalFormatting>
  <conditionalFormatting sqref="U985:V985">
    <cfRule type="cellIs" dxfId="13819" priority="13657" stopIfTrue="1" operator="equal">
      <formula>"Fail"</formula>
    </cfRule>
    <cfRule type="cellIs" dxfId="13818" priority="13658" stopIfTrue="1" operator="equal">
      <formula>"Pass"</formula>
    </cfRule>
  </conditionalFormatting>
  <conditionalFormatting sqref="U985:V985">
    <cfRule type="cellIs" dxfId="13817" priority="13655" stopIfTrue="1" operator="equal">
      <formula>"Fail"</formula>
    </cfRule>
    <cfRule type="cellIs" dxfId="13816" priority="13656" stopIfTrue="1" operator="equal">
      <formula>"Pass"</formula>
    </cfRule>
  </conditionalFormatting>
  <conditionalFormatting sqref="A988:A990">
    <cfRule type="cellIs" dxfId="13815" priority="13653" stopIfTrue="1" operator="equal">
      <formula>"Pass"</formula>
    </cfRule>
    <cfRule type="cellIs" dxfId="13814" priority="13654" stopIfTrue="1" operator="equal">
      <formula>"Fail"</formula>
    </cfRule>
  </conditionalFormatting>
  <conditionalFormatting sqref="A988:A990">
    <cfRule type="cellIs" dxfId="13813" priority="13651" stopIfTrue="1" operator="equal">
      <formula>"Pass"</formula>
    </cfRule>
    <cfRule type="cellIs" dxfId="13812" priority="13652" stopIfTrue="1" operator="equal">
      <formula>"Fail"</formula>
    </cfRule>
  </conditionalFormatting>
  <conditionalFormatting sqref="A988:A990">
    <cfRule type="cellIs" dxfId="13811" priority="13649" stopIfTrue="1" operator="equal">
      <formula>"Pass"</formula>
    </cfRule>
    <cfRule type="cellIs" dxfId="13810" priority="13650" stopIfTrue="1" operator="equal">
      <formula>"Fail"</formula>
    </cfRule>
  </conditionalFormatting>
  <conditionalFormatting sqref="A988:A990">
    <cfRule type="cellIs" dxfId="13809" priority="13647" stopIfTrue="1" operator="equal">
      <formula>"Pass"</formula>
    </cfRule>
    <cfRule type="cellIs" dxfId="13808" priority="13648" stopIfTrue="1" operator="equal">
      <formula>"Fail"</formula>
    </cfRule>
  </conditionalFormatting>
  <conditionalFormatting sqref="A988:A990">
    <cfRule type="cellIs" dxfId="13807" priority="13645" stopIfTrue="1" operator="equal">
      <formula>"Pass"</formula>
    </cfRule>
    <cfRule type="cellIs" dxfId="13806" priority="13646" stopIfTrue="1" operator="equal">
      <formula>"Fail"</formula>
    </cfRule>
  </conditionalFormatting>
  <conditionalFormatting sqref="A990">
    <cfRule type="cellIs" dxfId="13805" priority="13643" stopIfTrue="1" operator="equal">
      <formula>"Pass"</formula>
    </cfRule>
    <cfRule type="cellIs" dxfId="13804" priority="13644" stopIfTrue="1" operator="equal">
      <formula>"Fail"</formula>
    </cfRule>
  </conditionalFormatting>
  <conditionalFormatting sqref="A988:A990">
    <cfRule type="cellIs" dxfId="13803" priority="13641" stopIfTrue="1" operator="equal">
      <formula>"Pass"</formula>
    </cfRule>
    <cfRule type="cellIs" dxfId="13802" priority="13642" stopIfTrue="1" operator="equal">
      <formula>"Fail"</formula>
    </cfRule>
  </conditionalFormatting>
  <conditionalFormatting sqref="A988:A990">
    <cfRule type="cellIs" dxfId="13801" priority="13639" stopIfTrue="1" operator="equal">
      <formula>"Pass"</formula>
    </cfRule>
    <cfRule type="cellIs" dxfId="13800" priority="13640" stopIfTrue="1" operator="equal">
      <formula>"Fail"</formula>
    </cfRule>
  </conditionalFormatting>
  <conditionalFormatting sqref="A988:A990">
    <cfRule type="cellIs" dxfId="13799" priority="13637" stopIfTrue="1" operator="equal">
      <formula>"Pass"</formula>
    </cfRule>
    <cfRule type="cellIs" dxfId="13798" priority="13638" stopIfTrue="1" operator="equal">
      <formula>"Fail"</formula>
    </cfRule>
  </conditionalFormatting>
  <conditionalFormatting sqref="A988:A990">
    <cfRule type="cellIs" dxfId="13797" priority="13635" stopIfTrue="1" operator="equal">
      <formula>"Pass"</formula>
    </cfRule>
    <cfRule type="cellIs" dxfId="13796" priority="13636" stopIfTrue="1" operator="equal">
      <formula>"Fail"</formula>
    </cfRule>
  </conditionalFormatting>
  <conditionalFormatting sqref="A988:A990">
    <cfRule type="cellIs" dxfId="13795" priority="13633" stopIfTrue="1" operator="equal">
      <formula>"Pass"</formula>
    </cfRule>
    <cfRule type="cellIs" dxfId="13794" priority="13634" stopIfTrue="1" operator="equal">
      <formula>"Fail"</formula>
    </cfRule>
  </conditionalFormatting>
  <conditionalFormatting sqref="A988:A990">
    <cfRule type="cellIs" dxfId="13793" priority="13631" stopIfTrue="1" operator="equal">
      <formula>"Pass"</formula>
    </cfRule>
    <cfRule type="cellIs" dxfId="13792" priority="13632" stopIfTrue="1" operator="equal">
      <formula>"Fail"</formula>
    </cfRule>
  </conditionalFormatting>
  <conditionalFormatting sqref="A990">
    <cfRule type="cellIs" dxfId="13791" priority="13629" stopIfTrue="1" operator="equal">
      <formula>"Pass"</formula>
    </cfRule>
    <cfRule type="cellIs" dxfId="13790" priority="13630" stopIfTrue="1" operator="equal">
      <formula>"Fail"</formula>
    </cfRule>
  </conditionalFormatting>
  <conditionalFormatting sqref="A988:A990">
    <cfRule type="cellIs" dxfId="13789" priority="13627" stopIfTrue="1" operator="equal">
      <formula>"Pass"</formula>
    </cfRule>
    <cfRule type="cellIs" dxfId="13788" priority="13628" stopIfTrue="1" operator="equal">
      <formula>"Fail"</formula>
    </cfRule>
  </conditionalFormatting>
  <conditionalFormatting sqref="A988:A990">
    <cfRule type="cellIs" dxfId="13787" priority="13625" stopIfTrue="1" operator="equal">
      <formula>"Pass"</formula>
    </cfRule>
    <cfRule type="cellIs" dxfId="13786" priority="13626" stopIfTrue="1" operator="equal">
      <formula>"Fail"</formula>
    </cfRule>
  </conditionalFormatting>
  <conditionalFormatting sqref="A988:A990">
    <cfRule type="cellIs" dxfId="13785" priority="13623" stopIfTrue="1" operator="equal">
      <formula>"Pass"</formula>
    </cfRule>
    <cfRule type="cellIs" dxfId="13784" priority="13624" stopIfTrue="1" operator="equal">
      <formula>"Fail"</formula>
    </cfRule>
  </conditionalFormatting>
  <conditionalFormatting sqref="A988:A990">
    <cfRule type="cellIs" dxfId="13783" priority="13621" stopIfTrue="1" operator="equal">
      <formula>"Pass"</formula>
    </cfRule>
    <cfRule type="cellIs" dxfId="13782" priority="13622" stopIfTrue="1" operator="equal">
      <formula>"Fail"</formula>
    </cfRule>
  </conditionalFormatting>
  <conditionalFormatting sqref="A988:A990">
    <cfRule type="cellIs" dxfId="13781" priority="13619" stopIfTrue="1" operator="equal">
      <formula>"Pass"</formula>
    </cfRule>
    <cfRule type="cellIs" dxfId="13780" priority="13620" stopIfTrue="1" operator="equal">
      <formula>"Fail"</formula>
    </cfRule>
  </conditionalFormatting>
  <conditionalFormatting sqref="A988:A990">
    <cfRule type="cellIs" dxfId="13779" priority="13617" stopIfTrue="1" operator="equal">
      <formula>"Pass"</formula>
    </cfRule>
    <cfRule type="cellIs" dxfId="13778" priority="13618" stopIfTrue="1" operator="equal">
      <formula>"Fail"</formula>
    </cfRule>
  </conditionalFormatting>
  <conditionalFormatting sqref="A990">
    <cfRule type="cellIs" dxfId="13777" priority="13615" stopIfTrue="1" operator="equal">
      <formula>"Pass"</formula>
    </cfRule>
    <cfRule type="cellIs" dxfId="13776" priority="13616" stopIfTrue="1" operator="equal">
      <formula>"Fail"</formula>
    </cfRule>
  </conditionalFormatting>
  <conditionalFormatting sqref="A988:A990">
    <cfRule type="cellIs" dxfId="13775" priority="13613" stopIfTrue="1" operator="equal">
      <formula>"Pass"</formula>
    </cfRule>
    <cfRule type="cellIs" dxfId="13774" priority="13614" stopIfTrue="1" operator="equal">
      <formula>"Fail"</formula>
    </cfRule>
  </conditionalFormatting>
  <conditionalFormatting sqref="A988:A990">
    <cfRule type="cellIs" dxfId="13773" priority="13611" stopIfTrue="1" operator="equal">
      <formula>"Pass"</formula>
    </cfRule>
    <cfRule type="cellIs" dxfId="13772" priority="13612" stopIfTrue="1" operator="equal">
      <formula>"Fail"</formula>
    </cfRule>
  </conditionalFormatting>
  <conditionalFormatting sqref="A988:A990">
    <cfRule type="cellIs" dxfId="13771" priority="13609" stopIfTrue="1" operator="equal">
      <formula>"Pass"</formula>
    </cfRule>
    <cfRule type="cellIs" dxfId="13770" priority="13610" stopIfTrue="1" operator="equal">
      <formula>"Fail"</formula>
    </cfRule>
  </conditionalFormatting>
  <conditionalFormatting sqref="A988:A990">
    <cfRule type="cellIs" dxfId="13769" priority="13607" stopIfTrue="1" operator="equal">
      <formula>"Pass"</formula>
    </cfRule>
    <cfRule type="cellIs" dxfId="13768" priority="13608" stopIfTrue="1" operator="equal">
      <formula>"Fail"</formula>
    </cfRule>
  </conditionalFormatting>
  <conditionalFormatting sqref="A988:A990">
    <cfRule type="cellIs" dxfId="13767" priority="13605" stopIfTrue="1" operator="equal">
      <formula>"Pass"</formula>
    </cfRule>
    <cfRule type="cellIs" dxfId="13766" priority="13606" stopIfTrue="1" operator="equal">
      <formula>"Fail"</formula>
    </cfRule>
  </conditionalFormatting>
  <conditionalFormatting sqref="A988:A990">
    <cfRule type="cellIs" dxfId="13765" priority="13603" stopIfTrue="1" operator="equal">
      <formula>"Pass"</formula>
    </cfRule>
    <cfRule type="cellIs" dxfId="13764" priority="13604" stopIfTrue="1" operator="equal">
      <formula>"Fail"</formula>
    </cfRule>
  </conditionalFormatting>
  <conditionalFormatting sqref="A990">
    <cfRule type="cellIs" dxfId="13763" priority="13601" stopIfTrue="1" operator="equal">
      <formula>"Pass"</formula>
    </cfRule>
    <cfRule type="cellIs" dxfId="13762" priority="13602" stopIfTrue="1" operator="equal">
      <formula>"Fail"</formula>
    </cfRule>
  </conditionalFormatting>
  <conditionalFormatting sqref="A988:A990">
    <cfRule type="cellIs" dxfId="13761" priority="13599" stopIfTrue="1" operator="equal">
      <formula>"Pass"</formula>
    </cfRule>
    <cfRule type="cellIs" dxfId="13760" priority="13600" stopIfTrue="1" operator="equal">
      <formula>"Fail"</formula>
    </cfRule>
  </conditionalFormatting>
  <conditionalFormatting sqref="A988:A990">
    <cfRule type="cellIs" dxfId="13759" priority="13597" stopIfTrue="1" operator="equal">
      <formula>"Pass"</formula>
    </cfRule>
    <cfRule type="cellIs" dxfId="13758" priority="13598" stopIfTrue="1" operator="equal">
      <formula>"Fail"</formula>
    </cfRule>
  </conditionalFormatting>
  <conditionalFormatting sqref="A988:A990">
    <cfRule type="cellIs" dxfId="13757" priority="13595" stopIfTrue="1" operator="equal">
      <formula>"Pass"</formula>
    </cfRule>
    <cfRule type="cellIs" dxfId="13756" priority="13596" stopIfTrue="1" operator="equal">
      <formula>"Fail"</formula>
    </cfRule>
  </conditionalFormatting>
  <conditionalFormatting sqref="A988:A990">
    <cfRule type="cellIs" dxfId="13755" priority="13593" stopIfTrue="1" operator="equal">
      <formula>"Pass"</formula>
    </cfRule>
    <cfRule type="cellIs" dxfId="13754" priority="13594" stopIfTrue="1" operator="equal">
      <formula>"Fail"</formula>
    </cfRule>
  </conditionalFormatting>
  <conditionalFormatting sqref="A988:A990">
    <cfRule type="cellIs" dxfId="13753" priority="13591" stopIfTrue="1" operator="equal">
      <formula>"Pass"</formula>
    </cfRule>
    <cfRule type="cellIs" dxfId="13752" priority="13592" stopIfTrue="1" operator="equal">
      <formula>"Fail"</formula>
    </cfRule>
  </conditionalFormatting>
  <conditionalFormatting sqref="A988:A990">
    <cfRule type="cellIs" dxfId="13751" priority="13589" stopIfTrue="1" operator="equal">
      <formula>"Pass"</formula>
    </cfRule>
    <cfRule type="cellIs" dxfId="13750" priority="13590" stopIfTrue="1" operator="equal">
      <formula>"Fail"</formula>
    </cfRule>
  </conditionalFormatting>
  <conditionalFormatting sqref="A990">
    <cfRule type="cellIs" dxfId="13749" priority="13587" stopIfTrue="1" operator="equal">
      <formula>"Pass"</formula>
    </cfRule>
    <cfRule type="cellIs" dxfId="13748" priority="13588" stopIfTrue="1" operator="equal">
      <formula>"Fail"</formula>
    </cfRule>
  </conditionalFormatting>
  <conditionalFormatting sqref="A988:A990">
    <cfRule type="cellIs" dxfId="13747" priority="13585" stopIfTrue="1" operator="equal">
      <formula>"Pass"</formula>
    </cfRule>
    <cfRule type="cellIs" dxfId="13746" priority="13586" stopIfTrue="1" operator="equal">
      <formula>"Fail"</formula>
    </cfRule>
  </conditionalFormatting>
  <conditionalFormatting sqref="A988:A990">
    <cfRule type="cellIs" dxfId="13745" priority="13583" stopIfTrue="1" operator="equal">
      <formula>"Pass"</formula>
    </cfRule>
    <cfRule type="cellIs" dxfId="13744" priority="13584" stopIfTrue="1" operator="equal">
      <formula>"Fail"</formula>
    </cfRule>
  </conditionalFormatting>
  <conditionalFormatting sqref="A988:A990">
    <cfRule type="cellIs" dxfId="13743" priority="13581" stopIfTrue="1" operator="equal">
      <formula>"Pass"</formula>
    </cfRule>
    <cfRule type="cellIs" dxfId="13742" priority="13582" stopIfTrue="1" operator="equal">
      <formula>"Fail"</formula>
    </cfRule>
  </conditionalFormatting>
  <conditionalFormatting sqref="A988:A990">
    <cfRule type="cellIs" dxfId="13741" priority="13579" stopIfTrue="1" operator="equal">
      <formula>"Pass"</formula>
    </cfRule>
    <cfRule type="cellIs" dxfId="13740" priority="13580" stopIfTrue="1" operator="equal">
      <formula>"Fail"</formula>
    </cfRule>
  </conditionalFormatting>
  <conditionalFormatting sqref="A988:A990">
    <cfRule type="cellIs" dxfId="13739" priority="13577" stopIfTrue="1" operator="equal">
      <formula>"Pass"</formula>
    </cfRule>
    <cfRule type="cellIs" dxfId="13738" priority="13578" stopIfTrue="1" operator="equal">
      <formula>"Fail"</formula>
    </cfRule>
  </conditionalFormatting>
  <conditionalFormatting sqref="A988:A990">
    <cfRule type="cellIs" dxfId="13737" priority="13575" stopIfTrue="1" operator="equal">
      <formula>"Pass"</formula>
    </cfRule>
    <cfRule type="cellIs" dxfId="13736" priority="13576" stopIfTrue="1" operator="equal">
      <formula>"Fail"</formula>
    </cfRule>
  </conditionalFormatting>
  <conditionalFormatting sqref="A990">
    <cfRule type="cellIs" dxfId="13735" priority="13573" stopIfTrue="1" operator="equal">
      <formula>"Pass"</formula>
    </cfRule>
    <cfRule type="cellIs" dxfId="13734" priority="13574" stopIfTrue="1" operator="equal">
      <formula>"Fail"</formula>
    </cfRule>
  </conditionalFormatting>
  <conditionalFormatting sqref="A988:A990">
    <cfRule type="cellIs" dxfId="13733" priority="13571" stopIfTrue="1" operator="equal">
      <formula>"Pass"</formula>
    </cfRule>
    <cfRule type="cellIs" dxfId="13732" priority="13572" stopIfTrue="1" operator="equal">
      <formula>"Fail"</formula>
    </cfRule>
  </conditionalFormatting>
  <conditionalFormatting sqref="A988">
    <cfRule type="cellIs" dxfId="13731" priority="13569" stopIfTrue="1" operator="equal">
      <formula>"Pass"</formula>
    </cfRule>
    <cfRule type="cellIs" dxfId="13730" priority="13570" stopIfTrue="1" operator="equal">
      <formula>"Fail"</formula>
    </cfRule>
  </conditionalFormatting>
  <conditionalFormatting sqref="A988">
    <cfRule type="cellIs" dxfId="13729" priority="13567" stopIfTrue="1" operator="equal">
      <formula>"Pass"</formula>
    </cfRule>
    <cfRule type="cellIs" dxfId="13728" priority="13568" stopIfTrue="1" operator="equal">
      <formula>"Fail"</formula>
    </cfRule>
  </conditionalFormatting>
  <conditionalFormatting sqref="A988">
    <cfRule type="cellIs" dxfId="13727" priority="13565" stopIfTrue="1" operator="equal">
      <formula>"Pass"</formula>
    </cfRule>
    <cfRule type="cellIs" dxfId="13726" priority="13566" stopIfTrue="1" operator="equal">
      <formula>"Fail"</formula>
    </cfRule>
  </conditionalFormatting>
  <conditionalFormatting sqref="A988">
    <cfRule type="cellIs" dxfId="13725" priority="13563" stopIfTrue="1" operator="equal">
      <formula>"Pass"</formula>
    </cfRule>
    <cfRule type="cellIs" dxfId="13724" priority="13564" stopIfTrue="1" operator="equal">
      <formula>"Fail"</formula>
    </cfRule>
  </conditionalFormatting>
  <conditionalFormatting sqref="A988">
    <cfRule type="cellIs" dxfId="13723" priority="13561" stopIfTrue="1" operator="equal">
      <formula>"Pass"</formula>
    </cfRule>
    <cfRule type="cellIs" dxfId="13722" priority="13562" stopIfTrue="1" operator="equal">
      <formula>"Fail"</formula>
    </cfRule>
  </conditionalFormatting>
  <conditionalFormatting sqref="A988">
    <cfRule type="cellIs" dxfId="13721" priority="13559" stopIfTrue="1" operator="equal">
      <formula>"Pass"</formula>
    </cfRule>
    <cfRule type="cellIs" dxfId="13720" priority="13560" stopIfTrue="1" operator="equal">
      <formula>"Fail"</formula>
    </cfRule>
  </conditionalFormatting>
  <conditionalFormatting sqref="H988:H989">
    <cfRule type="cellIs" dxfId="13719" priority="13557" stopIfTrue="1" operator="equal">
      <formula>"Pass"</formula>
    </cfRule>
    <cfRule type="cellIs" dxfId="13718" priority="13558" stopIfTrue="1" operator="equal">
      <formula>"Fail"</formula>
    </cfRule>
  </conditionalFormatting>
  <conditionalFormatting sqref="E988:F988 E990:F990 A988 I988:M989">
    <cfRule type="cellIs" dxfId="13717" priority="13555" stopIfTrue="1" operator="equal">
      <formula>"Pass"</formula>
    </cfRule>
    <cfRule type="cellIs" dxfId="13716" priority="13556" stopIfTrue="1" operator="equal">
      <formula>"Fail"</formula>
    </cfRule>
  </conditionalFormatting>
  <conditionalFormatting sqref="T990 T988 R988:R990 S989:S990">
    <cfRule type="cellIs" dxfId="13715" priority="13553" stopIfTrue="1" operator="equal">
      <formula>"Fail"</formula>
    </cfRule>
    <cfRule type="cellIs" dxfId="13714" priority="13554" stopIfTrue="1" operator="equal">
      <formula>"Pass"</formula>
    </cfRule>
  </conditionalFormatting>
  <conditionalFormatting sqref="F988:G988 F990:G990 B988:B990 A988 J988:N989">
    <cfRule type="cellIs" dxfId="13713" priority="13551" stopIfTrue="1" operator="equal">
      <formula>"Pass"</formula>
    </cfRule>
    <cfRule type="cellIs" dxfId="13712" priority="13552" stopIfTrue="1" operator="equal">
      <formula>"Fail"</formula>
    </cfRule>
  </conditionalFormatting>
  <conditionalFormatting sqref="U990:V990 T988:T990 S989:S990">
    <cfRule type="cellIs" dxfId="13711" priority="13549" stopIfTrue="1" operator="equal">
      <formula>"Fail"</formula>
    </cfRule>
    <cfRule type="cellIs" dxfId="13710" priority="13550" stopIfTrue="1" operator="equal">
      <formula>"Pass"</formula>
    </cfRule>
  </conditionalFormatting>
  <conditionalFormatting sqref="A988">
    <cfRule type="cellIs" dxfId="13709" priority="13547" stopIfTrue="1" operator="equal">
      <formula>"Pass"</formula>
    </cfRule>
    <cfRule type="cellIs" dxfId="13708" priority="13548" stopIfTrue="1" operator="equal">
      <formula>"Fail"</formula>
    </cfRule>
  </conditionalFormatting>
  <conditionalFormatting sqref="A988">
    <cfRule type="cellIs" dxfId="13707" priority="13545" stopIfTrue="1" operator="equal">
      <formula>"Pass"</formula>
    </cfRule>
    <cfRule type="cellIs" dxfId="13706" priority="13546" stopIfTrue="1" operator="equal">
      <formula>"Fail"</formula>
    </cfRule>
  </conditionalFormatting>
  <conditionalFormatting sqref="A988">
    <cfRule type="cellIs" dxfId="13705" priority="13543" stopIfTrue="1" operator="equal">
      <formula>"Pass"</formula>
    </cfRule>
    <cfRule type="cellIs" dxfId="13704" priority="13544" stopIfTrue="1" operator="equal">
      <formula>"Fail"</formula>
    </cfRule>
  </conditionalFormatting>
  <conditionalFormatting sqref="A988">
    <cfRule type="cellIs" dxfId="13703" priority="13541" stopIfTrue="1" operator="equal">
      <formula>"Pass"</formula>
    </cfRule>
    <cfRule type="cellIs" dxfId="13702" priority="13542" stopIfTrue="1" operator="equal">
      <formula>"Fail"</formula>
    </cfRule>
  </conditionalFormatting>
  <conditionalFormatting sqref="A988">
    <cfRule type="cellIs" dxfId="13701" priority="13539" stopIfTrue="1" operator="equal">
      <formula>"Pass"</formula>
    </cfRule>
    <cfRule type="cellIs" dxfId="13700" priority="13540" stopIfTrue="1" operator="equal">
      <formula>"Fail"</formula>
    </cfRule>
  </conditionalFormatting>
  <conditionalFormatting sqref="A988">
    <cfRule type="cellIs" dxfId="13699" priority="13537" stopIfTrue="1" operator="equal">
      <formula>"Pass"</formula>
    </cfRule>
    <cfRule type="cellIs" dxfId="13698" priority="13538" stopIfTrue="1" operator="equal">
      <formula>"Fail"</formula>
    </cfRule>
  </conditionalFormatting>
  <conditionalFormatting sqref="A988">
    <cfRule type="cellIs" dxfId="13697" priority="13535" stopIfTrue="1" operator="equal">
      <formula>"Pass"</formula>
    </cfRule>
    <cfRule type="cellIs" dxfId="13696" priority="13536" stopIfTrue="1" operator="equal">
      <formula>"Fail"</formula>
    </cfRule>
  </conditionalFormatting>
  <conditionalFormatting sqref="A988">
    <cfRule type="cellIs" dxfId="13695" priority="13533" stopIfTrue="1" operator="equal">
      <formula>"Pass"</formula>
    </cfRule>
    <cfRule type="cellIs" dxfId="13694" priority="13534" stopIfTrue="1" operator="equal">
      <formula>"Fail"</formula>
    </cfRule>
  </conditionalFormatting>
  <conditionalFormatting sqref="A988">
    <cfRule type="cellIs" dxfId="13693" priority="13531" stopIfTrue="1" operator="equal">
      <formula>"Pass"</formula>
    </cfRule>
    <cfRule type="cellIs" dxfId="13692" priority="13532" stopIfTrue="1" operator="equal">
      <formula>"Fail"</formula>
    </cfRule>
  </conditionalFormatting>
  <conditionalFormatting sqref="A988">
    <cfRule type="cellIs" dxfId="13691" priority="13529" stopIfTrue="1" operator="equal">
      <formula>"Pass"</formula>
    </cfRule>
    <cfRule type="cellIs" dxfId="13690" priority="13530" stopIfTrue="1" operator="equal">
      <formula>"Fail"</formula>
    </cfRule>
  </conditionalFormatting>
  <conditionalFormatting sqref="U988:V988">
    <cfRule type="cellIs" dxfId="13689" priority="13527" stopIfTrue="1" operator="equal">
      <formula>"Fail"</formula>
    </cfRule>
    <cfRule type="cellIs" dxfId="13688" priority="13528" stopIfTrue="1" operator="equal">
      <formula>"Pass"</formula>
    </cfRule>
  </conditionalFormatting>
  <conditionalFormatting sqref="F988:G988 J988:N988">
    <cfRule type="cellIs" dxfId="13687" priority="13525" stopIfTrue="1" operator="equal">
      <formula>"Pass"</formula>
    </cfRule>
    <cfRule type="cellIs" dxfId="13686" priority="13526" stopIfTrue="1" operator="equal">
      <formula>"Fail"</formula>
    </cfRule>
  </conditionalFormatting>
  <conditionalFormatting sqref="J989:N989">
    <cfRule type="cellIs" dxfId="13685" priority="13523" stopIfTrue="1" operator="equal">
      <formula>"Pass"</formula>
    </cfRule>
    <cfRule type="cellIs" dxfId="13684" priority="13524" stopIfTrue="1" operator="equal">
      <formula>"Fail"</formula>
    </cfRule>
  </conditionalFormatting>
  <conditionalFormatting sqref="A988">
    <cfRule type="cellIs" dxfId="13683" priority="13521" stopIfTrue="1" operator="equal">
      <formula>"Pass"</formula>
    </cfRule>
    <cfRule type="cellIs" dxfId="13682" priority="13522" stopIfTrue="1" operator="equal">
      <formula>"Fail"</formula>
    </cfRule>
  </conditionalFormatting>
  <conditionalFormatting sqref="A988">
    <cfRule type="cellIs" dxfId="13681" priority="13519" stopIfTrue="1" operator="equal">
      <formula>"Pass"</formula>
    </cfRule>
    <cfRule type="cellIs" dxfId="13680" priority="13520" stopIfTrue="1" operator="equal">
      <formula>"Fail"</formula>
    </cfRule>
  </conditionalFormatting>
  <conditionalFormatting sqref="A988">
    <cfRule type="cellIs" dxfId="13679" priority="13517" stopIfTrue="1" operator="equal">
      <formula>"Pass"</formula>
    </cfRule>
    <cfRule type="cellIs" dxfId="13678" priority="13518" stopIfTrue="1" operator="equal">
      <formula>"Fail"</formula>
    </cfRule>
  </conditionalFormatting>
  <conditionalFormatting sqref="A988">
    <cfRule type="cellIs" dxfId="13677" priority="13515" stopIfTrue="1" operator="equal">
      <formula>"Pass"</formula>
    </cfRule>
    <cfRule type="cellIs" dxfId="13676" priority="13516" stopIfTrue="1" operator="equal">
      <formula>"Fail"</formula>
    </cfRule>
  </conditionalFormatting>
  <conditionalFormatting sqref="A988">
    <cfRule type="cellIs" dxfId="13675" priority="13513" stopIfTrue="1" operator="equal">
      <formula>"Pass"</formula>
    </cfRule>
    <cfRule type="cellIs" dxfId="13674" priority="13514" stopIfTrue="1" operator="equal">
      <formula>"Fail"</formula>
    </cfRule>
  </conditionalFormatting>
  <conditionalFormatting sqref="A988">
    <cfRule type="cellIs" dxfId="13673" priority="13511" stopIfTrue="1" operator="equal">
      <formula>"Pass"</formula>
    </cfRule>
    <cfRule type="cellIs" dxfId="13672" priority="13512" stopIfTrue="1" operator="equal">
      <formula>"Fail"</formula>
    </cfRule>
  </conditionalFormatting>
  <conditionalFormatting sqref="A988">
    <cfRule type="cellIs" dxfId="13671" priority="13509" stopIfTrue="1" operator="equal">
      <formula>"Pass"</formula>
    </cfRule>
    <cfRule type="cellIs" dxfId="13670" priority="13510" stopIfTrue="1" operator="equal">
      <formula>"Fail"</formula>
    </cfRule>
  </conditionalFormatting>
  <conditionalFormatting sqref="A988">
    <cfRule type="cellIs" dxfId="13669" priority="13507" stopIfTrue="1" operator="equal">
      <formula>"Pass"</formula>
    </cfRule>
    <cfRule type="cellIs" dxfId="13668" priority="13508" stopIfTrue="1" operator="equal">
      <formula>"Fail"</formula>
    </cfRule>
  </conditionalFormatting>
  <conditionalFormatting sqref="A988">
    <cfRule type="cellIs" dxfId="13667" priority="13505" stopIfTrue="1" operator="equal">
      <formula>"Pass"</formula>
    </cfRule>
    <cfRule type="cellIs" dxfId="13666" priority="13506" stopIfTrue="1" operator="equal">
      <formula>"Fail"</formula>
    </cfRule>
  </conditionalFormatting>
  <conditionalFormatting sqref="A988">
    <cfRule type="cellIs" dxfId="13665" priority="13503" stopIfTrue="1" operator="equal">
      <formula>"Pass"</formula>
    </cfRule>
    <cfRule type="cellIs" dxfId="13664" priority="13504" stopIfTrue="1" operator="equal">
      <formula>"Fail"</formula>
    </cfRule>
  </conditionalFormatting>
  <conditionalFormatting sqref="A988">
    <cfRule type="cellIs" dxfId="13663" priority="13501" stopIfTrue="1" operator="equal">
      <formula>"Pass"</formula>
    </cfRule>
    <cfRule type="cellIs" dxfId="13662" priority="13502" stopIfTrue="1" operator="equal">
      <formula>"Fail"</formula>
    </cfRule>
  </conditionalFormatting>
  <conditionalFormatting sqref="A988">
    <cfRule type="cellIs" dxfId="13661" priority="13499" stopIfTrue="1" operator="equal">
      <formula>"Pass"</formula>
    </cfRule>
    <cfRule type="cellIs" dxfId="13660" priority="13500" stopIfTrue="1" operator="equal">
      <formula>"Fail"</formula>
    </cfRule>
  </conditionalFormatting>
  <conditionalFormatting sqref="H988:H989">
    <cfRule type="cellIs" dxfId="13659" priority="13497" stopIfTrue="1" operator="equal">
      <formula>"Pass"</formula>
    </cfRule>
    <cfRule type="cellIs" dxfId="13658" priority="13498" stopIfTrue="1" operator="equal">
      <formula>"Fail"</formula>
    </cfRule>
  </conditionalFormatting>
  <conditionalFormatting sqref="F988 F990 I988:M989">
    <cfRule type="cellIs" dxfId="13657" priority="13495" stopIfTrue="1" operator="equal">
      <formula>"Pass"</formula>
    </cfRule>
    <cfRule type="cellIs" dxfId="13656" priority="13496" stopIfTrue="1" operator="equal">
      <formula>"Fail"</formula>
    </cfRule>
  </conditionalFormatting>
  <conditionalFormatting sqref="T990 T988 R988:R990 S989:S990">
    <cfRule type="cellIs" dxfId="13655" priority="13493" stopIfTrue="1" operator="equal">
      <formula>"Fail"</formula>
    </cfRule>
    <cfRule type="cellIs" dxfId="13654" priority="13494" stopIfTrue="1" operator="equal">
      <formula>"Pass"</formula>
    </cfRule>
  </conditionalFormatting>
  <conditionalFormatting sqref="F988:G988 F990:G990 J988:N989">
    <cfRule type="cellIs" dxfId="13653" priority="13491" stopIfTrue="1" operator="equal">
      <formula>"Pass"</formula>
    </cfRule>
    <cfRule type="cellIs" dxfId="13652" priority="13492" stopIfTrue="1" operator="equal">
      <formula>"Fail"</formula>
    </cfRule>
  </conditionalFormatting>
  <conditionalFormatting sqref="U990:V990 T988:T990 S989:S990">
    <cfRule type="cellIs" dxfId="13651" priority="13489" stopIfTrue="1" operator="equal">
      <formula>"Fail"</formula>
    </cfRule>
    <cfRule type="cellIs" dxfId="13650" priority="13490" stopIfTrue="1" operator="equal">
      <formula>"Pass"</formula>
    </cfRule>
  </conditionalFormatting>
  <conditionalFormatting sqref="U988:V988">
    <cfRule type="cellIs" dxfId="13649" priority="13487" stopIfTrue="1" operator="equal">
      <formula>"Fail"</formula>
    </cfRule>
    <cfRule type="cellIs" dxfId="13648" priority="13488" stopIfTrue="1" operator="equal">
      <formula>"Pass"</formula>
    </cfRule>
  </conditionalFormatting>
  <conditionalFormatting sqref="F988:G988 J988:N988">
    <cfRule type="cellIs" dxfId="13647" priority="13485" stopIfTrue="1" operator="equal">
      <formula>"Pass"</formula>
    </cfRule>
    <cfRule type="cellIs" dxfId="13646" priority="13486" stopIfTrue="1" operator="equal">
      <formula>"Fail"</formula>
    </cfRule>
  </conditionalFormatting>
  <conditionalFormatting sqref="J989:N989">
    <cfRule type="cellIs" dxfId="13645" priority="13483" stopIfTrue="1" operator="equal">
      <formula>"Pass"</formula>
    </cfRule>
    <cfRule type="cellIs" dxfId="13644" priority="13484" stopIfTrue="1" operator="equal">
      <formula>"Fail"</formula>
    </cfRule>
  </conditionalFormatting>
  <conditionalFormatting sqref="H988:H989">
    <cfRule type="cellIs" dxfId="13643" priority="13481" stopIfTrue="1" operator="equal">
      <formula>"Pass"</formula>
    </cfRule>
    <cfRule type="cellIs" dxfId="13642" priority="13482" stopIfTrue="1" operator="equal">
      <formula>"Fail"</formula>
    </cfRule>
  </conditionalFormatting>
  <conditionalFormatting sqref="F988 F990 I988:M989">
    <cfRule type="cellIs" dxfId="13641" priority="13479" stopIfTrue="1" operator="equal">
      <formula>"Pass"</formula>
    </cfRule>
    <cfRule type="cellIs" dxfId="13640" priority="13480" stopIfTrue="1" operator="equal">
      <formula>"Fail"</formula>
    </cfRule>
  </conditionalFormatting>
  <conditionalFormatting sqref="T990 T988 R988:R990 S989:S990">
    <cfRule type="cellIs" dxfId="13639" priority="13477" stopIfTrue="1" operator="equal">
      <formula>"Fail"</formula>
    </cfRule>
    <cfRule type="cellIs" dxfId="13638" priority="13478" stopIfTrue="1" operator="equal">
      <formula>"Pass"</formula>
    </cfRule>
  </conditionalFormatting>
  <conditionalFormatting sqref="F988:G988 F990:G990 J988:N989">
    <cfRule type="cellIs" dxfId="13637" priority="13475" stopIfTrue="1" operator="equal">
      <formula>"Pass"</formula>
    </cfRule>
    <cfRule type="cellIs" dxfId="13636" priority="13476" stopIfTrue="1" operator="equal">
      <formula>"Fail"</formula>
    </cfRule>
  </conditionalFormatting>
  <conditionalFormatting sqref="U990:V990 T988:T990 S989:S990">
    <cfRule type="cellIs" dxfId="13635" priority="13473" stopIfTrue="1" operator="equal">
      <formula>"Fail"</formula>
    </cfRule>
    <cfRule type="cellIs" dxfId="13634" priority="13474" stopIfTrue="1" operator="equal">
      <formula>"Pass"</formula>
    </cfRule>
  </conditionalFormatting>
  <conditionalFormatting sqref="U988:V988">
    <cfRule type="cellIs" dxfId="13633" priority="13471" stopIfTrue="1" operator="equal">
      <formula>"Fail"</formula>
    </cfRule>
    <cfRule type="cellIs" dxfId="13632" priority="13472" stopIfTrue="1" operator="equal">
      <formula>"Pass"</formula>
    </cfRule>
  </conditionalFormatting>
  <conditionalFormatting sqref="F988:G988 J988:N988">
    <cfRule type="cellIs" dxfId="13631" priority="13469" stopIfTrue="1" operator="equal">
      <formula>"Pass"</formula>
    </cfRule>
    <cfRule type="cellIs" dxfId="13630" priority="13470" stopIfTrue="1" operator="equal">
      <formula>"Fail"</formula>
    </cfRule>
  </conditionalFormatting>
  <conditionalFormatting sqref="J989:N989">
    <cfRule type="cellIs" dxfId="13629" priority="13467" stopIfTrue="1" operator="equal">
      <formula>"Pass"</formula>
    </cfRule>
    <cfRule type="cellIs" dxfId="13628" priority="13468" stopIfTrue="1" operator="equal">
      <formula>"Fail"</formula>
    </cfRule>
  </conditionalFormatting>
  <conditionalFormatting sqref="U988:V988">
    <cfRule type="cellIs" dxfId="13627" priority="13465" stopIfTrue="1" operator="equal">
      <formula>"Fail"</formula>
    </cfRule>
    <cfRule type="cellIs" dxfId="13626" priority="13466" stopIfTrue="1" operator="equal">
      <formula>"Pass"</formula>
    </cfRule>
  </conditionalFormatting>
  <conditionalFormatting sqref="U988:V988">
    <cfRule type="cellIs" dxfId="13625" priority="13463" stopIfTrue="1" operator="equal">
      <formula>"Fail"</formula>
    </cfRule>
    <cfRule type="cellIs" dxfId="13624" priority="13464" stopIfTrue="1" operator="equal">
      <formula>"Pass"</formula>
    </cfRule>
  </conditionalFormatting>
  <conditionalFormatting sqref="U988:V988">
    <cfRule type="cellIs" dxfId="13623" priority="13461" stopIfTrue="1" operator="equal">
      <formula>"Fail"</formula>
    </cfRule>
    <cfRule type="cellIs" dxfId="13622" priority="13462" stopIfTrue="1" operator="equal">
      <formula>"Pass"</formula>
    </cfRule>
  </conditionalFormatting>
  <conditionalFormatting sqref="N988">
    <cfRule type="cellIs" dxfId="13621" priority="13459" stopIfTrue="1" operator="equal">
      <formula>"Pass"</formula>
    </cfRule>
    <cfRule type="cellIs" dxfId="13620" priority="13460" stopIfTrue="1" operator="equal">
      <formula>"Fail"</formula>
    </cfRule>
  </conditionalFormatting>
  <conditionalFormatting sqref="N988">
    <cfRule type="cellIs" dxfId="13619" priority="13457" stopIfTrue="1" operator="equal">
      <formula>"Pass"</formula>
    </cfRule>
    <cfRule type="cellIs" dxfId="13618" priority="13458" stopIfTrue="1" operator="equal">
      <formula>"Fail"</formula>
    </cfRule>
  </conditionalFormatting>
  <conditionalFormatting sqref="N988">
    <cfRule type="cellIs" dxfId="13617" priority="13455" stopIfTrue="1" operator="equal">
      <formula>"Pass"</formula>
    </cfRule>
    <cfRule type="cellIs" dxfId="13616" priority="13456" stopIfTrue="1" operator="equal">
      <formula>"Fail"</formula>
    </cfRule>
  </conditionalFormatting>
  <conditionalFormatting sqref="A988">
    <cfRule type="cellIs" dxfId="13615" priority="13453" stopIfTrue="1" operator="equal">
      <formula>"Pass"</formula>
    </cfRule>
    <cfRule type="cellIs" dxfId="13614" priority="13454" stopIfTrue="1" operator="equal">
      <formula>"Fail"</formula>
    </cfRule>
  </conditionalFormatting>
  <conditionalFormatting sqref="A988">
    <cfRule type="cellIs" dxfId="13613" priority="13451" stopIfTrue="1" operator="equal">
      <formula>"Pass"</formula>
    </cfRule>
    <cfRule type="cellIs" dxfId="13612" priority="13452" stopIfTrue="1" operator="equal">
      <formula>"Fail"</formula>
    </cfRule>
  </conditionalFormatting>
  <conditionalFormatting sqref="A988">
    <cfRule type="cellIs" dxfId="13611" priority="13449" stopIfTrue="1" operator="equal">
      <formula>"Pass"</formula>
    </cfRule>
    <cfRule type="cellIs" dxfId="13610" priority="13450" stopIfTrue="1" operator="equal">
      <formula>"Fail"</formula>
    </cfRule>
  </conditionalFormatting>
  <conditionalFormatting sqref="A988">
    <cfRule type="cellIs" dxfId="13609" priority="13447" stopIfTrue="1" operator="equal">
      <formula>"Pass"</formula>
    </cfRule>
    <cfRule type="cellIs" dxfId="13608" priority="13448" stopIfTrue="1" operator="equal">
      <formula>"Fail"</formula>
    </cfRule>
  </conditionalFormatting>
  <conditionalFormatting sqref="A988">
    <cfRule type="cellIs" dxfId="13607" priority="13445" stopIfTrue="1" operator="equal">
      <formula>"Pass"</formula>
    </cfRule>
    <cfRule type="cellIs" dxfId="13606" priority="13446" stopIfTrue="1" operator="equal">
      <formula>"Fail"</formula>
    </cfRule>
  </conditionalFormatting>
  <conditionalFormatting sqref="A988">
    <cfRule type="cellIs" dxfId="13605" priority="13443" stopIfTrue="1" operator="equal">
      <formula>"Pass"</formula>
    </cfRule>
    <cfRule type="cellIs" dxfId="13604" priority="13444" stopIfTrue="1" operator="equal">
      <formula>"Fail"</formula>
    </cfRule>
  </conditionalFormatting>
  <conditionalFormatting sqref="A988">
    <cfRule type="cellIs" dxfId="13603" priority="13441" stopIfTrue="1" operator="equal">
      <formula>"Pass"</formula>
    </cfRule>
    <cfRule type="cellIs" dxfId="13602" priority="13442" stopIfTrue="1" operator="equal">
      <formula>"Fail"</formula>
    </cfRule>
  </conditionalFormatting>
  <conditionalFormatting sqref="A988">
    <cfRule type="cellIs" dxfId="13601" priority="13439" stopIfTrue="1" operator="equal">
      <formula>"Pass"</formula>
    </cfRule>
    <cfRule type="cellIs" dxfId="13600" priority="13440" stopIfTrue="1" operator="equal">
      <formula>"Fail"</formula>
    </cfRule>
  </conditionalFormatting>
  <conditionalFormatting sqref="A988">
    <cfRule type="cellIs" dxfId="13599" priority="13437" stopIfTrue="1" operator="equal">
      <formula>"Pass"</formula>
    </cfRule>
    <cfRule type="cellIs" dxfId="13598" priority="13438" stopIfTrue="1" operator="equal">
      <formula>"Fail"</formula>
    </cfRule>
  </conditionalFormatting>
  <conditionalFormatting sqref="A988">
    <cfRule type="cellIs" dxfId="13597" priority="13435" stopIfTrue="1" operator="equal">
      <formula>"Pass"</formula>
    </cfRule>
    <cfRule type="cellIs" dxfId="13596" priority="13436" stopIfTrue="1" operator="equal">
      <formula>"Fail"</formula>
    </cfRule>
  </conditionalFormatting>
  <conditionalFormatting sqref="A988">
    <cfRule type="cellIs" dxfId="13595" priority="13433" stopIfTrue="1" operator="equal">
      <formula>"Pass"</formula>
    </cfRule>
    <cfRule type="cellIs" dxfId="13594" priority="13434" stopIfTrue="1" operator="equal">
      <formula>"Fail"</formula>
    </cfRule>
  </conditionalFormatting>
  <conditionalFormatting sqref="A988">
    <cfRule type="cellIs" dxfId="13593" priority="13431" stopIfTrue="1" operator="equal">
      <formula>"Pass"</formula>
    </cfRule>
    <cfRule type="cellIs" dxfId="13592" priority="13432" stopIfTrue="1" operator="equal">
      <formula>"Fail"</formula>
    </cfRule>
  </conditionalFormatting>
  <conditionalFormatting sqref="A988">
    <cfRule type="cellIs" dxfId="13591" priority="13429" stopIfTrue="1" operator="equal">
      <formula>"Pass"</formula>
    </cfRule>
    <cfRule type="cellIs" dxfId="13590" priority="13430" stopIfTrue="1" operator="equal">
      <formula>"Fail"</formula>
    </cfRule>
  </conditionalFormatting>
  <conditionalFormatting sqref="A988">
    <cfRule type="cellIs" dxfId="13589" priority="13427" stopIfTrue="1" operator="equal">
      <formula>"Pass"</formula>
    </cfRule>
    <cfRule type="cellIs" dxfId="13588" priority="13428" stopIfTrue="1" operator="equal">
      <formula>"Fail"</formula>
    </cfRule>
  </conditionalFormatting>
  <conditionalFormatting sqref="A988">
    <cfRule type="cellIs" dxfId="13587" priority="13425" stopIfTrue="1" operator="equal">
      <formula>"Pass"</formula>
    </cfRule>
    <cfRule type="cellIs" dxfId="13586" priority="13426" stopIfTrue="1" operator="equal">
      <formula>"Fail"</formula>
    </cfRule>
  </conditionalFormatting>
  <conditionalFormatting sqref="A988">
    <cfRule type="cellIs" dxfId="13585" priority="13423" stopIfTrue="1" operator="equal">
      <formula>"Pass"</formula>
    </cfRule>
    <cfRule type="cellIs" dxfId="13584" priority="13424" stopIfTrue="1" operator="equal">
      <formula>"Fail"</formula>
    </cfRule>
  </conditionalFormatting>
  <conditionalFormatting sqref="A988">
    <cfRule type="cellIs" dxfId="13583" priority="13421" stopIfTrue="1" operator="equal">
      <formula>"Pass"</formula>
    </cfRule>
    <cfRule type="cellIs" dxfId="13582" priority="13422" stopIfTrue="1" operator="equal">
      <formula>"Fail"</formula>
    </cfRule>
  </conditionalFormatting>
  <conditionalFormatting sqref="A988">
    <cfRule type="cellIs" dxfId="13581" priority="13419" stopIfTrue="1" operator="equal">
      <formula>"Pass"</formula>
    </cfRule>
    <cfRule type="cellIs" dxfId="13580" priority="13420" stopIfTrue="1" operator="equal">
      <formula>"Fail"</formula>
    </cfRule>
  </conditionalFormatting>
  <conditionalFormatting sqref="H988:H989">
    <cfRule type="cellIs" dxfId="13579" priority="13417" stopIfTrue="1" operator="equal">
      <formula>"Pass"</formula>
    </cfRule>
    <cfRule type="cellIs" dxfId="13578" priority="13418" stopIfTrue="1" operator="equal">
      <formula>"Fail"</formula>
    </cfRule>
  </conditionalFormatting>
  <conditionalFormatting sqref="F988 F990 I988:M989">
    <cfRule type="cellIs" dxfId="13577" priority="13415" stopIfTrue="1" operator="equal">
      <formula>"Pass"</formula>
    </cfRule>
    <cfRule type="cellIs" dxfId="13576" priority="13416" stopIfTrue="1" operator="equal">
      <formula>"Fail"</formula>
    </cfRule>
  </conditionalFormatting>
  <conditionalFormatting sqref="T990 T988 R988:R990 S989:S990">
    <cfRule type="cellIs" dxfId="13575" priority="13413" stopIfTrue="1" operator="equal">
      <formula>"Fail"</formula>
    </cfRule>
    <cfRule type="cellIs" dxfId="13574" priority="13414" stopIfTrue="1" operator="equal">
      <formula>"Pass"</formula>
    </cfRule>
  </conditionalFormatting>
  <conditionalFormatting sqref="F988:G988 F990:G990 J988:N989">
    <cfRule type="cellIs" dxfId="13573" priority="13411" stopIfTrue="1" operator="equal">
      <formula>"Pass"</formula>
    </cfRule>
    <cfRule type="cellIs" dxfId="13572" priority="13412" stopIfTrue="1" operator="equal">
      <formula>"Fail"</formula>
    </cfRule>
  </conditionalFormatting>
  <conditionalFormatting sqref="U990:V990 T988:T990 S989:S990">
    <cfRule type="cellIs" dxfId="13571" priority="13409" stopIfTrue="1" operator="equal">
      <formula>"Fail"</formula>
    </cfRule>
    <cfRule type="cellIs" dxfId="13570" priority="13410" stopIfTrue="1" operator="equal">
      <formula>"Pass"</formula>
    </cfRule>
  </conditionalFormatting>
  <conditionalFormatting sqref="U988:V988">
    <cfRule type="cellIs" dxfId="13569" priority="13407" stopIfTrue="1" operator="equal">
      <formula>"Fail"</formula>
    </cfRule>
    <cfRule type="cellIs" dxfId="13568" priority="13408" stopIfTrue="1" operator="equal">
      <formula>"Pass"</formula>
    </cfRule>
  </conditionalFormatting>
  <conditionalFormatting sqref="F988:G988 J988:N988">
    <cfRule type="cellIs" dxfId="13567" priority="13405" stopIfTrue="1" operator="equal">
      <formula>"Pass"</formula>
    </cfRule>
    <cfRule type="cellIs" dxfId="13566" priority="13406" stopIfTrue="1" operator="equal">
      <formula>"Fail"</formula>
    </cfRule>
  </conditionalFormatting>
  <conditionalFormatting sqref="J989:N989">
    <cfRule type="cellIs" dxfId="13565" priority="13403" stopIfTrue="1" operator="equal">
      <formula>"Pass"</formula>
    </cfRule>
    <cfRule type="cellIs" dxfId="13564" priority="13404" stopIfTrue="1" operator="equal">
      <formula>"Fail"</formula>
    </cfRule>
  </conditionalFormatting>
  <conditionalFormatting sqref="H988:H989">
    <cfRule type="cellIs" dxfId="13563" priority="13401" stopIfTrue="1" operator="equal">
      <formula>"Pass"</formula>
    </cfRule>
    <cfRule type="cellIs" dxfId="13562" priority="13402" stopIfTrue="1" operator="equal">
      <formula>"Fail"</formula>
    </cfRule>
  </conditionalFormatting>
  <conditionalFormatting sqref="F988 F990 I988:M989">
    <cfRule type="cellIs" dxfId="13561" priority="13399" stopIfTrue="1" operator="equal">
      <formula>"Pass"</formula>
    </cfRule>
    <cfRule type="cellIs" dxfId="13560" priority="13400" stopIfTrue="1" operator="equal">
      <formula>"Fail"</formula>
    </cfRule>
  </conditionalFormatting>
  <conditionalFormatting sqref="T990 T988 R988:R990 S989:S990">
    <cfRule type="cellIs" dxfId="13559" priority="13397" stopIfTrue="1" operator="equal">
      <formula>"Fail"</formula>
    </cfRule>
    <cfRule type="cellIs" dxfId="13558" priority="13398" stopIfTrue="1" operator="equal">
      <formula>"Pass"</formula>
    </cfRule>
  </conditionalFormatting>
  <conditionalFormatting sqref="F988:G988 F990:G990 J988:N989">
    <cfRule type="cellIs" dxfId="13557" priority="13395" stopIfTrue="1" operator="equal">
      <formula>"Pass"</formula>
    </cfRule>
    <cfRule type="cellIs" dxfId="13556" priority="13396" stopIfTrue="1" operator="equal">
      <formula>"Fail"</formula>
    </cfRule>
  </conditionalFormatting>
  <conditionalFormatting sqref="U990:V990 T988:T990 S989:S990">
    <cfRule type="cellIs" dxfId="13555" priority="13393" stopIfTrue="1" operator="equal">
      <formula>"Fail"</formula>
    </cfRule>
    <cfRule type="cellIs" dxfId="13554" priority="13394" stopIfTrue="1" operator="equal">
      <formula>"Pass"</formula>
    </cfRule>
  </conditionalFormatting>
  <conditionalFormatting sqref="U988:V988">
    <cfRule type="cellIs" dxfId="13553" priority="13391" stopIfTrue="1" operator="equal">
      <formula>"Fail"</formula>
    </cfRule>
    <cfRule type="cellIs" dxfId="13552" priority="13392" stopIfTrue="1" operator="equal">
      <formula>"Pass"</formula>
    </cfRule>
  </conditionalFormatting>
  <conditionalFormatting sqref="F988:G988 J988:N988">
    <cfRule type="cellIs" dxfId="13551" priority="13389" stopIfTrue="1" operator="equal">
      <formula>"Pass"</formula>
    </cfRule>
    <cfRule type="cellIs" dxfId="13550" priority="13390" stopIfTrue="1" operator="equal">
      <formula>"Fail"</formula>
    </cfRule>
  </conditionalFormatting>
  <conditionalFormatting sqref="J989:N989">
    <cfRule type="cellIs" dxfId="13549" priority="13387" stopIfTrue="1" operator="equal">
      <formula>"Pass"</formula>
    </cfRule>
    <cfRule type="cellIs" dxfId="13548" priority="13388" stopIfTrue="1" operator="equal">
      <formula>"Fail"</formula>
    </cfRule>
  </conditionalFormatting>
  <conditionalFormatting sqref="H988:H989">
    <cfRule type="cellIs" dxfId="13547" priority="13385" stopIfTrue="1" operator="equal">
      <formula>"Pass"</formula>
    </cfRule>
    <cfRule type="cellIs" dxfId="13546" priority="13386" stopIfTrue="1" operator="equal">
      <formula>"Fail"</formula>
    </cfRule>
  </conditionalFormatting>
  <conditionalFormatting sqref="F988 F990 I988:M989">
    <cfRule type="cellIs" dxfId="13545" priority="13383" stopIfTrue="1" operator="equal">
      <formula>"Pass"</formula>
    </cfRule>
    <cfRule type="cellIs" dxfId="13544" priority="13384" stopIfTrue="1" operator="equal">
      <formula>"Fail"</formula>
    </cfRule>
  </conditionalFormatting>
  <conditionalFormatting sqref="T990 T988 R988:R990 S989:S990">
    <cfRule type="cellIs" dxfId="13543" priority="13381" stopIfTrue="1" operator="equal">
      <formula>"Fail"</formula>
    </cfRule>
    <cfRule type="cellIs" dxfId="13542" priority="13382" stopIfTrue="1" operator="equal">
      <formula>"Pass"</formula>
    </cfRule>
  </conditionalFormatting>
  <conditionalFormatting sqref="F988:G988 F990:G990 J988:N989">
    <cfRule type="cellIs" dxfId="13541" priority="13379" stopIfTrue="1" operator="equal">
      <formula>"Pass"</formula>
    </cfRule>
    <cfRule type="cellIs" dxfId="13540" priority="13380" stopIfTrue="1" operator="equal">
      <formula>"Fail"</formula>
    </cfRule>
  </conditionalFormatting>
  <conditionalFormatting sqref="U990:V990 T988:T990 S989:S990">
    <cfRule type="cellIs" dxfId="13539" priority="13377" stopIfTrue="1" operator="equal">
      <formula>"Fail"</formula>
    </cfRule>
    <cfRule type="cellIs" dxfId="13538" priority="13378" stopIfTrue="1" operator="equal">
      <formula>"Pass"</formula>
    </cfRule>
  </conditionalFormatting>
  <conditionalFormatting sqref="U988:V988">
    <cfRule type="cellIs" dxfId="13537" priority="13375" stopIfTrue="1" operator="equal">
      <formula>"Fail"</formula>
    </cfRule>
    <cfRule type="cellIs" dxfId="13536" priority="13376" stopIfTrue="1" operator="equal">
      <formula>"Pass"</formula>
    </cfRule>
  </conditionalFormatting>
  <conditionalFormatting sqref="F988:G988 J988:N988">
    <cfRule type="cellIs" dxfId="13535" priority="13373" stopIfTrue="1" operator="equal">
      <formula>"Pass"</formula>
    </cfRule>
    <cfRule type="cellIs" dxfId="13534" priority="13374" stopIfTrue="1" operator="equal">
      <formula>"Fail"</formula>
    </cfRule>
  </conditionalFormatting>
  <conditionalFormatting sqref="J989:N989">
    <cfRule type="cellIs" dxfId="13533" priority="13371" stopIfTrue="1" operator="equal">
      <formula>"Pass"</formula>
    </cfRule>
    <cfRule type="cellIs" dxfId="13532" priority="13372" stopIfTrue="1" operator="equal">
      <formula>"Fail"</formula>
    </cfRule>
  </conditionalFormatting>
  <conditionalFormatting sqref="U988:V988">
    <cfRule type="cellIs" dxfId="13531" priority="13369" stopIfTrue="1" operator="equal">
      <formula>"Fail"</formula>
    </cfRule>
    <cfRule type="cellIs" dxfId="13530" priority="13370" stopIfTrue="1" operator="equal">
      <formula>"Pass"</formula>
    </cfRule>
  </conditionalFormatting>
  <conditionalFormatting sqref="U988:V988">
    <cfRule type="cellIs" dxfId="13529" priority="13367" stopIfTrue="1" operator="equal">
      <formula>"Fail"</formula>
    </cfRule>
    <cfRule type="cellIs" dxfId="13528" priority="13368" stopIfTrue="1" operator="equal">
      <formula>"Pass"</formula>
    </cfRule>
  </conditionalFormatting>
  <conditionalFormatting sqref="U988:V988">
    <cfRule type="cellIs" dxfId="13527" priority="13365" stopIfTrue="1" operator="equal">
      <formula>"Fail"</formula>
    </cfRule>
    <cfRule type="cellIs" dxfId="13526" priority="13366" stopIfTrue="1" operator="equal">
      <formula>"Pass"</formula>
    </cfRule>
  </conditionalFormatting>
  <conditionalFormatting sqref="N988">
    <cfRule type="cellIs" dxfId="13525" priority="13363" stopIfTrue="1" operator="equal">
      <formula>"Pass"</formula>
    </cfRule>
    <cfRule type="cellIs" dxfId="13524" priority="13364" stopIfTrue="1" operator="equal">
      <formula>"Fail"</formula>
    </cfRule>
  </conditionalFormatting>
  <conditionalFormatting sqref="N988">
    <cfRule type="cellIs" dxfId="13523" priority="13361" stopIfTrue="1" operator="equal">
      <formula>"Pass"</formula>
    </cfRule>
    <cfRule type="cellIs" dxfId="13522" priority="13362" stopIfTrue="1" operator="equal">
      <formula>"Fail"</formula>
    </cfRule>
  </conditionalFormatting>
  <conditionalFormatting sqref="N988">
    <cfRule type="cellIs" dxfId="13521" priority="13359" stopIfTrue="1" operator="equal">
      <formula>"Pass"</formula>
    </cfRule>
    <cfRule type="cellIs" dxfId="13520" priority="13360" stopIfTrue="1" operator="equal">
      <formula>"Fail"</formula>
    </cfRule>
  </conditionalFormatting>
  <conditionalFormatting sqref="U988:V988">
    <cfRule type="cellIs" dxfId="13519" priority="13357" stopIfTrue="1" operator="equal">
      <formula>"Fail"</formula>
    </cfRule>
    <cfRule type="cellIs" dxfId="13518" priority="13358" stopIfTrue="1" operator="equal">
      <formula>"Pass"</formula>
    </cfRule>
  </conditionalFormatting>
  <conditionalFormatting sqref="U988:V988">
    <cfRule type="cellIs" dxfId="13517" priority="13355" stopIfTrue="1" operator="equal">
      <formula>"Fail"</formula>
    </cfRule>
    <cfRule type="cellIs" dxfId="13516" priority="13356" stopIfTrue="1" operator="equal">
      <formula>"Pass"</formula>
    </cfRule>
  </conditionalFormatting>
  <conditionalFormatting sqref="U988:V988">
    <cfRule type="cellIs" dxfId="13515" priority="13353" stopIfTrue="1" operator="equal">
      <formula>"Fail"</formula>
    </cfRule>
    <cfRule type="cellIs" dxfId="13514" priority="13354" stopIfTrue="1" operator="equal">
      <formula>"Pass"</formula>
    </cfRule>
  </conditionalFormatting>
  <conditionalFormatting sqref="U988:V988">
    <cfRule type="cellIs" dxfId="13513" priority="13351" stopIfTrue="1" operator="equal">
      <formula>"Fail"</formula>
    </cfRule>
    <cfRule type="cellIs" dxfId="13512" priority="13352" stopIfTrue="1" operator="equal">
      <formula>"Pass"</formula>
    </cfRule>
  </conditionalFormatting>
  <conditionalFormatting sqref="T988">
    <cfRule type="cellIs" dxfId="13511" priority="13349" stopIfTrue="1" operator="equal">
      <formula>"Fail"</formula>
    </cfRule>
    <cfRule type="cellIs" dxfId="13510" priority="13350" stopIfTrue="1" operator="equal">
      <formula>"Pass"</formula>
    </cfRule>
  </conditionalFormatting>
  <conditionalFormatting sqref="T988">
    <cfRule type="cellIs" dxfId="13509" priority="13347" stopIfTrue="1" operator="equal">
      <formula>"Fail"</formula>
    </cfRule>
    <cfRule type="cellIs" dxfId="13508" priority="13348" stopIfTrue="1" operator="equal">
      <formula>"Pass"</formula>
    </cfRule>
  </conditionalFormatting>
  <conditionalFormatting sqref="T988">
    <cfRule type="cellIs" dxfId="13507" priority="13345" stopIfTrue="1" operator="equal">
      <formula>"Fail"</formula>
    </cfRule>
    <cfRule type="cellIs" dxfId="13506" priority="13346" stopIfTrue="1" operator="equal">
      <formula>"Pass"</formula>
    </cfRule>
  </conditionalFormatting>
  <conditionalFormatting sqref="T988">
    <cfRule type="cellIs" dxfId="13505" priority="13343" stopIfTrue="1" operator="equal">
      <formula>"Fail"</formula>
    </cfRule>
    <cfRule type="cellIs" dxfId="13504" priority="13344" stopIfTrue="1" operator="equal">
      <formula>"Pass"</formula>
    </cfRule>
  </conditionalFormatting>
  <conditionalFormatting sqref="T988">
    <cfRule type="cellIs" dxfId="13503" priority="13341" stopIfTrue="1" operator="equal">
      <formula>"Fail"</formula>
    </cfRule>
    <cfRule type="cellIs" dxfId="13502" priority="13342" stopIfTrue="1" operator="equal">
      <formula>"Pass"</formula>
    </cfRule>
  </conditionalFormatting>
  <conditionalFormatting sqref="T988">
    <cfRule type="cellIs" dxfId="13501" priority="13339" stopIfTrue="1" operator="equal">
      <formula>"Fail"</formula>
    </cfRule>
    <cfRule type="cellIs" dxfId="13500" priority="13340" stopIfTrue="1" operator="equal">
      <formula>"Pass"</formula>
    </cfRule>
  </conditionalFormatting>
  <conditionalFormatting sqref="T988">
    <cfRule type="cellIs" dxfId="13499" priority="13337" stopIfTrue="1" operator="equal">
      <formula>"Fail"</formula>
    </cfRule>
    <cfRule type="cellIs" dxfId="13498" priority="13338" stopIfTrue="1" operator="equal">
      <formula>"Pass"</formula>
    </cfRule>
  </conditionalFormatting>
  <conditionalFormatting sqref="T988">
    <cfRule type="cellIs" dxfId="13497" priority="13335" stopIfTrue="1" operator="equal">
      <formula>"Fail"</formula>
    </cfRule>
    <cfRule type="cellIs" dxfId="13496" priority="13336" stopIfTrue="1" operator="equal">
      <formula>"Pass"</formula>
    </cfRule>
  </conditionalFormatting>
  <conditionalFormatting sqref="T988">
    <cfRule type="cellIs" dxfId="13495" priority="13333" stopIfTrue="1" operator="equal">
      <formula>"Fail"</formula>
    </cfRule>
    <cfRule type="cellIs" dxfId="13494" priority="13334" stopIfTrue="1" operator="equal">
      <formula>"Pass"</formula>
    </cfRule>
  </conditionalFormatting>
  <conditionalFormatting sqref="T988">
    <cfRule type="cellIs" dxfId="13493" priority="13331" stopIfTrue="1" operator="equal">
      <formula>"Fail"</formula>
    </cfRule>
    <cfRule type="cellIs" dxfId="13492" priority="13332" stopIfTrue="1" operator="equal">
      <formula>"Pass"</formula>
    </cfRule>
  </conditionalFormatting>
  <conditionalFormatting sqref="T988">
    <cfRule type="cellIs" dxfId="13491" priority="13329" stopIfTrue="1" operator="equal">
      <formula>"Fail"</formula>
    </cfRule>
    <cfRule type="cellIs" dxfId="13490" priority="13330" stopIfTrue="1" operator="equal">
      <formula>"Pass"</formula>
    </cfRule>
  </conditionalFormatting>
  <conditionalFormatting sqref="T988">
    <cfRule type="cellIs" dxfId="13489" priority="13327" stopIfTrue="1" operator="equal">
      <formula>"Fail"</formula>
    </cfRule>
    <cfRule type="cellIs" dxfId="13488" priority="13328" stopIfTrue="1" operator="equal">
      <formula>"Pass"</formula>
    </cfRule>
  </conditionalFormatting>
  <conditionalFormatting sqref="T988">
    <cfRule type="cellIs" dxfId="13487" priority="13325" stopIfTrue="1" operator="equal">
      <formula>"Fail"</formula>
    </cfRule>
    <cfRule type="cellIs" dxfId="13486" priority="13326" stopIfTrue="1" operator="equal">
      <formula>"Pass"</formula>
    </cfRule>
  </conditionalFormatting>
  <conditionalFormatting sqref="T988">
    <cfRule type="cellIs" dxfId="13485" priority="13323" stopIfTrue="1" operator="equal">
      <formula>"Fail"</formula>
    </cfRule>
    <cfRule type="cellIs" dxfId="13484" priority="13324" stopIfTrue="1" operator="equal">
      <formula>"Pass"</formula>
    </cfRule>
  </conditionalFormatting>
  <conditionalFormatting sqref="T988">
    <cfRule type="cellIs" dxfId="13483" priority="13321" stopIfTrue="1" operator="equal">
      <formula>"Fail"</formula>
    </cfRule>
    <cfRule type="cellIs" dxfId="13482" priority="13322" stopIfTrue="1" operator="equal">
      <formula>"Pass"</formula>
    </cfRule>
  </conditionalFormatting>
  <conditionalFormatting sqref="T988">
    <cfRule type="cellIs" dxfId="13481" priority="13319" stopIfTrue="1" operator="equal">
      <formula>"Fail"</formula>
    </cfRule>
    <cfRule type="cellIs" dxfId="13480" priority="13320" stopIfTrue="1" operator="equal">
      <formula>"Pass"</formula>
    </cfRule>
  </conditionalFormatting>
  <conditionalFormatting sqref="T988">
    <cfRule type="cellIs" dxfId="13479" priority="13317" stopIfTrue="1" operator="equal">
      <formula>"Fail"</formula>
    </cfRule>
    <cfRule type="cellIs" dxfId="13478" priority="13318" stopIfTrue="1" operator="equal">
      <formula>"Pass"</formula>
    </cfRule>
  </conditionalFormatting>
  <conditionalFormatting sqref="T988">
    <cfRule type="cellIs" dxfId="13477" priority="13315" stopIfTrue="1" operator="equal">
      <formula>"Fail"</formula>
    </cfRule>
    <cfRule type="cellIs" dxfId="13476" priority="13316" stopIfTrue="1" operator="equal">
      <formula>"Pass"</formula>
    </cfRule>
  </conditionalFormatting>
  <conditionalFormatting sqref="T988">
    <cfRule type="cellIs" dxfId="13475" priority="13313" stopIfTrue="1" operator="equal">
      <formula>"Fail"</formula>
    </cfRule>
    <cfRule type="cellIs" dxfId="13474" priority="13314" stopIfTrue="1" operator="equal">
      <formula>"Pass"</formula>
    </cfRule>
  </conditionalFormatting>
  <conditionalFormatting sqref="T988">
    <cfRule type="cellIs" dxfId="13473" priority="13311" stopIfTrue="1" operator="equal">
      <formula>"Fail"</formula>
    </cfRule>
    <cfRule type="cellIs" dxfId="13472" priority="13312" stopIfTrue="1" operator="equal">
      <formula>"Pass"</formula>
    </cfRule>
  </conditionalFormatting>
  <conditionalFormatting sqref="T988">
    <cfRule type="cellIs" dxfId="13471" priority="13309" stopIfTrue="1" operator="equal">
      <formula>"Fail"</formula>
    </cfRule>
    <cfRule type="cellIs" dxfId="13470" priority="13310" stopIfTrue="1" operator="equal">
      <formula>"Pass"</formula>
    </cfRule>
  </conditionalFormatting>
  <conditionalFormatting sqref="T988">
    <cfRule type="cellIs" dxfId="13469" priority="13307" stopIfTrue="1" operator="equal">
      <formula>"Fail"</formula>
    </cfRule>
    <cfRule type="cellIs" dxfId="13468" priority="13308" stopIfTrue="1" operator="equal">
      <formula>"Pass"</formula>
    </cfRule>
  </conditionalFormatting>
  <conditionalFormatting sqref="T988">
    <cfRule type="cellIs" dxfId="13467" priority="13305" stopIfTrue="1" operator="equal">
      <formula>"Fail"</formula>
    </cfRule>
    <cfRule type="cellIs" dxfId="13466" priority="13306" stopIfTrue="1" operator="equal">
      <formula>"Pass"</formula>
    </cfRule>
  </conditionalFormatting>
  <conditionalFormatting sqref="T988">
    <cfRule type="cellIs" dxfId="13465" priority="13303" stopIfTrue="1" operator="equal">
      <formula>"Fail"</formula>
    </cfRule>
    <cfRule type="cellIs" dxfId="13464" priority="13304" stopIfTrue="1" operator="equal">
      <formula>"Pass"</formula>
    </cfRule>
  </conditionalFormatting>
  <conditionalFormatting sqref="H991:H992">
    <cfRule type="cellIs" dxfId="13463" priority="13301" stopIfTrue="1" operator="equal">
      <formula>"Pass"</formula>
    </cfRule>
    <cfRule type="cellIs" dxfId="13462" priority="13302" stopIfTrue="1" operator="equal">
      <formula>"Fail"</formula>
    </cfRule>
  </conditionalFormatting>
  <conditionalFormatting sqref="E991:F991 E993:F993 A991:A993 I991:M992">
    <cfRule type="cellIs" dxfId="13461" priority="13299" stopIfTrue="1" operator="equal">
      <formula>"Pass"</formula>
    </cfRule>
    <cfRule type="cellIs" dxfId="13460" priority="13300" stopIfTrue="1" operator="equal">
      <formula>"Fail"</formula>
    </cfRule>
  </conditionalFormatting>
  <conditionalFormatting sqref="T993 T991 R991:R993 S992:S993">
    <cfRule type="cellIs" dxfId="13459" priority="13297" stopIfTrue="1" operator="equal">
      <formula>"Fail"</formula>
    </cfRule>
    <cfRule type="cellIs" dxfId="13458" priority="13298" stopIfTrue="1" operator="equal">
      <formula>"Pass"</formula>
    </cfRule>
  </conditionalFormatting>
  <conditionalFormatting sqref="F991:G991 F993:G993 A991:B993 J991:N992">
    <cfRule type="cellIs" dxfId="13457" priority="13295" stopIfTrue="1" operator="equal">
      <formula>"Pass"</formula>
    </cfRule>
    <cfRule type="cellIs" dxfId="13456" priority="13296" stopIfTrue="1" operator="equal">
      <formula>"Fail"</formula>
    </cfRule>
  </conditionalFormatting>
  <conditionalFormatting sqref="U993:V993 U991:V991 T991:T993 S992:S993">
    <cfRule type="cellIs" dxfId="13455" priority="13293" stopIfTrue="1" operator="equal">
      <formula>"Fail"</formula>
    </cfRule>
    <cfRule type="cellIs" dxfId="13454" priority="13294" stopIfTrue="1" operator="equal">
      <formula>"Pass"</formula>
    </cfRule>
  </conditionalFormatting>
  <conditionalFormatting sqref="A991:A993">
    <cfRule type="cellIs" dxfId="13453" priority="13291" stopIfTrue="1" operator="equal">
      <formula>"Pass"</formula>
    </cfRule>
    <cfRule type="cellIs" dxfId="13452" priority="13292" stopIfTrue="1" operator="equal">
      <formula>"Fail"</formula>
    </cfRule>
  </conditionalFormatting>
  <conditionalFormatting sqref="A991:A993">
    <cfRule type="cellIs" dxfId="13451" priority="13289" stopIfTrue="1" operator="equal">
      <formula>"Pass"</formula>
    </cfRule>
    <cfRule type="cellIs" dxfId="13450" priority="13290" stopIfTrue="1" operator="equal">
      <formula>"Fail"</formula>
    </cfRule>
  </conditionalFormatting>
  <conditionalFormatting sqref="A991:A993">
    <cfRule type="cellIs" dxfId="13449" priority="13287" stopIfTrue="1" operator="equal">
      <formula>"Pass"</formula>
    </cfRule>
    <cfRule type="cellIs" dxfId="13448" priority="13288" stopIfTrue="1" operator="equal">
      <formula>"Fail"</formula>
    </cfRule>
  </conditionalFormatting>
  <conditionalFormatting sqref="J991:N992 E991:G993">
    <cfRule type="cellIs" dxfId="13447" priority="13285" stopIfTrue="1" operator="equal">
      <formula>"Pass"</formula>
    </cfRule>
    <cfRule type="cellIs" dxfId="13446" priority="13286" stopIfTrue="1" operator="equal">
      <formula>"Fail"</formula>
    </cfRule>
  </conditionalFormatting>
  <conditionalFormatting sqref="A993 C993 K991:O992 F991:H993">
    <cfRule type="cellIs" dxfId="13445" priority="13283" stopIfTrue="1" operator="equal">
      <formula>"Pass"</formula>
    </cfRule>
    <cfRule type="cellIs" dxfId="13444" priority="13284" stopIfTrue="1" operator="equal">
      <formula>"Fail"</formula>
    </cfRule>
  </conditionalFormatting>
  <conditionalFormatting sqref="T991">
    <cfRule type="cellIs" dxfId="13443" priority="13281" stopIfTrue="1" operator="equal">
      <formula>"Fail"</formula>
    </cfRule>
    <cfRule type="cellIs" dxfId="13442" priority="13282" stopIfTrue="1" operator="equal">
      <formula>"Pass"</formula>
    </cfRule>
  </conditionalFormatting>
  <conditionalFormatting sqref="A991:A993">
    <cfRule type="cellIs" dxfId="13441" priority="13279" stopIfTrue="1" operator="equal">
      <formula>"Pass"</formula>
    </cfRule>
    <cfRule type="cellIs" dxfId="13440" priority="13280" stopIfTrue="1" operator="equal">
      <formula>"Fail"</formula>
    </cfRule>
  </conditionalFormatting>
  <conditionalFormatting sqref="A991:A993">
    <cfRule type="cellIs" dxfId="13439" priority="13277" stopIfTrue="1" operator="equal">
      <formula>"Pass"</formula>
    </cfRule>
    <cfRule type="cellIs" dxfId="13438" priority="13278" stopIfTrue="1" operator="equal">
      <formula>"Fail"</formula>
    </cfRule>
  </conditionalFormatting>
  <conditionalFormatting sqref="A991:A993">
    <cfRule type="cellIs" dxfId="13437" priority="13275" stopIfTrue="1" operator="equal">
      <formula>"Pass"</formula>
    </cfRule>
    <cfRule type="cellIs" dxfId="13436" priority="13276" stopIfTrue="1" operator="equal">
      <formula>"Fail"</formula>
    </cfRule>
  </conditionalFormatting>
  <conditionalFormatting sqref="A991:A993">
    <cfRule type="cellIs" dxfId="13435" priority="13273" stopIfTrue="1" operator="equal">
      <formula>"Pass"</formula>
    </cfRule>
    <cfRule type="cellIs" dxfId="13434" priority="13274" stopIfTrue="1" operator="equal">
      <formula>"Fail"</formula>
    </cfRule>
  </conditionalFormatting>
  <conditionalFormatting sqref="A991:A993">
    <cfRule type="cellIs" dxfId="13433" priority="13271" stopIfTrue="1" operator="equal">
      <formula>"Pass"</formula>
    </cfRule>
    <cfRule type="cellIs" dxfId="13432" priority="13272" stopIfTrue="1" operator="equal">
      <formula>"Fail"</formula>
    </cfRule>
  </conditionalFormatting>
  <conditionalFormatting sqref="A991:A993">
    <cfRule type="cellIs" dxfId="13431" priority="13269" stopIfTrue="1" operator="equal">
      <formula>"Pass"</formula>
    </cfRule>
    <cfRule type="cellIs" dxfId="13430" priority="13270" stopIfTrue="1" operator="equal">
      <formula>"Fail"</formula>
    </cfRule>
  </conditionalFormatting>
  <conditionalFormatting sqref="A993">
    <cfRule type="cellIs" dxfId="13429" priority="13267" stopIfTrue="1" operator="equal">
      <formula>"Pass"</formula>
    </cfRule>
    <cfRule type="cellIs" dxfId="13428" priority="13268" stopIfTrue="1" operator="equal">
      <formula>"Fail"</formula>
    </cfRule>
  </conditionalFormatting>
  <conditionalFormatting sqref="A991:A993">
    <cfRule type="cellIs" dxfId="13427" priority="13265" stopIfTrue="1" operator="equal">
      <formula>"Pass"</formula>
    </cfRule>
    <cfRule type="cellIs" dxfId="13426" priority="13266" stopIfTrue="1" operator="equal">
      <formula>"Fail"</formula>
    </cfRule>
  </conditionalFormatting>
  <conditionalFormatting sqref="A991:A993">
    <cfRule type="cellIs" dxfId="13425" priority="13263" stopIfTrue="1" operator="equal">
      <formula>"Pass"</formula>
    </cfRule>
    <cfRule type="cellIs" dxfId="13424" priority="13264" stopIfTrue="1" operator="equal">
      <formula>"Fail"</formula>
    </cfRule>
  </conditionalFormatting>
  <conditionalFormatting sqref="A991:A993">
    <cfRule type="cellIs" dxfId="13423" priority="13261" stopIfTrue="1" operator="equal">
      <formula>"Pass"</formula>
    </cfRule>
    <cfRule type="cellIs" dxfId="13422" priority="13262" stopIfTrue="1" operator="equal">
      <formula>"Fail"</formula>
    </cfRule>
  </conditionalFormatting>
  <conditionalFormatting sqref="A991:A993">
    <cfRule type="cellIs" dxfId="13421" priority="13259" stopIfTrue="1" operator="equal">
      <formula>"Pass"</formula>
    </cfRule>
    <cfRule type="cellIs" dxfId="13420" priority="13260" stopIfTrue="1" operator="equal">
      <formula>"Fail"</formula>
    </cfRule>
  </conditionalFormatting>
  <conditionalFormatting sqref="A991:A993">
    <cfRule type="cellIs" dxfId="13419" priority="13257" stopIfTrue="1" operator="equal">
      <formula>"Pass"</formula>
    </cfRule>
    <cfRule type="cellIs" dxfId="13418" priority="13258" stopIfTrue="1" operator="equal">
      <formula>"Fail"</formula>
    </cfRule>
  </conditionalFormatting>
  <conditionalFormatting sqref="A991:A993">
    <cfRule type="cellIs" dxfId="13417" priority="13255" stopIfTrue="1" operator="equal">
      <formula>"Pass"</formula>
    </cfRule>
    <cfRule type="cellIs" dxfId="13416" priority="13256" stopIfTrue="1" operator="equal">
      <formula>"Fail"</formula>
    </cfRule>
  </conditionalFormatting>
  <conditionalFormatting sqref="A993">
    <cfRule type="cellIs" dxfId="13415" priority="13253" stopIfTrue="1" operator="equal">
      <formula>"Pass"</formula>
    </cfRule>
    <cfRule type="cellIs" dxfId="13414" priority="13254" stopIfTrue="1" operator="equal">
      <formula>"Fail"</formula>
    </cfRule>
  </conditionalFormatting>
  <conditionalFormatting sqref="A991:A993">
    <cfRule type="cellIs" dxfId="13413" priority="13251" stopIfTrue="1" operator="equal">
      <formula>"Pass"</formula>
    </cfRule>
    <cfRule type="cellIs" dxfId="13412" priority="13252" stopIfTrue="1" operator="equal">
      <formula>"Fail"</formula>
    </cfRule>
  </conditionalFormatting>
  <conditionalFormatting sqref="H991:H992">
    <cfRule type="cellIs" dxfId="13411" priority="13249" stopIfTrue="1" operator="equal">
      <formula>"Pass"</formula>
    </cfRule>
    <cfRule type="cellIs" dxfId="13410" priority="13250" stopIfTrue="1" operator="equal">
      <formula>"Fail"</formula>
    </cfRule>
  </conditionalFormatting>
  <conditionalFormatting sqref="F991 F993 I991:M992">
    <cfRule type="cellIs" dxfId="13409" priority="13247" stopIfTrue="1" operator="equal">
      <formula>"Pass"</formula>
    </cfRule>
    <cfRule type="cellIs" dxfId="13408" priority="13248" stopIfTrue="1" operator="equal">
      <formula>"Fail"</formula>
    </cfRule>
  </conditionalFormatting>
  <conditionalFormatting sqref="T993 T991 R991:R993 S992:S993">
    <cfRule type="cellIs" dxfId="13407" priority="13245" stopIfTrue="1" operator="equal">
      <formula>"Fail"</formula>
    </cfRule>
    <cfRule type="cellIs" dxfId="13406" priority="13246" stopIfTrue="1" operator="equal">
      <formula>"Pass"</formula>
    </cfRule>
  </conditionalFormatting>
  <conditionalFormatting sqref="F991:G991 F993:G993 J991:N992">
    <cfRule type="cellIs" dxfId="13405" priority="13243" stopIfTrue="1" operator="equal">
      <formula>"Pass"</formula>
    </cfRule>
    <cfRule type="cellIs" dxfId="13404" priority="13244" stopIfTrue="1" operator="equal">
      <formula>"Fail"</formula>
    </cfRule>
  </conditionalFormatting>
  <conditionalFormatting sqref="U993:V993 U991:V991 T991:T993 S992:S993">
    <cfRule type="cellIs" dxfId="13403" priority="13241" stopIfTrue="1" operator="equal">
      <formula>"Fail"</formula>
    </cfRule>
    <cfRule type="cellIs" dxfId="13402" priority="13242" stopIfTrue="1" operator="equal">
      <formula>"Pass"</formula>
    </cfRule>
  </conditionalFormatting>
  <conditionalFormatting sqref="J991:N992 F991:G993">
    <cfRule type="cellIs" dxfId="13401" priority="13239" stopIfTrue="1" operator="equal">
      <formula>"Pass"</formula>
    </cfRule>
    <cfRule type="cellIs" dxfId="13400" priority="13240" stopIfTrue="1" operator="equal">
      <formula>"Fail"</formula>
    </cfRule>
  </conditionalFormatting>
  <conditionalFormatting sqref="K991:O992 F991:H993">
    <cfRule type="cellIs" dxfId="13399" priority="13237" stopIfTrue="1" operator="equal">
      <formula>"Pass"</formula>
    </cfRule>
    <cfRule type="cellIs" dxfId="13398" priority="13238" stopIfTrue="1" operator="equal">
      <formula>"Fail"</formula>
    </cfRule>
  </conditionalFormatting>
  <conditionalFormatting sqref="T991">
    <cfRule type="cellIs" dxfId="13397" priority="13235" stopIfTrue="1" operator="equal">
      <formula>"Fail"</formula>
    </cfRule>
    <cfRule type="cellIs" dxfId="13396" priority="13236" stopIfTrue="1" operator="equal">
      <formula>"Pass"</formula>
    </cfRule>
  </conditionalFormatting>
  <conditionalFormatting sqref="K991:O992 F991:H993">
    <cfRule type="cellIs" dxfId="13395" priority="13233" stopIfTrue="1" operator="equal">
      <formula>"Pass"</formula>
    </cfRule>
    <cfRule type="cellIs" dxfId="13394" priority="13234" stopIfTrue="1" operator="equal">
      <formula>"Fail"</formula>
    </cfRule>
  </conditionalFormatting>
  <conditionalFormatting sqref="T991">
    <cfRule type="cellIs" dxfId="13393" priority="13231" stopIfTrue="1" operator="equal">
      <formula>"Fail"</formula>
    </cfRule>
    <cfRule type="cellIs" dxfId="13392" priority="13232" stopIfTrue="1" operator="equal">
      <formula>"Pass"</formula>
    </cfRule>
  </conditionalFormatting>
  <conditionalFormatting sqref="H991:H992">
    <cfRule type="cellIs" dxfId="13391" priority="13229" stopIfTrue="1" operator="equal">
      <formula>"Pass"</formula>
    </cfRule>
    <cfRule type="cellIs" dxfId="13390" priority="13230" stopIfTrue="1" operator="equal">
      <formula>"Fail"</formula>
    </cfRule>
  </conditionalFormatting>
  <conditionalFormatting sqref="E991:F991 E993:F993 A991:A993 I991:M992">
    <cfRule type="cellIs" dxfId="13389" priority="13227" stopIfTrue="1" operator="equal">
      <formula>"Pass"</formula>
    </cfRule>
    <cfRule type="cellIs" dxfId="13388" priority="13228" stopIfTrue="1" operator="equal">
      <formula>"Fail"</formula>
    </cfRule>
  </conditionalFormatting>
  <conditionalFormatting sqref="T993 T991 R991:R993 S992:S993">
    <cfRule type="cellIs" dxfId="13387" priority="13225" stopIfTrue="1" operator="equal">
      <formula>"Fail"</formula>
    </cfRule>
    <cfRule type="cellIs" dxfId="13386" priority="13226" stopIfTrue="1" operator="equal">
      <formula>"Pass"</formula>
    </cfRule>
  </conditionalFormatting>
  <conditionalFormatting sqref="F991:G991 F993:G993 A991:B993 J991:N992">
    <cfRule type="cellIs" dxfId="13385" priority="13223" stopIfTrue="1" operator="equal">
      <formula>"Pass"</formula>
    </cfRule>
    <cfRule type="cellIs" dxfId="13384" priority="13224" stopIfTrue="1" operator="equal">
      <formula>"Fail"</formula>
    </cfRule>
  </conditionalFormatting>
  <conditionalFormatting sqref="U993:V993 U991:V991 T991:T993 S992:S993">
    <cfRule type="cellIs" dxfId="13383" priority="13221" stopIfTrue="1" operator="equal">
      <formula>"Fail"</formula>
    </cfRule>
    <cfRule type="cellIs" dxfId="13382" priority="13222" stopIfTrue="1" operator="equal">
      <formula>"Pass"</formula>
    </cfRule>
  </conditionalFormatting>
  <conditionalFormatting sqref="A991:A993">
    <cfRule type="cellIs" dxfId="13381" priority="13219" stopIfTrue="1" operator="equal">
      <formula>"Pass"</formula>
    </cfRule>
    <cfRule type="cellIs" dxfId="13380" priority="13220" stopIfTrue="1" operator="equal">
      <formula>"Fail"</formula>
    </cfRule>
  </conditionalFormatting>
  <conditionalFormatting sqref="A991:A993">
    <cfRule type="cellIs" dxfId="13379" priority="13217" stopIfTrue="1" operator="equal">
      <formula>"Pass"</formula>
    </cfRule>
    <cfRule type="cellIs" dxfId="13378" priority="13218" stopIfTrue="1" operator="equal">
      <formula>"Fail"</formula>
    </cfRule>
  </conditionalFormatting>
  <conditionalFormatting sqref="A991:A993">
    <cfRule type="cellIs" dxfId="13377" priority="13215" stopIfTrue="1" operator="equal">
      <formula>"Pass"</formula>
    </cfRule>
    <cfRule type="cellIs" dxfId="13376" priority="13216" stopIfTrue="1" operator="equal">
      <formula>"Fail"</formula>
    </cfRule>
  </conditionalFormatting>
  <conditionalFormatting sqref="J991:N992 E991:G993">
    <cfRule type="cellIs" dxfId="13375" priority="13213" stopIfTrue="1" operator="equal">
      <formula>"Pass"</formula>
    </cfRule>
    <cfRule type="cellIs" dxfId="13374" priority="13214" stopIfTrue="1" operator="equal">
      <formula>"Fail"</formula>
    </cfRule>
  </conditionalFormatting>
  <conditionalFormatting sqref="A993 C993 K991:O992 F991:H993">
    <cfRule type="cellIs" dxfId="13373" priority="13211" stopIfTrue="1" operator="equal">
      <formula>"Pass"</formula>
    </cfRule>
    <cfRule type="cellIs" dxfId="13372" priority="13212" stopIfTrue="1" operator="equal">
      <formula>"Fail"</formula>
    </cfRule>
  </conditionalFormatting>
  <conditionalFormatting sqref="T991">
    <cfRule type="cellIs" dxfId="13371" priority="13209" stopIfTrue="1" operator="equal">
      <formula>"Fail"</formula>
    </cfRule>
    <cfRule type="cellIs" dxfId="13370" priority="13210" stopIfTrue="1" operator="equal">
      <formula>"Pass"</formula>
    </cfRule>
  </conditionalFormatting>
  <conditionalFormatting sqref="A991:A993">
    <cfRule type="cellIs" dxfId="13369" priority="13207" stopIfTrue="1" operator="equal">
      <formula>"Pass"</formula>
    </cfRule>
    <cfRule type="cellIs" dxfId="13368" priority="13208" stopIfTrue="1" operator="equal">
      <formula>"Fail"</formula>
    </cfRule>
  </conditionalFormatting>
  <conditionalFormatting sqref="A991:A993">
    <cfRule type="cellIs" dxfId="13367" priority="13205" stopIfTrue="1" operator="equal">
      <formula>"Pass"</formula>
    </cfRule>
    <cfRule type="cellIs" dxfId="13366" priority="13206" stopIfTrue="1" operator="equal">
      <formula>"Fail"</formula>
    </cfRule>
  </conditionalFormatting>
  <conditionalFormatting sqref="A991:A993">
    <cfRule type="cellIs" dxfId="13365" priority="13203" stopIfTrue="1" operator="equal">
      <formula>"Pass"</formula>
    </cfRule>
    <cfRule type="cellIs" dxfId="13364" priority="13204" stopIfTrue="1" operator="equal">
      <formula>"Fail"</formula>
    </cfRule>
  </conditionalFormatting>
  <conditionalFormatting sqref="A991:A993">
    <cfRule type="cellIs" dxfId="13363" priority="13201" stopIfTrue="1" operator="equal">
      <formula>"Pass"</formula>
    </cfRule>
    <cfRule type="cellIs" dxfId="13362" priority="13202" stopIfTrue="1" operator="equal">
      <formula>"Fail"</formula>
    </cfRule>
  </conditionalFormatting>
  <conditionalFormatting sqref="A991:A993">
    <cfRule type="cellIs" dxfId="13361" priority="13199" stopIfTrue="1" operator="equal">
      <formula>"Pass"</formula>
    </cfRule>
    <cfRule type="cellIs" dxfId="13360" priority="13200" stopIfTrue="1" operator="equal">
      <formula>"Fail"</formula>
    </cfRule>
  </conditionalFormatting>
  <conditionalFormatting sqref="A991:A993">
    <cfRule type="cellIs" dxfId="13359" priority="13197" stopIfTrue="1" operator="equal">
      <formula>"Pass"</formula>
    </cfRule>
    <cfRule type="cellIs" dxfId="13358" priority="13198" stopIfTrue="1" operator="equal">
      <formula>"Fail"</formula>
    </cfRule>
  </conditionalFormatting>
  <conditionalFormatting sqref="A993">
    <cfRule type="cellIs" dxfId="13357" priority="13195" stopIfTrue="1" operator="equal">
      <formula>"Pass"</formula>
    </cfRule>
    <cfRule type="cellIs" dxfId="13356" priority="13196" stopIfTrue="1" operator="equal">
      <formula>"Fail"</formula>
    </cfRule>
  </conditionalFormatting>
  <conditionalFormatting sqref="A991:A993">
    <cfRule type="cellIs" dxfId="13355" priority="13193" stopIfTrue="1" operator="equal">
      <formula>"Pass"</formula>
    </cfRule>
    <cfRule type="cellIs" dxfId="13354" priority="13194" stopIfTrue="1" operator="equal">
      <formula>"Fail"</formula>
    </cfRule>
  </conditionalFormatting>
  <conditionalFormatting sqref="A991:A993">
    <cfRule type="cellIs" dxfId="13353" priority="13191" stopIfTrue="1" operator="equal">
      <formula>"Pass"</formula>
    </cfRule>
    <cfRule type="cellIs" dxfId="13352" priority="13192" stopIfTrue="1" operator="equal">
      <formula>"Fail"</formula>
    </cfRule>
  </conditionalFormatting>
  <conditionalFormatting sqref="A991:A993">
    <cfRule type="cellIs" dxfId="13351" priority="13189" stopIfTrue="1" operator="equal">
      <formula>"Pass"</formula>
    </cfRule>
    <cfRule type="cellIs" dxfId="13350" priority="13190" stopIfTrue="1" operator="equal">
      <formula>"Fail"</formula>
    </cfRule>
  </conditionalFormatting>
  <conditionalFormatting sqref="A991:A993">
    <cfRule type="cellIs" dxfId="13349" priority="13187" stopIfTrue="1" operator="equal">
      <formula>"Pass"</formula>
    </cfRule>
    <cfRule type="cellIs" dxfId="13348" priority="13188" stopIfTrue="1" operator="equal">
      <formula>"Fail"</formula>
    </cfRule>
  </conditionalFormatting>
  <conditionalFormatting sqref="A991:A993">
    <cfRule type="cellIs" dxfId="13347" priority="13185" stopIfTrue="1" operator="equal">
      <formula>"Pass"</formula>
    </cfRule>
    <cfRule type="cellIs" dxfId="13346" priority="13186" stopIfTrue="1" operator="equal">
      <formula>"Fail"</formula>
    </cfRule>
  </conditionalFormatting>
  <conditionalFormatting sqref="A991:A993">
    <cfRule type="cellIs" dxfId="13345" priority="13183" stopIfTrue="1" operator="equal">
      <formula>"Pass"</formula>
    </cfRule>
    <cfRule type="cellIs" dxfId="13344" priority="13184" stopIfTrue="1" operator="equal">
      <formula>"Fail"</formula>
    </cfRule>
  </conditionalFormatting>
  <conditionalFormatting sqref="A993">
    <cfRule type="cellIs" dxfId="13343" priority="13181" stopIfTrue="1" operator="equal">
      <formula>"Pass"</formula>
    </cfRule>
    <cfRule type="cellIs" dxfId="13342" priority="13182" stopIfTrue="1" operator="equal">
      <formula>"Fail"</formula>
    </cfRule>
  </conditionalFormatting>
  <conditionalFormatting sqref="A991:A993">
    <cfRule type="cellIs" dxfId="13341" priority="13179" stopIfTrue="1" operator="equal">
      <formula>"Pass"</formula>
    </cfRule>
    <cfRule type="cellIs" dxfId="13340" priority="13180" stopIfTrue="1" operator="equal">
      <formula>"Fail"</formula>
    </cfRule>
  </conditionalFormatting>
  <conditionalFormatting sqref="H991:H992">
    <cfRule type="cellIs" dxfId="13339" priority="13177" stopIfTrue="1" operator="equal">
      <formula>"Pass"</formula>
    </cfRule>
    <cfRule type="cellIs" dxfId="13338" priority="13178" stopIfTrue="1" operator="equal">
      <formula>"Fail"</formula>
    </cfRule>
  </conditionalFormatting>
  <conditionalFormatting sqref="F991 F993 I991:M992">
    <cfRule type="cellIs" dxfId="13337" priority="13175" stopIfTrue="1" operator="equal">
      <formula>"Pass"</formula>
    </cfRule>
    <cfRule type="cellIs" dxfId="13336" priority="13176" stopIfTrue="1" operator="equal">
      <formula>"Fail"</formula>
    </cfRule>
  </conditionalFormatting>
  <conditionalFormatting sqref="T993 T991 R991:R993 S992:S993">
    <cfRule type="cellIs" dxfId="13335" priority="13173" stopIfTrue="1" operator="equal">
      <formula>"Fail"</formula>
    </cfRule>
    <cfRule type="cellIs" dxfId="13334" priority="13174" stopIfTrue="1" operator="equal">
      <formula>"Pass"</formula>
    </cfRule>
  </conditionalFormatting>
  <conditionalFormatting sqref="F991:G991 F993:G993 J991:N992">
    <cfRule type="cellIs" dxfId="13333" priority="13171" stopIfTrue="1" operator="equal">
      <formula>"Pass"</formula>
    </cfRule>
    <cfRule type="cellIs" dxfId="13332" priority="13172" stopIfTrue="1" operator="equal">
      <formula>"Fail"</formula>
    </cfRule>
  </conditionalFormatting>
  <conditionalFormatting sqref="U993:V993 U991:V991 T991:T993 S992:S993">
    <cfRule type="cellIs" dxfId="13331" priority="13169" stopIfTrue="1" operator="equal">
      <formula>"Fail"</formula>
    </cfRule>
    <cfRule type="cellIs" dxfId="13330" priority="13170" stopIfTrue="1" operator="equal">
      <formula>"Pass"</formula>
    </cfRule>
  </conditionalFormatting>
  <conditionalFormatting sqref="J991:N992 F991:G993">
    <cfRule type="cellIs" dxfId="13329" priority="13167" stopIfTrue="1" operator="equal">
      <formula>"Pass"</formula>
    </cfRule>
    <cfRule type="cellIs" dxfId="13328" priority="13168" stopIfTrue="1" operator="equal">
      <formula>"Fail"</formula>
    </cfRule>
  </conditionalFormatting>
  <conditionalFormatting sqref="K991:O992 F991:H993">
    <cfRule type="cellIs" dxfId="13327" priority="13165" stopIfTrue="1" operator="equal">
      <formula>"Pass"</formula>
    </cfRule>
    <cfRule type="cellIs" dxfId="13326" priority="13166" stopIfTrue="1" operator="equal">
      <formula>"Fail"</formula>
    </cfRule>
  </conditionalFormatting>
  <conditionalFormatting sqref="T991">
    <cfRule type="cellIs" dxfId="13325" priority="13163" stopIfTrue="1" operator="equal">
      <formula>"Fail"</formula>
    </cfRule>
    <cfRule type="cellIs" dxfId="13324" priority="13164" stopIfTrue="1" operator="equal">
      <formula>"Pass"</formula>
    </cfRule>
  </conditionalFormatting>
  <conditionalFormatting sqref="K991:O992 F991:H993">
    <cfRule type="cellIs" dxfId="13323" priority="13161" stopIfTrue="1" operator="equal">
      <formula>"Pass"</formula>
    </cfRule>
    <cfRule type="cellIs" dxfId="13322" priority="13162" stopIfTrue="1" operator="equal">
      <formula>"Fail"</formula>
    </cfRule>
  </conditionalFormatting>
  <conditionalFormatting sqref="T991">
    <cfRule type="cellIs" dxfId="13321" priority="13159" stopIfTrue="1" operator="equal">
      <formula>"Fail"</formula>
    </cfRule>
    <cfRule type="cellIs" dxfId="13320" priority="13160" stopIfTrue="1" operator="equal">
      <formula>"Pass"</formula>
    </cfRule>
  </conditionalFormatting>
  <conditionalFormatting sqref="A994:A996">
    <cfRule type="cellIs" dxfId="13319" priority="13157" stopIfTrue="1" operator="equal">
      <formula>"Pass"</formula>
    </cfRule>
    <cfRule type="cellIs" dxfId="13318" priority="13158" stopIfTrue="1" operator="equal">
      <formula>"Fail"</formula>
    </cfRule>
  </conditionalFormatting>
  <conditionalFormatting sqref="A994:A996">
    <cfRule type="cellIs" dxfId="13317" priority="13155" stopIfTrue="1" operator="equal">
      <formula>"Pass"</formula>
    </cfRule>
    <cfRule type="cellIs" dxfId="13316" priority="13156" stopIfTrue="1" operator="equal">
      <formula>"Fail"</formula>
    </cfRule>
  </conditionalFormatting>
  <conditionalFormatting sqref="A994:A996">
    <cfRule type="cellIs" dxfId="13315" priority="13153" stopIfTrue="1" operator="equal">
      <formula>"Pass"</formula>
    </cfRule>
    <cfRule type="cellIs" dxfId="13314" priority="13154" stopIfTrue="1" operator="equal">
      <formula>"Fail"</formula>
    </cfRule>
  </conditionalFormatting>
  <conditionalFormatting sqref="A994:A996">
    <cfRule type="cellIs" dxfId="13313" priority="13151" stopIfTrue="1" operator="equal">
      <formula>"Pass"</formula>
    </cfRule>
    <cfRule type="cellIs" dxfId="13312" priority="13152" stopIfTrue="1" operator="equal">
      <formula>"Fail"</formula>
    </cfRule>
  </conditionalFormatting>
  <conditionalFormatting sqref="A994:A996">
    <cfRule type="cellIs" dxfId="13311" priority="13149" stopIfTrue="1" operator="equal">
      <formula>"Pass"</formula>
    </cfRule>
    <cfRule type="cellIs" dxfId="13310" priority="13150" stopIfTrue="1" operator="equal">
      <formula>"Fail"</formula>
    </cfRule>
  </conditionalFormatting>
  <conditionalFormatting sqref="A996">
    <cfRule type="cellIs" dxfId="13309" priority="13147" stopIfTrue="1" operator="equal">
      <formula>"Pass"</formula>
    </cfRule>
    <cfRule type="cellIs" dxfId="13308" priority="13148" stopIfTrue="1" operator="equal">
      <formula>"Fail"</formula>
    </cfRule>
  </conditionalFormatting>
  <conditionalFormatting sqref="A994:A996">
    <cfRule type="cellIs" dxfId="13307" priority="13145" stopIfTrue="1" operator="equal">
      <formula>"Pass"</formula>
    </cfRule>
    <cfRule type="cellIs" dxfId="13306" priority="13146" stopIfTrue="1" operator="equal">
      <formula>"Fail"</formula>
    </cfRule>
  </conditionalFormatting>
  <conditionalFormatting sqref="A994:A996">
    <cfRule type="cellIs" dxfId="13305" priority="13143" stopIfTrue="1" operator="equal">
      <formula>"Pass"</formula>
    </cfRule>
    <cfRule type="cellIs" dxfId="13304" priority="13144" stopIfTrue="1" operator="equal">
      <formula>"Fail"</formula>
    </cfRule>
  </conditionalFormatting>
  <conditionalFormatting sqref="A994:A996">
    <cfRule type="cellIs" dxfId="13303" priority="13141" stopIfTrue="1" operator="equal">
      <formula>"Pass"</formula>
    </cfRule>
    <cfRule type="cellIs" dxfId="13302" priority="13142" stopIfTrue="1" operator="equal">
      <formula>"Fail"</formula>
    </cfRule>
  </conditionalFormatting>
  <conditionalFormatting sqref="A994:A996">
    <cfRule type="cellIs" dxfId="13301" priority="13139" stopIfTrue="1" operator="equal">
      <formula>"Pass"</formula>
    </cfRule>
    <cfRule type="cellIs" dxfId="13300" priority="13140" stopIfTrue="1" operator="equal">
      <formula>"Fail"</formula>
    </cfRule>
  </conditionalFormatting>
  <conditionalFormatting sqref="A994:A996">
    <cfRule type="cellIs" dxfId="13299" priority="13137" stopIfTrue="1" operator="equal">
      <formula>"Pass"</formula>
    </cfRule>
    <cfRule type="cellIs" dxfId="13298" priority="13138" stopIfTrue="1" operator="equal">
      <formula>"Fail"</formula>
    </cfRule>
  </conditionalFormatting>
  <conditionalFormatting sqref="A994:A996">
    <cfRule type="cellIs" dxfId="13297" priority="13135" stopIfTrue="1" operator="equal">
      <formula>"Pass"</formula>
    </cfRule>
    <cfRule type="cellIs" dxfId="13296" priority="13136" stopIfTrue="1" operator="equal">
      <formula>"Fail"</formula>
    </cfRule>
  </conditionalFormatting>
  <conditionalFormatting sqref="A996">
    <cfRule type="cellIs" dxfId="13295" priority="13133" stopIfTrue="1" operator="equal">
      <formula>"Pass"</formula>
    </cfRule>
    <cfRule type="cellIs" dxfId="13294" priority="13134" stopIfTrue="1" operator="equal">
      <formula>"Fail"</formula>
    </cfRule>
  </conditionalFormatting>
  <conditionalFormatting sqref="A994:A996">
    <cfRule type="cellIs" dxfId="13293" priority="13131" stopIfTrue="1" operator="equal">
      <formula>"Pass"</formula>
    </cfRule>
    <cfRule type="cellIs" dxfId="13292" priority="13132" stopIfTrue="1" operator="equal">
      <formula>"Fail"</formula>
    </cfRule>
  </conditionalFormatting>
  <conditionalFormatting sqref="A994:A996">
    <cfRule type="cellIs" dxfId="13291" priority="13129" stopIfTrue="1" operator="equal">
      <formula>"Pass"</formula>
    </cfRule>
    <cfRule type="cellIs" dxfId="13290" priority="13130" stopIfTrue="1" operator="equal">
      <formula>"Fail"</formula>
    </cfRule>
  </conditionalFormatting>
  <conditionalFormatting sqref="A994:A996">
    <cfRule type="cellIs" dxfId="13289" priority="13127" stopIfTrue="1" operator="equal">
      <formula>"Pass"</formula>
    </cfRule>
    <cfRule type="cellIs" dxfId="13288" priority="13128" stopIfTrue="1" operator="equal">
      <formula>"Fail"</formula>
    </cfRule>
  </conditionalFormatting>
  <conditionalFormatting sqref="A994:A996">
    <cfRule type="cellIs" dxfId="13287" priority="13125" stopIfTrue="1" operator="equal">
      <formula>"Pass"</formula>
    </cfRule>
    <cfRule type="cellIs" dxfId="13286" priority="13126" stopIfTrue="1" operator="equal">
      <formula>"Fail"</formula>
    </cfRule>
  </conditionalFormatting>
  <conditionalFormatting sqref="A994:A996">
    <cfRule type="cellIs" dxfId="13285" priority="13123" stopIfTrue="1" operator="equal">
      <formula>"Pass"</formula>
    </cfRule>
    <cfRule type="cellIs" dxfId="13284" priority="13124" stopIfTrue="1" operator="equal">
      <formula>"Fail"</formula>
    </cfRule>
  </conditionalFormatting>
  <conditionalFormatting sqref="A994:A996">
    <cfRule type="cellIs" dxfId="13283" priority="13121" stopIfTrue="1" operator="equal">
      <formula>"Pass"</formula>
    </cfRule>
    <cfRule type="cellIs" dxfId="13282" priority="13122" stopIfTrue="1" operator="equal">
      <formula>"Fail"</formula>
    </cfRule>
  </conditionalFormatting>
  <conditionalFormatting sqref="A996">
    <cfRule type="cellIs" dxfId="13281" priority="13119" stopIfTrue="1" operator="equal">
      <formula>"Pass"</formula>
    </cfRule>
    <cfRule type="cellIs" dxfId="13280" priority="13120" stopIfTrue="1" operator="equal">
      <formula>"Fail"</formula>
    </cfRule>
  </conditionalFormatting>
  <conditionalFormatting sqref="A994:A996">
    <cfRule type="cellIs" dxfId="13279" priority="13117" stopIfTrue="1" operator="equal">
      <formula>"Pass"</formula>
    </cfRule>
    <cfRule type="cellIs" dxfId="13278" priority="13118" stopIfTrue="1" operator="equal">
      <formula>"Fail"</formula>
    </cfRule>
  </conditionalFormatting>
  <conditionalFormatting sqref="A994:A996">
    <cfRule type="cellIs" dxfId="13277" priority="13115" stopIfTrue="1" operator="equal">
      <formula>"Pass"</formula>
    </cfRule>
    <cfRule type="cellIs" dxfId="13276" priority="13116" stopIfTrue="1" operator="equal">
      <formula>"Fail"</formula>
    </cfRule>
  </conditionalFormatting>
  <conditionalFormatting sqref="A994:A996">
    <cfRule type="cellIs" dxfId="13275" priority="13113" stopIfTrue="1" operator="equal">
      <formula>"Pass"</formula>
    </cfRule>
    <cfRule type="cellIs" dxfId="13274" priority="13114" stopIfTrue="1" operator="equal">
      <formula>"Fail"</formula>
    </cfRule>
  </conditionalFormatting>
  <conditionalFormatting sqref="A994:A996">
    <cfRule type="cellIs" dxfId="13273" priority="13111" stopIfTrue="1" operator="equal">
      <formula>"Pass"</formula>
    </cfRule>
    <cfRule type="cellIs" dxfId="13272" priority="13112" stopIfTrue="1" operator="equal">
      <formula>"Fail"</formula>
    </cfRule>
  </conditionalFormatting>
  <conditionalFormatting sqref="A994:A996">
    <cfRule type="cellIs" dxfId="13271" priority="13109" stopIfTrue="1" operator="equal">
      <formula>"Pass"</formula>
    </cfRule>
    <cfRule type="cellIs" dxfId="13270" priority="13110" stopIfTrue="1" operator="equal">
      <formula>"Fail"</formula>
    </cfRule>
  </conditionalFormatting>
  <conditionalFormatting sqref="A994:A996">
    <cfRule type="cellIs" dxfId="13269" priority="13107" stopIfTrue="1" operator="equal">
      <formula>"Pass"</formula>
    </cfRule>
    <cfRule type="cellIs" dxfId="13268" priority="13108" stopIfTrue="1" operator="equal">
      <formula>"Fail"</formula>
    </cfRule>
  </conditionalFormatting>
  <conditionalFormatting sqref="A996">
    <cfRule type="cellIs" dxfId="13267" priority="13105" stopIfTrue="1" operator="equal">
      <formula>"Pass"</formula>
    </cfRule>
    <cfRule type="cellIs" dxfId="13266" priority="13106" stopIfTrue="1" operator="equal">
      <formula>"Fail"</formula>
    </cfRule>
  </conditionalFormatting>
  <conditionalFormatting sqref="A994:A996">
    <cfRule type="cellIs" dxfId="13265" priority="13103" stopIfTrue="1" operator="equal">
      <formula>"Pass"</formula>
    </cfRule>
    <cfRule type="cellIs" dxfId="13264" priority="13104" stopIfTrue="1" operator="equal">
      <formula>"Fail"</formula>
    </cfRule>
  </conditionalFormatting>
  <conditionalFormatting sqref="A994:A996">
    <cfRule type="cellIs" dxfId="13263" priority="13101" stopIfTrue="1" operator="equal">
      <formula>"Pass"</formula>
    </cfRule>
    <cfRule type="cellIs" dxfId="13262" priority="13102" stopIfTrue="1" operator="equal">
      <formula>"Fail"</formula>
    </cfRule>
  </conditionalFormatting>
  <conditionalFormatting sqref="A994:A996">
    <cfRule type="cellIs" dxfId="13261" priority="13099" stopIfTrue="1" operator="equal">
      <formula>"Pass"</formula>
    </cfRule>
    <cfRule type="cellIs" dxfId="13260" priority="13100" stopIfTrue="1" operator="equal">
      <formula>"Fail"</formula>
    </cfRule>
  </conditionalFormatting>
  <conditionalFormatting sqref="A994:A996">
    <cfRule type="cellIs" dxfId="13259" priority="13097" stopIfTrue="1" operator="equal">
      <formula>"Pass"</formula>
    </cfRule>
    <cfRule type="cellIs" dxfId="13258" priority="13098" stopIfTrue="1" operator="equal">
      <formula>"Fail"</formula>
    </cfRule>
  </conditionalFormatting>
  <conditionalFormatting sqref="A994:A996">
    <cfRule type="cellIs" dxfId="13257" priority="13095" stopIfTrue="1" operator="equal">
      <formula>"Pass"</formula>
    </cfRule>
    <cfRule type="cellIs" dxfId="13256" priority="13096" stopIfTrue="1" operator="equal">
      <formula>"Fail"</formula>
    </cfRule>
  </conditionalFormatting>
  <conditionalFormatting sqref="A994:A996">
    <cfRule type="cellIs" dxfId="13255" priority="13093" stopIfTrue="1" operator="equal">
      <formula>"Pass"</formula>
    </cfRule>
    <cfRule type="cellIs" dxfId="13254" priority="13094" stopIfTrue="1" operator="equal">
      <formula>"Fail"</formula>
    </cfRule>
  </conditionalFormatting>
  <conditionalFormatting sqref="A996">
    <cfRule type="cellIs" dxfId="13253" priority="13091" stopIfTrue="1" operator="equal">
      <formula>"Pass"</formula>
    </cfRule>
    <cfRule type="cellIs" dxfId="13252" priority="13092" stopIfTrue="1" operator="equal">
      <formula>"Fail"</formula>
    </cfRule>
  </conditionalFormatting>
  <conditionalFormatting sqref="A994:A996">
    <cfRule type="cellIs" dxfId="13251" priority="13089" stopIfTrue="1" operator="equal">
      <formula>"Pass"</formula>
    </cfRule>
    <cfRule type="cellIs" dxfId="13250" priority="13090" stopIfTrue="1" operator="equal">
      <formula>"Fail"</formula>
    </cfRule>
  </conditionalFormatting>
  <conditionalFormatting sqref="A994:A996">
    <cfRule type="cellIs" dxfId="13249" priority="13087" stopIfTrue="1" operator="equal">
      <formula>"Pass"</formula>
    </cfRule>
    <cfRule type="cellIs" dxfId="13248" priority="13088" stopIfTrue="1" operator="equal">
      <formula>"Fail"</formula>
    </cfRule>
  </conditionalFormatting>
  <conditionalFormatting sqref="A994:A996">
    <cfRule type="cellIs" dxfId="13247" priority="13085" stopIfTrue="1" operator="equal">
      <formula>"Pass"</formula>
    </cfRule>
    <cfRule type="cellIs" dxfId="13246" priority="13086" stopIfTrue="1" operator="equal">
      <formula>"Fail"</formula>
    </cfRule>
  </conditionalFormatting>
  <conditionalFormatting sqref="A994:A996">
    <cfRule type="cellIs" dxfId="13245" priority="13083" stopIfTrue="1" operator="equal">
      <formula>"Pass"</formula>
    </cfRule>
    <cfRule type="cellIs" dxfId="13244" priority="13084" stopIfTrue="1" operator="equal">
      <formula>"Fail"</formula>
    </cfRule>
  </conditionalFormatting>
  <conditionalFormatting sqref="A994:A996">
    <cfRule type="cellIs" dxfId="13243" priority="13081" stopIfTrue="1" operator="equal">
      <formula>"Pass"</formula>
    </cfRule>
    <cfRule type="cellIs" dxfId="13242" priority="13082" stopIfTrue="1" operator="equal">
      <formula>"Fail"</formula>
    </cfRule>
  </conditionalFormatting>
  <conditionalFormatting sqref="A994:A996">
    <cfRule type="cellIs" dxfId="13241" priority="13079" stopIfTrue="1" operator="equal">
      <formula>"Pass"</formula>
    </cfRule>
    <cfRule type="cellIs" dxfId="13240" priority="13080" stopIfTrue="1" operator="equal">
      <formula>"Fail"</formula>
    </cfRule>
  </conditionalFormatting>
  <conditionalFormatting sqref="A996">
    <cfRule type="cellIs" dxfId="13239" priority="13077" stopIfTrue="1" operator="equal">
      <formula>"Pass"</formula>
    </cfRule>
    <cfRule type="cellIs" dxfId="13238" priority="13078" stopIfTrue="1" operator="equal">
      <formula>"Fail"</formula>
    </cfRule>
  </conditionalFormatting>
  <conditionalFormatting sqref="A994:A996">
    <cfRule type="cellIs" dxfId="13237" priority="13075" stopIfTrue="1" operator="equal">
      <formula>"Pass"</formula>
    </cfRule>
    <cfRule type="cellIs" dxfId="13236" priority="13076" stopIfTrue="1" operator="equal">
      <formula>"Fail"</formula>
    </cfRule>
  </conditionalFormatting>
  <conditionalFormatting sqref="A994">
    <cfRule type="cellIs" dxfId="13235" priority="13073" stopIfTrue="1" operator="equal">
      <formula>"Pass"</formula>
    </cfRule>
    <cfRule type="cellIs" dxfId="13234" priority="13074" stopIfTrue="1" operator="equal">
      <formula>"Fail"</formula>
    </cfRule>
  </conditionalFormatting>
  <conditionalFormatting sqref="A994">
    <cfRule type="cellIs" dxfId="13233" priority="13071" stopIfTrue="1" operator="equal">
      <formula>"Pass"</formula>
    </cfRule>
    <cfRule type="cellIs" dxfId="13232" priority="13072" stopIfTrue="1" operator="equal">
      <formula>"Fail"</formula>
    </cfRule>
  </conditionalFormatting>
  <conditionalFormatting sqref="A994">
    <cfRule type="cellIs" dxfId="13231" priority="13069" stopIfTrue="1" operator="equal">
      <formula>"Pass"</formula>
    </cfRule>
    <cfRule type="cellIs" dxfId="13230" priority="13070" stopIfTrue="1" operator="equal">
      <formula>"Fail"</formula>
    </cfRule>
  </conditionalFormatting>
  <conditionalFormatting sqref="A994">
    <cfRule type="cellIs" dxfId="13229" priority="13067" stopIfTrue="1" operator="equal">
      <formula>"Pass"</formula>
    </cfRule>
    <cfRule type="cellIs" dxfId="13228" priority="13068" stopIfTrue="1" operator="equal">
      <formula>"Fail"</formula>
    </cfRule>
  </conditionalFormatting>
  <conditionalFormatting sqref="A994">
    <cfRule type="cellIs" dxfId="13227" priority="13065" stopIfTrue="1" operator="equal">
      <formula>"Pass"</formula>
    </cfRule>
    <cfRule type="cellIs" dxfId="13226" priority="13066" stopIfTrue="1" operator="equal">
      <formula>"Fail"</formula>
    </cfRule>
  </conditionalFormatting>
  <conditionalFormatting sqref="A994">
    <cfRule type="cellIs" dxfId="13225" priority="13063" stopIfTrue="1" operator="equal">
      <formula>"Pass"</formula>
    </cfRule>
    <cfRule type="cellIs" dxfId="13224" priority="13064" stopIfTrue="1" operator="equal">
      <formula>"Fail"</formula>
    </cfRule>
  </conditionalFormatting>
  <conditionalFormatting sqref="A994">
    <cfRule type="cellIs" dxfId="13223" priority="13061" stopIfTrue="1" operator="equal">
      <formula>"Pass"</formula>
    </cfRule>
    <cfRule type="cellIs" dxfId="13222" priority="13062" stopIfTrue="1" operator="equal">
      <formula>"Fail"</formula>
    </cfRule>
  </conditionalFormatting>
  <conditionalFormatting sqref="A994">
    <cfRule type="cellIs" dxfId="13221" priority="13059" stopIfTrue="1" operator="equal">
      <formula>"Pass"</formula>
    </cfRule>
    <cfRule type="cellIs" dxfId="13220" priority="13060" stopIfTrue="1" operator="equal">
      <formula>"Fail"</formula>
    </cfRule>
  </conditionalFormatting>
  <conditionalFormatting sqref="A994">
    <cfRule type="cellIs" dxfId="13219" priority="13057" stopIfTrue="1" operator="equal">
      <formula>"Pass"</formula>
    </cfRule>
    <cfRule type="cellIs" dxfId="13218" priority="13058" stopIfTrue="1" operator="equal">
      <formula>"Fail"</formula>
    </cfRule>
  </conditionalFormatting>
  <conditionalFormatting sqref="A994">
    <cfRule type="cellIs" dxfId="13217" priority="13055" stopIfTrue="1" operator="equal">
      <formula>"Pass"</formula>
    </cfRule>
    <cfRule type="cellIs" dxfId="13216" priority="13056" stopIfTrue="1" operator="equal">
      <formula>"Fail"</formula>
    </cfRule>
  </conditionalFormatting>
  <conditionalFormatting sqref="A994">
    <cfRule type="cellIs" dxfId="13215" priority="13053" stopIfTrue="1" operator="equal">
      <formula>"Pass"</formula>
    </cfRule>
    <cfRule type="cellIs" dxfId="13214" priority="13054" stopIfTrue="1" operator="equal">
      <formula>"Fail"</formula>
    </cfRule>
  </conditionalFormatting>
  <conditionalFormatting sqref="A994">
    <cfRule type="cellIs" dxfId="13213" priority="13051" stopIfTrue="1" operator="equal">
      <formula>"Pass"</formula>
    </cfRule>
    <cfRule type="cellIs" dxfId="13212" priority="13052" stopIfTrue="1" operator="equal">
      <formula>"Fail"</formula>
    </cfRule>
  </conditionalFormatting>
  <conditionalFormatting sqref="A994">
    <cfRule type="cellIs" dxfId="13211" priority="13049" stopIfTrue="1" operator="equal">
      <formula>"Pass"</formula>
    </cfRule>
    <cfRule type="cellIs" dxfId="13210" priority="13050" stopIfTrue="1" operator="equal">
      <formula>"Fail"</formula>
    </cfRule>
  </conditionalFormatting>
  <conditionalFormatting sqref="A994">
    <cfRule type="cellIs" dxfId="13209" priority="13047" stopIfTrue="1" operator="equal">
      <formula>"Pass"</formula>
    </cfRule>
    <cfRule type="cellIs" dxfId="13208" priority="13048" stopIfTrue="1" operator="equal">
      <formula>"Fail"</formula>
    </cfRule>
  </conditionalFormatting>
  <conditionalFormatting sqref="A994">
    <cfRule type="cellIs" dxfId="13207" priority="13045" stopIfTrue="1" operator="equal">
      <formula>"Pass"</formula>
    </cfRule>
    <cfRule type="cellIs" dxfId="13206" priority="13046" stopIfTrue="1" operator="equal">
      <formula>"Fail"</formula>
    </cfRule>
  </conditionalFormatting>
  <conditionalFormatting sqref="A994">
    <cfRule type="cellIs" dxfId="13205" priority="13043" stopIfTrue="1" operator="equal">
      <formula>"Pass"</formula>
    </cfRule>
    <cfRule type="cellIs" dxfId="13204" priority="13044" stopIfTrue="1" operator="equal">
      <formula>"Fail"</formula>
    </cfRule>
  </conditionalFormatting>
  <conditionalFormatting sqref="A994">
    <cfRule type="cellIs" dxfId="13203" priority="13041" stopIfTrue="1" operator="equal">
      <formula>"Pass"</formula>
    </cfRule>
    <cfRule type="cellIs" dxfId="13202" priority="13042" stopIfTrue="1" operator="equal">
      <formula>"Fail"</formula>
    </cfRule>
  </conditionalFormatting>
  <conditionalFormatting sqref="A994">
    <cfRule type="cellIs" dxfId="13201" priority="13039" stopIfTrue="1" operator="equal">
      <formula>"Pass"</formula>
    </cfRule>
    <cfRule type="cellIs" dxfId="13200" priority="13040" stopIfTrue="1" operator="equal">
      <formula>"Fail"</formula>
    </cfRule>
  </conditionalFormatting>
  <conditionalFormatting sqref="J994:J995">
    <cfRule type="cellIs" dxfId="13199" priority="13037" stopIfTrue="1" operator="equal">
      <formula>"Pass"</formula>
    </cfRule>
    <cfRule type="cellIs" dxfId="13198" priority="13038" stopIfTrue="1" operator="equal">
      <formula>"Fail"</formula>
    </cfRule>
  </conditionalFormatting>
  <conditionalFormatting sqref="H994:H995 I995">
    <cfRule type="cellIs" dxfId="13197" priority="13035" stopIfTrue="1" operator="equal">
      <formula>"Pass"</formula>
    </cfRule>
    <cfRule type="cellIs" dxfId="13196" priority="13036" stopIfTrue="1" operator="equal">
      <formula>"Fail"</formula>
    </cfRule>
  </conditionalFormatting>
  <conditionalFormatting sqref="A994 C994 F996 F994:G994 K994:N995">
    <cfRule type="cellIs" dxfId="13195" priority="13033" stopIfTrue="1" operator="equal">
      <formula>"Pass"</formula>
    </cfRule>
    <cfRule type="cellIs" dxfId="13194" priority="13034" stopIfTrue="1" operator="equal">
      <formula>"Fail"</formula>
    </cfRule>
  </conditionalFormatting>
  <conditionalFormatting sqref="T994:T996 U995:V996">
    <cfRule type="cellIs" dxfId="13193" priority="13031" stopIfTrue="1" operator="equal">
      <formula>"Fail"</formula>
    </cfRule>
    <cfRule type="cellIs" dxfId="13192" priority="13032" stopIfTrue="1" operator="equal">
      <formula>"Pass"</formula>
    </cfRule>
  </conditionalFormatting>
  <conditionalFormatting sqref="A994">
    <cfRule type="cellIs" dxfId="13191" priority="13029" stopIfTrue="1" operator="equal">
      <formula>"Pass"</formula>
    </cfRule>
    <cfRule type="cellIs" dxfId="13190" priority="13030" stopIfTrue="1" operator="equal">
      <formula>"Fail"</formula>
    </cfRule>
  </conditionalFormatting>
  <conditionalFormatting sqref="A994">
    <cfRule type="cellIs" dxfId="13189" priority="13027" stopIfTrue="1" operator="equal">
      <formula>"Pass"</formula>
    </cfRule>
    <cfRule type="cellIs" dxfId="13188" priority="13028" stopIfTrue="1" operator="equal">
      <formula>"Fail"</formula>
    </cfRule>
  </conditionalFormatting>
  <conditionalFormatting sqref="A994">
    <cfRule type="cellIs" dxfId="13187" priority="13025" stopIfTrue="1" operator="equal">
      <formula>"Pass"</formula>
    </cfRule>
    <cfRule type="cellIs" dxfId="13186" priority="13026" stopIfTrue="1" operator="equal">
      <formula>"Fail"</formula>
    </cfRule>
  </conditionalFormatting>
  <conditionalFormatting sqref="A994">
    <cfRule type="cellIs" dxfId="13185" priority="13023" stopIfTrue="1" operator="equal">
      <formula>"Pass"</formula>
    </cfRule>
    <cfRule type="cellIs" dxfId="13184" priority="13024" stopIfTrue="1" operator="equal">
      <formula>"Fail"</formula>
    </cfRule>
  </conditionalFormatting>
  <conditionalFormatting sqref="A994">
    <cfRule type="cellIs" dxfId="13183" priority="13021" stopIfTrue="1" operator="equal">
      <formula>"Pass"</formula>
    </cfRule>
    <cfRule type="cellIs" dxfId="13182" priority="13022" stopIfTrue="1" operator="equal">
      <formula>"Fail"</formula>
    </cfRule>
  </conditionalFormatting>
  <conditionalFormatting sqref="A994">
    <cfRule type="cellIs" dxfId="13181" priority="13019" stopIfTrue="1" operator="equal">
      <formula>"Pass"</formula>
    </cfRule>
    <cfRule type="cellIs" dxfId="13180" priority="13020" stopIfTrue="1" operator="equal">
      <formula>"Fail"</formula>
    </cfRule>
  </conditionalFormatting>
  <conditionalFormatting sqref="A994">
    <cfRule type="cellIs" dxfId="13179" priority="13017" stopIfTrue="1" operator="equal">
      <formula>"Pass"</formula>
    </cfRule>
    <cfRule type="cellIs" dxfId="13178" priority="13018" stopIfTrue="1" operator="equal">
      <formula>"Fail"</formula>
    </cfRule>
  </conditionalFormatting>
  <conditionalFormatting sqref="A994">
    <cfRule type="cellIs" dxfId="13177" priority="13015" stopIfTrue="1" operator="equal">
      <formula>"Pass"</formula>
    </cfRule>
    <cfRule type="cellIs" dxfId="13176" priority="13016" stopIfTrue="1" operator="equal">
      <formula>"Fail"</formula>
    </cfRule>
  </conditionalFormatting>
  <conditionalFormatting sqref="A994">
    <cfRule type="cellIs" dxfId="13175" priority="13013" stopIfTrue="1" operator="equal">
      <formula>"Pass"</formula>
    </cfRule>
    <cfRule type="cellIs" dxfId="13174" priority="13014" stopIfTrue="1" operator="equal">
      <formula>"Fail"</formula>
    </cfRule>
  </conditionalFormatting>
  <conditionalFormatting sqref="A994">
    <cfRule type="cellIs" dxfId="13173" priority="13011" stopIfTrue="1" operator="equal">
      <formula>"Pass"</formula>
    </cfRule>
    <cfRule type="cellIs" dxfId="13172" priority="13012" stopIfTrue="1" operator="equal">
      <formula>"Fail"</formula>
    </cfRule>
  </conditionalFormatting>
  <conditionalFormatting sqref="A994">
    <cfRule type="cellIs" dxfId="13171" priority="13009" stopIfTrue="1" operator="equal">
      <formula>"Pass"</formula>
    </cfRule>
    <cfRule type="cellIs" dxfId="13170" priority="13010" stopIfTrue="1" operator="equal">
      <formula>"Fail"</formula>
    </cfRule>
  </conditionalFormatting>
  <conditionalFormatting sqref="A994">
    <cfRule type="cellIs" dxfId="13169" priority="13007" stopIfTrue="1" operator="equal">
      <formula>"Pass"</formula>
    </cfRule>
    <cfRule type="cellIs" dxfId="13168" priority="13008" stopIfTrue="1" operator="equal">
      <formula>"Fail"</formula>
    </cfRule>
  </conditionalFormatting>
  <conditionalFormatting sqref="A994">
    <cfRule type="cellIs" dxfId="13167" priority="13005" stopIfTrue="1" operator="equal">
      <formula>"Pass"</formula>
    </cfRule>
    <cfRule type="cellIs" dxfId="13166" priority="13006" stopIfTrue="1" operator="equal">
      <formula>"Fail"</formula>
    </cfRule>
  </conditionalFormatting>
  <conditionalFormatting sqref="A994">
    <cfRule type="cellIs" dxfId="13165" priority="13003" stopIfTrue="1" operator="equal">
      <formula>"Pass"</formula>
    </cfRule>
    <cfRule type="cellIs" dxfId="13164" priority="13004" stopIfTrue="1" operator="equal">
      <formula>"Fail"</formula>
    </cfRule>
  </conditionalFormatting>
  <conditionalFormatting sqref="A994">
    <cfRule type="cellIs" dxfId="13163" priority="13001" stopIfTrue="1" operator="equal">
      <formula>"Pass"</formula>
    </cfRule>
    <cfRule type="cellIs" dxfId="13162" priority="13002" stopIfTrue="1" operator="equal">
      <formula>"Fail"</formula>
    </cfRule>
  </conditionalFormatting>
  <conditionalFormatting sqref="A994">
    <cfRule type="cellIs" dxfId="13161" priority="12999" stopIfTrue="1" operator="equal">
      <formula>"Pass"</formula>
    </cfRule>
    <cfRule type="cellIs" dxfId="13160" priority="13000" stopIfTrue="1" operator="equal">
      <formula>"Fail"</formula>
    </cfRule>
  </conditionalFormatting>
  <conditionalFormatting sqref="U994:V994">
    <cfRule type="cellIs" dxfId="13159" priority="12997" stopIfTrue="1" operator="equal">
      <formula>"Fail"</formula>
    </cfRule>
    <cfRule type="cellIs" dxfId="13158" priority="12998" stopIfTrue="1" operator="equal">
      <formula>"Pass"</formula>
    </cfRule>
  </conditionalFormatting>
  <conditionalFormatting sqref="U994:V994">
    <cfRule type="cellIs" dxfId="13157" priority="12995" stopIfTrue="1" operator="equal">
      <formula>"Fail"</formula>
    </cfRule>
    <cfRule type="cellIs" dxfId="13156" priority="12996" stopIfTrue="1" operator="equal">
      <formula>"Pass"</formula>
    </cfRule>
  </conditionalFormatting>
  <conditionalFormatting sqref="J994:J995">
    <cfRule type="cellIs" dxfId="13155" priority="12993" stopIfTrue="1" operator="equal">
      <formula>"Pass"</formula>
    </cfRule>
    <cfRule type="cellIs" dxfId="13154" priority="12994" stopIfTrue="1" operator="equal">
      <formula>"Fail"</formula>
    </cfRule>
  </conditionalFormatting>
  <conditionalFormatting sqref="H994:H995 I995">
    <cfRule type="cellIs" dxfId="13153" priority="12991" stopIfTrue="1" operator="equal">
      <formula>"Pass"</formula>
    </cfRule>
    <cfRule type="cellIs" dxfId="13152" priority="12992" stopIfTrue="1" operator="equal">
      <formula>"Fail"</formula>
    </cfRule>
  </conditionalFormatting>
  <conditionalFormatting sqref="F996 F994:G994 K994:N995">
    <cfRule type="cellIs" dxfId="13151" priority="12989" stopIfTrue="1" operator="equal">
      <formula>"Pass"</formula>
    </cfRule>
    <cfRule type="cellIs" dxfId="13150" priority="12990" stopIfTrue="1" operator="equal">
      <formula>"Fail"</formula>
    </cfRule>
  </conditionalFormatting>
  <conditionalFormatting sqref="T994:T996 U995:V996">
    <cfRule type="cellIs" dxfId="13149" priority="12987" stopIfTrue="1" operator="equal">
      <formula>"Fail"</formula>
    </cfRule>
    <cfRule type="cellIs" dxfId="13148" priority="12988" stopIfTrue="1" operator="equal">
      <formula>"Pass"</formula>
    </cfRule>
  </conditionalFormatting>
  <conditionalFormatting sqref="U994:V994">
    <cfRule type="cellIs" dxfId="13147" priority="12985" stopIfTrue="1" operator="equal">
      <formula>"Fail"</formula>
    </cfRule>
    <cfRule type="cellIs" dxfId="13146" priority="12986" stopIfTrue="1" operator="equal">
      <formula>"Pass"</formula>
    </cfRule>
  </conditionalFormatting>
  <conditionalFormatting sqref="U994:V994">
    <cfRule type="cellIs" dxfId="13145" priority="12983" stopIfTrue="1" operator="equal">
      <formula>"Fail"</formula>
    </cfRule>
    <cfRule type="cellIs" dxfId="13144" priority="12984" stopIfTrue="1" operator="equal">
      <formula>"Pass"</formula>
    </cfRule>
  </conditionalFormatting>
  <conditionalFormatting sqref="F994:G994 K994:N994">
    <cfRule type="cellIs" dxfId="13143" priority="12981" stopIfTrue="1" operator="equal">
      <formula>"Pass"</formula>
    </cfRule>
    <cfRule type="cellIs" dxfId="13142" priority="12982" stopIfTrue="1" operator="equal">
      <formula>"Fail"</formula>
    </cfRule>
  </conditionalFormatting>
  <conditionalFormatting sqref="K995:N995">
    <cfRule type="cellIs" dxfId="13141" priority="12979" stopIfTrue="1" operator="equal">
      <formula>"Pass"</formula>
    </cfRule>
    <cfRule type="cellIs" dxfId="13140" priority="12980" stopIfTrue="1" operator="equal">
      <formula>"Fail"</formula>
    </cfRule>
  </conditionalFormatting>
  <conditionalFormatting sqref="U994:V994">
    <cfRule type="cellIs" dxfId="13139" priority="12977" stopIfTrue="1" operator="equal">
      <formula>"Fail"</formula>
    </cfRule>
    <cfRule type="cellIs" dxfId="13138" priority="12978" stopIfTrue="1" operator="equal">
      <formula>"Pass"</formula>
    </cfRule>
  </conditionalFormatting>
  <conditionalFormatting sqref="A994">
    <cfRule type="cellIs" dxfId="13137" priority="12975" stopIfTrue="1" operator="equal">
      <formula>"Pass"</formula>
    </cfRule>
    <cfRule type="cellIs" dxfId="13136" priority="12976" stopIfTrue="1" operator="equal">
      <formula>"Fail"</formula>
    </cfRule>
  </conditionalFormatting>
  <conditionalFormatting sqref="A994">
    <cfRule type="cellIs" dxfId="13135" priority="12973" stopIfTrue="1" operator="equal">
      <formula>"Pass"</formula>
    </cfRule>
    <cfRule type="cellIs" dxfId="13134" priority="12974" stopIfTrue="1" operator="equal">
      <formula>"Fail"</formula>
    </cfRule>
  </conditionalFormatting>
  <conditionalFormatting sqref="A994">
    <cfRule type="cellIs" dxfId="13133" priority="12971" stopIfTrue="1" operator="equal">
      <formula>"Pass"</formula>
    </cfRule>
    <cfRule type="cellIs" dxfId="13132" priority="12972" stopIfTrue="1" operator="equal">
      <formula>"Fail"</formula>
    </cfRule>
  </conditionalFormatting>
  <conditionalFormatting sqref="A994">
    <cfRule type="cellIs" dxfId="13131" priority="12969" stopIfTrue="1" operator="equal">
      <formula>"Pass"</formula>
    </cfRule>
    <cfRule type="cellIs" dxfId="13130" priority="12970" stopIfTrue="1" operator="equal">
      <formula>"Fail"</formula>
    </cfRule>
  </conditionalFormatting>
  <conditionalFormatting sqref="A994">
    <cfRule type="cellIs" dxfId="13129" priority="12967" stopIfTrue="1" operator="equal">
      <formula>"Pass"</formula>
    </cfRule>
    <cfRule type="cellIs" dxfId="13128" priority="12968" stopIfTrue="1" operator="equal">
      <formula>"Fail"</formula>
    </cfRule>
  </conditionalFormatting>
  <conditionalFormatting sqref="A994">
    <cfRule type="cellIs" dxfId="13127" priority="12965" stopIfTrue="1" operator="equal">
      <formula>"Pass"</formula>
    </cfRule>
    <cfRule type="cellIs" dxfId="13126" priority="12966" stopIfTrue="1" operator="equal">
      <formula>"Fail"</formula>
    </cfRule>
  </conditionalFormatting>
  <conditionalFormatting sqref="A994">
    <cfRule type="cellIs" dxfId="13125" priority="12963" stopIfTrue="1" operator="equal">
      <formula>"Pass"</formula>
    </cfRule>
    <cfRule type="cellIs" dxfId="13124" priority="12964" stopIfTrue="1" operator="equal">
      <formula>"Fail"</formula>
    </cfRule>
  </conditionalFormatting>
  <conditionalFormatting sqref="A994">
    <cfRule type="cellIs" dxfId="13123" priority="12961" stopIfTrue="1" operator="equal">
      <formula>"Pass"</formula>
    </cfRule>
    <cfRule type="cellIs" dxfId="13122" priority="12962" stopIfTrue="1" operator="equal">
      <formula>"Fail"</formula>
    </cfRule>
  </conditionalFormatting>
  <conditionalFormatting sqref="A994">
    <cfRule type="cellIs" dxfId="13121" priority="12959" stopIfTrue="1" operator="equal">
      <formula>"Pass"</formula>
    </cfRule>
    <cfRule type="cellIs" dxfId="13120" priority="12960" stopIfTrue="1" operator="equal">
      <formula>"Fail"</formula>
    </cfRule>
  </conditionalFormatting>
  <conditionalFormatting sqref="A994">
    <cfRule type="cellIs" dxfId="13119" priority="12957" stopIfTrue="1" operator="equal">
      <formula>"Pass"</formula>
    </cfRule>
    <cfRule type="cellIs" dxfId="13118" priority="12958" stopIfTrue="1" operator="equal">
      <formula>"Fail"</formula>
    </cfRule>
  </conditionalFormatting>
  <conditionalFormatting sqref="A994">
    <cfRule type="cellIs" dxfId="13117" priority="12955" stopIfTrue="1" operator="equal">
      <formula>"Pass"</formula>
    </cfRule>
    <cfRule type="cellIs" dxfId="13116" priority="12956" stopIfTrue="1" operator="equal">
      <formula>"Fail"</formula>
    </cfRule>
  </conditionalFormatting>
  <conditionalFormatting sqref="A994">
    <cfRule type="cellIs" dxfId="13115" priority="12953" stopIfTrue="1" operator="equal">
      <formula>"Pass"</formula>
    </cfRule>
    <cfRule type="cellIs" dxfId="13114" priority="12954" stopIfTrue="1" operator="equal">
      <formula>"Fail"</formula>
    </cfRule>
  </conditionalFormatting>
  <conditionalFormatting sqref="J994:J995">
    <cfRule type="cellIs" dxfId="13113" priority="12951" stopIfTrue="1" operator="equal">
      <formula>"Pass"</formula>
    </cfRule>
    <cfRule type="cellIs" dxfId="13112" priority="12952" stopIfTrue="1" operator="equal">
      <formula>"Fail"</formula>
    </cfRule>
  </conditionalFormatting>
  <conditionalFormatting sqref="H994:H995 I995">
    <cfRule type="cellIs" dxfId="13111" priority="12949" stopIfTrue="1" operator="equal">
      <formula>"Pass"</formula>
    </cfRule>
    <cfRule type="cellIs" dxfId="13110" priority="12950" stopIfTrue="1" operator="equal">
      <formula>"Fail"</formula>
    </cfRule>
  </conditionalFormatting>
  <conditionalFormatting sqref="F996 F994:G994 K994:N995">
    <cfRule type="cellIs" dxfId="13109" priority="12947" stopIfTrue="1" operator="equal">
      <formula>"Pass"</formula>
    </cfRule>
    <cfRule type="cellIs" dxfId="13108" priority="12948" stopIfTrue="1" operator="equal">
      <formula>"Fail"</formula>
    </cfRule>
  </conditionalFormatting>
  <conditionalFormatting sqref="T994:T996 U995:V996">
    <cfRule type="cellIs" dxfId="13107" priority="12945" stopIfTrue="1" operator="equal">
      <formula>"Fail"</formula>
    </cfRule>
    <cfRule type="cellIs" dxfId="13106" priority="12946" stopIfTrue="1" operator="equal">
      <formula>"Pass"</formula>
    </cfRule>
  </conditionalFormatting>
  <conditionalFormatting sqref="U994:V994">
    <cfRule type="cellIs" dxfId="13105" priority="12943" stopIfTrue="1" operator="equal">
      <formula>"Fail"</formula>
    </cfRule>
    <cfRule type="cellIs" dxfId="13104" priority="12944" stopIfTrue="1" operator="equal">
      <formula>"Pass"</formula>
    </cfRule>
  </conditionalFormatting>
  <conditionalFormatting sqref="U994:V994">
    <cfRule type="cellIs" dxfId="13103" priority="12941" stopIfTrue="1" operator="equal">
      <formula>"Fail"</formula>
    </cfRule>
    <cfRule type="cellIs" dxfId="13102" priority="12942" stopIfTrue="1" operator="equal">
      <formula>"Pass"</formula>
    </cfRule>
  </conditionalFormatting>
  <conditionalFormatting sqref="J994:J995">
    <cfRule type="cellIs" dxfId="13101" priority="12939" stopIfTrue="1" operator="equal">
      <formula>"Pass"</formula>
    </cfRule>
    <cfRule type="cellIs" dxfId="13100" priority="12940" stopIfTrue="1" operator="equal">
      <formula>"Fail"</formula>
    </cfRule>
  </conditionalFormatting>
  <conditionalFormatting sqref="H994:H995 I995">
    <cfRule type="cellIs" dxfId="13099" priority="12937" stopIfTrue="1" operator="equal">
      <formula>"Pass"</formula>
    </cfRule>
    <cfRule type="cellIs" dxfId="13098" priority="12938" stopIfTrue="1" operator="equal">
      <formula>"Fail"</formula>
    </cfRule>
  </conditionalFormatting>
  <conditionalFormatting sqref="F996 F994:G994 K994:N995">
    <cfRule type="cellIs" dxfId="13097" priority="12935" stopIfTrue="1" operator="equal">
      <formula>"Pass"</formula>
    </cfRule>
    <cfRule type="cellIs" dxfId="13096" priority="12936" stopIfTrue="1" operator="equal">
      <formula>"Fail"</formula>
    </cfRule>
  </conditionalFormatting>
  <conditionalFormatting sqref="T994:T996 U995:V996">
    <cfRule type="cellIs" dxfId="13095" priority="12933" stopIfTrue="1" operator="equal">
      <formula>"Fail"</formula>
    </cfRule>
    <cfRule type="cellIs" dxfId="13094" priority="12934" stopIfTrue="1" operator="equal">
      <formula>"Pass"</formula>
    </cfRule>
  </conditionalFormatting>
  <conditionalFormatting sqref="U994:V994">
    <cfRule type="cellIs" dxfId="13093" priority="12931" stopIfTrue="1" operator="equal">
      <formula>"Fail"</formula>
    </cfRule>
    <cfRule type="cellIs" dxfId="13092" priority="12932" stopIfTrue="1" operator="equal">
      <formula>"Pass"</formula>
    </cfRule>
  </conditionalFormatting>
  <conditionalFormatting sqref="U994:V994">
    <cfRule type="cellIs" dxfId="13091" priority="12929" stopIfTrue="1" operator="equal">
      <formula>"Fail"</formula>
    </cfRule>
    <cfRule type="cellIs" dxfId="13090" priority="12930" stopIfTrue="1" operator="equal">
      <formula>"Pass"</formula>
    </cfRule>
  </conditionalFormatting>
  <conditionalFormatting sqref="F994:G994 K994:N994">
    <cfRule type="cellIs" dxfId="13089" priority="12927" stopIfTrue="1" operator="equal">
      <formula>"Pass"</formula>
    </cfRule>
    <cfRule type="cellIs" dxfId="13088" priority="12928" stopIfTrue="1" operator="equal">
      <formula>"Fail"</formula>
    </cfRule>
  </conditionalFormatting>
  <conditionalFormatting sqref="K995:N995">
    <cfRule type="cellIs" dxfId="13087" priority="12925" stopIfTrue="1" operator="equal">
      <formula>"Pass"</formula>
    </cfRule>
    <cfRule type="cellIs" dxfId="13086" priority="12926" stopIfTrue="1" operator="equal">
      <formula>"Fail"</formula>
    </cfRule>
  </conditionalFormatting>
  <conditionalFormatting sqref="U994:V994">
    <cfRule type="cellIs" dxfId="13085" priority="12923" stopIfTrue="1" operator="equal">
      <formula>"Fail"</formula>
    </cfRule>
    <cfRule type="cellIs" dxfId="13084" priority="12924" stopIfTrue="1" operator="equal">
      <formula>"Pass"</formula>
    </cfRule>
  </conditionalFormatting>
  <conditionalFormatting sqref="J994:J995">
    <cfRule type="cellIs" dxfId="13083" priority="12921" stopIfTrue="1" operator="equal">
      <formula>"Pass"</formula>
    </cfRule>
    <cfRule type="cellIs" dxfId="13082" priority="12922" stopIfTrue="1" operator="equal">
      <formula>"Fail"</formula>
    </cfRule>
  </conditionalFormatting>
  <conditionalFormatting sqref="H994:H995 I995">
    <cfRule type="cellIs" dxfId="13081" priority="12919" stopIfTrue="1" operator="equal">
      <formula>"Pass"</formula>
    </cfRule>
    <cfRule type="cellIs" dxfId="13080" priority="12920" stopIfTrue="1" operator="equal">
      <formula>"Fail"</formula>
    </cfRule>
  </conditionalFormatting>
  <conditionalFormatting sqref="F994:G994 K994:N995">
    <cfRule type="cellIs" dxfId="13079" priority="12917" stopIfTrue="1" operator="equal">
      <formula>"Pass"</formula>
    </cfRule>
    <cfRule type="cellIs" dxfId="13078" priority="12918" stopIfTrue="1" operator="equal">
      <formula>"Fail"</formula>
    </cfRule>
  </conditionalFormatting>
  <conditionalFormatting sqref="T994:T995 U995:V995">
    <cfRule type="cellIs" dxfId="13077" priority="12915" stopIfTrue="1" operator="equal">
      <formula>"Fail"</formula>
    </cfRule>
    <cfRule type="cellIs" dxfId="13076" priority="12916" stopIfTrue="1" operator="equal">
      <formula>"Pass"</formula>
    </cfRule>
  </conditionalFormatting>
  <conditionalFormatting sqref="U994:V994">
    <cfRule type="cellIs" dxfId="13075" priority="12913" stopIfTrue="1" operator="equal">
      <formula>"Fail"</formula>
    </cfRule>
    <cfRule type="cellIs" dxfId="13074" priority="12914" stopIfTrue="1" operator="equal">
      <formula>"Pass"</formula>
    </cfRule>
  </conditionalFormatting>
  <conditionalFormatting sqref="U994:V994">
    <cfRule type="cellIs" dxfId="13073" priority="12911" stopIfTrue="1" operator="equal">
      <formula>"Fail"</formula>
    </cfRule>
    <cfRule type="cellIs" dxfId="13072" priority="12912" stopIfTrue="1" operator="equal">
      <formula>"Pass"</formula>
    </cfRule>
  </conditionalFormatting>
  <conditionalFormatting sqref="J994:J995">
    <cfRule type="cellIs" dxfId="13071" priority="12909" stopIfTrue="1" operator="equal">
      <formula>"Pass"</formula>
    </cfRule>
    <cfRule type="cellIs" dxfId="13070" priority="12910" stopIfTrue="1" operator="equal">
      <formula>"Fail"</formula>
    </cfRule>
  </conditionalFormatting>
  <conditionalFormatting sqref="H994:H995 I995">
    <cfRule type="cellIs" dxfId="13069" priority="12907" stopIfTrue="1" operator="equal">
      <formula>"Pass"</formula>
    </cfRule>
    <cfRule type="cellIs" dxfId="13068" priority="12908" stopIfTrue="1" operator="equal">
      <formula>"Fail"</formula>
    </cfRule>
  </conditionalFormatting>
  <conditionalFormatting sqref="F994:G994 K994:N995">
    <cfRule type="cellIs" dxfId="13067" priority="12905" stopIfTrue="1" operator="equal">
      <formula>"Pass"</formula>
    </cfRule>
    <cfRule type="cellIs" dxfId="13066" priority="12906" stopIfTrue="1" operator="equal">
      <formula>"Fail"</formula>
    </cfRule>
  </conditionalFormatting>
  <conditionalFormatting sqref="T994:T995 U995:V995">
    <cfRule type="cellIs" dxfId="13065" priority="12903" stopIfTrue="1" operator="equal">
      <formula>"Fail"</formula>
    </cfRule>
    <cfRule type="cellIs" dxfId="13064" priority="12904" stopIfTrue="1" operator="equal">
      <formula>"Pass"</formula>
    </cfRule>
  </conditionalFormatting>
  <conditionalFormatting sqref="U994:V994">
    <cfRule type="cellIs" dxfId="13063" priority="12901" stopIfTrue="1" operator="equal">
      <formula>"Fail"</formula>
    </cfRule>
    <cfRule type="cellIs" dxfId="13062" priority="12902" stopIfTrue="1" operator="equal">
      <formula>"Pass"</formula>
    </cfRule>
  </conditionalFormatting>
  <conditionalFormatting sqref="U994:V994">
    <cfRule type="cellIs" dxfId="13061" priority="12899" stopIfTrue="1" operator="equal">
      <formula>"Fail"</formula>
    </cfRule>
    <cfRule type="cellIs" dxfId="13060" priority="12900" stopIfTrue="1" operator="equal">
      <formula>"Pass"</formula>
    </cfRule>
  </conditionalFormatting>
  <conditionalFormatting sqref="F994:G994 K994:N994">
    <cfRule type="cellIs" dxfId="13059" priority="12897" stopIfTrue="1" operator="equal">
      <formula>"Pass"</formula>
    </cfRule>
    <cfRule type="cellIs" dxfId="13058" priority="12898" stopIfTrue="1" operator="equal">
      <formula>"Fail"</formula>
    </cfRule>
  </conditionalFormatting>
  <conditionalFormatting sqref="K995:N995">
    <cfRule type="cellIs" dxfId="13057" priority="12895" stopIfTrue="1" operator="equal">
      <formula>"Pass"</formula>
    </cfRule>
    <cfRule type="cellIs" dxfId="13056" priority="12896" stopIfTrue="1" operator="equal">
      <formula>"Fail"</formula>
    </cfRule>
  </conditionalFormatting>
  <conditionalFormatting sqref="U994:V994">
    <cfRule type="cellIs" dxfId="13055" priority="12893" stopIfTrue="1" operator="equal">
      <formula>"Fail"</formula>
    </cfRule>
    <cfRule type="cellIs" dxfId="13054" priority="12894" stopIfTrue="1" operator="equal">
      <formula>"Pass"</formula>
    </cfRule>
  </conditionalFormatting>
  <conditionalFormatting sqref="U994:V994">
    <cfRule type="cellIs" dxfId="13053" priority="12891" stopIfTrue="1" operator="equal">
      <formula>"Fail"</formula>
    </cfRule>
    <cfRule type="cellIs" dxfId="13052" priority="12892" stopIfTrue="1" operator="equal">
      <formula>"Pass"</formula>
    </cfRule>
  </conditionalFormatting>
  <conditionalFormatting sqref="U994:V994">
    <cfRule type="cellIs" dxfId="13051" priority="12889" stopIfTrue="1" operator="equal">
      <formula>"Fail"</formula>
    </cfRule>
    <cfRule type="cellIs" dxfId="13050" priority="12890" stopIfTrue="1" operator="equal">
      <formula>"Pass"</formula>
    </cfRule>
  </conditionalFormatting>
  <conditionalFormatting sqref="U994:V994">
    <cfRule type="cellIs" dxfId="13049" priority="12887" stopIfTrue="1" operator="equal">
      <formula>"Fail"</formula>
    </cfRule>
    <cfRule type="cellIs" dxfId="13048" priority="12888" stopIfTrue="1" operator="equal">
      <formula>"Pass"</formula>
    </cfRule>
  </conditionalFormatting>
  <conditionalFormatting sqref="A994">
    <cfRule type="cellIs" dxfId="13047" priority="12885" stopIfTrue="1" operator="equal">
      <formula>"Pass"</formula>
    </cfRule>
    <cfRule type="cellIs" dxfId="13046" priority="12886" stopIfTrue="1" operator="equal">
      <formula>"Fail"</formula>
    </cfRule>
  </conditionalFormatting>
  <conditionalFormatting sqref="A994">
    <cfRule type="cellIs" dxfId="13045" priority="12883" stopIfTrue="1" operator="equal">
      <formula>"Pass"</formula>
    </cfRule>
    <cfRule type="cellIs" dxfId="13044" priority="12884" stopIfTrue="1" operator="equal">
      <formula>"Fail"</formula>
    </cfRule>
  </conditionalFormatting>
  <conditionalFormatting sqref="A994">
    <cfRule type="cellIs" dxfId="13043" priority="12881" stopIfTrue="1" operator="equal">
      <formula>"Pass"</formula>
    </cfRule>
    <cfRule type="cellIs" dxfId="13042" priority="12882" stopIfTrue="1" operator="equal">
      <formula>"Fail"</formula>
    </cfRule>
  </conditionalFormatting>
  <conditionalFormatting sqref="A994">
    <cfRule type="cellIs" dxfId="13041" priority="12879" stopIfTrue="1" operator="equal">
      <formula>"Pass"</formula>
    </cfRule>
    <cfRule type="cellIs" dxfId="13040" priority="12880" stopIfTrue="1" operator="equal">
      <formula>"Fail"</formula>
    </cfRule>
  </conditionalFormatting>
  <conditionalFormatting sqref="A994">
    <cfRule type="cellIs" dxfId="13039" priority="12877" stopIfTrue="1" operator="equal">
      <formula>"Pass"</formula>
    </cfRule>
    <cfRule type="cellIs" dxfId="13038" priority="12878" stopIfTrue="1" operator="equal">
      <formula>"Fail"</formula>
    </cfRule>
  </conditionalFormatting>
  <conditionalFormatting sqref="A994">
    <cfRule type="cellIs" dxfId="13037" priority="12875" stopIfTrue="1" operator="equal">
      <formula>"Pass"</formula>
    </cfRule>
    <cfRule type="cellIs" dxfId="13036" priority="12876" stopIfTrue="1" operator="equal">
      <formula>"Fail"</formula>
    </cfRule>
  </conditionalFormatting>
  <conditionalFormatting sqref="A994">
    <cfRule type="cellIs" dxfId="13035" priority="12873" stopIfTrue="1" operator="equal">
      <formula>"Pass"</formula>
    </cfRule>
    <cfRule type="cellIs" dxfId="13034" priority="12874" stopIfTrue="1" operator="equal">
      <formula>"Fail"</formula>
    </cfRule>
  </conditionalFormatting>
  <conditionalFormatting sqref="A994">
    <cfRule type="cellIs" dxfId="13033" priority="12871" stopIfTrue="1" operator="equal">
      <formula>"Pass"</formula>
    </cfRule>
    <cfRule type="cellIs" dxfId="13032" priority="12872" stopIfTrue="1" operator="equal">
      <formula>"Fail"</formula>
    </cfRule>
  </conditionalFormatting>
  <conditionalFormatting sqref="A994">
    <cfRule type="cellIs" dxfId="13031" priority="12869" stopIfTrue="1" operator="equal">
      <formula>"Pass"</formula>
    </cfRule>
    <cfRule type="cellIs" dxfId="13030" priority="12870" stopIfTrue="1" operator="equal">
      <formula>"Fail"</formula>
    </cfRule>
  </conditionalFormatting>
  <conditionalFormatting sqref="A994">
    <cfRule type="cellIs" dxfId="13029" priority="12867" stopIfTrue="1" operator="equal">
      <formula>"Pass"</formula>
    </cfRule>
    <cfRule type="cellIs" dxfId="13028" priority="12868" stopIfTrue="1" operator="equal">
      <formula>"Fail"</formula>
    </cfRule>
  </conditionalFormatting>
  <conditionalFormatting sqref="A994">
    <cfRule type="cellIs" dxfId="13027" priority="12865" stopIfTrue="1" operator="equal">
      <formula>"Pass"</formula>
    </cfRule>
    <cfRule type="cellIs" dxfId="13026" priority="12866" stopIfTrue="1" operator="equal">
      <formula>"Fail"</formula>
    </cfRule>
  </conditionalFormatting>
  <conditionalFormatting sqref="A994">
    <cfRule type="cellIs" dxfId="13025" priority="12863" stopIfTrue="1" operator="equal">
      <formula>"Pass"</formula>
    </cfRule>
    <cfRule type="cellIs" dxfId="13024" priority="12864" stopIfTrue="1" operator="equal">
      <formula>"Fail"</formula>
    </cfRule>
  </conditionalFormatting>
  <conditionalFormatting sqref="A994">
    <cfRule type="cellIs" dxfId="13023" priority="12861" stopIfTrue="1" operator="equal">
      <formula>"Pass"</formula>
    </cfRule>
    <cfRule type="cellIs" dxfId="13022" priority="12862" stopIfTrue="1" operator="equal">
      <formula>"Fail"</formula>
    </cfRule>
  </conditionalFormatting>
  <conditionalFormatting sqref="A994">
    <cfRule type="cellIs" dxfId="13021" priority="12859" stopIfTrue="1" operator="equal">
      <formula>"Pass"</formula>
    </cfRule>
    <cfRule type="cellIs" dxfId="13020" priority="12860" stopIfTrue="1" operator="equal">
      <formula>"Fail"</formula>
    </cfRule>
  </conditionalFormatting>
  <conditionalFormatting sqref="A994">
    <cfRule type="cellIs" dxfId="13019" priority="12857" stopIfTrue="1" operator="equal">
      <formula>"Pass"</formula>
    </cfRule>
    <cfRule type="cellIs" dxfId="13018" priority="12858" stopIfTrue="1" operator="equal">
      <formula>"Fail"</formula>
    </cfRule>
  </conditionalFormatting>
  <conditionalFormatting sqref="A994">
    <cfRule type="cellIs" dxfId="13017" priority="12855" stopIfTrue="1" operator="equal">
      <formula>"Pass"</formula>
    </cfRule>
    <cfRule type="cellIs" dxfId="13016" priority="12856" stopIfTrue="1" operator="equal">
      <formula>"Fail"</formula>
    </cfRule>
  </conditionalFormatting>
  <conditionalFormatting sqref="A994">
    <cfRule type="cellIs" dxfId="13015" priority="12853" stopIfTrue="1" operator="equal">
      <formula>"Pass"</formula>
    </cfRule>
    <cfRule type="cellIs" dxfId="13014" priority="12854" stopIfTrue="1" operator="equal">
      <formula>"Fail"</formula>
    </cfRule>
  </conditionalFormatting>
  <conditionalFormatting sqref="A994">
    <cfRule type="cellIs" dxfId="13013" priority="12851" stopIfTrue="1" operator="equal">
      <formula>"Pass"</formula>
    </cfRule>
    <cfRule type="cellIs" dxfId="13012" priority="12852" stopIfTrue="1" operator="equal">
      <formula>"Fail"</formula>
    </cfRule>
  </conditionalFormatting>
  <conditionalFormatting sqref="U994:V994">
    <cfRule type="cellIs" dxfId="13011" priority="12849" stopIfTrue="1" operator="equal">
      <formula>"Fail"</formula>
    </cfRule>
    <cfRule type="cellIs" dxfId="13010" priority="12850" stopIfTrue="1" operator="equal">
      <formula>"Pass"</formula>
    </cfRule>
  </conditionalFormatting>
  <conditionalFormatting sqref="U994:V994">
    <cfRule type="cellIs" dxfId="13009" priority="12847" stopIfTrue="1" operator="equal">
      <formula>"Fail"</formula>
    </cfRule>
    <cfRule type="cellIs" dxfId="13008" priority="12848" stopIfTrue="1" operator="equal">
      <formula>"Pass"</formula>
    </cfRule>
  </conditionalFormatting>
  <conditionalFormatting sqref="U994:V994">
    <cfRule type="cellIs" dxfId="13007" priority="12845" stopIfTrue="1" operator="equal">
      <formula>"Fail"</formula>
    </cfRule>
    <cfRule type="cellIs" dxfId="13006" priority="12846" stopIfTrue="1" operator="equal">
      <formula>"Pass"</formula>
    </cfRule>
  </conditionalFormatting>
  <conditionalFormatting sqref="U994:V994">
    <cfRule type="cellIs" dxfId="13005" priority="12843" stopIfTrue="1" operator="equal">
      <formula>"Fail"</formula>
    </cfRule>
    <cfRule type="cellIs" dxfId="13004" priority="12844" stopIfTrue="1" operator="equal">
      <formula>"Pass"</formula>
    </cfRule>
  </conditionalFormatting>
  <conditionalFormatting sqref="A997:A999">
    <cfRule type="cellIs" dxfId="13003" priority="12841" stopIfTrue="1" operator="equal">
      <formula>"Pass"</formula>
    </cfRule>
    <cfRule type="cellIs" dxfId="13002" priority="12842" stopIfTrue="1" operator="equal">
      <formula>"Fail"</formula>
    </cfRule>
  </conditionalFormatting>
  <conditionalFormatting sqref="A997:A999">
    <cfRule type="cellIs" dxfId="13001" priority="12839" stopIfTrue="1" operator="equal">
      <formula>"Pass"</formula>
    </cfRule>
    <cfRule type="cellIs" dxfId="13000" priority="12840" stopIfTrue="1" operator="equal">
      <formula>"Fail"</formula>
    </cfRule>
  </conditionalFormatting>
  <conditionalFormatting sqref="A997:A999">
    <cfRule type="cellIs" dxfId="12999" priority="12837" stopIfTrue="1" operator="equal">
      <formula>"Pass"</formula>
    </cfRule>
    <cfRule type="cellIs" dxfId="12998" priority="12838" stopIfTrue="1" operator="equal">
      <formula>"Fail"</formula>
    </cfRule>
  </conditionalFormatting>
  <conditionalFormatting sqref="A997:A999">
    <cfRule type="cellIs" dxfId="12997" priority="12835" stopIfTrue="1" operator="equal">
      <formula>"Pass"</formula>
    </cfRule>
    <cfRule type="cellIs" dxfId="12996" priority="12836" stopIfTrue="1" operator="equal">
      <formula>"Fail"</formula>
    </cfRule>
  </conditionalFormatting>
  <conditionalFormatting sqref="A997:A999">
    <cfRule type="cellIs" dxfId="12995" priority="12833" stopIfTrue="1" operator="equal">
      <formula>"Pass"</formula>
    </cfRule>
    <cfRule type="cellIs" dxfId="12994" priority="12834" stopIfTrue="1" operator="equal">
      <formula>"Fail"</formula>
    </cfRule>
  </conditionalFormatting>
  <conditionalFormatting sqref="A999">
    <cfRule type="cellIs" dxfId="12993" priority="12831" stopIfTrue="1" operator="equal">
      <formula>"Pass"</formula>
    </cfRule>
    <cfRule type="cellIs" dxfId="12992" priority="12832" stopIfTrue="1" operator="equal">
      <formula>"Fail"</formula>
    </cfRule>
  </conditionalFormatting>
  <conditionalFormatting sqref="A997:A999">
    <cfRule type="cellIs" dxfId="12991" priority="12829" stopIfTrue="1" operator="equal">
      <formula>"Pass"</formula>
    </cfRule>
    <cfRule type="cellIs" dxfId="12990" priority="12830" stopIfTrue="1" operator="equal">
      <formula>"Fail"</formula>
    </cfRule>
  </conditionalFormatting>
  <conditionalFormatting sqref="A997:A999">
    <cfRule type="cellIs" dxfId="12989" priority="12827" stopIfTrue="1" operator="equal">
      <formula>"Pass"</formula>
    </cfRule>
    <cfRule type="cellIs" dxfId="12988" priority="12828" stopIfTrue="1" operator="equal">
      <formula>"Fail"</formula>
    </cfRule>
  </conditionalFormatting>
  <conditionalFormatting sqref="A997:A999">
    <cfRule type="cellIs" dxfId="12987" priority="12825" stopIfTrue="1" operator="equal">
      <formula>"Pass"</formula>
    </cfRule>
    <cfRule type="cellIs" dxfId="12986" priority="12826" stopIfTrue="1" operator="equal">
      <formula>"Fail"</formula>
    </cfRule>
  </conditionalFormatting>
  <conditionalFormatting sqref="A997:A999">
    <cfRule type="cellIs" dxfId="12985" priority="12823" stopIfTrue="1" operator="equal">
      <formula>"Pass"</formula>
    </cfRule>
    <cfRule type="cellIs" dxfId="12984" priority="12824" stopIfTrue="1" operator="equal">
      <formula>"Fail"</formula>
    </cfRule>
  </conditionalFormatting>
  <conditionalFormatting sqref="A997:A999">
    <cfRule type="cellIs" dxfId="12983" priority="12821" stopIfTrue="1" operator="equal">
      <formula>"Pass"</formula>
    </cfRule>
    <cfRule type="cellIs" dxfId="12982" priority="12822" stopIfTrue="1" operator="equal">
      <formula>"Fail"</formula>
    </cfRule>
  </conditionalFormatting>
  <conditionalFormatting sqref="A997:A999">
    <cfRule type="cellIs" dxfId="12981" priority="12819" stopIfTrue="1" operator="equal">
      <formula>"Pass"</formula>
    </cfRule>
    <cfRule type="cellIs" dxfId="12980" priority="12820" stopIfTrue="1" operator="equal">
      <formula>"Fail"</formula>
    </cfRule>
  </conditionalFormatting>
  <conditionalFormatting sqref="A999">
    <cfRule type="cellIs" dxfId="12979" priority="12817" stopIfTrue="1" operator="equal">
      <formula>"Pass"</formula>
    </cfRule>
    <cfRule type="cellIs" dxfId="12978" priority="12818" stopIfTrue="1" operator="equal">
      <formula>"Fail"</formula>
    </cfRule>
  </conditionalFormatting>
  <conditionalFormatting sqref="A997:A999">
    <cfRule type="cellIs" dxfId="12977" priority="12815" stopIfTrue="1" operator="equal">
      <formula>"Pass"</formula>
    </cfRule>
    <cfRule type="cellIs" dxfId="12976" priority="12816" stopIfTrue="1" operator="equal">
      <formula>"Fail"</formula>
    </cfRule>
  </conditionalFormatting>
  <conditionalFormatting sqref="A997:A999">
    <cfRule type="cellIs" dxfId="12975" priority="12813" stopIfTrue="1" operator="equal">
      <formula>"Pass"</formula>
    </cfRule>
    <cfRule type="cellIs" dxfId="12974" priority="12814" stopIfTrue="1" operator="equal">
      <formula>"Fail"</formula>
    </cfRule>
  </conditionalFormatting>
  <conditionalFormatting sqref="A997:A999">
    <cfRule type="cellIs" dxfId="12973" priority="12811" stopIfTrue="1" operator="equal">
      <formula>"Pass"</formula>
    </cfRule>
    <cfRule type="cellIs" dxfId="12972" priority="12812" stopIfTrue="1" operator="equal">
      <formula>"Fail"</formula>
    </cfRule>
  </conditionalFormatting>
  <conditionalFormatting sqref="A997:A999">
    <cfRule type="cellIs" dxfId="12971" priority="12809" stopIfTrue="1" operator="equal">
      <formula>"Pass"</formula>
    </cfRule>
    <cfRule type="cellIs" dxfId="12970" priority="12810" stopIfTrue="1" operator="equal">
      <formula>"Fail"</formula>
    </cfRule>
  </conditionalFormatting>
  <conditionalFormatting sqref="A997:A999">
    <cfRule type="cellIs" dxfId="12969" priority="12807" stopIfTrue="1" operator="equal">
      <formula>"Pass"</formula>
    </cfRule>
    <cfRule type="cellIs" dxfId="12968" priority="12808" stopIfTrue="1" operator="equal">
      <formula>"Fail"</formula>
    </cfRule>
  </conditionalFormatting>
  <conditionalFormatting sqref="A997:A999">
    <cfRule type="cellIs" dxfId="12967" priority="12805" stopIfTrue="1" operator="equal">
      <formula>"Pass"</formula>
    </cfRule>
    <cfRule type="cellIs" dxfId="12966" priority="12806" stopIfTrue="1" operator="equal">
      <formula>"Fail"</formula>
    </cfRule>
  </conditionalFormatting>
  <conditionalFormatting sqref="A999">
    <cfRule type="cellIs" dxfId="12965" priority="12803" stopIfTrue="1" operator="equal">
      <formula>"Pass"</formula>
    </cfRule>
    <cfRule type="cellIs" dxfId="12964" priority="12804" stopIfTrue="1" operator="equal">
      <formula>"Fail"</formula>
    </cfRule>
  </conditionalFormatting>
  <conditionalFormatting sqref="A997:A999">
    <cfRule type="cellIs" dxfId="12963" priority="12801" stopIfTrue="1" operator="equal">
      <formula>"Pass"</formula>
    </cfRule>
    <cfRule type="cellIs" dxfId="12962" priority="12802" stopIfTrue="1" operator="equal">
      <formula>"Fail"</formula>
    </cfRule>
  </conditionalFormatting>
  <conditionalFormatting sqref="A997:A999">
    <cfRule type="cellIs" dxfId="12961" priority="12799" stopIfTrue="1" operator="equal">
      <formula>"Pass"</formula>
    </cfRule>
    <cfRule type="cellIs" dxfId="12960" priority="12800" stopIfTrue="1" operator="equal">
      <formula>"Fail"</formula>
    </cfRule>
  </conditionalFormatting>
  <conditionalFormatting sqref="A997:A999">
    <cfRule type="cellIs" dxfId="12959" priority="12797" stopIfTrue="1" operator="equal">
      <formula>"Pass"</formula>
    </cfRule>
    <cfRule type="cellIs" dxfId="12958" priority="12798" stopIfTrue="1" operator="equal">
      <formula>"Fail"</formula>
    </cfRule>
  </conditionalFormatting>
  <conditionalFormatting sqref="A997:A999">
    <cfRule type="cellIs" dxfId="12957" priority="12795" stopIfTrue="1" operator="equal">
      <formula>"Pass"</formula>
    </cfRule>
    <cfRule type="cellIs" dxfId="12956" priority="12796" stopIfTrue="1" operator="equal">
      <formula>"Fail"</formula>
    </cfRule>
  </conditionalFormatting>
  <conditionalFormatting sqref="A997:A999">
    <cfRule type="cellIs" dxfId="12955" priority="12793" stopIfTrue="1" operator="equal">
      <formula>"Pass"</formula>
    </cfRule>
    <cfRule type="cellIs" dxfId="12954" priority="12794" stopIfTrue="1" operator="equal">
      <formula>"Fail"</formula>
    </cfRule>
  </conditionalFormatting>
  <conditionalFormatting sqref="A997:A999">
    <cfRule type="cellIs" dxfId="12953" priority="12791" stopIfTrue="1" operator="equal">
      <formula>"Pass"</formula>
    </cfRule>
    <cfRule type="cellIs" dxfId="12952" priority="12792" stopIfTrue="1" operator="equal">
      <formula>"Fail"</formula>
    </cfRule>
  </conditionalFormatting>
  <conditionalFormatting sqref="A999">
    <cfRule type="cellIs" dxfId="12951" priority="12789" stopIfTrue="1" operator="equal">
      <formula>"Pass"</formula>
    </cfRule>
    <cfRule type="cellIs" dxfId="12950" priority="12790" stopIfTrue="1" operator="equal">
      <formula>"Fail"</formula>
    </cfRule>
  </conditionalFormatting>
  <conditionalFormatting sqref="A997:A999">
    <cfRule type="cellIs" dxfId="12949" priority="12787" stopIfTrue="1" operator="equal">
      <formula>"Pass"</formula>
    </cfRule>
    <cfRule type="cellIs" dxfId="12948" priority="12788" stopIfTrue="1" operator="equal">
      <formula>"Fail"</formula>
    </cfRule>
  </conditionalFormatting>
  <conditionalFormatting sqref="A997:A999">
    <cfRule type="cellIs" dxfId="12947" priority="12785" stopIfTrue="1" operator="equal">
      <formula>"Pass"</formula>
    </cfRule>
    <cfRule type="cellIs" dxfId="12946" priority="12786" stopIfTrue="1" operator="equal">
      <formula>"Fail"</formula>
    </cfRule>
  </conditionalFormatting>
  <conditionalFormatting sqref="A997:A999">
    <cfRule type="cellIs" dxfId="12945" priority="12783" stopIfTrue="1" operator="equal">
      <formula>"Pass"</formula>
    </cfRule>
    <cfRule type="cellIs" dxfId="12944" priority="12784" stopIfTrue="1" operator="equal">
      <formula>"Fail"</formula>
    </cfRule>
  </conditionalFormatting>
  <conditionalFormatting sqref="A997:A999">
    <cfRule type="cellIs" dxfId="12943" priority="12781" stopIfTrue="1" operator="equal">
      <formula>"Pass"</formula>
    </cfRule>
    <cfRule type="cellIs" dxfId="12942" priority="12782" stopIfTrue="1" operator="equal">
      <formula>"Fail"</formula>
    </cfRule>
  </conditionalFormatting>
  <conditionalFormatting sqref="A997:A999">
    <cfRule type="cellIs" dxfId="12941" priority="12779" stopIfTrue="1" operator="equal">
      <formula>"Pass"</formula>
    </cfRule>
    <cfRule type="cellIs" dxfId="12940" priority="12780" stopIfTrue="1" operator="equal">
      <formula>"Fail"</formula>
    </cfRule>
  </conditionalFormatting>
  <conditionalFormatting sqref="A997:A999">
    <cfRule type="cellIs" dxfId="12939" priority="12777" stopIfTrue="1" operator="equal">
      <formula>"Pass"</formula>
    </cfRule>
    <cfRule type="cellIs" dxfId="12938" priority="12778" stopIfTrue="1" operator="equal">
      <formula>"Fail"</formula>
    </cfRule>
  </conditionalFormatting>
  <conditionalFormatting sqref="A999">
    <cfRule type="cellIs" dxfId="12937" priority="12775" stopIfTrue="1" operator="equal">
      <formula>"Pass"</formula>
    </cfRule>
    <cfRule type="cellIs" dxfId="12936" priority="12776" stopIfTrue="1" operator="equal">
      <formula>"Fail"</formula>
    </cfRule>
  </conditionalFormatting>
  <conditionalFormatting sqref="A997:A999">
    <cfRule type="cellIs" dxfId="12935" priority="12773" stopIfTrue="1" operator="equal">
      <formula>"Pass"</formula>
    </cfRule>
    <cfRule type="cellIs" dxfId="12934" priority="12774" stopIfTrue="1" operator="equal">
      <formula>"Fail"</formula>
    </cfRule>
  </conditionalFormatting>
  <conditionalFormatting sqref="A997:A999">
    <cfRule type="cellIs" dxfId="12933" priority="12771" stopIfTrue="1" operator="equal">
      <formula>"Pass"</formula>
    </cfRule>
    <cfRule type="cellIs" dxfId="12932" priority="12772" stopIfTrue="1" operator="equal">
      <formula>"Fail"</formula>
    </cfRule>
  </conditionalFormatting>
  <conditionalFormatting sqref="A997:A999">
    <cfRule type="cellIs" dxfId="12931" priority="12769" stopIfTrue="1" operator="equal">
      <formula>"Pass"</formula>
    </cfRule>
    <cfRule type="cellIs" dxfId="12930" priority="12770" stopIfTrue="1" operator="equal">
      <formula>"Fail"</formula>
    </cfRule>
  </conditionalFormatting>
  <conditionalFormatting sqref="A997:A999">
    <cfRule type="cellIs" dxfId="12929" priority="12767" stopIfTrue="1" operator="equal">
      <formula>"Pass"</formula>
    </cfRule>
    <cfRule type="cellIs" dxfId="12928" priority="12768" stopIfTrue="1" operator="equal">
      <formula>"Fail"</formula>
    </cfRule>
  </conditionalFormatting>
  <conditionalFormatting sqref="A997:A999">
    <cfRule type="cellIs" dxfId="12927" priority="12765" stopIfTrue="1" operator="equal">
      <formula>"Pass"</formula>
    </cfRule>
    <cfRule type="cellIs" dxfId="12926" priority="12766" stopIfTrue="1" operator="equal">
      <formula>"Fail"</formula>
    </cfRule>
  </conditionalFormatting>
  <conditionalFormatting sqref="A997:A999">
    <cfRule type="cellIs" dxfId="12925" priority="12763" stopIfTrue="1" operator="equal">
      <formula>"Pass"</formula>
    </cfRule>
    <cfRule type="cellIs" dxfId="12924" priority="12764" stopIfTrue="1" operator="equal">
      <formula>"Fail"</formula>
    </cfRule>
  </conditionalFormatting>
  <conditionalFormatting sqref="A999">
    <cfRule type="cellIs" dxfId="12923" priority="12761" stopIfTrue="1" operator="equal">
      <formula>"Pass"</formula>
    </cfRule>
    <cfRule type="cellIs" dxfId="12922" priority="12762" stopIfTrue="1" operator="equal">
      <formula>"Fail"</formula>
    </cfRule>
  </conditionalFormatting>
  <conditionalFormatting sqref="A997:A999">
    <cfRule type="cellIs" dxfId="12921" priority="12759" stopIfTrue="1" operator="equal">
      <formula>"Pass"</formula>
    </cfRule>
    <cfRule type="cellIs" dxfId="12920" priority="12760" stopIfTrue="1" operator="equal">
      <formula>"Fail"</formula>
    </cfRule>
  </conditionalFormatting>
  <conditionalFormatting sqref="A997">
    <cfRule type="cellIs" dxfId="12919" priority="12757" stopIfTrue="1" operator="equal">
      <formula>"Pass"</formula>
    </cfRule>
    <cfRule type="cellIs" dxfId="12918" priority="12758" stopIfTrue="1" operator="equal">
      <formula>"Fail"</formula>
    </cfRule>
  </conditionalFormatting>
  <conditionalFormatting sqref="A997">
    <cfRule type="cellIs" dxfId="12917" priority="12755" stopIfTrue="1" operator="equal">
      <formula>"Pass"</formula>
    </cfRule>
    <cfRule type="cellIs" dxfId="12916" priority="12756" stopIfTrue="1" operator="equal">
      <formula>"Fail"</formula>
    </cfRule>
  </conditionalFormatting>
  <conditionalFormatting sqref="A997">
    <cfRule type="cellIs" dxfId="12915" priority="12753" stopIfTrue="1" operator="equal">
      <formula>"Pass"</formula>
    </cfRule>
    <cfRule type="cellIs" dxfId="12914" priority="12754" stopIfTrue="1" operator="equal">
      <formula>"Fail"</formula>
    </cfRule>
  </conditionalFormatting>
  <conditionalFormatting sqref="A997">
    <cfRule type="cellIs" dxfId="12913" priority="12751" stopIfTrue="1" operator="equal">
      <formula>"Pass"</formula>
    </cfRule>
    <cfRule type="cellIs" dxfId="12912" priority="12752" stopIfTrue="1" operator="equal">
      <formula>"Fail"</formula>
    </cfRule>
  </conditionalFormatting>
  <conditionalFormatting sqref="A997">
    <cfRule type="cellIs" dxfId="12911" priority="12749" stopIfTrue="1" operator="equal">
      <formula>"Pass"</formula>
    </cfRule>
    <cfRule type="cellIs" dxfId="12910" priority="12750" stopIfTrue="1" operator="equal">
      <formula>"Fail"</formula>
    </cfRule>
  </conditionalFormatting>
  <conditionalFormatting sqref="A997">
    <cfRule type="cellIs" dxfId="12909" priority="12747" stopIfTrue="1" operator="equal">
      <formula>"Pass"</formula>
    </cfRule>
    <cfRule type="cellIs" dxfId="12908" priority="12748" stopIfTrue="1" operator="equal">
      <formula>"Fail"</formula>
    </cfRule>
  </conditionalFormatting>
  <conditionalFormatting sqref="H997:H998">
    <cfRule type="cellIs" dxfId="12907" priority="12745" stopIfTrue="1" operator="equal">
      <formula>"Pass"</formula>
    </cfRule>
    <cfRule type="cellIs" dxfId="12906" priority="12746" stopIfTrue="1" operator="equal">
      <formula>"Fail"</formula>
    </cfRule>
  </conditionalFormatting>
  <conditionalFormatting sqref="E997:F997 E999:F999 A997 I997:M998">
    <cfRule type="cellIs" dxfId="12905" priority="12743" stopIfTrue="1" operator="equal">
      <formula>"Pass"</formula>
    </cfRule>
    <cfRule type="cellIs" dxfId="12904" priority="12744" stopIfTrue="1" operator="equal">
      <formula>"Fail"</formula>
    </cfRule>
  </conditionalFormatting>
  <conditionalFormatting sqref="T999 T997 R997:R999 S998:S999">
    <cfRule type="cellIs" dxfId="12903" priority="12741" stopIfTrue="1" operator="equal">
      <formula>"Fail"</formula>
    </cfRule>
    <cfRule type="cellIs" dxfId="12902" priority="12742" stopIfTrue="1" operator="equal">
      <formula>"Pass"</formula>
    </cfRule>
  </conditionalFormatting>
  <conditionalFormatting sqref="F997:G997 F999:G999 B997:B999 A997 J997:N998">
    <cfRule type="cellIs" dxfId="12901" priority="12739" stopIfTrue="1" operator="equal">
      <formula>"Pass"</formula>
    </cfRule>
    <cfRule type="cellIs" dxfId="12900" priority="12740" stopIfTrue="1" operator="equal">
      <formula>"Fail"</formula>
    </cfRule>
  </conditionalFormatting>
  <conditionalFormatting sqref="U999:V999 T997:T999 S998:S999">
    <cfRule type="cellIs" dxfId="12899" priority="12737" stopIfTrue="1" operator="equal">
      <formula>"Fail"</formula>
    </cfRule>
    <cfRule type="cellIs" dxfId="12898" priority="12738" stopIfTrue="1" operator="equal">
      <formula>"Pass"</formula>
    </cfRule>
  </conditionalFormatting>
  <conditionalFormatting sqref="A997">
    <cfRule type="cellIs" dxfId="12897" priority="12735" stopIfTrue="1" operator="equal">
      <formula>"Pass"</formula>
    </cfRule>
    <cfRule type="cellIs" dxfId="12896" priority="12736" stopIfTrue="1" operator="equal">
      <formula>"Fail"</formula>
    </cfRule>
  </conditionalFormatting>
  <conditionalFormatting sqref="A997">
    <cfRule type="cellIs" dxfId="12895" priority="12733" stopIfTrue="1" operator="equal">
      <formula>"Pass"</formula>
    </cfRule>
    <cfRule type="cellIs" dxfId="12894" priority="12734" stopIfTrue="1" operator="equal">
      <formula>"Fail"</formula>
    </cfRule>
  </conditionalFormatting>
  <conditionalFormatting sqref="A997">
    <cfRule type="cellIs" dxfId="12893" priority="12731" stopIfTrue="1" operator="equal">
      <formula>"Pass"</formula>
    </cfRule>
    <cfRule type="cellIs" dxfId="12892" priority="12732" stopIfTrue="1" operator="equal">
      <formula>"Fail"</formula>
    </cfRule>
  </conditionalFormatting>
  <conditionalFormatting sqref="A997">
    <cfRule type="cellIs" dxfId="12891" priority="12729" stopIfTrue="1" operator="equal">
      <formula>"Pass"</formula>
    </cfRule>
    <cfRule type="cellIs" dxfId="12890" priority="12730" stopIfTrue="1" operator="equal">
      <formula>"Fail"</formula>
    </cfRule>
  </conditionalFormatting>
  <conditionalFormatting sqref="A997">
    <cfRule type="cellIs" dxfId="12889" priority="12727" stopIfTrue="1" operator="equal">
      <formula>"Pass"</formula>
    </cfRule>
    <cfRule type="cellIs" dxfId="12888" priority="12728" stopIfTrue="1" operator="equal">
      <formula>"Fail"</formula>
    </cfRule>
  </conditionalFormatting>
  <conditionalFormatting sqref="A997">
    <cfRule type="cellIs" dxfId="12887" priority="12725" stopIfTrue="1" operator="equal">
      <formula>"Pass"</formula>
    </cfRule>
    <cfRule type="cellIs" dxfId="12886" priority="12726" stopIfTrue="1" operator="equal">
      <formula>"Fail"</formula>
    </cfRule>
  </conditionalFormatting>
  <conditionalFormatting sqref="A997">
    <cfRule type="cellIs" dxfId="12885" priority="12723" stopIfTrue="1" operator="equal">
      <formula>"Pass"</formula>
    </cfRule>
    <cfRule type="cellIs" dxfId="12884" priority="12724" stopIfTrue="1" operator="equal">
      <formula>"Fail"</formula>
    </cfRule>
  </conditionalFormatting>
  <conditionalFormatting sqref="A997">
    <cfRule type="cellIs" dxfId="12883" priority="12721" stopIfTrue="1" operator="equal">
      <formula>"Pass"</formula>
    </cfRule>
    <cfRule type="cellIs" dxfId="12882" priority="12722" stopIfTrue="1" operator="equal">
      <formula>"Fail"</formula>
    </cfRule>
  </conditionalFormatting>
  <conditionalFormatting sqref="A997">
    <cfRule type="cellIs" dxfId="12881" priority="12719" stopIfTrue="1" operator="equal">
      <formula>"Pass"</formula>
    </cfRule>
    <cfRule type="cellIs" dxfId="12880" priority="12720" stopIfTrue="1" operator="equal">
      <formula>"Fail"</formula>
    </cfRule>
  </conditionalFormatting>
  <conditionalFormatting sqref="A997">
    <cfRule type="cellIs" dxfId="12879" priority="12717" stopIfTrue="1" operator="equal">
      <formula>"Pass"</formula>
    </cfRule>
    <cfRule type="cellIs" dxfId="12878" priority="12718" stopIfTrue="1" operator="equal">
      <formula>"Fail"</formula>
    </cfRule>
  </conditionalFormatting>
  <conditionalFormatting sqref="U997:V997">
    <cfRule type="cellIs" dxfId="12877" priority="12715" stopIfTrue="1" operator="equal">
      <formula>"Fail"</formula>
    </cfRule>
    <cfRule type="cellIs" dxfId="12876" priority="12716" stopIfTrue="1" operator="equal">
      <formula>"Pass"</formula>
    </cfRule>
  </conditionalFormatting>
  <conditionalFormatting sqref="F997:G997 J997:N997">
    <cfRule type="cellIs" dxfId="12875" priority="12713" stopIfTrue="1" operator="equal">
      <formula>"Pass"</formula>
    </cfRule>
    <cfRule type="cellIs" dxfId="12874" priority="12714" stopIfTrue="1" operator="equal">
      <formula>"Fail"</formula>
    </cfRule>
  </conditionalFormatting>
  <conditionalFormatting sqref="J998:N998">
    <cfRule type="cellIs" dxfId="12873" priority="12711" stopIfTrue="1" operator="equal">
      <formula>"Pass"</formula>
    </cfRule>
    <cfRule type="cellIs" dxfId="12872" priority="12712" stopIfTrue="1" operator="equal">
      <formula>"Fail"</formula>
    </cfRule>
  </conditionalFormatting>
  <conditionalFormatting sqref="A997">
    <cfRule type="cellIs" dxfId="12871" priority="12709" stopIfTrue="1" operator="equal">
      <formula>"Pass"</formula>
    </cfRule>
    <cfRule type="cellIs" dxfId="12870" priority="12710" stopIfTrue="1" operator="equal">
      <formula>"Fail"</formula>
    </cfRule>
  </conditionalFormatting>
  <conditionalFormatting sqref="A997">
    <cfRule type="cellIs" dxfId="12869" priority="12707" stopIfTrue="1" operator="equal">
      <formula>"Pass"</formula>
    </cfRule>
    <cfRule type="cellIs" dxfId="12868" priority="12708" stopIfTrue="1" operator="equal">
      <formula>"Fail"</formula>
    </cfRule>
  </conditionalFormatting>
  <conditionalFormatting sqref="A997">
    <cfRule type="cellIs" dxfId="12867" priority="12705" stopIfTrue="1" operator="equal">
      <formula>"Pass"</formula>
    </cfRule>
    <cfRule type="cellIs" dxfId="12866" priority="12706" stopIfTrue="1" operator="equal">
      <formula>"Fail"</formula>
    </cfRule>
  </conditionalFormatting>
  <conditionalFormatting sqref="A997">
    <cfRule type="cellIs" dxfId="12865" priority="12703" stopIfTrue="1" operator="equal">
      <formula>"Pass"</formula>
    </cfRule>
    <cfRule type="cellIs" dxfId="12864" priority="12704" stopIfTrue="1" operator="equal">
      <formula>"Fail"</formula>
    </cfRule>
  </conditionalFormatting>
  <conditionalFormatting sqref="A997">
    <cfRule type="cellIs" dxfId="12863" priority="12701" stopIfTrue="1" operator="equal">
      <formula>"Pass"</formula>
    </cfRule>
    <cfRule type="cellIs" dxfId="12862" priority="12702" stopIfTrue="1" operator="equal">
      <formula>"Fail"</formula>
    </cfRule>
  </conditionalFormatting>
  <conditionalFormatting sqref="A997">
    <cfRule type="cellIs" dxfId="12861" priority="12699" stopIfTrue="1" operator="equal">
      <formula>"Pass"</formula>
    </cfRule>
    <cfRule type="cellIs" dxfId="12860" priority="12700" stopIfTrue="1" operator="equal">
      <formula>"Fail"</formula>
    </cfRule>
  </conditionalFormatting>
  <conditionalFormatting sqref="A997">
    <cfRule type="cellIs" dxfId="12859" priority="12697" stopIfTrue="1" operator="equal">
      <formula>"Pass"</formula>
    </cfRule>
    <cfRule type="cellIs" dxfId="12858" priority="12698" stopIfTrue="1" operator="equal">
      <formula>"Fail"</formula>
    </cfRule>
  </conditionalFormatting>
  <conditionalFormatting sqref="A997">
    <cfRule type="cellIs" dxfId="12857" priority="12695" stopIfTrue="1" operator="equal">
      <formula>"Pass"</formula>
    </cfRule>
    <cfRule type="cellIs" dxfId="12856" priority="12696" stopIfTrue="1" operator="equal">
      <formula>"Fail"</formula>
    </cfRule>
  </conditionalFormatting>
  <conditionalFormatting sqref="A997">
    <cfRule type="cellIs" dxfId="12855" priority="12693" stopIfTrue="1" operator="equal">
      <formula>"Pass"</formula>
    </cfRule>
    <cfRule type="cellIs" dxfId="12854" priority="12694" stopIfTrue="1" operator="equal">
      <formula>"Fail"</formula>
    </cfRule>
  </conditionalFormatting>
  <conditionalFormatting sqref="A997">
    <cfRule type="cellIs" dxfId="12853" priority="12691" stopIfTrue="1" operator="equal">
      <formula>"Pass"</formula>
    </cfRule>
    <cfRule type="cellIs" dxfId="12852" priority="12692" stopIfTrue="1" operator="equal">
      <formula>"Fail"</formula>
    </cfRule>
  </conditionalFormatting>
  <conditionalFormatting sqref="A997">
    <cfRule type="cellIs" dxfId="12851" priority="12689" stopIfTrue="1" operator="equal">
      <formula>"Pass"</formula>
    </cfRule>
    <cfRule type="cellIs" dxfId="12850" priority="12690" stopIfTrue="1" operator="equal">
      <formula>"Fail"</formula>
    </cfRule>
  </conditionalFormatting>
  <conditionalFormatting sqref="A997">
    <cfRule type="cellIs" dxfId="12849" priority="12687" stopIfTrue="1" operator="equal">
      <formula>"Pass"</formula>
    </cfRule>
    <cfRule type="cellIs" dxfId="12848" priority="12688" stopIfTrue="1" operator="equal">
      <formula>"Fail"</formula>
    </cfRule>
  </conditionalFormatting>
  <conditionalFormatting sqref="H997:H998">
    <cfRule type="cellIs" dxfId="12847" priority="12685" stopIfTrue="1" operator="equal">
      <formula>"Pass"</formula>
    </cfRule>
    <cfRule type="cellIs" dxfId="12846" priority="12686" stopIfTrue="1" operator="equal">
      <formula>"Fail"</formula>
    </cfRule>
  </conditionalFormatting>
  <conditionalFormatting sqref="F997 F999 I997:M998">
    <cfRule type="cellIs" dxfId="12845" priority="12683" stopIfTrue="1" operator="equal">
      <formula>"Pass"</formula>
    </cfRule>
    <cfRule type="cellIs" dxfId="12844" priority="12684" stopIfTrue="1" operator="equal">
      <formula>"Fail"</formula>
    </cfRule>
  </conditionalFormatting>
  <conditionalFormatting sqref="T999 T997 R997:R999 S998:S999">
    <cfRule type="cellIs" dxfId="12843" priority="12681" stopIfTrue="1" operator="equal">
      <formula>"Fail"</formula>
    </cfRule>
    <cfRule type="cellIs" dxfId="12842" priority="12682" stopIfTrue="1" operator="equal">
      <formula>"Pass"</formula>
    </cfRule>
  </conditionalFormatting>
  <conditionalFormatting sqref="F997:G997 F999:G999 J997:N998">
    <cfRule type="cellIs" dxfId="12841" priority="12679" stopIfTrue="1" operator="equal">
      <formula>"Pass"</formula>
    </cfRule>
    <cfRule type="cellIs" dxfId="12840" priority="12680" stopIfTrue="1" operator="equal">
      <formula>"Fail"</formula>
    </cfRule>
  </conditionalFormatting>
  <conditionalFormatting sqref="U999:V999 T997:T999 S998:S999">
    <cfRule type="cellIs" dxfId="12839" priority="12677" stopIfTrue="1" operator="equal">
      <formula>"Fail"</formula>
    </cfRule>
    <cfRule type="cellIs" dxfId="12838" priority="12678" stopIfTrue="1" operator="equal">
      <formula>"Pass"</formula>
    </cfRule>
  </conditionalFormatting>
  <conditionalFormatting sqref="U997:V997">
    <cfRule type="cellIs" dxfId="12837" priority="12675" stopIfTrue="1" operator="equal">
      <formula>"Fail"</formula>
    </cfRule>
    <cfRule type="cellIs" dxfId="12836" priority="12676" stopIfTrue="1" operator="equal">
      <formula>"Pass"</formula>
    </cfRule>
  </conditionalFormatting>
  <conditionalFormatting sqref="F997:G997 J997:N997">
    <cfRule type="cellIs" dxfId="12835" priority="12673" stopIfTrue="1" operator="equal">
      <formula>"Pass"</formula>
    </cfRule>
    <cfRule type="cellIs" dxfId="12834" priority="12674" stopIfTrue="1" operator="equal">
      <formula>"Fail"</formula>
    </cfRule>
  </conditionalFormatting>
  <conditionalFormatting sqref="J998:N998">
    <cfRule type="cellIs" dxfId="12833" priority="12671" stopIfTrue="1" operator="equal">
      <formula>"Pass"</formula>
    </cfRule>
    <cfRule type="cellIs" dxfId="12832" priority="12672" stopIfTrue="1" operator="equal">
      <formula>"Fail"</formula>
    </cfRule>
  </conditionalFormatting>
  <conditionalFormatting sqref="H997:H998">
    <cfRule type="cellIs" dxfId="12831" priority="12669" stopIfTrue="1" operator="equal">
      <formula>"Pass"</formula>
    </cfRule>
    <cfRule type="cellIs" dxfId="12830" priority="12670" stopIfTrue="1" operator="equal">
      <formula>"Fail"</formula>
    </cfRule>
  </conditionalFormatting>
  <conditionalFormatting sqref="F997 F999 I997:M998">
    <cfRule type="cellIs" dxfId="12829" priority="12667" stopIfTrue="1" operator="equal">
      <formula>"Pass"</formula>
    </cfRule>
    <cfRule type="cellIs" dxfId="12828" priority="12668" stopIfTrue="1" operator="equal">
      <formula>"Fail"</formula>
    </cfRule>
  </conditionalFormatting>
  <conditionalFormatting sqref="T999 T997 R997:R999 S998:S999">
    <cfRule type="cellIs" dxfId="12827" priority="12665" stopIfTrue="1" operator="equal">
      <formula>"Fail"</formula>
    </cfRule>
    <cfRule type="cellIs" dxfId="12826" priority="12666" stopIfTrue="1" operator="equal">
      <formula>"Pass"</formula>
    </cfRule>
  </conditionalFormatting>
  <conditionalFormatting sqref="F997:G997 F999:G999 J997:N998">
    <cfRule type="cellIs" dxfId="12825" priority="12663" stopIfTrue="1" operator="equal">
      <formula>"Pass"</formula>
    </cfRule>
    <cfRule type="cellIs" dxfId="12824" priority="12664" stopIfTrue="1" operator="equal">
      <formula>"Fail"</formula>
    </cfRule>
  </conditionalFormatting>
  <conditionalFormatting sqref="U999:V999 T997:T999 S998:S999">
    <cfRule type="cellIs" dxfId="12823" priority="12661" stopIfTrue="1" operator="equal">
      <formula>"Fail"</formula>
    </cfRule>
    <cfRule type="cellIs" dxfId="12822" priority="12662" stopIfTrue="1" operator="equal">
      <formula>"Pass"</formula>
    </cfRule>
  </conditionalFormatting>
  <conditionalFormatting sqref="U997:V997">
    <cfRule type="cellIs" dxfId="12821" priority="12659" stopIfTrue="1" operator="equal">
      <formula>"Fail"</formula>
    </cfRule>
    <cfRule type="cellIs" dxfId="12820" priority="12660" stopIfTrue="1" operator="equal">
      <formula>"Pass"</formula>
    </cfRule>
  </conditionalFormatting>
  <conditionalFormatting sqref="F997:G997 J997:N997">
    <cfRule type="cellIs" dxfId="12819" priority="12657" stopIfTrue="1" operator="equal">
      <formula>"Pass"</formula>
    </cfRule>
    <cfRule type="cellIs" dxfId="12818" priority="12658" stopIfTrue="1" operator="equal">
      <formula>"Fail"</formula>
    </cfRule>
  </conditionalFormatting>
  <conditionalFormatting sqref="J998:N998">
    <cfRule type="cellIs" dxfId="12817" priority="12655" stopIfTrue="1" operator="equal">
      <formula>"Pass"</formula>
    </cfRule>
    <cfRule type="cellIs" dxfId="12816" priority="12656" stopIfTrue="1" operator="equal">
      <formula>"Fail"</formula>
    </cfRule>
  </conditionalFormatting>
  <conditionalFormatting sqref="U997:V997">
    <cfRule type="cellIs" dxfId="12815" priority="12653" stopIfTrue="1" operator="equal">
      <formula>"Fail"</formula>
    </cfRule>
    <cfRule type="cellIs" dxfId="12814" priority="12654" stopIfTrue="1" operator="equal">
      <formula>"Pass"</formula>
    </cfRule>
  </conditionalFormatting>
  <conditionalFormatting sqref="U997:V997">
    <cfRule type="cellIs" dxfId="12813" priority="12651" stopIfTrue="1" operator="equal">
      <formula>"Fail"</formula>
    </cfRule>
    <cfRule type="cellIs" dxfId="12812" priority="12652" stopIfTrue="1" operator="equal">
      <formula>"Pass"</formula>
    </cfRule>
  </conditionalFormatting>
  <conditionalFormatting sqref="U997:V997">
    <cfRule type="cellIs" dxfId="12811" priority="12649" stopIfTrue="1" operator="equal">
      <formula>"Fail"</formula>
    </cfRule>
    <cfRule type="cellIs" dxfId="12810" priority="12650" stopIfTrue="1" operator="equal">
      <formula>"Pass"</formula>
    </cfRule>
  </conditionalFormatting>
  <conditionalFormatting sqref="N997">
    <cfRule type="cellIs" dxfId="12809" priority="12647" stopIfTrue="1" operator="equal">
      <formula>"Pass"</formula>
    </cfRule>
    <cfRule type="cellIs" dxfId="12808" priority="12648" stopIfTrue="1" operator="equal">
      <formula>"Fail"</formula>
    </cfRule>
  </conditionalFormatting>
  <conditionalFormatting sqref="N997">
    <cfRule type="cellIs" dxfId="12807" priority="12645" stopIfTrue="1" operator="equal">
      <formula>"Pass"</formula>
    </cfRule>
    <cfRule type="cellIs" dxfId="12806" priority="12646" stopIfTrue="1" operator="equal">
      <formula>"Fail"</formula>
    </cfRule>
  </conditionalFormatting>
  <conditionalFormatting sqref="N997">
    <cfRule type="cellIs" dxfId="12805" priority="12643" stopIfTrue="1" operator="equal">
      <formula>"Pass"</formula>
    </cfRule>
    <cfRule type="cellIs" dxfId="12804" priority="12644" stopIfTrue="1" operator="equal">
      <formula>"Fail"</formula>
    </cfRule>
  </conditionalFormatting>
  <conditionalFormatting sqref="A997">
    <cfRule type="cellIs" dxfId="12803" priority="12641" stopIfTrue="1" operator="equal">
      <formula>"Pass"</formula>
    </cfRule>
    <cfRule type="cellIs" dxfId="12802" priority="12642" stopIfTrue="1" operator="equal">
      <formula>"Fail"</formula>
    </cfRule>
  </conditionalFormatting>
  <conditionalFormatting sqref="A997">
    <cfRule type="cellIs" dxfId="12801" priority="12639" stopIfTrue="1" operator="equal">
      <formula>"Pass"</formula>
    </cfRule>
    <cfRule type="cellIs" dxfId="12800" priority="12640" stopIfTrue="1" operator="equal">
      <formula>"Fail"</formula>
    </cfRule>
  </conditionalFormatting>
  <conditionalFormatting sqref="A997">
    <cfRule type="cellIs" dxfId="12799" priority="12637" stopIfTrue="1" operator="equal">
      <formula>"Pass"</formula>
    </cfRule>
    <cfRule type="cellIs" dxfId="12798" priority="12638" stopIfTrue="1" operator="equal">
      <formula>"Fail"</formula>
    </cfRule>
  </conditionalFormatting>
  <conditionalFormatting sqref="A997">
    <cfRule type="cellIs" dxfId="12797" priority="12635" stopIfTrue="1" operator="equal">
      <formula>"Pass"</formula>
    </cfRule>
    <cfRule type="cellIs" dxfId="12796" priority="12636" stopIfTrue="1" operator="equal">
      <formula>"Fail"</formula>
    </cfRule>
  </conditionalFormatting>
  <conditionalFormatting sqref="A997">
    <cfRule type="cellIs" dxfId="12795" priority="12633" stopIfTrue="1" operator="equal">
      <formula>"Pass"</formula>
    </cfRule>
    <cfRule type="cellIs" dxfId="12794" priority="12634" stopIfTrue="1" operator="equal">
      <formula>"Fail"</formula>
    </cfRule>
  </conditionalFormatting>
  <conditionalFormatting sqref="A997">
    <cfRule type="cellIs" dxfId="12793" priority="12631" stopIfTrue="1" operator="equal">
      <formula>"Pass"</formula>
    </cfRule>
    <cfRule type="cellIs" dxfId="12792" priority="12632" stopIfTrue="1" operator="equal">
      <formula>"Fail"</formula>
    </cfRule>
  </conditionalFormatting>
  <conditionalFormatting sqref="A997">
    <cfRule type="cellIs" dxfId="12791" priority="12629" stopIfTrue="1" operator="equal">
      <formula>"Pass"</formula>
    </cfRule>
    <cfRule type="cellIs" dxfId="12790" priority="12630" stopIfTrue="1" operator="equal">
      <formula>"Fail"</formula>
    </cfRule>
  </conditionalFormatting>
  <conditionalFormatting sqref="A997">
    <cfRule type="cellIs" dxfId="12789" priority="12627" stopIfTrue="1" operator="equal">
      <formula>"Pass"</formula>
    </cfRule>
    <cfRule type="cellIs" dxfId="12788" priority="12628" stopIfTrue="1" operator="equal">
      <formula>"Fail"</formula>
    </cfRule>
  </conditionalFormatting>
  <conditionalFormatting sqref="A997">
    <cfRule type="cellIs" dxfId="12787" priority="12625" stopIfTrue="1" operator="equal">
      <formula>"Pass"</formula>
    </cfRule>
    <cfRule type="cellIs" dxfId="12786" priority="12626" stopIfTrue="1" operator="equal">
      <formula>"Fail"</formula>
    </cfRule>
  </conditionalFormatting>
  <conditionalFormatting sqref="A997">
    <cfRule type="cellIs" dxfId="12785" priority="12623" stopIfTrue="1" operator="equal">
      <formula>"Pass"</formula>
    </cfRule>
    <cfRule type="cellIs" dxfId="12784" priority="12624" stopIfTrue="1" operator="equal">
      <formula>"Fail"</formula>
    </cfRule>
  </conditionalFormatting>
  <conditionalFormatting sqref="A997">
    <cfRule type="cellIs" dxfId="12783" priority="12621" stopIfTrue="1" operator="equal">
      <formula>"Pass"</formula>
    </cfRule>
    <cfRule type="cellIs" dxfId="12782" priority="12622" stopIfTrue="1" operator="equal">
      <formula>"Fail"</formula>
    </cfRule>
  </conditionalFormatting>
  <conditionalFormatting sqref="A997">
    <cfRule type="cellIs" dxfId="12781" priority="12619" stopIfTrue="1" operator="equal">
      <formula>"Pass"</formula>
    </cfRule>
    <cfRule type="cellIs" dxfId="12780" priority="12620" stopIfTrue="1" operator="equal">
      <formula>"Fail"</formula>
    </cfRule>
  </conditionalFormatting>
  <conditionalFormatting sqref="A997">
    <cfRule type="cellIs" dxfId="12779" priority="12617" stopIfTrue="1" operator="equal">
      <formula>"Pass"</formula>
    </cfRule>
    <cfRule type="cellIs" dxfId="12778" priority="12618" stopIfTrue="1" operator="equal">
      <formula>"Fail"</formula>
    </cfRule>
  </conditionalFormatting>
  <conditionalFormatting sqref="A997">
    <cfRule type="cellIs" dxfId="12777" priority="12615" stopIfTrue="1" operator="equal">
      <formula>"Pass"</formula>
    </cfRule>
    <cfRule type="cellIs" dxfId="12776" priority="12616" stopIfTrue="1" operator="equal">
      <formula>"Fail"</formula>
    </cfRule>
  </conditionalFormatting>
  <conditionalFormatting sqref="A997">
    <cfRule type="cellIs" dxfId="12775" priority="12613" stopIfTrue="1" operator="equal">
      <formula>"Pass"</formula>
    </cfRule>
    <cfRule type="cellIs" dxfId="12774" priority="12614" stopIfTrue="1" operator="equal">
      <formula>"Fail"</formula>
    </cfRule>
  </conditionalFormatting>
  <conditionalFormatting sqref="A997">
    <cfRule type="cellIs" dxfId="12773" priority="12611" stopIfTrue="1" operator="equal">
      <formula>"Pass"</formula>
    </cfRule>
    <cfRule type="cellIs" dxfId="12772" priority="12612" stopIfTrue="1" operator="equal">
      <formula>"Fail"</formula>
    </cfRule>
  </conditionalFormatting>
  <conditionalFormatting sqref="A997">
    <cfRule type="cellIs" dxfId="12771" priority="12609" stopIfTrue="1" operator="equal">
      <formula>"Pass"</formula>
    </cfRule>
    <cfRule type="cellIs" dxfId="12770" priority="12610" stopIfTrue="1" operator="equal">
      <formula>"Fail"</formula>
    </cfRule>
  </conditionalFormatting>
  <conditionalFormatting sqref="A997">
    <cfRule type="cellIs" dxfId="12769" priority="12607" stopIfTrue="1" operator="equal">
      <formula>"Pass"</formula>
    </cfRule>
    <cfRule type="cellIs" dxfId="12768" priority="12608" stopIfTrue="1" operator="equal">
      <formula>"Fail"</formula>
    </cfRule>
  </conditionalFormatting>
  <conditionalFormatting sqref="H997:H998">
    <cfRule type="cellIs" dxfId="12767" priority="12605" stopIfTrue="1" operator="equal">
      <formula>"Pass"</formula>
    </cfRule>
    <cfRule type="cellIs" dxfId="12766" priority="12606" stopIfTrue="1" operator="equal">
      <formula>"Fail"</formula>
    </cfRule>
  </conditionalFormatting>
  <conditionalFormatting sqref="F997 F999 I997:M998">
    <cfRule type="cellIs" dxfId="12765" priority="12603" stopIfTrue="1" operator="equal">
      <formula>"Pass"</formula>
    </cfRule>
    <cfRule type="cellIs" dxfId="12764" priority="12604" stopIfTrue="1" operator="equal">
      <formula>"Fail"</formula>
    </cfRule>
  </conditionalFormatting>
  <conditionalFormatting sqref="T999 T997 R997:R999 S998:S999">
    <cfRule type="cellIs" dxfId="12763" priority="12601" stopIfTrue="1" operator="equal">
      <formula>"Fail"</formula>
    </cfRule>
    <cfRule type="cellIs" dxfId="12762" priority="12602" stopIfTrue="1" operator="equal">
      <formula>"Pass"</formula>
    </cfRule>
  </conditionalFormatting>
  <conditionalFormatting sqref="F997:G997 F999:G999 J997:N998">
    <cfRule type="cellIs" dxfId="12761" priority="12599" stopIfTrue="1" operator="equal">
      <formula>"Pass"</formula>
    </cfRule>
    <cfRule type="cellIs" dxfId="12760" priority="12600" stopIfTrue="1" operator="equal">
      <formula>"Fail"</formula>
    </cfRule>
  </conditionalFormatting>
  <conditionalFormatting sqref="U999:V999 T997:T999 S998:S999">
    <cfRule type="cellIs" dxfId="12759" priority="12597" stopIfTrue="1" operator="equal">
      <formula>"Fail"</formula>
    </cfRule>
    <cfRule type="cellIs" dxfId="12758" priority="12598" stopIfTrue="1" operator="equal">
      <formula>"Pass"</formula>
    </cfRule>
  </conditionalFormatting>
  <conditionalFormatting sqref="U997:V997">
    <cfRule type="cellIs" dxfId="12757" priority="12595" stopIfTrue="1" operator="equal">
      <formula>"Fail"</formula>
    </cfRule>
    <cfRule type="cellIs" dxfId="12756" priority="12596" stopIfTrue="1" operator="equal">
      <formula>"Pass"</formula>
    </cfRule>
  </conditionalFormatting>
  <conditionalFormatting sqref="F997:G997 J997:N997">
    <cfRule type="cellIs" dxfId="12755" priority="12593" stopIfTrue="1" operator="equal">
      <formula>"Pass"</formula>
    </cfRule>
    <cfRule type="cellIs" dxfId="12754" priority="12594" stopIfTrue="1" operator="equal">
      <formula>"Fail"</formula>
    </cfRule>
  </conditionalFormatting>
  <conditionalFormatting sqref="J998:N998">
    <cfRule type="cellIs" dxfId="12753" priority="12591" stopIfTrue="1" operator="equal">
      <formula>"Pass"</formula>
    </cfRule>
    <cfRule type="cellIs" dxfId="12752" priority="12592" stopIfTrue="1" operator="equal">
      <formula>"Fail"</formula>
    </cfRule>
  </conditionalFormatting>
  <conditionalFormatting sqref="H997:H998">
    <cfRule type="cellIs" dxfId="12751" priority="12589" stopIfTrue="1" operator="equal">
      <formula>"Pass"</formula>
    </cfRule>
    <cfRule type="cellIs" dxfId="12750" priority="12590" stopIfTrue="1" operator="equal">
      <formula>"Fail"</formula>
    </cfRule>
  </conditionalFormatting>
  <conditionalFormatting sqref="F997 F999 I997:M998">
    <cfRule type="cellIs" dxfId="12749" priority="12587" stopIfTrue="1" operator="equal">
      <formula>"Pass"</formula>
    </cfRule>
    <cfRule type="cellIs" dxfId="12748" priority="12588" stopIfTrue="1" operator="equal">
      <formula>"Fail"</formula>
    </cfRule>
  </conditionalFormatting>
  <conditionalFormatting sqref="T999 T997 R997:R999 S998:S999">
    <cfRule type="cellIs" dxfId="12747" priority="12585" stopIfTrue="1" operator="equal">
      <formula>"Fail"</formula>
    </cfRule>
    <cfRule type="cellIs" dxfId="12746" priority="12586" stopIfTrue="1" operator="equal">
      <formula>"Pass"</formula>
    </cfRule>
  </conditionalFormatting>
  <conditionalFormatting sqref="F997:G997 F999:G999 J997:N998">
    <cfRule type="cellIs" dxfId="12745" priority="12583" stopIfTrue="1" operator="equal">
      <formula>"Pass"</formula>
    </cfRule>
    <cfRule type="cellIs" dxfId="12744" priority="12584" stopIfTrue="1" operator="equal">
      <formula>"Fail"</formula>
    </cfRule>
  </conditionalFormatting>
  <conditionalFormatting sqref="U999:V999 T997:T999 S998:S999">
    <cfRule type="cellIs" dxfId="12743" priority="12581" stopIfTrue="1" operator="equal">
      <formula>"Fail"</formula>
    </cfRule>
    <cfRule type="cellIs" dxfId="12742" priority="12582" stopIfTrue="1" operator="equal">
      <formula>"Pass"</formula>
    </cfRule>
  </conditionalFormatting>
  <conditionalFormatting sqref="U997:V997">
    <cfRule type="cellIs" dxfId="12741" priority="12579" stopIfTrue="1" operator="equal">
      <formula>"Fail"</formula>
    </cfRule>
    <cfRule type="cellIs" dxfId="12740" priority="12580" stopIfTrue="1" operator="equal">
      <formula>"Pass"</formula>
    </cfRule>
  </conditionalFormatting>
  <conditionalFormatting sqref="F997:G997 J997:N997">
    <cfRule type="cellIs" dxfId="12739" priority="12577" stopIfTrue="1" operator="equal">
      <formula>"Pass"</formula>
    </cfRule>
    <cfRule type="cellIs" dxfId="12738" priority="12578" stopIfTrue="1" operator="equal">
      <formula>"Fail"</formula>
    </cfRule>
  </conditionalFormatting>
  <conditionalFormatting sqref="J998:N998">
    <cfRule type="cellIs" dxfId="12737" priority="12575" stopIfTrue="1" operator="equal">
      <formula>"Pass"</formula>
    </cfRule>
    <cfRule type="cellIs" dxfId="12736" priority="12576" stopIfTrue="1" operator="equal">
      <formula>"Fail"</formula>
    </cfRule>
  </conditionalFormatting>
  <conditionalFormatting sqref="H997:H998">
    <cfRule type="cellIs" dxfId="12735" priority="12573" stopIfTrue="1" operator="equal">
      <formula>"Pass"</formula>
    </cfRule>
    <cfRule type="cellIs" dxfId="12734" priority="12574" stopIfTrue="1" operator="equal">
      <formula>"Fail"</formula>
    </cfRule>
  </conditionalFormatting>
  <conditionalFormatting sqref="F997 F999 I997:M998">
    <cfRule type="cellIs" dxfId="12733" priority="12571" stopIfTrue="1" operator="equal">
      <formula>"Pass"</formula>
    </cfRule>
    <cfRule type="cellIs" dxfId="12732" priority="12572" stopIfTrue="1" operator="equal">
      <formula>"Fail"</formula>
    </cfRule>
  </conditionalFormatting>
  <conditionalFormatting sqref="T999 T997 R997:R999 S998:S999">
    <cfRule type="cellIs" dxfId="12731" priority="12569" stopIfTrue="1" operator="equal">
      <formula>"Fail"</formula>
    </cfRule>
    <cfRule type="cellIs" dxfId="12730" priority="12570" stopIfTrue="1" operator="equal">
      <formula>"Pass"</formula>
    </cfRule>
  </conditionalFormatting>
  <conditionalFormatting sqref="F997:G997 F999:G999 J997:N998">
    <cfRule type="cellIs" dxfId="12729" priority="12567" stopIfTrue="1" operator="equal">
      <formula>"Pass"</formula>
    </cfRule>
    <cfRule type="cellIs" dxfId="12728" priority="12568" stopIfTrue="1" operator="equal">
      <formula>"Fail"</formula>
    </cfRule>
  </conditionalFormatting>
  <conditionalFormatting sqref="U999:V999 T997:T999 S998:S999">
    <cfRule type="cellIs" dxfId="12727" priority="12565" stopIfTrue="1" operator="equal">
      <formula>"Fail"</formula>
    </cfRule>
    <cfRule type="cellIs" dxfId="12726" priority="12566" stopIfTrue="1" operator="equal">
      <formula>"Pass"</formula>
    </cfRule>
  </conditionalFormatting>
  <conditionalFormatting sqref="U997:V997">
    <cfRule type="cellIs" dxfId="12725" priority="12563" stopIfTrue="1" operator="equal">
      <formula>"Fail"</formula>
    </cfRule>
    <cfRule type="cellIs" dxfId="12724" priority="12564" stopIfTrue="1" operator="equal">
      <formula>"Pass"</formula>
    </cfRule>
  </conditionalFormatting>
  <conditionalFormatting sqref="F997:G997 J997:N997">
    <cfRule type="cellIs" dxfId="12723" priority="12561" stopIfTrue="1" operator="equal">
      <formula>"Pass"</formula>
    </cfRule>
    <cfRule type="cellIs" dxfId="12722" priority="12562" stopIfTrue="1" operator="equal">
      <formula>"Fail"</formula>
    </cfRule>
  </conditionalFormatting>
  <conditionalFormatting sqref="J998:N998">
    <cfRule type="cellIs" dxfId="12721" priority="12559" stopIfTrue="1" operator="equal">
      <formula>"Pass"</formula>
    </cfRule>
    <cfRule type="cellIs" dxfId="12720" priority="12560" stopIfTrue="1" operator="equal">
      <formula>"Fail"</formula>
    </cfRule>
  </conditionalFormatting>
  <conditionalFormatting sqref="U997:V997">
    <cfRule type="cellIs" dxfId="12719" priority="12557" stopIfTrue="1" operator="equal">
      <formula>"Fail"</formula>
    </cfRule>
    <cfRule type="cellIs" dxfId="12718" priority="12558" stopIfTrue="1" operator="equal">
      <formula>"Pass"</formula>
    </cfRule>
  </conditionalFormatting>
  <conditionalFormatting sqref="U997:V997">
    <cfRule type="cellIs" dxfId="12717" priority="12555" stopIfTrue="1" operator="equal">
      <formula>"Fail"</formula>
    </cfRule>
    <cfRule type="cellIs" dxfId="12716" priority="12556" stopIfTrue="1" operator="equal">
      <formula>"Pass"</formula>
    </cfRule>
  </conditionalFormatting>
  <conditionalFormatting sqref="U997:V997">
    <cfRule type="cellIs" dxfId="12715" priority="12553" stopIfTrue="1" operator="equal">
      <formula>"Fail"</formula>
    </cfRule>
    <cfRule type="cellIs" dxfId="12714" priority="12554" stopIfTrue="1" operator="equal">
      <formula>"Pass"</formula>
    </cfRule>
  </conditionalFormatting>
  <conditionalFormatting sqref="N997">
    <cfRule type="cellIs" dxfId="12713" priority="12551" stopIfTrue="1" operator="equal">
      <formula>"Pass"</formula>
    </cfRule>
    <cfRule type="cellIs" dxfId="12712" priority="12552" stopIfTrue="1" operator="equal">
      <formula>"Fail"</formula>
    </cfRule>
  </conditionalFormatting>
  <conditionalFormatting sqref="N997">
    <cfRule type="cellIs" dxfId="12711" priority="12549" stopIfTrue="1" operator="equal">
      <formula>"Pass"</formula>
    </cfRule>
    <cfRule type="cellIs" dxfId="12710" priority="12550" stopIfTrue="1" operator="equal">
      <formula>"Fail"</formula>
    </cfRule>
  </conditionalFormatting>
  <conditionalFormatting sqref="N997">
    <cfRule type="cellIs" dxfId="12709" priority="12547" stopIfTrue="1" operator="equal">
      <formula>"Pass"</formula>
    </cfRule>
    <cfRule type="cellIs" dxfId="12708" priority="12548" stopIfTrue="1" operator="equal">
      <formula>"Fail"</formula>
    </cfRule>
  </conditionalFormatting>
  <conditionalFormatting sqref="U997:V997">
    <cfRule type="cellIs" dxfId="12707" priority="12545" stopIfTrue="1" operator="equal">
      <formula>"Fail"</formula>
    </cfRule>
    <cfRule type="cellIs" dxfId="12706" priority="12546" stopIfTrue="1" operator="equal">
      <formula>"Pass"</formula>
    </cfRule>
  </conditionalFormatting>
  <conditionalFormatting sqref="U997:V997">
    <cfRule type="cellIs" dxfId="12705" priority="12543" stopIfTrue="1" operator="equal">
      <formula>"Fail"</formula>
    </cfRule>
    <cfRule type="cellIs" dxfId="12704" priority="12544" stopIfTrue="1" operator="equal">
      <formula>"Pass"</formula>
    </cfRule>
  </conditionalFormatting>
  <conditionalFormatting sqref="U997:V997">
    <cfRule type="cellIs" dxfId="12703" priority="12541" stopIfTrue="1" operator="equal">
      <formula>"Fail"</formula>
    </cfRule>
    <cfRule type="cellIs" dxfId="12702" priority="12542" stopIfTrue="1" operator="equal">
      <formula>"Pass"</formula>
    </cfRule>
  </conditionalFormatting>
  <conditionalFormatting sqref="U997:V997">
    <cfRule type="cellIs" dxfId="12701" priority="12539" stopIfTrue="1" operator="equal">
      <formula>"Fail"</formula>
    </cfRule>
    <cfRule type="cellIs" dxfId="12700" priority="12540" stopIfTrue="1" operator="equal">
      <formula>"Pass"</formula>
    </cfRule>
  </conditionalFormatting>
  <conditionalFormatting sqref="T997">
    <cfRule type="cellIs" dxfId="12699" priority="12537" stopIfTrue="1" operator="equal">
      <formula>"Fail"</formula>
    </cfRule>
    <cfRule type="cellIs" dxfId="12698" priority="12538" stopIfTrue="1" operator="equal">
      <formula>"Pass"</formula>
    </cfRule>
  </conditionalFormatting>
  <conditionalFormatting sqref="T997">
    <cfRule type="cellIs" dxfId="12697" priority="12535" stopIfTrue="1" operator="equal">
      <formula>"Fail"</formula>
    </cfRule>
    <cfRule type="cellIs" dxfId="12696" priority="12536" stopIfTrue="1" operator="equal">
      <formula>"Pass"</formula>
    </cfRule>
  </conditionalFormatting>
  <conditionalFormatting sqref="T997">
    <cfRule type="cellIs" dxfId="12695" priority="12533" stopIfTrue="1" operator="equal">
      <formula>"Fail"</formula>
    </cfRule>
    <cfRule type="cellIs" dxfId="12694" priority="12534" stopIfTrue="1" operator="equal">
      <formula>"Pass"</formula>
    </cfRule>
  </conditionalFormatting>
  <conditionalFormatting sqref="T997">
    <cfRule type="cellIs" dxfId="12693" priority="12531" stopIfTrue="1" operator="equal">
      <formula>"Fail"</formula>
    </cfRule>
    <cfRule type="cellIs" dxfId="12692" priority="12532" stopIfTrue="1" operator="equal">
      <formula>"Pass"</formula>
    </cfRule>
  </conditionalFormatting>
  <conditionalFormatting sqref="T997">
    <cfRule type="cellIs" dxfId="12691" priority="12529" stopIfTrue="1" operator="equal">
      <formula>"Fail"</formula>
    </cfRule>
    <cfRule type="cellIs" dxfId="12690" priority="12530" stopIfTrue="1" operator="equal">
      <formula>"Pass"</formula>
    </cfRule>
  </conditionalFormatting>
  <conditionalFormatting sqref="T997">
    <cfRule type="cellIs" dxfId="12689" priority="12527" stopIfTrue="1" operator="equal">
      <formula>"Fail"</formula>
    </cfRule>
    <cfRule type="cellIs" dxfId="12688" priority="12528" stopIfTrue="1" operator="equal">
      <formula>"Pass"</formula>
    </cfRule>
  </conditionalFormatting>
  <conditionalFormatting sqref="T997">
    <cfRule type="cellIs" dxfId="12687" priority="12525" stopIfTrue="1" operator="equal">
      <formula>"Fail"</formula>
    </cfRule>
    <cfRule type="cellIs" dxfId="12686" priority="12526" stopIfTrue="1" operator="equal">
      <formula>"Pass"</formula>
    </cfRule>
  </conditionalFormatting>
  <conditionalFormatting sqref="T997">
    <cfRule type="cellIs" dxfId="12685" priority="12523" stopIfTrue="1" operator="equal">
      <formula>"Fail"</formula>
    </cfRule>
    <cfRule type="cellIs" dxfId="12684" priority="12524" stopIfTrue="1" operator="equal">
      <formula>"Pass"</formula>
    </cfRule>
  </conditionalFormatting>
  <conditionalFormatting sqref="T997">
    <cfRule type="cellIs" dxfId="12683" priority="12521" stopIfTrue="1" operator="equal">
      <formula>"Fail"</formula>
    </cfRule>
    <cfRule type="cellIs" dxfId="12682" priority="12522" stopIfTrue="1" operator="equal">
      <formula>"Pass"</formula>
    </cfRule>
  </conditionalFormatting>
  <conditionalFormatting sqref="T997">
    <cfRule type="cellIs" dxfId="12681" priority="12519" stopIfTrue="1" operator="equal">
      <formula>"Fail"</formula>
    </cfRule>
    <cfRule type="cellIs" dxfId="12680" priority="12520" stopIfTrue="1" operator="equal">
      <formula>"Pass"</formula>
    </cfRule>
  </conditionalFormatting>
  <conditionalFormatting sqref="T997">
    <cfRule type="cellIs" dxfId="12679" priority="12517" stopIfTrue="1" operator="equal">
      <formula>"Fail"</formula>
    </cfRule>
    <cfRule type="cellIs" dxfId="12678" priority="12518" stopIfTrue="1" operator="equal">
      <formula>"Pass"</formula>
    </cfRule>
  </conditionalFormatting>
  <conditionalFormatting sqref="T997">
    <cfRule type="cellIs" dxfId="12677" priority="12515" stopIfTrue="1" operator="equal">
      <formula>"Fail"</formula>
    </cfRule>
    <cfRule type="cellIs" dxfId="12676" priority="12516" stopIfTrue="1" operator="equal">
      <formula>"Pass"</formula>
    </cfRule>
  </conditionalFormatting>
  <conditionalFormatting sqref="T997">
    <cfRule type="cellIs" dxfId="12675" priority="12513" stopIfTrue="1" operator="equal">
      <formula>"Fail"</formula>
    </cfRule>
    <cfRule type="cellIs" dxfId="12674" priority="12514" stopIfTrue="1" operator="equal">
      <formula>"Pass"</formula>
    </cfRule>
  </conditionalFormatting>
  <conditionalFormatting sqref="T997">
    <cfRule type="cellIs" dxfId="12673" priority="12511" stopIfTrue="1" operator="equal">
      <formula>"Fail"</formula>
    </cfRule>
    <cfRule type="cellIs" dxfId="12672" priority="12512" stopIfTrue="1" operator="equal">
      <formula>"Pass"</formula>
    </cfRule>
  </conditionalFormatting>
  <conditionalFormatting sqref="T997">
    <cfRule type="cellIs" dxfId="12671" priority="12509" stopIfTrue="1" operator="equal">
      <formula>"Fail"</formula>
    </cfRule>
    <cfRule type="cellIs" dxfId="12670" priority="12510" stopIfTrue="1" operator="equal">
      <formula>"Pass"</formula>
    </cfRule>
  </conditionalFormatting>
  <conditionalFormatting sqref="T997">
    <cfRule type="cellIs" dxfId="12669" priority="12507" stopIfTrue="1" operator="equal">
      <formula>"Fail"</formula>
    </cfRule>
    <cfRule type="cellIs" dxfId="12668" priority="12508" stopIfTrue="1" operator="equal">
      <formula>"Pass"</formula>
    </cfRule>
  </conditionalFormatting>
  <conditionalFormatting sqref="T997">
    <cfRule type="cellIs" dxfId="12667" priority="12505" stopIfTrue="1" operator="equal">
      <formula>"Fail"</formula>
    </cfRule>
    <cfRule type="cellIs" dxfId="12666" priority="12506" stopIfTrue="1" operator="equal">
      <formula>"Pass"</formula>
    </cfRule>
  </conditionalFormatting>
  <conditionalFormatting sqref="T997">
    <cfRule type="cellIs" dxfId="12665" priority="12503" stopIfTrue="1" operator="equal">
      <formula>"Fail"</formula>
    </cfRule>
    <cfRule type="cellIs" dxfId="12664" priority="12504" stopIfTrue="1" operator="equal">
      <formula>"Pass"</formula>
    </cfRule>
  </conditionalFormatting>
  <conditionalFormatting sqref="T997">
    <cfRule type="cellIs" dxfId="12663" priority="12501" stopIfTrue="1" operator="equal">
      <formula>"Fail"</formula>
    </cfRule>
    <cfRule type="cellIs" dxfId="12662" priority="12502" stopIfTrue="1" operator="equal">
      <formula>"Pass"</formula>
    </cfRule>
  </conditionalFormatting>
  <conditionalFormatting sqref="T997">
    <cfRule type="cellIs" dxfId="12661" priority="12499" stopIfTrue="1" operator="equal">
      <formula>"Fail"</formula>
    </cfRule>
    <cfRule type="cellIs" dxfId="12660" priority="12500" stopIfTrue="1" operator="equal">
      <formula>"Pass"</formula>
    </cfRule>
  </conditionalFormatting>
  <conditionalFormatting sqref="T997">
    <cfRule type="cellIs" dxfId="12659" priority="12497" stopIfTrue="1" operator="equal">
      <formula>"Fail"</formula>
    </cfRule>
    <cfRule type="cellIs" dxfId="12658" priority="12498" stopIfTrue="1" operator="equal">
      <formula>"Pass"</formula>
    </cfRule>
  </conditionalFormatting>
  <conditionalFormatting sqref="T997">
    <cfRule type="cellIs" dxfId="12657" priority="12495" stopIfTrue="1" operator="equal">
      <formula>"Fail"</formula>
    </cfRule>
    <cfRule type="cellIs" dxfId="12656" priority="12496" stopIfTrue="1" operator="equal">
      <formula>"Pass"</formula>
    </cfRule>
  </conditionalFormatting>
  <conditionalFormatting sqref="T997">
    <cfRule type="cellIs" dxfId="12655" priority="12493" stopIfTrue="1" operator="equal">
      <formula>"Fail"</formula>
    </cfRule>
    <cfRule type="cellIs" dxfId="12654" priority="12494" stopIfTrue="1" operator="equal">
      <formula>"Pass"</formula>
    </cfRule>
  </conditionalFormatting>
  <conditionalFormatting sqref="T997">
    <cfRule type="cellIs" dxfId="12653" priority="12491" stopIfTrue="1" operator="equal">
      <formula>"Fail"</formula>
    </cfRule>
    <cfRule type="cellIs" dxfId="12652" priority="12492" stopIfTrue="1" operator="equal">
      <formula>"Pass"</formula>
    </cfRule>
  </conditionalFormatting>
  <conditionalFormatting sqref="H1000:H1001">
    <cfRule type="cellIs" dxfId="12651" priority="12489" stopIfTrue="1" operator="equal">
      <formula>"Pass"</formula>
    </cfRule>
    <cfRule type="cellIs" dxfId="12650" priority="12490" stopIfTrue="1" operator="equal">
      <formula>"Fail"</formula>
    </cfRule>
  </conditionalFormatting>
  <conditionalFormatting sqref="E1000:F1000 E1002:F1002 A1000:A1002 I1000:M1001">
    <cfRule type="cellIs" dxfId="12649" priority="12487" stopIfTrue="1" operator="equal">
      <formula>"Pass"</formula>
    </cfRule>
    <cfRule type="cellIs" dxfId="12648" priority="12488" stopIfTrue="1" operator="equal">
      <formula>"Fail"</formula>
    </cfRule>
  </conditionalFormatting>
  <conditionalFormatting sqref="T1002 T1000 R1000:R1002 S1001:S1002">
    <cfRule type="cellIs" dxfId="12647" priority="12485" stopIfTrue="1" operator="equal">
      <formula>"Fail"</formula>
    </cfRule>
    <cfRule type="cellIs" dxfId="12646" priority="12486" stopIfTrue="1" operator="equal">
      <formula>"Pass"</formula>
    </cfRule>
  </conditionalFormatting>
  <conditionalFormatting sqref="F1000:G1000 F1002:G1002 A1000:B1002 J1000:N1001">
    <cfRule type="cellIs" dxfId="12645" priority="12483" stopIfTrue="1" operator="equal">
      <formula>"Pass"</formula>
    </cfRule>
    <cfRule type="cellIs" dxfId="12644" priority="12484" stopIfTrue="1" operator="equal">
      <formula>"Fail"</formula>
    </cfRule>
  </conditionalFormatting>
  <conditionalFormatting sqref="U1002:V1002 U1000:V1000 T1000:T1002 S1001:S1002">
    <cfRule type="cellIs" dxfId="12643" priority="12481" stopIfTrue="1" operator="equal">
      <formula>"Fail"</formula>
    </cfRule>
    <cfRule type="cellIs" dxfId="12642" priority="12482" stopIfTrue="1" operator="equal">
      <formula>"Pass"</formula>
    </cfRule>
  </conditionalFormatting>
  <conditionalFormatting sqref="A1000:A1002">
    <cfRule type="cellIs" dxfId="12641" priority="12479" stopIfTrue="1" operator="equal">
      <formula>"Pass"</formula>
    </cfRule>
    <cfRule type="cellIs" dxfId="12640" priority="12480" stopIfTrue="1" operator="equal">
      <formula>"Fail"</formula>
    </cfRule>
  </conditionalFormatting>
  <conditionalFormatting sqref="A1000:A1002">
    <cfRule type="cellIs" dxfId="12639" priority="12477" stopIfTrue="1" operator="equal">
      <formula>"Pass"</formula>
    </cfRule>
    <cfRule type="cellIs" dxfId="12638" priority="12478" stopIfTrue="1" operator="equal">
      <formula>"Fail"</formula>
    </cfRule>
  </conditionalFormatting>
  <conditionalFormatting sqref="A1000:A1002">
    <cfRule type="cellIs" dxfId="12637" priority="12475" stopIfTrue="1" operator="equal">
      <formula>"Pass"</formula>
    </cfRule>
    <cfRule type="cellIs" dxfId="12636" priority="12476" stopIfTrue="1" operator="equal">
      <formula>"Fail"</formula>
    </cfRule>
  </conditionalFormatting>
  <conditionalFormatting sqref="J1000:N1001 E1000:G1002">
    <cfRule type="cellIs" dxfId="12635" priority="12473" stopIfTrue="1" operator="equal">
      <formula>"Pass"</formula>
    </cfRule>
    <cfRule type="cellIs" dxfId="12634" priority="12474" stopIfTrue="1" operator="equal">
      <formula>"Fail"</formula>
    </cfRule>
  </conditionalFormatting>
  <conditionalFormatting sqref="A1002 C1002 K1000:O1001 F1000:H1002">
    <cfRule type="cellIs" dxfId="12633" priority="12471" stopIfTrue="1" operator="equal">
      <formula>"Pass"</formula>
    </cfRule>
    <cfRule type="cellIs" dxfId="12632" priority="12472" stopIfTrue="1" operator="equal">
      <formula>"Fail"</formula>
    </cfRule>
  </conditionalFormatting>
  <conditionalFormatting sqref="T1000">
    <cfRule type="cellIs" dxfId="12631" priority="12469" stopIfTrue="1" operator="equal">
      <formula>"Fail"</formula>
    </cfRule>
    <cfRule type="cellIs" dxfId="12630" priority="12470" stopIfTrue="1" operator="equal">
      <formula>"Pass"</formula>
    </cfRule>
  </conditionalFormatting>
  <conditionalFormatting sqref="A1000:A1002">
    <cfRule type="cellIs" dxfId="12629" priority="12467" stopIfTrue="1" operator="equal">
      <formula>"Pass"</formula>
    </cfRule>
    <cfRule type="cellIs" dxfId="12628" priority="12468" stopIfTrue="1" operator="equal">
      <formula>"Fail"</formula>
    </cfRule>
  </conditionalFormatting>
  <conditionalFormatting sqref="A1000:A1002">
    <cfRule type="cellIs" dxfId="12627" priority="12465" stopIfTrue="1" operator="equal">
      <formula>"Pass"</formula>
    </cfRule>
    <cfRule type="cellIs" dxfId="12626" priority="12466" stopIfTrue="1" operator="equal">
      <formula>"Fail"</formula>
    </cfRule>
  </conditionalFormatting>
  <conditionalFormatting sqref="A1000:A1002">
    <cfRule type="cellIs" dxfId="12625" priority="12463" stopIfTrue="1" operator="equal">
      <formula>"Pass"</formula>
    </cfRule>
    <cfRule type="cellIs" dxfId="12624" priority="12464" stopIfTrue="1" operator="equal">
      <formula>"Fail"</formula>
    </cfRule>
  </conditionalFormatting>
  <conditionalFormatting sqref="A1000:A1002">
    <cfRule type="cellIs" dxfId="12623" priority="12461" stopIfTrue="1" operator="equal">
      <formula>"Pass"</formula>
    </cfRule>
    <cfRule type="cellIs" dxfId="12622" priority="12462" stopIfTrue="1" operator="equal">
      <formula>"Fail"</formula>
    </cfRule>
  </conditionalFormatting>
  <conditionalFormatting sqref="A1000:A1002">
    <cfRule type="cellIs" dxfId="12621" priority="12459" stopIfTrue="1" operator="equal">
      <formula>"Pass"</formula>
    </cfRule>
    <cfRule type="cellIs" dxfId="12620" priority="12460" stopIfTrue="1" operator="equal">
      <formula>"Fail"</formula>
    </cfRule>
  </conditionalFormatting>
  <conditionalFormatting sqref="A1000:A1002">
    <cfRule type="cellIs" dxfId="12619" priority="12457" stopIfTrue="1" operator="equal">
      <formula>"Pass"</formula>
    </cfRule>
    <cfRule type="cellIs" dxfId="12618" priority="12458" stopIfTrue="1" operator="equal">
      <formula>"Fail"</formula>
    </cfRule>
  </conditionalFormatting>
  <conditionalFormatting sqref="A1002">
    <cfRule type="cellIs" dxfId="12617" priority="12455" stopIfTrue="1" operator="equal">
      <formula>"Pass"</formula>
    </cfRule>
    <cfRule type="cellIs" dxfId="12616" priority="12456" stopIfTrue="1" operator="equal">
      <formula>"Fail"</formula>
    </cfRule>
  </conditionalFormatting>
  <conditionalFormatting sqref="A1000:A1002">
    <cfRule type="cellIs" dxfId="12615" priority="12453" stopIfTrue="1" operator="equal">
      <formula>"Pass"</formula>
    </cfRule>
    <cfRule type="cellIs" dxfId="12614" priority="12454" stopIfTrue="1" operator="equal">
      <formula>"Fail"</formula>
    </cfRule>
  </conditionalFormatting>
  <conditionalFormatting sqref="A1000:A1002">
    <cfRule type="cellIs" dxfId="12613" priority="12451" stopIfTrue="1" operator="equal">
      <formula>"Pass"</formula>
    </cfRule>
    <cfRule type="cellIs" dxfId="12612" priority="12452" stopIfTrue="1" operator="equal">
      <formula>"Fail"</formula>
    </cfRule>
  </conditionalFormatting>
  <conditionalFormatting sqref="A1000:A1002">
    <cfRule type="cellIs" dxfId="12611" priority="12449" stopIfTrue="1" operator="equal">
      <formula>"Pass"</formula>
    </cfRule>
    <cfRule type="cellIs" dxfId="12610" priority="12450" stopIfTrue="1" operator="equal">
      <formula>"Fail"</formula>
    </cfRule>
  </conditionalFormatting>
  <conditionalFormatting sqref="A1000:A1002">
    <cfRule type="cellIs" dxfId="12609" priority="12447" stopIfTrue="1" operator="equal">
      <formula>"Pass"</formula>
    </cfRule>
    <cfRule type="cellIs" dxfId="12608" priority="12448" stopIfTrue="1" operator="equal">
      <formula>"Fail"</formula>
    </cfRule>
  </conditionalFormatting>
  <conditionalFormatting sqref="A1000:A1002">
    <cfRule type="cellIs" dxfId="12607" priority="12445" stopIfTrue="1" operator="equal">
      <formula>"Pass"</formula>
    </cfRule>
    <cfRule type="cellIs" dxfId="12606" priority="12446" stopIfTrue="1" operator="equal">
      <formula>"Fail"</formula>
    </cfRule>
  </conditionalFormatting>
  <conditionalFormatting sqref="A1000:A1002">
    <cfRule type="cellIs" dxfId="12605" priority="12443" stopIfTrue="1" operator="equal">
      <formula>"Pass"</formula>
    </cfRule>
    <cfRule type="cellIs" dxfId="12604" priority="12444" stopIfTrue="1" operator="equal">
      <formula>"Fail"</formula>
    </cfRule>
  </conditionalFormatting>
  <conditionalFormatting sqref="A1002">
    <cfRule type="cellIs" dxfId="12603" priority="12441" stopIfTrue="1" operator="equal">
      <formula>"Pass"</formula>
    </cfRule>
    <cfRule type="cellIs" dxfId="12602" priority="12442" stopIfTrue="1" operator="equal">
      <formula>"Fail"</formula>
    </cfRule>
  </conditionalFormatting>
  <conditionalFormatting sqref="A1000:A1002">
    <cfRule type="cellIs" dxfId="12601" priority="12439" stopIfTrue="1" operator="equal">
      <formula>"Pass"</formula>
    </cfRule>
    <cfRule type="cellIs" dxfId="12600" priority="12440" stopIfTrue="1" operator="equal">
      <formula>"Fail"</formula>
    </cfRule>
  </conditionalFormatting>
  <conditionalFormatting sqref="H1000:H1001">
    <cfRule type="cellIs" dxfId="12599" priority="12437" stopIfTrue="1" operator="equal">
      <formula>"Pass"</formula>
    </cfRule>
    <cfRule type="cellIs" dxfId="12598" priority="12438" stopIfTrue="1" operator="equal">
      <formula>"Fail"</formula>
    </cfRule>
  </conditionalFormatting>
  <conditionalFormatting sqref="F1000 F1002 I1000:M1001">
    <cfRule type="cellIs" dxfId="12597" priority="12435" stopIfTrue="1" operator="equal">
      <formula>"Pass"</formula>
    </cfRule>
    <cfRule type="cellIs" dxfId="12596" priority="12436" stopIfTrue="1" operator="equal">
      <formula>"Fail"</formula>
    </cfRule>
  </conditionalFormatting>
  <conditionalFormatting sqref="T1002 T1000 R1000:R1002 S1001:S1002">
    <cfRule type="cellIs" dxfId="12595" priority="12433" stopIfTrue="1" operator="equal">
      <formula>"Fail"</formula>
    </cfRule>
    <cfRule type="cellIs" dxfId="12594" priority="12434" stopIfTrue="1" operator="equal">
      <formula>"Pass"</formula>
    </cfRule>
  </conditionalFormatting>
  <conditionalFormatting sqref="F1000:G1000 F1002:G1002 J1000:N1001">
    <cfRule type="cellIs" dxfId="12593" priority="12431" stopIfTrue="1" operator="equal">
      <formula>"Pass"</formula>
    </cfRule>
    <cfRule type="cellIs" dxfId="12592" priority="12432" stopIfTrue="1" operator="equal">
      <formula>"Fail"</formula>
    </cfRule>
  </conditionalFormatting>
  <conditionalFormatting sqref="U1002:V1002 U1000:V1000 T1000:T1002 S1001:S1002">
    <cfRule type="cellIs" dxfId="12591" priority="12429" stopIfTrue="1" operator="equal">
      <formula>"Fail"</formula>
    </cfRule>
    <cfRule type="cellIs" dxfId="12590" priority="12430" stopIfTrue="1" operator="equal">
      <formula>"Pass"</formula>
    </cfRule>
  </conditionalFormatting>
  <conditionalFormatting sqref="J1000:N1001 F1000:G1002">
    <cfRule type="cellIs" dxfId="12589" priority="12427" stopIfTrue="1" operator="equal">
      <formula>"Pass"</formula>
    </cfRule>
    <cfRule type="cellIs" dxfId="12588" priority="12428" stopIfTrue="1" operator="equal">
      <formula>"Fail"</formula>
    </cfRule>
  </conditionalFormatting>
  <conditionalFormatting sqref="K1000:O1001 F1000:H1002">
    <cfRule type="cellIs" dxfId="12587" priority="12425" stopIfTrue="1" operator="equal">
      <formula>"Pass"</formula>
    </cfRule>
    <cfRule type="cellIs" dxfId="12586" priority="12426" stopIfTrue="1" operator="equal">
      <formula>"Fail"</formula>
    </cfRule>
  </conditionalFormatting>
  <conditionalFormatting sqref="T1000">
    <cfRule type="cellIs" dxfId="12585" priority="12423" stopIfTrue="1" operator="equal">
      <formula>"Fail"</formula>
    </cfRule>
    <cfRule type="cellIs" dxfId="12584" priority="12424" stopIfTrue="1" operator="equal">
      <formula>"Pass"</formula>
    </cfRule>
  </conditionalFormatting>
  <conditionalFormatting sqref="K1000:O1001 F1000:H1002">
    <cfRule type="cellIs" dxfId="12583" priority="12421" stopIfTrue="1" operator="equal">
      <formula>"Pass"</formula>
    </cfRule>
    <cfRule type="cellIs" dxfId="12582" priority="12422" stopIfTrue="1" operator="equal">
      <formula>"Fail"</formula>
    </cfRule>
  </conditionalFormatting>
  <conditionalFormatting sqref="T1000">
    <cfRule type="cellIs" dxfId="12581" priority="12419" stopIfTrue="1" operator="equal">
      <formula>"Fail"</formula>
    </cfRule>
    <cfRule type="cellIs" dxfId="12580" priority="12420" stopIfTrue="1" operator="equal">
      <formula>"Pass"</formula>
    </cfRule>
  </conditionalFormatting>
  <conditionalFormatting sqref="H1000:H1001">
    <cfRule type="cellIs" dxfId="12579" priority="12417" stopIfTrue="1" operator="equal">
      <formula>"Pass"</formula>
    </cfRule>
    <cfRule type="cellIs" dxfId="12578" priority="12418" stopIfTrue="1" operator="equal">
      <formula>"Fail"</formula>
    </cfRule>
  </conditionalFormatting>
  <conditionalFormatting sqref="E1000:F1000 E1002:F1002 A1000:A1002 I1000:M1001">
    <cfRule type="cellIs" dxfId="12577" priority="12415" stopIfTrue="1" operator="equal">
      <formula>"Pass"</formula>
    </cfRule>
    <cfRule type="cellIs" dxfId="12576" priority="12416" stopIfTrue="1" operator="equal">
      <formula>"Fail"</formula>
    </cfRule>
  </conditionalFormatting>
  <conditionalFormatting sqref="T1002 T1000 R1000:R1002 S1001:S1002">
    <cfRule type="cellIs" dxfId="12575" priority="12413" stopIfTrue="1" operator="equal">
      <formula>"Fail"</formula>
    </cfRule>
    <cfRule type="cellIs" dxfId="12574" priority="12414" stopIfTrue="1" operator="equal">
      <formula>"Pass"</formula>
    </cfRule>
  </conditionalFormatting>
  <conditionalFormatting sqref="F1000:G1000 F1002:G1002 A1000:B1002 J1000:N1001">
    <cfRule type="cellIs" dxfId="12573" priority="12411" stopIfTrue="1" operator="equal">
      <formula>"Pass"</formula>
    </cfRule>
    <cfRule type="cellIs" dxfId="12572" priority="12412" stopIfTrue="1" operator="equal">
      <formula>"Fail"</formula>
    </cfRule>
  </conditionalFormatting>
  <conditionalFormatting sqref="U1002:V1002 U1000:V1000 T1000:T1002 S1001:S1002">
    <cfRule type="cellIs" dxfId="12571" priority="12409" stopIfTrue="1" operator="equal">
      <formula>"Fail"</formula>
    </cfRule>
    <cfRule type="cellIs" dxfId="12570" priority="12410" stopIfTrue="1" operator="equal">
      <formula>"Pass"</formula>
    </cfRule>
  </conditionalFormatting>
  <conditionalFormatting sqref="A1000:A1002">
    <cfRule type="cellIs" dxfId="12569" priority="12407" stopIfTrue="1" operator="equal">
      <formula>"Pass"</formula>
    </cfRule>
    <cfRule type="cellIs" dxfId="12568" priority="12408" stopIfTrue="1" operator="equal">
      <formula>"Fail"</formula>
    </cfRule>
  </conditionalFormatting>
  <conditionalFormatting sqref="A1000:A1002">
    <cfRule type="cellIs" dxfId="12567" priority="12405" stopIfTrue="1" operator="equal">
      <formula>"Pass"</formula>
    </cfRule>
    <cfRule type="cellIs" dxfId="12566" priority="12406" stopIfTrue="1" operator="equal">
      <formula>"Fail"</formula>
    </cfRule>
  </conditionalFormatting>
  <conditionalFormatting sqref="A1000:A1002">
    <cfRule type="cellIs" dxfId="12565" priority="12403" stopIfTrue="1" operator="equal">
      <formula>"Pass"</formula>
    </cfRule>
    <cfRule type="cellIs" dxfId="12564" priority="12404" stopIfTrue="1" operator="equal">
      <formula>"Fail"</formula>
    </cfRule>
  </conditionalFormatting>
  <conditionalFormatting sqref="J1000:N1001 E1000:G1002">
    <cfRule type="cellIs" dxfId="12563" priority="12401" stopIfTrue="1" operator="equal">
      <formula>"Pass"</formula>
    </cfRule>
    <cfRule type="cellIs" dxfId="12562" priority="12402" stopIfTrue="1" operator="equal">
      <formula>"Fail"</formula>
    </cfRule>
  </conditionalFormatting>
  <conditionalFormatting sqref="A1002 C1002 K1000:O1001 F1000:H1002">
    <cfRule type="cellIs" dxfId="12561" priority="12399" stopIfTrue="1" operator="equal">
      <formula>"Pass"</formula>
    </cfRule>
    <cfRule type="cellIs" dxfId="12560" priority="12400" stopIfTrue="1" operator="equal">
      <formula>"Fail"</formula>
    </cfRule>
  </conditionalFormatting>
  <conditionalFormatting sqref="T1000">
    <cfRule type="cellIs" dxfId="12559" priority="12397" stopIfTrue="1" operator="equal">
      <formula>"Fail"</formula>
    </cfRule>
    <cfRule type="cellIs" dxfId="12558" priority="12398" stopIfTrue="1" operator="equal">
      <formula>"Pass"</formula>
    </cfRule>
  </conditionalFormatting>
  <conditionalFormatting sqref="A1000:A1002">
    <cfRule type="cellIs" dxfId="12557" priority="12395" stopIfTrue="1" operator="equal">
      <formula>"Pass"</formula>
    </cfRule>
    <cfRule type="cellIs" dxfId="12556" priority="12396" stopIfTrue="1" operator="equal">
      <formula>"Fail"</formula>
    </cfRule>
  </conditionalFormatting>
  <conditionalFormatting sqref="A1000:A1002">
    <cfRule type="cellIs" dxfId="12555" priority="12393" stopIfTrue="1" operator="equal">
      <formula>"Pass"</formula>
    </cfRule>
    <cfRule type="cellIs" dxfId="12554" priority="12394" stopIfTrue="1" operator="equal">
      <formula>"Fail"</formula>
    </cfRule>
  </conditionalFormatting>
  <conditionalFormatting sqref="A1000:A1002">
    <cfRule type="cellIs" dxfId="12553" priority="12391" stopIfTrue="1" operator="equal">
      <formula>"Pass"</formula>
    </cfRule>
    <cfRule type="cellIs" dxfId="12552" priority="12392" stopIfTrue="1" operator="equal">
      <formula>"Fail"</formula>
    </cfRule>
  </conditionalFormatting>
  <conditionalFormatting sqref="A1000:A1002">
    <cfRule type="cellIs" dxfId="12551" priority="12389" stopIfTrue="1" operator="equal">
      <formula>"Pass"</formula>
    </cfRule>
    <cfRule type="cellIs" dxfId="12550" priority="12390" stopIfTrue="1" operator="equal">
      <formula>"Fail"</formula>
    </cfRule>
  </conditionalFormatting>
  <conditionalFormatting sqref="A1000:A1002">
    <cfRule type="cellIs" dxfId="12549" priority="12387" stopIfTrue="1" operator="equal">
      <formula>"Pass"</formula>
    </cfRule>
    <cfRule type="cellIs" dxfId="12548" priority="12388" stopIfTrue="1" operator="equal">
      <formula>"Fail"</formula>
    </cfRule>
  </conditionalFormatting>
  <conditionalFormatting sqref="A1000:A1002">
    <cfRule type="cellIs" dxfId="12547" priority="12385" stopIfTrue="1" operator="equal">
      <formula>"Pass"</formula>
    </cfRule>
    <cfRule type="cellIs" dxfId="12546" priority="12386" stopIfTrue="1" operator="equal">
      <formula>"Fail"</formula>
    </cfRule>
  </conditionalFormatting>
  <conditionalFormatting sqref="A1002">
    <cfRule type="cellIs" dxfId="12545" priority="12383" stopIfTrue="1" operator="equal">
      <formula>"Pass"</formula>
    </cfRule>
    <cfRule type="cellIs" dxfId="12544" priority="12384" stopIfTrue="1" operator="equal">
      <formula>"Fail"</formula>
    </cfRule>
  </conditionalFormatting>
  <conditionalFormatting sqref="A1000:A1002">
    <cfRule type="cellIs" dxfId="12543" priority="12381" stopIfTrue="1" operator="equal">
      <formula>"Pass"</formula>
    </cfRule>
    <cfRule type="cellIs" dxfId="12542" priority="12382" stopIfTrue="1" operator="equal">
      <formula>"Fail"</formula>
    </cfRule>
  </conditionalFormatting>
  <conditionalFormatting sqref="A1000:A1002">
    <cfRule type="cellIs" dxfId="12541" priority="12379" stopIfTrue="1" operator="equal">
      <formula>"Pass"</formula>
    </cfRule>
    <cfRule type="cellIs" dxfId="12540" priority="12380" stopIfTrue="1" operator="equal">
      <formula>"Fail"</formula>
    </cfRule>
  </conditionalFormatting>
  <conditionalFormatting sqref="A1000:A1002">
    <cfRule type="cellIs" dxfId="12539" priority="12377" stopIfTrue="1" operator="equal">
      <formula>"Pass"</formula>
    </cfRule>
    <cfRule type="cellIs" dxfId="12538" priority="12378" stopIfTrue="1" operator="equal">
      <formula>"Fail"</formula>
    </cfRule>
  </conditionalFormatting>
  <conditionalFormatting sqref="A1000:A1002">
    <cfRule type="cellIs" dxfId="12537" priority="12375" stopIfTrue="1" operator="equal">
      <formula>"Pass"</formula>
    </cfRule>
    <cfRule type="cellIs" dxfId="12536" priority="12376" stopIfTrue="1" operator="equal">
      <formula>"Fail"</formula>
    </cfRule>
  </conditionalFormatting>
  <conditionalFormatting sqref="A1000:A1002">
    <cfRule type="cellIs" dxfId="12535" priority="12373" stopIfTrue="1" operator="equal">
      <formula>"Pass"</formula>
    </cfRule>
    <cfRule type="cellIs" dxfId="12534" priority="12374" stopIfTrue="1" operator="equal">
      <formula>"Fail"</formula>
    </cfRule>
  </conditionalFormatting>
  <conditionalFormatting sqref="A1000:A1002">
    <cfRule type="cellIs" dxfId="12533" priority="12371" stopIfTrue="1" operator="equal">
      <formula>"Pass"</formula>
    </cfRule>
    <cfRule type="cellIs" dxfId="12532" priority="12372" stopIfTrue="1" operator="equal">
      <formula>"Fail"</formula>
    </cfRule>
  </conditionalFormatting>
  <conditionalFormatting sqref="A1002">
    <cfRule type="cellIs" dxfId="12531" priority="12369" stopIfTrue="1" operator="equal">
      <formula>"Pass"</formula>
    </cfRule>
    <cfRule type="cellIs" dxfId="12530" priority="12370" stopIfTrue="1" operator="equal">
      <formula>"Fail"</formula>
    </cfRule>
  </conditionalFormatting>
  <conditionalFormatting sqref="A1000:A1002">
    <cfRule type="cellIs" dxfId="12529" priority="12367" stopIfTrue="1" operator="equal">
      <formula>"Pass"</formula>
    </cfRule>
    <cfRule type="cellIs" dxfId="12528" priority="12368" stopIfTrue="1" operator="equal">
      <formula>"Fail"</formula>
    </cfRule>
  </conditionalFormatting>
  <conditionalFormatting sqref="H1000:H1001">
    <cfRule type="cellIs" dxfId="12527" priority="12365" stopIfTrue="1" operator="equal">
      <formula>"Pass"</formula>
    </cfRule>
    <cfRule type="cellIs" dxfId="12526" priority="12366" stopIfTrue="1" operator="equal">
      <formula>"Fail"</formula>
    </cfRule>
  </conditionalFormatting>
  <conditionalFormatting sqref="F1000 F1002 I1000:M1001">
    <cfRule type="cellIs" dxfId="12525" priority="12363" stopIfTrue="1" operator="equal">
      <formula>"Pass"</formula>
    </cfRule>
    <cfRule type="cellIs" dxfId="12524" priority="12364" stopIfTrue="1" operator="equal">
      <formula>"Fail"</formula>
    </cfRule>
  </conditionalFormatting>
  <conditionalFormatting sqref="T1002 T1000 R1000:R1002 S1001:S1002">
    <cfRule type="cellIs" dxfId="12523" priority="12361" stopIfTrue="1" operator="equal">
      <formula>"Fail"</formula>
    </cfRule>
    <cfRule type="cellIs" dxfId="12522" priority="12362" stopIfTrue="1" operator="equal">
      <formula>"Pass"</formula>
    </cfRule>
  </conditionalFormatting>
  <conditionalFormatting sqref="F1000:G1000 F1002:G1002 J1000:N1001">
    <cfRule type="cellIs" dxfId="12521" priority="12359" stopIfTrue="1" operator="equal">
      <formula>"Pass"</formula>
    </cfRule>
    <cfRule type="cellIs" dxfId="12520" priority="12360" stopIfTrue="1" operator="equal">
      <formula>"Fail"</formula>
    </cfRule>
  </conditionalFormatting>
  <conditionalFormatting sqref="U1002:V1002 U1000:V1000 T1000:T1002 S1001:S1002">
    <cfRule type="cellIs" dxfId="12519" priority="12357" stopIfTrue="1" operator="equal">
      <formula>"Fail"</formula>
    </cfRule>
    <cfRule type="cellIs" dxfId="12518" priority="12358" stopIfTrue="1" operator="equal">
      <formula>"Pass"</formula>
    </cfRule>
  </conditionalFormatting>
  <conditionalFormatting sqref="J1000:N1001 F1000:G1002">
    <cfRule type="cellIs" dxfId="12517" priority="12355" stopIfTrue="1" operator="equal">
      <formula>"Pass"</formula>
    </cfRule>
    <cfRule type="cellIs" dxfId="12516" priority="12356" stopIfTrue="1" operator="equal">
      <formula>"Fail"</formula>
    </cfRule>
  </conditionalFormatting>
  <conditionalFormatting sqref="K1000:O1001 F1000:H1002">
    <cfRule type="cellIs" dxfId="12515" priority="12353" stopIfTrue="1" operator="equal">
      <formula>"Pass"</formula>
    </cfRule>
    <cfRule type="cellIs" dxfId="12514" priority="12354" stopIfTrue="1" operator="equal">
      <formula>"Fail"</formula>
    </cfRule>
  </conditionalFormatting>
  <conditionalFormatting sqref="T1000">
    <cfRule type="cellIs" dxfId="12513" priority="12351" stopIfTrue="1" operator="equal">
      <formula>"Fail"</formula>
    </cfRule>
    <cfRule type="cellIs" dxfId="12512" priority="12352" stopIfTrue="1" operator="equal">
      <formula>"Pass"</formula>
    </cfRule>
  </conditionalFormatting>
  <conditionalFormatting sqref="K1000:O1001 F1000:H1002">
    <cfRule type="cellIs" dxfId="12511" priority="12349" stopIfTrue="1" operator="equal">
      <formula>"Pass"</formula>
    </cfRule>
    <cfRule type="cellIs" dxfId="12510" priority="12350" stopIfTrue="1" operator="equal">
      <formula>"Fail"</formula>
    </cfRule>
  </conditionalFormatting>
  <conditionalFormatting sqref="T1000">
    <cfRule type="cellIs" dxfId="12509" priority="12347" stopIfTrue="1" operator="equal">
      <formula>"Fail"</formula>
    </cfRule>
    <cfRule type="cellIs" dxfId="12508" priority="12348" stopIfTrue="1" operator="equal">
      <formula>"Pass"</formula>
    </cfRule>
  </conditionalFormatting>
  <conditionalFormatting sqref="A1003:A1005">
    <cfRule type="cellIs" dxfId="12507" priority="12345" stopIfTrue="1" operator="equal">
      <formula>"Pass"</formula>
    </cfRule>
    <cfRule type="cellIs" dxfId="12506" priority="12346" stopIfTrue="1" operator="equal">
      <formula>"Fail"</formula>
    </cfRule>
  </conditionalFormatting>
  <conditionalFormatting sqref="A1003:A1005">
    <cfRule type="cellIs" dxfId="12505" priority="12343" stopIfTrue="1" operator="equal">
      <formula>"Pass"</formula>
    </cfRule>
    <cfRule type="cellIs" dxfId="12504" priority="12344" stopIfTrue="1" operator="equal">
      <formula>"Fail"</formula>
    </cfRule>
  </conditionalFormatting>
  <conditionalFormatting sqref="A1003:A1005">
    <cfRule type="cellIs" dxfId="12503" priority="12341" stopIfTrue="1" operator="equal">
      <formula>"Pass"</formula>
    </cfRule>
    <cfRule type="cellIs" dxfId="12502" priority="12342" stopIfTrue="1" operator="equal">
      <formula>"Fail"</formula>
    </cfRule>
  </conditionalFormatting>
  <conditionalFormatting sqref="A1003:A1005">
    <cfRule type="cellIs" dxfId="12501" priority="12339" stopIfTrue="1" operator="equal">
      <formula>"Pass"</formula>
    </cfRule>
    <cfRule type="cellIs" dxfId="12500" priority="12340" stopIfTrue="1" operator="equal">
      <formula>"Fail"</formula>
    </cfRule>
  </conditionalFormatting>
  <conditionalFormatting sqref="A1003:A1005">
    <cfRule type="cellIs" dxfId="12499" priority="12337" stopIfTrue="1" operator="equal">
      <formula>"Pass"</formula>
    </cfRule>
    <cfRule type="cellIs" dxfId="12498" priority="12338" stopIfTrue="1" operator="equal">
      <formula>"Fail"</formula>
    </cfRule>
  </conditionalFormatting>
  <conditionalFormatting sqref="A1005">
    <cfRule type="cellIs" dxfId="12497" priority="12335" stopIfTrue="1" operator="equal">
      <formula>"Pass"</formula>
    </cfRule>
    <cfRule type="cellIs" dxfId="12496" priority="12336" stopIfTrue="1" operator="equal">
      <formula>"Fail"</formula>
    </cfRule>
  </conditionalFormatting>
  <conditionalFormatting sqref="A1003:A1005">
    <cfRule type="cellIs" dxfId="12495" priority="12333" stopIfTrue="1" operator="equal">
      <formula>"Pass"</formula>
    </cfRule>
    <cfRule type="cellIs" dxfId="12494" priority="12334" stopIfTrue="1" operator="equal">
      <formula>"Fail"</formula>
    </cfRule>
  </conditionalFormatting>
  <conditionalFormatting sqref="A1003:A1005">
    <cfRule type="cellIs" dxfId="12493" priority="12331" stopIfTrue="1" operator="equal">
      <formula>"Pass"</formula>
    </cfRule>
    <cfRule type="cellIs" dxfId="12492" priority="12332" stopIfTrue="1" operator="equal">
      <formula>"Fail"</formula>
    </cfRule>
  </conditionalFormatting>
  <conditionalFormatting sqref="A1003:A1005">
    <cfRule type="cellIs" dxfId="12491" priority="12329" stopIfTrue="1" operator="equal">
      <formula>"Pass"</formula>
    </cfRule>
    <cfRule type="cellIs" dxfId="12490" priority="12330" stopIfTrue="1" operator="equal">
      <formula>"Fail"</formula>
    </cfRule>
  </conditionalFormatting>
  <conditionalFormatting sqref="A1003:A1005">
    <cfRule type="cellIs" dxfId="12489" priority="12327" stopIfTrue="1" operator="equal">
      <formula>"Pass"</formula>
    </cfRule>
    <cfRule type="cellIs" dxfId="12488" priority="12328" stopIfTrue="1" operator="equal">
      <formula>"Fail"</formula>
    </cfRule>
  </conditionalFormatting>
  <conditionalFormatting sqref="A1003:A1005">
    <cfRule type="cellIs" dxfId="12487" priority="12325" stopIfTrue="1" operator="equal">
      <formula>"Pass"</formula>
    </cfRule>
    <cfRule type="cellIs" dxfId="12486" priority="12326" stopIfTrue="1" operator="equal">
      <formula>"Fail"</formula>
    </cfRule>
  </conditionalFormatting>
  <conditionalFormatting sqref="A1003:A1005">
    <cfRule type="cellIs" dxfId="12485" priority="12323" stopIfTrue="1" operator="equal">
      <formula>"Pass"</formula>
    </cfRule>
    <cfRule type="cellIs" dxfId="12484" priority="12324" stopIfTrue="1" operator="equal">
      <formula>"Fail"</formula>
    </cfRule>
  </conditionalFormatting>
  <conditionalFormatting sqref="A1005">
    <cfRule type="cellIs" dxfId="12483" priority="12321" stopIfTrue="1" operator="equal">
      <formula>"Pass"</formula>
    </cfRule>
    <cfRule type="cellIs" dxfId="12482" priority="12322" stopIfTrue="1" operator="equal">
      <formula>"Fail"</formula>
    </cfRule>
  </conditionalFormatting>
  <conditionalFormatting sqref="A1003:A1005">
    <cfRule type="cellIs" dxfId="12481" priority="12319" stopIfTrue="1" operator="equal">
      <formula>"Pass"</formula>
    </cfRule>
    <cfRule type="cellIs" dxfId="12480" priority="12320" stopIfTrue="1" operator="equal">
      <formula>"Fail"</formula>
    </cfRule>
  </conditionalFormatting>
  <conditionalFormatting sqref="A1003:A1005">
    <cfRule type="cellIs" dxfId="12479" priority="12317" stopIfTrue="1" operator="equal">
      <formula>"Pass"</formula>
    </cfRule>
    <cfRule type="cellIs" dxfId="12478" priority="12318" stopIfTrue="1" operator="equal">
      <formula>"Fail"</formula>
    </cfRule>
  </conditionalFormatting>
  <conditionalFormatting sqref="A1003:A1005">
    <cfRule type="cellIs" dxfId="12477" priority="12315" stopIfTrue="1" operator="equal">
      <formula>"Pass"</formula>
    </cfRule>
    <cfRule type="cellIs" dxfId="12476" priority="12316" stopIfTrue="1" operator="equal">
      <formula>"Fail"</formula>
    </cfRule>
  </conditionalFormatting>
  <conditionalFormatting sqref="A1003:A1005">
    <cfRule type="cellIs" dxfId="12475" priority="12313" stopIfTrue="1" operator="equal">
      <formula>"Pass"</formula>
    </cfRule>
    <cfRule type="cellIs" dxfId="12474" priority="12314" stopIfTrue="1" operator="equal">
      <formula>"Fail"</formula>
    </cfRule>
  </conditionalFormatting>
  <conditionalFormatting sqref="A1003:A1005">
    <cfRule type="cellIs" dxfId="12473" priority="12311" stopIfTrue="1" operator="equal">
      <formula>"Pass"</formula>
    </cfRule>
    <cfRule type="cellIs" dxfId="12472" priority="12312" stopIfTrue="1" operator="equal">
      <formula>"Fail"</formula>
    </cfRule>
  </conditionalFormatting>
  <conditionalFormatting sqref="A1003:A1005">
    <cfRule type="cellIs" dxfId="12471" priority="12309" stopIfTrue="1" operator="equal">
      <formula>"Pass"</formula>
    </cfRule>
    <cfRule type="cellIs" dxfId="12470" priority="12310" stopIfTrue="1" operator="equal">
      <formula>"Fail"</formula>
    </cfRule>
  </conditionalFormatting>
  <conditionalFormatting sqref="A1005">
    <cfRule type="cellIs" dxfId="12469" priority="12307" stopIfTrue="1" operator="equal">
      <formula>"Pass"</formula>
    </cfRule>
    <cfRule type="cellIs" dxfId="12468" priority="12308" stopIfTrue="1" operator="equal">
      <formula>"Fail"</formula>
    </cfRule>
  </conditionalFormatting>
  <conditionalFormatting sqref="A1003:A1005">
    <cfRule type="cellIs" dxfId="12467" priority="12305" stopIfTrue="1" operator="equal">
      <formula>"Pass"</formula>
    </cfRule>
    <cfRule type="cellIs" dxfId="12466" priority="12306" stopIfTrue="1" operator="equal">
      <formula>"Fail"</formula>
    </cfRule>
  </conditionalFormatting>
  <conditionalFormatting sqref="A1003:A1005">
    <cfRule type="cellIs" dxfId="12465" priority="12303" stopIfTrue="1" operator="equal">
      <formula>"Pass"</formula>
    </cfRule>
    <cfRule type="cellIs" dxfId="12464" priority="12304" stopIfTrue="1" operator="equal">
      <formula>"Fail"</formula>
    </cfRule>
  </conditionalFormatting>
  <conditionalFormatting sqref="A1003:A1005">
    <cfRule type="cellIs" dxfId="12463" priority="12301" stopIfTrue="1" operator="equal">
      <formula>"Pass"</formula>
    </cfRule>
    <cfRule type="cellIs" dxfId="12462" priority="12302" stopIfTrue="1" operator="equal">
      <formula>"Fail"</formula>
    </cfRule>
  </conditionalFormatting>
  <conditionalFormatting sqref="A1003:A1005">
    <cfRule type="cellIs" dxfId="12461" priority="12299" stopIfTrue="1" operator="equal">
      <formula>"Pass"</formula>
    </cfRule>
    <cfRule type="cellIs" dxfId="12460" priority="12300" stopIfTrue="1" operator="equal">
      <formula>"Fail"</formula>
    </cfRule>
  </conditionalFormatting>
  <conditionalFormatting sqref="A1003:A1005">
    <cfRule type="cellIs" dxfId="12459" priority="12297" stopIfTrue="1" operator="equal">
      <formula>"Pass"</formula>
    </cfRule>
    <cfRule type="cellIs" dxfId="12458" priority="12298" stopIfTrue="1" operator="equal">
      <formula>"Fail"</formula>
    </cfRule>
  </conditionalFormatting>
  <conditionalFormatting sqref="A1003:A1005">
    <cfRule type="cellIs" dxfId="12457" priority="12295" stopIfTrue="1" operator="equal">
      <formula>"Pass"</formula>
    </cfRule>
    <cfRule type="cellIs" dxfId="12456" priority="12296" stopIfTrue="1" operator="equal">
      <formula>"Fail"</formula>
    </cfRule>
  </conditionalFormatting>
  <conditionalFormatting sqref="A1005">
    <cfRule type="cellIs" dxfId="12455" priority="12293" stopIfTrue="1" operator="equal">
      <formula>"Pass"</formula>
    </cfRule>
    <cfRule type="cellIs" dxfId="12454" priority="12294" stopIfTrue="1" operator="equal">
      <formula>"Fail"</formula>
    </cfRule>
  </conditionalFormatting>
  <conditionalFormatting sqref="A1003:A1005">
    <cfRule type="cellIs" dxfId="12453" priority="12291" stopIfTrue="1" operator="equal">
      <formula>"Pass"</formula>
    </cfRule>
    <cfRule type="cellIs" dxfId="12452" priority="12292" stopIfTrue="1" operator="equal">
      <formula>"Fail"</formula>
    </cfRule>
  </conditionalFormatting>
  <conditionalFormatting sqref="A1003:A1005">
    <cfRule type="cellIs" dxfId="12451" priority="12289" stopIfTrue="1" operator="equal">
      <formula>"Pass"</formula>
    </cfRule>
    <cfRule type="cellIs" dxfId="12450" priority="12290" stopIfTrue="1" operator="equal">
      <formula>"Fail"</formula>
    </cfRule>
  </conditionalFormatting>
  <conditionalFormatting sqref="A1003:A1005">
    <cfRule type="cellIs" dxfId="12449" priority="12287" stopIfTrue="1" operator="equal">
      <formula>"Pass"</formula>
    </cfRule>
    <cfRule type="cellIs" dxfId="12448" priority="12288" stopIfTrue="1" operator="equal">
      <formula>"Fail"</formula>
    </cfRule>
  </conditionalFormatting>
  <conditionalFormatting sqref="A1003:A1005">
    <cfRule type="cellIs" dxfId="12447" priority="12285" stopIfTrue="1" operator="equal">
      <formula>"Pass"</formula>
    </cfRule>
    <cfRule type="cellIs" dxfId="12446" priority="12286" stopIfTrue="1" operator="equal">
      <formula>"Fail"</formula>
    </cfRule>
  </conditionalFormatting>
  <conditionalFormatting sqref="A1003:A1005">
    <cfRule type="cellIs" dxfId="12445" priority="12283" stopIfTrue="1" operator="equal">
      <formula>"Pass"</formula>
    </cfRule>
    <cfRule type="cellIs" dxfId="12444" priority="12284" stopIfTrue="1" operator="equal">
      <formula>"Fail"</formula>
    </cfRule>
  </conditionalFormatting>
  <conditionalFormatting sqref="A1003:A1005">
    <cfRule type="cellIs" dxfId="12443" priority="12281" stopIfTrue="1" operator="equal">
      <formula>"Pass"</formula>
    </cfRule>
    <cfRule type="cellIs" dxfId="12442" priority="12282" stopIfTrue="1" operator="equal">
      <formula>"Fail"</formula>
    </cfRule>
  </conditionalFormatting>
  <conditionalFormatting sqref="A1005">
    <cfRule type="cellIs" dxfId="12441" priority="12279" stopIfTrue="1" operator="equal">
      <formula>"Pass"</formula>
    </cfRule>
    <cfRule type="cellIs" dxfId="12440" priority="12280" stopIfTrue="1" operator="equal">
      <formula>"Fail"</formula>
    </cfRule>
  </conditionalFormatting>
  <conditionalFormatting sqref="A1003:A1005">
    <cfRule type="cellIs" dxfId="12439" priority="12277" stopIfTrue="1" operator="equal">
      <formula>"Pass"</formula>
    </cfRule>
    <cfRule type="cellIs" dxfId="12438" priority="12278" stopIfTrue="1" operator="equal">
      <formula>"Fail"</formula>
    </cfRule>
  </conditionalFormatting>
  <conditionalFormatting sqref="A1003:A1005">
    <cfRule type="cellIs" dxfId="12437" priority="12275" stopIfTrue="1" operator="equal">
      <formula>"Pass"</formula>
    </cfRule>
    <cfRule type="cellIs" dxfId="12436" priority="12276" stopIfTrue="1" operator="equal">
      <formula>"Fail"</formula>
    </cfRule>
  </conditionalFormatting>
  <conditionalFormatting sqref="A1003:A1005">
    <cfRule type="cellIs" dxfId="12435" priority="12273" stopIfTrue="1" operator="equal">
      <formula>"Pass"</formula>
    </cfRule>
    <cfRule type="cellIs" dxfId="12434" priority="12274" stopIfTrue="1" operator="equal">
      <formula>"Fail"</formula>
    </cfRule>
  </conditionalFormatting>
  <conditionalFormatting sqref="A1003:A1005">
    <cfRule type="cellIs" dxfId="12433" priority="12271" stopIfTrue="1" operator="equal">
      <formula>"Pass"</formula>
    </cfRule>
    <cfRule type="cellIs" dxfId="12432" priority="12272" stopIfTrue="1" operator="equal">
      <formula>"Fail"</formula>
    </cfRule>
  </conditionalFormatting>
  <conditionalFormatting sqref="A1003:A1005">
    <cfRule type="cellIs" dxfId="12431" priority="12269" stopIfTrue="1" operator="equal">
      <formula>"Pass"</formula>
    </cfRule>
    <cfRule type="cellIs" dxfId="12430" priority="12270" stopIfTrue="1" operator="equal">
      <formula>"Fail"</formula>
    </cfRule>
  </conditionalFormatting>
  <conditionalFormatting sqref="A1003:A1005">
    <cfRule type="cellIs" dxfId="12429" priority="12267" stopIfTrue="1" operator="equal">
      <formula>"Pass"</formula>
    </cfRule>
    <cfRule type="cellIs" dxfId="12428" priority="12268" stopIfTrue="1" operator="equal">
      <formula>"Fail"</formula>
    </cfRule>
  </conditionalFormatting>
  <conditionalFormatting sqref="A1005">
    <cfRule type="cellIs" dxfId="12427" priority="12265" stopIfTrue="1" operator="equal">
      <formula>"Pass"</formula>
    </cfRule>
    <cfRule type="cellIs" dxfId="12426" priority="12266" stopIfTrue="1" operator="equal">
      <formula>"Fail"</formula>
    </cfRule>
  </conditionalFormatting>
  <conditionalFormatting sqref="A1003:A1005">
    <cfRule type="cellIs" dxfId="12425" priority="12263" stopIfTrue="1" operator="equal">
      <formula>"Pass"</formula>
    </cfRule>
    <cfRule type="cellIs" dxfId="12424" priority="12264" stopIfTrue="1" operator="equal">
      <formula>"Fail"</formula>
    </cfRule>
  </conditionalFormatting>
  <conditionalFormatting sqref="A1003">
    <cfRule type="cellIs" dxfId="12423" priority="12261" stopIfTrue="1" operator="equal">
      <formula>"Pass"</formula>
    </cfRule>
    <cfRule type="cellIs" dxfId="12422" priority="12262" stopIfTrue="1" operator="equal">
      <formula>"Fail"</formula>
    </cfRule>
  </conditionalFormatting>
  <conditionalFormatting sqref="A1003">
    <cfRule type="cellIs" dxfId="12421" priority="12259" stopIfTrue="1" operator="equal">
      <formula>"Pass"</formula>
    </cfRule>
    <cfRule type="cellIs" dxfId="12420" priority="12260" stopIfTrue="1" operator="equal">
      <formula>"Fail"</formula>
    </cfRule>
  </conditionalFormatting>
  <conditionalFormatting sqref="A1003">
    <cfRule type="cellIs" dxfId="12419" priority="12257" stopIfTrue="1" operator="equal">
      <formula>"Pass"</formula>
    </cfRule>
    <cfRule type="cellIs" dxfId="12418" priority="12258" stopIfTrue="1" operator="equal">
      <formula>"Fail"</formula>
    </cfRule>
  </conditionalFormatting>
  <conditionalFormatting sqref="A1003">
    <cfRule type="cellIs" dxfId="12417" priority="12255" stopIfTrue="1" operator="equal">
      <formula>"Pass"</formula>
    </cfRule>
    <cfRule type="cellIs" dxfId="12416" priority="12256" stopIfTrue="1" operator="equal">
      <formula>"Fail"</formula>
    </cfRule>
  </conditionalFormatting>
  <conditionalFormatting sqref="A1003">
    <cfRule type="cellIs" dxfId="12415" priority="12253" stopIfTrue="1" operator="equal">
      <formula>"Pass"</formula>
    </cfRule>
    <cfRule type="cellIs" dxfId="12414" priority="12254" stopIfTrue="1" operator="equal">
      <formula>"Fail"</formula>
    </cfRule>
  </conditionalFormatting>
  <conditionalFormatting sqref="A1003">
    <cfRule type="cellIs" dxfId="12413" priority="12251" stopIfTrue="1" operator="equal">
      <formula>"Pass"</formula>
    </cfRule>
    <cfRule type="cellIs" dxfId="12412" priority="12252" stopIfTrue="1" operator="equal">
      <formula>"Fail"</formula>
    </cfRule>
  </conditionalFormatting>
  <conditionalFormatting sqref="A1003">
    <cfRule type="cellIs" dxfId="12411" priority="12249" stopIfTrue="1" operator="equal">
      <formula>"Pass"</formula>
    </cfRule>
    <cfRule type="cellIs" dxfId="12410" priority="12250" stopIfTrue="1" operator="equal">
      <formula>"Fail"</formula>
    </cfRule>
  </conditionalFormatting>
  <conditionalFormatting sqref="A1003">
    <cfRule type="cellIs" dxfId="12409" priority="12247" stopIfTrue="1" operator="equal">
      <formula>"Pass"</formula>
    </cfRule>
    <cfRule type="cellIs" dxfId="12408" priority="12248" stopIfTrue="1" operator="equal">
      <formula>"Fail"</formula>
    </cfRule>
  </conditionalFormatting>
  <conditionalFormatting sqref="A1003">
    <cfRule type="cellIs" dxfId="12407" priority="12245" stopIfTrue="1" operator="equal">
      <formula>"Pass"</formula>
    </cfRule>
    <cfRule type="cellIs" dxfId="12406" priority="12246" stopIfTrue="1" operator="equal">
      <formula>"Fail"</formula>
    </cfRule>
  </conditionalFormatting>
  <conditionalFormatting sqref="A1003">
    <cfRule type="cellIs" dxfId="12405" priority="12243" stopIfTrue="1" operator="equal">
      <formula>"Pass"</formula>
    </cfRule>
    <cfRule type="cellIs" dxfId="12404" priority="12244" stopIfTrue="1" operator="equal">
      <formula>"Fail"</formula>
    </cfRule>
  </conditionalFormatting>
  <conditionalFormatting sqref="A1003">
    <cfRule type="cellIs" dxfId="12403" priority="12241" stopIfTrue="1" operator="equal">
      <formula>"Pass"</formula>
    </cfRule>
    <cfRule type="cellIs" dxfId="12402" priority="12242" stopIfTrue="1" operator="equal">
      <formula>"Fail"</formula>
    </cfRule>
  </conditionalFormatting>
  <conditionalFormatting sqref="A1003">
    <cfRule type="cellIs" dxfId="12401" priority="12239" stopIfTrue="1" operator="equal">
      <formula>"Pass"</formula>
    </cfRule>
    <cfRule type="cellIs" dxfId="12400" priority="12240" stopIfTrue="1" operator="equal">
      <formula>"Fail"</formula>
    </cfRule>
  </conditionalFormatting>
  <conditionalFormatting sqref="A1003">
    <cfRule type="cellIs" dxfId="12399" priority="12237" stopIfTrue="1" operator="equal">
      <formula>"Pass"</formula>
    </cfRule>
    <cfRule type="cellIs" dxfId="12398" priority="12238" stopIfTrue="1" operator="equal">
      <formula>"Fail"</formula>
    </cfRule>
  </conditionalFormatting>
  <conditionalFormatting sqref="A1003">
    <cfRule type="cellIs" dxfId="12397" priority="12235" stopIfTrue="1" operator="equal">
      <formula>"Pass"</formula>
    </cfRule>
    <cfRule type="cellIs" dxfId="12396" priority="12236" stopIfTrue="1" operator="equal">
      <formula>"Fail"</formula>
    </cfRule>
  </conditionalFormatting>
  <conditionalFormatting sqref="A1003">
    <cfRule type="cellIs" dxfId="12395" priority="12233" stopIfTrue="1" operator="equal">
      <formula>"Pass"</formula>
    </cfRule>
    <cfRule type="cellIs" dxfId="12394" priority="12234" stopIfTrue="1" operator="equal">
      <formula>"Fail"</formula>
    </cfRule>
  </conditionalFormatting>
  <conditionalFormatting sqref="A1003">
    <cfRule type="cellIs" dxfId="12393" priority="12231" stopIfTrue="1" operator="equal">
      <formula>"Pass"</formula>
    </cfRule>
    <cfRule type="cellIs" dxfId="12392" priority="12232" stopIfTrue="1" operator="equal">
      <formula>"Fail"</formula>
    </cfRule>
  </conditionalFormatting>
  <conditionalFormatting sqref="A1003">
    <cfRule type="cellIs" dxfId="12391" priority="12229" stopIfTrue="1" operator="equal">
      <formula>"Pass"</formula>
    </cfRule>
    <cfRule type="cellIs" dxfId="12390" priority="12230" stopIfTrue="1" operator="equal">
      <formula>"Fail"</formula>
    </cfRule>
  </conditionalFormatting>
  <conditionalFormatting sqref="A1003">
    <cfRule type="cellIs" dxfId="12389" priority="12227" stopIfTrue="1" operator="equal">
      <formula>"Pass"</formula>
    </cfRule>
    <cfRule type="cellIs" dxfId="12388" priority="12228" stopIfTrue="1" operator="equal">
      <formula>"Fail"</formula>
    </cfRule>
  </conditionalFormatting>
  <conditionalFormatting sqref="J1003:J1004">
    <cfRule type="cellIs" dxfId="12387" priority="12225" stopIfTrue="1" operator="equal">
      <formula>"Pass"</formula>
    </cfRule>
    <cfRule type="cellIs" dxfId="12386" priority="12226" stopIfTrue="1" operator="equal">
      <formula>"Fail"</formula>
    </cfRule>
  </conditionalFormatting>
  <conditionalFormatting sqref="H1003:H1004 I1004">
    <cfRule type="cellIs" dxfId="12385" priority="12223" stopIfTrue="1" operator="equal">
      <formula>"Pass"</formula>
    </cfRule>
    <cfRule type="cellIs" dxfId="12384" priority="12224" stopIfTrue="1" operator="equal">
      <formula>"Fail"</formula>
    </cfRule>
  </conditionalFormatting>
  <conditionalFormatting sqref="A1003 C1003 F1005 F1003:G1003 K1003:N1004">
    <cfRule type="cellIs" dxfId="12383" priority="12221" stopIfTrue="1" operator="equal">
      <formula>"Pass"</formula>
    </cfRule>
    <cfRule type="cellIs" dxfId="12382" priority="12222" stopIfTrue="1" operator="equal">
      <formula>"Fail"</formula>
    </cfRule>
  </conditionalFormatting>
  <conditionalFormatting sqref="T1003:T1005 U1004:V1005">
    <cfRule type="cellIs" dxfId="12381" priority="12219" stopIfTrue="1" operator="equal">
      <formula>"Fail"</formula>
    </cfRule>
    <cfRule type="cellIs" dxfId="12380" priority="12220" stopIfTrue="1" operator="equal">
      <formula>"Pass"</formula>
    </cfRule>
  </conditionalFormatting>
  <conditionalFormatting sqref="A1003">
    <cfRule type="cellIs" dxfId="12379" priority="12217" stopIfTrue="1" operator="equal">
      <formula>"Pass"</formula>
    </cfRule>
    <cfRule type="cellIs" dxfId="12378" priority="12218" stopIfTrue="1" operator="equal">
      <formula>"Fail"</formula>
    </cfRule>
  </conditionalFormatting>
  <conditionalFormatting sqref="A1003">
    <cfRule type="cellIs" dxfId="12377" priority="12215" stopIfTrue="1" operator="equal">
      <formula>"Pass"</formula>
    </cfRule>
    <cfRule type="cellIs" dxfId="12376" priority="12216" stopIfTrue="1" operator="equal">
      <formula>"Fail"</formula>
    </cfRule>
  </conditionalFormatting>
  <conditionalFormatting sqref="A1003">
    <cfRule type="cellIs" dxfId="12375" priority="12213" stopIfTrue="1" operator="equal">
      <formula>"Pass"</formula>
    </cfRule>
    <cfRule type="cellIs" dxfId="12374" priority="12214" stopIfTrue="1" operator="equal">
      <formula>"Fail"</formula>
    </cfRule>
  </conditionalFormatting>
  <conditionalFormatting sqref="A1003">
    <cfRule type="cellIs" dxfId="12373" priority="12211" stopIfTrue="1" operator="equal">
      <formula>"Pass"</formula>
    </cfRule>
    <cfRule type="cellIs" dxfId="12372" priority="12212" stopIfTrue="1" operator="equal">
      <formula>"Fail"</formula>
    </cfRule>
  </conditionalFormatting>
  <conditionalFormatting sqref="A1003">
    <cfRule type="cellIs" dxfId="12371" priority="12209" stopIfTrue="1" operator="equal">
      <formula>"Pass"</formula>
    </cfRule>
    <cfRule type="cellIs" dxfId="12370" priority="12210" stopIfTrue="1" operator="equal">
      <formula>"Fail"</formula>
    </cfRule>
  </conditionalFormatting>
  <conditionalFormatting sqref="A1003">
    <cfRule type="cellIs" dxfId="12369" priority="12207" stopIfTrue="1" operator="equal">
      <formula>"Pass"</formula>
    </cfRule>
    <cfRule type="cellIs" dxfId="12368" priority="12208" stopIfTrue="1" operator="equal">
      <formula>"Fail"</formula>
    </cfRule>
  </conditionalFormatting>
  <conditionalFormatting sqref="A1003">
    <cfRule type="cellIs" dxfId="12367" priority="12205" stopIfTrue="1" operator="equal">
      <formula>"Pass"</formula>
    </cfRule>
    <cfRule type="cellIs" dxfId="12366" priority="12206" stopIfTrue="1" operator="equal">
      <formula>"Fail"</formula>
    </cfRule>
  </conditionalFormatting>
  <conditionalFormatting sqref="A1003">
    <cfRule type="cellIs" dxfId="12365" priority="12203" stopIfTrue="1" operator="equal">
      <formula>"Pass"</formula>
    </cfRule>
    <cfRule type="cellIs" dxfId="12364" priority="12204" stopIfTrue="1" operator="equal">
      <formula>"Fail"</formula>
    </cfRule>
  </conditionalFormatting>
  <conditionalFormatting sqref="A1003">
    <cfRule type="cellIs" dxfId="12363" priority="12201" stopIfTrue="1" operator="equal">
      <formula>"Pass"</formula>
    </cfRule>
    <cfRule type="cellIs" dxfId="12362" priority="12202" stopIfTrue="1" operator="equal">
      <formula>"Fail"</formula>
    </cfRule>
  </conditionalFormatting>
  <conditionalFormatting sqref="A1003">
    <cfRule type="cellIs" dxfId="12361" priority="12199" stopIfTrue="1" operator="equal">
      <formula>"Pass"</formula>
    </cfRule>
    <cfRule type="cellIs" dxfId="12360" priority="12200" stopIfTrue="1" operator="equal">
      <formula>"Fail"</formula>
    </cfRule>
  </conditionalFormatting>
  <conditionalFormatting sqref="A1003">
    <cfRule type="cellIs" dxfId="12359" priority="12197" stopIfTrue="1" operator="equal">
      <formula>"Pass"</formula>
    </cfRule>
    <cfRule type="cellIs" dxfId="12358" priority="12198" stopIfTrue="1" operator="equal">
      <formula>"Fail"</formula>
    </cfRule>
  </conditionalFormatting>
  <conditionalFormatting sqref="A1003">
    <cfRule type="cellIs" dxfId="12357" priority="12195" stopIfTrue="1" operator="equal">
      <formula>"Pass"</formula>
    </cfRule>
    <cfRule type="cellIs" dxfId="12356" priority="12196" stopIfTrue="1" operator="equal">
      <formula>"Fail"</formula>
    </cfRule>
  </conditionalFormatting>
  <conditionalFormatting sqref="A1003">
    <cfRule type="cellIs" dxfId="12355" priority="12193" stopIfTrue="1" operator="equal">
      <formula>"Pass"</formula>
    </cfRule>
    <cfRule type="cellIs" dxfId="12354" priority="12194" stopIfTrue="1" operator="equal">
      <formula>"Fail"</formula>
    </cfRule>
  </conditionalFormatting>
  <conditionalFormatting sqref="A1003">
    <cfRule type="cellIs" dxfId="12353" priority="12191" stopIfTrue="1" operator="equal">
      <formula>"Pass"</formula>
    </cfRule>
    <cfRule type="cellIs" dxfId="12352" priority="12192" stopIfTrue="1" operator="equal">
      <formula>"Fail"</formula>
    </cfRule>
  </conditionalFormatting>
  <conditionalFormatting sqref="A1003">
    <cfRule type="cellIs" dxfId="12351" priority="12189" stopIfTrue="1" operator="equal">
      <formula>"Pass"</formula>
    </cfRule>
    <cfRule type="cellIs" dxfId="12350" priority="12190" stopIfTrue="1" operator="equal">
      <formula>"Fail"</formula>
    </cfRule>
  </conditionalFormatting>
  <conditionalFormatting sqref="A1003">
    <cfRule type="cellIs" dxfId="12349" priority="12187" stopIfTrue="1" operator="equal">
      <formula>"Pass"</formula>
    </cfRule>
    <cfRule type="cellIs" dxfId="12348" priority="12188" stopIfTrue="1" operator="equal">
      <formula>"Fail"</formula>
    </cfRule>
  </conditionalFormatting>
  <conditionalFormatting sqref="U1003:V1003">
    <cfRule type="cellIs" dxfId="12347" priority="12185" stopIfTrue="1" operator="equal">
      <formula>"Fail"</formula>
    </cfRule>
    <cfRule type="cellIs" dxfId="12346" priority="12186" stopIfTrue="1" operator="equal">
      <formula>"Pass"</formula>
    </cfRule>
  </conditionalFormatting>
  <conditionalFormatting sqref="U1003:V1003">
    <cfRule type="cellIs" dxfId="12345" priority="12183" stopIfTrue="1" operator="equal">
      <formula>"Fail"</formula>
    </cfRule>
    <cfRule type="cellIs" dxfId="12344" priority="12184" stopIfTrue="1" operator="equal">
      <formula>"Pass"</formula>
    </cfRule>
  </conditionalFormatting>
  <conditionalFormatting sqref="J1003:J1004">
    <cfRule type="cellIs" dxfId="12343" priority="12181" stopIfTrue="1" operator="equal">
      <formula>"Pass"</formula>
    </cfRule>
    <cfRule type="cellIs" dxfId="12342" priority="12182" stopIfTrue="1" operator="equal">
      <formula>"Fail"</formula>
    </cfRule>
  </conditionalFormatting>
  <conditionalFormatting sqref="H1003:H1004 I1004">
    <cfRule type="cellIs" dxfId="12341" priority="12179" stopIfTrue="1" operator="equal">
      <formula>"Pass"</formula>
    </cfRule>
    <cfRule type="cellIs" dxfId="12340" priority="12180" stopIfTrue="1" operator="equal">
      <formula>"Fail"</formula>
    </cfRule>
  </conditionalFormatting>
  <conditionalFormatting sqref="F1005 F1003:G1003 K1003:N1004">
    <cfRule type="cellIs" dxfId="12339" priority="12177" stopIfTrue="1" operator="equal">
      <formula>"Pass"</formula>
    </cfRule>
    <cfRule type="cellIs" dxfId="12338" priority="12178" stopIfTrue="1" operator="equal">
      <formula>"Fail"</formula>
    </cfRule>
  </conditionalFormatting>
  <conditionalFormatting sqref="T1003:T1005 U1004:V1005">
    <cfRule type="cellIs" dxfId="12337" priority="12175" stopIfTrue="1" operator="equal">
      <formula>"Fail"</formula>
    </cfRule>
    <cfRule type="cellIs" dxfId="12336" priority="12176" stopIfTrue="1" operator="equal">
      <formula>"Pass"</formula>
    </cfRule>
  </conditionalFormatting>
  <conditionalFormatting sqref="U1003:V1003">
    <cfRule type="cellIs" dxfId="12335" priority="12173" stopIfTrue="1" operator="equal">
      <formula>"Fail"</formula>
    </cfRule>
    <cfRule type="cellIs" dxfId="12334" priority="12174" stopIfTrue="1" operator="equal">
      <formula>"Pass"</formula>
    </cfRule>
  </conditionalFormatting>
  <conditionalFormatting sqref="U1003:V1003">
    <cfRule type="cellIs" dxfId="12333" priority="12171" stopIfTrue="1" operator="equal">
      <formula>"Fail"</formula>
    </cfRule>
    <cfRule type="cellIs" dxfId="12332" priority="12172" stopIfTrue="1" operator="equal">
      <formula>"Pass"</formula>
    </cfRule>
  </conditionalFormatting>
  <conditionalFormatting sqref="F1003:G1003 K1003:N1003">
    <cfRule type="cellIs" dxfId="12331" priority="12169" stopIfTrue="1" operator="equal">
      <formula>"Pass"</formula>
    </cfRule>
    <cfRule type="cellIs" dxfId="12330" priority="12170" stopIfTrue="1" operator="equal">
      <formula>"Fail"</formula>
    </cfRule>
  </conditionalFormatting>
  <conditionalFormatting sqref="K1004:N1004">
    <cfRule type="cellIs" dxfId="12329" priority="12167" stopIfTrue="1" operator="equal">
      <formula>"Pass"</formula>
    </cfRule>
    <cfRule type="cellIs" dxfId="12328" priority="12168" stopIfTrue="1" operator="equal">
      <formula>"Fail"</formula>
    </cfRule>
  </conditionalFormatting>
  <conditionalFormatting sqref="U1003:V1003">
    <cfRule type="cellIs" dxfId="12327" priority="12165" stopIfTrue="1" operator="equal">
      <formula>"Fail"</formula>
    </cfRule>
    <cfRule type="cellIs" dxfId="12326" priority="12166" stopIfTrue="1" operator="equal">
      <formula>"Pass"</formula>
    </cfRule>
  </conditionalFormatting>
  <conditionalFormatting sqref="A1003">
    <cfRule type="cellIs" dxfId="12325" priority="12163" stopIfTrue="1" operator="equal">
      <formula>"Pass"</formula>
    </cfRule>
    <cfRule type="cellIs" dxfId="12324" priority="12164" stopIfTrue="1" operator="equal">
      <formula>"Fail"</formula>
    </cfRule>
  </conditionalFormatting>
  <conditionalFormatting sqref="A1003">
    <cfRule type="cellIs" dxfId="12323" priority="12161" stopIfTrue="1" operator="equal">
      <formula>"Pass"</formula>
    </cfRule>
    <cfRule type="cellIs" dxfId="12322" priority="12162" stopIfTrue="1" operator="equal">
      <formula>"Fail"</formula>
    </cfRule>
  </conditionalFormatting>
  <conditionalFormatting sqref="A1003">
    <cfRule type="cellIs" dxfId="12321" priority="12159" stopIfTrue="1" operator="equal">
      <formula>"Pass"</formula>
    </cfRule>
    <cfRule type="cellIs" dxfId="12320" priority="12160" stopIfTrue="1" operator="equal">
      <formula>"Fail"</formula>
    </cfRule>
  </conditionalFormatting>
  <conditionalFormatting sqref="A1003">
    <cfRule type="cellIs" dxfId="12319" priority="12157" stopIfTrue="1" operator="equal">
      <formula>"Pass"</formula>
    </cfRule>
    <cfRule type="cellIs" dxfId="12318" priority="12158" stopIfTrue="1" operator="equal">
      <formula>"Fail"</formula>
    </cfRule>
  </conditionalFormatting>
  <conditionalFormatting sqref="A1003">
    <cfRule type="cellIs" dxfId="12317" priority="12155" stopIfTrue="1" operator="equal">
      <formula>"Pass"</formula>
    </cfRule>
    <cfRule type="cellIs" dxfId="12316" priority="12156" stopIfTrue="1" operator="equal">
      <formula>"Fail"</formula>
    </cfRule>
  </conditionalFormatting>
  <conditionalFormatting sqref="A1003">
    <cfRule type="cellIs" dxfId="12315" priority="12153" stopIfTrue="1" operator="equal">
      <formula>"Pass"</formula>
    </cfRule>
    <cfRule type="cellIs" dxfId="12314" priority="12154" stopIfTrue="1" operator="equal">
      <formula>"Fail"</formula>
    </cfRule>
  </conditionalFormatting>
  <conditionalFormatting sqref="A1003">
    <cfRule type="cellIs" dxfId="12313" priority="12151" stopIfTrue="1" operator="equal">
      <formula>"Pass"</formula>
    </cfRule>
    <cfRule type="cellIs" dxfId="12312" priority="12152" stopIfTrue="1" operator="equal">
      <formula>"Fail"</formula>
    </cfRule>
  </conditionalFormatting>
  <conditionalFormatting sqref="A1003">
    <cfRule type="cellIs" dxfId="12311" priority="12149" stopIfTrue="1" operator="equal">
      <formula>"Pass"</formula>
    </cfRule>
    <cfRule type="cellIs" dxfId="12310" priority="12150" stopIfTrue="1" operator="equal">
      <formula>"Fail"</formula>
    </cfRule>
  </conditionalFormatting>
  <conditionalFormatting sqref="A1003">
    <cfRule type="cellIs" dxfId="12309" priority="12147" stopIfTrue="1" operator="equal">
      <formula>"Pass"</formula>
    </cfRule>
    <cfRule type="cellIs" dxfId="12308" priority="12148" stopIfTrue="1" operator="equal">
      <formula>"Fail"</formula>
    </cfRule>
  </conditionalFormatting>
  <conditionalFormatting sqref="A1003">
    <cfRule type="cellIs" dxfId="12307" priority="12145" stopIfTrue="1" operator="equal">
      <formula>"Pass"</formula>
    </cfRule>
    <cfRule type="cellIs" dxfId="12306" priority="12146" stopIfTrue="1" operator="equal">
      <formula>"Fail"</formula>
    </cfRule>
  </conditionalFormatting>
  <conditionalFormatting sqref="A1003">
    <cfRule type="cellIs" dxfId="12305" priority="12143" stopIfTrue="1" operator="equal">
      <formula>"Pass"</formula>
    </cfRule>
    <cfRule type="cellIs" dxfId="12304" priority="12144" stopIfTrue="1" operator="equal">
      <formula>"Fail"</formula>
    </cfRule>
  </conditionalFormatting>
  <conditionalFormatting sqref="A1003">
    <cfRule type="cellIs" dxfId="12303" priority="12141" stopIfTrue="1" operator="equal">
      <formula>"Pass"</formula>
    </cfRule>
    <cfRule type="cellIs" dxfId="12302" priority="12142" stopIfTrue="1" operator="equal">
      <formula>"Fail"</formula>
    </cfRule>
  </conditionalFormatting>
  <conditionalFormatting sqref="J1003:J1004">
    <cfRule type="cellIs" dxfId="12301" priority="12139" stopIfTrue="1" operator="equal">
      <formula>"Pass"</formula>
    </cfRule>
    <cfRule type="cellIs" dxfId="12300" priority="12140" stopIfTrue="1" operator="equal">
      <formula>"Fail"</formula>
    </cfRule>
  </conditionalFormatting>
  <conditionalFormatting sqref="H1003:H1004 I1004">
    <cfRule type="cellIs" dxfId="12299" priority="12137" stopIfTrue="1" operator="equal">
      <formula>"Pass"</formula>
    </cfRule>
    <cfRule type="cellIs" dxfId="12298" priority="12138" stopIfTrue="1" operator="equal">
      <formula>"Fail"</formula>
    </cfRule>
  </conditionalFormatting>
  <conditionalFormatting sqref="F1005 F1003:G1003 K1003:N1004">
    <cfRule type="cellIs" dxfId="12297" priority="12135" stopIfTrue="1" operator="equal">
      <formula>"Pass"</formula>
    </cfRule>
    <cfRule type="cellIs" dxfId="12296" priority="12136" stopIfTrue="1" operator="equal">
      <formula>"Fail"</formula>
    </cfRule>
  </conditionalFormatting>
  <conditionalFormatting sqref="T1003:T1005 U1004:V1005">
    <cfRule type="cellIs" dxfId="12295" priority="12133" stopIfTrue="1" operator="equal">
      <formula>"Fail"</formula>
    </cfRule>
    <cfRule type="cellIs" dxfId="12294" priority="12134" stopIfTrue="1" operator="equal">
      <formula>"Pass"</formula>
    </cfRule>
  </conditionalFormatting>
  <conditionalFormatting sqref="U1003:V1003">
    <cfRule type="cellIs" dxfId="12293" priority="12131" stopIfTrue="1" operator="equal">
      <formula>"Fail"</formula>
    </cfRule>
    <cfRule type="cellIs" dxfId="12292" priority="12132" stopIfTrue="1" operator="equal">
      <formula>"Pass"</formula>
    </cfRule>
  </conditionalFormatting>
  <conditionalFormatting sqref="U1003:V1003">
    <cfRule type="cellIs" dxfId="12291" priority="12129" stopIfTrue="1" operator="equal">
      <formula>"Fail"</formula>
    </cfRule>
    <cfRule type="cellIs" dxfId="12290" priority="12130" stopIfTrue="1" operator="equal">
      <formula>"Pass"</formula>
    </cfRule>
  </conditionalFormatting>
  <conditionalFormatting sqref="J1003:J1004">
    <cfRule type="cellIs" dxfId="12289" priority="12127" stopIfTrue="1" operator="equal">
      <formula>"Pass"</formula>
    </cfRule>
    <cfRule type="cellIs" dxfId="12288" priority="12128" stopIfTrue="1" operator="equal">
      <formula>"Fail"</formula>
    </cfRule>
  </conditionalFormatting>
  <conditionalFormatting sqref="H1003:H1004 I1004">
    <cfRule type="cellIs" dxfId="12287" priority="12125" stopIfTrue="1" operator="equal">
      <formula>"Pass"</formula>
    </cfRule>
    <cfRule type="cellIs" dxfId="12286" priority="12126" stopIfTrue="1" operator="equal">
      <formula>"Fail"</formula>
    </cfRule>
  </conditionalFormatting>
  <conditionalFormatting sqref="F1005 F1003:G1003 K1003:N1004">
    <cfRule type="cellIs" dxfId="12285" priority="12123" stopIfTrue="1" operator="equal">
      <formula>"Pass"</formula>
    </cfRule>
    <cfRule type="cellIs" dxfId="12284" priority="12124" stopIfTrue="1" operator="equal">
      <formula>"Fail"</formula>
    </cfRule>
  </conditionalFormatting>
  <conditionalFormatting sqref="T1003:T1005 U1004:V1005">
    <cfRule type="cellIs" dxfId="12283" priority="12121" stopIfTrue="1" operator="equal">
      <formula>"Fail"</formula>
    </cfRule>
    <cfRule type="cellIs" dxfId="12282" priority="12122" stopIfTrue="1" operator="equal">
      <formula>"Pass"</formula>
    </cfRule>
  </conditionalFormatting>
  <conditionalFormatting sqref="U1003:V1003">
    <cfRule type="cellIs" dxfId="12281" priority="12119" stopIfTrue="1" operator="equal">
      <formula>"Fail"</formula>
    </cfRule>
    <cfRule type="cellIs" dxfId="12280" priority="12120" stopIfTrue="1" operator="equal">
      <formula>"Pass"</formula>
    </cfRule>
  </conditionalFormatting>
  <conditionalFormatting sqref="U1003:V1003">
    <cfRule type="cellIs" dxfId="12279" priority="12117" stopIfTrue="1" operator="equal">
      <formula>"Fail"</formula>
    </cfRule>
    <cfRule type="cellIs" dxfId="12278" priority="12118" stopIfTrue="1" operator="equal">
      <formula>"Pass"</formula>
    </cfRule>
  </conditionalFormatting>
  <conditionalFormatting sqref="F1003:G1003 K1003:N1003">
    <cfRule type="cellIs" dxfId="12277" priority="12115" stopIfTrue="1" operator="equal">
      <formula>"Pass"</formula>
    </cfRule>
    <cfRule type="cellIs" dxfId="12276" priority="12116" stopIfTrue="1" operator="equal">
      <formula>"Fail"</formula>
    </cfRule>
  </conditionalFormatting>
  <conditionalFormatting sqref="K1004:N1004">
    <cfRule type="cellIs" dxfId="12275" priority="12113" stopIfTrue="1" operator="equal">
      <formula>"Pass"</formula>
    </cfRule>
    <cfRule type="cellIs" dxfId="12274" priority="12114" stopIfTrue="1" operator="equal">
      <formula>"Fail"</formula>
    </cfRule>
  </conditionalFormatting>
  <conditionalFormatting sqref="U1003:V1003">
    <cfRule type="cellIs" dxfId="12273" priority="12111" stopIfTrue="1" operator="equal">
      <formula>"Fail"</formula>
    </cfRule>
    <cfRule type="cellIs" dxfId="12272" priority="12112" stopIfTrue="1" operator="equal">
      <formula>"Pass"</formula>
    </cfRule>
  </conditionalFormatting>
  <conditionalFormatting sqref="J1003:J1004">
    <cfRule type="cellIs" dxfId="12271" priority="12109" stopIfTrue="1" operator="equal">
      <formula>"Pass"</formula>
    </cfRule>
    <cfRule type="cellIs" dxfId="12270" priority="12110" stopIfTrue="1" operator="equal">
      <formula>"Fail"</formula>
    </cfRule>
  </conditionalFormatting>
  <conditionalFormatting sqref="H1003:H1004 I1004">
    <cfRule type="cellIs" dxfId="12269" priority="12107" stopIfTrue="1" operator="equal">
      <formula>"Pass"</formula>
    </cfRule>
    <cfRule type="cellIs" dxfId="12268" priority="12108" stopIfTrue="1" operator="equal">
      <formula>"Fail"</formula>
    </cfRule>
  </conditionalFormatting>
  <conditionalFormatting sqref="F1003:G1003 K1003:N1004">
    <cfRule type="cellIs" dxfId="12267" priority="12105" stopIfTrue="1" operator="equal">
      <formula>"Pass"</formula>
    </cfRule>
    <cfRule type="cellIs" dxfId="12266" priority="12106" stopIfTrue="1" operator="equal">
      <formula>"Fail"</formula>
    </cfRule>
  </conditionalFormatting>
  <conditionalFormatting sqref="T1003:T1004 U1004:V1004">
    <cfRule type="cellIs" dxfId="12265" priority="12103" stopIfTrue="1" operator="equal">
      <formula>"Fail"</formula>
    </cfRule>
    <cfRule type="cellIs" dxfId="12264" priority="12104" stopIfTrue="1" operator="equal">
      <formula>"Pass"</formula>
    </cfRule>
  </conditionalFormatting>
  <conditionalFormatting sqref="U1003:V1003">
    <cfRule type="cellIs" dxfId="12263" priority="12101" stopIfTrue="1" operator="equal">
      <formula>"Fail"</formula>
    </cfRule>
    <cfRule type="cellIs" dxfId="12262" priority="12102" stopIfTrue="1" operator="equal">
      <formula>"Pass"</formula>
    </cfRule>
  </conditionalFormatting>
  <conditionalFormatting sqref="U1003:V1003">
    <cfRule type="cellIs" dxfId="12261" priority="12099" stopIfTrue="1" operator="equal">
      <formula>"Fail"</formula>
    </cfRule>
    <cfRule type="cellIs" dxfId="12260" priority="12100" stopIfTrue="1" operator="equal">
      <formula>"Pass"</formula>
    </cfRule>
  </conditionalFormatting>
  <conditionalFormatting sqref="J1003:J1004">
    <cfRule type="cellIs" dxfId="12259" priority="12097" stopIfTrue="1" operator="equal">
      <formula>"Pass"</formula>
    </cfRule>
    <cfRule type="cellIs" dxfId="12258" priority="12098" stopIfTrue="1" operator="equal">
      <formula>"Fail"</formula>
    </cfRule>
  </conditionalFormatting>
  <conditionalFormatting sqref="H1003:H1004 I1004">
    <cfRule type="cellIs" dxfId="12257" priority="12095" stopIfTrue="1" operator="equal">
      <formula>"Pass"</formula>
    </cfRule>
    <cfRule type="cellIs" dxfId="12256" priority="12096" stopIfTrue="1" operator="equal">
      <formula>"Fail"</formula>
    </cfRule>
  </conditionalFormatting>
  <conditionalFormatting sqref="F1003:G1003 K1003:N1004">
    <cfRule type="cellIs" dxfId="12255" priority="12093" stopIfTrue="1" operator="equal">
      <formula>"Pass"</formula>
    </cfRule>
    <cfRule type="cellIs" dxfId="12254" priority="12094" stopIfTrue="1" operator="equal">
      <formula>"Fail"</formula>
    </cfRule>
  </conditionalFormatting>
  <conditionalFormatting sqref="T1003:T1004 U1004:V1004">
    <cfRule type="cellIs" dxfId="12253" priority="12091" stopIfTrue="1" operator="equal">
      <formula>"Fail"</formula>
    </cfRule>
    <cfRule type="cellIs" dxfId="12252" priority="12092" stopIfTrue="1" operator="equal">
      <formula>"Pass"</formula>
    </cfRule>
  </conditionalFormatting>
  <conditionalFormatting sqref="U1003:V1003">
    <cfRule type="cellIs" dxfId="12251" priority="12089" stopIfTrue="1" operator="equal">
      <formula>"Fail"</formula>
    </cfRule>
    <cfRule type="cellIs" dxfId="12250" priority="12090" stopIfTrue="1" operator="equal">
      <formula>"Pass"</formula>
    </cfRule>
  </conditionalFormatting>
  <conditionalFormatting sqref="U1003:V1003">
    <cfRule type="cellIs" dxfId="12249" priority="12087" stopIfTrue="1" operator="equal">
      <formula>"Fail"</formula>
    </cfRule>
    <cfRule type="cellIs" dxfId="12248" priority="12088" stopIfTrue="1" operator="equal">
      <formula>"Pass"</formula>
    </cfRule>
  </conditionalFormatting>
  <conditionalFormatting sqref="F1003:G1003 K1003:N1003">
    <cfRule type="cellIs" dxfId="12247" priority="12085" stopIfTrue="1" operator="equal">
      <formula>"Pass"</formula>
    </cfRule>
    <cfRule type="cellIs" dxfId="12246" priority="12086" stopIfTrue="1" operator="equal">
      <formula>"Fail"</formula>
    </cfRule>
  </conditionalFormatting>
  <conditionalFormatting sqref="K1004:N1004">
    <cfRule type="cellIs" dxfId="12245" priority="12083" stopIfTrue="1" operator="equal">
      <formula>"Pass"</formula>
    </cfRule>
    <cfRule type="cellIs" dxfId="12244" priority="12084" stopIfTrue="1" operator="equal">
      <formula>"Fail"</formula>
    </cfRule>
  </conditionalFormatting>
  <conditionalFormatting sqref="U1003:V1003">
    <cfRule type="cellIs" dxfId="12243" priority="12081" stopIfTrue="1" operator="equal">
      <formula>"Fail"</formula>
    </cfRule>
    <cfRule type="cellIs" dxfId="12242" priority="12082" stopIfTrue="1" operator="equal">
      <formula>"Pass"</formula>
    </cfRule>
  </conditionalFormatting>
  <conditionalFormatting sqref="U1003:V1003">
    <cfRule type="cellIs" dxfId="12241" priority="12079" stopIfTrue="1" operator="equal">
      <formula>"Fail"</formula>
    </cfRule>
    <cfRule type="cellIs" dxfId="12240" priority="12080" stopIfTrue="1" operator="equal">
      <formula>"Pass"</formula>
    </cfRule>
  </conditionalFormatting>
  <conditionalFormatting sqref="U1003:V1003">
    <cfRule type="cellIs" dxfId="12239" priority="12077" stopIfTrue="1" operator="equal">
      <formula>"Fail"</formula>
    </cfRule>
    <cfRule type="cellIs" dxfId="12238" priority="12078" stopIfTrue="1" operator="equal">
      <formula>"Pass"</formula>
    </cfRule>
  </conditionalFormatting>
  <conditionalFormatting sqref="U1003:V1003">
    <cfRule type="cellIs" dxfId="12237" priority="12075" stopIfTrue="1" operator="equal">
      <formula>"Fail"</formula>
    </cfRule>
    <cfRule type="cellIs" dxfId="12236" priority="12076" stopIfTrue="1" operator="equal">
      <formula>"Pass"</formula>
    </cfRule>
  </conditionalFormatting>
  <conditionalFormatting sqref="A1003">
    <cfRule type="cellIs" dxfId="12235" priority="12073" stopIfTrue="1" operator="equal">
      <formula>"Pass"</formula>
    </cfRule>
    <cfRule type="cellIs" dxfId="12234" priority="12074" stopIfTrue="1" operator="equal">
      <formula>"Fail"</formula>
    </cfRule>
  </conditionalFormatting>
  <conditionalFormatting sqref="A1003">
    <cfRule type="cellIs" dxfId="12233" priority="12071" stopIfTrue="1" operator="equal">
      <formula>"Pass"</formula>
    </cfRule>
    <cfRule type="cellIs" dxfId="12232" priority="12072" stopIfTrue="1" operator="equal">
      <formula>"Fail"</formula>
    </cfRule>
  </conditionalFormatting>
  <conditionalFormatting sqref="A1003">
    <cfRule type="cellIs" dxfId="12231" priority="12069" stopIfTrue="1" operator="equal">
      <formula>"Pass"</formula>
    </cfRule>
    <cfRule type="cellIs" dxfId="12230" priority="12070" stopIfTrue="1" operator="equal">
      <formula>"Fail"</formula>
    </cfRule>
  </conditionalFormatting>
  <conditionalFormatting sqref="A1003">
    <cfRule type="cellIs" dxfId="12229" priority="12067" stopIfTrue="1" operator="equal">
      <formula>"Pass"</formula>
    </cfRule>
    <cfRule type="cellIs" dxfId="12228" priority="12068" stopIfTrue="1" operator="equal">
      <formula>"Fail"</formula>
    </cfRule>
  </conditionalFormatting>
  <conditionalFormatting sqref="A1003">
    <cfRule type="cellIs" dxfId="12227" priority="12065" stopIfTrue="1" operator="equal">
      <formula>"Pass"</formula>
    </cfRule>
    <cfRule type="cellIs" dxfId="12226" priority="12066" stopIfTrue="1" operator="equal">
      <formula>"Fail"</formula>
    </cfRule>
  </conditionalFormatting>
  <conditionalFormatting sqref="A1003">
    <cfRule type="cellIs" dxfId="12225" priority="12063" stopIfTrue="1" operator="equal">
      <formula>"Pass"</formula>
    </cfRule>
    <cfRule type="cellIs" dxfId="12224" priority="12064" stopIfTrue="1" operator="equal">
      <formula>"Fail"</formula>
    </cfRule>
  </conditionalFormatting>
  <conditionalFormatting sqref="A1003">
    <cfRule type="cellIs" dxfId="12223" priority="12061" stopIfTrue="1" operator="equal">
      <formula>"Pass"</formula>
    </cfRule>
    <cfRule type="cellIs" dxfId="12222" priority="12062" stopIfTrue="1" operator="equal">
      <formula>"Fail"</formula>
    </cfRule>
  </conditionalFormatting>
  <conditionalFormatting sqref="A1003">
    <cfRule type="cellIs" dxfId="12221" priority="12059" stopIfTrue="1" operator="equal">
      <formula>"Pass"</formula>
    </cfRule>
    <cfRule type="cellIs" dxfId="12220" priority="12060" stopIfTrue="1" operator="equal">
      <formula>"Fail"</formula>
    </cfRule>
  </conditionalFormatting>
  <conditionalFormatting sqref="A1003">
    <cfRule type="cellIs" dxfId="12219" priority="12057" stopIfTrue="1" operator="equal">
      <formula>"Pass"</formula>
    </cfRule>
    <cfRule type="cellIs" dxfId="12218" priority="12058" stopIfTrue="1" operator="equal">
      <formula>"Fail"</formula>
    </cfRule>
  </conditionalFormatting>
  <conditionalFormatting sqref="A1003">
    <cfRule type="cellIs" dxfId="12217" priority="12055" stopIfTrue="1" operator="equal">
      <formula>"Pass"</formula>
    </cfRule>
    <cfRule type="cellIs" dxfId="12216" priority="12056" stopIfTrue="1" operator="equal">
      <formula>"Fail"</formula>
    </cfRule>
  </conditionalFormatting>
  <conditionalFormatting sqref="A1003">
    <cfRule type="cellIs" dxfId="12215" priority="12053" stopIfTrue="1" operator="equal">
      <formula>"Pass"</formula>
    </cfRule>
    <cfRule type="cellIs" dxfId="12214" priority="12054" stopIfTrue="1" operator="equal">
      <formula>"Fail"</formula>
    </cfRule>
  </conditionalFormatting>
  <conditionalFormatting sqref="A1003">
    <cfRule type="cellIs" dxfId="12213" priority="12051" stopIfTrue="1" operator="equal">
      <formula>"Pass"</formula>
    </cfRule>
    <cfRule type="cellIs" dxfId="12212" priority="12052" stopIfTrue="1" operator="equal">
      <formula>"Fail"</formula>
    </cfRule>
  </conditionalFormatting>
  <conditionalFormatting sqref="A1003">
    <cfRule type="cellIs" dxfId="12211" priority="12049" stopIfTrue="1" operator="equal">
      <formula>"Pass"</formula>
    </cfRule>
    <cfRule type="cellIs" dxfId="12210" priority="12050" stopIfTrue="1" operator="equal">
      <formula>"Fail"</formula>
    </cfRule>
  </conditionalFormatting>
  <conditionalFormatting sqref="A1003">
    <cfRule type="cellIs" dxfId="12209" priority="12047" stopIfTrue="1" operator="equal">
      <formula>"Pass"</formula>
    </cfRule>
    <cfRule type="cellIs" dxfId="12208" priority="12048" stopIfTrue="1" operator="equal">
      <formula>"Fail"</formula>
    </cfRule>
  </conditionalFormatting>
  <conditionalFormatting sqref="A1003">
    <cfRule type="cellIs" dxfId="12207" priority="12045" stopIfTrue="1" operator="equal">
      <formula>"Pass"</formula>
    </cfRule>
    <cfRule type="cellIs" dxfId="12206" priority="12046" stopIfTrue="1" operator="equal">
      <formula>"Fail"</formula>
    </cfRule>
  </conditionalFormatting>
  <conditionalFormatting sqref="A1003">
    <cfRule type="cellIs" dxfId="12205" priority="12043" stopIfTrue="1" operator="equal">
      <formula>"Pass"</formula>
    </cfRule>
    <cfRule type="cellIs" dxfId="12204" priority="12044" stopIfTrue="1" operator="equal">
      <formula>"Fail"</formula>
    </cfRule>
  </conditionalFormatting>
  <conditionalFormatting sqref="A1003">
    <cfRule type="cellIs" dxfId="12203" priority="12041" stopIfTrue="1" operator="equal">
      <formula>"Pass"</formula>
    </cfRule>
    <cfRule type="cellIs" dxfId="12202" priority="12042" stopIfTrue="1" operator="equal">
      <formula>"Fail"</formula>
    </cfRule>
  </conditionalFormatting>
  <conditionalFormatting sqref="A1003">
    <cfRule type="cellIs" dxfId="12201" priority="12039" stopIfTrue="1" operator="equal">
      <formula>"Pass"</formula>
    </cfRule>
    <cfRule type="cellIs" dxfId="12200" priority="12040" stopIfTrue="1" operator="equal">
      <formula>"Fail"</formula>
    </cfRule>
  </conditionalFormatting>
  <conditionalFormatting sqref="U1003:V1003">
    <cfRule type="cellIs" dxfId="12199" priority="12037" stopIfTrue="1" operator="equal">
      <formula>"Fail"</formula>
    </cfRule>
    <cfRule type="cellIs" dxfId="12198" priority="12038" stopIfTrue="1" operator="equal">
      <formula>"Pass"</formula>
    </cfRule>
  </conditionalFormatting>
  <conditionalFormatting sqref="U1003:V1003">
    <cfRule type="cellIs" dxfId="12197" priority="12035" stopIfTrue="1" operator="equal">
      <formula>"Fail"</formula>
    </cfRule>
    <cfRule type="cellIs" dxfId="12196" priority="12036" stopIfTrue="1" operator="equal">
      <formula>"Pass"</formula>
    </cfRule>
  </conditionalFormatting>
  <conditionalFormatting sqref="U1003:V1003">
    <cfRule type="cellIs" dxfId="12195" priority="12033" stopIfTrue="1" operator="equal">
      <formula>"Fail"</formula>
    </cfRule>
    <cfRule type="cellIs" dxfId="12194" priority="12034" stopIfTrue="1" operator="equal">
      <formula>"Pass"</formula>
    </cfRule>
  </conditionalFormatting>
  <conditionalFormatting sqref="U1003:V1003">
    <cfRule type="cellIs" dxfId="12193" priority="12031" stopIfTrue="1" operator="equal">
      <formula>"Fail"</formula>
    </cfRule>
    <cfRule type="cellIs" dxfId="12192" priority="12032" stopIfTrue="1" operator="equal">
      <formula>"Pass"</formula>
    </cfRule>
  </conditionalFormatting>
  <conditionalFormatting sqref="A1006:A1008">
    <cfRule type="cellIs" dxfId="12191" priority="12029" stopIfTrue="1" operator="equal">
      <formula>"Pass"</formula>
    </cfRule>
    <cfRule type="cellIs" dxfId="12190" priority="12030" stopIfTrue="1" operator="equal">
      <formula>"Fail"</formula>
    </cfRule>
  </conditionalFormatting>
  <conditionalFormatting sqref="A1006:A1008">
    <cfRule type="cellIs" dxfId="12189" priority="12027" stopIfTrue="1" operator="equal">
      <formula>"Pass"</formula>
    </cfRule>
    <cfRule type="cellIs" dxfId="12188" priority="12028" stopIfTrue="1" operator="equal">
      <formula>"Fail"</formula>
    </cfRule>
  </conditionalFormatting>
  <conditionalFormatting sqref="A1006:A1008">
    <cfRule type="cellIs" dxfId="12187" priority="12025" stopIfTrue="1" operator="equal">
      <formula>"Pass"</formula>
    </cfRule>
    <cfRule type="cellIs" dxfId="12186" priority="12026" stopIfTrue="1" operator="equal">
      <formula>"Fail"</formula>
    </cfRule>
  </conditionalFormatting>
  <conditionalFormatting sqref="A1006:A1008">
    <cfRule type="cellIs" dxfId="12185" priority="12023" stopIfTrue="1" operator="equal">
      <formula>"Pass"</formula>
    </cfRule>
    <cfRule type="cellIs" dxfId="12184" priority="12024" stopIfTrue="1" operator="equal">
      <formula>"Fail"</formula>
    </cfRule>
  </conditionalFormatting>
  <conditionalFormatting sqref="A1006:A1008">
    <cfRule type="cellIs" dxfId="12183" priority="12021" stopIfTrue="1" operator="equal">
      <formula>"Pass"</formula>
    </cfRule>
    <cfRule type="cellIs" dxfId="12182" priority="12022" stopIfTrue="1" operator="equal">
      <formula>"Fail"</formula>
    </cfRule>
  </conditionalFormatting>
  <conditionalFormatting sqref="A1008">
    <cfRule type="cellIs" dxfId="12181" priority="12019" stopIfTrue="1" operator="equal">
      <formula>"Pass"</formula>
    </cfRule>
    <cfRule type="cellIs" dxfId="12180" priority="12020" stopIfTrue="1" operator="equal">
      <formula>"Fail"</formula>
    </cfRule>
  </conditionalFormatting>
  <conditionalFormatting sqref="A1006:A1008">
    <cfRule type="cellIs" dxfId="12179" priority="12017" stopIfTrue="1" operator="equal">
      <formula>"Pass"</formula>
    </cfRule>
    <cfRule type="cellIs" dxfId="12178" priority="12018" stopIfTrue="1" operator="equal">
      <formula>"Fail"</formula>
    </cfRule>
  </conditionalFormatting>
  <conditionalFormatting sqref="A1006:A1008">
    <cfRule type="cellIs" dxfId="12177" priority="12015" stopIfTrue="1" operator="equal">
      <formula>"Pass"</formula>
    </cfRule>
    <cfRule type="cellIs" dxfId="12176" priority="12016" stopIfTrue="1" operator="equal">
      <formula>"Fail"</formula>
    </cfRule>
  </conditionalFormatting>
  <conditionalFormatting sqref="A1006:A1008">
    <cfRule type="cellIs" dxfId="12175" priority="12013" stopIfTrue="1" operator="equal">
      <formula>"Pass"</formula>
    </cfRule>
    <cfRule type="cellIs" dxfId="12174" priority="12014" stopIfTrue="1" operator="equal">
      <formula>"Fail"</formula>
    </cfRule>
  </conditionalFormatting>
  <conditionalFormatting sqref="A1006:A1008">
    <cfRule type="cellIs" dxfId="12173" priority="12011" stopIfTrue="1" operator="equal">
      <formula>"Pass"</formula>
    </cfRule>
    <cfRule type="cellIs" dxfId="12172" priority="12012" stopIfTrue="1" operator="equal">
      <formula>"Fail"</formula>
    </cfRule>
  </conditionalFormatting>
  <conditionalFormatting sqref="A1006:A1008">
    <cfRule type="cellIs" dxfId="12171" priority="12009" stopIfTrue="1" operator="equal">
      <formula>"Pass"</formula>
    </cfRule>
    <cfRule type="cellIs" dxfId="12170" priority="12010" stopIfTrue="1" operator="equal">
      <formula>"Fail"</formula>
    </cfRule>
  </conditionalFormatting>
  <conditionalFormatting sqref="A1006:A1008">
    <cfRule type="cellIs" dxfId="12169" priority="12007" stopIfTrue="1" operator="equal">
      <formula>"Pass"</formula>
    </cfRule>
    <cfRule type="cellIs" dxfId="12168" priority="12008" stopIfTrue="1" operator="equal">
      <formula>"Fail"</formula>
    </cfRule>
  </conditionalFormatting>
  <conditionalFormatting sqref="A1008">
    <cfRule type="cellIs" dxfId="12167" priority="12005" stopIfTrue="1" operator="equal">
      <formula>"Pass"</formula>
    </cfRule>
    <cfRule type="cellIs" dxfId="12166" priority="12006" stopIfTrue="1" operator="equal">
      <formula>"Fail"</formula>
    </cfRule>
  </conditionalFormatting>
  <conditionalFormatting sqref="A1006:A1008">
    <cfRule type="cellIs" dxfId="12165" priority="12003" stopIfTrue="1" operator="equal">
      <formula>"Pass"</formula>
    </cfRule>
    <cfRule type="cellIs" dxfId="12164" priority="12004" stopIfTrue="1" operator="equal">
      <formula>"Fail"</formula>
    </cfRule>
  </conditionalFormatting>
  <conditionalFormatting sqref="A1006:A1008">
    <cfRule type="cellIs" dxfId="12163" priority="12001" stopIfTrue="1" operator="equal">
      <formula>"Pass"</formula>
    </cfRule>
    <cfRule type="cellIs" dxfId="12162" priority="12002" stopIfTrue="1" operator="equal">
      <formula>"Fail"</formula>
    </cfRule>
  </conditionalFormatting>
  <conditionalFormatting sqref="A1006:A1008">
    <cfRule type="cellIs" dxfId="12161" priority="11999" stopIfTrue="1" operator="equal">
      <formula>"Pass"</formula>
    </cfRule>
    <cfRule type="cellIs" dxfId="12160" priority="12000" stopIfTrue="1" operator="equal">
      <formula>"Fail"</formula>
    </cfRule>
  </conditionalFormatting>
  <conditionalFormatting sqref="A1006:A1008">
    <cfRule type="cellIs" dxfId="12159" priority="11997" stopIfTrue="1" operator="equal">
      <formula>"Pass"</formula>
    </cfRule>
    <cfRule type="cellIs" dxfId="12158" priority="11998" stopIfTrue="1" operator="equal">
      <formula>"Fail"</formula>
    </cfRule>
  </conditionalFormatting>
  <conditionalFormatting sqref="A1006:A1008">
    <cfRule type="cellIs" dxfId="12157" priority="11995" stopIfTrue="1" operator="equal">
      <formula>"Pass"</formula>
    </cfRule>
    <cfRule type="cellIs" dxfId="12156" priority="11996" stopIfTrue="1" operator="equal">
      <formula>"Fail"</formula>
    </cfRule>
  </conditionalFormatting>
  <conditionalFormatting sqref="A1006:A1008">
    <cfRule type="cellIs" dxfId="12155" priority="11993" stopIfTrue="1" operator="equal">
      <formula>"Pass"</formula>
    </cfRule>
    <cfRule type="cellIs" dxfId="12154" priority="11994" stopIfTrue="1" operator="equal">
      <formula>"Fail"</formula>
    </cfRule>
  </conditionalFormatting>
  <conditionalFormatting sqref="A1008">
    <cfRule type="cellIs" dxfId="12153" priority="11991" stopIfTrue="1" operator="equal">
      <formula>"Pass"</formula>
    </cfRule>
    <cfRule type="cellIs" dxfId="12152" priority="11992" stopIfTrue="1" operator="equal">
      <formula>"Fail"</formula>
    </cfRule>
  </conditionalFormatting>
  <conditionalFormatting sqref="A1006:A1008">
    <cfRule type="cellIs" dxfId="12151" priority="11989" stopIfTrue="1" operator="equal">
      <formula>"Pass"</formula>
    </cfRule>
    <cfRule type="cellIs" dxfId="12150" priority="11990" stopIfTrue="1" operator="equal">
      <formula>"Fail"</formula>
    </cfRule>
  </conditionalFormatting>
  <conditionalFormatting sqref="A1006:A1008">
    <cfRule type="cellIs" dxfId="12149" priority="11987" stopIfTrue="1" operator="equal">
      <formula>"Pass"</formula>
    </cfRule>
    <cfRule type="cellIs" dxfId="12148" priority="11988" stopIfTrue="1" operator="equal">
      <formula>"Fail"</formula>
    </cfRule>
  </conditionalFormatting>
  <conditionalFormatting sqref="A1006:A1008">
    <cfRule type="cellIs" dxfId="12147" priority="11985" stopIfTrue="1" operator="equal">
      <formula>"Pass"</formula>
    </cfRule>
    <cfRule type="cellIs" dxfId="12146" priority="11986" stopIfTrue="1" operator="equal">
      <formula>"Fail"</formula>
    </cfRule>
  </conditionalFormatting>
  <conditionalFormatting sqref="A1006:A1008">
    <cfRule type="cellIs" dxfId="12145" priority="11983" stopIfTrue="1" operator="equal">
      <formula>"Pass"</formula>
    </cfRule>
    <cfRule type="cellIs" dxfId="12144" priority="11984" stopIfTrue="1" operator="equal">
      <formula>"Fail"</formula>
    </cfRule>
  </conditionalFormatting>
  <conditionalFormatting sqref="A1006:A1008">
    <cfRule type="cellIs" dxfId="12143" priority="11981" stopIfTrue="1" operator="equal">
      <formula>"Pass"</formula>
    </cfRule>
    <cfRule type="cellIs" dxfId="12142" priority="11982" stopIfTrue="1" operator="equal">
      <formula>"Fail"</formula>
    </cfRule>
  </conditionalFormatting>
  <conditionalFormatting sqref="A1006:A1008">
    <cfRule type="cellIs" dxfId="12141" priority="11979" stopIfTrue="1" operator="equal">
      <formula>"Pass"</formula>
    </cfRule>
    <cfRule type="cellIs" dxfId="12140" priority="11980" stopIfTrue="1" operator="equal">
      <formula>"Fail"</formula>
    </cfRule>
  </conditionalFormatting>
  <conditionalFormatting sqref="A1008">
    <cfRule type="cellIs" dxfId="12139" priority="11977" stopIfTrue="1" operator="equal">
      <formula>"Pass"</formula>
    </cfRule>
    <cfRule type="cellIs" dxfId="12138" priority="11978" stopIfTrue="1" operator="equal">
      <formula>"Fail"</formula>
    </cfRule>
  </conditionalFormatting>
  <conditionalFormatting sqref="A1006:A1008">
    <cfRule type="cellIs" dxfId="12137" priority="11975" stopIfTrue="1" operator="equal">
      <formula>"Pass"</formula>
    </cfRule>
    <cfRule type="cellIs" dxfId="12136" priority="11976" stopIfTrue="1" operator="equal">
      <formula>"Fail"</formula>
    </cfRule>
  </conditionalFormatting>
  <conditionalFormatting sqref="A1006:A1008">
    <cfRule type="cellIs" dxfId="12135" priority="11973" stopIfTrue="1" operator="equal">
      <formula>"Pass"</formula>
    </cfRule>
    <cfRule type="cellIs" dxfId="12134" priority="11974" stopIfTrue="1" operator="equal">
      <formula>"Fail"</formula>
    </cfRule>
  </conditionalFormatting>
  <conditionalFormatting sqref="A1006:A1008">
    <cfRule type="cellIs" dxfId="12133" priority="11971" stopIfTrue="1" operator="equal">
      <formula>"Pass"</formula>
    </cfRule>
    <cfRule type="cellIs" dxfId="12132" priority="11972" stopIfTrue="1" operator="equal">
      <formula>"Fail"</formula>
    </cfRule>
  </conditionalFormatting>
  <conditionalFormatting sqref="A1006:A1008">
    <cfRule type="cellIs" dxfId="12131" priority="11969" stopIfTrue="1" operator="equal">
      <formula>"Pass"</formula>
    </cfRule>
    <cfRule type="cellIs" dxfId="12130" priority="11970" stopIfTrue="1" operator="equal">
      <formula>"Fail"</formula>
    </cfRule>
  </conditionalFormatting>
  <conditionalFormatting sqref="A1006:A1008">
    <cfRule type="cellIs" dxfId="12129" priority="11967" stopIfTrue="1" operator="equal">
      <formula>"Pass"</formula>
    </cfRule>
    <cfRule type="cellIs" dxfId="12128" priority="11968" stopIfTrue="1" operator="equal">
      <formula>"Fail"</formula>
    </cfRule>
  </conditionalFormatting>
  <conditionalFormatting sqref="A1006:A1008">
    <cfRule type="cellIs" dxfId="12127" priority="11965" stopIfTrue="1" operator="equal">
      <formula>"Pass"</formula>
    </cfRule>
    <cfRule type="cellIs" dxfId="12126" priority="11966" stopIfTrue="1" operator="equal">
      <formula>"Fail"</formula>
    </cfRule>
  </conditionalFormatting>
  <conditionalFormatting sqref="A1008">
    <cfRule type="cellIs" dxfId="12125" priority="11963" stopIfTrue="1" operator="equal">
      <formula>"Pass"</formula>
    </cfRule>
    <cfRule type="cellIs" dxfId="12124" priority="11964" stopIfTrue="1" operator="equal">
      <formula>"Fail"</formula>
    </cfRule>
  </conditionalFormatting>
  <conditionalFormatting sqref="A1006:A1008">
    <cfRule type="cellIs" dxfId="12123" priority="11961" stopIfTrue="1" operator="equal">
      <formula>"Pass"</formula>
    </cfRule>
    <cfRule type="cellIs" dxfId="12122" priority="11962" stopIfTrue="1" operator="equal">
      <formula>"Fail"</formula>
    </cfRule>
  </conditionalFormatting>
  <conditionalFormatting sqref="A1006:A1008">
    <cfRule type="cellIs" dxfId="12121" priority="11959" stopIfTrue="1" operator="equal">
      <formula>"Pass"</formula>
    </cfRule>
    <cfRule type="cellIs" dxfId="12120" priority="11960" stopIfTrue="1" operator="equal">
      <formula>"Fail"</formula>
    </cfRule>
  </conditionalFormatting>
  <conditionalFormatting sqref="A1006:A1008">
    <cfRule type="cellIs" dxfId="12119" priority="11957" stopIfTrue="1" operator="equal">
      <formula>"Pass"</formula>
    </cfRule>
    <cfRule type="cellIs" dxfId="12118" priority="11958" stopIfTrue="1" operator="equal">
      <formula>"Fail"</formula>
    </cfRule>
  </conditionalFormatting>
  <conditionalFormatting sqref="A1006:A1008">
    <cfRule type="cellIs" dxfId="12117" priority="11955" stopIfTrue="1" operator="equal">
      <formula>"Pass"</formula>
    </cfRule>
    <cfRule type="cellIs" dxfId="12116" priority="11956" stopIfTrue="1" operator="equal">
      <formula>"Fail"</formula>
    </cfRule>
  </conditionalFormatting>
  <conditionalFormatting sqref="A1006:A1008">
    <cfRule type="cellIs" dxfId="12115" priority="11953" stopIfTrue="1" operator="equal">
      <formula>"Pass"</formula>
    </cfRule>
    <cfRule type="cellIs" dxfId="12114" priority="11954" stopIfTrue="1" operator="equal">
      <formula>"Fail"</formula>
    </cfRule>
  </conditionalFormatting>
  <conditionalFormatting sqref="A1006:A1008">
    <cfRule type="cellIs" dxfId="12113" priority="11951" stopIfTrue="1" operator="equal">
      <formula>"Pass"</formula>
    </cfRule>
    <cfRule type="cellIs" dxfId="12112" priority="11952" stopIfTrue="1" operator="equal">
      <formula>"Fail"</formula>
    </cfRule>
  </conditionalFormatting>
  <conditionalFormatting sqref="A1008">
    <cfRule type="cellIs" dxfId="12111" priority="11949" stopIfTrue="1" operator="equal">
      <formula>"Pass"</formula>
    </cfRule>
    <cfRule type="cellIs" dxfId="12110" priority="11950" stopIfTrue="1" operator="equal">
      <formula>"Fail"</formula>
    </cfRule>
  </conditionalFormatting>
  <conditionalFormatting sqref="A1006:A1008">
    <cfRule type="cellIs" dxfId="12109" priority="11947" stopIfTrue="1" operator="equal">
      <formula>"Pass"</formula>
    </cfRule>
    <cfRule type="cellIs" dxfId="12108" priority="11948" stopIfTrue="1" operator="equal">
      <formula>"Fail"</formula>
    </cfRule>
  </conditionalFormatting>
  <conditionalFormatting sqref="A1006">
    <cfRule type="cellIs" dxfId="12107" priority="11945" stopIfTrue="1" operator="equal">
      <formula>"Pass"</formula>
    </cfRule>
    <cfRule type="cellIs" dxfId="12106" priority="11946" stopIfTrue="1" operator="equal">
      <formula>"Fail"</formula>
    </cfRule>
  </conditionalFormatting>
  <conditionalFormatting sqref="A1006">
    <cfRule type="cellIs" dxfId="12105" priority="11943" stopIfTrue="1" operator="equal">
      <formula>"Pass"</formula>
    </cfRule>
    <cfRule type="cellIs" dxfId="12104" priority="11944" stopIfTrue="1" operator="equal">
      <formula>"Fail"</formula>
    </cfRule>
  </conditionalFormatting>
  <conditionalFormatting sqref="A1006">
    <cfRule type="cellIs" dxfId="12103" priority="11941" stopIfTrue="1" operator="equal">
      <formula>"Pass"</formula>
    </cfRule>
    <cfRule type="cellIs" dxfId="12102" priority="11942" stopIfTrue="1" operator="equal">
      <formula>"Fail"</formula>
    </cfRule>
  </conditionalFormatting>
  <conditionalFormatting sqref="A1006">
    <cfRule type="cellIs" dxfId="12101" priority="11939" stopIfTrue="1" operator="equal">
      <formula>"Pass"</formula>
    </cfRule>
    <cfRule type="cellIs" dxfId="12100" priority="11940" stopIfTrue="1" operator="equal">
      <formula>"Fail"</formula>
    </cfRule>
  </conditionalFormatting>
  <conditionalFormatting sqref="A1006">
    <cfRule type="cellIs" dxfId="12099" priority="11937" stopIfTrue="1" operator="equal">
      <formula>"Pass"</formula>
    </cfRule>
    <cfRule type="cellIs" dxfId="12098" priority="11938" stopIfTrue="1" operator="equal">
      <formula>"Fail"</formula>
    </cfRule>
  </conditionalFormatting>
  <conditionalFormatting sqref="A1006">
    <cfRule type="cellIs" dxfId="12097" priority="11935" stopIfTrue="1" operator="equal">
      <formula>"Pass"</formula>
    </cfRule>
    <cfRule type="cellIs" dxfId="12096" priority="11936" stopIfTrue="1" operator="equal">
      <formula>"Fail"</formula>
    </cfRule>
  </conditionalFormatting>
  <conditionalFormatting sqref="H1006:H1007">
    <cfRule type="cellIs" dxfId="12095" priority="11933" stopIfTrue="1" operator="equal">
      <formula>"Pass"</formula>
    </cfRule>
    <cfRule type="cellIs" dxfId="12094" priority="11934" stopIfTrue="1" operator="equal">
      <formula>"Fail"</formula>
    </cfRule>
  </conditionalFormatting>
  <conditionalFormatting sqref="E1006:F1006 E1008:F1008 A1006 I1006:M1007">
    <cfRule type="cellIs" dxfId="12093" priority="11931" stopIfTrue="1" operator="equal">
      <formula>"Pass"</formula>
    </cfRule>
    <cfRule type="cellIs" dxfId="12092" priority="11932" stopIfTrue="1" operator="equal">
      <formula>"Fail"</formula>
    </cfRule>
  </conditionalFormatting>
  <conditionalFormatting sqref="T1008 T1006 R1006:R1008 S1007:S1008">
    <cfRule type="cellIs" dxfId="12091" priority="11929" stopIfTrue="1" operator="equal">
      <formula>"Fail"</formula>
    </cfRule>
    <cfRule type="cellIs" dxfId="12090" priority="11930" stopIfTrue="1" operator="equal">
      <formula>"Pass"</formula>
    </cfRule>
  </conditionalFormatting>
  <conditionalFormatting sqref="F1006:G1006 F1008:G1008 B1006:B1008 A1006 J1006:N1007">
    <cfRule type="cellIs" dxfId="12089" priority="11927" stopIfTrue="1" operator="equal">
      <formula>"Pass"</formula>
    </cfRule>
    <cfRule type="cellIs" dxfId="12088" priority="11928" stopIfTrue="1" operator="equal">
      <formula>"Fail"</formula>
    </cfRule>
  </conditionalFormatting>
  <conditionalFormatting sqref="U1008:V1008 T1006:T1008 S1007:S1008">
    <cfRule type="cellIs" dxfId="12087" priority="11925" stopIfTrue="1" operator="equal">
      <formula>"Fail"</formula>
    </cfRule>
    <cfRule type="cellIs" dxfId="12086" priority="11926" stopIfTrue="1" operator="equal">
      <formula>"Pass"</formula>
    </cfRule>
  </conditionalFormatting>
  <conditionalFormatting sqref="A1006">
    <cfRule type="cellIs" dxfId="12085" priority="11923" stopIfTrue="1" operator="equal">
      <formula>"Pass"</formula>
    </cfRule>
    <cfRule type="cellIs" dxfId="12084" priority="11924" stopIfTrue="1" operator="equal">
      <formula>"Fail"</formula>
    </cfRule>
  </conditionalFormatting>
  <conditionalFormatting sqref="A1006">
    <cfRule type="cellIs" dxfId="12083" priority="11921" stopIfTrue="1" operator="equal">
      <formula>"Pass"</formula>
    </cfRule>
    <cfRule type="cellIs" dxfId="12082" priority="11922" stopIfTrue="1" operator="equal">
      <formula>"Fail"</formula>
    </cfRule>
  </conditionalFormatting>
  <conditionalFormatting sqref="A1006">
    <cfRule type="cellIs" dxfId="12081" priority="11919" stopIfTrue="1" operator="equal">
      <formula>"Pass"</formula>
    </cfRule>
    <cfRule type="cellIs" dxfId="12080" priority="11920" stopIfTrue="1" operator="equal">
      <formula>"Fail"</formula>
    </cfRule>
  </conditionalFormatting>
  <conditionalFormatting sqref="A1006">
    <cfRule type="cellIs" dxfId="12079" priority="11917" stopIfTrue="1" operator="equal">
      <formula>"Pass"</formula>
    </cfRule>
    <cfRule type="cellIs" dxfId="12078" priority="11918" stopIfTrue="1" operator="equal">
      <formula>"Fail"</formula>
    </cfRule>
  </conditionalFormatting>
  <conditionalFormatting sqref="A1006">
    <cfRule type="cellIs" dxfId="12077" priority="11915" stopIfTrue="1" operator="equal">
      <formula>"Pass"</formula>
    </cfRule>
    <cfRule type="cellIs" dxfId="12076" priority="11916" stopIfTrue="1" operator="equal">
      <formula>"Fail"</formula>
    </cfRule>
  </conditionalFormatting>
  <conditionalFormatting sqref="A1006">
    <cfRule type="cellIs" dxfId="12075" priority="11913" stopIfTrue="1" operator="equal">
      <formula>"Pass"</formula>
    </cfRule>
    <cfRule type="cellIs" dxfId="12074" priority="11914" stopIfTrue="1" operator="equal">
      <formula>"Fail"</formula>
    </cfRule>
  </conditionalFormatting>
  <conditionalFormatting sqref="A1006">
    <cfRule type="cellIs" dxfId="12073" priority="11911" stopIfTrue="1" operator="equal">
      <formula>"Pass"</formula>
    </cfRule>
    <cfRule type="cellIs" dxfId="12072" priority="11912" stopIfTrue="1" operator="equal">
      <formula>"Fail"</formula>
    </cfRule>
  </conditionalFormatting>
  <conditionalFormatting sqref="A1006">
    <cfRule type="cellIs" dxfId="12071" priority="11909" stopIfTrue="1" operator="equal">
      <formula>"Pass"</formula>
    </cfRule>
    <cfRule type="cellIs" dxfId="12070" priority="11910" stopIfTrue="1" operator="equal">
      <formula>"Fail"</formula>
    </cfRule>
  </conditionalFormatting>
  <conditionalFormatting sqref="A1006">
    <cfRule type="cellIs" dxfId="12069" priority="11907" stopIfTrue="1" operator="equal">
      <formula>"Pass"</formula>
    </cfRule>
    <cfRule type="cellIs" dxfId="12068" priority="11908" stopIfTrue="1" operator="equal">
      <formula>"Fail"</formula>
    </cfRule>
  </conditionalFormatting>
  <conditionalFormatting sqref="A1006">
    <cfRule type="cellIs" dxfId="12067" priority="11905" stopIfTrue="1" operator="equal">
      <formula>"Pass"</formula>
    </cfRule>
    <cfRule type="cellIs" dxfId="12066" priority="11906" stopIfTrue="1" operator="equal">
      <formula>"Fail"</formula>
    </cfRule>
  </conditionalFormatting>
  <conditionalFormatting sqref="U1006:V1006">
    <cfRule type="cellIs" dxfId="12065" priority="11903" stopIfTrue="1" operator="equal">
      <formula>"Fail"</formula>
    </cfRule>
    <cfRule type="cellIs" dxfId="12064" priority="11904" stopIfTrue="1" operator="equal">
      <formula>"Pass"</formula>
    </cfRule>
  </conditionalFormatting>
  <conditionalFormatting sqref="F1006:G1006 J1006:N1006">
    <cfRule type="cellIs" dxfId="12063" priority="11901" stopIfTrue="1" operator="equal">
      <formula>"Pass"</formula>
    </cfRule>
    <cfRule type="cellIs" dxfId="12062" priority="11902" stopIfTrue="1" operator="equal">
      <formula>"Fail"</formula>
    </cfRule>
  </conditionalFormatting>
  <conditionalFormatting sqref="J1007:N1007">
    <cfRule type="cellIs" dxfId="12061" priority="11899" stopIfTrue="1" operator="equal">
      <formula>"Pass"</formula>
    </cfRule>
    <cfRule type="cellIs" dxfId="12060" priority="11900" stopIfTrue="1" operator="equal">
      <formula>"Fail"</formula>
    </cfRule>
  </conditionalFormatting>
  <conditionalFormatting sqref="A1006">
    <cfRule type="cellIs" dxfId="12059" priority="11897" stopIfTrue="1" operator="equal">
      <formula>"Pass"</formula>
    </cfRule>
    <cfRule type="cellIs" dxfId="12058" priority="11898" stopIfTrue="1" operator="equal">
      <formula>"Fail"</formula>
    </cfRule>
  </conditionalFormatting>
  <conditionalFormatting sqref="A1006">
    <cfRule type="cellIs" dxfId="12057" priority="11895" stopIfTrue="1" operator="equal">
      <formula>"Pass"</formula>
    </cfRule>
    <cfRule type="cellIs" dxfId="12056" priority="11896" stopIfTrue="1" operator="equal">
      <formula>"Fail"</formula>
    </cfRule>
  </conditionalFormatting>
  <conditionalFormatting sqref="A1006">
    <cfRule type="cellIs" dxfId="12055" priority="11893" stopIfTrue="1" operator="equal">
      <formula>"Pass"</formula>
    </cfRule>
    <cfRule type="cellIs" dxfId="12054" priority="11894" stopIfTrue="1" operator="equal">
      <formula>"Fail"</formula>
    </cfRule>
  </conditionalFormatting>
  <conditionalFormatting sqref="A1006">
    <cfRule type="cellIs" dxfId="12053" priority="11891" stopIfTrue="1" operator="equal">
      <formula>"Pass"</formula>
    </cfRule>
    <cfRule type="cellIs" dxfId="12052" priority="11892" stopIfTrue="1" operator="equal">
      <formula>"Fail"</formula>
    </cfRule>
  </conditionalFormatting>
  <conditionalFormatting sqref="A1006">
    <cfRule type="cellIs" dxfId="12051" priority="11889" stopIfTrue="1" operator="equal">
      <formula>"Pass"</formula>
    </cfRule>
    <cfRule type="cellIs" dxfId="12050" priority="11890" stopIfTrue="1" operator="equal">
      <formula>"Fail"</formula>
    </cfRule>
  </conditionalFormatting>
  <conditionalFormatting sqref="A1006">
    <cfRule type="cellIs" dxfId="12049" priority="11887" stopIfTrue="1" operator="equal">
      <formula>"Pass"</formula>
    </cfRule>
    <cfRule type="cellIs" dxfId="12048" priority="11888" stopIfTrue="1" operator="equal">
      <formula>"Fail"</formula>
    </cfRule>
  </conditionalFormatting>
  <conditionalFormatting sqref="A1006">
    <cfRule type="cellIs" dxfId="12047" priority="11885" stopIfTrue="1" operator="equal">
      <formula>"Pass"</formula>
    </cfRule>
    <cfRule type="cellIs" dxfId="12046" priority="11886" stopIfTrue="1" operator="equal">
      <formula>"Fail"</formula>
    </cfRule>
  </conditionalFormatting>
  <conditionalFormatting sqref="A1006">
    <cfRule type="cellIs" dxfId="12045" priority="11883" stopIfTrue="1" operator="equal">
      <formula>"Pass"</formula>
    </cfRule>
    <cfRule type="cellIs" dxfId="12044" priority="11884" stopIfTrue="1" operator="equal">
      <formula>"Fail"</formula>
    </cfRule>
  </conditionalFormatting>
  <conditionalFormatting sqref="A1006">
    <cfRule type="cellIs" dxfId="12043" priority="11881" stopIfTrue="1" operator="equal">
      <formula>"Pass"</formula>
    </cfRule>
    <cfRule type="cellIs" dxfId="12042" priority="11882" stopIfTrue="1" operator="equal">
      <formula>"Fail"</formula>
    </cfRule>
  </conditionalFormatting>
  <conditionalFormatting sqref="A1006">
    <cfRule type="cellIs" dxfId="12041" priority="11879" stopIfTrue="1" operator="equal">
      <formula>"Pass"</formula>
    </cfRule>
    <cfRule type="cellIs" dxfId="12040" priority="11880" stopIfTrue="1" operator="equal">
      <formula>"Fail"</formula>
    </cfRule>
  </conditionalFormatting>
  <conditionalFormatting sqref="A1006">
    <cfRule type="cellIs" dxfId="12039" priority="11877" stopIfTrue="1" operator="equal">
      <formula>"Pass"</formula>
    </cfRule>
    <cfRule type="cellIs" dxfId="12038" priority="11878" stopIfTrue="1" operator="equal">
      <formula>"Fail"</formula>
    </cfRule>
  </conditionalFormatting>
  <conditionalFormatting sqref="A1006">
    <cfRule type="cellIs" dxfId="12037" priority="11875" stopIfTrue="1" operator="equal">
      <formula>"Pass"</formula>
    </cfRule>
    <cfRule type="cellIs" dxfId="12036" priority="11876" stopIfTrue="1" operator="equal">
      <formula>"Fail"</formula>
    </cfRule>
  </conditionalFormatting>
  <conditionalFormatting sqref="H1006:H1007">
    <cfRule type="cellIs" dxfId="12035" priority="11873" stopIfTrue="1" operator="equal">
      <formula>"Pass"</formula>
    </cfRule>
    <cfRule type="cellIs" dxfId="12034" priority="11874" stopIfTrue="1" operator="equal">
      <formula>"Fail"</formula>
    </cfRule>
  </conditionalFormatting>
  <conditionalFormatting sqref="F1006 F1008 I1006:M1007">
    <cfRule type="cellIs" dxfId="12033" priority="11871" stopIfTrue="1" operator="equal">
      <formula>"Pass"</formula>
    </cfRule>
    <cfRule type="cellIs" dxfId="12032" priority="11872" stopIfTrue="1" operator="equal">
      <formula>"Fail"</formula>
    </cfRule>
  </conditionalFormatting>
  <conditionalFormatting sqref="T1008 T1006 R1006:R1008 S1007:S1008">
    <cfRule type="cellIs" dxfId="12031" priority="11869" stopIfTrue="1" operator="equal">
      <formula>"Fail"</formula>
    </cfRule>
    <cfRule type="cellIs" dxfId="12030" priority="11870" stopIfTrue="1" operator="equal">
      <formula>"Pass"</formula>
    </cfRule>
  </conditionalFormatting>
  <conditionalFormatting sqref="F1006:G1006 F1008:G1008 J1006:N1007">
    <cfRule type="cellIs" dxfId="12029" priority="11867" stopIfTrue="1" operator="equal">
      <formula>"Pass"</formula>
    </cfRule>
    <cfRule type="cellIs" dxfId="12028" priority="11868" stopIfTrue="1" operator="equal">
      <formula>"Fail"</formula>
    </cfRule>
  </conditionalFormatting>
  <conditionalFormatting sqref="U1008:V1008 T1006:T1008 S1007:S1008">
    <cfRule type="cellIs" dxfId="12027" priority="11865" stopIfTrue="1" operator="equal">
      <formula>"Fail"</formula>
    </cfRule>
    <cfRule type="cellIs" dxfId="12026" priority="11866" stopIfTrue="1" operator="equal">
      <formula>"Pass"</formula>
    </cfRule>
  </conditionalFormatting>
  <conditionalFormatting sqref="U1006:V1006">
    <cfRule type="cellIs" dxfId="12025" priority="11863" stopIfTrue="1" operator="equal">
      <formula>"Fail"</formula>
    </cfRule>
    <cfRule type="cellIs" dxfId="12024" priority="11864" stopIfTrue="1" operator="equal">
      <formula>"Pass"</formula>
    </cfRule>
  </conditionalFormatting>
  <conditionalFormatting sqref="F1006:G1006 J1006:N1006">
    <cfRule type="cellIs" dxfId="12023" priority="11861" stopIfTrue="1" operator="equal">
      <formula>"Pass"</formula>
    </cfRule>
    <cfRule type="cellIs" dxfId="12022" priority="11862" stopIfTrue="1" operator="equal">
      <formula>"Fail"</formula>
    </cfRule>
  </conditionalFormatting>
  <conditionalFormatting sqref="J1007:N1007">
    <cfRule type="cellIs" dxfId="12021" priority="11859" stopIfTrue="1" operator="equal">
      <formula>"Pass"</formula>
    </cfRule>
    <cfRule type="cellIs" dxfId="12020" priority="11860" stopIfTrue="1" operator="equal">
      <formula>"Fail"</formula>
    </cfRule>
  </conditionalFormatting>
  <conditionalFormatting sqref="H1006:H1007">
    <cfRule type="cellIs" dxfId="12019" priority="11857" stopIfTrue="1" operator="equal">
      <formula>"Pass"</formula>
    </cfRule>
    <cfRule type="cellIs" dxfId="12018" priority="11858" stopIfTrue="1" operator="equal">
      <formula>"Fail"</formula>
    </cfRule>
  </conditionalFormatting>
  <conditionalFormatting sqref="F1006 F1008 I1006:M1007">
    <cfRule type="cellIs" dxfId="12017" priority="11855" stopIfTrue="1" operator="equal">
      <formula>"Pass"</formula>
    </cfRule>
    <cfRule type="cellIs" dxfId="12016" priority="11856" stopIfTrue="1" operator="equal">
      <formula>"Fail"</formula>
    </cfRule>
  </conditionalFormatting>
  <conditionalFormatting sqref="T1008 T1006 R1006:R1008 S1007:S1008">
    <cfRule type="cellIs" dxfId="12015" priority="11853" stopIfTrue="1" operator="equal">
      <formula>"Fail"</formula>
    </cfRule>
    <cfRule type="cellIs" dxfId="12014" priority="11854" stopIfTrue="1" operator="equal">
      <formula>"Pass"</formula>
    </cfRule>
  </conditionalFormatting>
  <conditionalFormatting sqref="F1006:G1006 F1008:G1008 J1006:N1007">
    <cfRule type="cellIs" dxfId="12013" priority="11851" stopIfTrue="1" operator="equal">
      <formula>"Pass"</formula>
    </cfRule>
    <cfRule type="cellIs" dxfId="12012" priority="11852" stopIfTrue="1" operator="equal">
      <formula>"Fail"</formula>
    </cfRule>
  </conditionalFormatting>
  <conditionalFormatting sqref="U1008:V1008 T1006:T1008 S1007:S1008">
    <cfRule type="cellIs" dxfId="12011" priority="11849" stopIfTrue="1" operator="equal">
      <formula>"Fail"</formula>
    </cfRule>
    <cfRule type="cellIs" dxfId="12010" priority="11850" stopIfTrue="1" operator="equal">
      <formula>"Pass"</formula>
    </cfRule>
  </conditionalFormatting>
  <conditionalFormatting sqref="U1006:V1006">
    <cfRule type="cellIs" dxfId="12009" priority="11847" stopIfTrue="1" operator="equal">
      <formula>"Fail"</formula>
    </cfRule>
    <cfRule type="cellIs" dxfId="12008" priority="11848" stopIfTrue="1" operator="equal">
      <formula>"Pass"</formula>
    </cfRule>
  </conditionalFormatting>
  <conditionalFormatting sqref="F1006:G1006 J1006:N1006">
    <cfRule type="cellIs" dxfId="12007" priority="11845" stopIfTrue="1" operator="equal">
      <formula>"Pass"</formula>
    </cfRule>
    <cfRule type="cellIs" dxfId="12006" priority="11846" stopIfTrue="1" operator="equal">
      <formula>"Fail"</formula>
    </cfRule>
  </conditionalFormatting>
  <conditionalFormatting sqref="J1007:N1007">
    <cfRule type="cellIs" dxfId="12005" priority="11843" stopIfTrue="1" operator="equal">
      <formula>"Pass"</formula>
    </cfRule>
    <cfRule type="cellIs" dxfId="12004" priority="11844" stopIfTrue="1" operator="equal">
      <formula>"Fail"</formula>
    </cfRule>
  </conditionalFormatting>
  <conditionalFormatting sqref="U1006:V1006">
    <cfRule type="cellIs" dxfId="12003" priority="11841" stopIfTrue="1" operator="equal">
      <formula>"Fail"</formula>
    </cfRule>
    <cfRule type="cellIs" dxfId="12002" priority="11842" stopIfTrue="1" operator="equal">
      <formula>"Pass"</formula>
    </cfRule>
  </conditionalFormatting>
  <conditionalFormatting sqref="U1006:V1006">
    <cfRule type="cellIs" dxfId="12001" priority="11839" stopIfTrue="1" operator="equal">
      <formula>"Fail"</formula>
    </cfRule>
    <cfRule type="cellIs" dxfId="12000" priority="11840" stopIfTrue="1" operator="equal">
      <formula>"Pass"</formula>
    </cfRule>
  </conditionalFormatting>
  <conditionalFormatting sqref="U1006:V1006">
    <cfRule type="cellIs" dxfId="11999" priority="11837" stopIfTrue="1" operator="equal">
      <formula>"Fail"</formula>
    </cfRule>
    <cfRule type="cellIs" dxfId="11998" priority="11838" stopIfTrue="1" operator="equal">
      <formula>"Pass"</formula>
    </cfRule>
  </conditionalFormatting>
  <conditionalFormatting sqref="N1006">
    <cfRule type="cellIs" dxfId="11997" priority="11835" stopIfTrue="1" operator="equal">
      <formula>"Pass"</formula>
    </cfRule>
    <cfRule type="cellIs" dxfId="11996" priority="11836" stopIfTrue="1" operator="equal">
      <formula>"Fail"</formula>
    </cfRule>
  </conditionalFormatting>
  <conditionalFormatting sqref="N1006">
    <cfRule type="cellIs" dxfId="11995" priority="11833" stopIfTrue="1" operator="equal">
      <formula>"Pass"</formula>
    </cfRule>
    <cfRule type="cellIs" dxfId="11994" priority="11834" stopIfTrue="1" operator="equal">
      <formula>"Fail"</formula>
    </cfRule>
  </conditionalFormatting>
  <conditionalFormatting sqref="N1006">
    <cfRule type="cellIs" dxfId="11993" priority="11831" stopIfTrue="1" operator="equal">
      <formula>"Pass"</formula>
    </cfRule>
    <cfRule type="cellIs" dxfId="11992" priority="11832" stopIfTrue="1" operator="equal">
      <formula>"Fail"</formula>
    </cfRule>
  </conditionalFormatting>
  <conditionalFormatting sqref="A1006">
    <cfRule type="cellIs" dxfId="11991" priority="11829" stopIfTrue="1" operator="equal">
      <formula>"Pass"</formula>
    </cfRule>
    <cfRule type="cellIs" dxfId="11990" priority="11830" stopIfTrue="1" operator="equal">
      <formula>"Fail"</formula>
    </cfRule>
  </conditionalFormatting>
  <conditionalFormatting sqref="A1006">
    <cfRule type="cellIs" dxfId="11989" priority="11827" stopIfTrue="1" operator="equal">
      <formula>"Pass"</formula>
    </cfRule>
    <cfRule type="cellIs" dxfId="11988" priority="11828" stopIfTrue="1" operator="equal">
      <formula>"Fail"</formula>
    </cfRule>
  </conditionalFormatting>
  <conditionalFormatting sqref="A1006">
    <cfRule type="cellIs" dxfId="11987" priority="11825" stopIfTrue="1" operator="equal">
      <formula>"Pass"</formula>
    </cfRule>
    <cfRule type="cellIs" dxfId="11986" priority="11826" stopIfTrue="1" operator="equal">
      <formula>"Fail"</formula>
    </cfRule>
  </conditionalFormatting>
  <conditionalFormatting sqref="A1006">
    <cfRule type="cellIs" dxfId="11985" priority="11823" stopIfTrue="1" operator="equal">
      <formula>"Pass"</formula>
    </cfRule>
    <cfRule type="cellIs" dxfId="11984" priority="11824" stopIfTrue="1" operator="equal">
      <formula>"Fail"</formula>
    </cfRule>
  </conditionalFormatting>
  <conditionalFormatting sqref="A1006">
    <cfRule type="cellIs" dxfId="11983" priority="11821" stopIfTrue="1" operator="equal">
      <formula>"Pass"</formula>
    </cfRule>
    <cfRule type="cellIs" dxfId="11982" priority="11822" stopIfTrue="1" operator="equal">
      <formula>"Fail"</formula>
    </cfRule>
  </conditionalFormatting>
  <conditionalFormatting sqref="A1006">
    <cfRule type="cellIs" dxfId="11981" priority="11819" stopIfTrue="1" operator="equal">
      <formula>"Pass"</formula>
    </cfRule>
    <cfRule type="cellIs" dxfId="11980" priority="11820" stopIfTrue="1" operator="equal">
      <formula>"Fail"</formula>
    </cfRule>
  </conditionalFormatting>
  <conditionalFormatting sqref="A1006">
    <cfRule type="cellIs" dxfId="11979" priority="11817" stopIfTrue="1" operator="equal">
      <formula>"Pass"</formula>
    </cfRule>
    <cfRule type="cellIs" dxfId="11978" priority="11818" stopIfTrue="1" operator="equal">
      <formula>"Fail"</formula>
    </cfRule>
  </conditionalFormatting>
  <conditionalFormatting sqref="A1006">
    <cfRule type="cellIs" dxfId="11977" priority="11815" stopIfTrue="1" operator="equal">
      <formula>"Pass"</formula>
    </cfRule>
    <cfRule type="cellIs" dxfId="11976" priority="11816" stopIfTrue="1" operator="equal">
      <formula>"Fail"</formula>
    </cfRule>
  </conditionalFormatting>
  <conditionalFormatting sqref="A1006">
    <cfRule type="cellIs" dxfId="11975" priority="11813" stopIfTrue="1" operator="equal">
      <formula>"Pass"</formula>
    </cfRule>
    <cfRule type="cellIs" dxfId="11974" priority="11814" stopIfTrue="1" operator="equal">
      <formula>"Fail"</formula>
    </cfRule>
  </conditionalFormatting>
  <conditionalFormatting sqref="A1006">
    <cfRule type="cellIs" dxfId="11973" priority="11811" stopIfTrue="1" operator="equal">
      <formula>"Pass"</formula>
    </cfRule>
    <cfRule type="cellIs" dxfId="11972" priority="11812" stopIfTrue="1" operator="equal">
      <formula>"Fail"</formula>
    </cfRule>
  </conditionalFormatting>
  <conditionalFormatting sqref="A1006">
    <cfRule type="cellIs" dxfId="11971" priority="11809" stopIfTrue="1" operator="equal">
      <formula>"Pass"</formula>
    </cfRule>
    <cfRule type="cellIs" dxfId="11970" priority="11810" stopIfTrue="1" operator="equal">
      <formula>"Fail"</formula>
    </cfRule>
  </conditionalFormatting>
  <conditionalFormatting sqref="A1006">
    <cfRule type="cellIs" dxfId="11969" priority="11807" stopIfTrue="1" operator="equal">
      <formula>"Pass"</formula>
    </cfRule>
    <cfRule type="cellIs" dxfId="11968" priority="11808" stopIfTrue="1" operator="equal">
      <formula>"Fail"</formula>
    </cfRule>
  </conditionalFormatting>
  <conditionalFormatting sqref="A1006">
    <cfRule type="cellIs" dxfId="11967" priority="11805" stopIfTrue="1" operator="equal">
      <formula>"Pass"</formula>
    </cfRule>
    <cfRule type="cellIs" dxfId="11966" priority="11806" stopIfTrue="1" operator="equal">
      <formula>"Fail"</formula>
    </cfRule>
  </conditionalFormatting>
  <conditionalFormatting sqref="A1006">
    <cfRule type="cellIs" dxfId="11965" priority="11803" stopIfTrue="1" operator="equal">
      <formula>"Pass"</formula>
    </cfRule>
    <cfRule type="cellIs" dxfId="11964" priority="11804" stopIfTrue="1" operator="equal">
      <formula>"Fail"</formula>
    </cfRule>
  </conditionalFormatting>
  <conditionalFormatting sqref="A1006">
    <cfRule type="cellIs" dxfId="11963" priority="11801" stopIfTrue="1" operator="equal">
      <formula>"Pass"</formula>
    </cfRule>
    <cfRule type="cellIs" dxfId="11962" priority="11802" stopIfTrue="1" operator="equal">
      <formula>"Fail"</formula>
    </cfRule>
  </conditionalFormatting>
  <conditionalFormatting sqref="A1006">
    <cfRule type="cellIs" dxfId="11961" priority="11799" stopIfTrue="1" operator="equal">
      <formula>"Pass"</formula>
    </cfRule>
    <cfRule type="cellIs" dxfId="11960" priority="11800" stopIfTrue="1" operator="equal">
      <formula>"Fail"</formula>
    </cfRule>
  </conditionalFormatting>
  <conditionalFormatting sqref="A1006">
    <cfRule type="cellIs" dxfId="11959" priority="11797" stopIfTrue="1" operator="equal">
      <formula>"Pass"</formula>
    </cfRule>
    <cfRule type="cellIs" dxfId="11958" priority="11798" stopIfTrue="1" operator="equal">
      <formula>"Fail"</formula>
    </cfRule>
  </conditionalFormatting>
  <conditionalFormatting sqref="A1006">
    <cfRule type="cellIs" dxfId="11957" priority="11795" stopIfTrue="1" operator="equal">
      <formula>"Pass"</formula>
    </cfRule>
    <cfRule type="cellIs" dxfId="11956" priority="11796" stopIfTrue="1" operator="equal">
      <formula>"Fail"</formula>
    </cfRule>
  </conditionalFormatting>
  <conditionalFormatting sqref="H1006:H1007">
    <cfRule type="cellIs" dxfId="11955" priority="11793" stopIfTrue="1" operator="equal">
      <formula>"Pass"</formula>
    </cfRule>
    <cfRule type="cellIs" dxfId="11954" priority="11794" stopIfTrue="1" operator="equal">
      <formula>"Fail"</formula>
    </cfRule>
  </conditionalFormatting>
  <conditionalFormatting sqref="F1006 F1008 I1006:M1007">
    <cfRule type="cellIs" dxfId="11953" priority="11791" stopIfTrue="1" operator="equal">
      <formula>"Pass"</formula>
    </cfRule>
    <cfRule type="cellIs" dxfId="11952" priority="11792" stopIfTrue="1" operator="equal">
      <formula>"Fail"</formula>
    </cfRule>
  </conditionalFormatting>
  <conditionalFormatting sqref="T1008 T1006 R1006:R1008 S1007:S1008">
    <cfRule type="cellIs" dxfId="11951" priority="11789" stopIfTrue="1" operator="equal">
      <formula>"Fail"</formula>
    </cfRule>
    <cfRule type="cellIs" dxfId="11950" priority="11790" stopIfTrue="1" operator="equal">
      <formula>"Pass"</formula>
    </cfRule>
  </conditionalFormatting>
  <conditionalFormatting sqref="F1006:G1006 F1008:G1008 J1006:N1007">
    <cfRule type="cellIs" dxfId="11949" priority="11787" stopIfTrue="1" operator="equal">
      <formula>"Pass"</formula>
    </cfRule>
    <cfRule type="cellIs" dxfId="11948" priority="11788" stopIfTrue="1" operator="equal">
      <formula>"Fail"</formula>
    </cfRule>
  </conditionalFormatting>
  <conditionalFormatting sqref="U1008:V1008 T1006:T1008 S1007:S1008">
    <cfRule type="cellIs" dxfId="11947" priority="11785" stopIfTrue="1" operator="equal">
      <formula>"Fail"</formula>
    </cfRule>
    <cfRule type="cellIs" dxfId="11946" priority="11786" stopIfTrue="1" operator="equal">
      <formula>"Pass"</formula>
    </cfRule>
  </conditionalFormatting>
  <conditionalFormatting sqref="U1006:V1006">
    <cfRule type="cellIs" dxfId="11945" priority="11783" stopIfTrue="1" operator="equal">
      <formula>"Fail"</formula>
    </cfRule>
    <cfRule type="cellIs" dxfId="11944" priority="11784" stopIfTrue="1" operator="equal">
      <formula>"Pass"</formula>
    </cfRule>
  </conditionalFormatting>
  <conditionalFormatting sqref="F1006:G1006 J1006:N1006">
    <cfRule type="cellIs" dxfId="11943" priority="11781" stopIfTrue="1" operator="equal">
      <formula>"Pass"</formula>
    </cfRule>
    <cfRule type="cellIs" dxfId="11942" priority="11782" stopIfTrue="1" operator="equal">
      <formula>"Fail"</formula>
    </cfRule>
  </conditionalFormatting>
  <conditionalFormatting sqref="J1007:N1007">
    <cfRule type="cellIs" dxfId="11941" priority="11779" stopIfTrue="1" operator="equal">
      <formula>"Pass"</formula>
    </cfRule>
    <cfRule type="cellIs" dxfId="11940" priority="11780" stopIfTrue="1" operator="equal">
      <formula>"Fail"</formula>
    </cfRule>
  </conditionalFormatting>
  <conditionalFormatting sqref="H1006:H1007">
    <cfRule type="cellIs" dxfId="11939" priority="11777" stopIfTrue="1" operator="equal">
      <formula>"Pass"</formula>
    </cfRule>
    <cfRule type="cellIs" dxfId="11938" priority="11778" stopIfTrue="1" operator="equal">
      <formula>"Fail"</formula>
    </cfRule>
  </conditionalFormatting>
  <conditionalFormatting sqref="F1006 F1008 I1006:M1007">
    <cfRule type="cellIs" dxfId="11937" priority="11775" stopIfTrue="1" operator="equal">
      <formula>"Pass"</formula>
    </cfRule>
    <cfRule type="cellIs" dxfId="11936" priority="11776" stopIfTrue="1" operator="equal">
      <formula>"Fail"</formula>
    </cfRule>
  </conditionalFormatting>
  <conditionalFormatting sqref="T1008 T1006 R1006:R1008 S1007:S1008">
    <cfRule type="cellIs" dxfId="11935" priority="11773" stopIfTrue="1" operator="equal">
      <formula>"Fail"</formula>
    </cfRule>
    <cfRule type="cellIs" dxfId="11934" priority="11774" stopIfTrue="1" operator="equal">
      <formula>"Pass"</formula>
    </cfRule>
  </conditionalFormatting>
  <conditionalFormatting sqref="F1006:G1006 F1008:G1008 J1006:N1007">
    <cfRule type="cellIs" dxfId="11933" priority="11771" stopIfTrue="1" operator="equal">
      <formula>"Pass"</formula>
    </cfRule>
    <cfRule type="cellIs" dxfId="11932" priority="11772" stopIfTrue="1" operator="equal">
      <formula>"Fail"</formula>
    </cfRule>
  </conditionalFormatting>
  <conditionalFormatting sqref="U1008:V1008 T1006:T1008 S1007:S1008">
    <cfRule type="cellIs" dxfId="11931" priority="11769" stopIfTrue="1" operator="equal">
      <formula>"Fail"</formula>
    </cfRule>
    <cfRule type="cellIs" dxfId="11930" priority="11770" stopIfTrue="1" operator="equal">
      <formula>"Pass"</formula>
    </cfRule>
  </conditionalFormatting>
  <conditionalFormatting sqref="U1006:V1006">
    <cfRule type="cellIs" dxfId="11929" priority="11767" stopIfTrue="1" operator="equal">
      <formula>"Fail"</formula>
    </cfRule>
    <cfRule type="cellIs" dxfId="11928" priority="11768" stopIfTrue="1" operator="equal">
      <formula>"Pass"</formula>
    </cfRule>
  </conditionalFormatting>
  <conditionalFormatting sqref="F1006:G1006 J1006:N1006">
    <cfRule type="cellIs" dxfId="11927" priority="11765" stopIfTrue="1" operator="equal">
      <formula>"Pass"</formula>
    </cfRule>
    <cfRule type="cellIs" dxfId="11926" priority="11766" stopIfTrue="1" operator="equal">
      <formula>"Fail"</formula>
    </cfRule>
  </conditionalFormatting>
  <conditionalFormatting sqref="J1007:N1007">
    <cfRule type="cellIs" dxfId="11925" priority="11763" stopIfTrue="1" operator="equal">
      <formula>"Pass"</formula>
    </cfRule>
    <cfRule type="cellIs" dxfId="11924" priority="11764" stopIfTrue="1" operator="equal">
      <formula>"Fail"</formula>
    </cfRule>
  </conditionalFormatting>
  <conditionalFormatting sqref="H1006:H1007">
    <cfRule type="cellIs" dxfId="11923" priority="11761" stopIfTrue="1" operator="equal">
      <formula>"Pass"</formula>
    </cfRule>
    <cfRule type="cellIs" dxfId="11922" priority="11762" stopIfTrue="1" operator="equal">
      <formula>"Fail"</formula>
    </cfRule>
  </conditionalFormatting>
  <conditionalFormatting sqref="F1006 F1008 I1006:M1007">
    <cfRule type="cellIs" dxfId="11921" priority="11759" stopIfTrue="1" operator="equal">
      <formula>"Pass"</formula>
    </cfRule>
    <cfRule type="cellIs" dxfId="11920" priority="11760" stopIfTrue="1" operator="equal">
      <formula>"Fail"</formula>
    </cfRule>
  </conditionalFormatting>
  <conditionalFormatting sqref="T1008 T1006 R1006:R1008 S1007:S1008">
    <cfRule type="cellIs" dxfId="11919" priority="11757" stopIfTrue="1" operator="equal">
      <formula>"Fail"</formula>
    </cfRule>
    <cfRule type="cellIs" dxfId="11918" priority="11758" stopIfTrue="1" operator="equal">
      <formula>"Pass"</formula>
    </cfRule>
  </conditionalFormatting>
  <conditionalFormatting sqref="F1006:G1006 F1008:G1008 J1006:N1007">
    <cfRule type="cellIs" dxfId="11917" priority="11755" stopIfTrue="1" operator="equal">
      <formula>"Pass"</formula>
    </cfRule>
    <cfRule type="cellIs" dxfId="11916" priority="11756" stopIfTrue="1" operator="equal">
      <formula>"Fail"</formula>
    </cfRule>
  </conditionalFormatting>
  <conditionalFormatting sqref="U1008:V1008 T1006:T1008 S1007:S1008">
    <cfRule type="cellIs" dxfId="11915" priority="11753" stopIfTrue="1" operator="equal">
      <formula>"Fail"</formula>
    </cfRule>
    <cfRule type="cellIs" dxfId="11914" priority="11754" stopIfTrue="1" operator="equal">
      <formula>"Pass"</formula>
    </cfRule>
  </conditionalFormatting>
  <conditionalFormatting sqref="U1006:V1006">
    <cfRule type="cellIs" dxfId="11913" priority="11751" stopIfTrue="1" operator="equal">
      <formula>"Fail"</formula>
    </cfRule>
    <cfRule type="cellIs" dxfId="11912" priority="11752" stopIfTrue="1" operator="equal">
      <formula>"Pass"</formula>
    </cfRule>
  </conditionalFormatting>
  <conditionalFormatting sqref="F1006:G1006 J1006:N1006">
    <cfRule type="cellIs" dxfId="11911" priority="11749" stopIfTrue="1" operator="equal">
      <formula>"Pass"</formula>
    </cfRule>
    <cfRule type="cellIs" dxfId="11910" priority="11750" stopIfTrue="1" operator="equal">
      <formula>"Fail"</formula>
    </cfRule>
  </conditionalFormatting>
  <conditionalFormatting sqref="J1007:N1007">
    <cfRule type="cellIs" dxfId="11909" priority="11747" stopIfTrue="1" operator="equal">
      <formula>"Pass"</formula>
    </cfRule>
    <cfRule type="cellIs" dxfId="11908" priority="11748" stopIfTrue="1" operator="equal">
      <formula>"Fail"</formula>
    </cfRule>
  </conditionalFormatting>
  <conditionalFormatting sqref="U1006:V1006">
    <cfRule type="cellIs" dxfId="11907" priority="11745" stopIfTrue="1" operator="equal">
      <formula>"Fail"</formula>
    </cfRule>
    <cfRule type="cellIs" dxfId="11906" priority="11746" stopIfTrue="1" operator="equal">
      <formula>"Pass"</formula>
    </cfRule>
  </conditionalFormatting>
  <conditionalFormatting sqref="U1006:V1006">
    <cfRule type="cellIs" dxfId="11905" priority="11743" stopIfTrue="1" operator="equal">
      <formula>"Fail"</formula>
    </cfRule>
    <cfRule type="cellIs" dxfId="11904" priority="11744" stopIfTrue="1" operator="equal">
      <formula>"Pass"</formula>
    </cfRule>
  </conditionalFormatting>
  <conditionalFormatting sqref="U1006:V1006">
    <cfRule type="cellIs" dxfId="11903" priority="11741" stopIfTrue="1" operator="equal">
      <formula>"Fail"</formula>
    </cfRule>
    <cfRule type="cellIs" dxfId="11902" priority="11742" stopIfTrue="1" operator="equal">
      <formula>"Pass"</formula>
    </cfRule>
  </conditionalFormatting>
  <conditionalFormatting sqref="N1006">
    <cfRule type="cellIs" dxfId="11901" priority="11739" stopIfTrue="1" operator="equal">
      <formula>"Pass"</formula>
    </cfRule>
    <cfRule type="cellIs" dxfId="11900" priority="11740" stopIfTrue="1" operator="equal">
      <formula>"Fail"</formula>
    </cfRule>
  </conditionalFormatting>
  <conditionalFormatting sqref="N1006">
    <cfRule type="cellIs" dxfId="11899" priority="11737" stopIfTrue="1" operator="equal">
      <formula>"Pass"</formula>
    </cfRule>
    <cfRule type="cellIs" dxfId="11898" priority="11738" stopIfTrue="1" operator="equal">
      <formula>"Fail"</formula>
    </cfRule>
  </conditionalFormatting>
  <conditionalFormatting sqref="N1006">
    <cfRule type="cellIs" dxfId="11897" priority="11735" stopIfTrue="1" operator="equal">
      <formula>"Pass"</formula>
    </cfRule>
    <cfRule type="cellIs" dxfId="11896" priority="11736" stopIfTrue="1" operator="equal">
      <formula>"Fail"</formula>
    </cfRule>
  </conditionalFormatting>
  <conditionalFormatting sqref="U1006:V1006">
    <cfRule type="cellIs" dxfId="11895" priority="11733" stopIfTrue="1" operator="equal">
      <formula>"Fail"</formula>
    </cfRule>
    <cfRule type="cellIs" dxfId="11894" priority="11734" stopIfTrue="1" operator="equal">
      <formula>"Pass"</formula>
    </cfRule>
  </conditionalFormatting>
  <conditionalFormatting sqref="U1006:V1006">
    <cfRule type="cellIs" dxfId="11893" priority="11731" stopIfTrue="1" operator="equal">
      <formula>"Fail"</formula>
    </cfRule>
    <cfRule type="cellIs" dxfId="11892" priority="11732" stopIfTrue="1" operator="equal">
      <formula>"Pass"</formula>
    </cfRule>
  </conditionalFormatting>
  <conditionalFormatting sqref="U1006:V1006">
    <cfRule type="cellIs" dxfId="11891" priority="11729" stopIfTrue="1" operator="equal">
      <formula>"Fail"</formula>
    </cfRule>
    <cfRule type="cellIs" dxfId="11890" priority="11730" stopIfTrue="1" operator="equal">
      <formula>"Pass"</formula>
    </cfRule>
  </conditionalFormatting>
  <conditionalFormatting sqref="U1006:V1006">
    <cfRule type="cellIs" dxfId="11889" priority="11727" stopIfTrue="1" operator="equal">
      <formula>"Fail"</formula>
    </cfRule>
    <cfRule type="cellIs" dxfId="11888" priority="11728" stopIfTrue="1" operator="equal">
      <formula>"Pass"</formula>
    </cfRule>
  </conditionalFormatting>
  <conditionalFormatting sqref="T1006">
    <cfRule type="cellIs" dxfId="11887" priority="11725" stopIfTrue="1" operator="equal">
      <formula>"Fail"</formula>
    </cfRule>
    <cfRule type="cellIs" dxfId="11886" priority="11726" stopIfTrue="1" operator="equal">
      <formula>"Pass"</formula>
    </cfRule>
  </conditionalFormatting>
  <conditionalFormatting sqref="T1006">
    <cfRule type="cellIs" dxfId="11885" priority="11723" stopIfTrue="1" operator="equal">
      <formula>"Fail"</formula>
    </cfRule>
    <cfRule type="cellIs" dxfId="11884" priority="11724" stopIfTrue="1" operator="equal">
      <formula>"Pass"</formula>
    </cfRule>
  </conditionalFormatting>
  <conditionalFormatting sqref="T1006">
    <cfRule type="cellIs" dxfId="11883" priority="11721" stopIfTrue="1" operator="equal">
      <formula>"Fail"</formula>
    </cfRule>
    <cfRule type="cellIs" dxfId="11882" priority="11722" stopIfTrue="1" operator="equal">
      <formula>"Pass"</formula>
    </cfRule>
  </conditionalFormatting>
  <conditionalFormatting sqref="T1006">
    <cfRule type="cellIs" dxfId="11881" priority="11719" stopIfTrue="1" operator="equal">
      <formula>"Fail"</formula>
    </cfRule>
    <cfRule type="cellIs" dxfId="11880" priority="11720" stopIfTrue="1" operator="equal">
      <formula>"Pass"</formula>
    </cfRule>
  </conditionalFormatting>
  <conditionalFormatting sqref="T1006">
    <cfRule type="cellIs" dxfId="11879" priority="11717" stopIfTrue="1" operator="equal">
      <formula>"Fail"</formula>
    </cfRule>
    <cfRule type="cellIs" dxfId="11878" priority="11718" stopIfTrue="1" operator="equal">
      <formula>"Pass"</formula>
    </cfRule>
  </conditionalFormatting>
  <conditionalFormatting sqref="T1006">
    <cfRule type="cellIs" dxfId="11877" priority="11715" stopIfTrue="1" operator="equal">
      <formula>"Fail"</formula>
    </cfRule>
    <cfRule type="cellIs" dxfId="11876" priority="11716" stopIfTrue="1" operator="equal">
      <formula>"Pass"</formula>
    </cfRule>
  </conditionalFormatting>
  <conditionalFormatting sqref="T1006">
    <cfRule type="cellIs" dxfId="11875" priority="11713" stopIfTrue="1" operator="equal">
      <formula>"Fail"</formula>
    </cfRule>
    <cfRule type="cellIs" dxfId="11874" priority="11714" stopIfTrue="1" operator="equal">
      <formula>"Pass"</formula>
    </cfRule>
  </conditionalFormatting>
  <conditionalFormatting sqref="T1006">
    <cfRule type="cellIs" dxfId="11873" priority="11711" stopIfTrue="1" operator="equal">
      <formula>"Fail"</formula>
    </cfRule>
    <cfRule type="cellIs" dxfId="11872" priority="11712" stopIfTrue="1" operator="equal">
      <formula>"Pass"</formula>
    </cfRule>
  </conditionalFormatting>
  <conditionalFormatting sqref="T1006">
    <cfRule type="cellIs" dxfId="11871" priority="11709" stopIfTrue="1" operator="equal">
      <formula>"Fail"</formula>
    </cfRule>
    <cfRule type="cellIs" dxfId="11870" priority="11710" stopIfTrue="1" operator="equal">
      <formula>"Pass"</formula>
    </cfRule>
  </conditionalFormatting>
  <conditionalFormatting sqref="T1006">
    <cfRule type="cellIs" dxfId="11869" priority="11707" stopIfTrue="1" operator="equal">
      <formula>"Fail"</formula>
    </cfRule>
    <cfRule type="cellIs" dxfId="11868" priority="11708" stopIfTrue="1" operator="equal">
      <formula>"Pass"</formula>
    </cfRule>
  </conditionalFormatting>
  <conditionalFormatting sqref="T1006">
    <cfRule type="cellIs" dxfId="11867" priority="11705" stopIfTrue="1" operator="equal">
      <formula>"Fail"</formula>
    </cfRule>
    <cfRule type="cellIs" dxfId="11866" priority="11706" stopIfTrue="1" operator="equal">
      <formula>"Pass"</formula>
    </cfRule>
  </conditionalFormatting>
  <conditionalFormatting sqref="T1006">
    <cfRule type="cellIs" dxfId="11865" priority="11703" stopIfTrue="1" operator="equal">
      <formula>"Fail"</formula>
    </cfRule>
    <cfRule type="cellIs" dxfId="11864" priority="11704" stopIfTrue="1" operator="equal">
      <formula>"Pass"</formula>
    </cfRule>
  </conditionalFormatting>
  <conditionalFormatting sqref="T1006">
    <cfRule type="cellIs" dxfId="11863" priority="11701" stopIfTrue="1" operator="equal">
      <formula>"Fail"</formula>
    </cfRule>
    <cfRule type="cellIs" dxfId="11862" priority="11702" stopIfTrue="1" operator="equal">
      <formula>"Pass"</formula>
    </cfRule>
  </conditionalFormatting>
  <conditionalFormatting sqref="T1006">
    <cfRule type="cellIs" dxfId="11861" priority="11699" stopIfTrue="1" operator="equal">
      <formula>"Fail"</formula>
    </cfRule>
    <cfRule type="cellIs" dxfId="11860" priority="11700" stopIfTrue="1" operator="equal">
      <formula>"Pass"</formula>
    </cfRule>
  </conditionalFormatting>
  <conditionalFormatting sqref="T1006">
    <cfRule type="cellIs" dxfId="11859" priority="11697" stopIfTrue="1" operator="equal">
      <formula>"Fail"</formula>
    </cfRule>
    <cfRule type="cellIs" dxfId="11858" priority="11698" stopIfTrue="1" operator="equal">
      <formula>"Pass"</formula>
    </cfRule>
  </conditionalFormatting>
  <conditionalFormatting sqref="T1006">
    <cfRule type="cellIs" dxfId="11857" priority="11695" stopIfTrue="1" operator="equal">
      <formula>"Fail"</formula>
    </cfRule>
    <cfRule type="cellIs" dxfId="11856" priority="11696" stopIfTrue="1" operator="equal">
      <formula>"Pass"</formula>
    </cfRule>
  </conditionalFormatting>
  <conditionalFormatting sqref="T1006">
    <cfRule type="cellIs" dxfId="11855" priority="11693" stopIfTrue="1" operator="equal">
      <formula>"Fail"</formula>
    </cfRule>
    <cfRule type="cellIs" dxfId="11854" priority="11694" stopIfTrue="1" operator="equal">
      <formula>"Pass"</formula>
    </cfRule>
  </conditionalFormatting>
  <conditionalFormatting sqref="T1006">
    <cfRule type="cellIs" dxfId="11853" priority="11691" stopIfTrue="1" operator="equal">
      <formula>"Fail"</formula>
    </cfRule>
    <cfRule type="cellIs" dxfId="11852" priority="11692" stopIfTrue="1" operator="equal">
      <formula>"Pass"</formula>
    </cfRule>
  </conditionalFormatting>
  <conditionalFormatting sqref="T1006">
    <cfRule type="cellIs" dxfId="11851" priority="11689" stopIfTrue="1" operator="equal">
      <formula>"Fail"</formula>
    </cfRule>
    <cfRule type="cellIs" dxfId="11850" priority="11690" stopIfTrue="1" operator="equal">
      <formula>"Pass"</formula>
    </cfRule>
  </conditionalFormatting>
  <conditionalFormatting sqref="T1006">
    <cfRule type="cellIs" dxfId="11849" priority="11687" stopIfTrue="1" operator="equal">
      <formula>"Fail"</formula>
    </cfRule>
    <cfRule type="cellIs" dxfId="11848" priority="11688" stopIfTrue="1" operator="equal">
      <formula>"Pass"</formula>
    </cfRule>
  </conditionalFormatting>
  <conditionalFormatting sqref="T1006">
    <cfRule type="cellIs" dxfId="11847" priority="11685" stopIfTrue="1" operator="equal">
      <formula>"Fail"</formula>
    </cfRule>
    <cfRule type="cellIs" dxfId="11846" priority="11686" stopIfTrue="1" operator="equal">
      <formula>"Pass"</formula>
    </cfRule>
  </conditionalFormatting>
  <conditionalFormatting sqref="T1006">
    <cfRule type="cellIs" dxfId="11845" priority="11683" stopIfTrue="1" operator="equal">
      <formula>"Fail"</formula>
    </cfRule>
    <cfRule type="cellIs" dxfId="11844" priority="11684" stopIfTrue="1" operator="equal">
      <formula>"Pass"</formula>
    </cfRule>
  </conditionalFormatting>
  <conditionalFormatting sqref="T1006">
    <cfRule type="cellIs" dxfId="11843" priority="11681" stopIfTrue="1" operator="equal">
      <formula>"Fail"</formula>
    </cfRule>
    <cfRule type="cellIs" dxfId="11842" priority="11682" stopIfTrue="1" operator="equal">
      <formula>"Pass"</formula>
    </cfRule>
  </conditionalFormatting>
  <conditionalFormatting sqref="T1006">
    <cfRule type="cellIs" dxfId="11841" priority="11679" stopIfTrue="1" operator="equal">
      <formula>"Fail"</formula>
    </cfRule>
    <cfRule type="cellIs" dxfId="11840" priority="11680" stopIfTrue="1" operator="equal">
      <formula>"Pass"</formula>
    </cfRule>
  </conditionalFormatting>
  <conditionalFormatting sqref="A1009:A1011">
    <cfRule type="cellIs" dxfId="11839" priority="11677" stopIfTrue="1" operator="equal">
      <formula>"Pass"</formula>
    </cfRule>
    <cfRule type="cellIs" dxfId="11838" priority="11678" stopIfTrue="1" operator="equal">
      <formula>"Fail"</formula>
    </cfRule>
  </conditionalFormatting>
  <conditionalFormatting sqref="A1009:A1011">
    <cfRule type="cellIs" dxfId="11837" priority="11675" stopIfTrue="1" operator="equal">
      <formula>"Pass"</formula>
    </cfRule>
    <cfRule type="cellIs" dxfId="11836" priority="11676" stopIfTrue="1" operator="equal">
      <formula>"Fail"</formula>
    </cfRule>
  </conditionalFormatting>
  <conditionalFormatting sqref="A1009:A1011">
    <cfRule type="cellIs" dxfId="11835" priority="11673" stopIfTrue="1" operator="equal">
      <formula>"Pass"</formula>
    </cfRule>
    <cfRule type="cellIs" dxfId="11834" priority="11674" stopIfTrue="1" operator="equal">
      <formula>"Fail"</formula>
    </cfRule>
  </conditionalFormatting>
  <conditionalFormatting sqref="A1009:A1011">
    <cfRule type="cellIs" dxfId="11833" priority="11671" stopIfTrue="1" operator="equal">
      <formula>"Pass"</formula>
    </cfRule>
    <cfRule type="cellIs" dxfId="11832" priority="11672" stopIfTrue="1" operator="equal">
      <formula>"Fail"</formula>
    </cfRule>
  </conditionalFormatting>
  <conditionalFormatting sqref="A1009:A1011">
    <cfRule type="cellIs" dxfId="11831" priority="11669" stopIfTrue="1" operator="equal">
      <formula>"Pass"</formula>
    </cfRule>
    <cfRule type="cellIs" dxfId="11830" priority="11670" stopIfTrue="1" operator="equal">
      <formula>"Fail"</formula>
    </cfRule>
  </conditionalFormatting>
  <conditionalFormatting sqref="A1011">
    <cfRule type="cellIs" dxfId="11829" priority="11667" stopIfTrue="1" operator="equal">
      <formula>"Pass"</formula>
    </cfRule>
    <cfRule type="cellIs" dxfId="11828" priority="11668" stopIfTrue="1" operator="equal">
      <formula>"Fail"</formula>
    </cfRule>
  </conditionalFormatting>
  <conditionalFormatting sqref="A1009:A1011">
    <cfRule type="cellIs" dxfId="11827" priority="11665" stopIfTrue="1" operator="equal">
      <formula>"Pass"</formula>
    </cfRule>
    <cfRule type="cellIs" dxfId="11826" priority="11666" stopIfTrue="1" operator="equal">
      <formula>"Fail"</formula>
    </cfRule>
  </conditionalFormatting>
  <conditionalFormatting sqref="A1009:A1011">
    <cfRule type="cellIs" dxfId="11825" priority="11663" stopIfTrue="1" operator="equal">
      <formula>"Pass"</formula>
    </cfRule>
    <cfRule type="cellIs" dxfId="11824" priority="11664" stopIfTrue="1" operator="equal">
      <formula>"Fail"</formula>
    </cfRule>
  </conditionalFormatting>
  <conditionalFormatting sqref="A1009:A1011">
    <cfRule type="cellIs" dxfId="11823" priority="11661" stopIfTrue="1" operator="equal">
      <formula>"Pass"</formula>
    </cfRule>
    <cfRule type="cellIs" dxfId="11822" priority="11662" stopIfTrue="1" operator="equal">
      <formula>"Fail"</formula>
    </cfRule>
  </conditionalFormatting>
  <conditionalFormatting sqref="A1009:A1011">
    <cfRule type="cellIs" dxfId="11821" priority="11659" stopIfTrue="1" operator="equal">
      <formula>"Pass"</formula>
    </cfRule>
    <cfRule type="cellIs" dxfId="11820" priority="11660" stopIfTrue="1" operator="equal">
      <formula>"Fail"</formula>
    </cfRule>
  </conditionalFormatting>
  <conditionalFormatting sqref="A1009:A1011">
    <cfRule type="cellIs" dxfId="11819" priority="11657" stopIfTrue="1" operator="equal">
      <formula>"Pass"</formula>
    </cfRule>
    <cfRule type="cellIs" dxfId="11818" priority="11658" stopIfTrue="1" operator="equal">
      <formula>"Fail"</formula>
    </cfRule>
  </conditionalFormatting>
  <conditionalFormatting sqref="A1009:A1011">
    <cfRule type="cellIs" dxfId="11817" priority="11655" stopIfTrue="1" operator="equal">
      <formula>"Pass"</formula>
    </cfRule>
    <cfRule type="cellIs" dxfId="11816" priority="11656" stopIfTrue="1" operator="equal">
      <formula>"Fail"</formula>
    </cfRule>
  </conditionalFormatting>
  <conditionalFormatting sqref="A1011">
    <cfRule type="cellIs" dxfId="11815" priority="11653" stopIfTrue="1" operator="equal">
      <formula>"Pass"</formula>
    </cfRule>
    <cfRule type="cellIs" dxfId="11814" priority="11654" stopIfTrue="1" operator="equal">
      <formula>"Fail"</formula>
    </cfRule>
  </conditionalFormatting>
  <conditionalFormatting sqref="A1009:A1011">
    <cfRule type="cellIs" dxfId="11813" priority="11651" stopIfTrue="1" operator="equal">
      <formula>"Pass"</formula>
    </cfRule>
    <cfRule type="cellIs" dxfId="11812" priority="11652" stopIfTrue="1" operator="equal">
      <formula>"Fail"</formula>
    </cfRule>
  </conditionalFormatting>
  <conditionalFormatting sqref="A1009:A1011">
    <cfRule type="cellIs" dxfId="11811" priority="11649" stopIfTrue="1" operator="equal">
      <formula>"Pass"</formula>
    </cfRule>
    <cfRule type="cellIs" dxfId="11810" priority="11650" stopIfTrue="1" operator="equal">
      <formula>"Fail"</formula>
    </cfRule>
  </conditionalFormatting>
  <conditionalFormatting sqref="A1009:A1011">
    <cfRule type="cellIs" dxfId="11809" priority="11647" stopIfTrue="1" operator="equal">
      <formula>"Pass"</formula>
    </cfRule>
    <cfRule type="cellIs" dxfId="11808" priority="11648" stopIfTrue="1" operator="equal">
      <formula>"Fail"</formula>
    </cfRule>
  </conditionalFormatting>
  <conditionalFormatting sqref="A1009:A1011">
    <cfRule type="cellIs" dxfId="11807" priority="11645" stopIfTrue="1" operator="equal">
      <formula>"Pass"</formula>
    </cfRule>
    <cfRule type="cellIs" dxfId="11806" priority="11646" stopIfTrue="1" operator="equal">
      <formula>"Fail"</formula>
    </cfRule>
  </conditionalFormatting>
  <conditionalFormatting sqref="A1009:A1011">
    <cfRule type="cellIs" dxfId="11805" priority="11643" stopIfTrue="1" operator="equal">
      <formula>"Pass"</formula>
    </cfRule>
    <cfRule type="cellIs" dxfId="11804" priority="11644" stopIfTrue="1" operator="equal">
      <formula>"Fail"</formula>
    </cfRule>
  </conditionalFormatting>
  <conditionalFormatting sqref="A1009:A1011">
    <cfRule type="cellIs" dxfId="11803" priority="11641" stopIfTrue="1" operator="equal">
      <formula>"Pass"</formula>
    </cfRule>
    <cfRule type="cellIs" dxfId="11802" priority="11642" stopIfTrue="1" operator="equal">
      <formula>"Fail"</formula>
    </cfRule>
  </conditionalFormatting>
  <conditionalFormatting sqref="A1011">
    <cfRule type="cellIs" dxfId="11801" priority="11639" stopIfTrue="1" operator="equal">
      <formula>"Pass"</formula>
    </cfRule>
    <cfRule type="cellIs" dxfId="11800" priority="11640" stopIfTrue="1" operator="equal">
      <formula>"Fail"</formula>
    </cfRule>
  </conditionalFormatting>
  <conditionalFormatting sqref="A1009:A1011">
    <cfRule type="cellIs" dxfId="11799" priority="11637" stopIfTrue="1" operator="equal">
      <formula>"Pass"</formula>
    </cfRule>
    <cfRule type="cellIs" dxfId="11798" priority="11638" stopIfTrue="1" operator="equal">
      <formula>"Fail"</formula>
    </cfRule>
  </conditionalFormatting>
  <conditionalFormatting sqref="A1009:A1011">
    <cfRule type="cellIs" dxfId="11797" priority="11635" stopIfTrue="1" operator="equal">
      <formula>"Pass"</formula>
    </cfRule>
    <cfRule type="cellIs" dxfId="11796" priority="11636" stopIfTrue="1" operator="equal">
      <formula>"Fail"</formula>
    </cfRule>
  </conditionalFormatting>
  <conditionalFormatting sqref="A1009:A1011">
    <cfRule type="cellIs" dxfId="11795" priority="11633" stopIfTrue="1" operator="equal">
      <formula>"Pass"</formula>
    </cfRule>
    <cfRule type="cellIs" dxfId="11794" priority="11634" stopIfTrue="1" operator="equal">
      <formula>"Fail"</formula>
    </cfRule>
  </conditionalFormatting>
  <conditionalFormatting sqref="A1009:A1011">
    <cfRule type="cellIs" dxfId="11793" priority="11631" stopIfTrue="1" operator="equal">
      <formula>"Pass"</formula>
    </cfRule>
    <cfRule type="cellIs" dxfId="11792" priority="11632" stopIfTrue="1" operator="equal">
      <formula>"Fail"</formula>
    </cfRule>
  </conditionalFormatting>
  <conditionalFormatting sqref="A1009:A1011">
    <cfRule type="cellIs" dxfId="11791" priority="11629" stopIfTrue="1" operator="equal">
      <formula>"Pass"</formula>
    </cfRule>
    <cfRule type="cellIs" dxfId="11790" priority="11630" stopIfTrue="1" operator="equal">
      <formula>"Fail"</formula>
    </cfRule>
  </conditionalFormatting>
  <conditionalFormatting sqref="A1009:A1011">
    <cfRule type="cellIs" dxfId="11789" priority="11627" stopIfTrue="1" operator="equal">
      <formula>"Pass"</formula>
    </cfRule>
    <cfRule type="cellIs" dxfId="11788" priority="11628" stopIfTrue="1" operator="equal">
      <formula>"Fail"</formula>
    </cfRule>
  </conditionalFormatting>
  <conditionalFormatting sqref="A1011">
    <cfRule type="cellIs" dxfId="11787" priority="11625" stopIfTrue="1" operator="equal">
      <formula>"Pass"</formula>
    </cfRule>
    <cfRule type="cellIs" dxfId="11786" priority="11626" stopIfTrue="1" operator="equal">
      <formula>"Fail"</formula>
    </cfRule>
  </conditionalFormatting>
  <conditionalFormatting sqref="A1009:A1011">
    <cfRule type="cellIs" dxfId="11785" priority="11623" stopIfTrue="1" operator="equal">
      <formula>"Pass"</formula>
    </cfRule>
    <cfRule type="cellIs" dxfId="11784" priority="11624" stopIfTrue="1" operator="equal">
      <formula>"Fail"</formula>
    </cfRule>
  </conditionalFormatting>
  <conditionalFormatting sqref="A1009:A1011">
    <cfRule type="cellIs" dxfId="11783" priority="11621" stopIfTrue="1" operator="equal">
      <formula>"Pass"</formula>
    </cfRule>
    <cfRule type="cellIs" dxfId="11782" priority="11622" stopIfTrue="1" operator="equal">
      <formula>"Fail"</formula>
    </cfRule>
  </conditionalFormatting>
  <conditionalFormatting sqref="A1009:A1011">
    <cfRule type="cellIs" dxfId="11781" priority="11619" stopIfTrue="1" operator="equal">
      <formula>"Pass"</formula>
    </cfRule>
    <cfRule type="cellIs" dxfId="11780" priority="11620" stopIfTrue="1" operator="equal">
      <formula>"Fail"</formula>
    </cfRule>
  </conditionalFormatting>
  <conditionalFormatting sqref="A1009:A1011">
    <cfRule type="cellIs" dxfId="11779" priority="11617" stopIfTrue="1" operator="equal">
      <formula>"Pass"</formula>
    </cfRule>
    <cfRule type="cellIs" dxfId="11778" priority="11618" stopIfTrue="1" operator="equal">
      <formula>"Fail"</formula>
    </cfRule>
  </conditionalFormatting>
  <conditionalFormatting sqref="A1009:A1011">
    <cfRule type="cellIs" dxfId="11777" priority="11615" stopIfTrue="1" operator="equal">
      <formula>"Pass"</formula>
    </cfRule>
    <cfRule type="cellIs" dxfId="11776" priority="11616" stopIfTrue="1" operator="equal">
      <formula>"Fail"</formula>
    </cfRule>
  </conditionalFormatting>
  <conditionalFormatting sqref="A1009:A1011">
    <cfRule type="cellIs" dxfId="11775" priority="11613" stopIfTrue="1" operator="equal">
      <formula>"Pass"</formula>
    </cfRule>
    <cfRule type="cellIs" dxfId="11774" priority="11614" stopIfTrue="1" operator="equal">
      <formula>"Fail"</formula>
    </cfRule>
  </conditionalFormatting>
  <conditionalFormatting sqref="A1011">
    <cfRule type="cellIs" dxfId="11773" priority="11611" stopIfTrue="1" operator="equal">
      <formula>"Pass"</formula>
    </cfRule>
    <cfRule type="cellIs" dxfId="11772" priority="11612" stopIfTrue="1" operator="equal">
      <formula>"Fail"</formula>
    </cfRule>
  </conditionalFormatting>
  <conditionalFormatting sqref="A1009:A1011">
    <cfRule type="cellIs" dxfId="11771" priority="11609" stopIfTrue="1" operator="equal">
      <formula>"Pass"</formula>
    </cfRule>
    <cfRule type="cellIs" dxfId="11770" priority="11610" stopIfTrue="1" operator="equal">
      <formula>"Fail"</formula>
    </cfRule>
  </conditionalFormatting>
  <conditionalFormatting sqref="A1009:A1011">
    <cfRule type="cellIs" dxfId="11769" priority="11607" stopIfTrue="1" operator="equal">
      <formula>"Pass"</formula>
    </cfRule>
    <cfRule type="cellIs" dxfId="11768" priority="11608" stopIfTrue="1" operator="equal">
      <formula>"Fail"</formula>
    </cfRule>
  </conditionalFormatting>
  <conditionalFormatting sqref="A1009:A1011">
    <cfRule type="cellIs" dxfId="11767" priority="11605" stopIfTrue="1" operator="equal">
      <formula>"Pass"</formula>
    </cfRule>
    <cfRule type="cellIs" dxfId="11766" priority="11606" stopIfTrue="1" operator="equal">
      <formula>"Fail"</formula>
    </cfRule>
  </conditionalFormatting>
  <conditionalFormatting sqref="A1009:A1011">
    <cfRule type="cellIs" dxfId="11765" priority="11603" stopIfTrue="1" operator="equal">
      <formula>"Pass"</formula>
    </cfRule>
    <cfRule type="cellIs" dxfId="11764" priority="11604" stopIfTrue="1" operator="equal">
      <formula>"Fail"</formula>
    </cfRule>
  </conditionalFormatting>
  <conditionalFormatting sqref="A1009:A1011">
    <cfRule type="cellIs" dxfId="11763" priority="11601" stopIfTrue="1" operator="equal">
      <formula>"Pass"</formula>
    </cfRule>
    <cfRule type="cellIs" dxfId="11762" priority="11602" stopIfTrue="1" operator="equal">
      <formula>"Fail"</formula>
    </cfRule>
  </conditionalFormatting>
  <conditionalFormatting sqref="A1009:A1011">
    <cfRule type="cellIs" dxfId="11761" priority="11599" stopIfTrue="1" operator="equal">
      <formula>"Pass"</formula>
    </cfRule>
    <cfRule type="cellIs" dxfId="11760" priority="11600" stopIfTrue="1" operator="equal">
      <formula>"Fail"</formula>
    </cfRule>
  </conditionalFormatting>
  <conditionalFormatting sqref="A1011">
    <cfRule type="cellIs" dxfId="11759" priority="11597" stopIfTrue="1" operator="equal">
      <formula>"Pass"</formula>
    </cfRule>
    <cfRule type="cellIs" dxfId="11758" priority="11598" stopIfTrue="1" operator="equal">
      <formula>"Fail"</formula>
    </cfRule>
  </conditionalFormatting>
  <conditionalFormatting sqref="A1009:A1011">
    <cfRule type="cellIs" dxfId="11757" priority="11595" stopIfTrue="1" operator="equal">
      <formula>"Pass"</formula>
    </cfRule>
    <cfRule type="cellIs" dxfId="11756" priority="11596" stopIfTrue="1" operator="equal">
      <formula>"Fail"</formula>
    </cfRule>
  </conditionalFormatting>
  <conditionalFormatting sqref="A1009">
    <cfRule type="cellIs" dxfId="11755" priority="11593" stopIfTrue="1" operator="equal">
      <formula>"Pass"</formula>
    </cfRule>
    <cfRule type="cellIs" dxfId="11754" priority="11594" stopIfTrue="1" operator="equal">
      <formula>"Fail"</formula>
    </cfRule>
  </conditionalFormatting>
  <conditionalFormatting sqref="A1009">
    <cfRule type="cellIs" dxfId="11753" priority="11591" stopIfTrue="1" operator="equal">
      <formula>"Pass"</formula>
    </cfRule>
    <cfRule type="cellIs" dxfId="11752" priority="11592" stopIfTrue="1" operator="equal">
      <formula>"Fail"</formula>
    </cfRule>
  </conditionalFormatting>
  <conditionalFormatting sqref="A1009">
    <cfRule type="cellIs" dxfId="11751" priority="11589" stopIfTrue="1" operator="equal">
      <formula>"Pass"</formula>
    </cfRule>
    <cfRule type="cellIs" dxfId="11750" priority="11590" stopIfTrue="1" operator="equal">
      <formula>"Fail"</formula>
    </cfRule>
  </conditionalFormatting>
  <conditionalFormatting sqref="A1009">
    <cfRule type="cellIs" dxfId="11749" priority="11587" stopIfTrue="1" operator="equal">
      <formula>"Pass"</formula>
    </cfRule>
    <cfRule type="cellIs" dxfId="11748" priority="11588" stopIfTrue="1" operator="equal">
      <formula>"Fail"</formula>
    </cfRule>
  </conditionalFormatting>
  <conditionalFormatting sqref="A1009">
    <cfRule type="cellIs" dxfId="11747" priority="11585" stopIfTrue="1" operator="equal">
      <formula>"Pass"</formula>
    </cfRule>
    <cfRule type="cellIs" dxfId="11746" priority="11586" stopIfTrue="1" operator="equal">
      <formula>"Fail"</formula>
    </cfRule>
  </conditionalFormatting>
  <conditionalFormatting sqref="A1009">
    <cfRule type="cellIs" dxfId="11745" priority="11583" stopIfTrue="1" operator="equal">
      <formula>"Pass"</formula>
    </cfRule>
    <cfRule type="cellIs" dxfId="11744" priority="11584" stopIfTrue="1" operator="equal">
      <formula>"Fail"</formula>
    </cfRule>
  </conditionalFormatting>
  <conditionalFormatting sqref="H1009:H1010">
    <cfRule type="cellIs" dxfId="11743" priority="11581" stopIfTrue="1" operator="equal">
      <formula>"Pass"</formula>
    </cfRule>
    <cfRule type="cellIs" dxfId="11742" priority="11582" stopIfTrue="1" operator="equal">
      <formula>"Fail"</formula>
    </cfRule>
  </conditionalFormatting>
  <conditionalFormatting sqref="E1009:F1009 E1011:F1011 A1009 I1009:M1010">
    <cfRule type="cellIs" dxfId="11741" priority="11579" stopIfTrue="1" operator="equal">
      <formula>"Pass"</formula>
    </cfRule>
    <cfRule type="cellIs" dxfId="11740" priority="11580" stopIfTrue="1" operator="equal">
      <formula>"Fail"</formula>
    </cfRule>
  </conditionalFormatting>
  <conditionalFormatting sqref="T1011 T1009 R1009:R1011 S1010:S1011">
    <cfRule type="cellIs" dxfId="11739" priority="11577" stopIfTrue="1" operator="equal">
      <formula>"Fail"</formula>
    </cfRule>
    <cfRule type="cellIs" dxfId="11738" priority="11578" stopIfTrue="1" operator="equal">
      <formula>"Pass"</formula>
    </cfRule>
  </conditionalFormatting>
  <conditionalFormatting sqref="F1009:G1009 F1011:G1011 B1009:B1011 A1009 J1009:N1010">
    <cfRule type="cellIs" dxfId="11737" priority="11575" stopIfTrue="1" operator="equal">
      <formula>"Pass"</formula>
    </cfRule>
    <cfRule type="cellIs" dxfId="11736" priority="11576" stopIfTrue="1" operator="equal">
      <formula>"Fail"</formula>
    </cfRule>
  </conditionalFormatting>
  <conditionalFormatting sqref="U1011 T1009:T1011 S1010:S1011">
    <cfRule type="cellIs" dxfId="11735" priority="11573" stopIfTrue="1" operator="equal">
      <formula>"Fail"</formula>
    </cfRule>
    <cfRule type="cellIs" dxfId="11734" priority="11574" stopIfTrue="1" operator="equal">
      <formula>"Pass"</formula>
    </cfRule>
  </conditionalFormatting>
  <conditionalFormatting sqref="A1009">
    <cfRule type="cellIs" dxfId="11733" priority="11571" stopIfTrue="1" operator="equal">
      <formula>"Pass"</formula>
    </cfRule>
    <cfRule type="cellIs" dxfId="11732" priority="11572" stopIfTrue="1" operator="equal">
      <formula>"Fail"</formula>
    </cfRule>
  </conditionalFormatting>
  <conditionalFormatting sqref="A1009">
    <cfRule type="cellIs" dxfId="11731" priority="11569" stopIfTrue="1" operator="equal">
      <formula>"Pass"</formula>
    </cfRule>
    <cfRule type="cellIs" dxfId="11730" priority="11570" stopIfTrue="1" operator="equal">
      <formula>"Fail"</formula>
    </cfRule>
  </conditionalFormatting>
  <conditionalFormatting sqref="A1009">
    <cfRule type="cellIs" dxfId="11729" priority="11567" stopIfTrue="1" operator="equal">
      <formula>"Pass"</formula>
    </cfRule>
    <cfRule type="cellIs" dxfId="11728" priority="11568" stopIfTrue="1" operator="equal">
      <formula>"Fail"</formula>
    </cfRule>
  </conditionalFormatting>
  <conditionalFormatting sqref="A1009">
    <cfRule type="cellIs" dxfId="11727" priority="11565" stopIfTrue="1" operator="equal">
      <formula>"Pass"</formula>
    </cfRule>
    <cfRule type="cellIs" dxfId="11726" priority="11566" stopIfTrue="1" operator="equal">
      <formula>"Fail"</formula>
    </cfRule>
  </conditionalFormatting>
  <conditionalFormatting sqref="A1009">
    <cfRule type="cellIs" dxfId="11725" priority="11563" stopIfTrue="1" operator="equal">
      <formula>"Pass"</formula>
    </cfRule>
    <cfRule type="cellIs" dxfId="11724" priority="11564" stopIfTrue="1" operator="equal">
      <formula>"Fail"</formula>
    </cfRule>
  </conditionalFormatting>
  <conditionalFormatting sqref="A1009">
    <cfRule type="cellIs" dxfId="11723" priority="11561" stopIfTrue="1" operator="equal">
      <formula>"Pass"</formula>
    </cfRule>
    <cfRule type="cellIs" dxfId="11722" priority="11562" stopIfTrue="1" operator="equal">
      <formula>"Fail"</formula>
    </cfRule>
  </conditionalFormatting>
  <conditionalFormatting sqref="A1009">
    <cfRule type="cellIs" dxfId="11721" priority="11559" stopIfTrue="1" operator="equal">
      <formula>"Pass"</formula>
    </cfRule>
    <cfRule type="cellIs" dxfId="11720" priority="11560" stopIfTrue="1" operator="equal">
      <formula>"Fail"</formula>
    </cfRule>
  </conditionalFormatting>
  <conditionalFormatting sqref="A1009">
    <cfRule type="cellIs" dxfId="11719" priority="11557" stopIfTrue="1" operator="equal">
      <formula>"Pass"</formula>
    </cfRule>
    <cfRule type="cellIs" dxfId="11718" priority="11558" stopIfTrue="1" operator="equal">
      <formula>"Fail"</formula>
    </cfRule>
  </conditionalFormatting>
  <conditionalFormatting sqref="A1009">
    <cfRule type="cellIs" dxfId="11717" priority="11555" stopIfTrue="1" operator="equal">
      <formula>"Pass"</formula>
    </cfRule>
    <cfRule type="cellIs" dxfId="11716" priority="11556" stopIfTrue="1" operator="equal">
      <formula>"Fail"</formula>
    </cfRule>
  </conditionalFormatting>
  <conditionalFormatting sqref="A1009">
    <cfRule type="cellIs" dxfId="11715" priority="11553" stopIfTrue="1" operator="equal">
      <formula>"Pass"</formula>
    </cfRule>
    <cfRule type="cellIs" dxfId="11714" priority="11554" stopIfTrue="1" operator="equal">
      <formula>"Fail"</formula>
    </cfRule>
  </conditionalFormatting>
  <conditionalFormatting sqref="U1009">
    <cfRule type="cellIs" dxfId="11713" priority="11551" stopIfTrue="1" operator="equal">
      <formula>"Fail"</formula>
    </cfRule>
    <cfRule type="cellIs" dxfId="11712" priority="11552" stopIfTrue="1" operator="equal">
      <formula>"Pass"</formula>
    </cfRule>
  </conditionalFormatting>
  <conditionalFormatting sqref="F1009:G1009 J1009:N1009">
    <cfRule type="cellIs" dxfId="11711" priority="11549" stopIfTrue="1" operator="equal">
      <formula>"Pass"</formula>
    </cfRule>
    <cfRule type="cellIs" dxfId="11710" priority="11550" stopIfTrue="1" operator="equal">
      <formula>"Fail"</formula>
    </cfRule>
  </conditionalFormatting>
  <conditionalFormatting sqref="J1010:N1010">
    <cfRule type="cellIs" dxfId="11709" priority="11547" stopIfTrue="1" operator="equal">
      <formula>"Pass"</formula>
    </cfRule>
    <cfRule type="cellIs" dxfId="11708" priority="11548" stopIfTrue="1" operator="equal">
      <formula>"Fail"</formula>
    </cfRule>
  </conditionalFormatting>
  <conditionalFormatting sqref="A1009">
    <cfRule type="cellIs" dxfId="11707" priority="11545" stopIfTrue="1" operator="equal">
      <formula>"Pass"</formula>
    </cfRule>
    <cfRule type="cellIs" dxfId="11706" priority="11546" stopIfTrue="1" operator="equal">
      <formula>"Fail"</formula>
    </cfRule>
  </conditionalFormatting>
  <conditionalFormatting sqref="A1009">
    <cfRule type="cellIs" dxfId="11705" priority="11543" stopIfTrue="1" operator="equal">
      <formula>"Pass"</formula>
    </cfRule>
    <cfRule type="cellIs" dxfId="11704" priority="11544" stopIfTrue="1" operator="equal">
      <formula>"Fail"</formula>
    </cfRule>
  </conditionalFormatting>
  <conditionalFormatting sqref="A1009">
    <cfRule type="cellIs" dxfId="11703" priority="11541" stopIfTrue="1" operator="equal">
      <formula>"Pass"</formula>
    </cfRule>
    <cfRule type="cellIs" dxfId="11702" priority="11542" stopIfTrue="1" operator="equal">
      <formula>"Fail"</formula>
    </cfRule>
  </conditionalFormatting>
  <conditionalFormatting sqref="A1009">
    <cfRule type="cellIs" dxfId="11701" priority="11539" stopIfTrue="1" operator="equal">
      <formula>"Pass"</formula>
    </cfRule>
    <cfRule type="cellIs" dxfId="11700" priority="11540" stopIfTrue="1" operator="equal">
      <formula>"Fail"</formula>
    </cfRule>
  </conditionalFormatting>
  <conditionalFormatting sqref="A1009">
    <cfRule type="cellIs" dxfId="11699" priority="11537" stopIfTrue="1" operator="equal">
      <formula>"Pass"</formula>
    </cfRule>
    <cfRule type="cellIs" dxfId="11698" priority="11538" stopIfTrue="1" operator="equal">
      <formula>"Fail"</formula>
    </cfRule>
  </conditionalFormatting>
  <conditionalFormatting sqref="A1009">
    <cfRule type="cellIs" dxfId="11697" priority="11535" stopIfTrue="1" operator="equal">
      <formula>"Pass"</formula>
    </cfRule>
    <cfRule type="cellIs" dxfId="11696" priority="11536" stopIfTrue="1" operator="equal">
      <formula>"Fail"</formula>
    </cfRule>
  </conditionalFormatting>
  <conditionalFormatting sqref="A1009">
    <cfRule type="cellIs" dxfId="11695" priority="11533" stopIfTrue="1" operator="equal">
      <formula>"Pass"</formula>
    </cfRule>
    <cfRule type="cellIs" dxfId="11694" priority="11534" stopIfTrue="1" operator="equal">
      <formula>"Fail"</formula>
    </cfRule>
  </conditionalFormatting>
  <conditionalFormatting sqref="A1009">
    <cfRule type="cellIs" dxfId="11693" priority="11531" stopIfTrue="1" operator="equal">
      <formula>"Pass"</formula>
    </cfRule>
    <cfRule type="cellIs" dxfId="11692" priority="11532" stopIfTrue="1" operator="equal">
      <formula>"Fail"</formula>
    </cfRule>
  </conditionalFormatting>
  <conditionalFormatting sqref="A1009">
    <cfRule type="cellIs" dxfId="11691" priority="11529" stopIfTrue="1" operator="equal">
      <formula>"Pass"</formula>
    </cfRule>
    <cfRule type="cellIs" dxfId="11690" priority="11530" stopIfTrue="1" operator="equal">
      <formula>"Fail"</formula>
    </cfRule>
  </conditionalFormatting>
  <conditionalFormatting sqref="A1009">
    <cfRule type="cellIs" dxfId="11689" priority="11527" stopIfTrue="1" operator="equal">
      <formula>"Pass"</formula>
    </cfRule>
    <cfRule type="cellIs" dxfId="11688" priority="11528" stopIfTrue="1" operator="equal">
      <formula>"Fail"</formula>
    </cfRule>
  </conditionalFormatting>
  <conditionalFormatting sqref="A1009">
    <cfRule type="cellIs" dxfId="11687" priority="11525" stopIfTrue="1" operator="equal">
      <formula>"Pass"</formula>
    </cfRule>
    <cfRule type="cellIs" dxfId="11686" priority="11526" stopIfTrue="1" operator="equal">
      <formula>"Fail"</formula>
    </cfRule>
  </conditionalFormatting>
  <conditionalFormatting sqref="A1009">
    <cfRule type="cellIs" dxfId="11685" priority="11523" stopIfTrue="1" operator="equal">
      <formula>"Pass"</formula>
    </cfRule>
    <cfRule type="cellIs" dxfId="11684" priority="11524" stopIfTrue="1" operator="equal">
      <formula>"Fail"</formula>
    </cfRule>
  </conditionalFormatting>
  <conditionalFormatting sqref="H1009:H1010">
    <cfRule type="cellIs" dxfId="11683" priority="11521" stopIfTrue="1" operator="equal">
      <formula>"Pass"</formula>
    </cfRule>
    <cfRule type="cellIs" dxfId="11682" priority="11522" stopIfTrue="1" operator="equal">
      <formula>"Fail"</formula>
    </cfRule>
  </conditionalFormatting>
  <conditionalFormatting sqref="F1009 F1011 I1009:M1010">
    <cfRule type="cellIs" dxfId="11681" priority="11519" stopIfTrue="1" operator="equal">
      <formula>"Pass"</formula>
    </cfRule>
    <cfRule type="cellIs" dxfId="11680" priority="11520" stopIfTrue="1" operator="equal">
      <formula>"Fail"</formula>
    </cfRule>
  </conditionalFormatting>
  <conditionalFormatting sqref="T1011 T1009 R1009:R1011 S1010:S1011">
    <cfRule type="cellIs" dxfId="11679" priority="11517" stopIfTrue="1" operator="equal">
      <formula>"Fail"</formula>
    </cfRule>
    <cfRule type="cellIs" dxfId="11678" priority="11518" stopIfTrue="1" operator="equal">
      <formula>"Pass"</formula>
    </cfRule>
  </conditionalFormatting>
  <conditionalFormatting sqref="F1009:G1009 F1011:G1011 J1009:N1010">
    <cfRule type="cellIs" dxfId="11677" priority="11515" stopIfTrue="1" operator="equal">
      <formula>"Pass"</formula>
    </cfRule>
    <cfRule type="cellIs" dxfId="11676" priority="11516" stopIfTrue="1" operator="equal">
      <formula>"Fail"</formula>
    </cfRule>
  </conditionalFormatting>
  <conditionalFormatting sqref="U1011 T1009:T1011 S1010:S1011">
    <cfRule type="cellIs" dxfId="11675" priority="11513" stopIfTrue="1" operator="equal">
      <formula>"Fail"</formula>
    </cfRule>
    <cfRule type="cellIs" dxfId="11674" priority="11514" stopIfTrue="1" operator="equal">
      <formula>"Pass"</formula>
    </cfRule>
  </conditionalFormatting>
  <conditionalFormatting sqref="U1009">
    <cfRule type="cellIs" dxfId="11673" priority="11511" stopIfTrue="1" operator="equal">
      <formula>"Fail"</formula>
    </cfRule>
    <cfRule type="cellIs" dxfId="11672" priority="11512" stopIfTrue="1" operator="equal">
      <formula>"Pass"</formula>
    </cfRule>
  </conditionalFormatting>
  <conditionalFormatting sqref="F1009:G1009 J1009:N1009">
    <cfRule type="cellIs" dxfId="11671" priority="11509" stopIfTrue="1" operator="equal">
      <formula>"Pass"</formula>
    </cfRule>
    <cfRule type="cellIs" dxfId="11670" priority="11510" stopIfTrue="1" operator="equal">
      <formula>"Fail"</formula>
    </cfRule>
  </conditionalFormatting>
  <conditionalFormatting sqref="J1010:N1010">
    <cfRule type="cellIs" dxfId="11669" priority="11507" stopIfTrue="1" operator="equal">
      <formula>"Pass"</formula>
    </cfRule>
    <cfRule type="cellIs" dxfId="11668" priority="11508" stopIfTrue="1" operator="equal">
      <formula>"Fail"</formula>
    </cfRule>
  </conditionalFormatting>
  <conditionalFormatting sqref="H1009:H1010">
    <cfRule type="cellIs" dxfId="11667" priority="11505" stopIfTrue="1" operator="equal">
      <formula>"Pass"</formula>
    </cfRule>
    <cfRule type="cellIs" dxfId="11666" priority="11506" stopIfTrue="1" operator="equal">
      <formula>"Fail"</formula>
    </cfRule>
  </conditionalFormatting>
  <conditionalFormatting sqref="F1009 F1011 I1009:M1010">
    <cfRule type="cellIs" dxfId="11665" priority="11503" stopIfTrue="1" operator="equal">
      <formula>"Pass"</formula>
    </cfRule>
    <cfRule type="cellIs" dxfId="11664" priority="11504" stopIfTrue="1" operator="equal">
      <formula>"Fail"</formula>
    </cfRule>
  </conditionalFormatting>
  <conditionalFormatting sqref="T1011 T1009 R1009:R1011 S1010:S1011">
    <cfRule type="cellIs" dxfId="11663" priority="11501" stopIfTrue="1" operator="equal">
      <formula>"Fail"</formula>
    </cfRule>
    <cfRule type="cellIs" dxfId="11662" priority="11502" stopIfTrue="1" operator="equal">
      <formula>"Pass"</formula>
    </cfRule>
  </conditionalFormatting>
  <conditionalFormatting sqref="F1009:G1009 F1011:G1011 J1009:N1010">
    <cfRule type="cellIs" dxfId="11661" priority="11499" stopIfTrue="1" operator="equal">
      <formula>"Pass"</formula>
    </cfRule>
    <cfRule type="cellIs" dxfId="11660" priority="11500" stopIfTrue="1" operator="equal">
      <formula>"Fail"</formula>
    </cfRule>
  </conditionalFormatting>
  <conditionalFormatting sqref="U1011 T1009:T1011 S1010:S1011">
    <cfRule type="cellIs" dxfId="11659" priority="11497" stopIfTrue="1" operator="equal">
      <formula>"Fail"</formula>
    </cfRule>
    <cfRule type="cellIs" dxfId="11658" priority="11498" stopIfTrue="1" operator="equal">
      <formula>"Pass"</formula>
    </cfRule>
  </conditionalFormatting>
  <conditionalFormatting sqref="U1009">
    <cfRule type="cellIs" dxfId="11657" priority="11495" stopIfTrue="1" operator="equal">
      <formula>"Fail"</formula>
    </cfRule>
    <cfRule type="cellIs" dxfId="11656" priority="11496" stopIfTrue="1" operator="equal">
      <formula>"Pass"</formula>
    </cfRule>
  </conditionalFormatting>
  <conditionalFormatting sqref="F1009:G1009 J1009:N1009">
    <cfRule type="cellIs" dxfId="11655" priority="11493" stopIfTrue="1" operator="equal">
      <formula>"Pass"</formula>
    </cfRule>
    <cfRule type="cellIs" dxfId="11654" priority="11494" stopIfTrue="1" operator="equal">
      <formula>"Fail"</formula>
    </cfRule>
  </conditionalFormatting>
  <conditionalFormatting sqref="J1010:N1010">
    <cfRule type="cellIs" dxfId="11653" priority="11491" stopIfTrue="1" operator="equal">
      <formula>"Pass"</formula>
    </cfRule>
    <cfRule type="cellIs" dxfId="11652" priority="11492" stopIfTrue="1" operator="equal">
      <formula>"Fail"</formula>
    </cfRule>
  </conditionalFormatting>
  <conditionalFormatting sqref="U1009">
    <cfRule type="cellIs" dxfId="11651" priority="11489" stopIfTrue="1" operator="equal">
      <formula>"Fail"</formula>
    </cfRule>
    <cfRule type="cellIs" dxfId="11650" priority="11490" stopIfTrue="1" operator="equal">
      <formula>"Pass"</formula>
    </cfRule>
  </conditionalFormatting>
  <conditionalFormatting sqref="U1009">
    <cfRule type="cellIs" dxfId="11649" priority="11487" stopIfTrue="1" operator="equal">
      <formula>"Fail"</formula>
    </cfRule>
    <cfRule type="cellIs" dxfId="11648" priority="11488" stopIfTrue="1" operator="equal">
      <formula>"Pass"</formula>
    </cfRule>
  </conditionalFormatting>
  <conditionalFormatting sqref="U1009">
    <cfRule type="cellIs" dxfId="11647" priority="11485" stopIfTrue="1" operator="equal">
      <formula>"Fail"</formula>
    </cfRule>
    <cfRule type="cellIs" dxfId="11646" priority="11486" stopIfTrue="1" operator="equal">
      <formula>"Pass"</formula>
    </cfRule>
  </conditionalFormatting>
  <conditionalFormatting sqref="N1009">
    <cfRule type="cellIs" dxfId="11645" priority="11483" stopIfTrue="1" operator="equal">
      <formula>"Pass"</formula>
    </cfRule>
    <cfRule type="cellIs" dxfId="11644" priority="11484" stopIfTrue="1" operator="equal">
      <formula>"Fail"</formula>
    </cfRule>
  </conditionalFormatting>
  <conditionalFormatting sqref="N1009">
    <cfRule type="cellIs" dxfId="11643" priority="11481" stopIfTrue="1" operator="equal">
      <formula>"Pass"</formula>
    </cfRule>
    <cfRule type="cellIs" dxfId="11642" priority="11482" stopIfTrue="1" operator="equal">
      <formula>"Fail"</formula>
    </cfRule>
  </conditionalFormatting>
  <conditionalFormatting sqref="N1009">
    <cfRule type="cellIs" dxfId="11641" priority="11479" stopIfTrue="1" operator="equal">
      <formula>"Pass"</formula>
    </cfRule>
    <cfRule type="cellIs" dxfId="11640" priority="11480" stopIfTrue="1" operator="equal">
      <formula>"Fail"</formula>
    </cfRule>
  </conditionalFormatting>
  <conditionalFormatting sqref="A1009">
    <cfRule type="cellIs" dxfId="11639" priority="11477" stopIfTrue="1" operator="equal">
      <formula>"Pass"</formula>
    </cfRule>
    <cfRule type="cellIs" dxfId="11638" priority="11478" stopIfTrue="1" operator="equal">
      <formula>"Fail"</formula>
    </cfRule>
  </conditionalFormatting>
  <conditionalFormatting sqref="A1009">
    <cfRule type="cellIs" dxfId="11637" priority="11475" stopIfTrue="1" operator="equal">
      <formula>"Pass"</formula>
    </cfRule>
    <cfRule type="cellIs" dxfId="11636" priority="11476" stopIfTrue="1" operator="equal">
      <formula>"Fail"</formula>
    </cfRule>
  </conditionalFormatting>
  <conditionalFormatting sqref="A1009">
    <cfRule type="cellIs" dxfId="11635" priority="11473" stopIfTrue="1" operator="equal">
      <formula>"Pass"</formula>
    </cfRule>
    <cfRule type="cellIs" dxfId="11634" priority="11474" stopIfTrue="1" operator="equal">
      <formula>"Fail"</formula>
    </cfRule>
  </conditionalFormatting>
  <conditionalFormatting sqref="A1009">
    <cfRule type="cellIs" dxfId="11633" priority="11471" stopIfTrue="1" operator="equal">
      <formula>"Pass"</formula>
    </cfRule>
    <cfRule type="cellIs" dxfId="11632" priority="11472" stopIfTrue="1" operator="equal">
      <formula>"Fail"</formula>
    </cfRule>
  </conditionalFormatting>
  <conditionalFormatting sqref="A1009">
    <cfRule type="cellIs" dxfId="11631" priority="11469" stopIfTrue="1" operator="equal">
      <formula>"Pass"</formula>
    </cfRule>
    <cfRule type="cellIs" dxfId="11630" priority="11470" stopIfTrue="1" operator="equal">
      <formula>"Fail"</formula>
    </cfRule>
  </conditionalFormatting>
  <conditionalFormatting sqref="A1009">
    <cfRule type="cellIs" dxfId="11629" priority="11467" stopIfTrue="1" operator="equal">
      <formula>"Pass"</formula>
    </cfRule>
    <cfRule type="cellIs" dxfId="11628" priority="11468" stopIfTrue="1" operator="equal">
      <formula>"Fail"</formula>
    </cfRule>
  </conditionalFormatting>
  <conditionalFormatting sqref="A1009">
    <cfRule type="cellIs" dxfId="11627" priority="11465" stopIfTrue="1" operator="equal">
      <formula>"Pass"</formula>
    </cfRule>
    <cfRule type="cellIs" dxfId="11626" priority="11466" stopIfTrue="1" operator="equal">
      <formula>"Fail"</formula>
    </cfRule>
  </conditionalFormatting>
  <conditionalFormatting sqref="A1009">
    <cfRule type="cellIs" dxfId="11625" priority="11463" stopIfTrue="1" operator="equal">
      <formula>"Pass"</formula>
    </cfRule>
    <cfRule type="cellIs" dxfId="11624" priority="11464" stopIfTrue="1" operator="equal">
      <formula>"Fail"</formula>
    </cfRule>
  </conditionalFormatting>
  <conditionalFormatting sqref="A1009">
    <cfRule type="cellIs" dxfId="11623" priority="11461" stopIfTrue="1" operator="equal">
      <formula>"Pass"</formula>
    </cfRule>
    <cfRule type="cellIs" dxfId="11622" priority="11462" stopIfTrue="1" operator="equal">
      <formula>"Fail"</formula>
    </cfRule>
  </conditionalFormatting>
  <conditionalFormatting sqref="A1009">
    <cfRule type="cellIs" dxfId="11621" priority="11459" stopIfTrue="1" operator="equal">
      <formula>"Pass"</formula>
    </cfRule>
    <cfRule type="cellIs" dxfId="11620" priority="11460" stopIfTrue="1" operator="equal">
      <formula>"Fail"</formula>
    </cfRule>
  </conditionalFormatting>
  <conditionalFormatting sqref="A1009">
    <cfRule type="cellIs" dxfId="11619" priority="11457" stopIfTrue="1" operator="equal">
      <formula>"Pass"</formula>
    </cfRule>
    <cfRule type="cellIs" dxfId="11618" priority="11458" stopIfTrue="1" operator="equal">
      <formula>"Fail"</formula>
    </cfRule>
  </conditionalFormatting>
  <conditionalFormatting sqref="A1009">
    <cfRule type="cellIs" dxfId="11617" priority="11455" stopIfTrue="1" operator="equal">
      <formula>"Pass"</formula>
    </cfRule>
    <cfRule type="cellIs" dxfId="11616" priority="11456" stopIfTrue="1" operator="equal">
      <formula>"Fail"</formula>
    </cfRule>
  </conditionalFormatting>
  <conditionalFormatting sqref="A1009">
    <cfRule type="cellIs" dxfId="11615" priority="11453" stopIfTrue="1" operator="equal">
      <formula>"Pass"</formula>
    </cfRule>
    <cfRule type="cellIs" dxfId="11614" priority="11454" stopIfTrue="1" operator="equal">
      <formula>"Fail"</formula>
    </cfRule>
  </conditionalFormatting>
  <conditionalFormatting sqref="A1009">
    <cfRule type="cellIs" dxfId="11613" priority="11451" stopIfTrue="1" operator="equal">
      <formula>"Pass"</formula>
    </cfRule>
    <cfRule type="cellIs" dxfId="11612" priority="11452" stopIfTrue="1" operator="equal">
      <formula>"Fail"</formula>
    </cfRule>
  </conditionalFormatting>
  <conditionalFormatting sqref="A1009">
    <cfRule type="cellIs" dxfId="11611" priority="11449" stopIfTrue="1" operator="equal">
      <formula>"Pass"</formula>
    </cfRule>
    <cfRule type="cellIs" dxfId="11610" priority="11450" stopIfTrue="1" operator="equal">
      <formula>"Fail"</formula>
    </cfRule>
  </conditionalFormatting>
  <conditionalFormatting sqref="A1009">
    <cfRule type="cellIs" dxfId="11609" priority="11447" stopIfTrue="1" operator="equal">
      <formula>"Pass"</formula>
    </cfRule>
    <cfRule type="cellIs" dxfId="11608" priority="11448" stopIfTrue="1" operator="equal">
      <formula>"Fail"</formula>
    </cfRule>
  </conditionalFormatting>
  <conditionalFormatting sqref="A1009">
    <cfRule type="cellIs" dxfId="11607" priority="11445" stopIfTrue="1" operator="equal">
      <formula>"Pass"</formula>
    </cfRule>
    <cfRule type="cellIs" dxfId="11606" priority="11446" stopIfTrue="1" operator="equal">
      <formula>"Fail"</formula>
    </cfRule>
  </conditionalFormatting>
  <conditionalFormatting sqref="A1009">
    <cfRule type="cellIs" dxfId="11605" priority="11443" stopIfTrue="1" operator="equal">
      <formula>"Pass"</formula>
    </cfRule>
    <cfRule type="cellIs" dxfId="11604" priority="11444" stopIfTrue="1" operator="equal">
      <formula>"Fail"</formula>
    </cfRule>
  </conditionalFormatting>
  <conditionalFormatting sqref="H1009:H1010">
    <cfRule type="cellIs" dxfId="11603" priority="11441" stopIfTrue="1" operator="equal">
      <formula>"Pass"</formula>
    </cfRule>
    <cfRule type="cellIs" dxfId="11602" priority="11442" stopIfTrue="1" operator="equal">
      <formula>"Fail"</formula>
    </cfRule>
  </conditionalFormatting>
  <conditionalFormatting sqref="F1009 F1011 I1009:M1010">
    <cfRule type="cellIs" dxfId="11601" priority="11439" stopIfTrue="1" operator="equal">
      <formula>"Pass"</formula>
    </cfRule>
    <cfRule type="cellIs" dxfId="11600" priority="11440" stopIfTrue="1" operator="equal">
      <formula>"Fail"</formula>
    </cfRule>
  </conditionalFormatting>
  <conditionalFormatting sqref="T1011 T1009 R1009:R1011 S1010:S1011">
    <cfRule type="cellIs" dxfId="11599" priority="11437" stopIfTrue="1" operator="equal">
      <formula>"Fail"</formula>
    </cfRule>
    <cfRule type="cellIs" dxfId="11598" priority="11438" stopIfTrue="1" operator="equal">
      <formula>"Pass"</formula>
    </cfRule>
  </conditionalFormatting>
  <conditionalFormatting sqref="F1009:G1009 F1011:G1011 J1009:N1010">
    <cfRule type="cellIs" dxfId="11597" priority="11435" stopIfTrue="1" operator="equal">
      <formula>"Pass"</formula>
    </cfRule>
    <cfRule type="cellIs" dxfId="11596" priority="11436" stopIfTrue="1" operator="equal">
      <formula>"Fail"</formula>
    </cfRule>
  </conditionalFormatting>
  <conditionalFormatting sqref="U1011 T1009:T1011 S1010:S1011">
    <cfRule type="cellIs" dxfId="11595" priority="11433" stopIfTrue="1" operator="equal">
      <formula>"Fail"</formula>
    </cfRule>
    <cfRule type="cellIs" dxfId="11594" priority="11434" stopIfTrue="1" operator="equal">
      <formula>"Pass"</formula>
    </cfRule>
  </conditionalFormatting>
  <conditionalFormatting sqref="U1009">
    <cfRule type="cellIs" dxfId="11593" priority="11431" stopIfTrue="1" operator="equal">
      <formula>"Fail"</formula>
    </cfRule>
    <cfRule type="cellIs" dxfId="11592" priority="11432" stopIfTrue="1" operator="equal">
      <formula>"Pass"</formula>
    </cfRule>
  </conditionalFormatting>
  <conditionalFormatting sqref="F1009:G1009 J1009:N1009">
    <cfRule type="cellIs" dxfId="11591" priority="11429" stopIfTrue="1" operator="equal">
      <formula>"Pass"</formula>
    </cfRule>
    <cfRule type="cellIs" dxfId="11590" priority="11430" stopIfTrue="1" operator="equal">
      <formula>"Fail"</formula>
    </cfRule>
  </conditionalFormatting>
  <conditionalFormatting sqref="J1010:N1010">
    <cfRule type="cellIs" dxfId="11589" priority="11427" stopIfTrue="1" operator="equal">
      <formula>"Pass"</formula>
    </cfRule>
    <cfRule type="cellIs" dxfId="11588" priority="11428" stopIfTrue="1" operator="equal">
      <formula>"Fail"</formula>
    </cfRule>
  </conditionalFormatting>
  <conditionalFormatting sqref="H1009:H1010">
    <cfRule type="cellIs" dxfId="11587" priority="11425" stopIfTrue="1" operator="equal">
      <formula>"Pass"</formula>
    </cfRule>
    <cfRule type="cellIs" dxfId="11586" priority="11426" stopIfTrue="1" operator="equal">
      <formula>"Fail"</formula>
    </cfRule>
  </conditionalFormatting>
  <conditionalFormatting sqref="F1009 F1011 I1009:M1010">
    <cfRule type="cellIs" dxfId="11585" priority="11423" stopIfTrue="1" operator="equal">
      <formula>"Pass"</formula>
    </cfRule>
    <cfRule type="cellIs" dxfId="11584" priority="11424" stopIfTrue="1" operator="equal">
      <formula>"Fail"</formula>
    </cfRule>
  </conditionalFormatting>
  <conditionalFormatting sqref="T1011 T1009 R1009:R1011 S1010:S1011">
    <cfRule type="cellIs" dxfId="11583" priority="11421" stopIfTrue="1" operator="equal">
      <formula>"Fail"</formula>
    </cfRule>
    <cfRule type="cellIs" dxfId="11582" priority="11422" stopIfTrue="1" operator="equal">
      <formula>"Pass"</formula>
    </cfRule>
  </conditionalFormatting>
  <conditionalFormatting sqref="F1009:G1009 F1011:G1011 J1009:N1010">
    <cfRule type="cellIs" dxfId="11581" priority="11419" stopIfTrue="1" operator="equal">
      <formula>"Pass"</formula>
    </cfRule>
    <cfRule type="cellIs" dxfId="11580" priority="11420" stopIfTrue="1" operator="equal">
      <formula>"Fail"</formula>
    </cfRule>
  </conditionalFormatting>
  <conditionalFormatting sqref="U1011 T1009:T1011 S1010:S1011">
    <cfRule type="cellIs" dxfId="11579" priority="11417" stopIfTrue="1" operator="equal">
      <formula>"Fail"</formula>
    </cfRule>
    <cfRule type="cellIs" dxfId="11578" priority="11418" stopIfTrue="1" operator="equal">
      <formula>"Pass"</formula>
    </cfRule>
  </conditionalFormatting>
  <conditionalFormatting sqref="U1009">
    <cfRule type="cellIs" dxfId="11577" priority="11415" stopIfTrue="1" operator="equal">
      <formula>"Fail"</formula>
    </cfRule>
    <cfRule type="cellIs" dxfId="11576" priority="11416" stopIfTrue="1" operator="equal">
      <formula>"Pass"</formula>
    </cfRule>
  </conditionalFormatting>
  <conditionalFormatting sqref="F1009:G1009 J1009:N1009">
    <cfRule type="cellIs" dxfId="11575" priority="11413" stopIfTrue="1" operator="equal">
      <formula>"Pass"</formula>
    </cfRule>
    <cfRule type="cellIs" dxfId="11574" priority="11414" stopIfTrue="1" operator="equal">
      <formula>"Fail"</formula>
    </cfRule>
  </conditionalFormatting>
  <conditionalFormatting sqref="J1010:N1010">
    <cfRule type="cellIs" dxfId="11573" priority="11411" stopIfTrue="1" operator="equal">
      <formula>"Pass"</formula>
    </cfRule>
    <cfRule type="cellIs" dxfId="11572" priority="11412" stopIfTrue="1" operator="equal">
      <formula>"Fail"</formula>
    </cfRule>
  </conditionalFormatting>
  <conditionalFormatting sqref="H1009:H1010">
    <cfRule type="cellIs" dxfId="11571" priority="11409" stopIfTrue="1" operator="equal">
      <formula>"Pass"</formula>
    </cfRule>
    <cfRule type="cellIs" dxfId="11570" priority="11410" stopIfTrue="1" operator="equal">
      <formula>"Fail"</formula>
    </cfRule>
  </conditionalFormatting>
  <conditionalFormatting sqref="F1009 F1011 I1009:M1010">
    <cfRule type="cellIs" dxfId="11569" priority="11407" stopIfTrue="1" operator="equal">
      <formula>"Pass"</formula>
    </cfRule>
    <cfRule type="cellIs" dxfId="11568" priority="11408" stopIfTrue="1" operator="equal">
      <formula>"Fail"</formula>
    </cfRule>
  </conditionalFormatting>
  <conditionalFormatting sqref="T1011 T1009 R1009:R1011 S1010:S1011">
    <cfRule type="cellIs" dxfId="11567" priority="11405" stopIfTrue="1" operator="equal">
      <formula>"Fail"</formula>
    </cfRule>
    <cfRule type="cellIs" dxfId="11566" priority="11406" stopIfTrue="1" operator="equal">
      <formula>"Pass"</formula>
    </cfRule>
  </conditionalFormatting>
  <conditionalFormatting sqref="F1009:G1009 F1011:G1011 J1009:N1010">
    <cfRule type="cellIs" dxfId="11565" priority="11403" stopIfTrue="1" operator="equal">
      <formula>"Pass"</formula>
    </cfRule>
    <cfRule type="cellIs" dxfId="11564" priority="11404" stopIfTrue="1" operator="equal">
      <formula>"Fail"</formula>
    </cfRule>
  </conditionalFormatting>
  <conditionalFormatting sqref="U1011 T1009:T1011 S1010:S1011">
    <cfRule type="cellIs" dxfId="11563" priority="11401" stopIfTrue="1" operator="equal">
      <formula>"Fail"</formula>
    </cfRule>
    <cfRule type="cellIs" dxfId="11562" priority="11402" stopIfTrue="1" operator="equal">
      <formula>"Pass"</formula>
    </cfRule>
  </conditionalFormatting>
  <conditionalFormatting sqref="U1009">
    <cfRule type="cellIs" dxfId="11561" priority="11399" stopIfTrue="1" operator="equal">
      <formula>"Fail"</formula>
    </cfRule>
    <cfRule type="cellIs" dxfId="11560" priority="11400" stopIfTrue="1" operator="equal">
      <formula>"Pass"</formula>
    </cfRule>
  </conditionalFormatting>
  <conditionalFormatting sqref="F1009:G1009 J1009:N1009">
    <cfRule type="cellIs" dxfId="11559" priority="11397" stopIfTrue="1" operator="equal">
      <formula>"Pass"</formula>
    </cfRule>
    <cfRule type="cellIs" dxfId="11558" priority="11398" stopIfTrue="1" operator="equal">
      <formula>"Fail"</formula>
    </cfRule>
  </conditionalFormatting>
  <conditionalFormatting sqref="J1010:N1010">
    <cfRule type="cellIs" dxfId="11557" priority="11395" stopIfTrue="1" operator="equal">
      <formula>"Pass"</formula>
    </cfRule>
    <cfRule type="cellIs" dxfId="11556" priority="11396" stopIfTrue="1" operator="equal">
      <formula>"Fail"</formula>
    </cfRule>
  </conditionalFormatting>
  <conditionalFormatting sqref="U1009">
    <cfRule type="cellIs" dxfId="11555" priority="11393" stopIfTrue="1" operator="equal">
      <formula>"Fail"</formula>
    </cfRule>
    <cfRule type="cellIs" dxfId="11554" priority="11394" stopIfTrue="1" operator="equal">
      <formula>"Pass"</formula>
    </cfRule>
  </conditionalFormatting>
  <conditionalFormatting sqref="U1009">
    <cfRule type="cellIs" dxfId="11553" priority="11391" stopIfTrue="1" operator="equal">
      <formula>"Fail"</formula>
    </cfRule>
    <cfRule type="cellIs" dxfId="11552" priority="11392" stopIfTrue="1" operator="equal">
      <formula>"Pass"</formula>
    </cfRule>
  </conditionalFormatting>
  <conditionalFormatting sqref="U1009">
    <cfRule type="cellIs" dxfId="11551" priority="11389" stopIfTrue="1" operator="equal">
      <formula>"Fail"</formula>
    </cfRule>
    <cfRule type="cellIs" dxfId="11550" priority="11390" stopIfTrue="1" operator="equal">
      <formula>"Pass"</formula>
    </cfRule>
  </conditionalFormatting>
  <conditionalFormatting sqref="N1009">
    <cfRule type="cellIs" dxfId="11549" priority="11387" stopIfTrue="1" operator="equal">
      <formula>"Pass"</formula>
    </cfRule>
    <cfRule type="cellIs" dxfId="11548" priority="11388" stopIfTrue="1" operator="equal">
      <formula>"Fail"</formula>
    </cfRule>
  </conditionalFormatting>
  <conditionalFormatting sqref="N1009">
    <cfRule type="cellIs" dxfId="11547" priority="11385" stopIfTrue="1" operator="equal">
      <formula>"Pass"</formula>
    </cfRule>
    <cfRule type="cellIs" dxfId="11546" priority="11386" stopIfTrue="1" operator="equal">
      <formula>"Fail"</formula>
    </cfRule>
  </conditionalFormatting>
  <conditionalFormatting sqref="N1009">
    <cfRule type="cellIs" dxfId="11545" priority="11383" stopIfTrue="1" operator="equal">
      <formula>"Pass"</formula>
    </cfRule>
    <cfRule type="cellIs" dxfId="11544" priority="11384" stopIfTrue="1" operator="equal">
      <formula>"Fail"</formula>
    </cfRule>
  </conditionalFormatting>
  <conditionalFormatting sqref="U1009">
    <cfRule type="cellIs" dxfId="11543" priority="11381" stopIfTrue="1" operator="equal">
      <formula>"Fail"</formula>
    </cfRule>
    <cfRule type="cellIs" dxfId="11542" priority="11382" stopIfTrue="1" operator="equal">
      <formula>"Pass"</formula>
    </cfRule>
  </conditionalFormatting>
  <conditionalFormatting sqref="U1009">
    <cfRule type="cellIs" dxfId="11541" priority="11379" stopIfTrue="1" operator="equal">
      <formula>"Fail"</formula>
    </cfRule>
    <cfRule type="cellIs" dxfId="11540" priority="11380" stopIfTrue="1" operator="equal">
      <formula>"Pass"</formula>
    </cfRule>
  </conditionalFormatting>
  <conditionalFormatting sqref="U1009">
    <cfRule type="cellIs" dxfId="11539" priority="11377" stopIfTrue="1" operator="equal">
      <formula>"Fail"</formula>
    </cfRule>
    <cfRule type="cellIs" dxfId="11538" priority="11378" stopIfTrue="1" operator="equal">
      <formula>"Pass"</formula>
    </cfRule>
  </conditionalFormatting>
  <conditionalFormatting sqref="U1009">
    <cfRule type="cellIs" dxfId="11537" priority="11375" stopIfTrue="1" operator="equal">
      <formula>"Fail"</formula>
    </cfRule>
    <cfRule type="cellIs" dxfId="11536" priority="11376" stopIfTrue="1" operator="equal">
      <formula>"Pass"</formula>
    </cfRule>
  </conditionalFormatting>
  <conditionalFormatting sqref="T1009">
    <cfRule type="cellIs" dxfId="11535" priority="11373" stopIfTrue="1" operator="equal">
      <formula>"Fail"</formula>
    </cfRule>
    <cfRule type="cellIs" dxfId="11534" priority="11374" stopIfTrue="1" operator="equal">
      <formula>"Pass"</formula>
    </cfRule>
  </conditionalFormatting>
  <conditionalFormatting sqref="T1009">
    <cfRule type="cellIs" dxfId="11533" priority="11371" stopIfTrue="1" operator="equal">
      <formula>"Fail"</formula>
    </cfRule>
    <cfRule type="cellIs" dxfId="11532" priority="11372" stopIfTrue="1" operator="equal">
      <formula>"Pass"</formula>
    </cfRule>
  </conditionalFormatting>
  <conditionalFormatting sqref="T1009">
    <cfRule type="cellIs" dxfId="11531" priority="11369" stopIfTrue="1" operator="equal">
      <formula>"Fail"</formula>
    </cfRule>
    <cfRule type="cellIs" dxfId="11530" priority="11370" stopIfTrue="1" operator="equal">
      <formula>"Pass"</formula>
    </cfRule>
  </conditionalFormatting>
  <conditionalFormatting sqref="T1009">
    <cfRule type="cellIs" dxfId="11529" priority="11367" stopIfTrue="1" operator="equal">
      <formula>"Fail"</formula>
    </cfRule>
    <cfRule type="cellIs" dxfId="11528" priority="11368" stopIfTrue="1" operator="equal">
      <formula>"Pass"</formula>
    </cfRule>
  </conditionalFormatting>
  <conditionalFormatting sqref="T1009">
    <cfRule type="cellIs" dxfId="11527" priority="11365" stopIfTrue="1" operator="equal">
      <formula>"Fail"</formula>
    </cfRule>
    <cfRule type="cellIs" dxfId="11526" priority="11366" stopIfTrue="1" operator="equal">
      <formula>"Pass"</formula>
    </cfRule>
  </conditionalFormatting>
  <conditionalFormatting sqref="T1009">
    <cfRule type="cellIs" dxfId="11525" priority="11363" stopIfTrue="1" operator="equal">
      <formula>"Fail"</formula>
    </cfRule>
    <cfRule type="cellIs" dxfId="11524" priority="11364" stopIfTrue="1" operator="equal">
      <formula>"Pass"</formula>
    </cfRule>
  </conditionalFormatting>
  <conditionalFormatting sqref="T1009">
    <cfRule type="cellIs" dxfId="11523" priority="11361" stopIfTrue="1" operator="equal">
      <formula>"Fail"</formula>
    </cfRule>
    <cfRule type="cellIs" dxfId="11522" priority="11362" stopIfTrue="1" operator="equal">
      <formula>"Pass"</formula>
    </cfRule>
  </conditionalFormatting>
  <conditionalFormatting sqref="T1009">
    <cfRule type="cellIs" dxfId="11521" priority="11359" stopIfTrue="1" operator="equal">
      <formula>"Fail"</formula>
    </cfRule>
    <cfRule type="cellIs" dxfId="11520" priority="11360" stopIfTrue="1" operator="equal">
      <formula>"Pass"</formula>
    </cfRule>
  </conditionalFormatting>
  <conditionalFormatting sqref="T1009">
    <cfRule type="cellIs" dxfId="11519" priority="11357" stopIfTrue="1" operator="equal">
      <formula>"Fail"</formula>
    </cfRule>
    <cfRule type="cellIs" dxfId="11518" priority="11358" stopIfTrue="1" operator="equal">
      <formula>"Pass"</formula>
    </cfRule>
  </conditionalFormatting>
  <conditionalFormatting sqref="T1009">
    <cfRule type="cellIs" dxfId="11517" priority="11355" stopIfTrue="1" operator="equal">
      <formula>"Fail"</formula>
    </cfRule>
    <cfRule type="cellIs" dxfId="11516" priority="11356" stopIfTrue="1" operator="equal">
      <formula>"Pass"</formula>
    </cfRule>
  </conditionalFormatting>
  <conditionalFormatting sqref="T1009">
    <cfRule type="cellIs" dxfId="11515" priority="11353" stopIfTrue="1" operator="equal">
      <formula>"Fail"</formula>
    </cfRule>
    <cfRule type="cellIs" dxfId="11514" priority="11354" stopIfTrue="1" operator="equal">
      <formula>"Pass"</formula>
    </cfRule>
  </conditionalFormatting>
  <conditionalFormatting sqref="T1009">
    <cfRule type="cellIs" dxfId="11513" priority="11351" stopIfTrue="1" operator="equal">
      <formula>"Fail"</formula>
    </cfRule>
    <cfRule type="cellIs" dxfId="11512" priority="11352" stopIfTrue="1" operator="equal">
      <formula>"Pass"</formula>
    </cfRule>
  </conditionalFormatting>
  <conditionalFormatting sqref="T1009">
    <cfRule type="cellIs" dxfId="11511" priority="11349" stopIfTrue="1" operator="equal">
      <formula>"Fail"</formula>
    </cfRule>
    <cfRule type="cellIs" dxfId="11510" priority="11350" stopIfTrue="1" operator="equal">
      <formula>"Pass"</formula>
    </cfRule>
  </conditionalFormatting>
  <conditionalFormatting sqref="T1009">
    <cfRule type="cellIs" dxfId="11509" priority="11347" stopIfTrue="1" operator="equal">
      <formula>"Fail"</formula>
    </cfRule>
    <cfRule type="cellIs" dxfId="11508" priority="11348" stopIfTrue="1" operator="equal">
      <formula>"Pass"</formula>
    </cfRule>
  </conditionalFormatting>
  <conditionalFormatting sqref="T1009">
    <cfRule type="cellIs" dxfId="11507" priority="11345" stopIfTrue="1" operator="equal">
      <formula>"Fail"</formula>
    </cfRule>
    <cfRule type="cellIs" dxfId="11506" priority="11346" stopIfTrue="1" operator="equal">
      <formula>"Pass"</formula>
    </cfRule>
  </conditionalFormatting>
  <conditionalFormatting sqref="T1009">
    <cfRule type="cellIs" dxfId="11505" priority="11343" stopIfTrue="1" operator="equal">
      <formula>"Fail"</formula>
    </cfRule>
    <cfRule type="cellIs" dxfId="11504" priority="11344" stopIfTrue="1" operator="equal">
      <formula>"Pass"</formula>
    </cfRule>
  </conditionalFormatting>
  <conditionalFormatting sqref="T1009">
    <cfRule type="cellIs" dxfId="11503" priority="11341" stopIfTrue="1" operator="equal">
      <formula>"Fail"</formula>
    </cfRule>
    <cfRule type="cellIs" dxfId="11502" priority="11342" stopIfTrue="1" operator="equal">
      <formula>"Pass"</formula>
    </cfRule>
  </conditionalFormatting>
  <conditionalFormatting sqref="T1009">
    <cfRule type="cellIs" dxfId="11501" priority="11339" stopIfTrue="1" operator="equal">
      <formula>"Fail"</formula>
    </cfRule>
    <cfRule type="cellIs" dxfId="11500" priority="11340" stopIfTrue="1" operator="equal">
      <formula>"Pass"</formula>
    </cfRule>
  </conditionalFormatting>
  <conditionalFormatting sqref="T1009">
    <cfRule type="cellIs" dxfId="11499" priority="11337" stopIfTrue="1" operator="equal">
      <formula>"Fail"</formula>
    </cfRule>
    <cfRule type="cellIs" dxfId="11498" priority="11338" stopIfTrue="1" operator="equal">
      <formula>"Pass"</formula>
    </cfRule>
  </conditionalFormatting>
  <conditionalFormatting sqref="T1009">
    <cfRule type="cellIs" dxfId="11497" priority="11335" stopIfTrue="1" operator="equal">
      <formula>"Fail"</formula>
    </cfRule>
    <cfRule type="cellIs" dxfId="11496" priority="11336" stopIfTrue="1" operator="equal">
      <formula>"Pass"</formula>
    </cfRule>
  </conditionalFormatting>
  <conditionalFormatting sqref="T1009">
    <cfRule type="cellIs" dxfId="11495" priority="11333" stopIfTrue="1" operator="equal">
      <formula>"Fail"</formula>
    </cfRule>
    <cfRule type="cellIs" dxfId="11494" priority="11334" stopIfTrue="1" operator="equal">
      <formula>"Pass"</formula>
    </cfRule>
  </conditionalFormatting>
  <conditionalFormatting sqref="T1009">
    <cfRule type="cellIs" dxfId="11493" priority="11331" stopIfTrue="1" operator="equal">
      <formula>"Fail"</formula>
    </cfRule>
    <cfRule type="cellIs" dxfId="11492" priority="11332" stopIfTrue="1" operator="equal">
      <formula>"Pass"</formula>
    </cfRule>
  </conditionalFormatting>
  <conditionalFormatting sqref="T1009">
    <cfRule type="cellIs" dxfId="11491" priority="11329" stopIfTrue="1" operator="equal">
      <formula>"Fail"</formula>
    </cfRule>
    <cfRule type="cellIs" dxfId="11490" priority="11330" stopIfTrue="1" operator="equal">
      <formula>"Pass"</formula>
    </cfRule>
  </conditionalFormatting>
  <conditionalFormatting sqref="T1009">
    <cfRule type="cellIs" dxfId="11489" priority="11327" stopIfTrue="1" operator="equal">
      <formula>"Fail"</formula>
    </cfRule>
    <cfRule type="cellIs" dxfId="11488" priority="11328" stopIfTrue="1" operator="equal">
      <formula>"Pass"</formula>
    </cfRule>
  </conditionalFormatting>
  <conditionalFormatting sqref="H1009:H1010">
    <cfRule type="cellIs" dxfId="11487" priority="11325" stopIfTrue="1" operator="equal">
      <formula>"Pass"</formula>
    </cfRule>
    <cfRule type="cellIs" dxfId="11486" priority="11326" stopIfTrue="1" operator="equal">
      <formula>"Fail"</formula>
    </cfRule>
  </conditionalFormatting>
  <conditionalFormatting sqref="E1009:F1009 E1011:F1011 A1009:A1011 I1009:M1010">
    <cfRule type="cellIs" dxfId="11485" priority="11323" stopIfTrue="1" operator="equal">
      <formula>"Pass"</formula>
    </cfRule>
    <cfRule type="cellIs" dxfId="11484" priority="11324" stopIfTrue="1" operator="equal">
      <formula>"Fail"</formula>
    </cfRule>
  </conditionalFormatting>
  <conditionalFormatting sqref="T1011 T1009 R1009:R1011 S1010:S1011">
    <cfRule type="cellIs" dxfId="11483" priority="11321" stopIfTrue="1" operator="equal">
      <formula>"Fail"</formula>
    </cfRule>
    <cfRule type="cellIs" dxfId="11482" priority="11322" stopIfTrue="1" operator="equal">
      <formula>"Pass"</formula>
    </cfRule>
  </conditionalFormatting>
  <conditionalFormatting sqref="F1009:G1009 F1011:G1011 A1009:B1011 J1009:N1010">
    <cfRule type="cellIs" dxfId="11481" priority="11319" stopIfTrue="1" operator="equal">
      <formula>"Pass"</formula>
    </cfRule>
    <cfRule type="cellIs" dxfId="11480" priority="11320" stopIfTrue="1" operator="equal">
      <formula>"Fail"</formula>
    </cfRule>
  </conditionalFormatting>
  <conditionalFormatting sqref="U1011 U1009 T1009:T1011 S1010:S1011">
    <cfRule type="cellIs" dxfId="11479" priority="11317" stopIfTrue="1" operator="equal">
      <formula>"Fail"</formula>
    </cfRule>
    <cfRule type="cellIs" dxfId="11478" priority="11318" stopIfTrue="1" operator="equal">
      <formula>"Pass"</formula>
    </cfRule>
  </conditionalFormatting>
  <conditionalFormatting sqref="A1009:A1011">
    <cfRule type="cellIs" dxfId="11477" priority="11315" stopIfTrue="1" operator="equal">
      <formula>"Pass"</formula>
    </cfRule>
    <cfRule type="cellIs" dxfId="11476" priority="11316" stopIfTrue="1" operator="equal">
      <formula>"Fail"</formula>
    </cfRule>
  </conditionalFormatting>
  <conditionalFormatting sqref="A1009:A1011">
    <cfRule type="cellIs" dxfId="11475" priority="11313" stopIfTrue="1" operator="equal">
      <formula>"Pass"</formula>
    </cfRule>
    <cfRule type="cellIs" dxfId="11474" priority="11314" stopIfTrue="1" operator="equal">
      <formula>"Fail"</formula>
    </cfRule>
  </conditionalFormatting>
  <conditionalFormatting sqref="A1009:A1011">
    <cfRule type="cellIs" dxfId="11473" priority="11311" stopIfTrue="1" operator="equal">
      <formula>"Pass"</formula>
    </cfRule>
    <cfRule type="cellIs" dxfId="11472" priority="11312" stopIfTrue="1" operator="equal">
      <formula>"Fail"</formula>
    </cfRule>
  </conditionalFormatting>
  <conditionalFormatting sqref="J1009:N1010 E1009:G1011">
    <cfRule type="cellIs" dxfId="11471" priority="11309" stopIfTrue="1" operator="equal">
      <formula>"Pass"</formula>
    </cfRule>
    <cfRule type="cellIs" dxfId="11470" priority="11310" stopIfTrue="1" operator="equal">
      <formula>"Fail"</formula>
    </cfRule>
  </conditionalFormatting>
  <conditionalFormatting sqref="A1011 C1011 K1009:O1010 F1009:H1011">
    <cfRule type="cellIs" dxfId="11469" priority="11307" stopIfTrue="1" operator="equal">
      <formula>"Pass"</formula>
    </cfRule>
    <cfRule type="cellIs" dxfId="11468" priority="11308" stopIfTrue="1" operator="equal">
      <formula>"Fail"</formula>
    </cfRule>
  </conditionalFormatting>
  <conditionalFormatting sqref="T1009">
    <cfRule type="cellIs" dxfId="11467" priority="11305" stopIfTrue="1" operator="equal">
      <formula>"Fail"</formula>
    </cfRule>
    <cfRule type="cellIs" dxfId="11466" priority="11306" stopIfTrue="1" operator="equal">
      <formula>"Pass"</formula>
    </cfRule>
  </conditionalFormatting>
  <conditionalFormatting sqref="A1009:A1011">
    <cfRule type="cellIs" dxfId="11465" priority="11303" stopIfTrue="1" operator="equal">
      <formula>"Pass"</formula>
    </cfRule>
    <cfRule type="cellIs" dxfId="11464" priority="11304" stopIfTrue="1" operator="equal">
      <formula>"Fail"</formula>
    </cfRule>
  </conditionalFormatting>
  <conditionalFormatting sqref="A1009:A1011">
    <cfRule type="cellIs" dxfId="11463" priority="11301" stopIfTrue="1" operator="equal">
      <formula>"Pass"</formula>
    </cfRule>
    <cfRule type="cellIs" dxfId="11462" priority="11302" stopIfTrue="1" operator="equal">
      <formula>"Fail"</formula>
    </cfRule>
  </conditionalFormatting>
  <conditionalFormatting sqref="A1009:A1011">
    <cfRule type="cellIs" dxfId="11461" priority="11299" stopIfTrue="1" operator="equal">
      <formula>"Pass"</formula>
    </cfRule>
    <cfRule type="cellIs" dxfId="11460" priority="11300" stopIfTrue="1" operator="equal">
      <formula>"Fail"</formula>
    </cfRule>
  </conditionalFormatting>
  <conditionalFormatting sqref="A1009:A1011">
    <cfRule type="cellIs" dxfId="11459" priority="11297" stopIfTrue="1" operator="equal">
      <formula>"Pass"</formula>
    </cfRule>
    <cfRule type="cellIs" dxfId="11458" priority="11298" stopIfTrue="1" operator="equal">
      <formula>"Fail"</formula>
    </cfRule>
  </conditionalFormatting>
  <conditionalFormatting sqref="A1009:A1011">
    <cfRule type="cellIs" dxfId="11457" priority="11295" stopIfTrue="1" operator="equal">
      <formula>"Pass"</formula>
    </cfRule>
    <cfRule type="cellIs" dxfId="11456" priority="11296" stopIfTrue="1" operator="equal">
      <formula>"Fail"</formula>
    </cfRule>
  </conditionalFormatting>
  <conditionalFormatting sqref="A1009:A1011">
    <cfRule type="cellIs" dxfId="11455" priority="11293" stopIfTrue="1" operator="equal">
      <formula>"Pass"</formula>
    </cfRule>
    <cfRule type="cellIs" dxfId="11454" priority="11294" stopIfTrue="1" operator="equal">
      <formula>"Fail"</formula>
    </cfRule>
  </conditionalFormatting>
  <conditionalFormatting sqref="A1011">
    <cfRule type="cellIs" dxfId="11453" priority="11291" stopIfTrue="1" operator="equal">
      <formula>"Pass"</formula>
    </cfRule>
    <cfRule type="cellIs" dxfId="11452" priority="11292" stopIfTrue="1" operator="equal">
      <formula>"Fail"</formula>
    </cfRule>
  </conditionalFormatting>
  <conditionalFormatting sqref="A1009:A1011">
    <cfRule type="cellIs" dxfId="11451" priority="11289" stopIfTrue="1" operator="equal">
      <formula>"Pass"</formula>
    </cfRule>
    <cfRule type="cellIs" dxfId="11450" priority="11290" stopIfTrue="1" operator="equal">
      <formula>"Fail"</formula>
    </cfRule>
  </conditionalFormatting>
  <conditionalFormatting sqref="A1009:A1011">
    <cfRule type="cellIs" dxfId="11449" priority="11287" stopIfTrue="1" operator="equal">
      <formula>"Pass"</formula>
    </cfRule>
    <cfRule type="cellIs" dxfId="11448" priority="11288" stopIfTrue="1" operator="equal">
      <formula>"Fail"</formula>
    </cfRule>
  </conditionalFormatting>
  <conditionalFormatting sqref="A1009:A1011">
    <cfRule type="cellIs" dxfId="11447" priority="11285" stopIfTrue="1" operator="equal">
      <formula>"Pass"</formula>
    </cfRule>
    <cfRule type="cellIs" dxfId="11446" priority="11286" stopIfTrue="1" operator="equal">
      <formula>"Fail"</formula>
    </cfRule>
  </conditionalFormatting>
  <conditionalFormatting sqref="A1009:A1011">
    <cfRule type="cellIs" dxfId="11445" priority="11283" stopIfTrue="1" operator="equal">
      <formula>"Pass"</formula>
    </cfRule>
    <cfRule type="cellIs" dxfId="11444" priority="11284" stopIfTrue="1" operator="equal">
      <formula>"Fail"</formula>
    </cfRule>
  </conditionalFormatting>
  <conditionalFormatting sqref="A1009:A1011">
    <cfRule type="cellIs" dxfId="11443" priority="11281" stopIfTrue="1" operator="equal">
      <formula>"Pass"</formula>
    </cfRule>
    <cfRule type="cellIs" dxfId="11442" priority="11282" stopIfTrue="1" operator="equal">
      <formula>"Fail"</formula>
    </cfRule>
  </conditionalFormatting>
  <conditionalFormatting sqref="A1009:A1011">
    <cfRule type="cellIs" dxfId="11441" priority="11279" stopIfTrue="1" operator="equal">
      <formula>"Pass"</formula>
    </cfRule>
    <cfRule type="cellIs" dxfId="11440" priority="11280" stopIfTrue="1" operator="equal">
      <formula>"Fail"</formula>
    </cfRule>
  </conditionalFormatting>
  <conditionalFormatting sqref="A1011">
    <cfRule type="cellIs" dxfId="11439" priority="11277" stopIfTrue="1" operator="equal">
      <formula>"Pass"</formula>
    </cfRule>
    <cfRule type="cellIs" dxfId="11438" priority="11278" stopIfTrue="1" operator="equal">
      <formula>"Fail"</formula>
    </cfRule>
  </conditionalFormatting>
  <conditionalFormatting sqref="A1009:A1011">
    <cfRule type="cellIs" dxfId="11437" priority="11275" stopIfTrue="1" operator="equal">
      <formula>"Pass"</formula>
    </cfRule>
    <cfRule type="cellIs" dxfId="11436" priority="11276" stopIfTrue="1" operator="equal">
      <formula>"Fail"</formula>
    </cfRule>
  </conditionalFormatting>
  <conditionalFormatting sqref="H1009:H1010">
    <cfRule type="cellIs" dxfId="11435" priority="11273" stopIfTrue="1" operator="equal">
      <formula>"Pass"</formula>
    </cfRule>
    <cfRule type="cellIs" dxfId="11434" priority="11274" stopIfTrue="1" operator="equal">
      <formula>"Fail"</formula>
    </cfRule>
  </conditionalFormatting>
  <conditionalFormatting sqref="F1009 F1011 I1009:M1010">
    <cfRule type="cellIs" dxfId="11433" priority="11271" stopIfTrue="1" operator="equal">
      <formula>"Pass"</formula>
    </cfRule>
    <cfRule type="cellIs" dxfId="11432" priority="11272" stopIfTrue="1" operator="equal">
      <formula>"Fail"</formula>
    </cfRule>
  </conditionalFormatting>
  <conditionalFormatting sqref="T1011 T1009 R1009:R1011 S1010:S1011">
    <cfRule type="cellIs" dxfId="11431" priority="11269" stopIfTrue="1" operator="equal">
      <formula>"Fail"</formula>
    </cfRule>
    <cfRule type="cellIs" dxfId="11430" priority="11270" stopIfTrue="1" operator="equal">
      <formula>"Pass"</formula>
    </cfRule>
  </conditionalFormatting>
  <conditionalFormatting sqref="F1009:G1009 F1011:G1011 J1009:N1010">
    <cfRule type="cellIs" dxfId="11429" priority="11267" stopIfTrue="1" operator="equal">
      <formula>"Pass"</formula>
    </cfRule>
    <cfRule type="cellIs" dxfId="11428" priority="11268" stopIfTrue="1" operator="equal">
      <formula>"Fail"</formula>
    </cfRule>
  </conditionalFormatting>
  <conditionalFormatting sqref="U1011 U1009 T1009:T1011 S1010:S1011">
    <cfRule type="cellIs" dxfId="11427" priority="11265" stopIfTrue="1" operator="equal">
      <formula>"Fail"</formula>
    </cfRule>
    <cfRule type="cellIs" dxfId="11426" priority="11266" stopIfTrue="1" operator="equal">
      <formula>"Pass"</formula>
    </cfRule>
  </conditionalFormatting>
  <conditionalFormatting sqref="J1009:N1010 F1009:G1011">
    <cfRule type="cellIs" dxfId="11425" priority="11263" stopIfTrue="1" operator="equal">
      <formula>"Pass"</formula>
    </cfRule>
    <cfRule type="cellIs" dxfId="11424" priority="11264" stopIfTrue="1" operator="equal">
      <formula>"Fail"</formula>
    </cfRule>
  </conditionalFormatting>
  <conditionalFormatting sqref="K1009:O1010 F1009:H1011">
    <cfRule type="cellIs" dxfId="11423" priority="11261" stopIfTrue="1" operator="equal">
      <formula>"Pass"</formula>
    </cfRule>
    <cfRule type="cellIs" dxfId="11422" priority="11262" stopIfTrue="1" operator="equal">
      <formula>"Fail"</formula>
    </cfRule>
  </conditionalFormatting>
  <conditionalFormatting sqref="T1009">
    <cfRule type="cellIs" dxfId="11421" priority="11259" stopIfTrue="1" operator="equal">
      <formula>"Fail"</formula>
    </cfRule>
    <cfRule type="cellIs" dxfId="11420" priority="11260" stopIfTrue="1" operator="equal">
      <formula>"Pass"</formula>
    </cfRule>
  </conditionalFormatting>
  <conditionalFormatting sqref="K1009:O1010 F1009:H1011">
    <cfRule type="cellIs" dxfId="11419" priority="11257" stopIfTrue="1" operator="equal">
      <formula>"Pass"</formula>
    </cfRule>
    <cfRule type="cellIs" dxfId="11418" priority="11258" stopIfTrue="1" operator="equal">
      <formula>"Fail"</formula>
    </cfRule>
  </conditionalFormatting>
  <conditionalFormatting sqref="T1009">
    <cfRule type="cellIs" dxfId="11417" priority="11255" stopIfTrue="1" operator="equal">
      <formula>"Fail"</formula>
    </cfRule>
    <cfRule type="cellIs" dxfId="11416" priority="11256" stopIfTrue="1" operator="equal">
      <formula>"Pass"</formula>
    </cfRule>
  </conditionalFormatting>
  <conditionalFormatting sqref="H1009:H1010">
    <cfRule type="cellIs" dxfId="11415" priority="11253" stopIfTrue="1" operator="equal">
      <formula>"Pass"</formula>
    </cfRule>
    <cfRule type="cellIs" dxfId="11414" priority="11254" stopIfTrue="1" operator="equal">
      <formula>"Fail"</formula>
    </cfRule>
  </conditionalFormatting>
  <conditionalFormatting sqref="E1009:F1009 E1011:F1011 A1009:A1011 I1009:M1010">
    <cfRule type="cellIs" dxfId="11413" priority="11251" stopIfTrue="1" operator="equal">
      <formula>"Pass"</formula>
    </cfRule>
    <cfRule type="cellIs" dxfId="11412" priority="11252" stopIfTrue="1" operator="equal">
      <formula>"Fail"</formula>
    </cfRule>
  </conditionalFormatting>
  <conditionalFormatting sqref="T1011 T1009 R1009:R1011 S1010:S1011">
    <cfRule type="cellIs" dxfId="11411" priority="11249" stopIfTrue="1" operator="equal">
      <formula>"Fail"</formula>
    </cfRule>
    <cfRule type="cellIs" dxfId="11410" priority="11250" stopIfTrue="1" operator="equal">
      <formula>"Pass"</formula>
    </cfRule>
  </conditionalFormatting>
  <conditionalFormatting sqref="F1009:G1009 F1011:G1011 A1009:B1011 J1009:N1010">
    <cfRule type="cellIs" dxfId="11409" priority="11247" stopIfTrue="1" operator="equal">
      <formula>"Pass"</formula>
    </cfRule>
    <cfRule type="cellIs" dxfId="11408" priority="11248" stopIfTrue="1" operator="equal">
      <formula>"Fail"</formula>
    </cfRule>
  </conditionalFormatting>
  <conditionalFormatting sqref="U1011 U1009 T1009:T1011 S1010:S1011">
    <cfRule type="cellIs" dxfId="11407" priority="11245" stopIfTrue="1" operator="equal">
      <formula>"Fail"</formula>
    </cfRule>
    <cfRule type="cellIs" dxfId="11406" priority="11246" stopIfTrue="1" operator="equal">
      <formula>"Pass"</formula>
    </cfRule>
  </conditionalFormatting>
  <conditionalFormatting sqref="A1009:A1011">
    <cfRule type="cellIs" dxfId="11405" priority="11243" stopIfTrue="1" operator="equal">
      <formula>"Pass"</formula>
    </cfRule>
    <cfRule type="cellIs" dxfId="11404" priority="11244" stopIfTrue="1" operator="equal">
      <formula>"Fail"</formula>
    </cfRule>
  </conditionalFormatting>
  <conditionalFormatting sqref="A1009:A1011">
    <cfRule type="cellIs" dxfId="11403" priority="11241" stopIfTrue="1" operator="equal">
      <formula>"Pass"</formula>
    </cfRule>
    <cfRule type="cellIs" dxfId="11402" priority="11242" stopIfTrue="1" operator="equal">
      <formula>"Fail"</formula>
    </cfRule>
  </conditionalFormatting>
  <conditionalFormatting sqref="A1009:A1011">
    <cfRule type="cellIs" dxfId="11401" priority="11239" stopIfTrue="1" operator="equal">
      <formula>"Pass"</formula>
    </cfRule>
    <cfRule type="cellIs" dxfId="11400" priority="11240" stopIfTrue="1" operator="equal">
      <formula>"Fail"</formula>
    </cfRule>
  </conditionalFormatting>
  <conditionalFormatting sqref="J1009:N1010 E1009:G1011">
    <cfRule type="cellIs" dxfId="11399" priority="11237" stopIfTrue="1" operator="equal">
      <formula>"Pass"</formula>
    </cfRule>
    <cfRule type="cellIs" dxfId="11398" priority="11238" stopIfTrue="1" operator="equal">
      <formula>"Fail"</formula>
    </cfRule>
  </conditionalFormatting>
  <conditionalFormatting sqref="A1011 C1011 K1009:O1010 F1009:H1011">
    <cfRule type="cellIs" dxfId="11397" priority="11235" stopIfTrue="1" operator="equal">
      <formula>"Pass"</formula>
    </cfRule>
    <cfRule type="cellIs" dxfId="11396" priority="11236" stopIfTrue="1" operator="equal">
      <formula>"Fail"</formula>
    </cfRule>
  </conditionalFormatting>
  <conditionalFormatting sqref="T1009">
    <cfRule type="cellIs" dxfId="11395" priority="11233" stopIfTrue="1" operator="equal">
      <formula>"Fail"</formula>
    </cfRule>
    <cfRule type="cellIs" dxfId="11394" priority="11234" stopIfTrue="1" operator="equal">
      <formula>"Pass"</formula>
    </cfRule>
  </conditionalFormatting>
  <conditionalFormatting sqref="A1009:A1011">
    <cfRule type="cellIs" dxfId="11393" priority="11231" stopIfTrue="1" operator="equal">
      <formula>"Pass"</formula>
    </cfRule>
    <cfRule type="cellIs" dxfId="11392" priority="11232" stopIfTrue="1" operator="equal">
      <formula>"Fail"</formula>
    </cfRule>
  </conditionalFormatting>
  <conditionalFormatting sqref="A1009:A1011">
    <cfRule type="cellIs" dxfId="11391" priority="11229" stopIfTrue="1" operator="equal">
      <formula>"Pass"</formula>
    </cfRule>
    <cfRule type="cellIs" dxfId="11390" priority="11230" stopIfTrue="1" operator="equal">
      <formula>"Fail"</formula>
    </cfRule>
  </conditionalFormatting>
  <conditionalFormatting sqref="A1009:A1011">
    <cfRule type="cellIs" dxfId="11389" priority="11227" stopIfTrue="1" operator="equal">
      <formula>"Pass"</formula>
    </cfRule>
    <cfRule type="cellIs" dxfId="11388" priority="11228" stopIfTrue="1" operator="equal">
      <formula>"Fail"</formula>
    </cfRule>
  </conditionalFormatting>
  <conditionalFormatting sqref="A1009:A1011">
    <cfRule type="cellIs" dxfId="11387" priority="11225" stopIfTrue="1" operator="equal">
      <formula>"Pass"</formula>
    </cfRule>
    <cfRule type="cellIs" dxfId="11386" priority="11226" stopIfTrue="1" operator="equal">
      <formula>"Fail"</formula>
    </cfRule>
  </conditionalFormatting>
  <conditionalFormatting sqref="A1009:A1011">
    <cfRule type="cellIs" dxfId="11385" priority="11223" stopIfTrue="1" operator="equal">
      <formula>"Pass"</formula>
    </cfRule>
    <cfRule type="cellIs" dxfId="11384" priority="11224" stopIfTrue="1" operator="equal">
      <formula>"Fail"</formula>
    </cfRule>
  </conditionalFormatting>
  <conditionalFormatting sqref="A1009:A1011">
    <cfRule type="cellIs" dxfId="11383" priority="11221" stopIfTrue="1" operator="equal">
      <formula>"Pass"</formula>
    </cfRule>
    <cfRule type="cellIs" dxfId="11382" priority="11222" stopIfTrue="1" operator="equal">
      <formula>"Fail"</formula>
    </cfRule>
  </conditionalFormatting>
  <conditionalFormatting sqref="A1011">
    <cfRule type="cellIs" dxfId="11381" priority="11219" stopIfTrue="1" operator="equal">
      <formula>"Pass"</formula>
    </cfRule>
    <cfRule type="cellIs" dxfId="11380" priority="11220" stopIfTrue="1" operator="equal">
      <formula>"Fail"</formula>
    </cfRule>
  </conditionalFormatting>
  <conditionalFormatting sqref="A1009:A1011">
    <cfRule type="cellIs" dxfId="11379" priority="11217" stopIfTrue="1" operator="equal">
      <formula>"Pass"</formula>
    </cfRule>
    <cfRule type="cellIs" dxfId="11378" priority="11218" stopIfTrue="1" operator="equal">
      <formula>"Fail"</formula>
    </cfRule>
  </conditionalFormatting>
  <conditionalFormatting sqref="A1009:A1011">
    <cfRule type="cellIs" dxfId="11377" priority="11215" stopIfTrue="1" operator="equal">
      <formula>"Pass"</formula>
    </cfRule>
    <cfRule type="cellIs" dxfId="11376" priority="11216" stopIfTrue="1" operator="equal">
      <formula>"Fail"</formula>
    </cfRule>
  </conditionalFormatting>
  <conditionalFormatting sqref="A1009:A1011">
    <cfRule type="cellIs" dxfId="11375" priority="11213" stopIfTrue="1" operator="equal">
      <formula>"Pass"</formula>
    </cfRule>
    <cfRule type="cellIs" dxfId="11374" priority="11214" stopIfTrue="1" operator="equal">
      <formula>"Fail"</formula>
    </cfRule>
  </conditionalFormatting>
  <conditionalFormatting sqref="A1009:A1011">
    <cfRule type="cellIs" dxfId="11373" priority="11211" stopIfTrue="1" operator="equal">
      <formula>"Pass"</formula>
    </cfRule>
    <cfRule type="cellIs" dxfId="11372" priority="11212" stopIfTrue="1" operator="equal">
      <formula>"Fail"</formula>
    </cfRule>
  </conditionalFormatting>
  <conditionalFormatting sqref="A1009:A1011">
    <cfRule type="cellIs" dxfId="11371" priority="11209" stopIfTrue="1" operator="equal">
      <formula>"Pass"</formula>
    </cfRule>
    <cfRule type="cellIs" dxfId="11370" priority="11210" stopIfTrue="1" operator="equal">
      <formula>"Fail"</formula>
    </cfRule>
  </conditionalFormatting>
  <conditionalFormatting sqref="A1009:A1011">
    <cfRule type="cellIs" dxfId="11369" priority="11207" stopIfTrue="1" operator="equal">
      <formula>"Pass"</formula>
    </cfRule>
    <cfRule type="cellIs" dxfId="11368" priority="11208" stopIfTrue="1" operator="equal">
      <formula>"Fail"</formula>
    </cfRule>
  </conditionalFormatting>
  <conditionalFormatting sqref="A1011">
    <cfRule type="cellIs" dxfId="11367" priority="11205" stopIfTrue="1" operator="equal">
      <formula>"Pass"</formula>
    </cfRule>
    <cfRule type="cellIs" dxfId="11366" priority="11206" stopIfTrue="1" operator="equal">
      <formula>"Fail"</formula>
    </cfRule>
  </conditionalFormatting>
  <conditionalFormatting sqref="A1009:A1011">
    <cfRule type="cellIs" dxfId="11365" priority="11203" stopIfTrue="1" operator="equal">
      <formula>"Pass"</formula>
    </cfRule>
    <cfRule type="cellIs" dxfId="11364" priority="11204" stopIfTrue="1" operator="equal">
      <formula>"Fail"</formula>
    </cfRule>
  </conditionalFormatting>
  <conditionalFormatting sqref="H1009:H1010">
    <cfRule type="cellIs" dxfId="11363" priority="11201" stopIfTrue="1" operator="equal">
      <formula>"Pass"</formula>
    </cfRule>
    <cfRule type="cellIs" dxfId="11362" priority="11202" stopIfTrue="1" operator="equal">
      <formula>"Fail"</formula>
    </cfRule>
  </conditionalFormatting>
  <conditionalFormatting sqref="F1009 F1011 I1009:M1010">
    <cfRule type="cellIs" dxfId="11361" priority="11199" stopIfTrue="1" operator="equal">
      <formula>"Pass"</formula>
    </cfRule>
    <cfRule type="cellIs" dxfId="11360" priority="11200" stopIfTrue="1" operator="equal">
      <formula>"Fail"</formula>
    </cfRule>
  </conditionalFormatting>
  <conditionalFormatting sqref="T1011 T1009 R1009:R1011 S1010:S1011">
    <cfRule type="cellIs" dxfId="11359" priority="11197" stopIfTrue="1" operator="equal">
      <formula>"Fail"</formula>
    </cfRule>
    <cfRule type="cellIs" dxfId="11358" priority="11198" stopIfTrue="1" operator="equal">
      <formula>"Pass"</formula>
    </cfRule>
  </conditionalFormatting>
  <conditionalFormatting sqref="F1009:G1009 F1011:G1011 J1009:N1010">
    <cfRule type="cellIs" dxfId="11357" priority="11195" stopIfTrue="1" operator="equal">
      <formula>"Pass"</formula>
    </cfRule>
    <cfRule type="cellIs" dxfId="11356" priority="11196" stopIfTrue="1" operator="equal">
      <formula>"Fail"</formula>
    </cfRule>
  </conditionalFormatting>
  <conditionalFormatting sqref="U1011 U1009 T1009:T1011 S1010:S1011">
    <cfRule type="cellIs" dxfId="11355" priority="11193" stopIfTrue="1" operator="equal">
      <formula>"Fail"</formula>
    </cfRule>
    <cfRule type="cellIs" dxfId="11354" priority="11194" stopIfTrue="1" operator="equal">
      <formula>"Pass"</formula>
    </cfRule>
  </conditionalFormatting>
  <conditionalFormatting sqref="J1009:N1010 F1009:G1011">
    <cfRule type="cellIs" dxfId="11353" priority="11191" stopIfTrue="1" operator="equal">
      <formula>"Pass"</formula>
    </cfRule>
    <cfRule type="cellIs" dxfId="11352" priority="11192" stopIfTrue="1" operator="equal">
      <formula>"Fail"</formula>
    </cfRule>
  </conditionalFormatting>
  <conditionalFormatting sqref="K1009:O1010 F1009:H1011">
    <cfRule type="cellIs" dxfId="11351" priority="11189" stopIfTrue="1" operator="equal">
      <formula>"Pass"</formula>
    </cfRule>
    <cfRule type="cellIs" dxfId="11350" priority="11190" stopIfTrue="1" operator="equal">
      <formula>"Fail"</formula>
    </cfRule>
  </conditionalFormatting>
  <conditionalFormatting sqref="T1009">
    <cfRule type="cellIs" dxfId="11349" priority="11187" stopIfTrue="1" operator="equal">
      <formula>"Fail"</formula>
    </cfRule>
    <cfRule type="cellIs" dxfId="11348" priority="11188" stopIfTrue="1" operator="equal">
      <formula>"Pass"</formula>
    </cfRule>
  </conditionalFormatting>
  <conditionalFormatting sqref="K1009:O1010 F1009:H1011">
    <cfRule type="cellIs" dxfId="11347" priority="11185" stopIfTrue="1" operator="equal">
      <formula>"Pass"</formula>
    </cfRule>
    <cfRule type="cellIs" dxfId="11346" priority="11186" stopIfTrue="1" operator="equal">
      <formula>"Fail"</formula>
    </cfRule>
  </conditionalFormatting>
  <conditionalFormatting sqref="T1009">
    <cfRule type="cellIs" dxfId="11345" priority="11183" stopIfTrue="1" operator="equal">
      <formula>"Fail"</formula>
    </cfRule>
    <cfRule type="cellIs" dxfId="11344" priority="11184" stopIfTrue="1" operator="equal">
      <formula>"Pass"</formula>
    </cfRule>
  </conditionalFormatting>
  <conditionalFormatting sqref="A1012:A1014">
    <cfRule type="cellIs" dxfId="11343" priority="11181" stopIfTrue="1" operator="equal">
      <formula>"Pass"</formula>
    </cfRule>
    <cfRule type="cellIs" dxfId="11342" priority="11182" stopIfTrue="1" operator="equal">
      <formula>"Fail"</formula>
    </cfRule>
  </conditionalFormatting>
  <conditionalFormatting sqref="A1012:A1014">
    <cfRule type="cellIs" dxfId="11341" priority="11179" stopIfTrue="1" operator="equal">
      <formula>"Pass"</formula>
    </cfRule>
    <cfRule type="cellIs" dxfId="11340" priority="11180" stopIfTrue="1" operator="equal">
      <formula>"Fail"</formula>
    </cfRule>
  </conditionalFormatting>
  <conditionalFormatting sqref="A1012:A1014">
    <cfRule type="cellIs" dxfId="11339" priority="11177" stopIfTrue="1" operator="equal">
      <formula>"Pass"</formula>
    </cfRule>
    <cfRule type="cellIs" dxfId="11338" priority="11178" stopIfTrue="1" operator="equal">
      <formula>"Fail"</formula>
    </cfRule>
  </conditionalFormatting>
  <conditionalFormatting sqref="A1012:A1014">
    <cfRule type="cellIs" dxfId="11337" priority="11175" stopIfTrue="1" operator="equal">
      <formula>"Pass"</formula>
    </cfRule>
    <cfRule type="cellIs" dxfId="11336" priority="11176" stopIfTrue="1" operator="equal">
      <formula>"Fail"</formula>
    </cfRule>
  </conditionalFormatting>
  <conditionalFormatting sqref="A1012:A1014">
    <cfRule type="cellIs" dxfId="11335" priority="11173" stopIfTrue="1" operator="equal">
      <formula>"Pass"</formula>
    </cfRule>
    <cfRule type="cellIs" dxfId="11334" priority="11174" stopIfTrue="1" operator="equal">
      <formula>"Fail"</formula>
    </cfRule>
  </conditionalFormatting>
  <conditionalFormatting sqref="A1014">
    <cfRule type="cellIs" dxfId="11333" priority="11171" stopIfTrue="1" operator="equal">
      <formula>"Pass"</formula>
    </cfRule>
    <cfRule type="cellIs" dxfId="11332" priority="11172" stopIfTrue="1" operator="equal">
      <formula>"Fail"</formula>
    </cfRule>
  </conditionalFormatting>
  <conditionalFormatting sqref="A1012:A1014">
    <cfRule type="cellIs" dxfId="11331" priority="11169" stopIfTrue="1" operator="equal">
      <formula>"Pass"</formula>
    </cfRule>
    <cfRule type="cellIs" dxfId="11330" priority="11170" stopIfTrue="1" operator="equal">
      <formula>"Fail"</formula>
    </cfRule>
  </conditionalFormatting>
  <conditionalFormatting sqref="A1012:A1014">
    <cfRule type="cellIs" dxfId="11329" priority="11167" stopIfTrue="1" operator="equal">
      <formula>"Pass"</formula>
    </cfRule>
    <cfRule type="cellIs" dxfId="11328" priority="11168" stopIfTrue="1" operator="equal">
      <formula>"Fail"</formula>
    </cfRule>
  </conditionalFormatting>
  <conditionalFormatting sqref="A1012:A1014">
    <cfRule type="cellIs" dxfId="11327" priority="11165" stopIfTrue="1" operator="equal">
      <formula>"Pass"</formula>
    </cfRule>
    <cfRule type="cellIs" dxfId="11326" priority="11166" stopIfTrue="1" operator="equal">
      <formula>"Fail"</formula>
    </cfRule>
  </conditionalFormatting>
  <conditionalFormatting sqref="A1012:A1014">
    <cfRule type="cellIs" dxfId="11325" priority="11163" stopIfTrue="1" operator="equal">
      <formula>"Pass"</formula>
    </cfRule>
    <cfRule type="cellIs" dxfId="11324" priority="11164" stopIfTrue="1" operator="equal">
      <formula>"Fail"</formula>
    </cfRule>
  </conditionalFormatting>
  <conditionalFormatting sqref="A1012:A1014">
    <cfRule type="cellIs" dxfId="11323" priority="11161" stopIfTrue="1" operator="equal">
      <formula>"Pass"</formula>
    </cfRule>
    <cfRule type="cellIs" dxfId="11322" priority="11162" stopIfTrue="1" operator="equal">
      <formula>"Fail"</formula>
    </cfRule>
  </conditionalFormatting>
  <conditionalFormatting sqref="A1012:A1014">
    <cfRule type="cellIs" dxfId="11321" priority="11159" stopIfTrue="1" operator="equal">
      <formula>"Pass"</formula>
    </cfRule>
    <cfRule type="cellIs" dxfId="11320" priority="11160" stopIfTrue="1" operator="equal">
      <formula>"Fail"</formula>
    </cfRule>
  </conditionalFormatting>
  <conditionalFormatting sqref="A1014">
    <cfRule type="cellIs" dxfId="11319" priority="11157" stopIfTrue="1" operator="equal">
      <formula>"Pass"</formula>
    </cfRule>
    <cfRule type="cellIs" dxfId="11318" priority="11158" stopIfTrue="1" operator="equal">
      <formula>"Fail"</formula>
    </cfRule>
  </conditionalFormatting>
  <conditionalFormatting sqref="A1012:A1014">
    <cfRule type="cellIs" dxfId="11317" priority="11155" stopIfTrue="1" operator="equal">
      <formula>"Pass"</formula>
    </cfRule>
    <cfRule type="cellIs" dxfId="11316" priority="11156" stopIfTrue="1" operator="equal">
      <formula>"Fail"</formula>
    </cfRule>
  </conditionalFormatting>
  <conditionalFormatting sqref="A1012:A1014">
    <cfRule type="cellIs" dxfId="11315" priority="11153" stopIfTrue="1" operator="equal">
      <formula>"Pass"</formula>
    </cfRule>
    <cfRule type="cellIs" dxfId="11314" priority="11154" stopIfTrue="1" operator="equal">
      <formula>"Fail"</formula>
    </cfRule>
  </conditionalFormatting>
  <conditionalFormatting sqref="A1012:A1014">
    <cfRule type="cellIs" dxfId="11313" priority="11151" stopIfTrue="1" operator="equal">
      <formula>"Pass"</formula>
    </cfRule>
    <cfRule type="cellIs" dxfId="11312" priority="11152" stopIfTrue="1" operator="equal">
      <formula>"Fail"</formula>
    </cfRule>
  </conditionalFormatting>
  <conditionalFormatting sqref="A1012:A1014">
    <cfRule type="cellIs" dxfId="11311" priority="11149" stopIfTrue="1" operator="equal">
      <formula>"Pass"</formula>
    </cfRule>
    <cfRule type="cellIs" dxfId="11310" priority="11150" stopIfTrue="1" operator="equal">
      <formula>"Fail"</formula>
    </cfRule>
  </conditionalFormatting>
  <conditionalFormatting sqref="A1012:A1014">
    <cfRule type="cellIs" dxfId="11309" priority="11147" stopIfTrue="1" operator="equal">
      <formula>"Pass"</formula>
    </cfRule>
    <cfRule type="cellIs" dxfId="11308" priority="11148" stopIfTrue="1" operator="equal">
      <formula>"Fail"</formula>
    </cfRule>
  </conditionalFormatting>
  <conditionalFormatting sqref="A1012:A1014">
    <cfRule type="cellIs" dxfId="11307" priority="11145" stopIfTrue="1" operator="equal">
      <formula>"Pass"</formula>
    </cfRule>
    <cfRule type="cellIs" dxfId="11306" priority="11146" stopIfTrue="1" operator="equal">
      <formula>"Fail"</formula>
    </cfRule>
  </conditionalFormatting>
  <conditionalFormatting sqref="A1014">
    <cfRule type="cellIs" dxfId="11305" priority="11143" stopIfTrue="1" operator="equal">
      <formula>"Pass"</formula>
    </cfRule>
    <cfRule type="cellIs" dxfId="11304" priority="11144" stopIfTrue="1" operator="equal">
      <formula>"Fail"</formula>
    </cfRule>
  </conditionalFormatting>
  <conditionalFormatting sqref="A1012:A1014">
    <cfRule type="cellIs" dxfId="11303" priority="11141" stopIfTrue="1" operator="equal">
      <formula>"Pass"</formula>
    </cfRule>
    <cfRule type="cellIs" dxfId="11302" priority="11142" stopIfTrue="1" operator="equal">
      <formula>"Fail"</formula>
    </cfRule>
  </conditionalFormatting>
  <conditionalFormatting sqref="A1012:A1014">
    <cfRule type="cellIs" dxfId="11301" priority="11139" stopIfTrue="1" operator="equal">
      <formula>"Pass"</formula>
    </cfRule>
    <cfRule type="cellIs" dxfId="11300" priority="11140" stopIfTrue="1" operator="equal">
      <formula>"Fail"</formula>
    </cfRule>
  </conditionalFormatting>
  <conditionalFormatting sqref="A1012:A1014">
    <cfRule type="cellIs" dxfId="11299" priority="11137" stopIfTrue="1" operator="equal">
      <formula>"Pass"</formula>
    </cfRule>
    <cfRule type="cellIs" dxfId="11298" priority="11138" stopIfTrue="1" operator="equal">
      <formula>"Fail"</formula>
    </cfRule>
  </conditionalFormatting>
  <conditionalFormatting sqref="A1012:A1014">
    <cfRule type="cellIs" dxfId="11297" priority="11135" stopIfTrue="1" operator="equal">
      <formula>"Pass"</formula>
    </cfRule>
    <cfRule type="cellIs" dxfId="11296" priority="11136" stopIfTrue="1" operator="equal">
      <formula>"Fail"</formula>
    </cfRule>
  </conditionalFormatting>
  <conditionalFormatting sqref="A1012:A1014">
    <cfRule type="cellIs" dxfId="11295" priority="11133" stopIfTrue="1" operator="equal">
      <formula>"Pass"</formula>
    </cfRule>
    <cfRule type="cellIs" dxfId="11294" priority="11134" stopIfTrue="1" operator="equal">
      <formula>"Fail"</formula>
    </cfRule>
  </conditionalFormatting>
  <conditionalFormatting sqref="A1012:A1014">
    <cfRule type="cellIs" dxfId="11293" priority="11131" stopIfTrue="1" operator="equal">
      <formula>"Pass"</formula>
    </cfRule>
    <cfRule type="cellIs" dxfId="11292" priority="11132" stopIfTrue="1" operator="equal">
      <formula>"Fail"</formula>
    </cfRule>
  </conditionalFormatting>
  <conditionalFormatting sqref="A1014">
    <cfRule type="cellIs" dxfId="11291" priority="11129" stopIfTrue="1" operator="equal">
      <formula>"Pass"</formula>
    </cfRule>
    <cfRule type="cellIs" dxfId="11290" priority="11130" stopIfTrue="1" operator="equal">
      <formula>"Fail"</formula>
    </cfRule>
  </conditionalFormatting>
  <conditionalFormatting sqref="A1012:A1014">
    <cfRule type="cellIs" dxfId="11289" priority="11127" stopIfTrue="1" operator="equal">
      <formula>"Pass"</formula>
    </cfRule>
    <cfRule type="cellIs" dxfId="11288" priority="11128" stopIfTrue="1" operator="equal">
      <formula>"Fail"</formula>
    </cfRule>
  </conditionalFormatting>
  <conditionalFormatting sqref="A1012:A1014">
    <cfRule type="cellIs" dxfId="11287" priority="11125" stopIfTrue="1" operator="equal">
      <formula>"Pass"</formula>
    </cfRule>
    <cfRule type="cellIs" dxfId="11286" priority="11126" stopIfTrue="1" operator="equal">
      <formula>"Fail"</formula>
    </cfRule>
  </conditionalFormatting>
  <conditionalFormatting sqref="A1012:A1014">
    <cfRule type="cellIs" dxfId="11285" priority="11123" stopIfTrue="1" operator="equal">
      <formula>"Pass"</formula>
    </cfRule>
    <cfRule type="cellIs" dxfId="11284" priority="11124" stopIfTrue="1" operator="equal">
      <formula>"Fail"</formula>
    </cfRule>
  </conditionalFormatting>
  <conditionalFormatting sqref="A1012:A1014">
    <cfRule type="cellIs" dxfId="11283" priority="11121" stopIfTrue="1" operator="equal">
      <formula>"Pass"</formula>
    </cfRule>
    <cfRule type="cellIs" dxfId="11282" priority="11122" stopIfTrue="1" operator="equal">
      <formula>"Fail"</formula>
    </cfRule>
  </conditionalFormatting>
  <conditionalFormatting sqref="A1012:A1014">
    <cfRule type="cellIs" dxfId="11281" priority="11119" stopIfTrue="1" operator="equal">
      <formula>"Pass"</formula>
    </cfRule>
    <cfRule type="cellIs" dxfId="11280" priority="11120" stopIfTrue="1" operator="equal">
      <formula>"Fail"</formula>
    </cfRule>
  </conditionalFormatting>
  <conditionalFormatting sqref="A1012:A1014">
    <cfRule type="cellIs" dxfId="11279" priority="11117" stopIfTrue="1" operator="equal">
      <formula>"Pass"</formula>
    </cfRule>
    <cfRule type="cellIs" dxfId="11278" priority="11118" stopIfTrue="1" operator="equal">
      <formula>"Fail"</formula>
    </cfRule>
  </conditionalFormatting>
  <conditionalFormatting sqref="A1014">
    <cfRule type="cellIs" dxfId="11277" priority="11115" stopIfTrue="1" operator="equal">
      <formula>"Pass"</formula>
    </cfRule>
    <cfRule type="cellIs" dxfId="11276" priority="11116" stopIfTrue="1" operator="equal">
      <formula>"Fail"</formula>
    </cfRule>
  </conditionalFormatting>
  <conditionalFormatting sqref="A1012:A1014">
    <cfRule type="cellIs" dxfId="11275" priority="11113" stopIfTrue="1" operator="equal">
      <formula>"Pass"</formula>
    </cfRule>
    <cfRule type="cellIs" dxfId="11274" priority="11114" stopIfTrue="1" operator="equal">
      <formula>"Fail"</formula>
    </cfRule>
  </conditionalFormatting>
  <conditionalFormatting sqref="A1012:A1014">
    <cfRule type="cellIs" dxfId="11273" priority="11111" stopIfTrue="1" operator="equal">
      <formula>"Pass"</formula>
    </cfRule>
    <cfRule type="cellIs" dxfId="11272" priority="11112" stopIfTrue="1" operator="equal">
      <formula>"Fail"</formula>
    </cfRule>
  </conditionalFormatting>
  <conditionalFormatting sqref="A1012:A1014">
    <cfRule type="cellIs" dxfId="11271" priority="11109" stopIfTrue="1" operator="equal">
      <formula>"Pass"</formula>
    </cfRule>
    <cfRule type="cellIs" dxfId="11270" priority="11110" stopIfTrue="1" operator="equal">
      <formula>"Fail"</formula>
    </cfRule>
  </conditionalFormatting>
  <conditionalFormatting sqref="A1012:A1014">
    <cfRule type="cellIs" dxfId="11269" priority="11107" stopIfTrue="1" operator="equal">
      <formula>"Pass"</formula>
    </cfRule>
    <cfRule type="cellIs" dxfId="11268" priority="11108" stopIfTrue="1" operator="equal">
      <formula>"Fail"</formula>
    </cfRule>
  </conditionalFormatting>
  <conditionalFormatting sqref="A1012:A1014">
    <cfRule type="cellIs" dxfId="11267" priority="11105" stopIfTrue="1" operator="equal">
      <formula>"Pass"</formula>
    </cfRule>
    <cfRule type="cellIs" dxfId="11266" priority="11106" stopIfTrue="1" operator="equal">
      <formula>"Fail"</formula>
    </cfRule>
  </conditionalFormatting>
  <conditionalFormatting sqref="A1012:A1014">
    <cfRule type="cellIs" dxfId="11265" priority="11103" stopIfTrue="1" operator="equal">
      <formula>"Pass"</formula>
    </cfRule>
    <cfRule type="cellIs" dxfId="11264" priority="11104" stopIfTrue="1" operator="equal">
      <formula>"Fail"</formula>
    </cfRule>
  </conditionalFormatting>
  <conditionalFormatting sqref="A1014">
    <cfRule type="cellIs" dxfId="11263" priority="11101" stopIfTrue="1" operator="equal">
      <formula>"Pass"</formula>
    </cfRule>
    <cfRule type="cellIs" dxfId="11262" priority="11102" stopIfTrue="1" operator="equal">
      <formula>"Fail"</formula>
    </cfRule>
  </conditionalFormatting>
  <conditionalFormatting sqref="A1012:A1014">
    <cfRule type="cellIs" dxfId="11261" priority="11099" stopIfTrue="1" operator="equal">
      <formula>"Pass"</formula>
    </cfRule>
    <cfRule type="cellIs" dxfId="11260" priority="11100" stopIfTrue="1" operator="equal">
      <formula>"Fail"</formula>
    </cfRule>
  </conditionalFormatting>
  <conditionalFormatting sqref="A1012">
    <cfRule type="cellIs" dxfId="11259" priority="11097" stopIfTrue="1" operator="equal">
      <formula>"Pass"</formula>
    </cfRule>
    <cfRule type="cellIs" dxfId="11258" priority="11098" stopIfTrue="1" operator="equal">
      <formula>"Fail"</formula>
    </cfRule>
  </conditionalFormatting>
  <conditionalFormatting sqref="A1012">
    <cfRule type="cellIs" dxfId="11257" priority="11095" stopIfTrue="1" operator="equal">
      <formula>"Pass"</formula>
    </cfRule>
    <cfRule type="cellIs" dxfId="11256" priority="11096" stopIfTrue="1" operator="equal">
      <formula>"Fail"</formula>
    </cfRule>
  </conditionalFormatting>
  <conditionalFormatting sqref="A1012">
    <cfRule type="cellIs" dxfId="11255" priority="11093" stopIfTrue="1" operator="equal">
      <formula>"Pass"</formula>
    </cfRule>
    <cfRule type="cellIs" dxfId="11254" priority="11094" stopIfTrue="1" operator="equal">
      <formula>"Fail"</formula>
    </cfRule>
  </conditionalFormatting>
  <conditionalFormatting sqref="A1012">
    <cfRule type="cellIs" dxfId="11253" priority="11091" stopIfTrue="1" operator="equal">
      <formula>"Pass"</formula>
    </cfRule>
    <cfRule type="cellIs" dxfId="11252" priority="11092" stopIfTrue="1" operator="equal">
      <formula>"Fail"</formula>
    </cfRule>
  </conditionalFormatting>
  <conditionalFormatting sqref="A1012">
    <cfRule type="cellIs" dxfId="11251" priority="11089" stopIfTrue="1" operator="equal">
      <formula>"Pass"</formula>
    </cfRule>
    <cfRule type="cellIs" dxfId="11250" priority="11090" stopIfTrue="1" operator="equal">
      <formula>"Fail"</formula>
    </cfRule>
  </conditionalFormatting>
  <conditionalFormatting sqref="A1012">
    <cfRule type="cellIs" dxfId="11249" priority="11087" stopIfTrue="1" operator="equal">
      <formula>"Pass"</formula>
    </cfRule>
    <cfRule type="cellIs" dxfId="11248" priority="11088" stopIfTrue="1" operator="equal">
      <formula>"Fail"</formula>
    </cfRule>
  </conditionalFormatting>
  <conditionalFormatting sqref="A1012">
    <cfRule type="cellIs" dxfId="11247" priority="11085" stopIfTrue="1" operator="equal">
      <formula>"Pass"</formula>
    </cfRule>
    <cfRule type="cellIs" dxfId="11246" priority="11086" stopIfTrue="1" operator="equal">
      <formula>"Fail"</formula>
    </cfRule>
  </conditionalFormatting>
  <conditionalFormatting sqref="A1012">
    <cfRule type="cellIs" dxfId="11245" priority="11083" stopIfTrue="1" operator="equal">
      <formula>"Pass"</formula>
    </cfRule>
    <cfRule type="cellIs" dxfId="11244" priority="11084" stopIfTrue="1" operator="equal">
      <formula>"Fail"</formula>
    </cfRule>
  </conditionalFormatting>
  <conditionalFormatting sqref="A1012">
    <cfRule type="cellIs" dxfId="11243" priority="11081" stopIfTrue="1" operator="equal">
      <formula>"Pass"</formula>
    </cfRule>
    <cfRule type="cellIs" dxfId="11242" priority="11082" stopIfTrue="1" operator="equal">
      <formula>"Fail"</formula>
    </cfRule>
  </conditionalFormatting>
  <conditionalFormatting sqref="A1012">
    <cfRule type="cellIs" dxfId="11241" priority="11079" stopIfTrue="1" operator="equal">
      <formula>"Pass"</formula>
    </cfRule>
    <cfRule type="cellIs" dxfId="11240" priority="11080" stopIfTrue="1" operator="equal">
      <formula>"Fail"</formula>
    </cfRule>
  </conditionalFormatting>
  <conditionalFormatting sqref="A1012">
    <cfRule type="cellIs" dxfId="11239" priority="11077" stopIfTrue="1" operator="equal">
      <formula>"Pass"</formula>
    </cfRule>
    <cfRule type="cellIs" dxfId="11238" priority="11078" stopIfTrue="1" operator="equal">
      <formula>"Fail"</formula>
    </cfRule>
  </conditionalFormatting>
  <conditionalFormatting sqref="A1012">
    <cfRule type="cellIs" dxfId="11237" priority="11075" stopIfTrue="1" operator="equal">
      <formula>"Pass"</formula>
    </cfRule>
    <cfRule type="cellIs" dxfId="11236" priority="11076" stopIfTrue="1" operator="equal">
      <formula>"Fail"</formula>
    </cfRule>
  </conditionalFormatting>
  <conditionalFormatting sqref="A1012">
    <cfRule type="cellIs" dxfId="11235" priority="11073" stopIfTrue="1" operator="equal">
      <formula>"Pass"</formula>
    </cfRule>
    <cfRule type="cellIs" dxfId="11234" priority="11074" stopIfTrue="1" operator="equal">
      <formula>"Fail"</formula>
    </cfRule>
  </conditionalFormatting>
  <conditionalFormatting sqref="A1012">
    <cfRule type="cellIs" dxfId="11233" priority="11071" stopIfTrue="1" operator="equal">
      <formula>"Pass"</formula>
    </cfRule>
    <cfRule type="cellIs" dxfId="11232" priority="11072" stopIfTrue="1" operator="equal">
      <formula>"Fail"</formula>
    </cfRule>
  </conditionalFormatting>
  <conditionalFormatting sqref="A1012">
    <cfRule type="cellIs" dxfId="11231" priority="11069" stopIfTrue="1" operator="equal">
      <formula>"Pass"</formula>
    </cfRule>
    <cfRule type="cellIs" dxfId="11230" priority="11070" stopIfTrue="1" operator="equal">
      <formula>"Fail"</formula>
    </cfRule>
  </conditionalFormatting>
  <conditionalFormatting sqref="A1012">
    <cfRule type="cellIs" dxfId="11229" priority="11067" stopIfTrue="1" operator="equal">
      <formula>"Pass"</formula>
    </cfRule>
    <cfRule type="cellIs" dxfId="11228" priority="11068" stopIfTrue="1" operator="equal">
      <formula>"Fail"</formula>
    </cfRule>
  </conditionalFormatting>
  <conditionalFormatting sqref="A1012">
    <cfRule type="cellIs" dxfId="11227" priority="11065" stopIfTrue="1" operator="equal">
      <formula>"Pass"</formula>
    </cfRule>
    <cfRule type="cellIs" dxfId="11226" priority="11066" stopIfTrue="1" operator="equal">
      <formula>"Fail"</formula>
    </cfRule>
  </conditionalFormatting>
  <conditionalFormatting sqref="A1012">
    <cfRule type="cellIs" dxfId="11225" priority="11063" stopIfTrue="1" operator="equal">
      <formula>"Pass"</formula>
    </cfRule>
    <cfRule type="cellIs" dxfId="11224" priority="11064" stopIfTrue="1" operator="equal">
      <formula>"Fail"</formula>
    </cfRule>
  </conditionalFormatting>
  <conditionalFormatting sqref="J1012:J1013">
    <cfRule type="cellIs" dxfId="11223" priority="11061" stopIfTrue="1" operator="equal">
      <formula>"Pass"</formula>
    </cfRule>
    <cfRule type="cellIs" dxfId="11222" priority="11062" stopIfTrue="1" operator="equal">
      <formula>"Fail"</formula>
    </cfRule>
  </conditionalFormatting>
  <conditionalFormatting sqref="H1012:H1013 I1013">
    <cfRule type="cellIs" dxfId="11221" priority="11059" stopIfTrue="1" operator="equal">
      <formula>"Pass"</formula>
    </cfRule>
    <cfRule type="cellIs" dxfId="11220" priority="11060" stopIfTrue="1" operator="equal">
      <formula>"Fail"</formula>
    </cfRule>
  </conditionalFormatting>
  <conditionalFormatting sqref="A1012 C1012 F1014 F1012:G1012 K1012:N1013">
    <cfRule type="cellIs" dxfId="11219" priority="11057" stopIfTrue="1" operator="equal">
      <formula>"Pass"</formula>
    </cfRule>
    <cfRule type="cellIs" dxfId="11218" priority="11058" stopIfTrue="1" operator="equal">
      <formula>"Fail"</formula>
    </cfRule>
  </conditionalFormatting>
  <conditionalFormatting sqref="T1012:T1014 U1013:U1014">
    <cfRule type="cellIs" dxfId="11217" priority="11055" stopIfTrue="1" operator="equal">
      <formula>"Fail"</formula>
    </cfRule>
    <cfRule type="cellIs" dxfId="11216" priority="11056" stopIfTrue="1" operator="equal">
      <formula>"Pass"</formula>
    </cfRule>
  </conditionalFormatting>
  <conditionalFormatting sqref="A1012">
    <cfRule type="cellIs" dxfId="11215" priority="11053" stopIfTrue="1" operator="equal">
      <formula>"Pass"</formula>
    </cfRule>
    <cfRule type="cellIs" dxfId="11214" priority="11054" stopIfTrue="1" operator="equal">
      <formula>"Fail"</formula>
    </cfRule>
  </conditionalFormatting>
  <conditionalFormatting sqref="A1012">
    <cfRule type="cellIs" dxfId="11213" priority="11051" stopIfTrue="1" operator="equal">
      <formula>"Pass"</formula>
    </cfRule>
    <cfRule type="cellIs" dxfId="11212" priority="11052" stopIfTrue="1" operator="equal">
      <formula>"Fail"</formula>
    </cfRule>
  </conditionalFormatting>
  <conditionalFormatting sqref="A1012">
    <cfRule type="cellIs" dxfId="11211" priority="11049" stopIfTrue="1" operator="equal">
      <formula>"Pass"</formula>
    </cfRule>
    <cfRule type="cellIs" dxfId="11210" priority="11050" stopIfTrue="1" operator="equal">
      <formula>"Fail"</formula>
    </cfRule>
  </conditionalFormatting>
  <conditionalFormatting sqref="A1012">
    <cfRule type="cellIs" dxfId="11209" priority="11047" stopIfTrue="1" operator="equal">
      <formula>"Pass"</formula>
    </cfRule>
    <cfRule type="cellIs" dxfId="11208" priority="11048" stopIfTrue="1" operator="equal">
      <formula>"Fail"</formula>
    </cfRule>
  </conditionalFormatting>
  <conditionalFormatting sqref="A1012">
    <cfRule type="cellIs" dxfId="11207" priority="11045" stopIfTrue="1" operator="equal">
      <formula>"Pass"</formula>
    </cfRule>
    <cfRule type="cellIs" dxfId="11206" priority="11046" stopIfTrue="1" operator="equal">
      <formula>"Fail"</formula>
    </cfRule>
  </conditionalFormatting>
  <conditionalFormatting sqref="A1012">
    <cfRule type="cellIs" dxfId="11205" priority="11043" stopIfTrue="1" operator="equal">
      <formula>"Pass"</formula>
    </cfRule>
    <cfRule type="cellIs" dxfId="11204" priority="11044" stopIfTrue="1" operator="equal">
      <formula>"Fail"</formula>
    </cfRule>
  </conditionalFormatting>
  <conditionalFormatting sqref="A1012">
    <cfRule type="cellIs" dxfId="11203" priority="11041" stopIfTrue="1" operator="equal">
      <formula>"Pass"</formula>
    </cfRule>
    <cfRule type="cellIs" dxfId="11202" priority="11042" stopIfTrue="1" operator="equal">
      <formula>"Fail"</formula>
    </cfRule>
  </conditionalFormatting>
  <conditionalFormatting sqref="A1012">
    <cfRule type="cellIs" dxfId="11201" priority="11039" stopIfTrue="1" operator="equal">
      <formula>"Pass"</formula>
    </cfRule>
    <cfRule type="cellIs" dxfId="11200" priority="11040" stopIfTrue="1" operator="equal">
      <formula>"Fail"</formula>
    </cfRule>
  </conditionalFormatting>
  <conditionalFormatting sqref="A1012">
    <cfRule type="cellIs" dxfId="11199" priority="11037" stopIfTrue="1" operator="equal">
      <formula>"Pass"</formula>
    </cfRule>
    <cfRule type="cellIs" dxfId="11198" priority="11038" stopIfTrue="1" operator="equal">
      <formula>"Fail"</formula>
    </cfRule>
  </conditionalFormatting>
  <conditionalFormatting sqref="A1012">
    <cfRule type="cellIs" dxfId="11197" priority="11035" stopIfTrue="1" operator="equal">
      <formula>"Pass"</formula>
    </cfRule>
    <cfRule type="cellIs" dxfId="11196" priority="11036" stopIfTrue="1" operator="equal">
      <formula>"Fail"</formula>
    </cfRule>
  </conditionalFormatting>
  <conditionalFormatting sqref="A1012">
    <cfRule type="cellIs" dxfId="11195" priority="11033" stopIfTrue="1" operator="equal">
      <formula>"Pass"</formula>
    </cfRule>
    <cfRule type="cellIs" dxfId="11194" priority="11034" stopIfTrue="1" operator="equal">
      <formula>"Fail"</formula>
    </cfRule>
  </conditionalFormatting>
  <conditionalFormatting sqref="A1012">
    <cfRule type="cellIs" dxfId="11193" priority="11031" stopIfTrue="1" operator="equal">
      <formula>"Pass"</formula>
    </cfRule>
    <cfRule type="cellIs" dxfId="11192" priority="11032" stopIfTrue="1" operator="equal">
      <formula>"Fail"</formula>
    </cfRule>
  </conditionalFormatting>
  <conditionalFormatting sqref="A1012">
    <cfRule type="cellIs" dxfId="11191" priority="11029" stopIfTrue="1" operator="equal">
      <formula>"Pass"</formula>
    </cfRule>
    <cfRule type="cellIs" dxfId="11190" priority="11030" stopIfTrue="1" operator="equal">
      <formula>"Fail"</formula>
    </cfRule>
  </conditionalFormatting>
  <conditionalFormatting sqref="A1012">
    <cfRule type="cellIs" dxfId="11189" priority="11027" stopIfTrue="1" operator="equal">
      <formula>"Pass"</formula>
    </cfRule>
    <cfRule type="cellIs" dxfId="11188" priority="11028" stopIfTrue="1" operator="equal">
      <formula>"Fail"</formula>
    </cfRule>
  </conditionalFormatting>
  <conditionalFormatting sqref="A1012">
    <cfRule type="cellIs" dxfId="11187" priority="11025" stopIfTrue="1" operator="equal">
      <formula>"Pass"</formula>
    </cfRule>
    <cfRule type="cellIs" dxfId="11186" priority="11026" stopIfTrue="1" operator="equal">
      <formula>"Fail"</formula>
    </cfRule>
  </conditionalFormatting>
  <conditionalFormatting sqref="A1012">
    <cfRule type="cellIs" dxfId="11185" priority="11023" stopIfTrue="1" operator="equal">
      <formula>"Pass"</formula>
    </cfRule>
    <cfRule type="cellIs" dxfId="11184" priority="11024" stopIfTrue="1" operator="equal">
      <formula>"Fail"</formula>
    </cfRule>
  </conditionalFormatting>
  <conditionalFormatting sqref="U1012">
    <cfRule type="cellIs" dxfId="11183" priority="11021" stopIfTrue="1" operator="equal">
      <formula>"Fail"</formula>
    </cfRule>
    <cfRule type="cellIs" dxfId="11182" priority="11022" stopIfTrue="1" operator="equal">
      <formula>"Pass"</formula>
    </cfRule>
  </conditionalFormatting>
  <conditionalFormatting sqref="U1012">
    <cfRule type="cellIs" dxfId="11181" priority="11019" stopIfTrue="1" operator="equal">
      <formula>"Fail"</formula>
    </cfRule>
    <cfRule type="cellIs" dxfId="11180" priority="11020" stopIfTrue="1" operator="equal">
      <formula>"Pass"</formula>
    </cfRule>
  </conditionalFormatting>
  <conditionalFormatting sqref="J1012:J1013">
    <cfRule type="cellIs" dxfId="11179" priority="11017" stopIfTrue="1" operator="equal">
      <formula>"Pass"</formula>
    </cfRule>
    <cfRule type="cellIs" dxfId="11178" priority="11018" stopIfTrue="1" operator="equal">
      <formula>"Fail"</formula>
    </cfRule>
  </conditionalFormatting>
  <conditionalFormatting sqref="H1012:H1013 I1013">
    <cfRule type="cellIs" dxfId="11177" priority="11015" stopIfTrue="1" operator="equal">
      <formula>"Pass"</formula>
    </cfRule>
    <cfRule type="cellIs" dxfId="11176" priority="11016" stopIfTrue="1" operator="equal">
      <formula>"Fail"</formula>
    </cfRule>
  </conditionalFormatting>
  <conditionalFormatting sqref="F1014 F1012:G1012 K1012:N1013">
    <cfRule type="cellIs" dxfId="11175" priority="11013" stopIfTrue="1" operator="equal">
      <formula>"Pass"</formula>
    </cfRule>
    <cfRule type="cellIs" dxfId="11174" priority="11014" stopIfTrue="1" operator="equal">
      <formula>"Fail"</formula>
    </cfRule>
  </conditionalFormatting>
  <conditionalFormatting sqref="T1012:T1014 U1013:U1014">
    <cfRule type="cellIs" dxfId="11173" priority="11011" stopIfTrue="1" operator="equal">
      <formula>"Fail"</formula>
    </cfRule>
    <cfRule type="cellIs" dxfId="11172" priority="11012" stopIfTrue="1" operator="equal">
      <formula>"Pass"</formula>
    </cfRule>
  </conditionalFormatting>
  <conditionalFormatting sqref="U1012">
    <cfRule type="cellIs" dxfId="11171" priority="11009" stopIfTrue="1" operator="equal">
      <formula>"Fail"</formula>
    </cfRule>
    <cfRule type="cellIs" dxfId="11170" priority="11010" stopIfTrue="1" operator="equal">
      <formula>"Pass"</formula>
    </cfRule>
  </conditionalFormatting>
  <conditionalFormatting sqref="U1012">
    <cfRule type="cellIs" dxfId="11169" priority="11007" stopIfTrue="1" operator="equal">
      <formula>"Fail"</formula>
    </cfRule>
    <cfRule type="cellIs" dxfId="11168" priority="11008" stopIfTrue="1" operator="equal">
      <formula>"Pass"</formula>
    </cfRule>
  </conditionalFormatting>
  <conditionalFormatting sqref="F1012:G1012 K1012:N1012">
    <cfRule type="cellIs" dxfId="11167" priority="11005" stopIfTrue="1" operator="equal">
      <formula>"Pass"</formula>
    </cfRule>
    <cfRule type="cellIs" dxfId="11166" priority="11006" stopIfTrue="1" operator="equal">
      <formula>"Fail"</formula>
    </cfRule>
  </conditionalFormatting>
  <conditionalFormatting sqref="K1013:N1013">
    <cfRule type="cellIs" dxfId="11165" priority="11003" stopIfTrue="1" operator="equal">
      <formula>"Pass"</formula>
    </cfRule>
    <cfRule type="cellIs" dxfId="11164" priority="11004" stopIfTrue="1" operator="equal">
      <formula>"Fail"</formula>
    </cfRule>
  </conditionalFormatting>
  <conditionalFormatting sqref="U1012">
    <cfRule type="cellIs" dxfId="11163" priority="11001" stopIfTrue="1" operator="equal">
      <formula>"Fail"</formula>
    </cfRule>
    <cfRule type="cellIs" dxfId="11162" priority="11002" stopIfTrue="1" operator="equal">
      <formula>"Pass"</formula>
    </cfRule>
  </conditionalFormatting>
  <conditionalFormatting sqref="A1012">
    <cfRule type="cellIs" dxfId="11161" priority="10999" stopIfTrue="1" operator="equal">
      <formula>"Pass"</formula>
    </cfRule>
    <cfRule type="cellIs" dxfId="11160" priority="11000" stopIfTrue="1" operator="equal">
      <formula>"Fail"</formula>
    </cfRule>
  </conditionalFormatting>
  <conditionalFormatting sqref="A1012">
    <cfRule type="cellIs" dxfId="11159" priority="10997" stopIfTrue="1" operator="equal">
      <formula>"Pass"</formula>
    </cfRule>
    <cfRule type="cellIs" dxfId="11158" priority="10998" stopIfTrue="1" operator="equal">
      <formula>"Fail"</formula>
    </cfRule>
  </conditionalFormatting>
  <conditionalFormatting sqref="A1012">
    <cfRule type="cellIs" dxfId="11157" priority="10995" stopIfTrue="1" operator="equal">
      <formula>"Pass"</formula>
    </cfRule>
    <cfRule type="cellIs" dxfId="11156" priority="10996" stopIfTrue="1" operator="equal">
      <formula>"Fail"</formula>
    </cfRule>
  </conditionalFormatting>
  <conditionalFormatting sqref="A1012">
    <cfRule type="cellIs" dxfId="11155" priority="10993" stopIfTrue="1" operator="equal">
      <formula>"Pass"</formula>
    </cfRule>
    <cfRule type="cellIs" dxfId="11154" priority="10994" stopIfTrue="1" operator="equal">
      <formula>"Fail"</formula>
    </cfRule>
  </conditionalFormatting>
  <conditionalFormatting sqref="A1012">
    <cfRule type="cellIs" dxfId="11153" priority="10991" stopIfTrue="1" operator="equal">
      <formula>"Pass"</formula>
    </cfRule>
    <cfRule type="cellIs" dxfId="11152" priority="10992" stopIfTrue="1" operator="equal">
      <formula>"Fail"</formula>
    </cfRule>
  </conditionalFormatting>
  <conditionalFormatting sqref="A1012">
    <cfRule type="cellIs" dxfId="11151" priority="10989" stopIfTrue="1" operator="equal">
      <formula>"Pass"</formula>
    </cfRule>
    <cfRule type="cellIs" dxfId="11150" priority="10990" stopIfTrue="1" operator="equal">
      <formula>"Fail"</formula>
    </cfRule>
  </conditionalFormatting>
  <conditionalFormatting sqref="A1012">
    <cfRule type="cellIs" dxfId="11149" priority="10987" stopIfTrue="1" operator="equal">
      <formula>"Pass"</formula>
    </cfRule>
    <cfRule type="cellIs" dxfId="11148" priority="10988" stopIfTrue="1" operator="equal">
      <formula>"Fail"</formula>
    </cfRule>
  </conditionalFormatting>
  <conditionalFormatting sqref="A1012">
    <cfRule type="cellIs" dxfId="11147" priority="10985" stopIfTrue="1" operator="equal">
      <formula>"Pass"</formula>
    </cfRule>
    <cfRule type="cellIs" dxfId="11146" priority="10986" stopIfTrue="1" operator="equal">
      <formula>"Fail"</formula>
    </cfRule>
  </conditionalFormatting>
  <conditionalFormatting sqref="A1012">
    <cfRule type="cellIs" dxfId="11145" priority="10983" stopIfTrue="1" operator="equal">
      <formula>"Pass"</formula>
    </cfRule>
    <cfRule type="cellIs" dxfId="11144" priority="10984" stopIfTrue="1" operator="equal">
      <formula>"Fail"</formula>
    </cfRule>
  </conditionalFormatting>
  <conditionalFormatting sqref="A1012">
    <cfRule type="cellIs" dxfId="11143" priority="10981" stopIfTrue="1" operator="equal">
      <formula>"Pass"</formula>
    </cfRule>
    <cfRule type="cellIs" dxfId="11142" priority="10982" stopIfTrue="1" operator="equal">
      <formula>"Fail"</formula>
    </cfRule>
  </conditionalFormatting>
  <conditionalFormatting sqref="A1012">
    <cfRule type="cellIs" dxfId="11141" priority="10979" stopIfTrue="1" operator="equal">
      <formula>"Pass"</formula>
    </cfRule>
    <cfRule type="cellIs" dxfId="11140" priority="10980" stopIfTrue="1" operator="equal">
      <formula>"Fail"</formula>
    </cfRule>
  </conditionalFormatting>
  <conditionalFormatting sqref="A1012">
    <cfRule type="cellIs" dxfId="11139" priority="10977" stopIfTrue="1" operator="equal">
      <formula>"Pass"</formula>
    </cfRule>
    <cfRule type="cellIs" dxfId="11138" priority="10978" stopIfTrue="1" operator="equal">
      <formula>"Fail"</formula>
    </cfRule>
  </conditionalFormatting>
  <conditionalFormatting sqref="J1012:J1013">
    <cfRule type="cellIs" dxfId="11137" priority="10975" stopIfTrue="1" operator="equal">
      <formula>"Pass"</formula>
    </cfRule>
    <cfRule type="cellIs" dxfId="11136" priority="10976" stopIfTrue="1" operator="equal">
      <formula>"Fail"</formula>
    </cfRule>
  </conditionalFormatting>
  <conditionalFormatting sqref="H1012:H1013 I1013">
    <cfRule type="cellIs" dxfId="11135" priority="10973" stopIfTrue="1" operator="equal">
      <formula>"Pass"</formula>
    </cfRule>
    <cfRule type="cellIs" dxfId="11134" priority="10974" stopIfTrue="1" operator="equal">
      <formula>"Fail"</formula>
    </cfRule>
  </conditionalFormatting>
  <conditionalFormatting sqref="F1014 F1012:G1012 K1012:N1013">
    <cfRule type="cellIs" dxfId="11133" priority="10971" stopIfTrue="1" operator="equal">
      <formula>"Pass"</formula>
    </cfRule>
    <cfRule type="cellIs" dxfId="11132" priority="10972" stopIfTrue="1" operator="equal">
      <formula>"Fail"</formula>
    </cfRule>
  </conditionalFormatting>
  <conditionalFormatting sqref="T1012:T1014 U1013:U1014">
    <cfRule type="cellIs" dxfId="11131" priority="10969" stopIfTrue="1" operator="equal">
      <formula>"Fail"</formula>
    </cfRule>
    <cfRule type="cellIs" dxfId="11130" priority="10970" stopIfTrue="1" operator="equal">
      <formula>"Pass"</formula>
    </cfRule>
  </conditionalFormatting>
  <conditionalFormatting sqref="U1012">
    <cfRule type="cellIs" dxfId="11129" priority="10967" stopIfTrue="1" operator="equal">
      <formula>"Fail"</formula>
    </cfRule>
    <cfRule type="cellIs" dxfId="11128" priority="10968" stopIfTrue="1" operator="equal">
      <formula>"Pass"</formula>
    </cfRule>
  </conditionalFormatting>
  <conditionalFormatting sqref="U1012">
    <cfRule type="cellIs" dxfId="11127" priority="10965" stopIfTrue="1" operator="equal">
      <formula>"Fail"</formula>
    </cfRule>
    <cfRule type="cellIs" dxfId="11126" priority="10966" stopIfTrue="1" operator="equal">
      <formula>"Pass"</formula>
    </cfRule>
  </conditionalFormatting>
  <conditionalFormatting sqref="J1012:J1013">
    <cfRule type="cellIs" dxfId="11125" priority="10963" stopIfTrue="1" operator="equal">
      <formula>"Pass"</formula>
    </cfRule>
    <cfRule type="cellIs" dxfId="11124" priority="10964" stopIfTrue="1" operator="equal">
      <formula>"Fail"</formula>
    </cfRule>
  </conditionalFormatting>
  <conditionalFormatting sqref="H1012:H1013 I1013">
    <cfRule type="cellIs" dxfId="11123" priority="10961" stopIfTrue="1" operator="equal">
      <formula>"Pass"</formula>
    </cfRule>
    <cfRule type="cellIs" dxfId="11122" priority="10962" stopIfTrue="1" operator="equal">
      <formula>"Fail"</formula>
    </cfRule>
  </conditionalFormatting>
  <conditionalFormatting sqref="F1014 F1012:G1012 K1012:N1013">
    <cfRule type="cellIs" dxfId="11121" priority="10959" stopIfTrue="1" operator="equal">
      <formula>"Pass"</formula>
    </cfRule>
    <cfRule type="cellIs" dxfId="11120" priority="10960" stopIfTrue="1" operator="equal">
      <formula>"Fail"</formula>
    </cfRule>
  </conditionalFormatting>
  <conditionalFormatting sqref="T1012:T1014 U1013:U1014">
    <cfRule type="cellIs" dxfId="11119" priority="10957" stopIfTrue="1" operator="equal">
      <formula>"Fail"</formula>
    </cfRule>
    <cfRule type="cellIs" dxfId="11118" priority="10958" stopIfTrue="1" operator="equal">
      <formula>"Pass"</formula>
    </cfRule>
  </conditionalFormatting>
  <conditionalFormatting sqref="U1012">
    <cfRule type="cellIs" dxfId="11117" priority="10955" stopIfTrue="1" operator="equal">
      <formula>"Fail"</formula>
    </cfRule>
    <cfRule type="cellIs" dxfId="11116" priority="10956" stopIfTrue="1" operator="equal">
      <formula>"Pass"</formula>
    </cfRule>
  </conditionalFormatting>
  <conditionalFormatting sqref="U1012">
    <cfRule type="cellIs" dxfId="11115" priority="10953" stopIfTrue="1" operator="equal">
      <formula>"Fail"</formula>
    </cfRule>
    <cfRule type="cellIs" dxfId="11114" priority="10954" stopIfTrue="1" operator="equal">
      <formula>"Pass"</formula>
    </cfRule>
  </conditionalFormatting>
  <conditionalFormatting sqref="F1012:G1012 K1012:N1012">
    <cfRule type="cellIs" dxfId="11113" priority="10951" stopIfTrue="1" operator="equal">
      <formula>"Pass"</formula>
    </cfRule>
    <cfRule type="cellIs" dxfId="11112" priority="10952" stopIfTrue="1" operator="equal">
      <formula>"Fail"</formula>
    </cfRule>
  </conditionalFormatting>
  <conditionalFormatting sqref="K1013:N1013">
    <cfRule type="cellIs" dxfId="11111" priority="10949" stopIfTrue="1" operator="equal">
      <formula>"Pass"</formula>
    </cfRule>
    <cfRule type="cellIs" dxfId="11110" priority="10950" stopIfTrue="1" operator="equal">
      <formula>"Fail"</formula>
    </cfRule>
  </conditionalFormatting>
  <conditionalFormatting sqref="U1012">
    <cfRule type="cellIs" dxfId="11109" priority="10947" stopIfTrue="1" operator="equal">
      <formula>"Fail"</formula>
    </cfRule>
    <cfRule type="cellIs" dxfId="11108" priority="10948" stopIfTrue="1" operator="equal">
      <formula>"Pass"</formula>
    </cfRule>
  </conditionalFormatting>
  <conditionalFormatting sqref="J1012:J1013">
    <cfRule type="cellIs" dxfId="11107" priority="10945" stopIfTrue="1" operator="equal">
      <formula>"Pass"</formula>
    </cfRule>
    <cfRule type="cellIs" dxfId="11106" priority="10946" stopIfTrue="1" operator="equal">
      <formula>"Fail"</formula>
    </cfRule>
  </conditionalFormatting>
  <conditionalFormatting sqref="H1012:H1013 I1013">
    <cfRule type="cellIs" dxfId="11105" priority="10943" stopIfTrue="1" operator="equal">
      <formula>"Pass"</formula>
    </cfRule>
    <cfRule type="cellIs" dxfId="11104" priority="10944" stopIfTrue="1" operator="equal">
      <formula>"Fail"</formula>
    </cfRule>
  </conditionalFormatting>
  <conditionalFormatting sqref="F1012:G1012 K1012:N1013">
    <cfRule type="cellIs" dxfId="11103" priority="10941" stopIfTrue="1" operator="equal">
      <formula>"Pass"</formula>
    </cfRule>
    <cfRule type="cellIs" dxfId="11102" priority="10942" stopIfTrue="1" operator="equal">
      <formula>"Fail"</formula>
    </cfRule>
  </conditionalFormatting>
  <conditionalFormatting sqref="T1012:T1013 U1013">
    <cfRule type="cellIs" dxfId="11101" priority="10939" stopIfTrue="1" operator="equal">
      <formula>"Fail"</formula>
    </cfRule>
    <cfRule type="cellIs" dxfId="11100" priority="10940" stopIfTrue="1" operator="equal">
      <formula>"Pass"</formula>
    </cfRule>
  </conditionalFormatting>
  <conditionalFormatting sqref="U1012">
    <cfRule type="cellIs" dxfId="11099" priority="10937" stopIfTrue="1" operator="equal">
      <formula>"Fail"</formula>
    </cfRule>
    <cfRule type="cellIs" dxfId="11098" priority="10938" stopIfTrue="1" operator="equal">
      <formula>"Pass"</formula>
    </cfRule>
  </conditionalFormatting>
  <conditionalFormatting sqref="U1012">
    <cfRule type="cellIs" dxfId="11097" priority="10935" stopIfTrue="1" operator="equal">
      <formula>"Fail"</formula>
    </cfRule>
    <cfRule type="cellIs" dxfId="11096" priority="10936" stopIfTrue="1" operator="equal">
      <formula>"Pass"</formula>
    </cfRule>
  </conditionalFormatting>
  <conditionalFormatting sqref="J1012:J1013">
    <cfRule type="cellIs" dxfId="11095" priority="10933" stopIfTrue="1" operator="equal">
      <formula>"Pass"</formula>
    </cfRule>
    <cfRule type="cellIs" dxfId="11094" priority="10934" stopIfTrue="1" operator="equal">
      <formula>"Fail"</formula>
    </cfRule>
  </conditionalFormatting>
  <conditionalFormatting sqref="H1012:H1013 I1013">
    <cfRule type="cellIs" dxfId="11093" priority="10931" stopIfTrue="1" operator="equal">
      <formula>"Pass"</formula>
    </cfRule>
    <cfRule type="cellIs" dxfId="11092" priority="10932" stopIfTrue="1" operator="equal">
      <formula>"Fail"</formula>
    </cfRule>
  </conditionalFormatting>
  <conditionalFormatting sqref="F1012:G1012 K1012:N1013">
    <cfRule type="cellIs" dxfId="11091" priority="10929" stopIfTrue="1" operator="equal">
      <formula>"Pass"</formula>
    </cfRule>
    <cfRule type="cellIs" dxfId="11090" priority="10930" stopIfTrue="1" operator="equal">
      <formula>"Fail"</formula>
    </cfRule>
  </conditionalFormatting>
  <conditionalFormatting sqref="T1012:T1013 U1013">
    <cfRule type="cellIs" dxfId="11089" priority="10927" stopIfTrue="1" operator="equal">
      <formula>"Fail"</formula>
    </cfRule>
    <cfRule type="cellIs" dxfId="11088" priority="10928" stopIfTrue="1" operator="equal">
      <formula>"Pass"</formula>
    </cfRule>
  </conditionalFormatting>
  <conditionalFormatting sqref="U1012">
    <cfRule type="cellIs" dxfId="11087" priority="10925" stopIfTrue="1" operator="equal">
      <formula>"Fail"</formula>
    </cfRule>
    <cfRule type="cellIs" dxfId="11086" priority="10926" stopIfTrue="1" operator="equal">
      <formula>"Pass"</formula>
    </cfRule>
  </conditionalFormatting>
  <conditionalFormatting sqref="U1012">
    <cfRule type="cellIs" dxfId="11085" priority="10923" stopIfTrue="1" operator="equal">
      <formula>"Fail"</formula>
    </cfRule>
    <cfRule type="cellIs" dxfId="11084" priority="10924" stopIfTrue="1" operator="equal">
      <formula>"Pass"</formula>
    </cfRule>
  </conditionalFormatting>
  <conditionalFormatting sqref="F1012:G1012 K1012:N1012">
    <cfRule type="cellIs" dxfId="11083" priority="10921" stopIfTrue="1" operator="equal">
      <formula>"Pass"</formula>
    </cfRule>
    <cfRule type="cellIs" dxfId="11082" priority="10922" stopIfTrue="1" operator="equal">
      <formula>"Fail"</formula>
    </cfRule>
  </conditionalFormatting>
  <conditionalFormatting sqref="K1013:N1013">
    <cfRule type="cellIs" dxfId="11081" priority="10919" stopIfTrue="1" operator="equal">
      <formula>"Pass"</formula>
    </cfRule>
    <cfRule type="cellIs" dxfId="11080" priority="10920" stopIfTrue="1" operator="equal">
      <formula>"Fail"</formula>
    </cfRule>
  </conditionalFormatting>
  <conditionalFormatting sqref="U1012">
    <cfRule type="cellIs" dxfId="11079" priority="10917" stopIfTrue="1" operator="equal">
      <formula>"Fail"</formula>
    </cfRule>
    <cfRule type="cellIs" dxfId="11078" priority="10918" stopIfTrue="1" operator="equal">
      <formula>"Pass"</formula>
    </cfRule>
  </conditionalFormatting>
  <conditionalFormatting sqref="U1012">
    <cfRule type="cellIs" dxfId="11077" priority="10915" stopIfTrue="1" operator="equal">
      <formula>"Fail"</formula>
    </cfRule>
    <cfRule type="cellIs" dxfId="11076" priority="10916" stopIfTrue="1" operator="equal">
      <formula>"Pass"</formula>
    </cfRule>
  </conditionalFormatting>
  <conditionalFormatting sqref="U1012">
    <cfRule type="cellIs" dxfId="11075" priority="10913" stopIfTrue="1" operator="equal">
      <formula>"Fail"</formula>
    </cfRule>
    <cfRule type="cellIs" dxfId="11074" priority="10914" stopIfTrue="1" operator="equal">
      <formula>"Pass"</formula>
    </cfRule>
  </conditionalFormatting>
  <conditionalFormatting sqref="U1012">
    <cfRule type="cellIs" dxfId="11073" priority="10911" stopIfTrue="1" operator="equal">
      <formula>"Fail"</formula>
    </cfRule>
    <cfRule type="cellIs" dxfId="11072" priority="10912" stopIfTrue="1" operator="equal">
      <formula>"Pass"</formula>
    </cfRule>
  </conditionalFormatting>
  <conditionalFormatting sqref="A1012">
    <cfRule type="cellIs" dxfId="11071" priority="10909" stopIfTrue="1" operator="equal">
      <formula>"Pass"</formula>
    </cfRule>
    <cfRule type="cellIs" dxfId="11070" priority="10910" stopIfTrue="1" operator="equal">
      <formula>"Fail"</formula>
    </cfRule>
  </conditionalFormatting>
  <conditionalFormatting sqref="A1012">
    <cfRule type="cellIs" dxfId="11069" priority="10907" stopIfTrue="1" operator="equal">
      <formula>"Pass"</formula>
    </cfRule>
    <cfRule type="cellIs" dxfId="11068" priority="10908" stopIfTrue="1" operator="equal">
      <formula>"Fail"</formula>
    </cfRule>
  </conditionalFormatting>
  <conditionalFormatting sqref="A1012">
    <cfRule type="cellIs" dxfId="11067" priority="10905" stopIfTrue="1" operator="equal">
      <formula>"Pass"</formula>
    </cfRule>
    <cfRule type="cellIs" dxfId="11066" priority="10906" stopIfTrue="1" operator="equal">
      <formula>"Fail"</formula>
    </cfRule>
  </conditionalFormatting>
  <conditionalFormatting sqref="A1012">
    <cfRule type="cellIs" dxfId="11065" priority="10903" stopIfTrue="1" operator="equal">
      <formula>"Pass"</formula>
    </cfRule>
    <cfRule type="cellIs" dxfId="11064" priority="10904" stopIfTrue="1" operator="equal">
      <formula>"Fail"</formula>
    </cfRule>
  </conditionalFormatting>
  <conditionalFormatting sqref="A1012">
    <cfRule type="cellIs" dxfId="11063" priority="10901" stopIfTrue="1" operator="equal">
      <formula>"Pass"</formula>
    </cfRule>
    <cfRule type="cellIs" dxfId="11062" priority="10902" stopIfTrue="1" operator="equal">
      <formula>"Fail"</formula>
    </cfRule>
  </conditionalFormatting>
  <conditionalFormatting sqref="A1012">
    <cfRule type="cellIs" dxfId="11061" priority="10899" stopIfTrue="1" operator="equal">
      <formula>"Pass"</formula>
    </cfRule>
    <cfRule type="cellIs" dxfId="11060" priority="10900" stopIfTrue="1" operator="equal">
      <formula>"Fail"</formula>
    </cfRule>
  </conditionalFormatting>
  <conditionalFormatting sqref="A1012">
    <cfRule type="cellIs" dxfId="11059" priority="10897" stopIfTrue="1" operator="equal">
      <formula>"Pass"</formula>
    </cfRule>
    <cfRule type="cellIs" dxfId="11058" priority="10898" stopIfTrue="1" operator="equal">
      <formula>"Fail"</formula>
    </cfRule>
  </conditionalFormatting>
  <conditionalFormatting sqref="A1012">
    <cfRule type="cellIs" dxfId="11057" priority="10895" stopIfTrue="1" operator="equal">
      <formula>"Pass"</formula>
    </cfRule>
    <cfRule type="cellIs" dxfId="11056" priority="10896" stopIfTrue="1" operator="equal">
      <formula>"Fail"</formula>
    </cfRule>
  </conditionalFormatting>
  <conditionalFormatting sqref="A1012">
    <cfRule type="cellIs" dxfId="11055" priority="10893" stopIfTrue="1" operator="equal">
      <formula>"Pass"</formula>
    </cfRule>
    <cfRule type="cellIs" dxfId="11054" priority="10894" stopIfTrue="1" operator="equal">
      <formula>"Fail"</formula>
    </cfRule>
  </conditionalFormatting>
  <conditionalFormatting sqref="A1012">
    <cfRule type="cellIs" dxfId="11053" priority="10891" stopIfTrue="1" operator="equal">
      <formula>"Pass"</formula>
    </cfRule>
    <cfRule type="cellIs" dxfId="11052" priority="10892" stopIfTrue="1" operator="equal">
      <formula>"Fail"</formula>
    </cfRule>
  </conditionalFormatting>
  <conditionalFormatting sqref="A1012">
    <cfRule type="cellIs" dxfId="11051" priority="10889" stopIfTrue="1" operator="equal">
      <formula>"Pass"</formula>
    </cfRule>
    <cfRule type="cellIs" dxfId="11050" priority="10890" stopIfTrue="1" operator="equal">
      <formula>"Fail"</formula>
    </cfRule>
  </conditionalFormatting>
  <conditionalFormatting sqref="A1012">
    <cfRule type="cellIs" dxfId="11049" priority="10887" stopIfTrue="1" operator="equal">
      <formula>"Pass"</formula>
    </cfRule>
    <cfRule type="cellIs" dxfId="11048" priority="10888" stopIfTrue="1" operator="equal">
      <formula>"Fail"</formula>
    </cfRule>
  </conditionalFormatting>
  <conditionalFormatting sqref="A1012">
    <cfRule type="cellIs" dxfId="11047" priority="10885" stopIfTrue="1" operator="equal">
      <formula>"Pass"</formula>
    </cfRule>
    <cfRule type="cellIs" dxfId="11046" priority="10886" stopIfTrue="1" operator="equal">
      <formula>"Fail"</formula>
    </cfRule>
  </conditionalFormatting>
  <conditionalFormatting sqref="A1012">
    <cfRule type="cellIs" dxfId="11045" priority="10883" stopIfTrue="1" operator="equal">
      <formula>"Pass"</formula>
    </cfRule>
    <cfRule type="cellIs" dxfId="11044" priority="10884" stopIfTrue="1" operator="equal">
      <formula>"Fail"</formula>
    </cfRule>
  </conditionalFormatting>
  <conditionalFormatting sqref="A1012">
    <cfRule type="cellIs" dxfId="11043" priority="10881" stopIfTrue="1" operator="equal">
      <formula>"Pass"</formula>
    </cfRule>
    <cfRule type="cellIs" dxfId="11042" priority="10882" stopIfTrue="1" operator="equal">
      <formula>"Fail"</formula>
    </cfRule>
  </conditionalFormatting>
  <conditionalFormatting sqref="A1012">
    <cfRule type="cellIs" dxfId="11041" priority="10879" stopIfTrue="1" operator="equal">
      <formula>"Pass"</formula>
    </cfRule>
    <cfRule type="cellIs" dxfId="11040" priority="10880" stopIfTrue="1" operator="equal">
      <formula>"Fail"</formula>
    </cfRule>
  </conditionalFormatting>
  <conditionalFormatting sqref="A1012">
    <cfRule type="cellIs" dxfId="11039" priority="10877" stopIfTrue="1" operator="equal">
      <formula>"Pass"</formula>
    </cfRule>
    <cfRule type="cellIs" dxfId="11038" priority="10878" stopIfTrue="1" operator="equal">
      <formula>"Fail"</formula>
    </cfRule>
  </conditionalFormatting>
  <conditionalFormatting sqref="A1012">
    <cfRule type="cellIs" dxfId="11037" priority="10875" stopIfTrue="1" operator="equal">
      <formula>"Pass"</formula>
    </cfRule>
    <cfRule type="cellIs" dxfId="11036" priority="10876" stopIfTrue="1" operator="equal">
      <formula>"Fail"</formula>
    </cfRule>
  </conditionalFormatting>
  <conditionalFormatting sqref="U1012">
    <cfRule type="cellIs" dxfId="11035" priority="10873" stopIfTrue="1" operator="equal">
      <formula>"Fail"</formula>
    </cfRule>
    <cfRule type="cellIs" dxfId="11034" priority="10874" stopIfTrue="1" operator="equal">
      <formula>"Pass"</formula>
    </cfRule>
  </conditionalFormatting>
  <conditionalFormatting sqref="U1012">
    <cfRule type="cellIs" dxfId="11033" priority="10871" stopIfTrue="1" operator="equal">
      <formula>"Fail"</formula>
    </cfRule>
    <cfRule type="cellIs" dxfId="11032" priority="10872" stopIfTrue="1" operator="equal">
      <formula>"Pass"</formula>
    </cfRule>
  </conditionalFormatting>
  <conditionalFormatting sqref="U1012">
    <cfRule type="cellIs" dxfId="11031" priority="10869" stopIfTrue="1" operator="equal">
      <formula>"Fail"</formula>
    </cfRule>
    <cfRule type="cellIs" dxfId="11030" priority="10870" stopIfTrue="1" operator="equal">
      <formula>"Pass"</formula>
    </cfRule>
  </conditionalFormatting>
  <conditionalFormatting sqref="U1012">
    <cfRule type="cellIs" dxfId="11029" priority="10867" stopIfTrue="1" operator="equal">
      <formula>"Fail"</formula>
    </cfRule>
    <cfRule type="cellIs" dxfId="11028" priority="10868" stopIfTrue="1" operator="equal">
      <formula>"Pass"</formula>
    </cfRule>
  </conditionalFormatting>
  <conditionalFormatting sqref="A1015:A1017">
    <cfRule type="cellIs" dxfId="11027" priority="10865" stopIfTrue="1" operator="equal">
      <formula>"Pass"</formula>
    </cfRule>
    <cfRule type="cellIs" dxfId="11026" priority="10866" stopIfTrue="1" operator="equal">
      <formula>"Fail"</formula>
    </cfRule>
  </conditionalFormatting>
  <conditionalFormatting sqref="A1015:A1017">
    <cfRule type="cellIs" dxfId="11025" priority="10863" stopIfTrue="1" operator="equal">
      <formula>"Pass"</formula>
    </cfRule>
    <cfRule type="cellIs" dxfId="11024" priority="10864" stopIfTrue="1" operator="equal">
      <formula>"Fail"</formula>
    </cfRule>
  </conditionalFormatting>
  <conditionalFormatting sqref="A1015:A1017">
    <cfRule type="cellIs" dxfId="11023" priority="10861" stopIfTrue="1" operator="equal">
      <formula>"Pass"</formula>
    </cfRule>
    <cfRule type="cellIs" dxfId="11022" priority="10862" stopIfTrue="1" operator="equal">
      <formula>"Fail"</formula>
    </cfRule>
  </conditionalFormatting>
  <conditionalFormatting sqref="A1015:A1017">
    <cfRule type="cellIs" dxfId="11021" priority="10859" stopIfTrue="1" operator="equal">
      <formula>"Pass"</formula>
    </cfRule>
    <cfRule type="cellIs" dxfId="11020" priority="10860" stopIfTrue="1" operator="equal">
      <formula>"Fail"</formula>
    </cfRule>
  </conditionalFormatting>
  <conditionalFormatting sqref="A1015:A1017">
    <cfRule type="cellIs" dxfId="11019" priority="10857" stopIfTrue="1" operator="equal">
      <formula>"Pass"</formula>
    </cfRule>
    <cfRule type="cellIs" dxfId="11018" priority="10858" stopIfTrue="1" operator="equal">
      <formula>"Fail"</formula>
    </cfRule>
  </conditionalFormatting>
  <conditionalFormatting sqref="A1017">
    <cfRule type="cellIs" dxfId="11017" priority="10855" stopIfTrue="1" operator="equal">
      <formula>"Pass"</formula>
    </cfRule>
    <cfRule type="cellIs" dxfId="11016" priority="10856" stopIfTrue="1" operator="equal">
      <formula>"Fail"</formula>
    </cfRule>
  </conditionalFormatting>
  <conditionalFormatting sqref="A1015:A1017">
    <cfRule type="cellIs" dxfId="11015" priority="10853" stopIfTrue="1" operator="equal">
      <formula>"Pass"</formula>
    </cfRule>
    <cfRule type="cellIs" dxfId="11014" priority="10854" stopIfTrue="1" operator="equal">
      <formula>"Fail"</formula>
    </cfRule>
  </conditionalFormatting>
  <conditionalFormatting sqref="A1015:A1017">
    <cfRule type="cellIs" dxfId="11013" priority="10851" stopIfTrue="1" operator="equal">
      <formula>"Pass"</formula>
    </cfRule>
    <cfRule type="cellIs" dxfId="11012" priority="10852" stopIfTrue="1" operator="equal">
      <formula>"Fail"</formula>
    </cfRule>
  </conditionalFormatting>
  <conditionalFormatting sqref="A1015:A1017">
    <cfRule type="cellIs" dxfId="11011" priority="10849" stopIfTrue="1" operator="equal">
      <formula>"Pass"</formula>
    </cfRule>
    <cfRule type="cellIs" dxfId="11010" priority="10850" stopIfTrue="1" operator="equal">
      <formula>"Fail"</formula>
    </cfRule>
  </conditionalFormatting>
  <conditionalFormatting sqref="A1015:A1017">
    <cfRule type="cellIs" dxfId="11009" priority="10847" stopIfTrue="1" operator="equal">
      <formula>"Pass"</formula>
    </cfRule>
    <cfRule type="cellIs" dxfId="11008" priority="10848" stopIfTrue="1" operator="equal">
      <formula>"Fail"</formula>
    </cfRule>
  </conditionalFormatting>
  <conditionalFormatting sqref="A1015:A1017">
    <cfRule type="cellIs" dxfId="11007" priority="10845" stopIfTrue="1" operator="equal">
      <formula>"Pass"</formula>
    </cfRule>
    <cfRule type="cellIs" dxfId="11006" priority="10846" stopIfTrue="1" operator="equal">
      <formula>"Fail"</formula>
    </cfRule>
  </conditionalFormatting>
  <conditionalFormatting sqref="A1015:A1017">
    <cfRule type="cellIs" dxfId="11005" priority="10843" stopIfTrue="1" operator="equal">
      <formula>"Pass"</formula>
    </cfRule>
    <cfRule type="cellIs" dxfId="11004" priority="10844" stopIfTrue="1" operator="equal">
      <formula>"Fail"</formula>
    </cfRule>
  </conditionalFormatting>
  <conditionalFormatting sqref="A1017">
    <cfRule type="cellIs" dxfId="11003" priority="10841" stopIfTrue="1" operator="equal">
      <formula>"Pass"</formula>
    </cfRule>
    <cfRule type="cellIs" dxfId="11002" priority="10842" stopIfTrue="1" operator="equal">
      <formula>"Fail"</formula>
    </cfRule>
  </conditionalFormatting>
  <conditionalFormatting sqref="A1015:A1017">
    <cfRule type="cellIs" dxfId="11001" priority="10839" stopIfTrue="1" operator="equal">
      <formula>"Pass"</formula>
    </cfRule>
    <cfRule type="cellIs" dxfId="11000" priority="10840" stopIfTrue="1" operator="equal">
      <formula>"Fail"</formula>
    </cfRule>
  </conditionalFormatting>
  <conditionalFormatting sqref="A1015:A1017">
    <cfRule type="cellIs" dxfId="10999" priority="10837" stopIfTrue="1" operator="equal">
      <formula>"Pass"</formula>
    </cfRule>
    <cfRule type="cellIs" dxfId="10998" priority="10838" stopIfTrue="1" operator="equal">
      <formula>"Fail"</formula>
    </cfRule>
  </conditionalFormatting>
  <conditionalFormatting sqref="A1015:A1017">
    <cfRule type="cellIs" dxfId="10997" priority="10835" stopIfTrue="1" operator="equal">
      <formula>"Pass"</formula>
    </cfRule>
    <cfRule type="cellIs" dxfId="10996" priority="10836" stopIfTrue="1" operator="equal">
      <formula>"Fail"</formula>
    </cfRule>
  </conditionalFormatting>
  <conditionalFormatting sqref="A1015:A1017">
    <cfRule type="cellIs" dxfId="10995" priority="10833" stopIfTrue="1" operator="equal">
      <formula>"Pass"</formula>
    </cfRule>
    <cfRule type="cellIs" dxfId="10994" priority="10834" stopIfTrue="1" operator="equal">
      <formula>"Fail"</formula>
    </cfRule>
  </conditionalFormatting>
  <conditionalFormatting sqref="A1015:A1017">
    <cfRule type="cellIs" dxfId="10993" priority="10831" stopIfTrue="1" operator="equal">
      <formula>"Pass"</formula>
    </cfRule>
    <cfRule type="cellIs" dxfId="10992" priority="10832" stopIfTrue="1" operator="equal">
      <formula>"Fail"</formula>
    </cfRule>
  </conditionalFormatting>
  <conditionalFormatting sqref="A1015:A1017">
    <cfRule type="cellIs" dxfId="10991" priority="10829" stopIfTrue="1" operator="equal">
      <formula>"Pass"</formula>
    </cfRule>
    <cfRule type="cellIs" dxfId="10990" priority="10830" stopIfTrue="1" operator="equal">
      <formula>"Fail"</formula>
    </cfRule>
  </conditionalFormatting>
  <conditionalFormatting sqref="A1017">
    <cfRule type="cellIs" dxfId="10989" priority="10827" stopIfTrue="1" operator="equal">
      <formula>"Pass"</formula>
    </cfRule>
    <cfRule type="cellIs" dxfId="10988" priority="10828" stopIfTrue="1" operator="equal">
      <formula>"Fail"</formula>
    </cfRule>
  </conditionalFormatting>
  <conditionalFormatting sqref="A1015:A1017">
    <cfRule type="cellIs" dxfId="10987" priority="10825" stopIfTrue="1" operator="equal">
      <formula>"Pass"</formula>
    </cfRule>
    <cfRule type="cellIs" dxfId="10986" priority="10826" stopIfTrue="1" operator="equal">
      <formula>"Fail"</formula>
    </cfRule>
  </conditionalFormatting>
  <conditionalFormatting sqref="A1015:A1017">
    <cfRule type="cellIs" dxfId="10985" priority="10823" stopIfTrue="1" operator="equal">
      <formula>"Pass"</formula>
    </cfRule>
    <cfRule type="cellIs" dxfId="10984" priority="10824" stopIfTrue="1" operator="equal">
      <formula>"Fail"</formula>
    </cfRule>
  </conditionalFormatting>
  <conditionalFormatting sqref="A1015:A1017">
    <cfRule type="cellIs" dxfId="10983" priority="10821" stopIfTrue="1" operator="equal">
      <formula>"Pass"</formula>
    </cfRule>
    <cfRule type="cellIs" dxfId="10982" priority="10822" stopIfTrue="1" operator="equal">
      <formula>"Fail"</formula>
    </cfRule>
  </conditionalFormatting>
  <conditionalFormatting sqref="A1015:A1017">
    <cfRule type="cellIs" dxfId="10981" priority="10819" stopIfTrue="1" operator="equal">
      <formula>"Pass"</formula>
    </cfRule>
    <cfRule type="cellIs" dxfId="10980" priority="10820" stopIfTrue="1" operator="equal">
      <formula>"Fail"</formula>
    </cfRule>
  </conditionalFormatting>
  <conditionalFormatting sqref="A1015:A1017">
    <cfRule type="cellIs" dxfId="10979" priority="10817" stopIfTrue="1" operator="equal">
      <formula>"Pass"</formula>
    </cfRule>
    <cfRule type="cellIs" dxfId="10978" priority="10818" stopIfTrue="1" operator="equal">
      <formula>"Fail"</formula>
    </cfRule>
  </conditionalFormatting>
  <conditionalFormatting sqref="A1015:A1017">
    <cfRule type="cellIs" dxfId="10977" priority="10815" stopIfTrue="1" operator="equal">
      <formula>"Pass"</formula>
    </cfRule>
    <cfRule type="cellIs" dxfId="10976" priority="10816" stopIfTrue="1" operator="equal">
      <formula>"Fail"</formula>
    </cfRule>
  </conditionalFormatting>
  <conditionalFormatting sqref="A1017">
    <cfRule type="cellIs" dxfId="10975" priority="10813" stopIfTrue="1" operator="equal">
      <formula>"Pass"</formula>
    </cfRule>
    <cfRule type="cellIs" dxfId="10974" priority="10814" stopIfTrue="1" operator="equal">
      <formula>"Fail"</formula>
    </cfRule>
  </conditionalFormatting>
  <conditionalFormatting sqref="A1015:A1017">
    <cfRule type="cellIs" dxfId="10973" priority="10811" stopIfTrue="1" operator="equal">
      <formula>"Pass"</formula>
    </cfRule>
    <cfRule type="cellIs" dxfId="10972" priority="10812" stopIfTrue="1" operator="equal">
      <formula>"Fail"</formula>
    </cfRule>
  </conditionalFormatting>
  <conditionalFormatting sqref="A1015:A1017">
    <cfRule type="cellIs" dxfId="10971" priority="10809" stopIfTrue="1" operator="equal">
      <formula>"Pass"</formula>
    </cfRule>
    <cfRule type="cellIs" dxfId="10970" priority="10810" stopIfTrue="1" operator="equal">
      <formula>"Fail"</formula>
    </cfRule>
  </conditionalFormatting>
  <conditionalFormatting sqref="A1015:A1017">
    <cfRule type="cellIs" dxfId="10969" priority="10807" stopIfTrue="1" operator="equal">
      <formula>"Pass"</formula>
    </cfRule>
    <cfRule type="cellIs" dxfId="10968" priority="10808" stopIfTrue="1" operator="equal">
      <formula>"Fail"</formula>
    </cfRule>
  </conditionalFormatting>
  <conditionalFormatting sqref="A1015:A1017">
    <cfRule type="cellIs" dxfId="10967" priority="10805" stopIfTrue="1" operator="equal">
      <formula>"Pass"</formula>
    </cfRule>
    <cfRule type="cellIs" dxfId="10966" priority="10806" stopIfTrue="1" operator="equal">
      <formula>"Fail"</formula>
    </cfRule>
  </conditionalFormatting>
  <conditionalFormatting sqref="A1015:A1017">
    <cfRule type="cellIs" dxfId="10965" priority="10803" stopIfTrue="1" operator="equal">
      <formula>"Pass"</formula>
    </cfRule>
    <cfRule type="cellIs" dxfId="10964" priority="10804" stopIfTrue="1" operator="equal">
      <formula>"Fail"</formula>
    </cfRule>
  </conditionalFormatting>
  <conditionalFormatting sqref="A1015:A1017">
    <cfRule type="cellIs" dxfId="10963" priority="10801" stopIfTrue="1" operator="equal">
      <formula>"Pass"</formula>
    </cfRule>
    <cfRule type="cellIs" dxfId="10962" priority="10802" stopIfTrue="1" operator="equal">
      <formula>"Fail"</formula>
    </cfRule>
  </conditionalFormatting>
  <conditionalFormatting sqref="A1017">
    <cfRule type="cellIs" dxfId="10961" priority="10799" stopIfTrue="1" operator="equal">
      <formula>"Pass"</formula>
    </cfRule>
    <cfRule type="cellIs" dxfId="10960" priority="10800" stopIfTrue="1" operator="equal">
      <formula>"Fail"</formula>
    </cfRule>
  </conditionalFormatting>
  <conditionalFormatting sqref="A1015:A1017">
    <cfRule type="cellIs" dxfId="10959" priority="10797" stopIfTrue="1" operator="equal">
      <formula>"Pass"</formula>
    </cfRule>
    <cfRule type="cellIs" dxfId="10958" priority="10798" stopIfTrue="1" operator="equal">
      <formula>"Fail"</formula>
    </cfRule>
  </conditionalFormatting>
  <conditionalFormatting sqref="A1015:A1017">
    <cfRule type="cellIs" dxfId="10957" priority="10795" stopIfTrue="1" operator="equal">
      <formula>"Pass"</formula>
    </cfRule>
    <cfRule type="cellIs" dxfId="10956" priority="10796" stopIfTrue="1" operator="equal">
      <formula>"Fail"</formula>
    </cfRule>
  </conditionalFormatting>
  <conditionalFormatting sqref="A1015:A1017">
    <cfRule type="cellIs" dxfId="10955" priority="10793" stopIfTrue="1" operator="equal">
      <formula>"Pass"</formula>
    </cfRule>
    <cfRule type="cellIs" dxfId="10954" priority="10794" stopIfTrue="1" operator="equal">
      <formula>"Fail"</formula>
    </cfRule>
  </conditionalFormatting>
  <conditionalFormatting sqref="A1015:A1017">
    <cfRule type="cellIs" dxfId="10953" priority="10791" stopIfTrue="1" operator="equal">
      <formula>"Pass"</formula>
    </cfRule>
    <cfRule type="cellIs" dxfId="10952" priority="10792" stopIfTrue="1" operator="equal">
      <formula>"Fail"</formula>
    </cfRule>
  </conditionalFormatting>
  <conditionalFormatting sqref="A1015:A1017">
    <cfRule type="cellIs" dxfId="10951" priority="10789" stopIfTrue="1" operator="equal">
      <formula>"Pass"</formula>
    </cfRule>
    <cfRule type="cellIs" dxfId="10950" priority="10790" stopIfTrue="1" operator="equal">
      <formula>"Fail"</formula>
    </cfRule>
  </conditionalFormatting>
  <conditionalFormatting sqref="A1015:A1017">
    <cfRule type="cellIs" dxfId="10949" priority="10787" stopIfTrue="1" operator="equal">
      <formula>"Pass"</formula>
    </cfRule>
    <cfRule type="cellIs" dxfId="10948" priority="10788" stopIfTrue="1" operator="equal">
      <formula>"Fail"</formula>
    </cfRule>
  </conditionalFormatting>
  <conditionalFormatting sqref="A1017">
    <cfRule type="cellIs" dxfId="10947" priority="10785" stopIfTrue="1" operator="equal">
      <formula>"Pass"</formula>
    </cfRule>
    <cfRule type="cellIs" dxfId="10946" priority="10786" stopIfTrue="1" operator="equal">
      <formula>"Fail"</formula>
    </cfRule>
  </conditionalFormatting>
  <conditionalFormatting sqref="A1015:A1017">
    <cfRule type="cellIs" dxfId="10945" priority="10783" stopIfTrue="1" operator="equal">
      <formula>"Pass"</formula>
    </cfRule>
    <cfRule type="cellIs" dxfId="10944" priority="10784" stopIfTrue="1" operator="equal">
      <formula>"Fail"</formula>
    </cfRule>
  </conditionalFormatting>
  <conditionalFormatting sqref="A1015">
    <cfRule type="cellIs" dxfId="10943" priority="10781" stopIfTrue="1" operator="equal">
      <formula>"Pass"</formula>
    </cfRule>
    <cfRule type="cellIs" dxfId="10942" priority="10782" stopIfTrue="1" operator="equal">
      <formula>"Fail"</formula>
    </cfRule>
  </conditionalFormatting>
  <conditionalFormatting sqref="A1015">
    <cfRule type="cellIs" dxfId="10941" priority="10779" stopIfTrue="1" operator="equal">
      <formula>"Pass"</formula>
    </cfRule>
    <cfRule type="cellIs" dxfId="10940" priority="10780" stopIfTrue="1" operator="equal">
      <formula>"Fail"</formula>
    </cfRule>
  </conditionalFormatting>
  <conditionalFormatting sqref="A1015">
    <cfRule type="cellIs" dxfId="10939" priority="10777" stopIfTrue="1" operator="equal">
      <formula>"Pass"</formula>
    </cfRule>
    <cfRule type="cellIs" dxfId="10938" priority="10778" stopIfTrue="1" operator="equal">
      <formula>"Fail"</formula>
    </cfRule>
  </conditionalFormatting>
  <conditionalFormatting sqref="A1015">
    <cfRule type="cellIs" dxfId="10937" priority="10775" stopIfTrue="1" operator="equal">
      <formula>"Pass"</formula>
    </cfRule>
    <cfRule type="cellIs" dxfId="10936" priority="10776" stopIfTrue="1" operator="equal">
      <formula>"Fail"</formula>
    </cfRule>
  </conditionalFormatting>
  <conditionalFormatting sqref="A1015">
    <cfRule type="cellIs" dxfId="10935" priority="10773" stopIfTrue="1" operator="equal">
      <formula>"Pass"</formula>
    </cfRule>
    <cfRule type="cellIs" dxfId="10934" priority="10774" stopIfTrue="1" operator="equal">
      <formula>"Fail"</formula>
    </cfRule>
  </conditionalFormatting>
  <conditionalFormatting sqref="A1015">
    <cfRule type="cellIs" dxfId="10933" priority="10771" stopIfTrue="1" operator="equal">
      <formula>"Pass"</formula>
    </cfRule>
    <cfRule type="cellIs" dxfId="10932" priority="10772" stopIfTrue="1" operator="equal">
      <formula>"Fail"</formula>
    </cfRule>
  </conditionalFormatting>
  <conditionalFormatting sqref="H1015:H1016">
    <cfRule type="cellIs" dxfId="10931" priority="10769" stopIfTrue="1" operator="equal">
      <formula>"Pass"</formula>
    </cfRule>
    <cfRule type="cellIs" dxfId="10930" priority="10770" stopIfTrue="1" operator="equal">
      <formula>"Fail"</formula>
    </cfRule>
  </conditionalFormatting>
  <conditionalFormatting sqref="E1015:F1015 E1017:F1017 A1015 I1015:M1016">
    <cfRule type="cellIs" dxfId="10929" priority="10767" stopIfTrue="1" operator="equal">
      <formula>"Pass"</formula>
    </cfRule>
    <cfRule type="cellIs" dxfId="10928" priority="10768" stopIfTrue="1" operator="equal">
      <formula>"Fail"</formula>
    </cfRule>
  </conditionalFormatting>
  <conditionalFormatting sqref="T1017 T1015 R1015:R1017 S1016:S1017">
    <cfRule type="cellIs" dxfId="10927" priority="10765" stopIfTrue="1" operator="equal">
      <formula>"Fail"</formula>
    </cfRule>
    <cfRule type="cellIs" dxfId="10926" priority="10766" stopIfTrue="1" operator="equal">
      <formula>"Pass"</formula>
    </cfRule>
  </conditionalFormatting>
  <conditionalFormatting sqref="F1015:G1015 F1017:G1017 B1015:B1017 A1015 J1015:N1016">
    <cfRule type="cellIs" dxfId="10925" priority="10763" stopIfTrue="1" operator="equal">
      <formula>"Pass"</formula>
    </cfRule>
    <cfRule type="cellIs" dxfId="10924" priority="10764" stopIfTrue="1" operator="equal">
      <formula>"Fail"</formula>
    </cfRule>
  </conditionalFormatting>
  <conditionalFormatting sqref="U1017 T1015:T1017 S1016:S1017">
    <cfRule type="cellIs" dxfId="10923" priority="10761" stopIfTrue="1" operator="equal">
      <formula>"Fail"</formula>
    </cfRule>
    <cfRule type="cellIs" dxfId="10922" priority="10762" stopIfTrue="1" operator="equal">
      <formula>"Pass"</formula>
    </cfRule>
  </conditionalFormatting>
  <conditionalFormatting sqref="A1015">
    <cfRule type="cellIs" dxfId="10921" priority="10759" stopIfTrue="1" operator="equal">
      <formula>"Pass"</formula>
    </cfRule>
    <cfRule type="cellIs" dxfId="10920" priority="10760" stopIfTrue="1" operator="equal">
      <formula>"Fail"</formula>
    </cfRule>
  </conditionalFormatting>
  <conditionalFormatting sqref="A1015">
    <cfRule type="cellIs" dxfId="10919" priority="10757" stopIfTrue="1" operator="equal">
      <formula>"Pass"</formula>
    </cfRule>
    <cfRule type="cellIs" dxfId="10918" priority="10758" stopIfTrue="1" operator="equal">
      <formula>"Fail"</formula>
    </cfRule>
  </conditionalFormatting>
  <conditionalFormatting sqref="A1015">
    <cfRule type="cellIs" dxfId="10917" priority="10755" stopIfTrue="1" operator="equal">
      <formula>"Pass"</formula>
    </cfRule>
    <cfRule type="cellIs" dxfId="10916" priority="10756" stopIfTrue="1" operator="equal">
      <formula>"Fail"</formula>
    </cfRule>
  </conditionalFormatting>
  <conditionalFormatting sqref="A1015">
    <cfRule type="cellIs" dxfId="10915" priority="10753" stopIfTrue="1" operator="equal">
      <formula>"Pass"</formula>
    </cfRule>
    <cfRule type="cellIs" dxfId="10914" priority="10754" stopIfTrue="1" operator="equal">
      <formula>"Fail"</formula>
    </cfRule>
  </conditionalFormatting>
  <conditionalFormatting sqref="A1015">
    <cfRule type="cellIs" dxfId="10913" priority="10751" stopIfTrue="1" operator="equal">
      <formula>"Pass"</formula>
    </cfRule>
    <cfRule type="cellIs" dxfId="10912" priority="10752" stopIfTrue="1" operator="equal">
      <formula>"Fail"</formula>
    </cfRule>
  </conditionalFormatting>
  <conditionalFormatting sqref="A1015">
    <cfRule type="cellIs" dxfId="10911" priority="10749" stopIfTrue="1" operator="equal">
      <formula>"Pass"</formula>
    </cfRule>
    <cfRule type="cellIs" dxfId="10910" priority="10750" stopIfTrue="1" operator="equal">
      <formula>"Fail"</formula>
    </cfRule>
  </conditionalFormatting>
  <conditionalFormatting sqref="A1015">
    <cfRule type="cellIs" dxfId="10909" priority="10747" stopIfTrue="1" operator="equal">
      <formula>"Pass"</formula>
    </cfRule>
    <cfRule type="cellIs" dxfId="10908" priority="10748" stopIfTrue="1" operator="equal">
      <formula>"Fail"</formula>
    </cfRule>
  </conditionalFormatting>
  <conditionalFormatting sqref="A1015">
    <cfRule type="cellIs" dxfId="10907" priority="10745" stopIfTrue="1" operator="equal">
      <formula>"Pass"</formula>
    </cfRule>
    <cfRule type="cellIs" dxfId="10906" priority="10746" stopIfTrue="1" operator="equal">
      <formula>"Fail"</formula>
    </cfRule>
  </conditionalFormatting>
  <conditionalFormatting sqref="A1015">
    <cfRule type="cellIs" dxfId="10905" priority="10743" stopIfTrue="1" operator="equal">
      <formula>"Pass"</formula>
    </cfRule>
    <cfRule type="cellIs" dxfId="10904" priority="10744" stopIfTrue="1" operator="equal">
      <formula>"Fail"</formula>
    </cfRule>
  </conditionalFormatting>
  <conditionalFormatting sqref="A1015">
    <cfRule type="cellIs" dxfId="10903" priority="10741" stopIfTrue="1" operator="equal">
      <formula>"Pass"</formula>
    </cfRule>
    <cfRule type="cellIs" dxfId="10902" priority="10742" stopIfTrue="1" operator="equal">
      <formula>"Fail"</formula>
    </cfRule>
  </conditionalFormatting>
  <conditionalFormatting sqref="U1015">
    <cfRule type="cellIs" dxfId="10901" priority="10739" stopIfTrue="1" operator="equal">
      <formula>"Fail"</formula>
    </cfRule>
    <cfRule type="cellIs" dxfId="10900" priority="10740" stopIfTrue="1" operator="equal">
      <formula>"Pass"</formula>
    </cfRule>
  </conditionalFormatting>
  <conditionalFormatting sqref="F1015:G1015 J1015:N1015">
    <cfRule type="cellIs" dxfId="10899" priority="10737" stopIfTrue="1" operator="equal">
      <formula>"Pass"</formula>
    </cfRule>
    <cfRule type="cellIs" dxfId="10898" priority="10738" stopIfTrue="1" operator="equal">
      <formula>"Fail"</formula>
    </cfRule>
  </conditionalFormatting>
  <conditionalFormatting sqref="J1016:N1016">
    <cfRule type="cellIs" dxfId="10897" priority="10735" stopIfTrue="1" operator="equal">
      <formula>"Pass"</formula>
    </cfRule>
    <cfRule type="cellIs" dxfId="10896" priority="10736" stopIfTrue="1" operator="equal">
      <formula>"Fail"</formula>
    </cfRule>
  </conditionalFormatting>
  <conditionalFormatting sqref="A1015">
    <cfRule type="cellIs" dxfId="10895" priority="10733" stopIfTrue="1" operator="equal">
      <formula>"Pass"</formula>
    </cfRule>
    <cfRule type="cellIs" dxfId="10894" priority="10734" stopIfTrue="1" operator="equal">
      <formula>"Fail"</formula>
    </cfRule>
  </conditionalFormatting>
  <conditionalFormatting sqref="A1015">
    <cfRule type="cellIs" dxfId="10893" priority="10731" stopIfTrue="1" operator="equal">
      <formula>"Pass"</formula>
    </cfRule>
    <cfRule type="cellIs" dxfId="10892" priority="10732" stopIfTrue="1" operator="equal">
      <formula>"Fail"</formula>
    </cfRule>
  </conditionalFormatting>
  <conditionalFormatting sqref="A1015">
    <cfRule type="cellIs" dxfId="10891" priority="10729" stopIfTrue="1" operator="equal">
      <formula>"Pass"</formula>
    </cfRule>
    <cfRule type="cellIs" dxfId="10890" priority="10730" stopIfTrue="1" operator="equal">
      <formula>"Fail"</formula>
    </cfRule>
  </conditionalFormatting>
  <conditionalFormatting sqref="A1015">
    <cfRule type="cellIs" dxfId="10889" priority="10727" stopIfTrue="1" operator="equal">
      <formula>"Pass"</formula>
    </cfRule>
    <cfRule type="cellIs" dxfId="10888" priority="10728" stopIfTrue="1" operator="equal">
      <formula>"Fail"</formula>
    </cfRule>
  </conditionalFormatting>
  <conditionalFormatting sqref="A1015">
    <cfRule type="cellIs" dxfId="10887" priority="10725" stopIfTrue="1" operator="equal">
      <formula>"Pass"</formula>
    </cfRule>
    <cfRule type="cellIs" dxfId="10886" priority="10726" stopIfTrue="1" operator="equal">
      <formula>"Fail"</formula>
    </cfRule>
  </conditionalFormatting>
  <conditionalFormatting sqref="A1015">
    <cfRule type="cellIs" dxfId="10885" priority="10723" stopIfTrue="1" operator="equal">
      <formula>"Pass"</formula>
    </cfRule>
    <cfRule type="cellIs" dxfId="10884" priority="10724" stopIfTrue="1" operator="equal">
      <formula>"Fail"</formula>
    </cfRule>
  </conditionalFormatting>
  <conditionalFormatting sqref="A1015">
    <cfRule type="cellIs" dxfId="10883" priority="10721" stopIfTrue="1" operator="equal">
      <formula>"Pass"</formula>
    </cfRule>
    <cfRule type="cellIs" dxfId="10882" priority="10722" stopIfTrue="1" operator="equal">
      <formula>"Fail"</formula>
    </cfRule>
  </conditionalFormatting>
  <conditionalFormatting sqref="A1015">
    <cfRule type="cellIs" dxfId="10881" priority="10719" stopIfTrue="1" operator="equal">
      <formula>"Pass"</formula>
    </cfRule>
    <cfRule type="cellIs" dxfId="10880" priority="10720" stopIfTrue="1" operator="equal">
      <formula>"Fail"</formula>
    </cfRule>
  </conditionalFormatting>
  <conditionalFormatting sqref="A1015">
    <cfRule type="cellIs" dxfId="10879" priority="10717" stopIfTrue="1" operator="equal">
      <formula>"Pass"</formula>
    </cfRule>
    <cfRule type="cellIs" dxfId="10878" priority="10718" stopIfTrue="1" operator="equal">
      <formula>"Fail"</formula>
    </cfRule>
  </conditionalFormatting>
  <conditionalFormatting sqref="A1015">
    <cfRule type="cellIs" dxfId="10877" priority="10715" stopIfTrue="1" operator="equal">
      <formula>"Pass"</formula>
    </cfRule>
    <cfRule type="cellIs" dxfId="10876" priority="10716" stopIfTrue="1" operator="equal">
      <formula>"Fail"</formula>
    </cfRule>
  </conditionalFormatting>
  <conditionalFormatting sqref="A1015">
    <cfRule type="cellIs" dxfId="10875" priority="10713" stopIfTrue="1" operator="equal">
      <formula>"Pass"</formula>
    </cfRule>
    <cfRule type="cellIs" dxfId="10874" priority="10714" stopIfTrue="1" operator="equal">
      <formula>"Fail"</formula>
    </cfRule>
  </conditionalFormatting>
  <conditionalFormatting sqref="A1015">
    <cfRule type="cellIs" dxfId="10873" priority="10711" stopIfTrue="1" operator="equal">
      <formula>"Pass"</formula>
    </cfRule>
    <cfRule type="cellIs" dxfId="10872" priority="10712" stopIfTrue="1" operator="equal">
      <formula>"Fail"</formula>
    </cfRule>
  </conditionalFormatting>
  <conditionalFormatting sqref="H1015:H1016">
    <cfRule type="cellIs" dxfId="10871" priority="10709" stopIfTrue="1" operator="equal">
      <formula>"Pass"</formula>
    </cfRule>
    <cfRule type="cellIs" dxfId="10870" priority="10710" stopIfTrue="1" operator="equal">
      <formula>"Fail"</formula>
    </cfRule>
  </conditionalFormatting>
  <conditionalFormatting sqref="F1015 F1017 I1015:M1016">
    <cfRule type="cellIs" dxfId="10869" priority="10707" stopIfTrue="1" operator="equal">
      <formula>"Pass"</formula>
    </cfRule>
    <cfRule type="cellIs" dxfId="10868" priority="10708" stopIfTrue="1" operator="equal">
      <formula>"Fail"</formula>
    </cfRule>
  </conditionalFormatting>
  <conditionalFormatting sqref="T1017 T1015 R1015:R1017 S1016:S1017">
    <cfRule type="cellIs" dxfId="10867" priority="10705" stopIfTrue="1" operator="equal">
      <formula>"Fail"</formula>
    </cfRule>
    <cfRule type="cellIs" dxfId="10866" priority="10706" stopIfTrue="1" operator="equal">
      <formula>"Pass"</formula>
    </cfRule>
  </conditionalFormatting>
  <conditionalFormatting sqref="F1015:G1015 F1017:G1017 J1015:N1016">
    <cfRule type="cellIs" dxfId="10865" priority="10703" stopIfTrue="1" operator="equal">
      <formula>"Pass"</formula>
    </cfRule>
    <cfRule type="cellIs" dxfId="10864" priority="10704" stopIfTrue="1" operator="equal">
      <formula>"Fail"</formula>
    </cfRule>
  </conditionalFormatting>
  <conditionalFormatting sqref="U1017 T1015:T1017 S1016:S1017">
    <cfRule type="cellIs" dxfId="10863" priority="10701" stopIfTrue="1" operator="equal">
      <formula>"Fail"</formula>
    </cfRule>
    <cfRule type="cellIs" dxfId="10862" priority="10702" stopIfTrue="1" operator="equal">
      <formula>"Pass"</formula>
    </cfRule>
  </conditionalFormatting>
  <conditionalFormatting sqref="U1015">
    <cfRule type="cellIs" dxfId="10861" priority="10699" stopIfTrue="1" operator="equal">
      <formula>"Fail"</formula>
    </cfRule>
    <cfRule type="cellIs" dxfId="10860" priority="10700" stopIfTrue="1" operator="equal">
      <formula>"Pass"</formula>
    </cfRule>
  </conditionalFormatting>
  <conditionalFormatting sqref="F1015:G1015 J1015:N1015">
    <cfRule type="cellIs" dxfId="10859" priority="10697" stopIfTrue="1" operator="equal">
      <formula>"Pass"</formula>
    </cfRule>
    <cfRule type="cellIs" dxfId="10858" priority="10698" stopIfTrue="1" operator="equal">
      <formula>"Fail"</formula>
    </cfRule>
  </conditionalFormatting>
  <conditionalFormatting sqref="J1016:N1016">
    <cfRule type="cellIs" dxfId="10857" priority="10695" stopIfTrue="1" operator="equal">
      <formula>"Pass"</formula>
    </cfRule>
    <cfRule type="cellIs" dxfId="10856" priority="10696" stopIfTrue="1" operator="equal">
      <formula>"Fail"</formula>
    </cfRule>
  </conditionalFormatting>
  <conditionalFormatting sqref="H1015:H1016">
    <cfRule type="cellIs" dxfId="10855" priority="10693" stopIfTrue="1" operator="equal">
      <formula>"Pass"</formula>
    </cfRule>
    <cfRule type="cellIs" dxfId="10854" priority="10694" stopIfTrue="1" operator="equal">
      <formula>"Fail"</formula>
    </cfRule>
  </conditionalFormatting>
  <conditionalFormatting sqref="F1015 F1017 I1015:M1016">
    <cfRule type="cellIs" dxfId="10853" priority="10691" stopIfTrue="1" operator="equal">
      <formula>"Pass"</formula>
    </cfRule>
    <cfRule type="cellIs" dxfId="10852" priority="10692" stopIfTrue="1" operator="equal">
      <formula>"Fail"</formula>
    </cfRule>
  </conditionalFormatting>
  <conditionalFormatting sqref="T1017 T1015 R1015:R1017 S1016:S1017">
    <cfRule type="cellIs" dxfId="10851" priority="10689" stopIfTrue="1" operator="equal">
      <formula>"Fail"</formula>
    </cfRule>
    <cfRule type="cellIs" dxfId="10850" priority="10690" stopIfTrue="1" operator="equal">
      <formula>"Pass"</formula>
    </cfRule>
  </conditionalFormatting>
  <conditionalFormatting sqref="F1015:G1015 F1017:G1017 J1015:N1016">
    <cfRule type="cellIs" dxfId="10849" priority="10687" stopIfTrue="1" operator="equal">
      <formula>"Pass"</formula>
    </cfRule>
    <cfRule type="cellIs" dxfId="10848" priority="10688" stopIfTrue="1" operator="equal">
      <formula>"Fail"</formula>
    </cfRule>
  </conditionalFormatting>
  <conditionalFormatting sqref="U1017 T1015:T1017 S1016:S1017">
    <cfRule type="cellIs" dxfId="10847" priority="10685" stopIfTrue="1" operator="equal">
      <formula>"Fail"</formula>
    </cfRule>
    <cfRule type="cellIs" dxfId="10846" priority="10686" stopIfTrue="1" operator="equal">
      <formula>"Pass"</formula>
    </cfRule>
  </conditionalFormatting>
  <conditionalFormatting sqref="U1015">
    <cfRule type="cellIs" dxfId="10845" priority="10683" stopIfTrue="1" operator="equal">
      <formula>"Fail"</formula>
    </cfRule>
    <cfRule type="cellIs" dxfId="10844" priority="10684" stopIfTrue="1" operator="equal">
      <formula>"Pass"</formula>
    </cfRule>
  </conditionalFormatting>
  <conditionalFormatting sqref="F1015:G1015 J1015:N1015">
    <cfRule type="cellIs" dxfId="10843" priority="10681" stopIfTrue="1" operator="equal">
      <formula>"Pass"</formula>
    </cfRule>
    <cfRule type="cellIs" dxfId="10842" priority="10682" stopIfTrue="1" operator="equal">
      <formula>"Fail"</formula>
    </cfRule>
  </conditionalFormatting>
  <conditionalFormatting sqref="J1016:N1016">
    <cfRule type="cellIs" dxfId="10841" priority="10679" stopIfTrue="1" operator="equal">
      <formula>"Pass"</formula>
    </cfRule>
    <cfRule type="cellIs" dxfId="10840" priority="10680" stopIfTrue="1" operator="equal">
      <formula>"Fail"</formula>
    </cfRule>
  </conditionalFormatting>
  <conditionalFormatting sqref="U1015">
    <cfRule type="cellIs" dxfId="10839" priority="10677" stopIfTrue="1" operator="equal">
      <formula>"Fail"</formula>
    </cfRule>
    <cfRule type="cellIs" dxfId="10838" priority="10678" stopIfTrue="1" operator="equal">
      <formula>"Pass"</formula>
    </cfRule>
  </conditionalFormatting>
  <conditionalFormatting sqref="U1015">
    <cfRule type="cellIs" dxfId="10837" priority="10675" stopIfTrue="1" operator="equal">
      <formula>"Fail"</formula>
    </cfRule>
    <cfRule type="cellIs" dxfId="10836" priority="10676" stopIfTrue="1" operator="equal">
      <formula>"Pass"</formula>
    </cfRule>
  </conditionalFormatting>
  <conditionalFormatting sqref="U1015">
    <cfRule type="cellIs" dxfId="10835" priority="10673" stopIfTrue="1" operator="equal">
      <formula>"Fail"</formula>
    </cfRule>
    <cfRule type="cellIs" dxfId="10834" priority="10674" stopIfTrue="1" operator="equal">
      <formula>"Pass"</formula>
    </cfRule>
  </conditionalFormatting>
  <conditionalFormatting sqref="N1015">
    <cfRule type="cellIs" dxfId="10833" priority="10671" stopIfTrue="1" operator="equal">
      <formula>"Pass"</formula>
    </cfRule>
    <cfRule type="cellIs" dxfId="10832" priority="10672" stopIfTrue="1" operator="equal">
      <formula>"Fail"</formula>
    </cfRule>
  </conditionalFormatting>
  <conditionalFormatting sqref="N1015">
    <cfRule type="cellIs" dxfId="10831" priority="10669" stopIfTrue="1" operator="equal">
      <formula>"Pass"</formula>
    </cfRule>
    <cfRule type="cellIs" dxfId="10830" priority="10670" stopIfTrue="1" operator="equal">
      <formula>"Fail"</formula>
    </cfRule>
  </conditionalFormatting>
  <conditionalFormatting sqref="N1015">
    <cfRule type="cellIs" dxfId="10829" priority="10667" stopIfTrue="1" operator="equal">
      <formula>"Pass"</formula>
    </cfRule>
    <cfRule type="cellIs" dxfId="10828" priority="10668" stopIfTrue="1" operator="equal">
      <formula>"Fail"</formula>
    </cfRule>
  </conditionalFormatting>
  <conditionalFormatting sqref="A1015">
    <cfRule type="cellIs" dxfId="10827" priority="10665" stopIfTrue="1" operator="equal">
      <formula>"Pass"</formula>
    </cfRule>
    <cfRule type="cellIs" dxfId="10826" priority="10666" stopIfTrue="1" operator="equal">
      <formula>"Fail"</formula>
    </cfRule>
  </conditionalFormatting>
  <conditionalFormatting sqref="A1015">
    <cfRule type="cellIs" dxfId="10825" priority="10663" stopIfTrue="1" operator="equal">
      <formula>"Pass"</formula>
    </cfRule>
    <cfRule type="cellIs" dxfId="10824" priority="10664" stopIfTrue="1" operator="equal">
      <formula>"Fail"</formula>
    </cfRule>
  </conditionalFormatting>
  <conditionalFormatting sqref="A1015">
    <cfRule type="cellIs" dxfId="10823" priority="10661" stopIfTrue="1" operator="equal">
      <formula>"Pass"</formula>
    </cfRule>
    <cfRule type="cellIs" dxfId="10822" priority="10662" stopIfTrue="1" operator="equal">
      <formula>"Fail"</formula>
    </cfRule>
  </conditionalFormatting>
  <conditionalFormatting sqref="A1015">
    <cfRule type="cellIs" dxfId="10821" priority="10659" stopIfTrue="1" operator="equal">
      <formula>"Pass"</formula>
    </cfRule>
    <cfRule type="cellIs" dxfId="10820" priority="10660" stopIfTrue="1" operator="equal">
      <formula>"Fail"</formula>
    </cfRule>
  </conditionalFormatting>
  <conditionalFormatting sqref="A1015">
    <cfRule type="cellIs" dxfId="10819" priority="10657" stopIfTrue="1" operator="equal">
      <formula>"Pass"</formula>
    </cfRule>
    <cfRule type="cellIs" dxfId="10818" priority="10658" stopIfTrue="1" operator="equal">
      <formula>"Fail"</formula>
    </cfRule>
  </conditionalFormatting>
  <conditionalFormatting sqref="A1015">
    <cfRule type="cellIs" dxfId="10817" priority="10655" stopIfTrue="1" operator="equal">
      <formula>"Pass"</formula>
    </cfRule>
    <cfRule type="cellIs" dxfId="10816" priority="10656" stopIfTrue="1" operator="equal">
      <formula>"Fail"</formula>
    </cfRule>
  </conditionalFormatting>
  <conditionalFormatting sqref="A1015">
    <cfRule type="cellIs" dxfId="10815" priority="10653" stopIfTrue="1" operator="equal">
      <formula>"Pass"</formula>
    </cfRule>
    <cfRule type="cellIs" dxfId="10814" priority="10654" stopIfTrue="1" operator="equal">
      <formula>"Fail"</formula>
    </cfRule>
  </conditionalFormatting>
  <conditionalFormatting sqref="A1015">
    <cfRule type="cellIs" dxfId="10813" priority="10651" stopIfTrue="1" operator="equal">
      <formula>"Pass"</formula>
    </cfRule>
    <cfRule type="cellIs" dxfId="10812" priority="10652" stopIfTrue="1" operator="equal">
      <formula>"Fail"</formula>
    </cfRule>
  </conditionalFormatting>
  <conditionalFormatting sqref="A1015">
    <cfRule type="cellIs" dxfId="10811" priority="10649" stopIfTrue="1" operator="equal">
      <formula>"Pass"</formula>
    </cfRule>
    <cfRule type="cellIs" dxfId="10810" priority="10650" stopIfTrue="1" operator="equal">
      <formula>"Fail"</formula>
    </cfRule>
  </conditionalFormatting>
  <conditionalFormatting sqref="A1015">
    <cfRule type="cellIs" dxfId="10809" priority="10647" stopIfTrue="1" operator="equal">
      <formula>"Pass"</formula>
    </cfRule>
    <cfRule type="cellIs" dxfId="10808" priority="10648" stopIfTrue="1" operator="equal">
      <formula>"Fail"</formula>
    </cfRule>
  </conditionalFormatting>
  <conditionalFormatting sqref="A1015">
    <cfRule type="cellIs" dxfId="10807" priority="10645" stopIfTrue="1" operator="equal">
      <formula>"Pass"</formula>
    </cfRule>
    <cfRule type="cellIs" dxfId="10806" priority="10646" stopIfTrue="1" operator="equal">
      <formula>"Fail"</formula>
    </cfRule>
  </conditionalFormatting>
  <conditionalFormatting sqref="A1015">
    <cfRule type="cellIs" dxfId="10805" priority="10643" stopIfTrue="1" operator="equal">
      <formula>"Pass"</formula>
    </cfRule>
    <cfRule type="cellIs" dxfId="10804" priority="10644" stopIfTrue="1" operator="equal">
      <formula>"Fail"</formula>
    </cfRule>
  </conditionalFormatting>
  <conditionalFormatting sqref="A1015">
    <cfRule type="cellIs" dxfId="10803" priority="10641" stopIfTrue="1" operator="equal">
      <formula>"Pass"</formula>
    </cfRule>
    <cfRule type="cellIs" dxfId="10802" priority="10642" stopIfTrue="1" operator="equal">
      <formula>"Fail"</formula>
    </cfRule>
  </conditionalFormatting>
  <conditionalFormatting sqref="A1015">
    <cfRule type="cellIs" dxfId="10801" priority="10639" stopIfTrue="1" operator="equal">
      <formula>"Pass"</formula>
    </cfRule>
    <cfRule type="cellIs" dxfId="10800" priority="10640" stopIfTrue="1" operator="equal">
      <formula>"Fail"</formula>
    </cfRule>
  </conditionalFormatting>
  <conditionalFormatting sqref="A1015">
    <cfRule type="cellIs" dxfId="10799" priority="10637" stopIfTrue="1" operator="equal">
      <formula>"Pass"</formula>
    </cfRule>
    <cfRule type="cellIs" dxfId="10798" priority="10638" stopIfTrue="1" operator="equal">
      <formula>"Fail"</formula>
    </cfRule>
  </conditionalFormatting>
  <conditionalFormatting sqref="A1015">
    <cfRule type="cellIs" dxfId="10797" priority="10635" stopIfTrue="1" operator="equal">
      <formula>"Pass"</formula>
    </cfRule>
    <cfRule type="cellIs" dxfId="10796" priority="10636" stopIfTrue="1" operator="equal">
      <formula>"Fail"</formula>
    </cfRule>
  </conditionalFormatting>
  <conditionalFormatting sqref="A1015">
    <cfRule type="cellIs" dxfId="10795" priority="10633" stopIfTrue="1" operator="equal">
      <formula>"Pass"</formula>
    </cfRule>
    <cfRule type="cellIs" dxfId="10794" priority="10634" stopIfTrue="1" operator="equal">
      <formula>"Fail"</formula>
    </cfRule>
  </conditionalFormatting>
  <conditionalFormatting sqref="A1015">
    <cfRule type="cellIs" dxfId="10793" priority="10631" stopIfTrue="1" operator="equal">
      <formula>"Pass"</formula>
    </cfRule>
    <cfRule type="cellIs" dxfId="10792" priority="10632" stopIfTrue="1" operator="equal">
      <formula>"Fail"</formula>
    </cfRule>
  </conditionalFormatting>
  <conditionalFormatting sqref="H1015:H1016">
    <cfRule type="cellIs" dxfId="10791" priority="10629" stopIfTrue="1" operator="equal">
      <formula>"Pass"</formula>
    </cfRule>
    <cfRule type="cellIs" dxfId="10790" priority="10630" stopIfTrue="1" operator="equal">
      <formula>"Fail"</formula>
    </cfRule>
  </conditionalFormatting>
  <conditionalFormatting sqref="F1015 F1017 I1015:M1016">
    <cfRule type="cellIs" dxfId="10789" priority="10627" stopIfTrue="1" operator="equal">
      <formula>"Pass"</formula>
    </cfRule>
    <cfRule type="cellIs" dxfId="10788" priority="10628" stopIfTrue="1" operator="equal">
      <formula>"Fail"</formula>
    </cfRule>
  </conditionalFormatting>
  <conditionalFormatting sqref="T1017 T1015 R1015:R1017 S1016:S1017">
    <cfRule type="cellIs" dxfId="10787" priority="10625" stopIfTrue="1" operator="equal">
      <formula>"Fail"</formula>
    </cfRule>
    <cfRule type="cellIs" dxfId="10786" priority="10626" stopIfTrue="1" operator="equal">
      <formula>"Pass"</formula>
    </cfRule>
  </conditionalFormatting>
  <conditionalFormatting sqref="F1015:G1015 F1017:G1017 J1015:N1016">
    <cfRule type="cellIs" dxfId="10785" priority="10623" stopIfTrue="1" operator="equal">
      <formula>"Pass"</formula>
    </cfRule>
    <cfRule type="cellIs" dxfId="10784" priority="10624" stopIfTrue="1" operator="equal">
      <formula>"Fail"</formula>
    </cfRule>
  </conditionalFormatting>
  <conditionalFormatting sqref="U1017 T1015:T1017 S1016:S1017">
    <cfRule type="cellIs" dxfId="10783" priority="10621" stopIfTrue="1" operator="equal">
      <formula>"Fail"</formula>
    </cfRule>
    <cfRule type="cellIs" dxfId="10782" priority="10622" stopIfTrue="1" operator="equal">
      <formula>"Pass"</formula>
    </cfRule>
  </conditionalFormatting>
  <conditionalFormatting sqref="U1015">
    <cfRule type="cellIs" dxfId="10781" priority="10619" stopIfTrue="1" operator="equal">
      <formula>"Fail"</formula>
    </cfRule>
    <cfRule type="cellIs" dxfId="10780" priority="10620" stopIfTrue="1" operator="equal">
      <formula>"Pass"</formula>
    </cfRule>
  </conditionalFormatting>
  <conditionalFormatting sqref="F1015:G1015 J1015:N1015">
    <cfRule type="cellIs" dxfId="10779" priority="10617" stopIfTrue="1" operator="equal">
      <formula>"Pass"</formula>
    </cfRule>
    <cfRule type="cellIs" dxfId="10778" priority="10618" stopIfTrue="1" operator="equal">
      <formula>"Fail"</formula>
    </cfRule>
  </conditionalFormatting>
  <conditionalFormatting sqref="J1016:N1016">
    <cfRule type="cellIs" dxfId="10777" priority="10615" stopIfTrue="1" operator="equal">
      <formula>"Pass"</formula>
    </cfRule>
    <cfRule type="cellIs" dxfId="10776" priority="10616" stopIfTrue="1" operator="equal">
      <formula>"Fail"</formula>
    </cfRule>
  </conditionalFormatting>
  <conditionalFormatting sqref="H1015:H1016">
    <cfRule type="cellIs" dxfId="10775" priority="10613" stopIfTrue="1" operator="equal">
      <formula>"Pass"</formula>
    </cfRule>
    <cfRule type="cellIs" dxfId="10774" priority="10614" stopIfTrue="1" operator="equal">
      <formula>"Fail"</formula>
    </cfRule>
  </conditionalFormatting>
  <conditionalFormatting sqref="F1015 F1017 I1015:M1016">
    <cfRule type="cellIs" dxfId="10773" priority="10611" stopIfTrue="1" operator="equal">
      <formula>"Pass"</formula>
    </cfRule>
    <cfRule type="cellIs" dxfId="10772" priority="10612" stopIfTrue="1" operator="equal">
      <formula>"Fail"</formula>
    </cfRule>
  </conditionalFormatting>
  <conditionalFormatting sqref="T1017 T1015 R1015:R1017 S1016:S1017">
    <cfRule type="cellIs" dxfId="10771" priority="10609" stopIfTrue="1" operator="equal">
      <formula>"Fail"</formula>
    </cfRule>
    <cfRule type="cellIs" dxfId="10770" priority="10610" stopIfTrue="1" operator="equal">
      <formula>"Pass"</formula>
    </cfRule>
  </conditionalFormatting>
  <conditionalFormatting sqref="F1015:G1015 F1017:G1017 J1015:N1016">
    <cfRule type="cellIs" dxfId="10769" priority="10607" stopIfTrue="1" operator="equal">
      <formula>"Pass"</formula>
    </cfRule>
    <cfRule type="cellIs" dxfId="10768" priority="10608" stopIfTrue="1" operator="equal">
      <formula>"Fail"</formula>
    </cfRule>
  </conditionalFormatting>
  <conditionalFormatting sqref="U1017 T1015:T1017 S1016:S1017">
    <cfRule type="cellIs" dxfId="10767" priority="10605" stopIfTrue="1" operator="equal">
      <formula>"Fail"</formula>
    </cfRule>
    <cfRule type="cellIs" dxfId="10766" priority="10606" stopIfTrue="1" operator="equal">
      <formula>"Pass"</formula>
    </cfRule>
  </conditionalFormatting>
  <conditionalFormatting sqref="U1015">
    <cfRule type="cellIs" dxfId="10765" priority="10603" stopIfTrue="1" operator="equal">
      <formula>"Fail"</formula>
    </cfRule>
    <cfRule type="cellIs" dxfId="10764" priority="10604" stopIfTrue="1" operator="equal">
      <formula>"Pass"</formula>
    </cfRule>
  </conditionalFormatting>
  <conditionalFormatting sqref="F1015:G1015 J1015:N1015">
    <cfRule type="cellIs" dxfId="10763" priority="10601" stopIfTrue="1" operator="equal">
      <formula>"Pass"</formula>
    </cfRule>
    <cfRule type="cellIs" dxfId="10762" priority="10602" stopIfTrue="1" operator="equal">
      <formula>"Fail"</formula>
    </cfRule>
  </conditionalFormatting>
  <conditionalFormatting sqref="J1016:N1016">
    <cfRule type="cellIs" dxfId="10761" priority="10599" stopIfTrue="1" operator="equal">
      <formula>"Pass"</formula>
    </cfRule>
    <cfRule type="cellIs" dxfId="10760" priority="10600" stopIfTrue="1" operator="equal">
      <formula>"Fail"</formula>
    </cfRule>
  </conditionalFormatting>
  <conditionalFormatting sqref="H1015:H1016">
    <cfRule type="cellIs" dxfId="10759" priority="10597" stopIfTrue="1" operator="equal">
      <formula>"Pass"</formula>
    </cfRule>
    <cfRule type="cellIs" dxfId="10758" priority="10598" stopIfTrue="1" operator="equal">
      <formula>"Fail"</formula>
    </cfRule>
  </conditionalFormatting>
  <conditionalFormatting sqref="F1015 F1017 I1015:M1016">
    <cfRule type="cellIs" dxfId="10757" priority="10595" stopIfTrue="1" operator="equal">
      <formula>"Pass"</formula>
    </cfRule>
    <cfRule type="cellIs" dxfId="10756" priority="10596" stopIfTrue="1" operator="equal">
      <formula>"Fail"</formula>
    </cfRule>
  </conditionalFormatting>
  <conditionalFormatting sqref="T1017 T1015 R1015:R1017 S1016:S1017">
    <cfRule type="cellIs" dxfId="10755" priority="10593" stopIfTrue="1" operator="equal">
      <formula>"Fail"</formula>
    </cfRule>
    <cfRule type="cellIs" dxfId="10754" priority="10594" stopIfTrue="1" operator="equal">
      <formula>"Pass"</formula>
    </cfRule>
  </conditionalFormatting>
  <conditionalFormatting sqref="F1015:G1015 F1017:G1017 J1015:N1016">
    <cfRule type="cellIs" dxfId="10753" priority="10591" stopIfTrue="1" operator="equal">
      <formula>"Pass"</formula>
    </cfRule>
    <cfRule type="cellIs" dxfId="10752" priority="10592" stopIfTrue="1" operator="equal">
      <formula>"Fail"</formula>
    </cfRule>
  </conditionalFormatting>
  <conditionalFormatting sqref="U1017 T1015:T1017 S1016:S1017">
    <cfRule type="cellIs" dxfId="10751" priority="10589" stopIfTrue="1" operator="equal">
      <formula>"Fail"</formula>
    </cfRule>
    <cfRule type="cellIs" dxfId="10750" priority="10590" stopIfTrue="1" operator="equal">
      <formula>"Pass"</formula>
    </cfRule>
  </conditionalFormatting>
  <conditionalFormatting sqref="U1015">
    <cfRule type="cellIs" dxfId="10749" priority="10587" stopIfTrue="1" operator="equal">
      <formula>"Fail"</formula>
    </cfRule>
    <cfRule type="cellIs" dxfId="10748" priority="10588" stopIfTrue="1" operator="equal">
      <formula>"Pass"</formula>
    </cfRule>
  </conditionalFormatting>
  <conditionalFormatting sqref="F1015:G1015 J1015:N1015">
    <cfRule type="cellIs" dxfId="10747" priority="10585" stopIfTrue="1" operator="equal">
      <formula>"Pass"</formula>
    </cfRule>
    <cfRule type="cellIs" dxfId="10746" priority="10586" stopIfTrue="1" operator="equal">
      <formula>"Fail"</formula>
    </cfRule>
  </conditionalFormatting>
  <conditionalFormatting sqref="J1016:N1016">
    <cfRule type="cellIs" dxfId="10745" priority="10583" stopIfTrue="1" operator="equal">
      <formula>"Pass"</formula>
    </cfRule>
    <cfRule type="cellIs" dxfId="10744" priority="10584" stopIfTrue="1" operator="equal">
      <formula>"Fail"</formula>
    </cfRule>
  </conditionalFormatting>
  <conditionalFormatting sqref="U1015">
    <cfRule type="cellIs" dxfId="10743" priority="10581" stopIfTrue="1" operator="equal">
      <formula>"Fail"</formula>
    </cfRule>
    <cfRule type="cellIs" dxfId="10742" priority="10582" stopIfTrue="1" operator="equal">
      <formula>"Pass"</formula>
    </cfRule>
  </conditionalFormatting>
  <conditionalFormatting sqref="U1015">
    <cfRule type="cellIs" dxfId="10741" priority="10579" stopIfTrue="1" operator="equal">
      <formula>"Fail"</formula>
    </cfRule>
    <cfRule type="cellIs" dxfId="10740" priority="10580" stopIfTrue="1" operator="equal">
      <formula>"Pass"</formula>
    </cfRule>
  </conditionalFormatting>
  <conditionalFormatting sqref="U1015">
    <cfRule type="cellIs" dxfId="10739" priority="10577" stopIfTrue="1" operator="equal">
      <formula>"Fail"</formula>
    </cfRule>
    <cfRule type="cellIs" dxfId="10738" priority="10578" stopIfTrue="1" operator="equal">
      <formula>"Pass"</formula>
    </cfRule>
  </conditionalFormatting>
  <conditionalFormatting sqref="N1015">
    <cfRule type="cellIs" dxfId="10737" priority="10575" stopIfTrue="1" operator="equal">
      <formula>"Pass"</formula>
    </cfRule>
    <cfRule type="cellIs" dxfId="10736" priority="10576" stopIfTrue="1" operator="equal">
      <formula>"Fail"</formula>
    </cfRule>
  </conditionalFormatting>
  <conditionalFormatting sqref="N1015">
    <cfRule type="cellIs" dxfId="10735" priority="10573" stopIfTrue="1" operator="equal">
      <formula>"Pass"</formula>
    </cfRule>
    <cfRule type="cellIs" dxfId="10734" priority="10574" stopIfTrue="1" operator="equal">
      <formula>"Fail"</formula>
    </cfRule>
  </conditionalFormatting>
  <conditionalFormatting sqref="N1015">
    <cfRule type="cellIs" dxfId="10733" priority="10571" stopIfTrue="1" operator="equal">
      <formula>"Pass"</formula>
    </cfRule>
    <cfRule type="cellIs" dxfId="10732" priority="10572" stopIfTrue="1" operator="equal">
      <formula>"Fail"</formula>
    </cfRule>
  </conditionalFormatting>
  <conditionalFormatting sqref="U1015">
    <cfRule type="cellIs" dxfId="10731" priority="10569" stopIfTrue="1" operator="equal">
      <formula>"Fail"</formula>
    </cfRule>
    <cfRule type="cellIs" dxfId="10730" priority="10570" stopIfTrue="1" operator="equal">
      <formula>"Pass"</formula>
    </cfRule>
  </conditionalFormatting>
  <conditionalFormatting sqref="U1015">
    <cfRule type="cellIs" dxfId="10729" priority="10567" stopIfTrue="1" operator="equal">
      <formula>"Fail"</formula>
    </cfRule>
    <cfRule type="cellIs" dxfId="10728" priority="10568" stopIfTrue="1" operator="equal">
      <formula>"Pass"</formula>
    </cfRule>
  </conditionalFormatting>
  <conditionalFormatting sqref="U1015">
    <cfRule type="cellIs" dxfId="10727" priority="10565" stopIfTrue="1" operator="equal">
      <formula>"Fail"</formula>
    </cfRule>
    <cfRule type="cellIs" dxfId="10726" priority="10566" stopIfTrue="1" operator="equal">
      <formula>"Pass"</formula>
    </cfRule>
  </conditionalFormatting>
  <conditionalFormatting sqref="U1015">
    <cfRule type="cellIs" dxfId="10725" priority="10563" stopIfTrue="1" operator="equal">
      <formula>"Fail"</formula>
    </cfRule>
    <cfRule type="cellIs" dxfId="10724" priority="10564" stopIfTrue="1" operator="equal">
      <formula>"Pass"</formula>
    </cfRule>
  </conditionalFormatting>
  <conditionalFormatting sqref="T1015">
    <cfRule type="cellIs" dxfId="10723" priority="10561" stopIfTrue="1" operator="equal">
      <formula>"Fail"</formula>
    </cfRule>
    <cfRule type="cellIs" dxfId="10722" priority="10562" stopIfTrue="1" operator="equal">
      <formula>"Pass"</formula>
    </cfRule>
  </conditionalFormatting>
  <conditionalFormatting sqref="T1015">
    <cfRule type="cellIs" dxfId="10721" priority="10559" stopIfTrue="1" operator="equal">
      <formula>"Fail"</formula>
    </cfRule>
    <cfRule type="cellIs" dxfId="10720" priority="10560" stopIfTrue="1" operator="equal">
      <formula>"Pass"</formula>
    </cfRule>
  </conditionalFormatting>
  <conditionalFormatting sqref="T1015">
    <cfRule type="cellIs" dxfId="10719" priority="10557" stopIfTrue="1" operator="equal">
      <formula>"Fail"</formula>
    </cfRule>
    <cfRule type="cellIs" dxfId="10718" priority="10558" stopIfTrue="1" operator="equal">
      <formula>"Pass"</formula>
    </cfRule>
  </conditionalFormatting>
  <conditionalFormatting sqref="T1015">
    <cfRule type="cellIs" dxfId="10717" priority="10555" stopIfTrue="1" operator="equal">
      <formula>"Fail"</formula>
    </cfRule>
    <cfRule type="cellIs" dxfId="10716" priority="10556" stopIfTrue="1" operator="equal">
      <formula>"Pass"</formula>
    </cfRule>
  </conditionalFormatting>
  <conditionalFormatting sqref="T1015">
    <cfRule type="cellIs" dxfId="10715" priority="10553" stopIfTrue="1" operator="equal">
      <formula>"Fail"</formula>
    </cfRule>
    <cfRule type="cellIs" dxfId="10714" priority="10554" stopIfTrue="1" operator="equal">
      <formula>"Pass"</formula>
    </cfRule>
  </conditionalFormatting>
  <conditionalFormatting sqref="T1015">
    <cfRule type="cellIs" dxfId="10713" priority="10551" stopIfTrue="1" operator="equal">
      <formula>"Fail"</formula>
    </cfRule>
    <cfRule type="cellIs" dxfId="10712" priority="10552" stopIfTrue="1" operator="equal">
      <formula>"Pass"</formula>
    </cfRule>
  </conditionalFormatting>
  <conditionalFormatting sqref="T1015">
    <cfRule type="cellIs" dxfId="10711" priority="10549" stopIfTrue="1" operator="equal">
      <formula>"Fail"</formula>
    </cfRule>
    <cfRule type="cellIs" dxfId="10710" priority="10550" stopIfTrue="1" operator="equal">
      <formula>"Pass"</formula>
    </cfRule>
  </conditionalFormatting>
  <conditionalFormatting sqref="T1015">
    <cfRule type="cellIs" dxfId="10709" priority="10547" stopIfTrue="1" operator="equal">
      <formula>"Fail"</formula>
    </cfRule>
    <cfRule type="cellIs" dxfId="10708" priority="10548" stopIfTrue="1" operator="equal">
      <formula>"Pass"</formula>
    </cfRule>
  </conditionalFormatting>
  <conditionalFormatting sqref="T1015">
    <cfRule type="cellIs" dxfId="10707" priority="10545" stopIfTrue="1" operator="equal">
      <formula>"Fail"</formula>
    </cfRule>
    <cfRule type="cellIs" dxfId="10706" priority="10546" stopIfTrue="1" operator="equal">
      <formula>"Pass"</formula>
    </cfRule>
  </conditionalFormatting>
  <conditionalFormatting sqref="T1015">
    <cfRule type="cellIs" dxfId="10705" priority="10543" stopIfTrue="1" operator="equal">
      <formula>"Fail"</formula>
    </cfRule>
    <cfRule type="cellIs" dxfId="10704" priority="10544" stopIfTrue="1" operator="equal">
      <formula>"Pass"</formula>
    </cfRule>
  </conditionalFormatting>
  <conditionalFormatting sqref="T1015">
    <cfRule type="cellIs" dxfId="10703" priority="10541" stopIfTrue="1" operator="equal">
      <formula>"Fail"</formula>
    </cfRule>
    <cfRule type="cellIs" dxfId="10702" priority="10542" stopIfTrue="1" operator="equal">
      <formula>"Pass"</formula>
    </cfRule>
  </conditionalFormatting>
  <conditionalFormatting sqref="T1015">
    <cfRule type="cellIs" dxfId="10701" priority="10539" stopIfTrue="1" operator="equal">
      <formula>"Fail"</formula>
    </cfRule>
    <cfRule type="cellIs" dxfId="10700" priority="10540" stopIfTrue="1" operator="equal">
      <formula>"Pass"</formula>
    </cfRule>
  </conditionalFormatting>
  <conditionalFormatting sqref="T1015">
    <cfRule type="cellIs" dxfId="10699" priority="10537" stopIfTrue="1" operator="equal">
      <formula>"Fail"</formula>
    </cfRule>
    <cfRule type="cellIs" dxfId="10698" priority="10538" stopIfTrue="1" operator="equal">
      <formula>"Pass"</formula>
    </cfRule>
  </conditionalFormatting>
  <conditionalFormatting sqref="T1015">
    <cfRule type="cellIs" dxfId="10697" priority="10535" stopIfTrue="1" operator="equal">
      <formula>"Fail"</formula>
    </cfRule>
    <cfRule type="cellIs" dxfId="10696" priority="10536" stopIfTrue="1" operator="equal">
      <formula>"Pass"</formula>
    </cfRule>
  </conditionalFormatting>
  <conditionalFormatting sqref="T1015">
    <cfRule type="cellIs" dxfId="10695" priority="10533" stopIfTrue="1" operator="equal">
      <formula>"Fail"</formula>
    </cfRule>
    <cfRule type="cellIs" dxfId="10694" priority="10534" stopIfTrue="1" operator="equal">
      <formula>"Pass"</formula>
    </cfRule>
  </conditionalFormatting>
  <conditionalFormatting sqref="T1015">
    <cfRule type="cellIs" dxfId="10693" priority="10531" stopIfTrue="1" operator="equal">
      <formula>"Fail"</formula>
    </cfRule>
    <cfRule type="cellIs" dxfId="10692" priority="10532" stopIfTrue="1" operator="equal">
      <formula>"Pass"</formula>
    </cfRule>
  </conditionalFormatting>
  <conditionalFormatting sqref="T1015">
    <cfRule type="cellIs" dxfId="10691" priority="10529" stopIfTrue="1" operator="equal">
      <formula>"Fail"</formula>
    </cfRule>
    <cfRule type="cellIs" dxfId="10690" priority="10530" stopIfTrue="1" operator="equal">
      <formula>"Pass"</formula>
    </cfRule>
  </conditionalFormatting>
  <conditionalFormatting sqref="T1015">
    <cfRule type="cellIs" dxfId="10689" priority="10527" stopIfTrue="1" operator="equal">
      <formula>"Fail"</formula>
    </cfRule>
    <cfRule type="cellIs" dxfId="10688" priority="10528" stopIfTrue="1" operator="equal">
      <formula>"Pass"</formula>
    </cfRule>
  </conditionalFormatting>
  <conditionalFormatting sqref="T1015">
    <cfRule type="cellIs" dxfId="10687" priority="10525" stopIfTrue="1" operator="equal">
      <formula>"Fail"</formula>
    </cfRule>
    <cfRule type="cellIs" dxfId="10686" priority="10526" stopIfTrue="1" operator="equal">
      <formula>"Pass"</formula>
    </cfRule>
  </conditionalFormatting>
  <conditionalFormatting sqref="T1015">
    <cfRule type="cellIs" dxfId="10685" priority="10523" stopIfTrue="1" operator="equal">
      <formula>"Fail"</formula>
    </cfRule>
    <cfRule type="cellIs" dxfId="10684" priority="10524" stopIfTrue="1" operator="equal">
      <formula>"Pass"</formula>
    </cfRule>
  </conditionalFormatting>
  <conditionalFormatting sqref="T1015">
    <cfRule type="cellIs" dxfId="10683" priority="10521" stopIfTrue="1" operator="equal">
      <formula>"Fail"</formula>
    </cfRule>
    <cfRule type="cellIs" dxfId="10682" priority="10522" stopIfTrue="1" operator="equal">
      <formula>"Pass"</formula>
    </cfRule>
  </conditionalFormatting>
  <conditionalFormatting sqref="T1015">
    <cfRule type="cellIs" dxfId="10681" priority="10519" stopIfTrue="1" operator="equal">
      <formula>"Fail"</formula>
    </cfRule>
    <cfRule type="cellIs" dxfId="10680" priority="10520" stopIfTrue="1" operator="equal">
      <formula>"Pass"</formula>
    </cfRule>
  </conditionalFormatting>
  <conditionalFormatting sqref="T1015">
    <cfRule type="cellIs" dxfId="10679" priority="10517" stopIfTrue="1" operator="equal">
      <formula>"Fail"</formula>
    </cfRule>
    <cfRule type="cellIs" dxfId="10678" priority="10518" stopIfTrue="1" operator="equal">
      <formula>"Pass"</formula>
    </cfRule>
  </conditionalFormatting>
  <conditionalFormatting sqref="T1015">
    <cfRule type="cellIs" dxfId="10677" priority="10515" stopIfTrue="1" operator="equal">
      <formula>"Fail"</formula>
    </cfRule>
    <cfRule type="cellIs" dxfId="10676" priority="10516" stopIfTrue="1" operator="equal">
      <formula>"Pass"</formula>
    </cfRule>
  </conditionalFormatting>
  <conditionalFormatting sqref="A1018:A1020">
    <cfRule type="cellIs" dxfId="10675" priority="10513" stopIfTrue="1" operator="equal">
      <formula>"Pass"</formula>
    </cfRule>
    <cfRule type="cellIs" dxfId="10674" priority="10514" stopIfTrue="1" operator="equal">
      <formula>"Fail"</formula>
    </cfRule>
  </conditionalFormatting>
  <conditionalFormatting sqref="A1018:A1020">
    <cfRule type="cellIs" dxfId="10673" priority="10511" stopIfTrue="1" operator="equal">
      <formula>"Pass"</formula>
    </cfRule>
    <cfRule type="cellIs" dxfId="10672" priority="10512" stopIfTrue="1" operator="equal">
      <formula>"Fail"</formula>
    </cfRule>
  </conditionalFormatting>
  <conditionalFormatting sqref="A1018:A1020">
    <cfRule type="cellIs" dxfId="10671" priority="10509" stopIfTrue="1" operator="equal">
      <formula>"Pass"</formula>
    </cfRule>
    <cfRule type="cellIs" dxfId="10670" priority="10510" stopIfTrue="1" operator="equal">
      <formula>"Fail"</formula>
    </cfRule>
  </conditionalFormatting>
  <conditionalFormatting sqref="A1018:A1020">
    <cfRule type="cellIs" dxfId="10669" priority="10507" stopIfTrue="1" operator="equal">
      <formula>"Pass"</formula>
    </cfRule>
    <cfRule type="cellIs" dxfId="10668" priority="10508" stopIfTrue="1" operator="equal">
      <formula>"Fail"</formula>
    </cfRule>
  </conditionalFormatting>
  <conditionalFormatting sqref="A1018:A1020">
    <cfRule type="cellIs" dxfId="10667" priority="10505" stopIfTrue="1" operator="equal">
      <formula>"Pass"</formula>
    </cfRule>
    <cfRule type="cellIs" dxfId="10666" priority="10506" stopIfTrue="1" operator="equal">
      <formula>"Fail"</formula>
    </cfRule>
  </conditionalFormatting>
  <conditionalFormatting sqref="A1020">
    <cfRule type="cellIs" dxfId="10665" priority="10503" stopIfTrue="1" operator="equal">
      <formula>"Pass"</formula>
    </cfRule>
    <cfRule type="cellIs" dxfId="10664" priority="10504" stopIfTrue="1" operator="equal">
      <formula>"Fail"</formula>
    </cfRule>
  </conditionalFormatting>
  <conditionalFormatting sqref="A1018:A1020">
    <cfRule type="cellIs" dxfId="10663" priority="10501" stopIfTrue="1" operator="equal">
      <formula>"Pass"</formula>
    </cfRule>
    <cfRule type="cellIs" dxfId="10662" priority="10502" stopIfTrue="1" operator="equal">
      <formula>"Fail"</formula>
    </cfRule>
  </conditionalFormatting>
  <conditionalFormatting sqref="A1018:A1020">
    <cfRule type="cellIs" dxfId="10661" priority="10499" stopIfTrue="1" operator="equal">
      <formula>"Pass"</formula>
    </cfRule>
    <cfRule type="cellIs" dxfId="10660" priority="10500" stopIfTrue="1" operator="equal">
      <formula>"Fail"</formula>
    </cfRule>
  </conditionalFormatting>
  <conditionalFormatting sqref="A1018:A1020">
    <cfRule type="cellIs" dxfId="10659" priority="10497" stopIfTrue="1" operator="equal">
      <formula>"Pass"</formula>
    </cfRule>
    <cfRule type="cellIs" dxfId="10658" priority="10498" stopIfTrue="1" operator="equal">
      <formula>"Fail"</formula>
    </cfRule>
  </conditionalFormatting>
  <conditionalFormatting sqref="A1018:A1020">
    <cfRule type="cellIs" dxfId="10657" priority="10495" stopIfTrue="1" operator="equal">
      <formula>"Pass"</formula>
    </cfRule>
    <cfRule type="cellIs" dxfId="10656" priority="10496" stopIfTrue="1" operator="equal">
      <formula>"Fail"</formula>
    </cfRule>
  </conditionalFormatting>
  <conditionalFormatting sqref="A1018:A1020">
    <cfRule type="cellIs" dxfId="10655" priority="10493" stopIfTrue="1" operator="equal">
      <formula>"Pass"</formula>
    </cfRule>
    <cfRule type="cellIs" dxfId="10654" priority="10494" stopIfTrue="1" operator="equal">
      <formula>"Fail"</formula>
    </cfRule>
  </conditionalFormatting>
  <conditionalFormatting sqref="A1018:A1020">
    <cfRule type="cellIs" dxfId="10653" priority="10491" stopIfTrue="1" operator="equal">
      <formula>"Pass"</formula>
    </cfRule>
    <cfRule type="cellIs" dxfId="10652" priority="10492" stopIfTrue="1" operator="equal">
      <formula>"Fail"</formula>
    </cfRule>
  </conditionalFormatting>
  <conditionalFormatting sqref="A1020">
    <cfRule type="cellIs" dxfId="10651" priority="10489" stopIfTrue="1" operator="equal">
      <formula>"Pass"</formula>
    </cfRule>
    <cfRule type="cellIs" dxfId="10650" priority="10490" stopIfTrue="1" operator="equal">
      <formula>"Fail"</formula>
    </cfRule>
  </conditionalFormatting>
  <conditionalFormatting sqref="A1018:A1020">
    <cfRule type="cellIs" dxfId="10649" priority="10487" stopIfTrue="1" operator="equal">
      <formula>"Pass"</formula>
    </cfRule>
    <cfRule type="cellIs" dxfId="10648" priority="10488" stopIfTrue="1" operator="equal">
      <formula>"Fail"</formula>
    </cfRule>
  </conditionalFormatting>
  <conditionalFormatting sqref="A1018:A1020">
    <cfRule type="cellIs" dxfId="10647" priority="10485" stopIfTrue="1" operator="equal">
      <formula>"Pass"</formula>
    </cfRule>
    <cfRule type="cellIs" dxfId="10646" priority="10486" stopIfTrue="1" operator="equal">
      <formula>"Fail"</formula>
    </cfRule>
  </conditionalFormatting>
  <conditionalFormatting sqref="A1018:A1020">
    <cfRule type="cellIs" dxfId="10645" priority="10483" stopIfTrue="1" operator="equal">
      <formula>"Pass"</formula>
    </cfRule>
    <cfRule type="cellIs" dxfId="10644" priority="10484" stopIfTrue="1" operator="equal">
      <formula>"Fail"</formula>
    </cfRule>
  </conditionalFormatting>
  <conditionalFormatting sqref="A1018:A1020">
    <cfRule type="cellIs" dxfId="10643" priority="10481" stopIfTrue="1" operator="equal">
      <formula>"Pass"</formula>
    </cfRule>
    <cfRule type="cellIs" dxfId="10642" priority="10482" stopIfTrue="1" operator="equal">
      <formula>"Fail"</formula>
    </cfRule>
  </conditionalFormatting>
  <conditionalFormatting sqref="A1018:A1020">
    <cfRule type="cellIs" dxfId="10641" priority="10479" stopIfTrue="1" operator="equal">
      <formula>"Pass"</formula>
    </cfRule>
    <cfRule type="cellIs" dxfId="10640" priority="10480" stopIfTrue="1" operator="equal">
      <formula>"Fail"</formula>
    </cfRule>
  </conditionalFormatting>
  <conditionalFormatting sqref="A1018:A1020">
    <cfRule type="cellIs" dxfId="10639" priority="10477" stopIfTrue="1" operator="equal">
      <formula>"Pass"</formula>
    </cfRule>
    <cfRule type="cellIs" dxfId="10638" priority="10478" stopIfTrue="1" operator="equal">
      <formula>"Fail"</formula>
    </cfRule>
  </conditionalFormatting>
  <conditionalFormatting sqref="A1020">
    <cfRule type="cellIs" dxfId="10637" priority="10475" stopIfTrue="1" operator="equal">
      <formula>"Pass"</formula>
    </cfRule>
    <cfRule type="cellIs" dxfId="10636" priority="10476" stopIfTrue="1" operator="equal">
      <formula>"Fail"</formula>
    </cfRule>
  </conditionalFormatting>
  <conditionalFormatting sqref="A1018:A1020">
    <cfRule type="cellIs" dxfId="10635" priority="10473" stopIfTrue="1" operator="equal">
      <formula>"Pass"</formula>
    </cfRule>
    <cfRule type="cellIs" dxfId="10634" priority="10474" stopIfTrue="1" operator="equal">
      <formula>"Fail"</formula>
    </cfRule>
  </conditionalFormatting>
  <conditionalFormatting sqref="A1018:A1020">
    <cfRule type="cellIs" dxfId="10633" priority="10471" stopIfTrue="1" operator="equal">
      <formula>"Pass"</formula>
    </cfRule>
    <cfRule type="cellIs" dxfId="10632" priority="10472" stopIfTrue="1" operator="equal">
      <formula>"Fail"</formula>
    </cfRule>
  </conditionalFormatting>
  <conditionalFormatting sqref="A1018:A1020">
    <cfRule type="cellIs" dxfId="10631" priority="10469" stopIfTrue="1" operator="equal">
      <formula>"Pass"</formula>
    </cfRule>
    <cfRule type="cellIs" dxfId="10630" priority="10470" stopIfTrue="1" operator="equal">
      <formula>"Fail"</formula>
    </cfRule>
  </conditionalFormatting>
  <conditionalFormatting sqref="A1018:A1020">
    <cfRule type="cellIs" dxfId="10629" priority="10467" stopIfTrue="1" operator="equal">
      <formula>"Pass"</formula>
    </cfRule>
    <cfRule type="cellIs" dxfId="10628" priority="10468" stopIfTrue="1" operator="equal">
      <formula>"Fail"</formula>
    </cfRule>
  </conditionalFormatting>
  <conditionalFormatting sqref="A1018:A1020">
    <cfRule type="cellIs" dxfId="10627" priority="10465" stopIfTrue="1" operator="equal">
      <formula>"Pass"</formula>
    </cfRule>
    <cfRule type="cellIs" dxfId="10626" priority="10466" stopIfTrue="1" operator="equal">
      <formula>"Fail"</formula>
    </cfRule>
  </conditionalFormatting>
  <conditionalFormatting sqref="A1018:A1020">
    <cfRule type="cellIs" dxfId="10625" priority="10463" stopIfTrue="1" operator="equal">
      <formula>"Pass"</formula>
    </cfRule>
    <cfRule type="cellIs" dxfId="10624" priority="10464" stopIfTrue="1" operator="equal">
      <formula>"Fail"</formula>
    </cfRule>
  </conditionalFormatting>
  <conditionalFormatting sqref="A1020">
    <cfRule type="cellIs" dxfId="10623" priority="10461" stopIfTrue="1" operator="equal">
      <formula>"Pass"</formula>
    </cfRule>
    <cfRule type="cellIs" dxfId="10622" priority="10462" stopIfTrue="1" operator="equal">
      <formula>"Fail"</formula>
    </cfRule>
  </conditionalFormatting>
  <conditionalFormatting sqref="A1018:A1020">
    <cfRule type="cellIs" dxfId="10621" priority="10459" stopIfTrue="1" operator="equal">
      <formula>"Pass"</formula>
    </cfRule>
    <cfRule type="cellIs" dxfId="10620" priority="10460" stopIfTrue="1" operator="equal">
      <formula>"Fail"</formula>
    </cfRule>
  </conditionalFormatting>
  <conditionalFormatting sqref="A1018:A1020">
    <cfRule type="cellIs" dxfId="10619" priority="10457" stopIfTrue="1" operator="equal">
      <formula>"Pass"</formula>
    </cfRule>
    <cfRule type="cellIs" dxfId="10618" priority="10458" stopIfTrue="1" operator="equal">
      <formula>"Fail"</formula>
    </cfRule>
  </conditionalFormatting>
  <conditionalFormatting sqref="A1018:A1020">
    <cfRule type="cellIs" dxfId="10617" priority="10455" stopIfTrue="1" operator="equal">
      <formula>"Pass"</formula>
    </cfRule>
    <cfRule type="cellIs" dxfId="10616" priority="10456" stopIfTrue="1" operator="equal">
      <formula>"Fail"</formula>
    </cfRule>
  </conditionalFormatting>
  <conditionalFormatting sqref="A1018:A1020">
    <cfRule type="cellIs" dxfId="10615" priority="10453" stopIfTrue="1" operator="equal">
      <formula>"Pass"</formula>
    </cfRule>
    <cfRule type="cellIs" dxfId="10614" priority="10454" stopIfTrue="1" operator="equal">
      <formula>"Fail"</formula>
    </cfRule>
  </conditionalFormatting>
  <conditionalFormatting sqref="A1018:A1020">
    <cfRule type="cellIs" dxfId="10613" priority="10451" stopIfTrue="1" operator="equal">
      <formula>"Pass"</formula>
    </cfRule>
    <cfRule type="cellIs" dxfId="10612" priority="10452" stopIfTrue="1" operator="equal">
      <formula>"Fail"</formula>
    </cfRule>
  </conditionalFormatting>
  <conditionalFormatting sqref="A1018:A1020">
    <cfRule type="cellIs" dxfId="10611" priority="10449" stopIfTrue="1" operator="equal">
      <formula>"Pass"</formula>
    </cfRule>
    <cfRule type="cellIs" dxfId="10610" priority="10450" stopIfTrue="1" operator="equal">
      <formula>"Fail"</formula>
    </cfRule>
  </conditionalFormatting>
  <conditionalFormatting sqref="A1020">
    <cfRule type="cellIs" dxfId="10609" priority="10447" stopIfTrue="1" operator="equal">
      <formula>"Pass"</formula>
    </cfRule>
    <cfRule type="cellIs" dxfId="10608" priority="10448" stopIfTrue="1" operator="equal">
      <formula>"Fail"</formula>
    </cfRule>
  </conditionalFormatting>
  <conditionalFormatting sqref="A1018:A1020">
    <cfRule type="cellIs" dxfId="10607" priority="10445" stopIfTrue="1" operator="equal">
      <formula>"Pass"</formula>
    </cfRule>
    <cfRule type="cellIs" dxfId="10606" priority="10446" stopIfTrue="1" operator="equal">
      <formula>"Fail"</formula>
    </cfRule>
  </conditionalFormatting>
  <conditionalFormatting sqref="A1018:A1020">
    <cfRule type="cellIs" dxfId="10605" priority="10443" stopIfTrue="1" operator="equal">
      <formula>"Pass"</formula>
    </cfRule>
    <cfRule type="cellIs" dxfId="10604" priority="10444" stopIfTrue="1" operator="equal">
      <formula>"Fail"</formula>
    </cfRule>
  </conditionalFormatting>
  <conditionalFormatting sqref="A1018:A1020">
    <cfRule type="cellIs" dxfId="10603" priority="10441" stopIfTrue="1" operator="equal">
      <formula>"Pass"</formula>
    </cfRule>
    <cfRule type="cellIs" dxfId="10602" priority="10442" stopIfTrue="1" operator="equal">
      <formula>"Fail"</formula>
    </cfRule>
  </conditionalFormatting>
  <conditionalFormatting sqref="A1018:A1020">
    <cfRule type="cellIs" dxfId="10601" priority="10439" stopIfTrue="1" operator="equal">
      <formula>"Pass"</formula>
    </cfRule>
    <cfRule type="cellIs" dxfId="10600" priority="10440" stopIfTrue="1" operator="equal">
      <formula>"Fail"</formula>
    </cfRule>
  </conditionalFormatting>
  <conditionalFormatting sqref="A1018:A1020">
    <cfRule type="cellIs" dxfId="10599" priority="10437" stopIfTrue="1" operator="equal">
      <formula>"Pass"</formula>
    </cfRule>
    <cfRule type="cellIs" dxfId="10598" priority="10438" stopIfTrue="1" operator="equal">
      <formula>"Fail"</formula>
    </cfRule>
  </conditionalFormatting>
  <conditionalFormatting sqref="A1018:A1020">
    <cfRule type="cellIs" dxfId="10597" priority="10435" stopIfTrue="1" operator="equal">
      <formula>"Pass"</formula>
    </cfRule>
    <cfRule type="cellIs" dxfId="10596" priority="10436" stopIfTrue="1" operator="equal">
      <formula>"Fail"</formula>
    </cfRule>
  </conditionalFormatting>
  <conditionalFormatting sqref="A1020">
    <cfRule type="cellIs" dxfId="10595" priority="10433" stopIfTrue="1" operator="equal">
      <formula>"Pass"</formula>
    </cfRule>
    <cfRule type="cellIs" dxfId="10594" priority="10434" stopIfTrue="1" operator="equal">
      <formula>"Fail"</formula>
    </cfRule>
  </conditionalFormatting>
  <conditionalFormatting sqref="A1018:A1020">
    <cfRule type="cellIs" dxfId="10593" priority="10431" stopIfTrue="1" operator="equal">
      <formula>"Pass"</formula>
    </cfRule>
    <cfRule type="cellIs" dxfId="10592" priority="10432" stopIfTrue="1" operator="equal">
      <formula>"Fail"</formula>
    </cfRule>
  </conditionalFormatting>
  <conditionalFormatting sqref="A1018">
    <cfRule type="cellIs" dxfId="10591" priority="10429" stopIfTrue="1" operator="equal">
      <formula>"Pass"</formula>
    </cfRule>
    <cfRule type="cellIs" dxfId="10590" priority="10430" stopIfTrue="1" operator="equal">
      <formula>"Fail"</formula>
    </cfRule>
  </conditionalFormatting>
  <conditionalFormatting sqref="A1018">
    <cfRule type="cellIs" dxfId="10589" priority="10427" stopIfTrue="1" operator="equal">
      <formula>"Pass"</formula>
    </cfRule>
    <cfRule type="cellIs" dxfId="10588" priority="10428" stopIfTrue="1" operator="equal">
      <formula>"Fail"</formula>
    </cfRule>
  </conditionalFormatting>
  <conditionalFormatting sqref="A1018">
    <cfRule type="cellIs" dxfId="10587" priority="10425" stopIfTrue="1" operator="equal">
      <formula>"Pass"</formula>
    </cfRule>
    <cfRule type="cellIs" dxfId="10586" priority="10426" stopIfTrue="1" operator="equal">
      <formula>"Fail"</formula>
    </cfRule>
  </conditionalFormatting>
  <conditionalFormatting sqref="A1018">
    <cfRule type="cellIs" dxfId="10585" priority="10423" stopIfTrue="1" operator="equal">
      <formula>"Pass"</formula>
    </cfRule>
    <cfRule type="cellIs" dxfId="10584" priority="10424" stopIfTrue="1" operator="equal">
      <formula>"Fail"</formula>
    </cfRule>
  </conditionalFormatting>
  <conditionalFormatting sqref="A1018">
    <cfRule type="cellIs" dxfId="10583" priority="10421" stopIfTrue="1" operator="equal">
      <formula>"Pass"</formula>
    </cfRule>
    <cfRule type="cellIs" dxfId="10582" priority="10422" stopIfTrue="1" operator="equal">
      <formula>"Fail"</formula>
    </cfRule>
  </conditionalFormatting>
  <conditionalFormatting sqref="A1018">
    <cfRule type="cellIs" dxfId="10581" priority="10419" stopIfTrue="1" operator="equal">
      <formula>"Pass"</formula>
    </cfRule>
    <cfRule type="cellIs" dxfId="10580" priority="10420" stopIfTrue="1" operator="equal">
      <formula>"Fail"</formula>
    </cfRule>
  </conditionalFormatting>
  <conditionalFormatting sqref="H1018:H1019">
    <cfRule type="cellIs" dxfId="10579" priority="10417" stopIfTrue="1" operator="equal">
      <formula>"Pass"</formula>
    </cfRule>
    <cfRule type="cellIs" dxfId="10578" priority="10418" stopIfTrue="1" operator="equal">
      <formula>"Fail"</formula>
    </cfRule>
  </conditionalFormatting>
  <conditionalFormatting sqref="E1018:F1018 E1020:F1020 A1018 I1018:M1019">
    <cfRule type="cellIs" dxfId="10577" priority="10415" stopIfTrue="1" operator="equal">
      <formula>"Pass"</formula>
    </cfRule>
    <cfRule type="cellIs" dxfId="10576" priority="10416" stopIfTrue="1" operator="equal">
      <formula>"Fail"</formula>
    </cfRule>
  </conditionalFormatting>
  <conditionalFormatting sqref="T1020 T1018 R1018:R1020 S1019:S1020">
    <cfRule type="cellIs" dxfId="10575" priority="10413" stopIfTrue="1" operator="equal">
      <formula>"Fail"</formula>
    </cfRule>
    <cfRule type="cellIs" dxfId="10574" priority="10414" stopIfTrue="1" operator="equal">
      <formula>"Pass"</formula>
    </cfRule>
  </conditionalFormatting>
  <conditionalFormatting sqref="F1018:G1018 F1020:G1020 B1018:B1020 A1018 J1018:N1019">
    <cfRule type="cellIs" dxfId="10573" priority="10411" stopIfTrue="1" operator="equal">
      <formula>"Pass"</formula>
    </cfRule>
    <cfRule type="cellIs" dxfId="10572" priority="10412" stopIfTrue="1" operator="equal">
      <formula>"Fail"</formula>
    </cfRule>
  </conditionalFormatting>
  <conditionalFormatting sqref="U1020:V1020 T1018:T1020 S1019:S1020">
    <cfRule type="cellIs" dxfId="10571" priority="10409" stopIfTrue="1" operator="equal">
      <formula>"Fail"</formula>
    </cfRule>
    <cfRule type="cellIs" dxfId="10570" priority="10410" stopIfTrue="1" operator="equal">
      <formula>"Pass"</formula>
    </cfRule>
  </conditionalFormatting>
  <conditionalFormatting sqref="A1018">
    <cfRule type="cellIs" dxfId="10569" priority="10407" stopIfTrue="1" operator="equal">
      <formula>"Pass"</formula>
    </cfRule>
    <cfRule type="cellIs" dxfId="10568" priority="10408" stopIfTrue="1" operator="equal">
      <formula>"Fail"</formula>
    </cfRule>
  </conditionalFormatting>
  <conditionalFormatting sqref="A1018">
    <cfRule type="cellIs" dxfId="10567" priority="10405" stopIfTrue="1" operator="equal">
      <formula>"Pass"</formula>
    </cfRule>
    <cfRule type="cellIs" dxfId="10566" priority="10406" stopIfTrue="1" operator="equal">
      <formula>"Fail"</formula>
    </cfRule>
  </conditionalFormatting>
  <conditionalFormatting sqref="A1018">
    <cfRule type="cellIs" dxfId="10565" priority="10403" stopIfTrue="1" operator="equal">
      <formula>"Pass"</formula>
    </cfRule>
    <cfRule type="cellIs" dxfId="10564" priority="10404" stopIfTrue="1" operator="equal">
      <formula>"Fail"</formula>
    </cfRule>
  </conditionalFormatting>
  <conditionalFormatting sqref="A1018">
    <cfRule type="cellIs" dxfId="10563" priority="10401" stopIfTrue="1" operator="equal">
      <formula>"Pass"</formula>
    </cfRule>
    <cfRule type="cellIs" dxfId="10562" priority="10402" stopIfTrue="1" operator="equal">
      <formula>"Fail"</formula>
    </cfRule>
  </conditionalFormatting>
  <conditionalFormatting sqref="A1018">
    <cfRule type="cellIs" dxfId="10561" priority="10399" stopIfTrue="1" operator="equal">
      <formula>"Pass"</formula>
    </cfRule>
    <cfRule type="cellIs" dxfId="10560" priority="10400" stopIfTrue="1" operator="equal">
      <formula>"Fail"</formula>
    </cfRule>
  </conditionalFormatting>
  <conditionalFormatting sqref="A1018">
    <cfRule type="cellIs" dxfId="10559" priority="10397" stopIfTrue="1" operator="equal">
      <formula>"Pass"</formula>
    </cfRule>
    <cfRule type="cellIs" dxfId="10558" priority="10398" stopIfTrue="1" operator="equal">
      <formula>"Fail"</formula>
    </cfRule>
  </conditionalFormatting>
  <conditionalFormatting sqref="A1018">
    <cfRule type="cellIs" dxfId="10557" priority="10395" stopIfTrue="1" operator="equal">
      <formula>"Pass"</formula>
    </cfRule>
    <cfRule type="cellIs" dxfId="10556" priority="10396" stopIfTrue="1" operator="equal">
      <formula>"Fail"</formula>
    </cfRule>
  </conditionalFormatting>
  <conditionalFormatting sqref="A1018">
    <cfRule type="cellIs" dxfId="10555" priority="10393" stopIfTrue="1" operator="equal">
      <formula>"Pass"</formula>
    </cfRule>
    <cfRule type="cellIs" dxfId="10554" priority="10394" stopIfTrue="1" operator="equal">
      <formula>"Fail"</formula>
    </cfRule>
  </conditionalFormatting>
  <conditionalFormatting sqref="A1018">
    <cfRule type="cellIs" dxfId="10553" priority="10391" stopIfTrue="1" operator="equal">
      <formula>"Pass"</formula>
    </cfRule>
    <cfRule type="cellIs" dxfId="10552" priority="10392" stopIfTrue="1" operator="equal">
      <formula>"Fail"</formula>
    </cfRule>
  </conditionalFormatting>
  <conditionalFormatting sqref="A1018">
    <cfRule type="cellIs" dxfId="10551" priority="10389" stopIfTrue="1" operator="equal">
      <formula>"Pass"</formula>
    </cfRule>
    <cfRule type="cellIs" dxfId="10550" priority="10390" stopIfTrue="1" operator="equal">
      <formula>"Fail"</formula>
    </cfRule>
  </conditionalFormatting>
  <conditionalFormatting sqref="U1018:V1018">
    <cfRule type="cellIs" dxfId="10549" priority="10387" stopIfTrue="1" operator="equal">
      <formula>"Fail"</formula>
    </cfRule>
    <cfRule type="cellIs" dxfId="10548" priority="10388" stopIfTrue="1" operator="equal">
      <formula>"Pass"</formula>
    </cfRule>
  </conditionalFormatting>
  <conditionalFormatting sqref="F1018:G1018 J1018:N1018">
    <cfRule type="cellIs" dxfId="10547" priority="10385" stopIfTrue="1" operator="equal">
      <formula>"Pass"</formula>
    </cfRule>
    <cfRule type="cellIs" dxfId="10546" priority="10386" stopIfTrue="1" operator="equal">
      <formula>"Fail"</formula>
    </cfRule>
  </conditionalFormatting>
  <conditionalFormatting sqref="J1019:N1019">
    <cfRule type="cellIs" dxfId="10545" priority="10383" stopIfTrue="1" operator="equal">
      <formula>"Pass"</formula>
    </cfRule>
    <cfRule type="cellIs" dxfId="10544" priority="10384" stopIfTrue="1" operator="equal">
      <formula>"Fail"</formula>
    </cfRule>
  </conditionalFormatting>
  <conditionalFormatting sqref="A1018">
    <cfRule type="cellIs" dxfId="10543" priority="10381" stopIfTrue="1" operator="equal">
      <formula>"Pass"</formula>
    </cfRule>
    <cfRule type="cellIs" dxfId="10542" priority="10382" stopIfTrue="1" operator="equal">
      <formula>"Fail"</formula>
    </cfRule>
  </conditionalFormatting>
  <conditionalFormatting sqref="A1018">
    <cfRule type="cellIs" dxfId="10541" priority="10379" stopIfTrue="1" operator="equal">
      <formula>"Pass"</formula>
    </cfRule>
    <cfRule type="cellIs" dxfId="10540" priority="10380" stopIfTrue="1" operator="equal">
      <formula>"Fail"</formula>
    </cfRule>
  </conditionalFormatting>
  <conditionalFormatting sqref="A1018">
    <cfRule type="cellIs" dxfId="10539" priority="10377" stopIfTrue="1" operator="equal">
      <formula>"Pass"</formula>
    </cfRule>
    <cfRule type="cellIs" dxfId="10538" priority="10378" stopIfTrue="1" operator="equal">
      <formula>"Fail"</formula>
    </cfRule>
  </conditionalFormatting>
  <conditionalFormatting sqref="A1018">
    <cfRule type="cellIs" dxfId="10537" priority="10375" stopIfTrue="1" operator="equal">
      <formula>"Pass"</formula>
    </cfRule>
    <cfRule type="cellIs" dxfId="10536" priority="10376" stopIfTrue="1" operator="equal">
      <formula>"Fail"</formula>
    </cfRule>
  </conditionalFormatting>
  <conditionalFormatting sqref="A1018">
    <cfRule type="cellIs" dxfId="10535" priority="10373" stopIfTrue="1" operator="equal">
      <formula>"Pass"</formula>
    </cfRule>
    <cfRule type="cellIs" dxfId="10534" priority="10374" stopIfTrue="1" operator="equal">
      <formula>"Fail"</formula>
    </cfRule>
  </conditionalFormatting>
  <conditionalFormatting sqref="A1018">
    <cfRule type="cellIs" dxfId="10533" priority="10371" stopIfTrue="1" operator="equal">
      <formula>"Pass"</formula>
    </cfRule>
    <cfRule type="cellIs" dxfId="10532" priority="10372" stopIfTrue="1" operator="equal">
      <formula>"Fail"</formula>
    </cfRule>
  </conditionalFormatting>
  <conditionalFormatting sqref="A1018">
    <cfRule type="cellIs" dxfId="10531" priority="10369" stopIfTrue="1" operator="equal">
      <formula>"Pass"</formula>
    </cfRule>
    <cfRule type="cellIs" dxfId="10530" priority="10370" stopIfTrue="1" operator="equal">
      <formula>"Fail"</formula>
    </cfRule>
  </conditionalFormatting>
  <conditionalFormatting sqref="A1018">
    <cfRule type="cellIs" dxfId="10529" priority="10367" stopIfTrue="1" operator="equal">
      <formula>"Pass"</formula>
    </cfRule>
    <cfRule type="cellIs" dxfId="10528" priority="10368" stopIfTrue="1" operator="equal">
      <formula>"Fail"</formula>
    </cfRule>
  </conditionalFormatting>
  <conditionalFormatting sqref="A1018">
    <cfRule type="cellIs" dxfId="10527" priority="10365" stopIfTrue="1" operator="equal">
      <formula>"Pass"</formula>
    </cfRule>
    <cfRule type="cellIs" dxfId="10526" priority="10366" stopIfTrue="1" operator="equal">
      <formula>"Fail"</formula>
    </cfRule>
  </conditionalFormatting>
  <conditionalFormatting sqref="A1018">
    <cfRule type="cellIs" dxfId="10525" priority="10363" stopIfTrue="1" operator="equal">
      <formula>"Pass"</formula>
    </cfRule>
    <cfRule type="cellIs" dxfId="10524" priority="10364" stopIfTrue="1" operator="equal">
      <formula>"Fail"</formula>
    </cfRule>
  </conditionalFormatting>
  <conditionalFormatting sqref="A1018">
    <cfRule type="cellIs" dxfId="10523" priority="10361" stopIfTrue="1" operator="equal">
      <formula>"Pass"</formula>
    </cfRule>
    <cfRule type="cellIs" dxfId="10522" priority="10362" stopIfTrue="1" operator="equal">
      <formula>"Fail"</formula>
    </cfRule>
  </conditionalFormatting>
  <conditionalFormatting sqref="A1018">
    <cfRule type="cellIs" dxfId="10521" priority="10359" stopIfTrue="1" operator="equal">
      <formula>"Pass"</formula>
    </cfRule>
    <cfRule type="cellIs" dxfId="10520" priority="10360" stopIfTrue="1" operator="equal">
      <formula>"Fail"</formula>
    </cfRule>
  </conditionalFormatting>
  <conditionalFormatting sqref="H1018:H1019">
    <cfRule type="cellIs" dxfId="10519" priority="10357" stopIfTrue="1" operator="equal">
      <formula>"Pass"</formula>
    </cfRule>
    <cfRule type="cellIs" dxfId="10518" priority="10358" stopIfTrue="1" operator="equal">
      <formula>"Fail"</formula>
    </cfRule>
  </conditionalFormatting>
  <conditionalFormatting sqref="F1018 F1020 I1018:M1019">
    <cfRule type="cellIs" dxfId="10517" priority="10355" stopIfTrue="1" operator="equal">
      <formula>"Pass"</formula>
    </cfRule>
    <cfRule type="cellIs" dxfId="10516" priority="10356" stopIfTrue="1" operator="equal">
      <formula>"Fail"</formula>
    </cfRule>
  </conditionalFormatting>
  <conditionalFormatting sqref="T1020 T1018 R1018:R1020 S1019:S1020">
    <cfRule type="cellIs" dxfId="10515" priority="10353" stopIfTrue="1" operator="equal">
      <formula>"Fail"</formula>
    </cfRule>
    <cfRule type="cellIs" dxfId="10514" priority="10354" stopIfTrue="1" operator="equal">
      <formula>"Pass"</formula>
    </cfRule>
  </conditionalFormatting>
  <conditionalFormatting sqref="F1018:G1018 F1020:G1020 J1018:N1019">
    <cfRule type="cellIs" dxfId="10513" priority="10351" stopIfTrue="1" operator="equal">
      <formula>"Pass"</formula>
    </cfRule>
    <cfRule type="cellIs" dxfId="10512" priority="10352" stopIfTrue="1" operator="equal">
      <formula>"Fail"</formula>
    </cfRule>
  </conditionalFormatting>
  <conditionalFormatting sqref="U1020:V1020 T1018:T1020 S1019:S1020">
    <cfRule type="cellIs" dxfId="10511" priority="10349" stopIfTrue="1" operator="equal">
      <formula>"Fail"</formula>
    </cfRule>
    <cfRule type="cellIs" dxfId="10510" priority="10350" stopIfTrue="1" operator="equal">
      <formula>"Pass"</formula>
    </cfRule>
  </conditionalFormatting>
  <conditionalFormatting sqref="U1018:V1018">
    <cfRule type="cellIs" dxfId="10509" priority="10347" stopIfTrue="1" operator="equal">
      <formula>"Fail"</formula>
    </cfRule>
    <cfRule type="cellIs" dxfId="10508" priority="10348" stopIfTrue="1" operator="equal">
      <formula>"Pass"</formula>
    </cfRule>
  </conditionalFormatting>
  <conditionalFormatting sqref="F1018:G1018 J1018:N1018">
    <cfRule type="cellIs" dxfId="10507" priority="10345" stopIfTrue="1" operator="equal">
      <formula>"Pass"</formula>
    </cfRule>
    <cfRule type="cellIs" dxfId="10506" priority="10346" stopIfTrue="1" operator="equal">
      <formula>"Fail"</formula>
    </cfRule>
  </conditionalFormatting>
  <conditionalFormatting sqref="J1019:N1019">
    <cfRule type="cellIs" dxfId="10505" priority="10343" stopIfTrue="1" operator="equal">
      <formula>"Pass"</formula>
    </cfRule>
    <cfRule type="cellIs" dxfId="10504" priority="10344" stopIfTrue="1" operator="equal">
      <formula>"Fail"</formula>
    </cfRule>
  </conditionalFormatting>
  <conditionalFormatting sqref="H1018:H1019">
    <cfRule type="cellIs" dxfId="10503" priority="10341" stopIfTrue="1" operator="equal">
      <formula>"Pass"</formula>
    </cfRule>
    <cfRule type="cellIs" dxfId="10502" priority="10342" stopIfTrue="1" operator="equal">
      <formula>"Fail"</formula>
    </cfRule>
  </conditionalFormatting>
  <conditionalFormatting sqref="F1018 F1020 I1018:M1019">
    <cfRule type="cellIs" dxfId="10501" priority="10339" stopIfTrue="1" operator="equal">
      <formula>"Pass"</formula>
    </cfRule>
    <cfRule type="cellIs" dxfId="10500" priority="10340" stopIfTrue="1" operator="equal">
      <formula>"Fail"</formula>
    </cfRule>
  </conditionalFormatting>
  <conditionalFormatting sqref="T1020 T1018 R1018:R1020 S1019:S1020">
    <cfRule type="cellIs" dxfId="10499" priority="10337" stopIfTrue="1" operator="equal">
      <formula>"Fail"</formula>
    </cfRule>
    <cfRule type="cellIs" dxfId="10498" priority="10338" stopIfTrue="1" operator="equal">
      <formula>"Pass"</formula>
    </cfRule>
  </conditionalFormatting>
  <conditionalFormatting sqref="F1018:G1018 F1020:G1020 J1018:N1019">
    <cfRule type="cellIs" dxfId="10497" priority="10335" stopIfTrue="1" operator="equal">
      <formula>"Pass"</formula>
    </cfRule>
    <cfRule type="cellIs" dxfId="10496" priority="10336" stopIfTrue="1" operator="equal">
      <formula>"Fail"</formula>
    </cfRule>
  </conditionalFormatting>
  <conditionalFormatting sqref="U1020:V1020 T1018:T1020 S1019:S1020">
    <cfRule type="cellIs" dxfId="10495" priority="10333" stopIfTrue="1" operator="equal">
      <formula>"Fail"</formula>
    </cfRule>
    <cfRule type="cellIs" dxfId="10494" priority="10334" stopIfTrue="1" operator="equal">
      <formula>"Pass"</formula>
    </cfRule>
  </conditionalFormatting>
  <conditionalFormatting sqref="U1018:V1018">
    <cfRule type="cellIs" dxfId="10493" priority="10331" stopIfTrue="1" operator="equal">
      <formula>"Fail"</formula>
    </cfRule>
    <cfRule type="cellIs" dxfId="10492" priority="10332" stopIfTrue="1" operator="equal">
      <formula>"Pass"</formula>
    </cfRule>
  </conditionalFormatting>
  <conditionalFormatting sqref="F1018:G1018 J1018:N1018">
    <cfRule type="cellIs" dxfId="10491" priority="10329" stopIfTrue="1" operator="equal">
      <formula>"Pass"</formula>
    </cfRule>
    <cfRule type="cellIs" dxfId="10490" priority="10330" stopIfTrue="1" operator="equal">
      <formula>"Fail"</formula>
    </cfRule>
  </conditionalFormatting>
  <conditionalFormatting sqref="J1019:N1019">
    <cfRule type="cellIs" dxfId="10489" priority="10327" stopIfTrue="1" operator="equal">
      <formula>"Pass"</formula>
    </cfRule>
    <cfRule type="cellIs" dxfId="10488" priority="10328" stopIfTrue="1" operator="equal">
      <formula>"Fail"</formula>
    </cfRule>
  </conditionalFormatting>
  <conditionalFormatting sqref="U1018:V1018">
    <cfRule type="cellIs" dxfId="10487" priority="10325" stopIfTrue="1" operator="equal">
      <formula>"Fail"</formula>
    </cfRule>
    <cfRule type="cellIs" dxfId="10486" priority="10326" stopIfTrue="1" operator="equal">
      <formula>"Pass"</formula>
    </cfRule>
  </conditionalFormatting>
  <conditionalFormatting sqref="U1018:V1018">
    <cfRule type="cellIs" dxfId="10485" priority="10323" stopIfTrue="1" operator="equal">
      <formula>"Fail"</formula>
    </cfRule>
    <cfRule type="cellIs" dxfId="10484" priority="10324" stopIfTrue="1" operator="equal">
      <formula>"Pass"</formula>
    </cfRule>
  </conditionalFormatting>
  <conditionalFormatting sqref="U1018:V1018">
    <cfRule type="cellIs" dxfId="10483" priority="10321" stopIfTrue="1" operator="equal">
      <formula>"Fail"</formula>
    </cfRule>
    <cfRule type="cellIs" dxfId="10482" priority="10322" stopIfTrue="1" operator="equal">
      <formula>"Pass"</formula>
    </cfRule>
  </conditionalFormatting>
  <conditionalFormatting sqref="N1018">
    <cfRule type="cellIs" dxfId="10481" priority="10319" stopIfTrue="1" operator="equal">
      <formula>"Pass"</formula>
    </cfRule>
    <cfRule type="cellIs" dxfId="10480" priority="10320" stopIfTrue="1" operator="equal">
      <formula>"Fail"</formula>
    </cfRule>
  </conditionalFormatting>
  <conditionalFormatting sqref="N1018">
    <cfRule type="cellIs" dxfId="10479" priority="10317" stopIfTrue="1" operator="equal">
      <formula>"Pass"</formula>
    </cfRule>
    <cfRule type="cellIs" dxfId="10478" priority="10318" stopIfTrue="1" operator="equal">
      <formula>"Fail"</formula>
    </cfRule>
  </conditionalFormatting>
  <conditionalFormatting sqref="N1018">
    <cfRule type="cellIs" dxfId="10477" priority="10315" stopIfTrue="1" operator="equal">
      <formula>"Pass"</formula>
    </cfRule>
    <cfRule type="cellIs" dxfId="10476" priority="10316" stopIfTrue="1" operator="equal">
      <formula>"Fail"</formula>
    </cfRule>
  </conditionalFormatting>
  <conditionalFormatting sqref="A1018">
    <cfRule type="cellIs" dxfId="10475" priority="10313" stopIfTrue="1" operator="equal">
      <formula>"Pass"</formula>
    </cfRule>
    <cfRule type="cellIs" dxfId="10474" priority="10314" stopIfTrue="1" operator="equal">
      <formula>"Fail"</formula>
    </cfRule>
  </conditionalFormatting>
  <conditionalFormatting sqref="A1018">
    <cfRule type="cellIs" dxfId="10473" priority="10311" stopIfTrue="1" operator="equal">
      <formula>"Pass"</formula>
    </cfRule>
    <cfRule type="cellIs" dxfId="10472" priority="10312" stopIfTrue="1" operator="equal">
      <formula>"Fail"</formula>
    </cfRule>
  </conditionalFormatting>
  <conditionalFormatting sqref="A1018">
    <cfRule type="cellIs" dxfId="10471" priority="10309" stopIfTrue="1" operator="equal">
      <formula>"Pass"</formula>
    </cfRule>
    <cfRule type="cellIs" dxfId="10470" priority="10310" stopIfTrue="1" operator="equal">
      <formula>"Fail"</formula>
    </cfRule>
  </conditionalFormatting>
  <conditionalFormatting sqref="A1018">
    <cfRule type="cellIs" dxfId="10469" priority="10307" stopIfTrue="1" operator="equal">
      <formula>"Pass"</formula>
    </cfRule>
    <cfRule type="cellIs" dxfId="10468" priority="10308" stopIfTrue="1" operator="equal">
      <formula>"Fail"</formula>
    </cfRule>
  </conditionalFormatting>
  <conditionalFormatting sqref="A1018">
    <cfRule type="cellIs" dxfId="10467" priority="10305" stopIfTrue="1" operator="equal">
      <formula>"Pass"</formula>
    </cfRule>
    <cfRule type="cellIs" dxfId="10466" priority="10306" stopIfTrue="1" operator="equal">
      <formula>"Fail"</formula>
    </cfRule>
  </conditionalFormatting>
  <conditionalFormatting sqref="A1018">
    <cfRule type="cellIs" dxfId="10465" priority="10303" stopIfTrue="1" operator="equal">
      <formula>"Pass"</formula>
    </cfRule>
    <cfRule type="cellIs" dxfId="10464" priority="10304" stopIfTrue="1" operator="equal">
      <formula>"Fail"</formula>
    </cfRule>
  </conditionalFormatting>
  <conditionalFormatting sqref="A1018">
    <cfRule type="cellIs" dxfId="10463" priority="10301" stopIfTrue="1" operator="equal">
      <formula>"Pass"</formula>
    </cfRule>
    <cfRule type="cellIs" dxfId="10462" priority="10302" stopIfTrue="1" operator="equal">
      <formula>"Fail"</formula>
    </cfRule>
  </conditionalFormatting>
  <conditionalFormatting sqref="A1018">
    <cfRule type="cellIs" dxfId="10461" priority="10299" stopIfTrue="1" operator="equal">
      <formula>"Pass"</formula>
    </cfRule>
    <cfRule type="cellIs" dxfId="10460" priority="10300" stopIfTrue="1" operator="equal">
      <formula>"Fail"</formula>
    </cfRule>
  </conditionalFormatting>
  <conditionalFormatting sqref="A1018">
    <cfRule type="cellIs" dxfId="10459" priority="10297" stopIfTrue="1" operator="equal">
      <formula>"Pass"</formula>
    </cfRule>
    <cfRule type="cellIs" dxfId="10458" priority="10298" stopIfTrue="1" operator="equal">
      <formula>"Fail"</formula>
    </cfRule>
  </conditionalFormatting>
  <conditionalFormatting sqref="A1018">
    <cfRule type="cellIs" dxfId="10457" priority="10295" stopIfTrue="1" operator="equal">
      <formula>"Pass"</formula>
    </cfRule>
    <cfRule type="cellIs" dxfId="10456" priority="10296" stopIfTrue="1" operator="equal">
      <formula>"Fail"</formula>
    </cfRule>
  </conditionalFormatting>
  <conditionalFormatting sqref="A1018">
    <cfRule type="cellIs" dxfId="10455" priority="10293" stopIfTrue="1" operator="equal">
      <formula>"Pass"</formula>
    </cfRule>
    <cfRule type="cellIs" dxfId="10454" priority="10294" stopIfTrue="1" operator="equal">
      <formula>"Fail"</formula>
    </cfRule>
  </conditionalFormatting>
  <conditionalFormatting sqref="A1018">
    <cfRule type="cellIs" dxfId="10453" priority="10291" stopIfTrue="1" operator="equal">
      <formula>"Pass"</formula>
    </cfRule>
    <cfRule type="cellIs" dxfId="10452" priority="10292" stopIfTrue="1" operator="equal">
      <formula>"Fail"</formula>
    </cfRule>
  </conditionalFormatting>
  <conditionalFormatting sqref="A1018">
    <cfRule type="cellIs" dxfId="10451" priority="10289" stopIfTrue="1" operator="equal">
      <formula>"Pass"</formula>
    </cfRule>
    <cfRule type="cellIs" dxfId="10450" priority="10290" stopIfTrue="1" operator="equal">
      <formula>"Fail"</formula>
    </cfRule>
  </conditionalFormatting>
  <conditionalFormatting sqref="A1018">
    <cfRule type="cellIs" dxfId="10449" priority="10287" stopIfTrue="1" operator="equal">
      <formula>"Pass"</formula>
    </cfRule>
    <cfRule type="cellIs" dxfId="10448" priority="10288" stopIfTrue="1" operator="equal">
      <formula>"Fail"</formula>
    </cfRule>
  </conditionalFormatting>
  <conditionalFormatting sqref="A1018">
    <cfRule type="cellIs" dxfId="10447" priority="10285" stopIfTrue="1" operator="equal">
      <formula>"Pass"</formula>
    </cfRule>
    <cfRule type="cellIs" dxfId="10446" priority="10286" stopIfTrue="1" operator="equal">
      <formula>"Fail"</formula>
    </cfRule>
  </conditionalFormatting>
  <conditionalFormatting sqref="A1018">
    <cfRule type="cellIs" dxfId="10445" priority="10283" stopIfTrue="1" operator="equal">
      <formula>"Pass"</formula>
    </cfRule>
    <cfRule type="cellIs" dxfId="10444" priority="10284" stopIfTrue="1" operator="equal">
      <formula>"Fail"</formula>
    </cfRule>
  </conditionalFormatting>
  <conditionalFormatting sqref="A1018">
    <cfRule type="cellIs" dxfId="10443" priority="10281" stopIfTrue="1" operator="equal">
      <formula>"Pass"</formula>
    </cfRule>
    <cfRule type="cellIs" dxfId="10442" priority="10282" stopIfTrue="1" operator="equal">
      <formula>"Fail"</formula>
    </cfRule>
  </conditionalFormatting>
  <conditionalFormatting sqref="A1018">
    <cfRule type="cellIs" dxfId="10441" priority="10279" stopIfTrue="1" operator="equal">
      <formula>"Pass"</formula>
    </cfRule>
    <cfRule type="cellIs" dxfId="10440" priority="10280" stopIfTrue="1" operator="equal">
      <formula>"Fail"</formula>
    </cfRule>
  </conditionalFormatting>
  <conditionalFormatting sqref="H1018:H1019">
    <cfRule type="cellIs" dxfId="10439" priority="10277" stopIfTrue="1" operator="equal">
      <formula>"Pass"</formula>
    </cfRule>
    <cfRule type="cellIs" dxfId="10438" priority="10278" stopIfTrue="1" operator="equal">
      <formula>"Fail"</formula>
    </cfRule>
  </conditionalFormatting>
  <conditionalFormatting sqref="F1018 F1020 I1018:M1019">
    <cfRule type="cellIs" dxfId="10437" priority="10275" stopIfTrue="1" operator="equal">
      <formula>"Pass"</formula>
    </cfRule>
    <cfRule type="cellIs" dxfId="10436" priority="10276" stopIfTrue="1" operator="equal">
      <formula>"Fail"</formula>
    </cfRule>
  </conditionalFormatting>
  <conditionalFormatting sqref="T1020 T1018 R1018:R1020 S1019:S1020">
    <cfRule type="cellIs" dxfId="10435" priority="10273" stopIfTrue="1" operator="equal">
      <formula>"Fail"</formula>
    </cfRule>
    <cfRule type="cellIs" dxfId="10434" priority="10274" stopIfTrue="1" operator="equal">
      <formula>"Pass"</formula>
    </cfRule>
  </conditionalFormatting>
  <conditionalFormatting sqref="F1018:G1018 F1020:G1020 J1018:N1019">
    <cfRule type="cellIs" dxfId="10433" priority="10271" stopIfTrue="1" operator="equal">
      <formula>"Pass"</formula>
    </cfRule>
    <cfRule type="cellIs" dxfId="10432" priority="10272" stopIfTrue="1" operator="equal">
      <formula>"Fail"</formula>
    </cfRule>
  </conditionalFormatting>
  <conditionalFormatting sqref="U1020:V1020 T1018:T1020 S1019:S1020">
    <cfRule type="cellIs" dxfId="10431" priority="10269" stopIfTrue="1" operator="equal">
      <formula>"Fail"</formula>
    </cfRule>
    <cfRule type="cellIs" dxfId="10430" priority="10270" stopIfTrue="1" operator="equal">
      <formula>"Pass"</formula>
    </cfRule>
  </conditionalFormatting>
  <conditionalFormatting sqref="U1018:V1018">
    <cfRule type="cellIs" dxfId="10429" priority="10267" stopIfTrue="1" operator="equal">
      <formula>"Fail"</formula>
    </cfRule>
    <cfRule type="cellIs" dxfId="10428" priority="10268" stopIfTrue="1" operator="equal">
      <formula>"Pass"</formula>
    </cfRule>
  </conditionalFormatting>
  <conditionalFormatting sqref="F1018:G1018 J1018:N1018">
    <cfRule type="cellIs" dxfId="10427" priority="10265" stopIfTrue="1" operator="equal">
      <formula>"Pass"</formula>
    </cfRule>
    <cfRule type="cellIs" dxfId="10426" priority="10266" stopIfTrue="1" operator="equal">
      <formula>"Fail"</formula>
    </cfRule>
  </conditionalFormatting>
  <conditionalFormatting sqref="J1019:N1019">
    <cfRule type="cellIs" dxfId="10425" priority="10263" stopIfTrue="1" operator="equal">
      <formula>"Pass"</formula>
    </cfRule>
    <cfRule type="cellIs" dxfId="10424" priority="10264" stopIfTrue="1" operator="equal">
      <formula>"Fail"</formula>
    </cfRule>
  </conditionalFormatting>
  <conditionalFormatting sqref="H1018:H1019">
    <cfRule type="cellIs" dxfId="10423" priority="10261" stopIfTrue="1" operator="equal">
      <formula>"Pass"</formula>
    </cfRule>
    <cfRule type="cellIs" dxfId="10422" priority="10262" stopIfTrue="1" operator="equal">
      <formula>"Fail"</formula>
    </cfRule>
  </conditionalFormatting>
  <conditionalFormatting sqref="F1018 F1020 I1018:M1019">
    <cfRule type="cellIs" dxfId="10421" priority="10259" stopIfTrue="1" operator="equal">
      <formula>"Pass"</formula>
    </cfRule>
    <cfRule type="cellIs" dxfId="10420" priority="10260" stopIfTrue="1" operator="equal">
      <formula>"Fail"</formula>
    </cfRule>
  </conditionalFormatting>
  <conditionalFormatting sqref="T1020 T1018 R1018:R1020 S1019:S1020">
    <cfRule type="cellIs" dxfId="10419" priority="10257" stopIfTrue="1" operator="equal">
      <formula>"Fail"</formula>
    </cfRule>
    <cfRule type="cellIs" dxfId="10418" priority="10258" stopIfTrue="1" operator="equal">
      <formula>"Pass"</formula>
    </cfRule>
  </conditionalFormatting>
  <conditionalFormatting sqref="F1018:G1018 F1020:G1020 J1018:N1019">
    <cfRule type="cellIs" dxfId="10417" priority="10255" stopIfTrue="1" operator="equal">
      <formula>"Pass"</formula>
    </cfRule>
    <cfRule type="cellIs" dxfId="10416" priority="10256" stopIfTrue="1" operator="equal">
      <formula>"Fail"</formula>
    </cfRule>
  </conditionalFormatting>
  <conditionalFormatting sqref="U1020:V1020 T1018:T1020 S1019:S1020">
    <cfRule type="cellIs" dxfId="10415" priority="10253" stopIfTrue="1" operator="equal">
      <formula>"Fail"</formula>
    </cfRule>
    <cfRule type="cellIs" dxfId="10414" priority="10254" stopIfTrue="1" operator="equal">
      <formula>"Pass"</formula>
    </cfRule>
  </conditionalFormatting>
  <conditionalFormatting sqref="U1018:V1018">
    <cfRule type="cellIs" dxfId="10413" priority="10251" stopIfTrue="1" operator="equal">
      <formula>"Fail"</formula>
    </cfRule>
    <cfRule type="cellIs" dxfId="10412" priority="10252" stopIfTrue="1" operator="equal">
      <formula>"Pass"</formula>
    </cfRule>
  </conditionalFormatting>
  <conditionalFormatting sqref="F1018:G1018 J1018:N1018">
    <cfRule type="cellIs" dxfId="10411" priority="10249" stopIfTrue="1" operator="equal">
      <formula>"Pass"</formula>
    </cfRule>
    <cfRule type="cellIs" dxfId="10410" priority="10250" stopIfTrue="1" operator="equal">
      <formula>"Fail"</formula>
    </cfRule>
  </conditionalFormatting>
  <conditionalFormatting sqref="J1019:N1019">
    <cfRule type="cellIs" dxfId="10409" priority="10247" stopIfTrue="1" operator="equal">
      <formula>"Pass"</formula>
    </cfRule>
    <cfRule type="cellIs" dxfId="10408" priority="10248" stopIfTrue="1" operator="equal">
      <formula>"Fail"</formula>
    </cfRule>
  </conditionalFormatting>
  <conditionalFormatting sqref="H1018:H1019">
    <cfRule type="cellIs" dxfId="10407" priority="10245" stopIfTrue="1" operator="equal">
      <formula>"Pass"</formula>
    </cfRule>
    <cfRule type="cellIs" dxfId="10406" priority="10246" stopIfTrue="1" operator="equal">
      <formula>"Fail"</formula>
    </cfRule>
  </conditionalFormatting>
  <conditionalFormatting sqref="F1018 F1020 I1018:M1019">
    <cfRule type="cellIs" dxfId="10405" priority="10243" stopIfTrue="1" operator="equal">
      <formula>"Pass"</formula>
    </cfRule>
    <cfRule type="cellIs" dxfId="10404" priority="10244" stopIfTrue="1" operator="equal">
      <formula>"Fail"</formula>
    </cfRule>
  </conditionalFormatting>
  <conditionalFormatting sqref="T1020 T1018 R1018:R1020 S1019:S1020">
    <cfRule type="cellIs" dxfId="10403" priority="10241" stopIfTrue="1" operator="equal">
      <formula>"Fail"</formula>
    </cfRule>
    <cfRule type="cellIs" dxfId="10402" priority="10242" stopIfTrue="1" operator="equal">
      <formula>"Pass"</formula>
    </cfRule>
  </conditionalFormatting>
  <conditionalFormatting sqref="F1018:G1018 F1020:G1020 J1018:N1019">
    <cfRule type="cellIs" dxfId="10401" priority="10239" stopIfTrue="1" operator="equal">
      <formula>"Pass"</formula>
    </cfRule>
    <cfRule type="cellIs" dxfId="10400" priority="10240" stopIfTrue="1" operator="equal">
      <formula>"Fail"</formula>
    </cfRule>
  </conditionalFormatting>
  <conditionalFormatting sqref="U1020:V1020 T1018:T1020 S1019:S1020">
    <cfRule type="cellIs" dxfId="10399" priority="10237" stopIfTrue="1" operator="equal">
      <formula>"Fail"</formula>
    </cfRule>
    <cfRule type="cellIs" dxfId="10398" priority="10238" stopIfTrue="1" operator="equal">
      <formula>"Pass"</formula>
    </cfRule>
  </conditionalFormatting>
  <conditionalFormatting sqref="U1018:V1018">
    <cfRule type="cellIs" dxfId="10397" priority="10235" stopIfTrue="1" operator="equal">
      <formula>"Fail"</formula>
    </cfRule>
    <cfRule type="cellIs" dxfId="10396" priority="10236" stopIfTrue="1" operator="equal">
      <formula>"Pass"</formula>
    </cfRule>
  </conditionalFormatting>
  <conditionalFormatting sqref="F1018:G1018 J1018:N1018">
    <cfRule type="cellIs" dxfId="10395" priority="10233" stopIfTrue="1" operator="equal">
      <formula>"Pass"</formula>
    </cfRule>
    <cfRule type="cellIs" dxfId="10394" priority="10234" stopIfTrue="1" operator="equal">
      <formula>"Fail"</formula>
    </cfRule>
  </conditionalFormatting>
  <conditionalFormatting sqref="J1019:N1019">
    <cfRule type="cellIs" dxfId="10393" priority="10231" stopIfTrue="1" operator="equal">
      <formula>"Pass"</formula>
    </cfRule>
    <cfRule type="cellIs" dxfId="10392" priority="10232" stopIfTrue="1" operator="equal">
      <formula>"Fail"</formula>
    </cfRule>
  </conditionalFormatting>
  <conditionalFormatting sqref="U1018:V1018">
    <cfRule type="cellIs" dxfId="10391" priority="10229" stopIfTrue="1" operator="equal">
      <formula>"Fail"</formula>
    </cfRule>
    <cfRule type="cellIs" dxfId="10390" priority="10230" stopIfTrue="1" operator="equal">
      <formula>"Pass"</formula>
    </cfRule>
  </conditionalFormatting>
  <conditionalFormatting sqref="U1018:V1018">
    <cfRule type="cellIs" dxfId="10389" priority="10227" stopIfTrue="1" operator="equal">
      <formula>"Fail"</formula>
    </cfRule>
    <cfRule type="cellIs" dxfId="10388" priority="10228" stopIfTrue="1" operator="equal">
      <formula>"Pass"</formula>
    </cfRule>
  </conditionalFormatting>
  <conditionalFormatting sqref="U1018:V1018">
    <cfRule type="cellIs" dxfId="10387" priority="10225" stopIfTrue="1" operator="equal">
      <formula>"Fail"</formula>
    </cfRule>
    <cfRule type="cellIs" dxfId="10386" priority="10226" stopIfTrue="1" operator="equal">
      <formula>"Pass"</formula>
    </cfRule>
  </conditionalFormatting>
  <conditionalFormatting sqref="N1018">
    <cfRule type="cellIs" dxfId="10385" priority="10223" stopIfTrue="1" operator="equal">
      <formula>"Pass"</formula>
    </cfRule>
    <cfRule type="cellIs" dxfId="10384" priority="10224" stopIfTrue="1" operator="equal">
      <formula>"Fail"</formula>
    </cfRule>
  </conditionalFormatting>
  <conditionalFormatting sqref="N1018">
    <cfRule type="cellIs" dxfId="10383" priority="10221" stopIfTrue="1" operator="equal">
      <formula>"Pass"</formula>
    </cfRule>
    <cfRule type="cellIs" dxfId="10382" priority="10222" stopIfTrue="1" operator="equal">
      <formula>"Fail"</formula>
    </cfRule>
  </conditionalFormatting>
  <conditionalFormatting sqref="N1018">
    <cfRule type="cellIs" dxfId="10381" priority="10219" stopIfTrue="1" operator="equal">
      <formula>"Pass"</formula>
    </cfRule>
    <cfRule type="cellIs" dxfId="10380" priority="10220" stopIfTrue="1" operator="equal">
      <formula>"Fail"</formula>
    </cfRule>
  </conditionalFormatting>
  <conditionalFormatting sqref="U1018:V1018">
    <cfRule type="cellIs" dxfId="10379" priority="10217" stopIfTrue="1" operator="equal">
      <formula>"Fail"</formula>
    </cfRule>
    <cfRule type="cellIs" dxfId="10378" priority="10218" stopIfTrue="1" operator="equal">
      <formula>"Pass"</formula>
    </cfRule>
  </conditionalFormatting>
  <conditionalFormatting sqref="U1018:V1018">
    <cfRule type="cellIs" dxfId="10377" priority="10215" stopIfTrue="1" operator="equal">
      <formula>"Fail"</formula>
    </cfRule>
    <cfRule type="cellIs" dxfId="10376" priority="10216" stopIfTrue="1" operator="equal">
      <formula>"Pass"</formula>
    </cfRule>
  </conditionalFormatting>
  <conditionalFormatting sqref="U1018:V1018">
    <cfRule type="cellIs" dxfId="10375" priority="10213" stopIfTrue="1" operator="equal">
      <formula>"Fail"</formula>
    </cfRule>
    <cfRule type="cellIs" dxfId="10374" priority="10214" stopIfTrue="1" operator="equal">
      <formula>"Pass"</formula>
    </cfRule>
  </conditionalFormatting>
  <conditionalFormatting sqref="U1018:V1018">
    <cfRule type="cellIs" dxfId="10373" priority="10211" stopIfTrue="1" operator="equal">
      <formula>"Fail"</formula>
    </cfRule>
    <cfRule type="cellIs" dxfId="10372" priority="10212" stopIfTrue="1" operator="equal">
      <formula>"Pass"</formula>
    </cfRule>
  </conditionalFormatting>
  <conditionalFormatting sqref="T1018">
    <cfRule type="cellIs" dxfId="10371" priority="10209" stopIfTrue="1" operator="equal">
      <formula>"Fail"</formula>
    </cfRule>
    <cfRule type="cellIs" dxfId="10370" priority="10210" stopIfTrue="1" operator="equal">
      <formula>"Pass"</formula>
    </cfRule>
  </conditionalFormatting>
  <conditionalFormatting sqref="T1018">
    <cfRule type="cellIs" dxfId="10369" priority="10207" stopIfTrue="1" operator="equal">
      <formula>"Fail"</formula>
    </cfRule>
    <cfRule type="cellIs" dxfId="10368" priority="10208" stopIfTrue="1" operator="equal">
      <formula>"Pass"</formula>
    </cfRule>
  </conditionalFormatting>
  <conditionalFormatting sqref="T1018">
    <cfRule type="cellIs" dxfId="10367" priority="10205" stopIfTrue="1" operator="equal">
      <formula>"Fail"</formula>
    </cfRule>
    <cfRule type="cellIs" dxfId="10366" priority="10206" stopIfTrue="1" operator="equal">
      <formula>"Pass"</formula>
    </cfRule>
  </conditionalFormatting>
  <conditionalFormatting sqref="T1018">
    <cfRule type="cellIs" dxfId="10365" priority="10203" stopIfTrue="1" operator="equal">
      <formula>"Fail"</formula>
    </cfRule>
    <cfRule type="cellIs" dxfId="10364" priority="10204" stopIfTrue="1" operator="equal">
      <formula>"Pass"</formula>
    </cfRule>
  </conditionalFormatting>
  <conditionalFormatting sqref="T1018">
    <cfRule type="cellIs" dxfId="10363" priority="10201" stopIfTrue="1" operator="equal">
      <formula>"Fail"</formula>
    </cfRule>
    <cfRule type="cellIs" dxfId="10362" priority="10202" stopIfTrue="1" operator="equal">
      <formula>"Pass"</formula>
    </cfRule>
  </conditionalFormatting>
  <conditionalFormatting sqref="T1018">
    <cfRule type="cellIs" dxfId="10361" priority="10199" stopIfTrue="1" operator="equal">
      <formula>"Fail"</formula>
    </cfRule>
    <cfRule type="cellIs" dxfId="10360" priority="10200" stopIfTrue="1" operator="equal">
      <formula>"Pass"</formula>
    </cfRule>
  </conditionalFormatting>
  <conditionalFormatting sqref="T1018">
    <cfRule type="cellIs" dxfId="10359" priority="10197" stopIfTrue="1" operator="equal">
      <formula>"Fail"</formula>
    </cfRule>
    <cfRule type="cellIs" dxfId="10358" priority="10198" stopIfTrue="1" operator="equal">
      <formula>"Pass"</formula>
    </cfRule>
  </conditionalFormatting>
  <conditionalFormatting sqref="T1018">
    <cfRule type="cellIs" dxfId="10357" priority="10195" stopIfTrue="1" operator="equal">
      <formula>"Fail"</formula>
    </cfRule>
    <cfRule type="cellIs" dxfId="10356" priority="10196" stopIfTrue="1" operator="equal">
      <formula>"Pass"</formula>
    </cfRule>
  </conditionalFormatting>
  <conditionalFormatting sqref="T1018">
    <cfRule type="cellIs" dxfId="10355" priority="10193" stopIfTrue="1" operator="equal">
      <formula>"Fail"</formula>
    </cfRule>
    <cfRule type="cellIs" dxfId="10354" priority="10194" stopIfTrue="1" operator="equal">
      <formula>"Pass"</formula>
    </cfRule>
  </conditionalFormatting>
  <conditionalFormatting sqref="T1018">
    <cfRule type="cellIs" dxfId="10353" priority="10191" stopIfTrue="1" operator="equal">
      <formula>"Fail"</formula>
    </cfRule>
    <cfRule type="cellIs" dxfId="10352" priority="10192" stopIfTrue="1" operator="equal">
      <formula>"Pass"</formula>
    </cfRule>
  </conditionalFormatting>
  <conditionalFormatting sqref="T1018">
    <cfRule type="cellIs" dxfId="10351" priority="10189" stopIfTrue="1" operator="equal">
      <formula>"Fail"</formula>
    </cfRule>
    <cfRule type="cellIs" dxfId="10350" priority="10190" stopIfTrue="1" operator="equal">
      <formula>"Pass"</formula>
    </cfRule>
  </conditionalFormatting>
  <conditionalFormatting sqref="T1018">
    <cfRule type="cellIs" dxfId="10349" priority="10187" stopIfTrue="1" operator="equal">
      <formula>"Fail"</formula>
    </cfRule>
    <cfRule type="cellIs" dxfId="10348" priority="10188" stopIfTrue="1" operator="equal">
      <formula>"Pass"</formula>
    </cfRule>
  </conditionalFormatting>
  <conditionalFormatting sqref="T1018">
    <cfRule type="cellIs" dxfId="10347" priority="10185" stopIfTrue="1" operator="equal">
      <formula>"Fail"</formula>
    </cfRule>
    <cfRule type="cellIs" dxfId="10346" priority="10186" stopIfTrue="1" operator="equal">
      <formula>"Pass"</formula>
    </cfRule>
  </conditionalFormatting>
  <conditionalFormatting sqref="T1018">
    <cfRule type="cellIs" dxfId="10345" priority="10183" stopIfTrue="1" operator="equal">
      <formula>"Fail"</formula>
    </cfRule>
    <cfRule type="cellIs" dxfId="10344" priority="10184" stopIfTrue="1" operator="equal">
      <formula>"Pass"</formula>
    </cfRule>
  </conditionalFormatting>
  <conditionalFormatting sqref="T1018">
    <cfRule type="cellIs" dxfId="10343" priority="10181" stopIfTrue="1" operator="equal">
      <formula>"Fail"</formula>
    </cfRule>
    <cfRule type="cellIs" dxfId="10342" priority="10182" stopIfTrue="1" operator="equal">
      <formula>"Pass"</formula>
    </cfRule>
  </conditionalFormatting>
  <conditionalFormatting sqref="T1018">
    <cfRule type="cellIs" dxfId="10341" priority="10179" stopIfTrue="1" operator="equal">
      <formula>"Fail"</formula>
    </cfRule>
    <cfRule type="cellIs" dxfId="10340" priority="10180" stopIfTrue="1" operator="equal">
      <formula>"Pass"</formula>
    </cfRule>
  </conditionalFormatting>
  <conditionalFormatting sqref="T1018">
    <cfRule type="cellIs" dxfId="10339" priority="10177" stopIfTrue="1" operator="equal">
      <formula>"Fail"</formula>
    </cfRule>
    <cfRule type="cellIs" dxfId="10338" priority="10178" stopIfTrue="1" operator="equal">
      <formula>"Pass"</formula>
    </cfRule>
  </conditionalFormatting>
  <conditionalFormatting sqref="T1018">
    <cfRule type="cellIs" dxfId="10337" priority="10175" stopIfTrue="1" operator="equal">
      <formula>"Fail"</formula>
    </cfRule>
    <cfRule type="cellIs" dxfId="10336" priority="10176" stopIfTrue="1" operator="equal">
      <formula>"Pass"</formula>
    </cfRule>
  </conditionalFormatting>
  <conditionalFormatting sqref="T1018">
    <cfRule type="cellIs" dxfId="10335" priority="10173" stopIfTrue="1" operator="equal">
      <formula>"Fail"</formula>
    </cfRule>
    <cfRule type="cellIs" dxfId="10334" priority="10174" stopIfTrue="1" operator="equal">
      <formula>"Pass"</formula>
    </cfRule>
  </conditionalFormatting>
  <conditionalFormatting sqref="T1018">
    <cfRule type="cellIs" dxfId="10333" priority="10171" stopIfTrue="1" operator="equal">
      <formula>"Fail"</formula>
    </cfRule>
    <cfRule type="cellIs" dxfId="10332" priority="10172" stopIfTrue="1" operator="equal">
      <formula>"Pass"</formula>
    </cfRule>
  </conditionalFormatting>
  <conditionalFormatting sqref="T1018">
    <cfRule type="cellIs" dxfId="10331" priority="10169" stopIfTrue="1" operator="equal">
      <formula>"Fail"</formula>
    </cfRule>
    <cfRule type="cellIs" dxfId="10330" priority="10170" stopIfTrue="1" operator="equal">
      <formula>"Pass"</formula>
    </cfRule>
  </conditionalFormatting>
  <conditionalFormatting sqref="T1018">
    <cfRule type="cellIs" dxfId="10329" priority="10167" stopIfTrue="1" operator="equal">
      <formula>"Fail"</formula>
    </cfRule>
    <cfRule type="cellIs" dxfId="10328" priority="10168" stopIfTrue="1" operator="equal">
      <formula>"Pass"</formula>
    </cfRule>
  </conditionalFormatting>
  <conditionalFormatting sqref="T1018">
    <cfRule type="cellIs" dxfId="10327" priority="10165" stopIfTrue="1" operator="equal">
      <formula>"Fail"</formula>
    </cfRule>
    <cfRule type="cellIs" dxfId="10326" priority="10166" stopIfTrue="1" operator="equal">
      <formula>"Pass"</formula>
    </cfRule>
  </conditionalFormatting>
  <conditionalFormatting sqref="T1018">
    <cfRule type="cellIs" dxfId="10325" priority="10163" stopIfTrue="1" operator="equal">
      <formula>"Fail"</formula>
    </cfRule>
    <cfRule type="cellIs" dxfId="10324" priority="10164" stopIfTrue="1" operator="equal">
      <formula>"Pass"</formula>
    </cfRule>
  </conditionalFormatting>
  <conditionalFormatting sqref="H1018:H1019">
    <cfRule type="cellIs" dxfId="10323" priority="10161" stopIfTrue="1" operator="equal">
      <formula>"Pass"</formula>
    </cfRule>
    <cfRule type="cellIs" dxfId="10322" priority="10162" stopIfTrue="1" operator="equal">
      <formula>"Fail"</formula>
    </cfRule>
  </conditionalFormatting>
  <conditionalFormatting sqref="E1018:F1018 E1020:F1020 A1018:A1020 I1018:M1019">
    <cfRule type="cellIs" dxfId="10321" priority="10159" stopIfTrue="1" operator="equal">
      <formula>"Pass"</formula>
    </cfRule>
    <cfRule type="cellIs" dxfId="10320" priority="10160" stopIfTrue="1" operator="equal">
      <formula>"Fail"</formula>
    </cfRule>
  </conditionalFormatting>
  <conditionalFormatting sqref="T1020 T1018 R1018:R1020 S1019:S1020">
    <cfRule type="cellIs" dxfId="10319" priority="10157" stopIfTrue="1" operator="equal">
      <formula>"Fail"</formula>
    </cfRule>
    <cfRule type="cellIs" dxfId="10318" priority="10158" stopIfTrue="1" operator="equal">
      <formula>"Pass"</formula>
    </cfRule>
  </conditionalFormatting>
  <conditionalFormatting sqref="F1018:G1018 F1020:G1020 A1018:B1020 J1018:N1019">
    <cfRule type="cellIs" dxfId="10317" priority="10155" stopIfTrue="1" operator="equal">
      <formula>"Pass"</formula>
    </cfRule>
    <cfRule type="cellIs" dxfId="10316" priority="10156" stopIfTrue="1" operator="equal">
      <formula>"Fail"</formula>
    </cfRule>
  </conditionalFormatting>
  <conditionalFormatting sqref="U1020:V1020 U1018:V1018 T1018:T1020 S1019:S1020">
    <cfRule type="cellIs" dxfId="10315" priority="10153" stopIfTrue="1" operator="equal">
      <formula>"Fail"</formula>
    </cfRule>
    <cfRule type="cellIs" dxfId="10314" priority="10154" stopIfTrue="1" operator="equal">
      <formula>"Pass"</formula>
    </cfRule>
  </conditionalFormatting>
  <conditionalFormatting sqref="A1018:A1020">
    <cfRule type="cellIs" dxfId="10313" priority="10151" stopIfTrue="1" operator="equal">
      <formula>"Pass"</formula>
    </cfRule>
    <cfRule type="cellIs" dxfId="10312" priority="10152" stopIfTrue="1" operator="equal">
      <formula>"Fail"</formula>
    </cfRule>
  </conditionalFormatting>
  <conditionalFormatting sqref="A1018:A1020">
    <cfRule type="cellIs" dxfId="10311" priority="10149" stopIfTrue="1" operator="equal">
      <formula>"Pass"</formula>
    </cfRule>
    <cfRule type="cellIs" dxfId="10310" priority="10150" stopIfTrue="1" operator="equal">
      <formula>"Fail"</formula>
    </cfRule>
  </conditionalFormatting>
  <conditionalFormatting sqref="A1018:A1020">
    <cfRule type="cellIs" dxfId="10309" priority="10147" stopIfTrue="1" operator="equal">
      <formula>"Pass"</formula>
    </cfRule>
    <cfRule type="cellIs" dxfId="10308" priority="10148" stopIfTrue="1" operator="equal">
      <formula>"Fail"</formula>
    </cfRule>
  </conditionalFormatting>
  <conditionalFormatting sqref="E1018:G1020 J1018:N1019">
    <cfRule type="cellIs" dxfId="10307" priority="10145" stopIfTrue="1" operator="equal">
      <formula>"Pass"</formula>
    </cfRule>
    <cfRule type="cellIs" dxfId="10306" priority="10146" stopIfTrue="1" operator="equal">
      <formula>"Fail"</formula>
    </cfRule>
  </conditionalFormatting>
  <conditionalFormatting sqref="A1020 C1020 K1018:O1019 F1018:H1020">
    <cfRule type="cellIs" dxfId="10305" priority="10143" stopIfTrue="1" operator="equal">
      <formula>"Pass"</formula>
    </cfRule>
    <cfRule type="cellIs" dxfId="10304" priority="10144" stopIfTrue="1" operator="equal">
      <formula>"Fail"</formula>
    </cfRule>
  </conditionalFormatting>
  <conditionalFormatting sqref="T1018">
    <cfRule type="cellIs" dxfId="10303" priority="10141" stopIfTrue="1" operator="equal">
      <formula>"Fail"</formula>
    </cfRule>
    <cfRule type="cellIs" dxfId="10302" priority="10142" stopIfTrue="1" operator="equal">
      <formula>"Pass"</formula>
    </cfRule>
  </conditionalFormatting>
  <conditionalFormatting sqref="A1018:A1020">
    <cfRule type="cellIs" dxfId="10301" priority="10139" stopIfTrue="1" operator="equal">
      <formula>"Pass"</formula>
    </cfRule>
    <cfRule type="cellIs" dxfId="10300" priority="10140" stopIfTrue="1" operator="equal">
      <formula>"Fail"</formula>
    </cfRule>
  </conditionalFormatting>
  <conditionalFormatting sqref="A1018:A1020">
    <cfRule type="cellIs" dxfId="10299" priority="10137" stopIfTrue="1" operator="equal">
      <formula>"Pass"</formula>
    </cfRule>
    <cfRule type="cellIs" dxfId="10298" priority="10138" stopIfTrue="1" operator="equal">
      <formula>"Fail"</formula>
    </cfRule>
  </conditionalFormatting>
  <conditionalFormatting sqref="A1018:A1020">
    <cfRule type="cellIs" dxfId="10297" priority="10135" stopIfTrue="1" operator="equal">
      <formula>"Pass"</formula>
    </cfRule>
    <cfRule type="cellIs" dxfId="10296" priority="10136" stopIfTrue="1" operator="equal">
      <formula>"Fail"</formula>
    </cfRule>
  </conditionalFormatting>
  <conditionalFormatting sqref="A1018:A1020">
    <cfRule type="cellIs" dxfId="10295" priority="10133" stopIfTrue="1" operator="equal">
      <formula>"Pass"</formula>
    </cfRule>
    <cfRule type="cellIs" dxfId="10294" priority="10134" stopIfTrue="1" operator="equal">
      <formula>"Fail"</formula>
    </cfRule>
  </conditionalFormatting>
  <conditionalFormatting sqref="A1018:A1020">
    <cfRule type="cellIs" dxfId="10293" priority="10131" stopIfTrue="1" operator="equal">
      <formula>"Pass"</formula>
    </cfRule>
    <cfRule type="cellIs" dxfId="10292" priority="10132" stopIfTrue="1" operator="equal">
      <formula>"Fail"</formula>
    </cfRule>
  </conditionalFormatting>
  <conditionalFormatting sqref="A1018:A1020">
    <cfRule type="cellIs" dxfId="10291" priority="10129" stopIfTrue="1" operator="equal">
      <formula>"Pass"</formula>
    </cfRule>
    <cfRule type="cellIs" dxfId="10290" priority="10130" stopIfTrue="1" operator="equal">
      <formula>"Fail"</formula>
    </cfRule>
  </conditionalFormatting>
  <conditionalFormatting sqref="A1020">
    <cfRule type="cellIs" dxfId="10289" priority="10127" stopIfTrue="1" operator="equal">
      <formula>"Pass"</formula>
    </cfRule>
    <cfRule type="cellIs" dxfId="10288" priority="10128" stopIfTrue="1" operator="equal">
      <formula>"Fail"</formula>
    </cfRule>
  </conditionalFormatting>
  <conditionalFormatting sqref="A1018:A1020">
    <cfRule type="cellIs" dxfId="10287" priority="10125" stopIfTrue="1" operator="equal">
      <formula>"Pass"</formula>
    </cfRule>
    <cfRule type="cellIs" dxfId="10286" priority="10126" stopIfTrue="1" operator="equal">
      <formula>"Fail"</formula>
    </cfRule>
  </conditionalFormatting>
  <conditionalFormatting sqref="A1018:A1020">
    <cfRule type="cellIs" dxfId="10285" priority="10123" stopIfTrue="1" operator="equal">
      <formula>"Pass"</formula>
    </cfRule>
    <cfRule type="cellIs" dxfId="10284" priority="10124" stopIfTrue="1" operator="equal">
      <formula>"Fail"</formula>
    </cfRule>
  </conditionalFormatting>
  <conditionalFormatting sqref="A1018:A1020">
    <cfRule type="cellIs" dxfId="10283" priority="10121" stopIfTrue="1" operator="equal">
      <formula>"Pass"</formula>
    </cfRule>
    <cfRule type="cellIs" dxfId="10282" priority="10122" stopIfTrue="1" operator="equal">
      <formula>"Fail"</formula>
    </cfRule>
  </conditionalFormatting>
  <conditionalFormatting sqref="A1018:A1020">
    <cfRule type="cellIs" dxfId="10281" priority="10119" stopIfTrue="1" operator="equal">
      <formula>"Pass"</formula>
    </cfRule>
    <cfRule type="cellIs" dxfId="10280" priority="10120" stopIfTrue="1" operator="equal">
      <formula>"Fail"</formula>
    </cfRule>
  </conditionalFormatting>
  <conditionalFormatting sqref="A1018:A1020">
    <cfRule type="cellIs" dxfId="10279" priority="10117" stopIfTrue="1" operator="equal">
      <formula>"Pass"</formula>
    </cfRule>
    <cfRule type="cellIs" dxfId="10278" priority="10118" stopIfTrue="1" operator="equal">
      <formula>"Fail"</formula>
    </cfRule>
  </conditionalFormatting>
  <conditionalFormatting sqref="A1018:A1020">
    <cfRule type="cellIs" dxfId="10277" priority="10115" stopIfTrue="1" operator="equal">
      <formula>"Pass"</formula>
    </cfRule>
    <cfRule type="cellIs" dxfId="10276" priority="10116" stopIfTrue="1" operator="equal">
      <formula>"Fail"</formula>
    </cfRule>
  </conditionalFormatting>
  <conditionalFormatting sqref="A1020">
    <cfRule type="cellIs" dxfId="10275" priority="10113" stopIfTrue="1" operator="equal">
      <formula>"Pass"</formula>
    </cfRule>
    <cfRule type="cellIs" dxfId="10274" priority="10114" stopIfTrue="1" operator="equal">
      <formula>"Fail"</formula>
    </cfRule>
  </conditionalFormatting>
  <conditionalFormatting sqref="A1018:A1020">
    <cfRule type="cellIs" dxfId="10273" priority="10111" stopIfTrue="1" operator="equal">
      <formula>"Pass"</formula>
    </cfRule>
    <cfRule type="cellIs" dxfId="10272" priority="10112" stopIfTrue="1" operator="equal">
      <formula>"Fail"</formula>
    </cfRule>
  </conditionalFormatting>
  <conditionalFormatting sqref="H1018:H1019">
    <cfRule type="cellIs" dxfId="10271" priority="10109" stopIfTrue="1" operator="equal">
      <formula>"Pass"</formula>
    </cfRule>
    <cfRule type="cellIs" dxfId="10270" priority="10110" stopIfTrue="1" operator="equal">
      <formula>"Fail"</formula>
    </cfRule>
  </conditionalFormatting>
  <conditionalFormatting sqref="F1018 F1020 I1018:M1019">
    <cfRule type="cellIs" dxfId="10269" priority="10107" stopIfTrue="1" operator="equal">
      <formula>"Pass"</formula>
    </cfRule>
    <cfRule type="cellIs" dxfId="10268" priority="10108" stopIfTrue="1" operator="equal">
      <formula>"Fail"</formula>
    </cfRule>
  </conditionalFormatting>
  <conditionalFormatting sqref="T1020 T1018 R1018:R1020 S1019:S1020">
    <cfRule type="cellIs" dxfId="10267" priority="10105" stopIfTrue="1" operator="equal">
      <formula>"Fail"</formula>
    </cfRule>
    <cfRule type="cellIs" dxfId="10266" priority="10106" stopIfTrue="1" operator="equal">
      <formula>"Pass"</formula>
    </cfRule>
  </conditionalFormatting>
  <conditionalFormatting sqref="F1018:G1018 F1020:G1020 J1018:N1019">
    <cfRule type="cellIs" dxfId="10265" priority="10103" stopIfTrue="1" operator="equal">
      <formula>"Pass"</formula>
    </cfRule>
    <cfRule type="cellIs" dxfId="10264" priority="10104" stopIfTrue="1" operator="equal">
      <formula>"Fail"</formula>
    </cfRule>
  </conditionalFormatting>
  <conditionalFormatting sqref="U1020:V1020 U1018:V1018 T1018:T1020 S1019:S1020">
    <cfRule type="cellIs" dxfId="10263" priority="10101" stopIfTrue="1" operator="equal">
      <formula>"Fail"</formula>
    </cfRule>
    <cfRule type="cellIs" dxfId="10262" priority="10102" stopIfTrue="1" operator="equal">
      <formula>"Pass"</formula>
    </cfRule>
  </conditionalFormatting>
  <conditionalFormatting sqref="F1018:G1020 J1018:N1019">
    <cfRule type="cellIs" dxfId="10261" priority="10099" stopIfTrue="1" operator="equal">
      <formula>"Pass"</formula>
    </cfRule>
    <cfRule type="cellIs" dxfId="10260" priority="10100" stopIfTrue="1" operator="equal">
      <formula>"Fail"</formula>
    </cfRule>
  </conditionalFormatting>
  <conditionalFormatting sqref="K1018:O1019 F1018:H1020">
    <cfRule type="cellIs" dxfId="10259" priority="10097" stopIfTrue="1" operator="equal">
      <formula>"Pass"</formula>
    </cfRule>
    <cfRule type="cellIs" dxfId="10258" priority="10098" stopIfTrue="1" operator="equal">
      <formula>"Fail"</formula>
    </cfRule>
  </conditionalFormatting>
  <conditionalFormatting sqref="T1018">
    <cfRule type="cellIs" dxfId="10257" priority="10095" stopIfTrue="1" operator="equal">
      <formula>"Fail"</formula>
    </cfRule>
    <cfRule type="cellIs" dxfId="10256" priority="10096" stopIfTrue="1" operator="equal">
      <formula>"Pass"</formula>
    </cfRule>
  </conditionalFormatting>
  <conditionalFormatting sqref="K1018:O1019 F1018:H1020">
    <cfRule type="cellIs" dxfId="10255" priority="10093" stopIfTrue="1" operator="equal">
      <formula>"Pass"</formula>
    </cfRule>
    <cfRule type="cellIs" dxfId="10254" priority="10094" stopIfTrue="1" operator="equal">
      <formula>"Fail"</formula>
    </cfRule>
  </conditionalFormatting>
  <conditionalFormatting sqref="T1018">
    <cfRule type="cellIs" dxfId="10253" priority="10091" stopIfTrue="1" operator="equal">
      <formula>"Fail"</formula>
    </cfRule>
    <cfRule type="cellIs" dxfId="10252" priority="10092" stopIfTrue="1" operator="equal">
      <formula>"Pass"</formula>
    </cfRule>
  </conditionalFormatting>
  <conditionalFormatting sqref="H1018:H1019">
    <cfRule type="cellIs" dxfId="10251" priority="10089" stopIfTrue="1" operator="equal">
      <formula>"Pass"</formula>
    </cfRule>
    <cfRule type="cellIs" dxfId="10250" priority="10090" stopIfTrue="1" operator="equal">
      <formula>"Fail"</formula>
    </cfRule>
  </conditionalFormatting>
  <conditionalFormatting sqref="E1018:F1018 E1020:F1020 A1018:A1020 I1018:M1019">
    <cfRule type="cellIs" dxfId="10249" priority="10087" stopIfTrue="1" operator="equal">
      <formula>"Pass"</formula>
    </cfRule>
    <cfRule type="cellIs" dxfId="10248" priority="10088" stopIfTrue="1" operator="equal">
      <formula>"Fail"</formula>
    </cfRule>
  </conditionalFormatting>
  <conditionalFormatting sqref="T1020 T1018 R1018:R1020 S1019:S1020">
    <cfRule type="cellIs" dxfId="10247" priority="10085" stopIfTrue="1" operator="equal">
      <formula>"Fail"</formula>
    </cfRule>
    <cfRule type="cellIs" dxfId="10246" priority="10086" stopIfTrue="1" operator="equal">
      <formula>"Pass"</formula>
    </cfRule>
  </conditionalFormatting>
  <conditionalFormatting sqref="F1018:G1018 F1020:G1020 A1018:B1020 J1018:N1019">
    <cfRule type="cellIs" dxfId="10245" priority="10083" stopIfTrue="1" operator="equal">
      <formula>"Pass"</formula>
    </cfRule>
    <cfRule type="cellIs" dxfId="10244" priority="10084" stopIfTrue="1" operator="equal">
      <formula>"Fail"</formula>
    </cfRule>
  </conditionalFormatting>
  <conditionalFormatting sqref="U1020:V1020 U1018:V1018 T1018:T1020 S1019:S1020">
    <cfRule type="cellIs" dxfId="10243" priority="10081" stopIfTrue="1" operator="equal">
      <formula>"Fail"</formula>
    </cfRule>
    <cfRule type="cellIs" dxfId="10242" priority="10082" stopIfTrue="1" operator="equal">
      <formula>"Pass"</formula>
    </cfRule>
  </conditionalFormatting>
  <conditionalFormatting sqref="A1018:A1020">
    <cfRule type="cellIs" dxfId="10241" priority="10079" stopIfTrue="1" operator="equal">
      <formula>"Pass"</formula>
    </cfRule>
    <cfRule type="cellIs" dxfId="10240" priority="10080" stopIfTrue="1" operator="equal">
      <formula>"Fail"</formula>
    </cfRule>
  </conditionalFormatting>
  <conditionalFormatting sqref="A1018:A1020">
    <cfRule type="cellIs" dxfId="10239" priority="10077" stopIfTrue="1" operator="equal">
      <formula>"Pass"</formula>
    </cfRule>
    <cfRule type="cellIs" dxfId="10238" priority="10078" stopIfTrue="1" operator="equal">
      <formula>"Fail"</formula>
    </cfRule>
  </conditionalFormatting>
  <conditionalFormatting sqref="A1018:A1020">
    <cfRule type="cellIs" dxfId="10237" priority="10075" stopIfTrue="1" operator="equal">
      <formula>"Pass"</formula>
    </cfRule>
    <cfRule type="cellIs" dxfId="10236" priority="10076" stopIfTrue="1" operator="equal">
      <formula>"Fail"</formula>
    </cfRule>
  </conditionalFormatting>
  <conditionalFormatting sqref="E1018:G1020 J1018:N1019">
    <cfRule type="cellIs" dxfId="10235" priority="10073" stopIfTrue="1" operator="equal">
      <formula>"Pass"</formula>
    </cfRule>
    <cfRule type="cellIs" dxfId="10234" priority="10074" stopIfTrue="1" operator="equal">
      <formula>"Fail"</formula>
    </cfRule>
  </conditionalFormatting>
  <conditionalFormatting sqref="A1020 C1020 K1018:O1019 F1018:H1020">
    <cfRule type="cellIs" dxfId="10233" priority="10071" stopIfTrue="1" operator="equal">
      <formula>"Pass"</formula>
    </cfRule>
    <cfRule type="cellIs" dxfId="10232" priority="10072" stopIfTrue="1" operator="equal">
      <formula>"Fail"</formula>
    </cfRule>
  </conditionalFormatting>
  <conditionalFormatting sqref="T1018">
    <cfRule type="cellIs" dxfId="10231" priority="10069" stopIfTrue="1" operator="equal">
      <formula>"Fail"</formula>
    </cfRule>
    <cfRule type="cellIs" dxfId="10230" priority="10070" stopIfTrue="1" operator="equal">
      <formula>"Pass"</formula>
    </cfRule>
  </conditionalFormatting>
  <conditionalFormatting sqref="A1018:A1020">
    <cfRule type="cellIs" dxfId="10229" priority="10067" stopIfTrue="1" operator="equal">
      <formula>"Pass"</formula>
    </cfRule>
    <cfRule type="cellIs" dxfId="10228" priority="10068" stopIfTrue="1" operator="equal">
      <formula>"Fail"</formula>
    </cfRule>
  </conditionalFormatting>
  <conditionalFormatting sqref="A1018:A1020">
    <cfRule type="cellIs" dxfId="10227" priority="10065" stopIfTrue="1" operator="equal">
      <formula>"Pass"</formula>
    </cfRule>
    <cfRule type="cellIs" dxfId="10226" priority="10066" stopIfTrue="1" operator="equal">
      <formula>"Fail"</formula>
    </cfRule>
  </conditionalFormatting>
  <conditionalFormatting sqref="A1018:A1020">
    <cfRule type="cellIs" dxfId="10225" priority="10063" stopIfTrue="1" operator="equal">
      <formula>"Pass"</formula>
    </cfRule>
    <cfRule type="cellIs" dxfId="10224" priority="10064" stopIfTrue="1" operator="equal">
      <formula>"Fail"</formula>
    </cfRule>
  </conditionalFormatting>
  <conditionalFormatting sqref="A1018:A1020">
    <cfRule type="cellIs" dxfId="10223" priority="10061" stopIfTrue="1" operator="equal">
      <formula>"Pass"</formula>
    </cfRule>
    <cfRule type="cellIs" dxfId="10222" priority="10062" stopIfTrue="1" operator="equal">
      <formula>"Fail"</formula>
    </cfRule>
  </conditionalFormatting>
  <conditionalFormatting sqref="A1018:A1020">
    <cfRule type="cellIs" dxfId="10221" priority="10059" stopIfTrue="1" operator="equal">
      <formula>"Pass"</formula>
    </cfRule>
    <cfRule type="cellIs" dxfId="10220" priority="10060" stopIfTrue="1" operator="equal">
      <formula>"Fail"</formula>
    </cfRule>
  </conditionalFormatting>
  <conditionalFormatting sqref="A1018:A1020">
    <cfRule type="cellIs" dxfId="10219" priority="10057" stopIfTrue="1" operator="equal">
      <formula>"Pass"</formula>
    </cfRule>
    <cfRule type="cellIs" dxfId="10218" priority="10058" stopIfTrue="1" operator="equal">
      <formula>"Fail"</formula>
    </cfRule>
  </conditionalFormatting>
  <conditionalFormatting sqref="A1020">
    <cfRule type="cellIs" dxfId="10217" priority="10055" stopIfTrue="1" operator="equal">
      <formula>"Pass"</formula>
    </cfRule>
    <cfRule type="cellIs" dxfId="10216" priority="10056" stopIfTrue="1" operator="equal">
      <formula>"Fail"</formula>
    </cfRule>
  </conditionalFormatting>
  <conditionalFormatting sqref="A1018:A1020">
    <cfRule type="cellIs" dxfId="10215" priority="10053" stopIfTrue="1" operator="equal">
      <formula>"Pass"</formula>
    </cfRule>
    <cfRule type="cellIs" dxfId="10214" priority="10054" stopIfTrue="1" operator="equal">
      <formula>"Fail"</formula>
    </cfRule>
  </conditionalFormatting>
  <conditionalFormatting sqref="A1018:A1020">
    <cfRule type="cellIs" dxfId="10213" priority="10051" stopIfTrue="1" operator="equal">
      <formula>"Pass"</formula>
    </cfRule>
    <cfRule type="cellIs" dxfId="10212" priority="10052" stopIfTrue="1" operator="equal">
      <formula>"Fail"</formula>
    </cfRule>
  </conditionalFormatting>
  <conditionalFormatting sqref="A1018:A1020">
    <cfRule type="cellIs" dxfId="10211" priority="10049" stopIfTrue="1" operator="equal">
      <formula>"Pass"</formula>
    </cfRule>
    <cfRule type="cellIs" dxfId="10210" priority="10050" stopIfTrue="1" operator="equal">
      <formula>"Fail"</formula>
    </cfRule>
  </conditionalFormatting>
  <conditionalFormatting sqref="A1018:A1020">
    <cfRule type="cellIs" dxfId="10209" priority="10047" stopIfTrue="1" operator="equal">
      <formula>"Pass"</formula>
    </cfRule>
    <cfRule type="cellIs" dxfId="10208" priority="10048" stopIfTrue="1" operator="equal">
      <formula>"Fail"</formula>
    </cfRule>
  </conditionalFormatting>
  <conditionalFormatting sqref="A1018:A1020">
    <cfRule type="cellIs" dxfId="10207" priority="10045" stopIfTrue="1" operator="equal">
      <formula>"Pass"</formula>
    </cfRule>
    <cfRule type="cellIs" dxfId="10206" priority="10046" stopIfTrue="1" operator="equal">
      <formula>"Fail"</formula>
    </cfRule>
  </conditionalFormatting>
  <conditionalFormatting sqref="A1018:A1020">
    <cfRule type="cellIs" dxfId="10205" priority="10043" stopIfTrue="1" operator="equal">
      <formula>"Pass"</formula>
    </cfRule>
    <cfRule type="cellIs" dxfId="10204" priority="10044" stopIfTrue="1" operator="equal">
      <formula>"Fail"</formula>
    </cfRule>
  </conditionalFormatting>
  <conditionalFormatting sqref="A1020">
    <cfRule type="cellIs" dxfId="10203" priority="10041" stopIfTrue="1" operator="equal">
      <formula>"Pass"</formula>
    </cfRule>
    <cfRule type="cellIs" dxfId="10202" priority="10042" stopIfTrue="1" operator="equal">
      <formula>"Fail"</formula>
    </cfRule>
  </conditionalFormatting>
  <conditionalFormatting sqref="A1018:A1020">
    <cfRule type="cellIs" dxfId="10201" priority="10039" stopIfTrue="1" operator="equal">
      <formula>"Pass"</formula>
    </cfRule>
    <cfRule type="cellIs" dxfId="10200" priority="10040" stopIfTrue="1" operator="equal">
      <formula>"Fail"</formula>
    </cfRule>
  </conditionalFormatting>
  <conditionalFormatting sqref="H1018:H1019">
    <cfRule type="cellIs" dxfId="10199" priority="10037" stopIfTrue="1" operator="equal">
      <formula>"Pass"</formula>
    </cfRule>
    <cfRule type="cellIs" dxfId="10198" priority="10038" stopIfTrue="1" operator="equal">
      <formula>"Fail"</formula>
    </cfRule>
  </conditionalFormatting>
  <conditionalFormatting sqref="F1018 F1020 I1018:M1019">
    <cfRule type="cellIs" dxfId="10197" priority="10035" stopIfTrue="1" operator="equal">
      <formula>"Pass"</formula>
    </cfRule>
    <cfRule type="cellIs" dxfId="10196" priority="10036" stopIfTrue="1" operator="equal">
      <formula>"Fail"</formula>
    </cfRule>
  </conditionalFormatting>
  <conditionalFormatting sqref="T1020 T1018 R1018:R1020 S1019:S1020">
    <cfRule type="cellIs" dxfId="10195" priority="10033" stopIfTrue="1" operator="equal">
      <formula>"Fail"</formula>
    </cfRule>
    <cfRule type="cellIs" dxfId="10194" priority="10034" stopIfTrue="1" operator="equal">
      <formula>"Pass"</formula>
    </cfRule>
  </conditionalFormatting>
  <conditionalFormatting sqref="F1018:G1018 F1020:G1020 J1018:N1019">
    <cfRule type="cellIs" dxfId="10193" priority="10031" stopIfTrue="1" operator="equal">
      <formula>"Pass"</formula>
    </cfRule>
    <cfRule type="cellIs" dxfId="10192" priority="10032" stopIfTrue="1" operator="equal">
      <formula>"Fail"</formula>
    </cfRule>
  </conditionalFormatting>
  <conditionalFormatting sqref="U1020:V1020 U1018:V1018 T1018:T1020 S1019:S1020">
    <cfRule type="cellIs" dxfId="10191" priority="10029" stopIfTrue="1" operator="equal">
      <formula>"Fail"</formula>
    </cfRule>
    <cfRule type="cellIs" dxfId="10190" priority="10030" stopIfTrue="1" operator="equal">
      <formula>"Pass"</formula>
    </cfRule>
  </conditionalFormatting>
  <conditionalFormatting sqref="F1018:G1020 J1018:N1019">
    <cfRule type="cellIs" dxfId="10189" priority="10027" stopIfTrue="1" operator="equal">
      <formula>"Pass"</formula>
    </cfRule>
    <cfRule type="cellIs" dxfId="10188" priority="10028" stopIfTrue="1" operator="equal">
      <formula>"Fail"</formula>
    </cfRule>
  </conditionalFormatting>
  <conditionalFormatting sqref="K1018:O1019 F1018:H1020">
    <cfRule type="cellIs" dxfId="10187" priority="10025" stopIfTrue="1" operator="equal">
      <formula>"Pass"</formula>
    </cfRule>
    <cfRule type="cellIs" dxfId="10186" priority="10026" stopIfTrue="1" operator="equal">
      <formula>"Fail"</formula>
    </cfRule>
  </conditionalFormatting>
  <conditionalFormatting sqref="T1018">
    <cfRule type="cellIs" dxfId="10185" priority="10023" stopIfTrue="1" operator="equal">
      <formula>"Fail"</formula>
    </cfRule>
    <cfRule type="cellIs" dxfId="10184" priority="10024" stopIfTrue="1" operator="equal">
      <formula>"Pass"</formula>
    </cfRule>
  </conditionalFormatting>
  <conditionalFormatting sqref="K1018:O1019 F1018:H1020">
    <cfRule type="cellIs" dxfId="10183" priority="10021" stopIfTrue="1" operator="equal">
      <formula>"Pass"</formula>
    </cfRule>
    <cfRule type="cellIs" dxfId="10182" priority="10022" stopIfTrue="1" operator="equal">
      <formula>"Fail"</formula>
    </cfRule>
  </conditionalFormatting>
  <conditionalFormatting sqref="T1018">
    <cfRule type="cellIs" dxfId="10181" priority="10019" stopIfTrue="1" operator="equal">
      <formula>"Fail"</formula>
    </cfRule>
    <cfRule type="cellIs" dxfId="10180" priority="10020" stopIfTrue="1" operator="equal">
      <formula>"Pass"</formula>
    </cfRule>
  </conditionalFormatting>
  <conditionalFormatting sqref="A1021:A1023">
    <cfRule type="cellIs" dxfId="10179" priority="10017" stopIfTrue="1" operator="equal">
      <formula>"Pass"</formula>
    </cfRule>
    <cfRule type="cellIs" dxfId="10178" priority="10018" stopIfTrue="1" operator="equal">
      <formula>"Fail"</formula>
    </cfRule>
  </conditionalFormatting>
  <conditionalFormatting sqref="A1021:A1023">
    <cfRule type="cellIs" dxfId="10177" priority="10015" stopIfTrue="1" operator="equal">
      <formula>"Pass"</formula>
    </cfRule>
    <cfRule type="cellIs" dxfId="10176" priority="10016" stopIfTrue="1" operator="equal">
      <formula>"Fail"</formula>
    </cfRule>
  </conditionalFormatting>
  <conditionalFormatting sqref="A1021:A1023">
    <cfRule type="cellIs" dxfId="10175" priority="10013" stopIfTrue="1" operator="equal">
      <formula>"Pass"</formula>
    </cfRule>
    <cfRule type="cellIs" dxfId="10174" priority="10014" stopIfTrue="1" operator="equal">
      <formula>"Fail"</formula>
    </cfRule>
  </conditionalFormatting>
  <conditionalFormatting sqref="A1021:A1023">
    <cfRule type="cellIs" dxfId="10173" priority="10011" stopIfTrue="1" operator="equal">
      <formula>"Pass"</formula>
    </cfRule>
    <cfRule type="cellIs" dxfId="10172" priority="10012" stopIfTrue="1" operator="equal">
      <formula>"Fail"</formula>
    </cfRule>
  </conditionalFormatting>
  <conditionalFormatting sqref="A1021:A1023">
    <cfRule type="cellIs" dxfId="10171" priority="10009" stopIfTrue="1" operator="equal">
      <formula>"Pass"</formula>
    </cfRule>
    <cfRule type="cellIs" dxfId="10170" priority="10010" stopIfTrue="1" operator="equal">
      <formula>"Fail"</formula>
    </cfRule>
  </conditionalFormatting>
  <conditionalFormatting sqref="A1023">
    <cfRule type="cellIs" dxfId="10169" priority="10007" stopIfTrue="1" operator="equal">
      <formula>"Pass"</formula>
    </cfRule>
    <cfRule type="cellIs" dxfId="10168" priority="10008" stopIfTrue="1" operator="equal">
      <formula>"Fail"</formula>
    </cfRule>
  </conditionalFormatting>
  <conditionalFormatting sqref="A1021:A1023">
    <cfRule type="cellIs" dxfId="10167" priority="10005" stopIfTrue="1" operator="equal">
      <formula>"Pass"</formula>
    </cfRule>
    <cfRule type="cellIs" dxfId="10166" priority="10006" stopIfTrue="1" operator="equal">
      <formula>"Fail"</formula>
    </cfRule>
  </conditionalFormatting>
  <conditionalFormatting sqref="A1021:A1023">
    <cfRule type="cellIs" dxfId="10165" priority="10003" stopIfTrue="1" operator="equal">
      <formula>"Pass"</formula>
    </cfRule>
    <cfRule type="cellIs" dxfId="10164" priority="10004" stopIfTrue="1" operator="equal">
      <formula>"Fail"</formula>
    </cfRule>
  </conditionalFormatting>
  <conditionalFormatting sqref="A1021:A1023">
    <cfRule type="cellIs" dxfId="10163" priority="10001" stopIfTrue="1" operator="equal">
      <formula>"Pass"</formula>
    </cfRule>
    <cfRule type="cellIs" dxfId="10162" priority="10002" stopIfTrue="1" operator="equal">
      <formula>"Fail"</formula>
    </cfRule>
  </conditionalFormatting>
  <conditionalFormatting sqref="A1021:A1023">
    <cfRule type="cellIs" dxfId="10161" priority="9999" stopIfTrue="1" operator="equal">
      <formula>"Pass"</formula>
    </cfRule>
    <cfRule type="cellIs" dxfId="10160" priority="10000" stopIfTrue="1" operator="equal">
      <formula>"Fail"</formula>
    </cfRule>
  </conditionalFormatting>
  <conditionalFormatting sqref="A1021:A1023">
    <cfRule type="cellIs" dxfId="10159" priority="9997" stopIfTrue="1" operator="equal">
      <formula>"Pass"</formula>
    </cfRule>
    <cfRule type="cellIs" dxfId="10158" priority="9998" stopIfTrue="1" operator="equal">
      <formula>"Fail"</formula>
    </cfRule>
  </conditionalFormatting>
  <conditionalFormatting sqref="A1021:A1023">
    <cfRule type="cellIs" dxfId="10157" priority="9995" stopIfTrue="1" operator="equal">
      <formula>"Pass"</formula>
    </cfRule>
    <cfRule type="cellIs" dxfId="10156" priority="9996" stopIfTrue="1" operator="equal">
      <formula>"Fail"</formula>
    </cfRule>
  </conditionalFormatting>
  <conditionalFormatting sqref="A1023">
    <cfRule type="cellIs" dxfId="10155" priority="9993" stopIfTrue="1" operator="equal">
      <formula>"Pass"</formula>
    </cfRule>
    <cfRule type="cellIs" dxfId="10154" priority="9994" stopIfTrue="1" operator="equal">
      <formula>"Fail"</formula>
    </cfRule>
  </conditionalFormatting>
  <conditionalFormatting sqref="A1021:A1023">
    <cfRule type="cellIs" dxfId="10153" priority="9991" stopIfTrue="1" operator="equal">
      <formula>"Pass"</formula>
    </cfRule>
    <cfRule type="cellIs" dxfId="10152" priority="9992" stopIfTrue="1" operator="equal">
      <formula>"Fail"</formula>
    </cfRule>
  </conditionalFormatting>
  <conditionalFormatting sqref="A1021:A1023">
    <cfRule type="cellIs" dxfId="10151" priority="9989" stopIfTrue="1" operator="equal">
      <formula>"Pass"</formula>
    </cfRule>
    <cfRule type="cellIs" dxfId="10150" priority="9990" stopIfTrue="1" operator="equal">
      <formula>"Fail"</formula>
    </cfRule>
  </conditionalFormatting>
  <conditionalFormatting sqref="A1021:A1023">
    <cfRule type="cellIs" dxfId="10149" priority="9987" stopIfTrue="1" operator="equal">
      <formula>"Pass"</formula>
    </cfRule>
    <cfRule type="cellIs" dxfId="10148" priority="9988" stopIfTrue="1" operator="equal">
      <formula>"Fail"</formula>
    </cfRule>
  </conditionalFormatting>
  <conditionalFormatting sqref="A1021:A1023">
    <cfRule type="cellIs" dxfId="10147" priority="9985" stopIfTrue="1" operator="equal">
      <formula>"Pass"</formula>
    </cfRule>
    <cfRule type="cellIs" dxfId="10146" priority="9986" stopIfTrue="1" operator="equal">
      <formula>"Fail"</formula>
    </cfRule>
  </conditionalFormatting>
  <conditionalFormatting sqref="A1021:A1023">
    <cfRule type="cellIs" dxfId="10145" priority="9983" stopIfTrue="1" operator="equal">
      <formula>"Pass"</formula>
    </cfRule>
    <cfRule type="cellIs" dxfId="10144" priority="9984" stopIfTrue="1" operator="equal">
      <formula>"Fail"</formula>
    </cfRule>
  </conditionalFormatting>
  <conditionalFormatting sqref="A1021:A1023">
    <cfRule type="cellIs" dxfId="10143" priority="9981" stopIfTrue="1" operator="equal">
      <formula>"Pass"</formula>
    </cfRule>
    <cfRule type="cellIs" dxfId="10142" priority="9982" stopIfTrue="1" operator="equal">
      <formula>"Fail"</formula>
    </cfRule>
  </conditionalFormatting>
  <conditionalFormatting sqref="A1023">
    <cfRule type="cellIs" dxfId="10141" priority="9979" stopIfTrue="1" operator="equal">
      <formula>"Pass"</formula>
    </cfRule>
    <cfRule type="cellIs" dxfId="10140" priority="9980" stopIfTrue="1" operator="equal">
      <formula>"Fail"</formula>
    </cfRule>
  </conditionalFormatting>
  <conditionalFormatting sqref="A1021:A1023">
    <cfRule type="cellIs" dxfId="10139" priority="9977" stopIfTrue="1" operator="equal">
      <formula>"Pass"</formula>
    </cfRule>
    <cfRule type="cellIs" dxfId="10138" priority="9978" stopIfTrue="1" operator="equal">
      <formula>"Fail"</formula>
    </cfRule>
  </conditionalFormatting>
  <conditionalFormatting sqref="A1021:A1023">
    <cfRule type="cellIs" dxfId="10137" priority="9975" stopIfTrue="1" operator="equal">
      <formula>"Pass"</formula>
    </cfRule>
    <cfRule type="cellIs" dxfId="10136" priority="9976" stopIfTrue="1" operator="equal">
      <formula>"Fail"</formula>
    </cfRule>
  </conditionalFormatting>
  <conditionalFormatting sqref="A1021:A1023">
    <cfRule type="cellIs" dxfId="10135" priority="9973" stopIfTrue="1" operator="equal">
      <formula>"Pass"</formula>
    </cfRule>
    <cfRule type="cellIs" dxfId="10134" priority="9974" stopIfTrue="1" operator="equal">
      <formula>"Fail"</formula>
    </cfRule>
  </conditionalFormatting>
  <conditionalFormatting sqref="A1021:A1023">
    <cfRule type="cellIs" dxfId="10133" priority="9971" stopIfTrue="1" operator="equal">
      <formula>"Pass"</formula>
    </cfRule>
    <cfRule type="cellIs" dxfId="10132" priority="9972" stopIfTrue="1" operator="equal">
      <formula>"Fail"</formula>
    </cfRule>
  </conditionalFormatting>
  <conditionalFormatting sqref="A1021:A1023">
    <cfRule type="cellIs" dxfId="10131" priority="9969" stopIfTrue="1" operator="equal">
      <formula>"Pass"</formula>
    </cfRule>
    <cfRule type="cellIs" dxfId="10130" priority="9970" stopIfTrue="1" operator="equal">
      <formula>"Fail"</formula>
    </cfRule>
  </conditionalFormatting>
  <conditionalFormatting sqref="A1021:A1023">
    <cfRule type="cellIs" dxfId="10129" priority="9967" stopIfTrue="1" operator="equal">
      <formula>"Pass"</formula>
    </cfRule>
    <cfRule type="cellIs" dxfId="10128" priority="9968" stopIfTrue="1" operator="equal">
      <formula>"Fail"</formula>
    </cfRule>
  </conditionalFormatting>
  <conditionalFormatting sqref="A1023">
    <cfRule type="cellIs" dxfId="10127" priority="9965" stopIfTrue="1" operator="equal">
      <formula>"Pass"</formula>
    </cfRule>
    <cfRule type="cellIs" dxfId="10126" priority="9966" stopIfTrue="1" operator="equal">
      <formula>"Fail"</formula>
    </cfRule>
  </conditionalFormatting>
  <conditionalFormatting sqref="A1021:A1023">
    <cfRule type="cellIs" dxfId="10125" priority="9963" stopIfTrue="1" operator="equal">
      <formula>"Pass"</formula>
    </cfRule>
    <cfRule type="cellIs" dxfId="10124" priority="9964" stopIfTrue="1" operator="equal">
      <formula>"Fail"</formula>
    </cfRule>
  </conditionalFormatting>
  <conditionalFormatting sqref="A1021:A1023">
    <cfRule type="cellIs" dxfId="10123" priority="9961" stopIfTrue="1" operator="equal">
      <formula>"Pass"</formula>
    </cfRule>
    <cfRule type="cellIs" dxfId="10122" priority="9962" stopIfTrue="1" operator="equal">
      <formula>"Fail"</formula>
    </cfRule>
  </conditionalFormatting>
  <conditionalFormatting sqref="A1021:A1023">
    <cfRule type="cellIs" dxfId="10121" priority="9959" stopIfTrue="1" operator="equal">
      <formula>"Pass"</formula>
    </cfRule>
    <cfRule type="cellIs" dxfId="10120" priority="9960" stopIfTrue="1" operator="equal">
      <formula>"Fail"</formula>
    </cfRule>
  </conditionalFormatting>
  <conditionalFormatting sqref="A1021:A1023">
    <cfRule type="cellIs" dxfId="10119" priority="9957" stopIfTrue="1" operator="equal">
      <formula>"Pass"</formula>
    </cfRule>
    <cfRule type="cellIs" dxfId="10118" priority="9958" stopIfTrue="1" operator="equal">
      <formula>"Fail"</formula>
    </cfRule>
  </conditionalFormatting>
  <conditionalFormatting sqref="A1021:A1023">
    <cfRule type="cellIs" dxfId="10117" priority="9955" stopIfTrue="1" operator="equal">
      <formula>"Pass"</formula>
    </cfRule>
    <cfRule type="cellIs" dxfId="10116" priority="9956" stopIfTrue="1" operator="equal">
      <formula>"Fail"</formula>
    </cfRule>
  </conditionalFormatting>
  <conditionalFormatting sqref="A1021:A1023">
    <cfRule type="cellIs" dxfId="10115" priority="9953" stopIfTrue="1" operator="equal">
      <formula>"Pass"</formula>
    </cfRule>
    <cfRule type="cellIs" dxfId="10114" priority="9954" stopIfTrue="1" operator="equal">
      <formula>"Fail"</formula>
    </cfRule>
  </conditionalFormatting>
  <conditionalFormatting sqref="A1023">
    <cfRule type="cellIs" dxfId="10113" priority="9951" stopIfTrue="1" operator="equal">
      <formula>"Pass"</formula>
    </cfRule>
    <cfRule type="cellIs" dxfId="10112" priority="9952" stopIfTrue="1" operator="equal">
      <formula>"Fail"</formula>
    </cfRule>
  </conditionalFormatting>
  <conditionalFormatting sqref="A1021:A1023">
    <cfRule type="cellIs" dxfId="10111" priority="9949" stopIfTrue="1" operator="equal">
      <formula>"Pass"</formula>
    </cfRule>
    <cfRule type="cellIs" dxfId="10110" priority="9950" stopIfTrue="1" operator="equal">
      <formula>"Fail"</formula>
    </cfRule>
  </conditionalFormatting>
  <conditionalFormatting sqref="A1021:A1023">
    <cfRule type="cellIs" dxfId="10109" priority="9947" stopIfTrue="1" operator="equal">
      <formula>"Pass"</formula>
    </cfRule>
    <cfRule type="cellIs" dxfId="10108" priority="9948" stopIfTrue="1" operator="equal">
      <formula>"Fail"</formula>
    </cfRule>
  </conditionalFormatting>
  <conditionalFormatting sqref="A1021:A1023">
    <cfRule type="cellIs" dxfId="10107" priority="9945" stopIfTrue="1" operator="equal">
      <formula>"Pass"</formula>
    </cfRule>
    <cfRule type="cellIs" dxfId="10106" priority="9946" stopIfTrue="1" operator="equal">
      <formula>"Fail"</formula>
    </cfRule>
  </conditionalFormatting>
  <conditionalFormatting sqref="A1021:A1023">
    <cfRule type="cellIs" dxfId="10105" priority="9943" stopIfTrue="1" operator="equal">
      <formula>"Pass"</formula>
    </cfRule>
    <cfRule type="cellIs" dxfId="10104" priority="9944" stopIfTrue="1" operator="equal">
      <formula>"Fail"</formula>
    </cfRule>
  </conditionalFormatting>
  <conditionalFormatting sqref="A1021:A1023">
    <cfRule type="cellIs" dxfId="10103" priority="9941" stopIfTrue="1" operator="equal">
      <formula>"Pass"</formula>
    </cfRule>
    <cfRule type="cellIs" dxfId="10102" priority="9942" stopIfTrue="1" operator="equal">
      <formula>"Fail"</formula>
    </cfRule>
  </conditionalFormatting>
  <conditionalFormatting sqref="A1021:A1023">
    <cfRule type="cellIs" dxfId="10101" priority="9939" stopIfTrue="1" operator="equal">
      <formula>"Pass"</formula>
    </cfRule>
    <cfRule type="cellIs" dxfId="10100" priority="9940" stopIfTrue="1" operator="equal">
      <formula>"Fail"</formula>
    </cfRule>
  </conditionalFormatting>
  <conditionalFormatting sqref="A1023">
    <cfRule type="cellIs" dxfId="10099" priority="9937" stopIfTrue="1" operator="equal">
      <formula>"Pass"</formula>
    </cfRule>
    <cfRule type="cellIs" dxfId="10098" priority="9938" stopIfTrue="1" operator="equal">
      <formula>"Fail"</formula>
    </cfRule>
  </conditionalFormatting>
  <conditionalFormatting sqref="A1021:A1023">
    <cfRule type="cellIs" dxfId="10097" priority="9935" stopIfTrue="1" operator="equal">
      <formula>"Pass"</formula>
    </cfRule>
    <cfRule type="cellIs" dxfId="10096" priority="9936" stopIfTrue="1" operator="equal">
      <formula>"Fail"</formula>
    </cfRule>
  </conditionalFormatting>
  <conditionalFormatting sqref="A1021">
    <cfRule type="cellIs" dxfId="10095" priority="9933" stopIfTrue="1" operator="equal">
      <formula>"Pass"</formula>
    </cfRule>
    <cfRule type="cellIs" dxfId="10094" priority="9934" stopIfTrue="1" operator="equal">
      <formula>"Fail"</formula>
    </cfRule>
  </conditionalFormatting>
  <conditionalFormatting sqref="A1021">
    <cfRule type="cellIs" dxfId="10093" priority="9931" stopIfTrue="1" operator="equal">
      <formula>"Pass"</formula>
    </cfRule>
    <cfRule type="cellIs" dxfId="10092" priority="9932" stopIfTrue="1" operator="equal">
      <formula>"Fail"</formula>
    </cfRule>
  </conditionalFormatting>
  <conditionalFormatting sqref="A1021">
    <cfRule type="cellIs" dxfId="10091" priority="9929" stopIfTrue="1" operator="equal">
      <formula>"Pass"</formula>
    </cfRule>
    <cfRule type="cellIs" dxfId="10090" priority="9930" stopIfTrue="1" operator="equal">
      <formula>"Fail"</formula>
    </cfRule>
  </conditionalFormatting>
  <conditionalFormatting sqref="A1021">
    <cfRule type="cellIs" dxfId="10089" priority="9927" stopIfTrue="1" operator="equal">
      <formula>"Pass"</formula>
    </cfRule>
    <cfRule type="cellIs" dxfId="10088" priority="9928" stopIfTrue="1" operator="equal">
      <formula>"Fail"</formula>
    </cfRule>
  </conditionalFormatting>
  <conditionalFormatting sqref="A1021">
    <cfRule type="cellIs" dxfId="10087" priority="9925" stopIfTrue="1" operator="equal">
      <formula>"Pass"</formula>
    </cfRule>
    <cfRule type="cellIs" dxfId="10086" priority="9926" stopIfTrue="1" operator="equal">
      <formula>"Fail"</formula>
    </cfRule>
  </conditionalFormatting>
  <conditionalFormatting sqref="A1021">
    <cfRule type="cellIs" dxfId="10085" priority="9923" stopIfTrue="1" operator="equal">
      <formula>"Pass"</formula>
    </cfRule>
    <cfRule type="cellIs" dxfId="10084" priority="9924" stopIfTrue="1" operator="equal">
      <formula>"Fail"</formula>
    </cfRule>
  </conditionalFormatting>
  <conditionalFormatting sqref="A1021">
    <cfRule type="cellIs" dxfId="10083" priority="9921" stopIfTrue="1" operator="equal">
      <formula>"Pass"</formula>
    </cfRule>
    <cfRule type="cellIs" dxfId="10082" priority="9922" stopIfTrue="1" operator="equal">
      <formula>"Fail"</formula>
    </cfRule>
  </conditionalFormatting>
  <conditionalFormatting sqref="A1021">
    <cfRule type="cellIs" dxfId="10081" priority="9919" stopIfTrue="1" operator="equal">
      <formula>"Pass"</formula>
    </cfRule>
    <cfRule type="cellIs" dxfId="10080" priority="9920" stopIfTrue="1" operator="equal">
      <formula>"Fail"</formula>
    </cfRule>
  </conditionalFormatting>
  <conditionalFormatting sqref="A1021">
    <cfRule type="cellIs" dxfId="10079" priority="9917" stopIfTrue="1" operator="equal">
      <formula>"Pass"</formula>
    </cfRule>
    <cfRule type="cellIs" dxfId="10078" priority="9918" stopIfTrue="1" operator="equal">
      <formula>"Fail"</formula>
    </cfRule>
  </conditionalFormatting>
  <conditionalFormatting sqref="A1021">
    <cfRule type="cellIs" dxfId="10077" priority="9915" stopIfTrue="1" operator="equal">
      <formula>"Pass"</formula>
    </cfRule>
    <cfRule type="cellIs" dxfId="10076" priority="9916" stopIfTrue="1" operator="equal">
      <formula>"Fail"</formula>
    </cfRule>
  </conditionalFormatting>
  <conditionalFormatting sqref="A1021">
    <cfRule type="cellIs" dxfId="10075" priority="9913" stopIfTrue="1" operator="equal">
      <formula>"Pass"</formula>
    </cfRule>
    <cfRule type="cellIs" dxfId="10074" priority="9914" stopIfTrue="1" operator="equal">
      <formula>"Fail"</formula>
    </cfRule>
  </conditionalFormatting>
  <conditionalFormatting sqref="A1021">
    <cfRule type="cellIs" dxfId="10073" priority="9911" stopIfTrue="1" operator="equal">
      <formula>"Pass"</formula>
    </cfRule>
    <cfRule type="cellIs" dxfId="10072" priority="9912" stopIfTrue="1" operator="equal">
      <formula>"Fail"</formula>
    </cfRule>
  </conditionalFormatting>
  <conditionalFormatting sqref="A1021">
    <cfRule type="cellIs" dxfId="10071" priority="9909" stopIfTrue="1" operator="equal">
      <formula>"Pass"</formula>
    </cfRule>
    <cfRule type="cellIs" dxfId="10070" priority="9910" stopIfTrue="1" operator="equal">
      <formula>"Fail"</formula>
    </cfRule>
  </conditionalFormatting>
  <conditionalFormatting sqref="A1021">
    <cfRule type="cellIs" dxfId="10069" priority="9907" stopIfTrue="1" operator="equal">
      <formula>"Pass"</formula>
    </cfRule>
    <cfRule type="cellIs" dxfId="10068" priority="9908" stopIfTrue="1" operator="equal">
      <formula>"Fail"</formula>
    </cfRule>
  </conditionalFormatting>
  <conditionalFormatting sqref="A1021">
    <cfRule type="cellIs" dxfId="10067" priority="9905" stopIfTrue="1" operator="equal">
      <formula>"Pass"</formula>
    </cfRule>
    <cfRule type="cellIs" dxfId="10066" priority="9906" stopIfTrue="1" operator="equal">
      <formula>"Fail"</formula>
    </cfRule>
  </conditionalFormatting>
  <conditionalFormatting sqref="A1021">
    <cfRule type="cellIs" dxfId="10065" priority="9903" stopIfTrue="1" operator="equal">
      <formula>"Pass"</formula>
    </cfRule>
    <cfRule type="cellIs" dxfId="10064" priority="9904" stopIfTrue="1" operator="equal">
      <formula>"Fail"</formula>
    </cfRule>
  </conditionalFormatting>
  <conditionalFormatting sqref="A1021">
    <cfRule type="cellIs" dxfId="10063" priority="9901" stopIfTrue="1" operator="equal">
      <formula>"Pass"</formula>
    </cfRule>
    <cfRule type="cellIs" dxfId="10062" priority="9902" stopIfTrue="1" operator="equal">
      <formula>"Fail"</formula>
    </cfRule>
  </conditionalFormatting>
  <conditionalFormatting sqref="A1021">
    <cfRule type="cellIs" dxfId="10061" priority="9899" stopIfTrue="1" operator="equal">
      <formula>"Pass"</formula>
    </cfRule>
    <cfRule type="cellIs" dxfId="10060" priority="9900" stopIfTrue="1" operator="equal">
      <formula>"Fail"</formula>
    </cfRule>
  </conditionalFormatting>
  <conditionalFormatting sqref="J1021:J1022">
    <cfRule type="cellIs" dxfId="10059" priority="9897" stopIfTrue="1" operator="equal">
      <formula>"Pass"</formula>
    </cfRule>
    <cfRule type="cellIs" dxfId="10058" priority="9898" stopIfTrue="1" operator="equal">
      <formula>"Fail"</formula>
    </cfRule>
  </conditionalFormatting>
  <conditionalFormatting sqref="H1021:H1022 I1022">
    <cfRule type="cellIs" dxfId="10057" priority="9895" stopIfTrue="1" operator="equal">
      <formula>"Pass"</formula>
    </cfRule>
    <cfRule type="cellIs" dxfId="10056" priority="9896" stopIfTrue="1" operator="equal">
      <formula>"Fail"</formula>
    </cfRule>
  </conditionalFormatting>
  <conditionalFormatting sqref="A1021 C1021 F1023 F1021:G1021 K1021:N1022">
    <cfRule type="cellIs" dxfId="10055" priority="9893" stopIfTrue="1" operator="equal">
      <formula>"Pass"</formula>
    </cfRule>
    <cfRule type="cellIs" dxfId="10054" priority="9894" stopIfTrue="1" operator="equal">
      <formula>"Fail"</formula>
    </cfRule>
  </conditionalFormatting>
  <conditionalFormatting sqref="T1021:T1023 U1022:V1023">
    <cfRule type="cellIs" dxfId="10053" priority="9891" stopIfTrue="1" operator="equal">
      <formula>"Fail"</formula>
    </cfRule>
    <cfRule type="cellIs" dxfId="10052" priority="9892" stopIfTrue="1" operator="equal">
      <formula>"Pass"</formula>
    </cfRule>
  </conditionalFormatting>
  <conditionalFormatting sqref="A1021">
    <cfRule type="cellIs" dxfId="10051" priority="9889" stopIfTrue="1" operator="equal">
      <formula>"Pass"</formula>
    </cfRule>
    <cfRule type="cellIs" dxfId="10050" priority="9890" stopIfTrue="1" operator="equal">
      <formula>"Fail"</formula>
    </cfRule>
  </conditionalFormatting>
  <conditionalFormatting sqref="A1021">
    <cfRule type="cellIs" dxfId="10049" priority="9887" stopIfTrue="1" operator="equal">
      <formula>"Pass"</formula>
    </cfRule>
    <cfRule type="cellIs" dxfId="10048" priority="9888" stopIfTrue="1" operator="equal">
      <formula>"Fail"</formula>
    </cfRule>
  </conditionalFormatting>
  <conditionalFormatting sqref="A1021">
    <cfRule type="cellIs" dxfId="10047" priority="9885" stopIfTrue="1" operator="equal">
      <formula>"Pass"</formula>
    </cfRule>
    <cfRule type="cellIs" dxfId="10046" priority="9886" stopIfTrue="1" operator="equal">
      <formula>"Fail"</formula>
    </cfRule>
  </conditionalFormatting>
  <conditionalFormatting sqref="A1021">
    <cfRule type="cellIs" dxfId="10045" priority="9883" stopIfTrue="1" operator="equal">
      <formula>"Pass"</formula>
    </cfRule>
    <cfRule type="cellIs" dxfId="10044" priority="9884" stopIfTrue="1" operator="equal">
      <formula>"Fail"</formula>
    </cfRule>
  </conditionalFormatting>
  <conditionalFormatting sqref="A1021">
    <cfRule type="cellIs" dxfId="10043" priority="9881" stopIfTrue="1" operator="equal">
      <formula>"Pass"</formula>
    </cfRule>
    <cfRule type="cellIs" dxfId="10042" priority="9882" stopIfTrue="1" operator="equal">
      <formula>"Fail"</formula>
    </cfRule>
  </conditionalFormatting>
  <conditionalFormatting sqref="A1021">
    <cfRule type="cellIs" dxfId="10041" priority="9879" stopIfTrue="1" operator="equal">
      <formula>"Pass"</formula>
    </cfRule>
    <cfRule type="cellIs" dxfId="10040" priority="9880" stopIfTrue="1" operator="equal">
      <formula>"Fail"</formula>
    </cfRule>
  </conditionalFormatting>
  <conditionalFormatting sqref="A1021">
    <cfRule type="cellIs" dxfId="10039" priority="9877" stopIfTrue="1" operator="equal">
      <formula>"Pass"</formula>
    </cfRule>
    <cfRule type="cellIs" dxfId="10038" priority="9878" stopIfTrue="1" operator="equal">
      <formula>"Fail"</formula>
    </cfRule>
  </conditionalFormatting>
  <conditionalFormatting sqref="A1021">
    <cfRule type="cellIs" dxfId="10037" priority="9875" stopIfTrue="1" operator="equal">
      <formula>"Pass"</formula>
    </cfRule>
    <cfRule type="cellIs" dxfId="10036" priority="9876" stopIfTrue="1" operator="equal">
      <formula>"Fail"</formula>
    </cfRule>
  </conditionalFormatting>
  <conditionalFormatting sqref="A1021">
    <cfRule type="cellIs" dxfId="10035" priority="9873" stopIfTrue="1" operator="equal">
      <formula>"Pass"</formula>
    </cfRule>
    <cfRule type="cellIs" dxfId="10034" priority="9874" stopIfTrue="1" operator="equal">
      <formula>"Fail"</formula>
    </cfRule>
  </conditionalFormatting>
  <conditionalFormatting sqref="A1021">
    <cfRule type="cellIs" dxfId="10033" priority="9871" stopIfTrue="1" operator="equal">
      <formula>"Pass"</formula>
    </cfRule>
    <cfRule type="cellIs" dxfId="10032" priority="9872" stopIfTrue="1" operator="equal">
      <formula>"Fail"</formula>
    </cfRule>
  </conditionalFormatting>
  <conditionalFormatting sqref="A1021">
    <cfRule type="cellIs" dxfId="10031" priority="9869" stopIfTrue="1" operator="equal">
      <formula>"Pass"</formula>
    </cfRule>
    <cfRule type="cellIs" dxfId="10030" priority="9870" stopIfTrue="1" operator="equal">
      <formula>"Fail"</formula>
    </cfRule>
  </conditionalFormatting>
  <conditionalFormatting sqref="A1021">
    <cfRule type="cellIs" dxfId="10029" priority="9867" stopIfTrue="1" operator="equal">
      <formula>"Pass"</formula>
    </cfRule>
    <cfRule type="cellIs" dxfId="10028" priority="9868" stopIfTrue="1" operator="equal">
      <formula>"Fail"</formula>
    </cfRule>
  </conditionalFormatting>
  <conditionalFormatting sqref="A1021">
    <cfRule type="cellIs" dxfId="10027" priority="9865" stopIfTrue="1" operator="equal">
      <formula>"Pass"</formula>
    </cfRule>
    <cfRule type="cellIs" dxfId="10026" priority="9866" stopIfTrue="1" operator="equal">
      <formula>"Fail"</formula>
    </cfRule>
  </conditionalFormatting>
  <conditionalFormatting sqref="A1021">
    <cfRule type="cellIs" dxfId="10025" priority="9863" stopIfTrue="1" operator="equal">
      <formula>"Pass"</formula>
    </cfRule>
    <cfRule type="cellIs" dxfId="10024" priority="9864" stopIfTrue="1" operator="equal">
      <formula>"Fail"</formula>
    </cfRule>
  </conditionalFormatting>
  <conditionalFormatting sqref="A1021">
    <cfRule type="cellIs" dxfId="10023" priority="9861" stopIfTrue="1" operator="equal">
      <formula>"Pass"</formula>
    </cfRule>
    <cfRule type="cellIs" dxfId="10022" priority="9862" stopIfTrue="1" operator="equal">
      <formula>"Fail"</formula>
    </cfRule>
  </conditionalFormatting>
  <conditionalFormatting sqref="A1021">
    <cfRule type="cellIs" dxfId="10021" priority="9859" stopIfTrue="1" operator="equal">
      <formula>"Pass"</formula>
    </cfRule>
    <cfRule type="cellIs" dxfId="10020" priority="9860" stopIfTrue="1" operator="equal">
      <formula>"Fail"</formula>
    </cfRule>
  </conditionalFormatting>
  <conditionalFormatting sqref="U1021:V1021">
    <cfRule type="cellIs" dxfId="10019" priority="9857" stopIfTrue="1" operator="equal">
      <formula>"Fail"</formula>
    </cfRule>
    <cfRule type="cellIs" dxfId="10018" priority="9858" stopIfTrue="1" operator="equal">
      <formula>"Pass"</formula>
    </cfRule>
  </conditionalFormatting>
  <conditionalFormatting sqref="U1021:V1021">
    <cfRule type="cellIs" dxfId="10017" priority="9855" stopIfTrue="1" operator="equal">
      <formula>"Fail"</formula>
    </cfRule>
    <cfRule type="cellIs" dxfId="10016" priority="9856" stopIfTrue="1" operator="equal">
      <formula>"Pass"</formula>
    </cfRule>
  </conditionalFormatting>
  <conditionalFormatting sqref="J1021:J1022">
    <cfRule type="cellIs" dxfId="10015" priority="9853" stopIfTrue="1" operator="equal">
      <formula>"Pass"</formula>
    </cfRule>
    <cfRule type="cellIs" dxfId="10014" priority="9854" stopIfTrue="1" operator="equal">
      <formula>"Fail"</formula>
    </cfRule>
  </conditionalFormatting>
  <conditionalFormatting sqref="H1021:H1022 I1022">
    <cfRule type="cellIs" dxfId="10013" priority="9851" stopIfTrue="1" operator="equal">
      <formula>"Pass"</formula>
    </cfRule>
    <cfRule type="cellIs" dxfId="10012" priority="9852" stopIfTrue="1" operator="equal">
      <formula>"Fail"</formula>
    </cfRule>
  </conditionalFormatting>
  <conditionalFormatting sqref="F1023 F1021:G1021 K1021:N1022">
    <cfRule type="cellIs" dxfId="10011" priority="9849" stopIfTrue="1" operator="equal">
      <formula>"Pass"</formula>
    </cfRule>
    <cfRule type="cellIs" dxfId="10010" priority="9850" stopIfTrue="1" operator="equal">
      <formula>"Fail"</formula>
    </cfRule>
  </conditionalFormatting>
  <conditionalFormatting sqref="T1021:T1023 U1022:V1023">
    <cfRule type="cellIs" dxfId="10009" priority="9847" stopIfTrue="1" operator="equal">
      <formula>"Fail"</formula>
    </cfRule>
    <cfRule type="cellIs" dxfId="10008" priority="9848" stopIfTrue="1" operator="equal">
      <formula>"Pass"</formula>
    </cfRule>
  </conditionalFormatting>
  <conditionalFormatting sqref="U1021:V1021">
    <cfRule type="cellIs" dxfId="10007" priority="9845" stopIfTrue="1" operator="equal">
      <formula>"Fail"</formula>
    </cfRule>
    <cfRule type="cellIs" dxfId="10006" priority="9846" stopIfTrue="1" operator="equal">
      <formula>"Pass"</formula>
    </cfRule>
  </conditionalFormatting>
  <conditionalFormatting sqref="U1021:V1021">
    <cfRule type="cellIs" dxfId="10005" priority="9843" stopIfTrue="1" operator="equal">
      <formula>"Fail"</formula>
    </cfRule>
    <cfRule type="cellIs" dxfId="10004" priority="9844" stopIfTrue="1" operator="equal">
      <formula>"Pass"</formula>
    </cfRule>
  </conditionalFormatting>
  <conditionalFormatting sqref="F1021:G1021 K1021:N1021">
    <cfRule type="cellIs" dxfId="10003" priority="9841" stopIfTrue="1" operator="equal">
      <formula>"Pass"</formula>
    </cfRule>
    <cfRule type="cellIs" dxfId="10002" priority="9842" stopIfTrue="1" operator="equal">
      <formula>"Fail"</formula>
    </cfRule>
  </conditionalFormatting>
  <conditionalFormatting sqref="K1022:N1022">
    <cfRule type="cellIs" dxfId="10001" priority="9839" stopIfTrue="1" operator="equal">
      <formula>"Pass"</formula>
    </cfRule>
    <cfRule type="cellIs" dxfId="10000" priority="9840" stopIfTrue="1" operator="equal">
      <formula>"Fail"</formula>
    </cfRule>
  </conditionalFormatting>
  <conditionalFormatting sqref="U1021:V1021">
    <cfRule type="cellIs" dxfId="9999" priority="9837" stopIfTrue="1" operator="equal">
      <formula>"Fail"</formula>
    </cfRule>
    <cfRule type="cellIs" dxfId="9998" priority="9838" stopIfTrue="1" operator="equal">
      <formula>"Pass"</formula>
    </cfRule>
  </conditionalFormatting>
  <conditionalFormatting sqref="A1021">
    <cfRule type="cellIs" dxfId="9997" priority="9835" stopIfTrue="1" operator="equal">
      <formula>"Pass"</formula>
    </cfRule>
    <cfRule type="cellIs" dxfId="9996" priority="9836" stopIfTrue="1" operator="equal">
      <formula>"Fail"</formula>
    </cfRule>
  </conditionalFormatting>
  <conditionalFormatting sqref="A1021">
    <cfRule type="cellIs" dxfId="9995" priority="9833" stopIfTrue="1" operator="equal">
      <formula>"Pass"</formula>
    </cfRule>
    <cfRule type="cellIs" dxfId="9994" priority="9834" stopIfTrue="1" operator="equal">
      <formula>"Fail"</formula>
    </cfRule>
  </conditionalFormatting>
  <conditionalFormatting sqref="A1021">
    <cfRule type="cellIs" dxfId="9993" priority="9831" stopIfTrue="1" operator="equal">
      <formula>"Pass"</formula>
    </cfRule>
    <cfRule type="cellIs" dxfId="9992" priority="9832" stopIfTrue="1" operator="equal">
      <formula>"Fail"</formula>
    </cfRule>
  </conditionalFormatting>
  <conditionalFormatting sqref="A1021">
    <cfRule type="cellIs" dxfId="9991" priority="9829" stopIfTrue="1" operator="equal">
      <formula>"Pass"</formula>
    </cfRule>
    <cfRule type="cellIs" dxfId="9990" priority="9830" stopIfTrue="1" operator="equal">
      <formula>"Fail"</formula>
    </cfRule>
  </conditionalFormatting>
  <conditionalFormatting sqref="A1021">
    <cfRule type="cellIs" dxfId="9989" priority="9827" stopIfTrue="1" operator="equal">
      <formula>"Pass"</formula>
    </cfRule>
    <cfRule type="cellIs" dxfId="9988" priority="9828" stopIfTrue="1" operator="equal">
      <formula>"Fail"</formula>
    </cfRule>
  </conditionalFormatting>
  <conditionalFormatting sqref="A1021">
    <cfRule type="cellIs" dxfId="9987" priority="9825" stopIfTrue="1" operator="equal">
      <formula>"Pass"</formula>
    </cfRule>
    <cfRule type="cellIs" dxfId="9986" priority="9826" stopIfTrue="1" operator="equal">
      <formula>"Fail"</formula>
    </cfRule>
  </conditionalFormatting>
  <conditionalFormatting sqref="A1021">
    <cfRule type="cellIs" dxfId="9985" priority="9823" stopIfTrue="1" operator="equal">
      <formula>"Pass"</formula>
    </cfRule>
    <cfRule type="cellIs" dxfId="9984" priority="9824" stopIfTrue="1" operator="equal">
      <formula>"Fail"</formula>
    </cfRule>
  </conditionalFormatting>
  <conditionalFormatting sqref="A1021">
    <cfRule type="cellIs" dxfId="9983" priority="9821" stopIfTrue="1" operator="equal">
      <formula>"Pass"</formula>
    </cfRule>
    <cfRule type="cellIs" dxfId="9982" priority="9822" stopIfTrue="1" operator="equal">
      <formula>"Fail"</formula>
    </cfRule>
  </conditionalFormatting>
  <conditionalFormatting sqref="A1021">
    <cfRule type="cellIs" dxfId="9981" priority="9819" stopIfTrue="1" operator="equal">
      <formula>"Pass"</formula>
    </cfRule>
    <cfRule type="cellIs" dxfId="9980" priority="9820" stopIfTrue="1" operator="equal">
      <formula>"Fail"</formula>
    </cfRule>
  </conditionalFormatting>
  <conditionalFormatting sqref="A1021">
    <cfRule type="cellIs" dxfId="9979" priority="9817" stopIfTrue="1" operator="equal">
      <formula>"Pass"</formula>
    </cfRule>
    <cfRule type="cellIs" dxfId="9978" priority="9818" stopIfTrue="1" operator="equal">
      <formula>"Fail"</formula>
    </cfRule>
  </conditionalFormatting>
  <conditionalFormatting sqref="A1021">
    <cfRule type="cellIs" dxfId="9977" priority="9815" stopIfTrue="1" operator="equal">
      <formula>"Pass"</formula>
    </cfRule>
    <cfRule type="cellIs" dxfId="9976" priority="9816" stopIfTrue="1" operator="equal">
      <formula>"Fail"</formula>
    </cfRule>
  </conditionalFormatting>
  <conditionalFormatting sqref="A1021">
    <cfRule type="cellIs" dxfId="9975" priority="9813" stopIfTrue="1" operator="equal">
      <formula>"Pass"</formula>
    </cfRule>
    <cfRule type="cellIs" dxfId="9974" priority="9814" stopIfTrue="1" operator="equal">
      <formula>"Fail"</formula>
    </cfRule>
  </conditionalFormatting>
  <conditionalFormatting sqref="J1021:J1022">
    <cfRule type="cellIs" dxfId="9973" priority="9811" stopIfTrue="1" operator="equal">
      <formula>"Pass"</formula>
    </cfRule>
    <cfRule type="cellIs" dxfId="9972" priority="9812" stopIfTrue="1" operator="equal">
      <formula>"Fail"</formula>
    </cfRule>
  </conditionalFormatting>
  <conditionalFormatting sqref="H1021:H1022 I1022">
    <cfRule type="cellIs" dxfId="9971" priority="9809" stopIfTrue="1" operator="equal">
      <formula>"Pass"</formula>
    </cfRule>
    <cfRule type="cellIs" dxfId="9970" priority="9810" stopIfTrue="1" operator="equal">
      <formula>"Fail"</formula>
    </cfRule>
  </conditionalFormatting>
  <conditionalFormatting sqref="F1023 F1021:G1021 K1021:N1022">
    <cfRule type="cellIs" dxfId="9969" priority="9807" stopIfTrue="1" operator="equal">
      <formula>"Pass"</formula>
    </cfRule>
    <cfRule type="cellIs" dxfId="9968" priority="9808" stopIfTrue="1" operator="equal">
      <formula>"Fail"</formula>
    </cfRule>
  </conditionalFormatting>
  <conditionalFormatting sqref="T1021:T1023 U1022:V1023">
    <cfRule type="cellIs" dxfId="9967" priority="9805" stopIfTrue="1" operator="equal">
      <formula>"Fail"</formula>
    </cfRule>
    <cfRule type="cellIs" dxfId="9966" priority="9806" stopIfTrue="1" operator="equal">
      <formula>"Pass"</formula>
    </cfRule>
  </conditionalFormatting>
  <conditionalFormatting sqref="U1021:V1021">
    <cfRule type="cellIs" dxfId="9965" priority="9803" stopIfTrue="1" operator="equal">
      <formula>"Fail"</formula>
    </cfRule>
    <cfRule type="cellIs" dxfId="9964" priority="9804" stopIfTrue="1" operator="equal">
      <formula>"Pass"</formula>
    </cfRule>
  </conditionalFormatting>
  <conditionalFormatting sqref="U1021:V1021">
    <cfRule type="cellIs" dxfId="9963" priority="9801" stopIfTrue="1" operator="equal">
      <formula>"Fail"</formula>
    </cfRule>
    <cfRule type="cellIs" dxfId="9962" priority="9802" stopIfTrue="1" operator="equal">
      <formula>"Pass"</formula>
    </cfRule>
  </conditionalFormatting>
  <conditionalFormatting sqref="J1021:J1022">
    <cfRule type="cellIs" dxfId="9961" priority="9799" stopIfTrue="1" operator="equal">
      <formula>"Pass"</formula>
    </cfRule>
    <cfRule type="cellIs" dxfId="9960" priority="9800" stopIfTrue="1" operator="equal">
      <formula>"Fail"</formula>
    </cfRule>
  </conditionalFormatting>
  <conditionalFormatting sqref="H1021:H1022 I1022">
    <cfRule type="cellIs" dxfId="9959" priority="9797" stopIfTrue="1" operator="equal">
      <formula>"Pass"</formula>
    </cfRule>
    <cfRule type="cellIs" dxfId="9958" priority="9798" stopIfTrue="1" operator="equal">
      <formula>"Fail"</formula>
    </cfRule>
  </conditionalFormatting>
  <conditionalFormatting sqref="F1023 F1021:G1021 K1021:N1022">
    <cfRule type="cellIs" dxfId="9957" priority="9795" stopIfTrue="1" operator="equal">
      <formula>"Pass"</formula>
    </cfRule>
    <cfRule type="cellIs" dxfId="9956" priority="9796" stopIfTrue="1" operator="equal">
      <formula>"Fail"</formula>
    </cfRule>
  </conditionalFormatting>
  <conditionalFormatting sqref="T1021:T1023 U1022:V1023">
    <cfRule type="cellIs" dxfId="9955" priority="9793" stopIfTrue="1" operator="equal">
      <formula>"Fail"</formula>
    </cfRule>
    <cfRule type="cellIs" dxfId="9954" priority="9794" stopIfTrue="1" operator="equal">
      <formula>"Pass"</formula>
    </cfRule>
  </conditionalFormatting>
  <conditionalFormatting sqref="U1021:V1021">
    <cfRule type="cellIs" dxfId="9953" priority="9791" stopIfTrue="1" operator="equal">
      <formula>"Fail"</formula>
    </cfRule>
    <cfRule type="cellIs" dxfId="9952" priority="9792" stopIfTrue="1" operator="equal">
      <formula>"Pass"</formula>
    </cfRule>
  </conditionalFormatting>
  <conditionalFormatting sqref="U1021:V1021">
    <cfRule type="cellIs" dxfId="9951" priority="9789" stopIfTrue="1" operator="equal">
      <formula>"Fail"</formula>
    </cfRule>
    <cfRule type="cellIs" dxfId="9950" priority="9790" stopIfTrue="1" operator="equal">
      <formula>"Pass"</formula>
    </cfRule>
  </conditionalFormatting>
  <conditionalFormatting sqref="F1021:G1021 K1021:N1021">
    <cfRule type="cellIs" dxfId="9949" priority="9787" stopIfTrue="1" operator="equal">
      <formula>"Pass"</formula>
    </cfRule>
    <cfRule type="cellIs" dxfId="9948" priority="9788" stopIfTrue="1" operator="equal">
      <formula>"Fail"</formula>
    </cfRule>
  </conditionalFormatting>
  <conditionalFormatting sqref="K1022:N1022">
    <cfRule type="cellIs" dxfId="9947" priority="9785" stopIfTrue="1" operator="equal">
      <formula>"Pass"</formula>
    </cfRule>
    <cfRule type="cellIs" dxfId="9946" priority="9786" stopIfTrue="1" operator="equal">
      <formula>"Fail"</formula>
    </cfRule>
  </conditionalFormatting>
  <conditionalFormatting sqref="U1021:V1021">
    <cfRule type="cellIs" dxfId="9945" priority="9783" stopIfTrue="1" operator="equal">
      <formula>"Fail"</formula>
    </cfRule>
    <cfRule type="cellIs" dxfId="9944" priority="9784" stopIfTrue="1" operator="equal">
      <formula>"Pass"</formula>
    </cfRule>
  </conditionalFormatting>
  <conditionalFormatting sqref="J1021:J1022">
    <cfRule type="cellIs" dxfId="9943" priority="9781" stopIfTrue="1" operator="equal">
      <formula>"Pass"</formula>
    </cfRule>
    <cfRule type="cellIs" dxfId="9942" priority="9782" stopIfTrue="1" operator="equal">
      <formula>"Fail"</formula>
    </cfRule>
  </conditionalFormatting>
  <conditionalFormatting sqref="H1021:H1022 I1022">
    <cfRule type="cellIs" dxfId="9941" priority="9779" stopIfTrue="1" operator="equal">
      <formula>"Pass"</formula>
    </cfRule>
    <cfRule type="cellIs" dxfId="9940" priority="9780" stopIfTrue="1" operator="equal">
      <formula>"Fail"</formula>
    </cfRule>
  </conditionalFormatting>
  <conditionalFormatting sqref="F1021:G1021 K1021:N1022">
    <cfRule type="cellIs" dxfId="9939" priority="9777" stopIfTrue="1" operator="equal">
      <formula>"Pass"</formula>
    </cfRule>
    <cfRule type="cellIs" dxfId="9938" priority="9778" stopIfTrue="1" operator="equal">
      <formula>"Fail"</formula>
    </cfRule>
  </conditionalFormatting>
  <conditionalFormatting sqref="T1021:T1022 U1022:V1022">
    <cfRule type="cellIs" dxfId="9937" priority="9775" stopIfTrue="1" operator="equal">
      <formula>"Fail"</formula>
    </cfRule>
    <cfRule type="cellIs" dxfId="9936" priority="9776" stopIfTrue="1" operator="equal">
      <formula>"Pass"</formula>
    </cfRule>
  </conditionalFormatting>
  <conditionalFormatting sqref="U1021:V1021">
    <cfRule type="cellIs" dxfId="9935" priority="9773" stopIfTrue="1" operator="equal">
      <formula>"Fail"</formula>
    </cfRule>
    <cfRule type="cellIs" dxfId="9934" priority="9774" stopIfTrue="1" operator="equal">
      <formula>"Pass"</formula>
    </cfRule>
  </conditionalFormatting>
  <conditionalFormatting sqref="U1021:V1021">
    <cfRule type="cellIs" dxfId="9933" priority="9771" stopIfTrue="1" operator="equal">
      <formula>"Fail"</formula>
    </cfRule>
    <cfRule type="cellIs" dxfId="9932" priority="9772" stopIfTrue="1" operator="equal">
      <formula>"Pass"</formula>
    </cfRule>
  </conditionalFormatting>
  <conditionalFormatting sqref="J1021:J1022">
    <cfRule type="cellIs" dxfId="9931" priority="9769" stopIfTrue="1" operator="equal">
      <formula>"Pass"</formula>
    </cfRule>
    <cfRule type="cellIs" dxfId="9930" priority="9770" stopIfTrue="1" operator="equal">
      <formula>"Fail"</formula>
    </cfRule>
  </conditionalFormatting>
  <conditionalFormatting sqref="H1021:H1022 I1022">
    <cfRule type="cellIs" dxfId="9929" priority="9767" stopIfTrue="1" operator="equal">
      <formula>"Pass"</formula>
    </cfRule>
    <cfRule type="cellIs" dxfId="9928" priority="9768" stopIfTrue="1" operator="equal">
      <formula>"Fail"</formula>
    </cfRule>
  </conditionalFormatting>
  <conditionalFormatting sqref="F1021:G1021 K1021:N1022">
    <cfRule type="cellIs" dxfId="9927" priority="9765" stopIfTrue="1" operator="equal">
      <formula>"Pass"</formula>
    </cfRule>
    <cfRule type="cellIs" dxfId="9926" priority="9766" stopIfTrue="1" operator="equal">
      <formula>"Fail"</formula>
    </cfRule>
  </conditionalFormatting>
  <conditionalFormatting sqref="T1021:T1022 U1022:V1022">
    <cfRule type="cellIs" dxfId="9925" priority="9763" stopIfTrue="1" operator="equal">
      <formula>"Fail"</formula>
    </cfRule>
    <cfRule type="cellIs" dxfId="9924" priority="9764" stopIfTrue="1" operator="equal">
      <formula>"Pass"</formula>
    </cfRule>
  </conditionalFormatting>
  <conditionalFormatting sqref="U1021:V1021">
    <cfRule type="cellIs" dxfId="9923" priority="9761" stopIfTrue="1" operator="equal">
      <formula>"Fail"</formula>
    </cfRule>
    <cfRule type="cellIs" dxfId="9922" priority="9762" stopIfTrue="1" operator="equal">
      <formula>"Pass"</formula>
    </cfRule>
  </conditionalFormatting>
  <conditionalFormatting sqref="U1021:V1021">
    <cfRule type="cellIs" dxfId="9921" priority="9759" stopIfTrue="1" operator="equal">
      <formula>"Fail"</formula>
    </cfRule>
    <cfRule type="cellIs" dxfId="9920" priority="9760" stopIfTrue="1" operator="equal">
      <formula>"Pass"</formula>
    </cfRule>
  </conditionalFormatting>
  <conditionalFormatting sqref="F1021:G1021 K1021:N1021">
    <cfRule type="cellIs" dxfId="9919" priority="9757" stopIfTrue="1" operator="equal">
      <formula>"Pass"</formula>
    </cfRule>
    <cfRule type="cellIs" dxfId="9918" priority="9758" stopIfTrue="1" operator="equal">
      <formula>"Fail"</formula>
    </cfRule>
  </conditionalFormatting>
  <conditionalFormatting sqref="K1022:N1022">
    <cfRule type="cellIs" dxfId="9917" priority="9755" stopIfTrue="1" operator="equal">
      <formula>"Pass"</formula>
    </cfRule>
    <cfRule type="cellIs" dxfId="9916" priority="9756" stopIfTrue="1" operator="equal">
      <formula>"Fail"</formula>
    </cfRule>
  </conditionalFormatting>
  <conditionalFormatting sqref="U1021:V1021">
    <cfRule type="cellIs" dxfId="9915" priority="9753" stopIfTrue="1" operator="equal">
      <formula>"Fail"</formula>
    </cfRule>
    <cfRule type="cellIs" dxfId="9914" priority="9754" stopIfTrue="1" operator="equal">
      <formula>"Pass"</formula>
    </cfRule>
  </conditionalFormatting>
  <conditionalFormatting sqref="U1021:V1021">
    <cfRule type="cellIs" dxfId="9913" priority="9751" stopIfTrue="1" operator="equal">
      <formula>"Fail"</formula>
    </cfRule>
    <cfRule type="cellIs" dxfId="9912" priority="9752" stopIfTrue="1" operator="equal">
      <formula>"Pass"</formula>
    </cfRule>
  </conditionalFormatting>
  <conditionalFormatting sqref="U1021:V1021">
    <cfRule type="cellIs" dxfId="9911" priority="9749" stopIfTrue="1" operator="equal">
      <formula>"Fail"</formula>
    </cfRule>
    <cfRule type="cellIs" dxfId="9910" priority="9750" stopIfTrue="1" operator="equal">
      <formula>"Pass"</formula>
    </cfRule>
  </conditionalFormatting>
  <conditionalFormatting sqref="U1021:V1021">
    <cfRule type="cellIs" dxfId="9909" priority="9747" stopIfTrue="1" operator="equal">
      <formula>"Fail"</formula>
    </cfRule>
    <cfRule type="cellIs" dxfId="9908" priority="9748" stopIfTrue="1" operator="equal">
      <formula>"Pass"</formula>
    </cfRule>
  </conditionalFormatting>
  <conditionalFormatting sqref="A1021">
    <cfRule type="cellIs" dxfId="9907" priority="9745" stopIfTrue="1" operator="equal">
      <formula>"Pass"</formula>
    </cfRule>
    <cfRule type="cellIs" dxfId="9906" priority="9746" stopIfTrue="1" operator="equal">
      <formula>"Fail"</formula>
    </cfRule>
  </conditionalFormatting>
  <conditionalFormatting sqref="A1021">
    <cfRule type="cellIs" dxfId="9905" priority="9743" stopIfTrue="1" operator="equal">
      <formula>"Pass"</formula>
    </cfRule>
    <cfRule type="cellIs" dxfId="9904" priority="9744" stopIfTrue="1" operator="equal">
      <formula>"Fail"</formula>
    </cfRule>
  </conditionalFormatting>
  <conditionalFormatting sqref="A1021">
    <cfRule type="cellIs" dxfId="9903" priority="9741" stopIfTrue="1" operator="equal">
      <formula>"Pass"</formula>
    </cfRule>
    <cfRule type="cellIs" dxfId="9902" priority="9742" stopIfTrue="1" operator="equal">
      <formula>"Fail"</formula>
    </cfRule>
  </conditionalFormatting>
  <conditionalFormatting sqref="A1021">
    <cfRule type="cellIs" dxfId="9901" priority="9739" stopIfTrue="1" operator="equal">
      <formula>"Pass"</formula>
    </cfRule>
    <cfRule type="cellIs" dxfId="9900" priority="9740" stopIfTrue="1" operator="equal">
      <formula>"Fail"</formula>
    </cfRule>
  </conditionalFormatting>
  <conditionalFormatting sqref="A1021">
    <cfRule type="cellIs" dxfId="9899" priority="9737" stopIfTrue="1" operator="equal">
      <formula>"Pass"</formula>
    </cfRule>
    <cfRule type="cellIs" dxfId="9898" priority="9738" stopIfTrue="1" operator="equal">
      <formula>"Fail"</formula>
    </cfRule>
  </conditionalFormatting>
  <conditionalFormatting sqref="A1021">
    <cfRule type="cellIs" dxfId="9897" priority="9735" stopIfTrue="1" operator="equal">
      <formula>"Pass"</formula>
    </cfRule>
    <cfRule type="cellIs" dxfId="9896" priority="9736" stopIfTrue="1" operator="equal">
      <formula>"Fail"</formula>
    </cfRule>
  </conditionalFormatting>
  <conditionalFormatting sqref="A1021">
    <cfRule type="cellIs" dxfId="9895" priority="9733" stopIfTrue="1" operator="equal">
      <formula>"Pass"</formula>
    </cfRule>
    <cfRule type="cellIs" dxfId="9894" priority="9734" stopIfTrue="1" operator="equal">
      <formula>"Fail"</formula>
    </cfRule>
  </conditionalFormatting>
  <conditionalFormatting sqref="A1021">
    <cfRule type="cellIs" dxfId="9893" priority="9731" stopIfTrue="1" operator="equal">
      <formula>"Pass"</formula>
    </cfRule>
    <cfRule type="cellIs" dxfId="9892" priority="9732" stopIfTrue="1" operator="equal">
      <formula>"Fail"</formula>
    </cfRule>
  </conditionalFormatting>
  <conditionalFormatting sqref="A1021">
    <cfRule type="cellIs" dxfId="9891" priority="9729" stopIfTrue="1" operator="equal">
      <formula>"Pass"</formula>
    </cfRule>
    <cfRule type="cellIs" dxfId="9890" priority="9730" stopIfTrue="1" operator="equal">
      <formula>"Fail"</formula>
    </cfRule>
  </conditionalFormatting>
  <conditionalFormatting sqref="A1021">
    <cfRule type="cellIs" dxfId="9889" priority="9727" stopIfTrue="1" operator="equal">
      <formula>"Pass"</formula>
    </cfRule>
    <cfRule type="cellIs" dxfId="9888" priority="9728" stopIfTrue="1" operator="equal">
      <formula>"Fail"</formula>
    </cfRule>
  </conditionalFormatting>
  <conditionalFormatting sqref="A1021">
    <cfRule type="cellIs" dxfId="9887" priority="9725" stopIfTrue="1" operator="equal">
      <formula>"Pass"</formula>
    </cfRule>
    <cfRule type="cellIs" dxfId="9886" priority="9726" stopIfTrue="1" operator="equal">
      <formula>"Fail"</formula>
    </cfRule>
  </conditionalFormatting>
  <conditionalFormatting sqref="A1021">
    <cfRule type="cellIs" dxfId="9885" priority="9723" stopIfTrue="1" operator="equal">
      <formula>"Pass"</formula>
    </cfRule>
    <cfRule type="cellIs" dxfId="9884" priority="9724" stopIfTrue="1" operator="equal">
      <formula>"Fail"</formula>
    </cfRule>
  </conditionalFormatting>
  <conditionalFormatting sqref="A1021">
    <cfRule type="cellIs" dxfId="9883" priority="9721" stopIfTrue="1" operator="equal">
      <formula>"Pass"</formula>
    </cfRule>
    <cfRule type="cellIs" dxfId="9882" priority="9722" stopIfTrue="1" operator="equal">
      <formula>"Fail"</formula>
    </cfRule>
  </conditionalFormatting>
  <conditionalFormatting sqref="A1021">
    <cfRule type="cellIs" dxfId="9881" priority="9719" stopIfTrue="1" operator="equal">
      <formula>"Pass"</formula>
    </cfRule>
    <cfRule type="cellIs" dxfId="9880" priority="9720" stopIfTrue="1" operator="equal">
      <formula>"Fail"</formula>
    </cfRule>
  </conditionalFormatting>
  <conditionalFormatting sqref="A1021">
    <cfRule type="cellIs" dxfId="9879" priority="9717" stopIfTrue="1" operator="equal">
      <formula>"Pass"</formula>
    </cfRule>
    <cfRule type="cellIs" dxfId="9878" priority="9718" stopIfTrue="1" operator="equal">
      <formula>"Fail"</formula>
    </cfRule>
  </conditionalFormatting>
  <conditionalFormatting sqref="A1021">
    <cfRule type="cellIs" dxfId="9877" priority="9715" stopIfTrue="1" operator="equal">
      <formula>"Pass"</formula>
    </cfRule>
    <cfRule type="cellIs" dxfId="9876" priority="9716" stopIfTrue="1" operator="equal">
      <formula>"Fail"</formula>
    </cfRule>
  </conditionalFormatting>
  <conditionalFormatting sqref="A1021">
    <cfRule type="cellIs" dxfId="9875" priority="9713" stopIfTrue="1" operator="equal">
      <formula>"Pass"</formula>
    </cfRule>
    <cfRule type="cellIs" dxfId="9874" priority="9714" stopIfTrue="1" operator="equal">
      <formula>"Fail"</formula>
    </cfRule>
  </conditionalFormatting>
  <conditionalFormatting sqref="A1021">
    <cfRule type="cellIs" dxfId="9873" priority="9711" stopIfTrue="1" operator="equal">
      <formula>"Pass"</formula>
    </cfRule>
    <cfRule type="cellIs" dxfId="9872" priority="9712" stopIfTrue="1" operator="equal">
      <formula>"Fail"</formula>
    </cfRule>
  </conditionalFormatting>
  <conditionalFormatting sqref="U1021:V1021">
    <cfRule type="cellIs" dxfId="9871" priority="9709" stopIfTrue="1" operator="equal">
      <formula>"Fail"</formula>
    </cfRule>
    <cfRule type="cellIs" dxfId="9870" priority="9710" stopIfTrue="1" operator="equal">
      <formula>"Pass"</formula>
    </cfRule>
  </conditionalFormatting>
  <conditionalFormatting sqref="U1021:V1021">
    <cfRule type="cellIs" dxfId="9869" priority="9707" stopIfTrue="1" operator="equal">
      <formula>"Fail"</formula>
    </cfRule>
    <cfRule type="cellIs" dxfId="9868" priority="9708" stopIfTrue="1" operator="equal">
      <formula>"Pass"</formula>
    </cfRule>
  </conditionalFormatting>
  <conditionalFormatting sqref="U1021:V1021">
    <cfRule type="cellIs" dxfId="9867" priority="9705" stopIfTrue="1" operator="equal">
      <formula>"Fail"</formula>
    </cfRule>
    <cfRule type="cellIs" dxfId="9866" priority="9706" stopIfTrue="1" operator="equal">
      <formula>"Pass"</formula>
    </cfRule>
  </conditionalFormatting>
  <conditionalFormatting sqref="U1021:V1021">
    <cfRule type="cellIs" dxfId="9865" priority="9703" stopIfTrue="1" operator="equal">
      <formula>"Fail"</formula>
    </cfRule>
    <cfRule type="cellIs" dxfId="9864" priority="9704" stopIfTrue="1" operator="equal">
      <formula>"Pass"</formula>
    </cfRule>
  </conditionalFormatting>
  <conditionalFormatting sqref="A1024:A1026">
    <cfRule type="cellIs" dxfId="9863" priority="9701" stopIfTrue="1" operator="equal">
      <formula>"Pass"</formula>
    </cfRule>
    <cfRule type="cellIs" dxfId="9862" priority="9702" stopIfTrue="1" operator="equal">
      <formula>"Fail"</formula>
    </cfRule>
  </conditionalFormatting>
  <conditionalFormatting sqref="A1024:A1026">
    <cfRule type="cellIs" dxfId="9861" priority="9699" stopIfTrue="1" operator="equal">
      <formula>"Pass"</formula>
    </cfRule>
    <cfRule type="cellIs" dxfId="9860" priority="9700" stopIfTrue="1" operator="equal">
      <formula>"Fail"</formula>
    </cfRule>
  </conditionalFormatting>
  <conditionalFormatting sqref="A1024:A1026">
    <cfRule type="cellIs" dxfId="9859" priority="9697" stopIfTrue="1" operator="equal">
      <formula>"Pass"</formula>
    </cfRule>
    <cfRule type="cellIs" dxfId="9858" priority="9698" stopIfTrue="1" operator="equal">
      <formula>"Fail"</formula>
    </cfRule>
  </conditionalFormatting>
  <conditionalFormatting sqref="A1024:A1026">
    <cfRule type="cellIs" dxfId="9857" priority="9695" stopIfTrue="1" operator="equal">
      <formula>"Pass"</formula>
    </cfRule>
    <cfRule type="cellIs" dxfId="9856" priority="9696" stopIfTrue="1" operator="equal">
      <formula>"Fail"</formula>
    </cfRule>
  </conditionalFormatting>
  <conditionalFormatting sqref="A1024:A1026">
    <cfRule type="cellIs" dxfId="9855" priority="9693" stopIfTrue="1" operator="equal">
      <formula>"Pass"</formula>
    </cfRule>
    <cfRule type="cellIs" dxfId="9854" priority="9694" stopIfTrue="1" operator="equal">
      <formula>"Fail"</formula>
    </cfRule>
  </conditionalFormatting>
  <conditionalFormatting sqref="A1026">
    <cfRule type="cellIs" dxfId="9853" priority="9691" stopIfTrue="1" operator="equal">
      <formula>"Pass"</formula>
    </cfRule>
    <cfRule type="cellIs" dxfId="9852" priority="9692" stopIfTrue="1" operator="equal">
      <formula>"Fail"</formula>
    </cfRule>
  </conditionalFormatting>
  <conditionalFormatting sqref="A1024:A1026">
    <cfRule type="cellIs" dxfId="9851" priority="9689" stopIfTrue="1" operator="equal">
      <formula>"Pass"</formula>
    </cfRule>
    <cfRule type="cellIs" dxfId="9850" priority="9690" stopIfTrue="1" operator="equal">
      <formula>"Fail"</formula>
    </cfRule>
  </conditionalFormatting>
  <conditionalFormatting sqref="A1024:A1026">
    <cfRule type="cellIs" dxfId="9849" priority="9687" stopIfTrue="1" operator="equal">
      <formula>"Pass"</formula>
    </cfRule>
    <cfRule type="cellIs" dxfId="9848" priority="9688" stopIfTrue="1" operator="equal">
      <formula>"Fail"</formula>
    </cfRule>
  </conditionalFormatting>
  <conditionalFormatting sqref="A1024:A1026">
    <cfRule type="cellIs" dxfId="9847" priority="9685" stopIfTrue="1" operator="equal">
      <formula>"Pass"</formula>
    </cfRule>
    <cfRule type="cellIs" dxfId="9846" priority="9686" stopIfTrue="1" operator="equal">
      <formula>"Fail"</formula>
    </cfRule>
  </conditionalFormatting>
  <conditionalFormatting sqref="A1024:A1026">
    <cfRule type="cellIs" dxfId="9845" priority="9683" stopIfTrue="1" operator="equal">
      <formula>"Pass"</formula>
    </cfRule>
    <cfRule type="cellIs" dxfId="9844" priority="9684" stopIfTrue="1" operator="equal">
      <formula>"Fail"</formula>
    </cfRule>
  </conditionalFormatting>
  <conditionalFormatting sqref="A1024:A1026">
    <cfRule type="cellIs" dxfId="9843" priority="9681" stopIfTrue="1" operator="equal">
      <formula>"Pass"</formula>
    </cfRule>
    <cfRule type="cellIs" dxfId="9842" priority="9682" stopIfTrue="1" operator="equal">
      <formula>"Fail"</formula>
    </cfRule>
  </conditionalFormatting>
  <conditionalFormatting sqref="A1024:A1026">
    <cfRule type="cellIs" dxfId="9841" priority="9679" stopIfTrue="1" operator="equal">
      <formula>"Pass"</formula>
    </cfRule>
    <cfRule type="cellIs" dxfId="9840" priority="9680" stopIfTrue="1" operator="equal">
      <formula>"Fail"</formula>
    </cfRule>
  </conditionalFormatting>
  <conditionalFormatting sqref="A1026">
    <cfRule type="cellIs" dxfId="9839" priority="9677" stopIfTrue="1" operator="equal">
      <formula>"Pass"</formula>
    </cfRule>
    <cfRule type="cellIs" dxfId="9838" priority="9678" stopIfTrue="1" operator="equal">
      <formula>"Fail"</formula>
    </cfRule>
  </conditionalFormatting>
  <conditionalFormatting sqref="A1024:A1026">
    <cfRule type="cellIs" dxfId="9837" priority="9675" stopIfTrue="1" operator="equal">
      <formula>"Pass"</formula>
    </cfRule>
    <cfRule type="cellIs" dxfId="9836" priority="9676" stopIfTrue="1" operator="equal">
      <formula>"Fail"</formula>
    </cfRule>
  </conditionalFormatting>
  <conditionalFormatting sqref="A1024:A1026">
    <cfRule type="cellIs" dxfId="9835" priority="9673" stopIfTrue="1" operator="equal">
      <formula>"Pass"</formula>
    </cfRule>
    <cfRule type="cellIs" dxfId="9834" priority="9674" stopIfTrue="1" operator="equal">
      <formula>"Fail"</formula>
    </cfRule>
  </conditionalFormatting>
  <conditionalFormatting sqref="A1024:A1026">
    <cfRule type="cellIs" dxfId="9833" priority="9671" stopIfTrue="1" operator="equal">
      <formula>"Pass"</formula>
    </cfRule>
    <cfRule type="cellIs" dxfId="9832" priority="9672" stopIfTrue="1" operator="equal">
      <formula>"Fail"</formula>
    </cfRule>
  </conditionalFormatting>
  <conditionalFormatting sqref="A1024:A1026">
    <cfRule type="cellIs" dxfId="9831" priority="9669" stopIfTrue="1" operator="equal">
      <formula>"Pass"</formula>
    </cfRule>
    <cfRule type="cellIs" dxfId="9830" priority="9670" stopIfTrue="1" operator="equal">
      <formula>"Fail"</formula>
    </cfRule>
  </conditionalFormatting>
  <conditionalFormatting sqref="A1024:A1026">
    <cfRule type="cellIs" dxfId="9829" priority="9667" stopIfTrue="1" operator="equal">
      <formula>"Pass"</formula>
    </cfRule>
    <cfRule type="cellIs" dxfId="9828" priority="9668" stopIfTrue="1" operator="equal">
      <formula>"Fail"</formula>
    </cfRule>
  </conditionalFormatting>
  <conditionalFormatting sqref="A1024:A1026">
    <cfRule type="cellIs" dxfId="9827" priority="9665" stopIfTrue="1" operator="equal">
      <formula>"Pass"</formula>
    </cfRule>
    <cfRule type="cellIs" dxfId="9826" priority="9666" stopIfTrue="1" operator="equal">
      <formula>"Fail"</formula>
    </cfRule>
  </conditionalFormatting>
  <conditionalFormatting sqref="A1026">
    <cfRule type="cellIs" dxfId="9825" priority="9663" stopIfTrue="1" operator="equal">
      <formula>"Pass"</formula>
    </cfRule>
    <cfRule type="cellIs" dxfId="9824" priority="9664" stopIfTrue="1" operator="equal">
      <formula>"Fail"</formula>
    </cfRule>
  </conditionalFormatting>
  <conditionalFormatting sqref="A1024:A1026">
    <cfRule type="cellIs" dxfId="9823" priority="9661" stopIfTrue="1" operator="equal">
      <formula>"Pass"</formula>
    </cfRule>
    <cfRule type="cellIs" dxfId="9822" priority="9662" stopIfTrue="1" operator="equal">
      <formula>"Fail"</formula>
    </cfRule>
  </conditionalFormatting>
  <conditionalFormatting sqref="A1024:A1026">
    <cfRule type="cellIs" dxfId="9821" priority="9659" stopIfTrue="1" operator="equal">
      <formula>"Pass"</formula>
    </cfRule>
    <cfRule type="cellIs" dxfId="9820" priority="9660" stopIfTrue="1" operator="equal">
      <formula>"Fail"</formula>
    </cfRule>
  </conditionalFormatting>
  <conditionalFormatting sqref="A1024:A1026">
    <cfRule type="cellIs" dxfId="9819" priority="9657" stopIfTrue="1" operator="equal">
      <formula>"Pass"</formula>
    </cfRule>
    <cfRule type="cellIs" dxfId="9818" priority="9658" stopIfTrue="1" operator="equal">
      <formula>"Fail"</formula>
    </cfRule>
  </conditionalFormatting>
  <conditionalFormatting sqref="A1024:A1026">
    <cfRule type="cellIs" dxfId="9817" priority="9655" stopIfTrue="1" operator="equal">
      <formula>"Pass"</formula>
    </cfRule>
    <cfRule type="cellIs" dxfId="9816" priority="9656" stopIfTrue="1" operator="equal">
      <formula>"Fail"</formula>
    </cfRule>
  </conditionalFormatting>
  <conditionalFormatting sqref="A1024:A1026">
    <cfRule type="cellIs" dxfId="9815" priority="9653" stopIfTrue="1" operator="equal">
      <formula>"Pass"</formula>
    </cfRule>
    <cfRule type="cellIs" dxfId="9814" priority="9654" stopIfTrue="1" operator="equal">
      <formula>"Fail"</formula>
    </cfRule>
  </conditionalFormatting>
  <conditionalFormatting sqref="A1024:A1026">
    <cfRule type="cellIs" dxfId="9813" priority="9651" stopIfTrue="1" operator="equal">
      <formula>"Pass"</formula>
    </cfRule>
    <cfRule type="cellIs" dxfId="9812" priority="9652" stopIfTrue="1" operator="equal">
      <formula>"Fail"</formula>
    </cfRule>
  </conditionalFormatting>
  <conditionalFormatting sqref="A1026">
    <cfRule type="cellIs" dxfId="9811" priority="9649" stopIfTrue="1" operator="equal">
      <formula>"Pass"</formula>
    </cfRule>
    <cfRule type="cellIs" dxfId="9810" priority="9650" stopIfTrue="1" operator="equal">
      <formula>"Fail"</formula>
    </cfRule>
  </conditionalFormatting>
  <conditionalFormatting sqref="A1024:A1026">
    <cfRule type="cellIs" dxfId="9809" priority="9647" stopIfTrue="1" operator="equal">
      <formula>"Pass"</formula>
    </cfRule>
    <cfRule type="cellIs" dxfId="9808" priority="9648" stopIfTrue="1" operator="equal">
      <formula>"Fail"</formula>
    </cfRule>
  </conditionalFormatting>
  <conditionalFormatting sqref="A1024:A1026">
    <cfRule type="cellIs" dxfId="9807" priority="9645" stopIfTrue="1" operator="equal">
      <formula>"Pass"</formula>
    </cfRule>
    <cfRule type="cellIs" dxfId="9806" priority="9646" stopIfTrue="1" operator="equal">
      <formula>"Fail"</formula>
    </cfRule>
  </conditionalFormatting>
  <conditionalFormatting sqref="A1024:A1026">
    <cfRule type="cellIs" dxfId="9805" priority="9643" stopIfTrue="1" operator="equal">
      <formula>"Pass"</formula>
    </cfRule>
    <cfRule type="cellIs" dxfId="9804" priority="9644" stopIfTrue="1" operator="equal">
      <formula>"Fail"</formula>
    </cfRule>
  </conditionalFormatting>
  <conditionalFormatting sqref="A1024:A1026">
    <cfRule type="cellIs" dxfId="9803" priority="9641" stopIfTrue="1" operator="equal">
      <formula>"Pass"</formula>
    </cfRule>
    <cfRule type="cellIs" dxfId="9802" priority="9642" stopIfTrue="1" operator="equal">
      <formula>"Fail"</formula>
    </cfRule>
  </conditionalFormatting>
  <conditionalFormatting sqref="A1024:A1026">
    <cfRule type="cellIs" dxfId="9801" priority="9639" stopIfTrue="1" operator="equal">
      <formula>"Pass"</formula>
    </cfRule>
    <cfRule type="cellIs" dxfId="9800" priority="9640" stopIfTrue="1" operator="equal">
      <formula>"Fail"</formula>
    </cfRule>
  </conditionalFormatting>
  <conditionalFormatting sqref="A1024:A1026">
    <cfRule type="cellIs" dxfId="9799" priority="9637" stopIfTrue="1" operator="equal">
      <formula>"Pass"</formula>
    </cfRule>
    <cfRule type="cellIs" dxfId="9798" priority="9638" stopIfTrue="1" operator="equal">
      <formula>"Fail"</formula>
    </cfRule>
  </conditionalFormatting>
  <conditionalFormatting sqref="A1026">
    <cfRule type="cellIs" dxfId="9797" priority="9635" stopIfTrue="1" operator="equal">
      <formula>"Pass"</formula>
    </cfRule>
    <cfRule type="cellIs" dxfId="9796" priority="9636" stopIfTrue="1" operator="equal">
      <formula>"Fail"</formula>
    </cfRule>
  </conditionalFormatting>
  <conditionalFormatting sqref="A1024:A1026">
    <cfRule type="cellIs" dxfId="9795" priority="9633" stopIfTrue="1" operator="equal">
      <formula>"Pass"</formula>
    </cfRule>
    <cfRule type="cellIs" dxfId="9794" priority="9634" stopIfTrue="1" operator="equal">
      <formula>"Fail"</formula>
    </cfRule>
  </conditionalFormatting>
  <conditionalFormatting sqref="A1024:A1026">
    <cfRule type="cellIs" dxfId="9793" priority="9631" stopIfTrue="1" operator="equal">
      <formula>"Pass"</formula>
    </cfRule>
    <cfRule type="cellIs" dxfId="9792" priority="9632" stopIfTrue="1" operator="equal">
      <formula>"Fail"</formula>
    </cfRule>
  </conditionalFormatting>
  <conditionalFormatting sqref="A1024:A1026">
    <cfRule type="cellIs" dxfId="9791" priority="9629" stopIfTrue="1" operator="equal">
      <formula>"Pass"</formula>
    </cfRule>
    <cfRule type="cellIs" dxfId="9790" priority="9630" stopIfTrue="1" operator="equal">
      <formula>"Fail"</formula>
    </cfRule>
  </conditionalFormatting>
  <conditionalFormatting sqref="A1024:A1026">
    <cfRule type="cellIs" dxfId="9789" priority="9627" stopIfTrue="1" operator="equal">
      <formula>"Pass"</formula>
    </cfRule>
    <cfRule type="cellIs" dxfId="9788" priority="9628" stopIfTrue="1" operator="equal">
      <formula>"Fail"</formula>
    </cfRule>
  </conditionalFormatting>
  <conditionalFormatting sqref="A1024:A1026">
    <cfRule type="cellIs" dxfId="9787" priority="9625" stopIfTrue="1" operator="equal">
      <formula>"Pass"</formula>
    </cfRule>
    <cfRule type="cellIs" dxfId="9786" priority="9626" stopIfTrue="1" operator="equal">
      <formula>"Fail"</formula>
    </cfRule>
  </conditionalFormatting>
  <conditionalFormatting sqref="A1024:A1026">
    <cfRule type="cellIs" dxfId="9785" priority="9623" stopIfTrue="1" operator="equal">
      <formula>"Pass"</formula>
    </cfRule>
    <cfRule type="cellIs" dxfId="9784" priority="9624" stopIfTrue="1" operator="equal">
      <formula>"Fail"</formula>
    </cfRule>
  </conditionalFormatting>
  <conditionalFormatting sqref="A1026">
    <cfRule type="cellIs" dxfId="9783" priority="9621" stopIfTrue="1" operator="equal">
      <formula>"Pass"</formula>
    </cfRule>
    <cfRule type="cellIs" dxfId="9782" priority="9622" stopIfTrue="1" operator="equal">
      <formula>"Fail"</formula>
    </cfRule>
  </conditionalFormatting>
  <conditionalFormatting sqref="A1024:A1026">
    <cfRule type="cellIs" dxfId="9781" priority="9619" stopIfTrue="1" operator="equal">
      <formula>"Pass"</formula>
    </cfRule>
    <cfRule type="cellIs" dxfId="9780" priority="9620" stopIfTrue="1" operator="equal">
      <formula>"Fail"</formula>
    </cfRule>
  </conditionalFormatting>
  <conditionalFormatting sqref="A1024">
    <cfRule type="cellIs" dxfId="9779" priority="9617" stopIfTrue="1" operator="equal">
      <formula>"Pass"</formula>
    </cfRule>
    <cfRule type="cellIs" dxfId="9778" priority="9618" stopIfTrue="1" operator="equal">
      <formula>"Fail"</formula>
    </cfRule>
  </conditionalFormatting>
  <conditionalFormatting sqref="A1024">
    <cfRule type="cellIs" dxfId="9777" priority="9615" stopIfTrue="1" operator="equal">
      <formula>"Pass"</formula>
    </cfRule>
    <cfRule type="cellIs" dxfId="9776" priority="9616" stopIfTrue="1" operator="equal">
      <formula>"Fail"</formula>
    </cfRule>
  </conditionalFormatting>
  <conditionalFormatting sqref="A1024">
    <cfRule type="cellIs" dxfId="9775" priority="9613" stopIfTrue="1" operator="equal">
      <formula>"Pass"</formula>
    </cfRule>
    <cfRule type="cellIs" dxfId="9774" priority="9614" stopIfTrue="1" operator="equal">
      <formula>"Fail"</formula>
    </cfRule>
  </conditionalFormatting>
  <conditionalFormatting sqref="A1024">
    <cfRule type="cellIs" dxfId="9773" priority="9611" stopIfTrue="1" operator="equal">
      <formula>"Pass"</formula>
    </cfRule>
    <cfRule type="cellIs" dxfId="9772" priority="9612" stopIfTrue="1" operator="equal">
      <formula>"Fail"</formula>
    </cfRule>
  </conditionalFormatting>
  <conditionalFormatting sqref="A1024">
    <cfRule type="cellIs" dxfId="9771" priority="9609" stopIfTrue="1" operator="equal">
      <formula>"Pass"</formula>
    </cfRule>
    <cfRule type="cellIs" dxfId="9770" priority="9610" stopIfTrue="1" operator="equal">
      <formula>"Fail"</formula>
    </cfRule>
  </conditionalFormatting>
  <conditionalFormatting sqref="A1024">
    <cfRule type="cellIs" dxfId="9769" priority="9607" stopIfTrue="1" operator="equal">
      <formula>"Pass"</formula>
    </cfRule>
    <cfRule type="cellIs" dxfId="9768" priority="9608" stopIfTrue="1" operator="equal">
      <formula>"Fail"</formula>
    </cfRule>
  </conditionalFormatting>
  <conditionalFormatting sqref="H1024:H1025">
    <cfRule type="cellIs" dxfId="9767" priority="9605" stopIfTrue="1" operator="equal">
      <formula>"Pass"</formula>
    </cfRule>
    <cfRule type="cellIs" dxfId="9766" priority="9606" stopIfTrue="1" operator="equal">
      <formula>"Fail"</formula>
    </cfRule>
  </conditionalFormatting>
  <conditionalFormatting sqref="E1024:F1024 E1026:F1026 A1024 I1024:M1025">
    <cfRule type="cellIs" dxfId="9765" priority="9603" stopIfTrue="1" operator="equal">
      <formula>"Pass"</formula>
    </cfRule>
    <cfRule type="cellIs" dxfId="9764" priority="9604" stopIfTrue="1" operator="equal">
      <formula>"Fail"</formula>
    </cfRule>
  </conditionalFormatting>
  <conditionalFormatting sqref="T1026 T1024 R1024:R1026 S1025:S1026">
    <cfRule type="cellIs" dxfId="9763" priority="9601" stopIfTrue="1" operator="equal">
      <formula>"Fail"</formula>
    </cfRule>
    <cfRule type="cellIs" dxfId="9762" priority="9602" stopIfTrue="1" operator="equal">
      <formula>"Pass"</formula>
    </cfRule>
  </conditionalFormatting>
  <conditionalFormatting sqref="F1024:G1024 F1026:G1026 B1024:B1026 A1024 J1024:N1025">
    <cfRule type="cellIs" dxfId="9761" priority="9599" stopIfTrue="1" operator="equal">
      <formula>"Pass"</formula>
    </cfRule>
    <cfRule type="cellIs" dxfId="9760" priority="9600" stopIfTrue="1" operator="equal">
      <formula>"Fail"</formula>
    </cfRule>
  </conditionalFormatting>
  <conditionalFormatting sqref="U1026:V1026 T1024:T1026 S1025:S1026">
    <cfRule type="cellIs" dxfId="9759" priority="9597" stopIfTrue="1" operator="equal">
      <formula>"Fail"</formula>
    </cfRule>
    <cfRule type="cellIs" dxfId="9758" priority="9598" stopIfTrue="1" operator="equal">
      <formula>"Pass"</formula>
    </cfRule>
  </conditionalFormatting>
  <conditionalFormatting sqref="A1024">
    <cfRule type="cellIs" dxfId="9757" priority="9595" stopIfTrue="1" operator="equal">
      <formula>"Pass"</formula>
    </cfRule>
    <cfRule type="cellIs" dxfId="9756" priority="9596" stopIfTrue="1" operator="equal">
      <formula>"Fail"</formula>
    </cfRule>
  </conditionalFormatting>
  <conditionalFormatting sqref="A1024">
    <cfRule type="cellIs" dxfId="9755" priority="9593" stopIfTrue="1" operator="equal">
      <formula>"Pass"</formula>
    </cfRule>
    <cfRule type="cellIs" dxfId="9754" priority="9594" stopIfTrue="1" operator="equal">
      <formula>"Fail"</formula>
    </cfRule>
  </conditionalFormatting>
  <conditionalFormatting sqref="A1024">
    <cfRule type="cellIs" dxfId="9753" priority="9591" stopIfTrue="1" operator="equal">
      <formula>"Pass"</formula>
    </cfRule>
    <cfRule type="cellIs" dxfId="9752" priority="9592" stopIfTrue="1" operator="equal">
      <formula>"Fail"</formula>
    </cfRule>
  </conditionalFormatting>
  <conditionalFormatting sqref="A1024">
    <cfRule type="cellIs" dxfId="9751" priority="9589" stopIfTrue="1" operator="equal">
      <formula>"Pass"</formula>
    </cfRule>
    <cfRule type="cellIs" dxfId="9750" priority="9590" stopIfTrue="1" operator="equal">
      <formula>"Fail"</formula>
    </cfRule>
  </conditionalFormatting>
  <conditionalFormatting sqref="A1024">
    <cfRule type="cellIs" dxfId="9749" priority="9587" stopIfTrue="1" operator="equal">
      <formula>"Pass"</formula>
    </cfRule>
    <cfRule type="cellIs" dxfId="9748" priority="9588" stopIfTrue="1" operator="equal">
      <formula>"Fail"</formula>
    </cfRule>
  </conditionalFormatting>
  <conditionalFormatting sqref="A1024">
    <cfRule type="cellIs" dxfId="9747" priority="9585" stopIfTrue="1" operator="equal">
      <formula>"Pass"</formula>
    </cfRule>
    <cfRule type="cellIs" dxfId="9746" priority="9586" stopIfTrue="1" operator="equal">
      <formula>"Fail"</formula>
    </cfRule>
  </conditionalFormatting>
  <conditionalFormatting sqref="A1024">
    <cfRule type="cellIs" dxfId="9745" priority="9583" stopIfTrue="1" operator="equal">
      <formula>"Pass"</formula>
    </cfRule>
    <cfRule type="cellIs" dxfId="9744" priority="9584" stopIfTrue="1" operator="equal">
      <formula>"Fail"</formula>
    </cfRule>
  </conditionalFormatting>
  <conditionalFormatting sqref="A1024">
    <cfRule type="cellIs" dxfId="9743" priority="9581" stopIfTrue="1" operator="equal">
      <formula>"Pass"</formula>
    </cfRule>
    <cfRule type="cellIs" dxfId="9742" priority="9582" stopIfTrue="1" operator="equal">
      <formula>"Fail"</formula>
    </cfRule>
  </conditionalFormatting>
  <conditionalFormatting sqref="A1024">
    <cfRule type="cellIs" dxfId="9741" priority="9579" stopIfTrue="1" operator="equal">
      <formula>"Pass"</formula>
    </cfRule>
    <cfRule type="cellIs" dxfId="9740" priority="9580" stopIfTrue="1" operator="equal">
      <formula>"Fail"</formula>
    </cfRule>
  </conditionalFormatting>
  <conditionalFormatting sqref="A1024">
    <cfRule type="cellIs" dxfId="9739" priority="9577" stopIfTrue="1" operator="equal">
      <formula>"Pass"</formula>
    </cfRule>
    <cfRule type="cellIs" dxfId="9738" priority="9578" stopIfTrue="1" operator="equal">
      <formula>"Fail"</formula>
    </cfRule>
  </conditionalFormatting>
  <conditionalFormatting sqref="U1024:V1024">
    <cfRule type="cellIs" dxfId="9737" priority="9575" stopIfTrue="1" operator="equal">
      <formula>"Fail"</formula>
    </cfRule>
    <cfRule type="cellIs" dxfId="9736" priority="9576" stopIfTrue="1" operator="equal">
      <formula>"Pass"</formula>
    </cfRule>
  </conditionalFormatting>
  <conditionalFormatting sqref="F1024:G1024 J1024:N1024">
    <cfRule type="cellIs" dxfId="9735" priority="9573" stopIfTrue="1" operator="equal">
      <formula>"Pass"</formula>
    </cfRule>
    <cfRule type="cellIs" dxfId="9734" priority="9574" stopIfTrue="1" operator="equal">
      <formula>"Fail"</formula>
    </cfRule>
  </conditionalFormatting>
  <conditionalFormatting sqref="J1025:N1025">
    <cfRule type="cellIs" dxfId="9733" priority="9571" stopIfTrue="1" operator="equal">
      <formula>"Pass"</formula>
    </cfRule>
    <cfRule type="cellIs" dxfId="9732" priority="9572" stopIfTrue="1" operator="equal">
      <formula>"Fail"</formula>
    </cfRule>
  </conditionalFormatting>
  <conditionalFormatting sqref="A1024">
    <cfRule type="cellIs" dxfId="9731" priority="9569" stopIfTrue="1" operator="equal">
      <formula>"Pass"</formula>
    </cfRule>
    <cfRule type="cellIs" dxfId="9730" priority="9570" stopIfTrue="1" operator="equal">
      <formula>"Fail"</formula>
    </cfRule>
  </conditionalFormatting>
  <conditionalFormatting sqref="A1024">
    <cfRule type="cellIs" dxfId="9729" priority="9567" stopIfTrue="1" operator="equal">
      <formula>"Pass"</formula>
    </cfRule>
    <cfRule type="cellIs" dxfId="9728" priority="9568" stopIfTrue="1" operator="equal">
      <formula>"Fail"</formula>
    </cfRule>
  </conditionalFormatting>
  <conditionalFormatting sqref="A1024">
    <cfRule type="cellIs" dxfId="9727" priority="9565" stopIfTrue="1" operator="equal">
      <formula>"Pass"</formula>
    </cfRule>
    <cfRule type="cellIs" dxfId="9726" priority="9566" stopIfTrue="1" operator="equal">
      <formula>"Fail"</formula>
    </cfRule>
  </conditionalFormatting>
  <conditionalFormatting sqref="A1024">
    <cfRule type="cellIs" dxfId="9725" priority="9563" stopIfTrue="1" operator="equal">
      <formula>"Pass"</formula>
    </cfRule>
    <cfRule type="cellIs" dxfId="9724" priority="9564" stopIfTrue="1" operator="equal">
      <formula>"Fail"</formula>
    </cfRule>
  </conditionalFormatting>
  <conditionalFormatting sqref="A1024">
    <cfRule type="cellIs" dxfId="9723" priority="9561" stopIfTrue="1" operator="equal">
      <formula>"Pass"</formula>
    </cfRule>
    <cfRule type="cellIs" dxfId="9722" priority="9562" stopIfTrue="1" operator="equal">
      <formula>"Fail"</formula>
    </cfRule>
  </conditionalFormatting>
  <conditionalFormatting sqref="A1024">
    <cfRule type="cellIs" dxfId="9721" priority="9559" stopIfTrue="1" operator="equal">
      <formula>"Pass"</formula>
    </cfRule>
    <cfRule type="cellIs" dxfId="9720" priority="9560" stopIfTrue="1" operator="equal">
      <formula>"Fail"</formula>
    </cfRule>
  </conditionalFormatting>
  <conditionalFormatting sqref="A1024">
    <cfRule type="cellIs" dxfId="9719" priority="9557" stopIfTrue="1" operator="equal">
      <formula>"Pass"</formula>
    </cfRule>
    <cfRule type="cellIs" dxfId="9718" priority="9558" stopIfTrue="1" operator="equal">
      <formula>"Fail"</formula>
    </cfRule>
  </conditionalFormatting>
  <conditionalFormatting sqref="A1024">
    <cfRule type="cellIs" dxfId="9717" priority="9555" stopIfTrue="1" operator="equal">
      <formula>"Pass"</formula>
    </cfRule>
    <cfRule type="cellIs" dxfId="9716" priority="9556" stopIfTrue="1" operator="equal">
      <formula>"Fail"</formula>
    </cfRule>
  </conditionalFormatting>
  <conditionalFormatting sqref="A1024">
    <cfRule type="cellIs" dxfId="9715" priority="9553" stopIfTrue="1" operator="equal">
      <formula>"Pass"</formula>
    </cfRule>
    <cfRule type="cellIs" dxfId="9714" priority="9554" stopIfTrue="1" operator="equal">
      <formula>"Fail"</formula>
    </cfRule>
  </conditionalFormatting>
  <conditionalFormatting sqref="A1024">
    <cfRule type="cellIs" dxfId="9713" priority="9551" stopIfTrue="1" operator="equal">
      <formula>"Pass"</formula>
    </cfRule>
    <cfRule type="cellIs" dxfId="9712" priority="9552" stopIfTrue="1" operator="equal">
      <formula>"Fail"</formula>
    </cfRule>
  </conditionalFormatting>
  <conditionalFormatting sqref="A1024">
    <cfRule type="cellIs" dxfId="9711" priority="9549" stopIfTrue="1" operator="equal">
      <formula>"Pass"</formula>
    </cfRule>
    <cfRule type="cellIs" dxfId="9710" priority="9550" stopIfTrue="1" operator="equal">
      <formula>"Fail"</formula>
    </cfRule>
  </conditionalFormatting>
  <conditionalFormatting sqref="A1024">
    <cfRule type="cellIs" dxfId="9709" priority="9547" stopIfTrue="1" operator="equal">
      <formula>"Pass"</formula>
    </cfRule>
    <cfRule type="cellIs" dxfId="9708" priority="9548" stopIfTrue="1" operator="equal">
      <formula>"Fail"</formula>
    </cfRule>
  </conditionalFormatting>
  <conditionalFormatting sqref="H1024:H1025">
    <cfRule type="cellIs" dxfId="9707" priority="9545" stopIfTrue="1" operator="equal">
      <formula>"Pass"</formula>
    </cfRule>
    <cfRule type="cellIs" dxfId="9706" priority="9546" stopIfTrue="1" operator="equal">
      <formula>"Fail"</formula>
    </cfRule>
  </conditionalFormatting>
  <conditionalFormatting sqref="F1024 F1026 I1024:M1025">
    <cfRule type="cellIs" dxfId="9705" priority="9543" stopIfTrue="1" operator="equal">
      <formula>"Pass"</formula>
    </cfRule>
    <cfRule type="cellIs" dxfId="9704" priority="9544" stopIfTrue="1" operator="equal">
      <formula>"Fail"</formula>
    </cfRule>
  </conditionalFormatting>
  <conditionalFormatting sqref="T1026 T1024 R1024:R1026 S1025:S1026">
    <cfRule type="cellIs" dxfId="9703" priority="9541" stopIfTrue="1" operator="equal">
      <formula>"Fail"</formula>
    </cfRule>
    <cfRule type="cellIs" dxfId="9702" priority="9542" stopIfTrue="1" operator="equal">
      <formula>"Pass"</formula>
    </cfRule>
  </conditionalFormatting>
  <conditionalFormatting sqref="F1024:G1024 F1026:G1026 J1024:N1025">
    <cfRule type="cellIs" dxfId="9701" priority="9539" stopIfTrue="1" operator="equal">
      <formula>"Pass"</formula>
    </cfRule>
    <cfRule type="cellIs" dxfId="9700" priority="9540" stopIfTrue="1" operator="equal">
      <formula>"Fail"</formula>
    </cfRule>
  </conditionalFormatting>
  <conditionalFormatting sqref="U1026:V1026 T1024:T1026 S1025:S1026">
    <cfRule type="cellIs" dxfId="9699" priority="9537" stopIfTrue="1" operator="equal">
      <formula>"Fail"</formula>
    </cfRule>
    <cfRule type="cellIs" dxfId="9698" priority="9538" stopIfTrue="1" operator="equal">
      <formula>"Pass"</formula>
    </cfRule>
  </conditionalFormatting>
  <conditionalFormatting sqref="U1024:V1024">
    <cfRule type="cellIs" dxfId="9697" priority="9535" stopIfTrue="1" operator="equal">
      <formula>"Fail"</formula>
    </cfRule>
    <cfRule type="cellIs" dxfId="9696" priority="9536" stopIfTrue="1" operator="equal">
      <formula>"Pass"</formula>
    </cfRule>
  </conditionalFormatting>
  <conditionalFormatting sqref="F1024:G1024 J1024:N1024">
    <cfRule type="cellIs" dxfId="9695" priority="9533" stopIfTrue="1" operator="equal">
      <formula>"Pass"</formula>
    </cfRule>
    <cfRule type="cellIs" dxfId="9694" priority="9534" stopIfTrue="1" operator="equal">
      <formula>"Fail"</formula>
    </cfRule>
  </conditionalFormatting>
  <conditionalFormatting sqref="J1025:N1025">
    <cfRule type="cellIs" dxfId="9693" priority="9531" stopIfTrue="1" operator="equal">
      <formula>"Pass"</formula>
    </cfRule>
    <cfRule type="cellIs" dxfId="9692" priority="9532" stopIfTrue="1" operator="equal">
      <formula>"Fail"</formula>
    </cfRule>
  </conditionalFormatting>
  <conditionalFormatting sqref="H1024:H1025">
    <cfRule type="cellIs" dxfId="9691" priority="9529" stopIfTrue="1" operator="equal">
      <formula>"Pass"</formula>
    </cfRule>
    <cfRule type="cellIs" dxfId="9690" priority="9530" stopIfTrue="1" operator="equal">
      <formula>"Fail"</formula>
    </cfRule>
  </conditionalFormatting>
  <conditionalFormatting sqref="F1024 F1026 I1024:M1025">
    <cfRule type="cellIs" dxfId="9689" priority="9527" stopIfTrue="1" operator="equal">
      <formula>"Pass"</formula>
    </cfRule>
    <cfRule type="cellIs" dxfId="9688" priority="9528" stopIfTrue="1" operator="equal">
      <formula>"Fail"</formula>
    </cfRule>
  </conditionalFormatting>
  <conditionalFormatting sqref="T1026 T1024 R1024:R1026 S1025:S1026">
    <cfRule type="cellIs" dxfId="9687" priority="9525" stopIfTrue="1" operator="equal">
      <formula>"Fail"</formula>
    </cfRule>
    <cfRule type="cellIs" dxfId="9686" priority="9526" stopIfTrue="1" operator="equal">
      <formula>"Pass"</formula>
    </cfRule>
  </conditionalFormatting>
  <conditionalFormatting sqref="F1024:G1024 F1026:G1026 J1024:N1025">
    <cfRule type="cellIs" dxfId="9685" priority="9523" stopIfTrue="1" operator="equal">
      <formula>"Pass"</formula>
    </cfRule>
    <cfRule type="cellIs" dxfId="9684" priority="9524" stopIfTrue="1" operator="equal">
      <formula>"Fail"</formula>
    </cfRule>
  </conditionalFormatting>
  <conditionalFormatting sqref="U1026:V1026 T1024:T1026 S1025:S1026">
    <cfRule type="cellIs" dxfId="9683" priority="9521" stopIfTrue="1" operator="equal">
      <formula>"Fail"</formula>
    </cfRule>
    <cfRule type="cellIs" dxfId="9682" priority="9522" stopIfTrue="1" operator="equal">
      <formula>"Pass"</formula>
    </cfRule>
  </conditionalFormatting>
  <conditionalFormatting sqref="U1024:V1024">
    <cfRule type="cellIs" dxfId="9681" priority="9519" stopIfTrue="1" operator="equal">
      <formula>"Fail"</formula>
    </cfRule>
    <cfRule type="cellIs" dxfId="9680" priority="9520" stopIfTrue="1" operator="equal">
      <formula>"Pass"</formula>
    </cfRule>
  </conditionalFormatting>
  <conditionalFormatting sqref="F1024:G1024 J1024:N1024">
    <cfRule type="cellIs" dxfId="9679" priority="9517" stopIfTrue="1" operator="equal">
      <formula>"Pass"</formula>
    </cfRule>
    <cfRule type="cellIs" dxfId="9678" priority="9518" stopIfTrue="1" operator="equal">
      <formula>"Fail"</formula>
    </cfRule>
  </conditionalFormatting>
  <conditionalFormatting sqref="J1025:N1025">
    <cfRule type="cellIs" dxfId="9677" priority="9515" stopIfTrue="1" operator="equal">
      <formula>"Pass"</formula>
    </cfRule>
    <cfRule type="cellIs" dxfId="9676" priority="9516" stopIfTrue="1" operator="equal">
      <formula>"Fail"</formula>
    </cfRule>
  </conditionalFormatting>
  <conditionalFormatting sqref="U1024:V1024">
    <cfRule type="cellIs" dxfId="9675" priority="9513" stopIfTrue="1" operator="equal">
      <formula>"Fail"</formula>
    </cfRule>
    <cfRule type="cellIs" dxfId="9674" priority="9514" stopIfTrue="1" operator="equal">
      <formula>"Pass"</formula>
    </cfRule>
  </conditionalFormatting>
  <conditionalFormatting sqref="U1024:V1024">
    <cfRule type="cellIs" dxfId="9673" priority="9511" stopIfTrue="1" operator="equal">
      <formula>"Fail"</formula>
    </cfRule>
    <cfRule type="cellIs" dxfId="9672" priority="9512" stopIfTrue="1" operator="equal">
      <formula>"Pass"</formula>
    </cfRule>
  </conditionalFormatting>
  <conditionalFormatting sqref="U1024:V1024">
    <cfRule type="cellIs" dxfId="9671" priority="9509" stopIfTrue="1" operator="equal">
      <formula>"Fail"</formula>
    </cfRule>
    <cfRule type="cellIs" dxfId="9670" priority="9510" stopIfTrue="1" operator="equal">
      <formula>"Pass"</formula>
    </cfRule>
  </conditionalFormatting>
  <conditionalFormatting sqref="N1024">
    <cfRule type="cellIs" dxfId="9669" priority="9507" stopIfTrue="1" operator="equal">
      <formula>"Pass"</formula>
    </cfRule>
    <cfRule type="cellIs" dxfId="9668" priority="9508" stopIfTrue="1" operator="equal">
      <formula>"Fail"</formula>
    </cfRule>
  </conditionalFormatting>
  <conditionalFormatting sqref="N1024">
    <cfRule type="cellIs" dxfId="9667" priority="9505" stopIfTrue="1" operator="equal">
      <formula>"Pass"</formula>
    </cfRule>
    <cfRule type="cellIs" dxfId="9666" priority="9506" stopIfTrue="1" operator="equal">
      <formula>"Fail"</formula>
    </cfRule>
  </conditionalFormatting>
  <conditionalFormatting sqref="N1024">
    <cfRule type="cellIs" dxfId="9665" priority="9503" stopIfTrue="1" operator="equal">
      <formula>"Pass"</formula>
    </cfRule>
    <cfRule type="cellIs" dxfId="9664" priority="9504" stopIfTrue="1" operator="equal">
      <formula>"Fail"</formula>
    </cfRule>
  </conditionalFormatting>
  <conditionalFormatting sqref="A1024">
    <cfRule type="cellIs" dxfId="9663" priority="9501" stopIfTrue="1" operator="equal">
      <formula>"Pass"</formula>
    </cfRule>
    <cfRule type="cellIs" dxfId="9662" priority="9502" stopIfTrue="1" operator="equal">
      <formula>"Fail"</formula>
    </cfRule>
  </conditionalFormatting>
  <conditionalFormatting sqref="A1024">
    <cfRule type="cellIs" dxfId="9661" priority="9499" stopIfTrue="1" operator="equal">
      <formula>"Pass"</formula>
    </cfRule>
    <cfRule type="cellIs" dxfId="9660" priority="9500" stopIfTrue="1" operator="equal">
      <formula>"Fail"</formula>
    </cfRule>
  </conditionalFormatting>
  <conditionalFormatting sqref="A1024">
    <cfRule type="cellIs" dxfId="9659" priority="9497" stopIfTrue="1" operator="equal">
      <formula>"Pass"</formula>
    </cfRule>
    <cfRule type="cellIs" dxfId="9658" priority="9498" stopIfTrue="1" operator="equal">
      <formula>"Fail"</formula>
    </cfRule>
  </conditionalFormatting>
  <conditionalFormatting sqref="A1024">
    <cfRule type="cellIs" dxfId="9657" priority="9495" stopIfTrue="1" operator="equal">
      <formula>"Pass"</formula>
    </cfRule>
    <cfRule type="cellIs" dxfId="9656" priority="9496" stopIfTrue="1" operator="equal">
      <formula>"Fail"</formula>
    </cfRule>
  </conditionalFormatting>
  <conditionalFormatting sqref="A1024">
    <cfRule type="cellIs" dxfId="9655" priority="9493" stopIfTrue="1" operator="equal">
      <formula>"Pass"</formula>
    </cfRule>
    <cfRule type="cellIs" dxfId="9654" priority="9494" stopIfTrue="1" operator="equal">
      <formula>"Fail"</formula>
    </cfRule>
  </conditionalFormatting>
  <conditionalFormatting sqref="A1024">
    <cfRule type="cellIs" dxfId="9653" priority="9491" stopIfTrue="1" operator="equal">
      <formula>"Pass"</formula>
    </cfRule>
    <cfRule type="cellIs" dxfId="9652" priority="9492" stopIfTrue="1" operator="equal">
      <formula>"Fail"</formula>
    </cfRule>
  </conditionalFormatting>
  <conditionalFormatting sqref="A1024">
    <cfRule type="cellIs" dxfId="9651" priority="9489" stopIfTrue="1" operator="equal">
      <formula>"Pass"</formula>
    </cfRule>
    <cfRule type="cellIs" dxfId="9650" priority="9490" stopIfTrue="1" operator="equal">
      <formula>"Fail"</formula>
    </cfRule>
  </conditionalFormatting>
  <conditionalFormatting sqref="A1024">
    <cfRule type="cellIs" dxfId="9649" priority="9487" stopIfTrue="1" operator="equal">
      <formula>"Pass"</formula>
    </cfRule>
    <cfRule type="cellIs" dxfId="9648" priority="9488" stopIfTrue="1" operator="equal">
      <formula>"Fail"</formula>
    </cfRule>
  </conditionalFormatting>
  <conditionalFormatting sqref="A1024">
    <cfRule type="cellIs" dxfId="9647" priority="9485" stopIfTrue="1" operator="equal">
      <formula>"Pass"</formula>
    </cfRule>
    <cfRule type="cellIs" dxfId="9646" priority="9486" stopIfTrue="1" operator="equal">
      <formula>"Fail"</formula>
    </cfRule>
  </conditionalFormatting>
  <conditionalFormatting sqref="A1024">
    <cfRule type="cellIs" dxfId="9645" priority="9483" stopIfTrue="1" operator="equal">
      <formula>"Pass"</formula>
    </cfRule>
    <cfRule type="cellIs" dxfId="9644" priority="9484" stopIfTrue="1" operator="equal">
      <formula>"Fail"</formula>
    </cfRule>
  </conditionalFormatting>
  <conditionalFormatting sqref="A1024">
    <cfRule type="cellIs" dxfId="9643" priority="9481" stopIfTrue="1" operator="equal">
      <formula>"Pass"</formula>
    </cfRule>
    <cfRule type="cellIs" dxfId="9642" priority="9482" stopIfTrue="1" operator="equal">
      <formula>"Fail"</formula>
    </cfRule>
  </conditionalFormatting>
  <conditionalFormatting sqref="A1024">
    <cfRule type="cellIs" dxfId="9641" priority="9479" stopIfTrue="1" operator="equal">
      <formula>"Pass"</formula>
    </cfRule>
    <cfRule type="cellIs" dxfId="9640" priority="9480" stopIfTrue="1" operator="equal">
      <formula>"Fail"</formula>
    </cfRule>
  </conditionalFormatting>
  <conditionalFormatting sqref="A1024">
    <cfRule type="cellIs" dxfId="9639" priority="9477" stopIfTrue="1" operator="equal">
      <formula>"Pass"</formula>
    </cfRule>
    <cfRule type="cellIs" dxfId="9638" priority="9478" stopIfTrue="1" operator="equal">
      <formula>"Fail"</formula>
    </cfRule>
  </conditionalFormatting>
  <conditionalFormatting sqref="A1024">
    <cfRule type="cellIs" dxfId="9637" priority="9475" stopIfTrue="1" operator="equal">
      <formula>"Pass"</formula>
    </cfRule>
    <cfRule type="cellIs" dxfId="9636" priority="9476" stopIfTrue="1" operator="equal">
      <formula>"Fail"</formula>
    </cfRule>
  </conditionalFormatting>
  <conditionalFormatting sqref="A1024">
    <cfRule type="cellIs" dxfId="9635" priority="9473" stopIfTrue="1" operator="equal">
      <formula>"Pass"</formula>
    </cfRule>
    <cfRule type="cellIs" dxfId="9634" priority="9474" stopIfTrue="1" operator="equal">
      <formula>"Fail"</formula>
    </cfRule>
  </conditionalFormatting>
  <conditionalFormatting sqref="A1024">
    <cfRule type="cellIs" dxfId="9633" priority="9471" stopIfTrue="1" operator="equal">
      <formula>"Pass"</formula>
    </cfRule>
    <cfRule type="cellIs" dxfId="9632" priority="9472" stopIfTrue="1" operator="equal">
      <formula>"Fail"</formula>
    </cfRule>
  </conditionalFormatting>
  <conditionalFormatting sqref="A1024">
    <cfRule type="cellIs" dxfId="9631" priority="9469" stopIfTrue="1" operator="equal">
      <formula>"Pass"</formula>
    </cfRule>
    <cfRule type="cellIs" dxfId="9630" priority="9470" stopIfTrue="1" operator="equal">
      <formula>"Fail"</formula>
    </cfRule>
  </conditionalFormatting>
  <conditionalFormatting sqref="A1024">
    <cfRule type="cellIs" dxfId="9629" priority="9467" stopIfTrue="1" operator="equal">
      <formula>"Pass"</formula>
    </cfRule>
    <cfRule type="cellIs" dxfId="9628" priority="9468" stopIfTrue="1" operator="equal">
      <formula>"Fail"</formula>
    </cfRule>
  </conditionalFormatting>
  <conditionalFormatting sqref="H1024:H1025">
    <cfRule type="cellIs" dxfId="9627" priority="9465" stopIfTrue="1" operator="equal">
      <formula>"Pass"</formula>
    </cfRule>
    <cfRule type="cellIs" dxfId="9626" priority="9466" stopIfTrue="1" operator="equal">
      <formula>"Fail"</formula>
    </cfRule>
  </conditionalFormatting>
  <conditionalFormatting sqref="F1024 F1026 I1024:M1025">
    <cfRule type="cellIs" dxfId="9625" priority="9463" stopIfTrue="1" operator="equal">
      <formula>"Pass"</formula>
    </cfRule>
    <cfRule type="cellIs" dxfId="9624" priority="9464" stopIfTrue="1" operator="equal">
      <formula>"Fail"</formula>
    </cfRule>
  </conditionalFormatting>
  <conditionalFormatting sqref="T1026 T1024 R1024:R1026 S1025:S1026">
    <cfRule type="cellIs" dxfId="9623" priority="9461" stopIfTrue="1" operator="equal">
      <formula>"Fail"</formula>
    </cfRule>
    <cfRule type="cellIs" dxfId="9622" priority="9462" stopIfTrue="1" operator="equal">
      <formula>"Pass"</formula>
    </cfRule>
  </conditionalFormatting>
  <conditionalFormatting sqref="F1024:G1024 F1026:G1026 J1024:N1025">
    <cfRule type="cellIs" dxfId="9621" priority="9459" stopIfTrue="1" operator="equal">
      <formula>"Pass"</formula>
    </cfRule>
    <cfRule type="cellIs" dxfId="9620" priority="9460" stopIfTrue="1" operator="equal">
      <formula>"Fail"</formula>
    </cfRule>
  </conditionalFormatting>
  <conditionalFormatting sqref="U1026:V1026 T1024:T1026 S1025:S1026">
    <cfRule type="cellIs" dxfId="9619" priority="9457" stopIfTrue="1" operator="equal">
      <formula>"Fail"</formula>
    </cfRule>
    <cfRule type="cellIs" dxfId="9618" priority="9458" stopIfTrue="1" operator="equal">
      <formula>"Pass"</formula>
    </cfRule>
  </conditionalFormatting>
  <conditionalFormatting sqref="U1024:V1024">
    <cfRule type="cellIs" dxfId="9617" priority="9455" stopIfTrue="1" operator="equal">
      <formula>"Fail"</formula>
    </cfRule>
    <cfRule type="cellIs" dxfId="9616" priority="9456" stopIfTrue="1" operator="equal">
      <formula>"Pass"</formula>
    </cfRule>
  </conditionalFormatting>
  <conditionalFormatting sqref="F1024:G1024 J1024:N1024">
    <cfRule type="cellIs" dxfId="9615" priority="9453" stopIfTrue="1" operator="equal">
      <formula>"Pass"</formula>
    </cfRule>
    <cfRule type="cellIs" dxfId="9614" priority="9454" stopIfTrue="1" operator="equal">
      <formula>"Fail"</formula>
    </cfRule>
  </conditionalFormatting>
  <conditionalFormatting sqref="J1025:N1025">
    <cfRule type="cellIs" dxfId="9613" priority="9451" stopIfTrue="1" operator="equal">
      <formula>"Pass"</formula>
    </cfRule>
    <cfRule type="cellIs" dxfId="9612" priority="9452" stopIfTrue="1" operator="equal">
      <formula>"Fail"</formula>
    </cfRule>
  </conditionalFormatting>
  <conditionalFormatting sqref="H1024:H1025">
    <cfRule type="cellIs" dxfId="9611" priority="9449" stopIfTrue="1" operator="equal">
      <formula>"Pass"</formula>
    </cfRule>
    <cfRule type="cellIs" dxfId="9610" priority="9450" stopIfTrue="1" operator="equal">
      <formula>"Fail"</formula>
    </cfRule>
  </conditionalFormatting>
  <conditionalFormatting sqref="F1024 F1026 I1024:M1025">
    <cfRule type="cellIs" dxfId="9609" priority="9447" stopIfTrue="1" operator="equal">
      <formula>"Pass"</formula>
    </cfRule>
    <cfRule type="cellIs" dxfId="9608" priority="9448" stopIfTrue="1" operator="equal">
      <formula>"Fail"</formula>
    </cfRule>
  </conditionalFormatting>
  <conditionalFormatting sqref="T1026 T1024 R1024:R1026 S1025:S1026">
    <cfRule type="cellIs" dxfId="9607" priority="9445" stopIfTrue="1" operator="equal">
      <formula>"Fail"</formula>
    </cfRule>
    <cfRule type="cellIs" dxfId="9606" priority="9446" stopIfTrue="1" operator="equal">
      <formula>"Pass"</formula>
    </cfRule>
  </conditionalFormatting>
  <conditionalFormatting sqref="F1024:G1024 F1026:G1026 J1024:N1025">
    <cfRule type="cellIs" dxfId="9605" priority="9443" stopIfTrue="1" operator="equal">
      <formula>"Pass"</formula>
    </cfRule>
    <cfRule type="cellIs" dxfId="9604" priority="9444" stopIfTrue="1" operator="equal">
      <formula>"Fail"</formula>
    </cfRule>
  </conditionalFormatting>
  <conditionalFormatting sqref="U1026:V1026 T1024:T1026 S1025:S1026">
    <cfRule type="cellIs" dxfId="9603" priority="9441" stopIfTrue="1" operator="equal">
      <formula>"Fail"</formula>
    </cfRule>
    <cfRule type="cellIs" dxfId="9602" priority="9442" stopIfTrue="1" operator="equal">
      <formula>"Pass"</formula>
    </cfRule>
  </conditionalFormatting>
  <conditionalFormatting sqref="U1024:V1024">
    <cfRule type="cellIs" dxfId="9601" priority="9439" stopIfTrue="1" operator="equal">
      <formula>"Fail"</formula>
    </cfRule>
    <cfRule type="cellIs" dxfId="9600" priority="9440" stopIfTrue="1" operator="equal">
      <formula>"Pass"</formula>
    </cfRule>
  </conditionalFormatting>
  <conditionalFormatting sqref="F1024:G1024 J1024:N1024">
    <cfRule type="cellIs" dxfId="9599" priority="9437" stopIfTrue="1" operator="equal">
      <formula>"Pass"</formula>
    </cfRule>
    <cfRule type="cellIs" dxfId="9598" priority="9438" stopIfTrue="1" operator="equal">
      <formula>"Fail"</formula>
    </cfRule>
  </conditionalFormatting>
  <conditionalFormatting sqref="J1025:N1025">
    <cfRule type="cellIs" dxfId="9597" priority="9435" stopIfTrue="1" operator="equal">
      <formula>"Pass"</formula>
    </cfRule>
    <cfRule type="cellIs" dxfId="9596" priority="9436" stopIfTrue="1" operator="equal">
      <formula>"Fail"</formula>
    </cfRule>
  </conditionalFormatting>
  <conditionalFormatting sqref="H1024:H1025">
    <cfRule type="cellIs" dxfId="9595" priority="9433" stopIfTrue="1" operator="equal">
      <formula>"Pass"</formula>
    </cfRule>
    <cfRule type="cellIs" dxfId="9594" priority="9434" stopIfTrue="1" operator="equal">
      <formula>"Fail"</formula>
    </cfRule>
  </conditionalFormatting>
  <conditionalFormatting sqref="F1024 F1026 I1024:M1025">
    <cfRule type="cellIs" dxfId="9593" priority="9431" stopIfTrue="1" operator="equal">
      <formula>"Pass"</formula>
    </cfRule>
    <cfRule type="cellIs" dxfId="9592" priority="9432" stopIfTrue="1" operator="equal">
      <formula>"Fail"</formula>
    </cfRule>
  </conditionalFormatting>
  <conditionalFormatting sqref="T1026 T1024 R1024:R1026 S1025:S1026">
    <cfRule type="cellIs" dxfId="9591" priority="9429" stopIfTrue="1" operator="equal">
      <formula>"Fail"</formula>
    </cfRule>
    <cfRule type="cellIs" dxfId="9590" priority="9430" stopIfTrue="1" operator="equal">
      <formula>"Pass"</formula>
    </cfRule>
  </conditionalFormatting>
  <conditionalFormatting sqref="F1024:G1024 F1026:G1026 J1024:N1025">
    <cfRule type="cellIs" dxfId="9589" priority="9427" stopIfTrue="1" operator="equal">
      <formula>"Pass"</formula>
    </cfRule>
    <cfRule type="cellIs" dxfId="9588" priority="9428" stopIfTrue="1" operator="equal">
      <formula>"Fail"</formula>
    </cfRule>
  </conditionalFormatting>
  <conditionalFormatting sqref="U1026:V1026 T1024:T1026 S1025:S1026">
    <cfRule type="cellIs" dxfId="9587" priority="9425" stopIfTrue="1" operator="equal">
      <formula>"Fail"</formula>
    </cfRule>
    <cfRule type="cellIs" dxfId="9586" priority="9426" stopIfTrue="1" operator="equal">
      <formula>"Pass"</formula>
    </cfRule>
  </conditionalFormatting>
  <conditionalFormatting sqref="U1024:V1024">
    <cfRule type="cellIs" dxfId="9585" priority="9423" stopIfTrue="1" operator="equal">
      <formula>"Fail"</formula>
    </cfRule>
    <cfRule type="cellIs" dxfId="9584" priority="9424" stopIfTrue="1" operator="equal">
      <formula>"Pass"</formula>
    </cfRule>
  </conditionalFormatting>
  <conditionalFormatting sqref="F1024:G1024 J1024:N1024">
    <cfRule type="cellIs" dxfId="9583" priority="9421" stopIfTrue="1" operator="equal">
      <formula>"Pass"</formula>
    </cfRule>
    <cfRule type="cellIs" dxfId="9582" priority="9422" stopIfTrue="1" operator="equal">
      <formula>"Fail"</formula>
    </cfRule>
  </conditionalFormatting>
  <conditionalFormatting sqref="J1025:N1025">
    <cfRule type="cellIs" dxfId="9581" priority="9419" stopIfTrue="1" operator="equal">
      <formula>"Pass"</formula>
    </cfRule>
    <cfRule type="cellIs" dxfId="9580" priority="9420" stopIfTrue="1" operator="equal">
      <formula>"Fail"</formula>
    </cfRule>
  </conditionalFormatting>
  <conditionalFormatting sqref="U1024:V1024">
    <cfRule type="cellIs" dxfId="9579" priority="9417" stopIfTrue="1" operator="equal">
      <formula>"Fail"</formula>
    </cfRule>
    <cfRule type="cellIs" dxfId="9578" priority="9418" stopIfTrue="1" operator="equal">
      <formula>"Pass"</formula>
    </cfRule>
  </conditionalFormatting>
  <conditionalFormatting sqref="U1024:V1024">
    <cfRule type="cellIs" dxfId="9577" priority="9415" stopIfTrue="1" operator="equal">
      <formula>"Fail"</formula>
    </cfRule>
    <cfRule type="cellIs" dxfId="9576" priority="9416" stopIfTrue="1" operator="equal">
      <formula>"Pass"</formula>
    </cfRule>
  </conditionalFormatting>
  <conditionalFormatting sqref="U1024:V1024">
    <cfRule type="cellIs" dxfId="9575" priority="9413" stopIfTrue="1" operator="equal">
      <formula>"Fail"</formula>
    </cfRule>
    <cfRule type="cellIs" dxfId="9574" priority="9414" stopIfTrue="1" operator="equal">
      <formula>"Pass"</formula>
    </cfRule>
  </conditionalFormatting>
  <conditionalFormatting sqref="N1024">
    <cfRule type="cellIs" dxfId="9573" priority="9411" stopIfTrue="1" operator="equal">
      <formula>"Pass"</formula>
    </cfRule>
    <cfRule type="cellIs" dxfId="9572" priority="9412" stopIfTrue="1" operator="equal">
      <formula>"Fail"</formula>
    </cfRule>
  </conditionalFormatting>
  <conditionalFormatting sqref="N1024">
    <cfRule type="cellIs" dxfId="9571" priority="9409" stopIfTrue="1" operator="equal">
      <formula>"Pass"</formula>
    </cfRule>
    <cfRule type="cellIs" dxfId="9570" priority="9410" stopIfTrue="1" operator="equal">
      <formula>"Fail"</formula>
    </cfRule>
  </conditionalFormatting>
  <conditionalFormatting sqref="N1024">
    <cfRule type="cellIs" dxfId="9569" priority="9407" stopIfTrue="1" operator="equal">
      <formula>"Pass"</formula>
    </cfRule>
    <cfRule type="cellIs" dxfId="9568" priority="9408" stopIfTrue="1" operator="equal">
      <formula>"Fail"</formula>
    </cfRule>
  </conditionalFormatting>
  <conditionalFormatting sqref="U1024:V1024">
    <cfRule type="cellIs" dxfId="9567" priority="9405" stopIfTrue="1" operator="equal">
      <formula>"Fail"</formula>
    </cfRule>
    <cfRule type="cellIs" dxfId="9566" priority="9406" stopIfTrue="1" operator="equal">
      <formula>"Pass"</formula>
    </cfRule>
  </conditionalFormatting>
  <conditionalFormatting sqref="U1024:V1024">
    <cfRule type="cellIs" dxfId="9565" priority="9403" stopIfTrue="1" operator="equal">
      <formula>"Fail"</formula>
    </cfRule>
    <cfRule type="cellIs" dxfId="9564" priority="9404" stopIfTrue="1" operator="equal">
      <formula>"Pass"</formula>
    </cfRule>
  </conditionalFormatting>
  <conditionalFormatting sqref="U1024:V1024">
    <cfRule type="cellIs" dxfId="9563" priority="9401" stopIfTrue="1" operator="equal">
      <formula>"Fail"</formula>
    </cfRule>
    <cfRule type="cellIs" dxfId="9562" priority="9402" stopIfTrue="1" operator="equal">
      <formula>"Pass"</formula>
    </cfRule>
  </conditionalFormatting>
  <conditionalFormatting sqref="U1024:V1024">
    <cfRule type="cellIs" dxfId="9561" priority="9399" stopIfTrue="1" operator="equal">
      <formula>"Fail"</formula>
    </cfRule>
    <cfRule type="cellIs" dxfId="9560" priority="9400" stopIfTrue="1" operator="equal">
      <formula>"Pass"</formula>
    </cfRule>
  </conditionalFormatting>
  <conditionalFormatting sqref="T1024">
    <cfRule type="cellIs" dxfId="9559" priority="9397" stopIfTrue="1" operator="equal">
      <formula>"Fail"</formula>
    </cfRule>
    <cfRule type="cellIs" dxfId="9558" priority="9398" stopIfTrue="1" operator="equal">
      <formula>"Pass"</formula>
    </cfRule>
  </conditionalFormatting>
  <conditionalFormatting sqref="T1024">
    <cfRule type="cellIs" dxfId="9557" priority="9395" stopIfTrue="1" operator="equal">
      <formula>"Fail"</formula>
    </cfRule>
    <cfRule type="cellIs" dxfId="9556" priority="9396" stopIfTrue="1" operator="equal">
      <formula>"Pass"</formula>
    </cfRule>
  </conditionalFormatting>
  <conditionalFormatting sqref="T1024">
    <cfRule type="cellIs" dxfId="9555" priority="9393" stopIfTrue="1" operator="equal">
      <formula>"Fail"</formula>
    </cfRule>
    <cfRule type="cellIs" dxfId="9554" priority="9394" stopIfTrue="1" operator="equal">
      <formula>"Pass"</formula>
    </cfRule>
  </conditionalFormatting>
  <conditionalFormatting sqref="T1024">
    <cfRule type="cellIs" dxfId="9553" priority="9391" stopIfTrue="1" operator="equal">
      <formula>"Fail"</formula>
    </cfRule>
    <cfRule type="cellIs" dxfId="9552" priority="9392" stopIfTrue="1" operator="equal">
      <formula>"Pass"</formula>
    </cfRule>
  </conditionalFormatting>
  <conditionalFormatting sqref="T1024">
    <cfRule type="cellIs" dxfId="9551" priority="9389" stopIfTrue="1" operator="equal">
      <formula>"Fail"</formula>
    </cfRule>
    <cfRule type="cellIs" dxfId="9550" priority="9390" stopIfTrue="1" operator="equal">
      <formula>"Pass"</formula>
    </cfRule>
  </conditionalFormatting>
  <conditionalFormatting sqref="T1024">
    <cfRule type="cellIs" dxfId="9549" priority="9387" stopIfTrue="1" operator="equal">
      <formula>"Fail"</formula>
    </cfRule>
    <cfRule type="cellIs" dxfId="9548" priority="9388" stopIfTrue="1" operator="equal">
      <formula>"Pass"</formula>
    </cfRule>
  </conditionalFormatting>
  <conditionalFormatting sqref="T1024">
    <cfRule type="cellIs" dxfId="9547" priority="9385" stopIfTrue="1" operator="equal">
      <formula>"Fail"</formula>
    </cfRule>
    <cfRule type="cellIs" dxfId="9546" priority="9386" stopIfTrue="1" operator="equal">
      <formula>"Pass"</formula>
    </cfRule>
  </conditionalFormatting>
  <conditionalFormatting sqref="T1024">
    <cfRule type="cellIs" dxfId="9545" priority="9383" stopIfTrue="1" operator="equal">
      <formula>"Fail"</formula>
    </cfRule>
    <cfRule type="cellIs" dxfId="9544" priority="9384" stopIfTrue="1" operator="equal">
      <formula>"Pass"</formula>
    </cfRule>
  </conditionalFormatting>
  <conditionalFormatting sqref="T1024">
    <cfRule type="cellIs" dxfId="9543" priority="9381" stopIfTrue="1" operator="equal">
      <formula>"Fail"</formula>
    </cfRule>
    <cfRule type="cellIs" dxfId="9542" priority="9382" stopIfTrue="1" operator="equal">
      <formula>"Pass"</formula>
    </cfRule>
  </conditionalFormatting>
  <conditionalFormatting sqref="T1024">
    <cfRule type="cellIs" dxfId="9541" priority="9379" stopIfTrue="1" operator="equal">
      <formula>"Fail"</formula>
    </cfRule>
    <cfRule type="cellIs" dxfId="9540" priority="9380" stopIfTrue="1" operator="equal">
      <formula>"Pass"</formula>
    </cfRule>
  </conditionalFormatting>
  <conditionalFormatting sqref="T1024">
    <cfRule type="cellIs" dxfId="9539" priority="9377" stopIfTrue="1" operator="equal">
      <formula>"Fail"</formula>
    </cfRule>
    <cfRule type="cellIs" dxfId="9538" priority="9378" stopIfTrue="1" operator="equal">
      <formula>"Pass"</formula>
    </cfRule>
  </conditionalFormatting>
  <conditionalFormatting sqref="T1024">
    <cfRule type="cellIs" dxfId="9537" priority="9375" stopIfTrue="1" operator="equal">
      <formula>"Fail"</formula>
    </cfRule>
    <cfRule type="cellIs" dxfId="9536" priority="9376" stopIfTrue="1" operator="equal">
      <formula>"Pass"</formula>
    </cfRule>
  </conditionalFormatting>
  <conditionalFormatting sqref="T1024">
    <cfRule type="cellIs" dxfId="9535" priority="9373" stopIfTrue="1" operator="equal">
      <formula>"Fail"</formula>
    </cfRule>
    <cfRule type="cellIs" dxfId="9534" priority="9374" stopIfTrue="1" operator="equal">
      <formula>"Pass"</formula>
    </cfRule>
  </conditionalFormatting>
  <conditionalFormatting sqref="T1024">
    <cfRule type="cellIs" dxfId="9533" priority="9371" stopIfTrue="1" operator="equal">
      <formula>"Fail"</formula>
    </cfRule>
    <cfRule type="cellIs" dxfId="9532" priority="9372" stopIfTrue="1" operator="equal">
      <formula>"Pass"</formula>
    </cfRule>
  </conditionalFormatting>
  <conditionalFormatting sqref="T1024">
    <cfRule type="cellIs" dxfId="9531" priority="9369" stopIfTrue="1" operator="equal">
      <formula>"Fail"</formula>
    </cfRule>
    <cfRule type="cellIs" dxfId="9530" priority="9370" stopIfTrue="1" operator="equal">
      <formula>"Pass"</formula>
    </cfRule>
  </conditionalFormatting>
  <conditionalFormatting sqref="T1024">
    <cfRule type="cellIs" dxfId="9529" priority="9367" stopIfTrue="1" operator="equal">
      <formula>"Fail"</formula>
    </cfRule>
    <cfRule type="cellIs" dxfId="9528" priority="9368" stopIfTrue="1" operator="equal">
      <formula>"Pass"</formula>
    </cfRule>
  </conditionalFormatting>
  <conditionalFormatting sqref="T1024">
    <cfRule type="cellIs" dxfId="9527" priority="9365" stopIfTrue="1" operator="equal">
      <formula>"Fail"</formula>
    </cfRule>
    <cfRule type="cellIs" dxfId="9526" priority="9366" stopIfTrue="1" operator="equal">
      <formula>"Pass"</formula>
    </cfRule>
  </conditionalFormatting>
  <conditionalFormatting sqref="T1024">
    <cfRule type="cellIs" dxfId="9525" priority="9363" stopIfTrue="1" operator="equal">
      <formula>"Fail"</formula>
    </cfRule>
    <cfRule type="cellIs" dxfId="9524" priority="9364" stopIfTrue="1" operator="equal">
      <formula>"Pass"</formula>
    </cfRule>
  </conditionalFormatting>
  <conditionalFormatting sqref="T1024">
    <cfRule type="cellIs" dxfId="9523" priority="9361" stopIfTrue="1" operator="equal">
      <formula>"Fail"</formula>
    </cfRule>
    <cfRule type="cellIs" dxfId="9522" priority="9362" stopIfTrue="1" operator="equal">
      <formula>"Pass"</formula>
    </cfRule>
  </conditionalFormatting>
  <conditionalFormatting sqref="T1024">
    <cfRule type="cellIs" dxfId="9521" priority="9359" stopIfTrue="1" operator="equal">
      <formula>"Fail"</formula>
    </cfRule>
    <cfRule type="cellIs" dxfId="9520" priority="9360" stopIfTrue="1" operator="equal">
      <formula>"Pass"</formula>
    </cfRule>
  </conditionalFormatting>
  <conditionalFormatting sqref="T1024">
    <cfRule type="cellIs" dxfId="9519" priority="9357" stopIfTrue="1" operator="equal">
      <formula>"Fail"</formula>
    </cfRule>
    <cfRule type="cellIs" dxfId="9518" priority="9358" stopIfTrue="1" operator="equal">
      <formula>"Pass"</formula>
    </cfRule>
  </conditionalFormatting>
  <conditionalFormatting sqref="T1024">
    <cfRule type="cellIs" dxfId="9517" priority="9355" stopIfTrue="1" operator="equal">
      <formula>"Fail"</formula>
    </cfRule>
    <cfRule type="cellIs" dxfId="9516" priority="9356" stopIfTrue="1" operator="equal">
      <formula>"Pass"</formula>
    </cfRule>
  </conditionalFormatting>
  <conditionalFormatting sqref="T1024">
    <cfRule type="cellIs" dxfId="9515" priority="9353" stopIfTrue="1" operator="equal">
      <formula>"Fail"</formula>
    </cfRule>
    <cfRule type="cellIs" dxfId="9514" priority="9354" stopIfTrue="1" operator="equal">
      <formula>"Pass"</formula>
    </cfRule>
  </conditionalFormatting>
  <conditionalFormatting sqref="T1024">
    <cfRule type="cellIs" dxfId="9513" priority="9351" stopIfTrue="1" operator="equal">
      <formula>"Fail"</formula>
    </cfRule>
    <cfRule type="cellIs" dxfId="9512" priority="9352" stopIfTrue="1" operator="equal">
      <formula>"Pass"</formula>
    </cfRule>
  </conditionalFormatting>
  <conditionalFormatting sqref="A1024:A1026">
    <cfRule type="cellIs" dxfId="9511" priority="9349" stopIfTrue="1" operator="equal">
      <formula>"Pass"</formula>
    </cfRule>
    <cfRule type="cellIs" dxfId="9510" priority="9350" stopIfTrue="1" operator="equal">
      <formula>"Fail"</formula>
    </cfRule>
  </conditionalFormatting>
  <conditionalFormatting sqref="A1024:A1026">
    <cfRule type="cellIs" dxfId="9509" priority="9347" stopIfTrue="1" operator="equal">
      <formula>"Pass"</formula>
    </cfRule>
    <cfRule type="cellIs" dxfId="9508" priority="9348" stopIfTrue="1" operator="equal">
      <formula>"Fail"</formula>
    </cfRule>
  </conditionalFormatting>
  <conditionalFormatting sqref="A1024:A1026">
    <cfRule type="cellIs" dxfId="9507" priority="9345" stopIfTrue="1" operator="equal">
      <formula>"Pass"</formula>
    </cfRule>
    <cfRule type="cellIs" dxfId="9506" priority="9346" stopIfTrue="1" operator="equal">
      <formula>"Fail"</formula>
    </cfRule>
  </conditionalFormatting>
  <conditionalFormatting sqref="A1024:A1026">
    <cfRule type="cellIs" dxfId="9505" priority="9343" stopIfTrue="1" operator="equal">
      <formula>"Pass"</formula>
    </cfRule>
    <cfRule type="cellIs" dxfId="9504" priority="9344" stopIfTrue="1" operator="equal">
      <formula>"Fail"</formula>
    </cfRule>
  </conditionalFormatting>
  <conditionalFormatting sqref="A1024:A1026">
    <cfRule type="cellIs" dxfId="9503" priority="9341" stopIfTrue="1" operator="equal">
      <formula>"Pass"</formula>
    </cfRule>
    <cfRule type="cellIs" dxfId="9502" priority="9342" stopIfTrue="1" operator="equal">
      <formula>"Fail"</formula>
    </cfRule>
  </conditionalFormatting>
  <conditionalFormatting sqref="A1026">
    <cfRule type="cellIs" dxfId="9501" priority="9339" stopIfTrue="1" operator="equal">
      <formula>"Pass"</formula>
    </cfRule>
    <cfRule type="cellIs" dxfId="9500" priority="9340" stopIfTrue="1" operator="equal">
      <formula>"Fail"</formula>
    </cfRule>
  </conditionalFormatting>
  <conditionalFormatting sqref="A1024:A1026">
    <cfRule type="cellIs" dxfId="9499" priority="9337" stopIfTrue="1" operator="equal">
      <formula>"Pass"</formula>
    </cfRule>
    <cfRule type="cellIs" dxfId="9498" priority="9338" stopIfTrue="1" operator="equal">
      <formula>"Fail"</formula>
    </cfRule>
  </conditionalFormatting>
  <conditionalFormatting sqref="A1024:A1026">
    <cfRule type="cellIs" dxfId="9497" priority="9335" stopIfTrue="1" operator="equal">
      <formula>"Pass"</formula>
    </cfRule>
    <cfRule type="cellIs" dxfId="9496" priority="9336" stopIfTrue="1" operator="equal">
      <formula>"Fail"</formula>
    </cfRule>
  </conditionalFormatting>
  <conditionalFormatting sqref="A1024:A1026">
    <cfRule type="cellIs" dxfId="9495" priority="9333" stopIfTrue="1" operator="equal">
      <formula>"Pass"</formula>
    </cfRule>
    <cfRule type="cellIs" dxfId="9494" priority="9334" stopIfTrue="1" operator="equal">
      <formula>"Fail"</formula>
    </cfRule>
  </conditionalFormatting>
  <conditionalFormatting sqref="A1024:A1026">
    <cfRule type="cellIs" dxfId="9493" priority="9331" stopIfTrue="1" operator="equal">
      <formula>"Pass"</formula>
    </cfRule>
    <cfRule type="cellIs" dxfId="9492" priority="9332" stopIfTrue="1" operator="equal">
      <formula>"Fail"</formula>
    </cfRule>
  </conditionalFormatting>
  <conditionalFormatting sqref="A1024:A1026">
    <cfRule type="cellIs" dxfId="9491" priority="9329" stopIfTrue="1" operator="equal">
      <formula>"Pass"</formula>
    </cfRule>
    <cfRule type="cellIs" dxfId="9490" priority="9330" stopIfTrue="1" operator="equal">
      <formula>"Fail"</formula>
    </cfRule>
  </conditionalFormatting>
  <conditionalFormatting sqref="A1024:A1026">
    <cfRule type="cellIs" dxfId="9489" priority="9327" stopIfTrue="1" operator="equal">
      <formula>"Pass"</formula>
    </cfRule>
    <cfRule type="cellIs" dxfId="9488" priority="9328" stopIfTrue="1" operator="equal">
      <formula>"Fail"</formula>
    </cfRule>
  </conditionalFormatting>
  <conditionalFormatting sqref="A1026">
    <cfRule type="cellIs" dxfId="9487" priority="9325" stopIfTrue="1" operator="equal">
      <formula>"Pass"</formula>
    </cfRule>
    <cfRule type="cellIs" dxfId="9486" priority="9326" stopIfTrue="1" operator="equal">
      <formula>"Fail"</formula>
    </cfRule>
  </conditionalFormatting>
  <conditionalFormatting sqref="A1024:A1026">
    <cfRule type="cellIs" dxfId="9485" priority="9323" stopIfTrue="1" operator="equal">
      <formula>"Pass"</formula>
    </cfRule>
    <cfRule type="cellIs" dxfId="9484" priority="9324" stopIfTrue="1" operator="equal">
      <formula>"Fail"</formula>
    </cfRule>
  </conditionalFormatting>
  <conditionalFormatting sqref="A1024:A1026">
    <cfRule type="cellIs" dxfId="9483" priority="9321" stopIfTrue="1" operator="equal">
      <formula>"Pass"</formula>
    </cfRule>
    <cfRule type="cellIs" dxfId="9482" priority="9322" stopIfTrue="1" operator="equal">
      <formula>"Fail"</formula>
    </cfRule>
  </conditionalFormatting>
  <conditionalFormatting sqref="A1024:A1026">
    <cfRule type="cellIs" dxfId="9481" priority="9319" stopIfTrue="1" operator="equal">
      <formula>"Pass"</formula>
    </cfRule>
    <cfRule type="cellIs" dxfId="9480" priority="9320" stopIfTrue="1" operator="equal">
      <formula>"Fail"</formula>
    </cfRule>
  </conditionalFormatting>
  <conditionalFormatting sqref="A1024:A1026">
    <cfRule type="cellIs" dxfId="9479" priority="9317" stopIfTrue="1" operator="equal">
      <formula>"Pass"</formula>
    </cfRule>
    <cfRule type="cellIs" dxfId="9478" priority="9318" stopIfTrue="1" operator="equal">
      <formula>"Fail"</formula>
    </cfRule>
  </conditionalFormatting>
  <conditionalFormatting sqref="A1024:A1026">
    <cfRule type="cellIs" dxfId="9477" priority="9315" stopIfTrue="1" operator="equal">
      <formula>"Pass"</formula>
    </cfRule>
    <cfRule type="cellIs" dxfId="9476" priority="9316" stopIfTrue="1" operator="equal">
      <formula>"Fail"</formula>
    </cfRule>
  </conditionalFormatting>
  <conditionalFormatting sqref="A1024:A1026">
    <cfRule type="cellIs" dxfId="9475" priority="9313" stopIfTrue="1" operator="equal">
      <formula>"Pass"</formula>
    </cfRule>
    <cfRule type="cellIs" dxfId="9474" priority="9314" stopIfTrue="1" operator="equal">
      <formula>"Fail"</formula>
    </cfRule>
  </conditionalFormatting>
  <conditionalFormatting sqref="A1026">
    <cfRule type="cellIs" dxfId="9473" priority="9311" stopIfTrue="1" operator="equal">
      <formula>"Pass"</formula>
    </cfRule>
    <cfRule type="cellIs" dxfId="9472" priority="9312" stopIfTrue="1" operator="equal">
      <formula>"Fail"</formula>
    </cfRule>
  </conditionalFormatting>
  <conditionalFormatting sqref="A1024:A1026">
    <cfRule type="cellIs" dxfId="9471" priority="9309" stopIfTrue="1" operator="equal">
      <formula>"Pass"</formula>
    </cfRule>
    <cfRule type="cellIs" dxfId="9470" priority="9310" stopIfTrue="1" operator="equal">
      <formula>"Fail"</formula>
    </cfRule>
  </conditionalFormatting>
  <conditionalFormatting sqref="A1024:A1026">
    <cfRule type="cellIs" dxfId="9469" priority="9307" stopIfTrue="1" operator="equal">
      <formula>"Pass"</formula>
    </cfRule>
    <cfRule type="cellIs" dxfId="9468" priority="9308" stopIfTrue="1" operator="equal">
      <formula>"Fail"</formula>
    </cfRule>
  </conditionalFormatting>
  <conditionalFormatting sqref="A1024:A1026">
    <cfRule type="cellIs" dxfId="9467" priority="9305" stopIfTrue="1" operator="equal">
      <formula>"Pass"</formula>
    </cfRule>
    <cfRule type="cellIs" dxfId="9466" priority="9306" stopIfTrue="1" operator="equal">
      <formula>"Fail"</formula>
    </cfRule>
  </conditionalFormatting>
  <conditionalFormatting sqref="A1024:A1026">
    <cfRule type="cellIs" dxfId="9465" priority="9303" stopIfTrue="1" operator="equal">
      <formula>"Pass"</formula>
    </cfRule>
    <cfRule type="cellIs" dxfId="9464" priority="9304" stopIfTrue="1" operator="equal">
      <formula>"Fail"</formula>
    </cfRule>
  </conditionalFormatting>
  <conditionalFormatting sqref="A1024:A1026">
    <cfRule type="cellIs" dxfId="9463" priority="9301" stopIfTrue="1" operator="equal">
      <formula>"Pass"</formula>
    </cfRule>
    <cfRule type="cellIs" dxfId="9462" priority="9302" stopIfTrue="1" operator="equal">
      <formula>"Fail"</formula>
    </cfRule>
  </conditionalFormatting>
  <conditionalFormatting sqref="A1024:A1026">
    <cfRule type="cellIs" dxfId="9461" priority="9299" stopIfTrue="1" operator="equal">
      <formula>"Pass"</formula>
    </cfRule>
    <cfRule type="cellIs" dxfId="9460" priority="9300" stopIfTrue="1" operator="equal">
      <formula>"Fail"</formula>
    </cfRule>
  </conditionalFormatting>
  <conditionalFormatting sqref="A1026">
    <cfRule type="cellIs" dxfId="9459" priority="9297" stopIfTrue="1" operator="equal">
      <formula>"Pass"</formula>
    </cfRule>
    <cfRule type="cellIs" dxfId="9458" priority="9298" stopIfTrue="1" operator="equal">
      <formula>"Fail"</formula>
    </cfRule>
  </conditionalFormatting>
  <conditionalFormatting sqref="A1024:A1026">
    <cfRule type="cellIs" dxfId="9457" priority="9295" stopIfTrue="1" operator="equal">
      <formula>"Pass"</formula>
    </cfRule>
    <cfRule type="cellIs" dxfId="9456" priority="9296" stopIfTrue="1" operator="equal">
      <formula>"Fail"</formula>
    </cfRule>
  </conditionalFormatting>
  <conditionalFormatting sqref="A1024:A1026">
    <cfRule type="cellIs" dxfId="9455" priority="9293" stopIfTrue="1" operator="equal">
      <formula>"Pass"</formula>
    </cfRule>
    <cfRule type="cellIs" dxfId="9454" priority="9294" stopIfTrue="1" operator="equal">
      <formula>"Fail"</formula>
    </cfRule>
  </conditionalFormatting>
  <conditionalFormatting sqref="A1024:A1026">
    <cfRule type="cellIs" dxfId="9453" priority="9291" stopIfTrue="1" operator="equal">
      <formula>"Pass"</formula>
    </cfRule>
    <cfRule type="cellIs" dxfId="9452" priority="9292" stopIfTrue="1" operator="equal">
      <formula>"Fail"</formula>
    </cfRule>
  </conditionalFormatting>
  <conditionalFormatting sqref="A1024:A1026">
    <cfRule type="cellIs" dxfId="9451" priority="9289" stopIfTrue="1" operator="equal">
      <formula>"Pass"</formula>
    </cfRule>
    <cfRule type="cellIs" dxfId="9450" priority="9290" stopIfTrue="1" operator="equal">
      <formula>"Fail"</formula>
    </cfRule>
  </conditionalFormatting>
  <conditionalFormatting sqref="A1024:A1026">
    <cfRule type="cellIs" dxfId="9449" priority="9287" stopIfTrue="1" operator="equal">
      <formula>"Pass"</formula>
    </cfRule>
    <cfRule type="cellIs" dxfId="9448" priority="9288" stopIfTrue="1" operator="equal">
      <formula>"Fail"</formula>
    </cfRule>
  </conditionalFormatting>
  <conditionalFormatting sqref="A1024:A1026">
    <cfRule type="cellIs" dxfId="9447" priority="9285" stopIfTrue="1" operator="equal">
      <formula>"Pass"</formula>
    </cfRule>
    <cfRule type="cellIs" dxfId="9446" priority="9286" stopIfTrue="1" operator="equal">
      <formula>"Fail"</formula>
    </cfRule>
  </conditionalFormatting>
  <conditionalFormatting sqref="A1026">
    <cfRule type="cellIs" dxfId="9445" priority="9283" stopIfTrue="1" operator="equal">
      <formula>"Pass"</formula>
    </cfRule>
    <cfRule type="cellIs" dxfId="9444" priority="9284" stopIfTrue="1" operator="equal">
      <formula>"Fail"</formula>
    </cfRule>
  </conditionalFormatting>
  <conditionalFormatting sqref="A1024:A1026">
    <cfRule type="cellIs" dxfId="9443" priority="9281" stopIfTrue="1" operator="equal">
      <formula>"Pass"</formula>
    </cfRule>
    <cfRule type="cellIs" dxfId="9442" priority="9282" stopIfTrue="1" operator="equal">
      <formula>"Fail"</formula>
    </cfRule>
  </conditionalFormatting>
  <conditionalFormatting sqref="A1024:A1026">
    <cfRule type="cellIs" dxfId="9441" priority="9279" stopIfTrue="1" operator="equal">
      <formula>"Pass"</formula>
    </cfRule>
    <cfRule type="cellIs" dxfId="9440" priority="9280" stopIfTrue="1" operator="equal">
      <formula>"Fail"</formula>
    </cfRule>
  </conditionalFormatting>
  <conditionalFormatting sqref="A1024:A1026">
    <cfRule type="cellIs" dxfId="9439" priority="9277" stopIfTrue="1" operator="equal">
      <formula>"Pass"</formula>
    </cfRule>
    <cfRule type="cellIs" dxfId="9438" priority="9278" stopIfTrue="1" operator="equal">
      <formula>"Fail"</formula>
    </cfRule>
  </conditionalFormatting>
  <conditionalFormatting sqref="A1024:A1026">
    <cfRule type="cellIs" dxfId="9437" priority="9275" stopIfTrue="1" operator="equal">
      <formula>"Pass"</formula>
    </cfRule>
    <cfRule type="cellIs" dxfId="9436" priority="9276" stopIfTrue="1" operator="equal">
      <formula>"Fail"</formula>
    </cfRule>
  </conditionalFormatting>
  <conditionalFormatting sqref="A1024:A1026">
    <cfRule type="cellIs" dxfId="9435" priority="9273" stopIfTrue="1" operator="equal">
      <formula>"Pass"</formula>
    </cfRule>
    <cfRule type="cellIs" dxfId="9434" priority="9274" stopIfTrue="1" operator="equal">
      <formula>"Fail"</formula>
    </cfRule>
  </conditionalFormatting>
  <conditionalFormatting sqref="A1024:A1026">
    <cfRule type="cellIs" dxfId="9433" priority="9271" stopIfTrue="1" operator="equal">
      <formula>"Pass"</formula>
    </cfRule>
    <cfRule type="cellIs" dxfId="9432" priority="9272" stopIfTrue="1" operator="equal">
      <formula>"Fail"</formula>
    </cfRule>
  </conditionalFormatting>
  <conditionalFormatting sqref="A1026">
    <cfRule type="cellIs" dxfId="9431" priority="9269" stopIfTrue="1" operator="equal">
      <formula>"Pass"</formula>
    </cfRule>
    <cfRule type="cellIs" dxfId="9430" priority="9270" stopIfTrue="1" operator="equal">
      <formula>"Fail"</formula>
    </cfRule>
  </conditionalFormatting>
  <conditionalFormatting sqref="A1024:A1026">
    <cfRule type="cellIs" dxfId="9429" priority="9267" stopIfTrue="1" operator="equal">
      <formula>"Pass"</formula>
    </cfRule>
    <cfRule type="cellIs" dxfId="9428" priority="9268" stopIfTrue="1" operator="equal">
      <formula>"Fail"</formula>
    </cfRule>
  </conditionalFormatting>
  <conditionalFormatting sqref="A1024">
    <cfRule type="cellIs" dxfId="9427" priority="9265" stopIfTrue="1" operator="equal">
      <formula>"Pass"</formula>
    </cfRule>
    <cfRule type="cellIs" dxfId="9426" priority="9266" stopIfTrue="1" operator="equal">
      <formula>"Fail"</formula>
    </cfRule>
  </conditionalFormatting>
  <conditionalFormatting sqref="A1024">
    <cfRule type="cellIs" dxfId="9425" priority="9263" stopIfTrue="1" operator="equal">
      <formula>"Pass"</formula>
    </cfRule>
    <cfRule type="cellIs" dxfId="9424" priority="9264" stopIfTrue="1" operator="equal">
      <formula>"Fail"</formula>
    </cfRule>
  </conditionalFormatting>
  <conditionalFormatting sqref="A1024">
    <cfRule type="cellIs" dxfId="9423" priority="9261" stopIfTrue="1" operator="equal">
      <formula>"Pass"</formula>
    </cfRule>
    <cfRule type="cellIs" dxfId="9422" priority="9262" stopIfTrue="1" operator="equal">
      <formula>"Fail"</formula>
    </cfRule>
  </conditionalFormatting>
  <conditionalFormatting sqref="A1024">
    <cfRule type="cellIs" dxfId="9421" priority="9259" stopIfTrue="1" operator="equal">
      <formula>"Pass"</formula>
    </cfRule>
    <cfRule type="cellIs" dxfId="9420" priority="9260" stopIfTrue="1" operator="equal">
      <formula>"Fail"</formula>
    </cfRule>
  </conditionalFormatting>
  <conditionalFormatting sqref="A1024">
    <cfRule type="cellIs" dxfId="9419" priority="9257" stopIfTrue="1" operator="equal">
      <formula>"Pass"</formula>
    </cfRule>
    <cfRule type="cellIs" dxfId="9418" priority="9258" stopIfTrue="1" operator="equal">
      <formula>"Fail"</formula>
    </cfRule>
  </conditionalFormatting>
  <conditionalFormatting sqref="A1024">
    <cfRule type="cellIs" dxfId="9417" priority="9255" stopIfTrue="1" operator="equal">
      <formula>"Pass"</formula>
    </cfRule>
    <cfRule type="cellIs" dxfId="9416" priority="9256" stopIfTrue="1" operator="equal">
      <formula>"Fail"</formula>
    </cfRule>
  </conditionalFormatting>
  <conditionalFormatting sqref="H1024:H1025">
    <cfRule type="cellIs" dxfId="9415" priority="9253" stopIfTrue="1" operator="equal">
      <formula>"Pass"</formula>
    </cfRule>
    <cfRule type="cellIs" dxfId="9414" priority="9254" stopIfTrue="1" operator="equal">
      <formula>"Fail"</formula>
    </cfRule>
  </conditionalFormatting>
  <conditionalFormatting sqref="E1024:F1024 E1026:F1026 A1024 I1024:M1025">
    <cfRule type="cellIs" dxfId="9413" priority="9251" stopIfTrue="1" operator="equal">
      <formula>"Pass"</formula>
    </cfRule>
    <cfRule type="cellIs" dxfId="9412" priority="9252" stopIfTrue="1" operator="equal">
      <formula>"Fail"</formula>
    </cfRule>
  </conditionalFormatting>
  <conditionalFormatting sqref="T1026 T1024 R1024:R1026 S1025:S1026">
    <cfRule type="cellIs" dxfId="9411" priority="9249" stopIfTrue="1" operator="equal">
      <formula>"Fail"</formula>
    </cfRule>
    <cfRule type="cellIs" dxfId="9410" priority="9250" stopIfTrue="1" operator="equal">
      <formula>"Pass"</formula>
    </cfRule>
  </conditionalFormatting>
  <conditionalFormatting sqref="F1024:G1024 F1026:G1026 B1024:B1026 A1024 J1024:N1025">
    <cfRule type="cellIs" dxfId="9409" priority="9247" stopIfTrue="1" operator="equal">
      <formula>"Pass"</formula>
    </cfRule>
    <cfRule type="cellIs" dxfId="9408" priority="9248" stopIfTrue="1" operator="equal">
      <formula>"Fail"</formula>
    </cfRule>
  </conditionalFormatting>
  <conditionalFormatting sqref="U1026:V1026 T1024:T1026 S1025:S1026">
    <cfRule type="cellIs" dxfId="9407" priority="9245" stopIfTrue="1" operator="equal">
      <formula>"Fail"</formula>
    </cfRule>
    <cfRule type="cellIs" dxfId="9406" priority="9246" stopIfTrue="1" operator="equal">
      <formula>"Pass"</formula>
    </cfRule>
  </conditionalFormatting>
  <conditionalFormatting sqref="A1024">
    <cfRule type="cellIs" dxfId="9405" priority="9243" stopIfTrue="1" operator="equal">
      <formula>"Pass"</formula>
    </cfRule>
    <cfRule type="cellIs" dxfId="9404" priority="9244" stopIfTrue="1" operator="equal">
      <formula>"Fail"</formula>
    </cfRule>
  </conditionalFormatting>
  <conditionalFormatting sqref="A1024">
    <cfRule type="cellIs" dxfId="9403" priority="9241" stopIfTrue="1" operator="equal">
      <formula>"Pass"</formula>
    </cfRule>
    <cfRule type="cellIs" dxfId="9402" priority="9242" stopIfTrue="1" operator="equal">
      <formula>"Fail"</formula>
    </cfRule>
  </conditionalFormatting>
  <conditionalFormatting sqref="A1024">
    <cfRule type="cellIs" dxfId="9401" priority="9239" stopIfTrue="1" operator="equal">
      <formula>"Pass"</formula>
    </cfRule>
    <cfRule type="cellIs" dxfId="9400" priority="9240" stopIfTrue="1" operator="equal">
      <formula>"Fail"</formula>
    </cfRule>
  </conditionalFormatting>
  <conditionalFormatting sqref="A1024">
    <cfRule type="cellIs" dxfId="9399" priority="9237" stopIfTrue="1" operator="equal">
      <formula>"Pass"</formula>
    </cfRule>
    <cfRule type="cellIs" dxfId="9398" priority="9238" stopIfTrue="1" operator="equal">
      <formula>"Fail"</formula>
    </cfRule>
  </conditionalFormatting>
  <conditionalFormatting sqref="A1024">
    <cfRule type="cellIs" dxfId="9397" priority="9235" stopIfTrue="1" operator="equal">
      <formula>"Pass"</formula>
    </cfRule>
    <cfRule type="cellIs" dxfId="9396" priority="9236" stopIfTrue="1" operator="equal">
      <formula>"Fail"</formula>
    </cfRule>
  </conditionalFormatting>
  <conditionalFormatting sqref="A1024">
    <cfRule type="cellIs" dxfId="9395" priority="9233" stopIfTrue="1" operator="equal">
      <formula>"Pass"</formula>
    </cfRule>
    <cfRule type="cellIs" dxfId="9394" priority="9234" stopIfTrue="1" operator="equal">
      <formula>"Fail"</formula>
    </cfRule>
  </conditionalFormatting>
  <conditionalFormatting sqref="A1024">
    <cfRule type="cellIs" dxfId="9393" priority="9231" stopIfTrue="1" operator="equal">
      <formula>"Pass"</formula>
    </cfRule>
    <cfRule type="cellIs" dxfId="9392" priority="9232" stopIfTrue="1" operator="equal">
      <formula>"Fail"</formula>
    </cfRule>
  </conditionalFormatting>
  <conditionalFormatting sqref="A1024">
    <cfRule type="cellIs" dxfId="9391" priority="9229" stopIfTrue="1" operator="equal">
      <formula>"Pass"</formula>
    </cfRule>
    <cfRule type="cellIs" dxfId="9390" priority="9230" stopIfTrue="1" operator="equal">
      <formula>"Fail"</formula>
    </cfRule>
  </conditionalFormatting>
  <conditionalFormatting sqref="A1024">
    <cfRule type="cellIs" dxfId="9389" priority="9227" stopIfTrue="1" operator="equal">
      <formula>"Pass"</formula>
    </cfRule>
    <cfRule type="cellIs" dxfId="9388" priority="9228" stopIfTrue="1" operator="equal">
      <formula>"Fail"</formula>
    </cfRule>
  </conditionalFormatting>
  <conditionalFormatting sqref="A1024">
    <cfRule type="cellIs" dxfId="9387" priority="9225" stopIfTrue="1" operator="equal">
      <formula>"Pass"</formula>
    </cfRule>
    <cfRule type="cellIs" dxfId="9386" priority="9226" stopIfTrue="1" operator="equal">
      <formula>"Fail"</formula>
    </cfRule>
  </conditionalFormatting>
  <conditionalFormatting sqref="U1024:V1024">
    <cfRule type="cellIs" dxfId="9385" priority="9223" stopIfTrue="1" operator="equal">
      <formula>"Fail"</formula>
    </cfRule>
    <cfRule type="cellIs" dxfId="9384" priority="9224" stopIfTrue="1" operator="equal">
      <formula>"Pass"</formula>
    </cfRule>
  </conditionalFormatting>
  <conditionalFormatting sqref="F1024:G1024 J1024:N1024">
    <cfRule type="cellIs" dxfId="9383" priority="9221" stopIfTrue="1" operator="equal">
      <formula>"Pass"</formula>
    </cfRule>
    <cfRule type="cellIs" dxfId="9382" priority="9222" stopIfTrue="1" operator="equal">
      <formula>"Fail"</formula>
    </cfRule>
  </conditionalFormatting>
  <conditionalFormatting sqref="J1025:N1025">
    <cfRule type="cellIs" dxfId="9381" priority="9219" stopIfTrue="1" operator="equal">
      <formula>"Pass"</formula>
    </cfRule>
    <cfRule type="cellIs" dxfId="9380" priority="9220" stopIfTrue="1" operator="equal">
      <formula>"Fail"</formula>
    </cfRule>
  </conditionalFormatting>
  <conditionalFormatting sqref="A1024">
    <cfRule type="cellIs" dxfId="9379" priority="9217" stopIfTrue="1" operator="equal">
      <formula>"Pass"</formula>
    </cfRule>
    <cfRule type="cellIs" dxfId="9378" priority="9218" stopIfTrue="1" operator="equal">
      <formula>"Fail"</formula>
    </cfRule>
  </conditionalFormatting>
  <conditionalFormatting sqref="A1024">
    <cfRule type="cellIs" dxfId="9377" priority="9215" stopIfTrue="1" operator="equal">
      <formula>"Pass"</formula>
    </cfRule>
    <cfRule type="cellIs" dxfId="9376" priority="9216" stopIfTrue="1" operator="equal">
      <formula>"Fail"</formula>
    </cfRule>
  </conditionalFormatting>
  <conditionalFormatting sqref="A1024">
    <cfRule type="cellIs" dxfId="9375" priority="9213" stopIfTrue="1" operator="equal">
      <formula>"Pass"</formula>
    </cfRule>
    <cfRule type="cellIs" dxfId="9374" priority="9214" stopIfTrue="1" operator="equal">
      <formula>"Fail"</formula>
    </cfRule>
  </conditionalFormatting>
  <conditionalFormatting sqref="A1024">
    <cfRule type="cellIs" dxfId="9373" priority="9211" stopIfTrue="1" operator="equal">
      <formula>"Pass"</formula>
    </cfRule>
    <cfRule type="cellIs" dxfId="9372" priority="9212" stopIfTrue="1" operator="equal">
      <formula>"Fail"</formula>
    </cfRule>
  </conditionalFormatting>
  <conditionalFormatting sqref="A1024">
    <cfRule type="cellIs" dxfId="9371" priority="9209" stopIfTrue="1" operator="equal">
      <formula>"Pass"</formula>
    </cfRule>
    <cfRule type="cellIs" dxfId="9370" priority="9210" stopIfTrue="1" operator="equal">
      <formula>"Fail"</formula>
    </cfRule>
  </conditionalFormatting>
  <conditionalFormatting sqref="A1024">
    <cfRule type="cellIs" dxfId="9369" priority="9207" stopIfTrue="1" operator="equal">
      <formula>"Pass"</formula>
    </cfRule>
    <cfRule type="cellIs" dxfId="9368" priority="9208" stopIfTrue="1" operator="equal">
      <formula>"Fail"</formula>
    </cfRule>
  </conditionalFormatting>
  <conditionalFormatting sqref="A1024">
    <cfRule type="cellIs" dxfId="9367" priority="9205" stopIfTrue="1" operator="equal">
      <formula>"Pass"</formula>
    </cfRule>
    <cfRule type="cellIs" dxfId="9366" priority="9206" stopIfTrue="1" operator="equal">
      <formula>"Fail"</formula>
    </cfRule>
  </conditionalFormatting>
  <conditionalFormatting sqref="A1024">
    <cfRule type="cellIs" dxfId="9365" priority="9203" stopIfTrue="1" operator="equal">
      <formula>"Pass"</formula>
    </cfRule>
    <cfRule type="cellIs" dxfId="9364" priority="9204" stopIfTrue="1" operator="equal">
      <formula>"Fail"</formula>
    </cfRule>
  </conditionalFormatting>
  <conditionalFormatting sqref="A1024">
    <cfRule type="cellIs" dxfId="9363" priority="9201" stopIfTrue="1" operator="equal">
      <formula>"Pass"</formula>
    </cfRule>
    <cfRule type="cellIs" dxfId="9362" priority="9202" stopIfTrue="1" operator="equal">
      <formula>"Fail"</formula>
    </cfRule>
  </conditionalFormatting>
  <conditionalFormatting sqref="A1024">
    <cfRule type="cellIs" dxfId="9361" priority="9199" stopIfTrue="1" operator="equal">
      <formula>"Pass"</formula>
    </cfRule>
    <cfRule type="cellIs" dxfId="9360" priority="9200" stopIfTrue="1" operator="equal">
      <formula>"Fail"</formula>
    </cfRule>
  </conditionalFormatting>
  <conditionalFormatting sqref="A1024">
    <cfRule type="cellIs" dxfId="9359" priority="9197" stopIfTrue="1" operator="equal">
      <formula>"Pass"</formula>
    </cfRule>
    <cfRule type="cellIs" dxfId="9358" priority="9198" stopIfTrue="1" operator="equal">
      <formula>"Fail"</formula>
    </cfRule>
  </conditionalFormatting>
  <conditionalFormatting sqref="A1024">
    <cfRule type="cellIs" dxfId="9357" priority="9195" stopIfTrue="1" operator="equal">
      <formula>"Pass"</formula>
    </cfRule>
    <cfRule type="cellIs" dxfId="9356" priority="9196" stopIfTrue="1" operator="equal">
      <formula>"Fail"</formula>
    </cfRule>
  </conditionalFormatting>
  <conditionalFormatting sqref="H1024:H1025">
    <cfRule type="cellIs" dxfId="9355" priority="9193" stopIfTrue="1" operator="equal">
      <formula>"Pass"</formula>
    </cfRule>
    <cfRule type="cellIs" dxfId="9354" priority="9194" stopIfTrue="1" operator="equal">
      <formula>"Fail"</formula>
    </cfRule>
  </conditionalFormatting>
  <conditionalFormatting sqref="F1024 F1026 I1024:M1025">
    <cfRule type="cellIs" dxfId="9353" priority="9191" stopIfTrue="1" operator="equal">
      <formula>"Pass"</formula>
    </cfRule>
    <cfRule type="cellIs" dxfId="9352" priority="9192" stopIfTrue="1" operator="equal">
      <formula>"Fail"</formula>
    </cfRule>
  </conditionalFormatting>
  <conditionalFormatting sqref="T1026 T1024 R1024:R1026 S1025:S1026">
    <cfRule type="cellIs" dxfId="9351" priority="9189" stopIfTrue="1" operator="equal">
      <formula>"Fail"</formula>
    </cfRule>
    <cfRule type="cellIs" dxfId="9350" priority="9190" stopIfTrue="1" operator="equal">
      <formula>"Pass"</formula>
    </cfRule>
  </conditionalFormatting>
  <conditionalFormatting sqref="F1024:G1024 F1026:G1026 J1024:N1025">
    <cfRule type="cellIs" dxfId="9349" priority="9187" stopIfTrue="1" operator="equal">
      <formula>"Pass"</formula>
    </cfRule>
    <cfRule type="cellIs" dxfId="9348" priority="9188" stopIfTrue="1" operator="equal">
      <formula>"Fail"</formula>
    </cfRule>
  </conditionalFormatting>
  <conditionalFormatting sqref="U1026:V1026 T1024:T1026 S1025:S1026">
    <cfRule type="cellIs" dxfId="9347" priority="9185" stopIfTrue="1" operator="equal">
      <formula>"Fail"</formula>
    </cfRule>
    <cfRule type="cellIs" dxfId="9346" priority="9186" stopIfTrue="1" operator="equal">
      <formula>"Pass"</formula>
    </cfRule>
  </conditionalFormatting>
  <conditionalFormatting sqref="U1024:V1024">
    <cfRule type="cellIs" dxfId="9345" priority="9183" stopIfTrue="1" operator="equal">
      <formula>"Fail"</formula>
    </cfRule>
    <cfRule type="cellIs" dxfId="9344" priority="9184" stopIfTrue="1" operator="equal">
      <formula>"Pass"</formula>
    </cfRule>
  </conditionalFormatting>
  <conditionalFormatting sqref="F1024:G1024 J1024:N1024">
    <cfRule type="cellIs" dxfId="9343" priority="9181" stopIfTrue="1" operator="equal">
      <formula>"Pass"</formula>
    </cfRule>
    <cfRule type="cellIs" dxfId="9342" priority="9182" stopIfTrue="1" operator="equal">
      <formula>"Fail"</formula>
    </cfRule>
  </conditionalFormatting>
  <conditionalFormatting sqref="J1025:N1025">
    <cfRule type="cellIs" dxfId="9341" priority="9179" stopIfTrue="1" operator="equal">
      <formula>"Pass"</formula>
    </cfRule>
    <cfRule type="cellIs" dxfId="9340" priority="9180" stopIfTrue="1" operator="equal">
      <formula>"Fail"</formula>
    </cfRule>
  </conditionalFormatting>
  <conditionalFormatting sqref="H1024:H1025">
    <cfRule type="cellIs" dxfId="9339" priority="9177" stopIfTrue="1" operator="equal">
      <formula>"Pass"</formula>
    </cfRule>
    <cfRule type="cellIs" dxfId="9338" priority="9178" stopIfTrue="1" operator="equal">
      <formula>"Fail"</formula>
    </cfRule>
  </conditionalFormatting>
  <conditionalFormatting sqref="F1024 F1026 I1024:M1025">
    <cfRule type="cellIs" dxfId="9337" priority="9175" stopIfTrue="1" operator="equal">
      <formula>"Pass"</formula>
    </cfRule>
    <cfRule type="cellIs" dxfId="9336" priority="9176" stopIfTrue="1" operator="equal">
      <formula>"Fail"</formula>
    </cfRule>
  </conditionalFormatting>
  <conditionalFormatting sqref="T1026 T1024 R1024:R1026 S1025:S1026">
    <cfRule type="cellIs" dxfId="9335" priority="9173" stopIfTrue="1" operator="equal">
      <formula>"Fail"</formula>
    </cfRule>
    <cfRule type="cellIs" dxfId="9334" priority="9174" stopIfTrue="1" operator="equal">
      <formula>"Pass"</formula>
    </cfRule>
  </conditionalFormatting>
  <conditionalFormatting sqref="F1024:G1024 F1026:G1026 J1024:N1025">
    <cfRule type="cellIs" dxfId="9333" priority="9171" stopIfTrue="1" operator="equal">
      <formula>"Pass"</formula>
    </cfRule>
    <cfRule type="cellIs" dxfId="9332" priority="9172" stopIfTrue="1" operator="equal">
      <formula>"Fail"</formula>
    </cfRule>
  </conditionalFormatting>
  <conditionalFormatting sqref="U1026:V1026 T1024:T1026 S1025:S1026">
    <cfRule type="cellIs" dxfId="9331" priority="9169" stopIfTrue="1" operator="equal">
      <formula>"Fail"</formula>
    </cfRule>
    <cfRule type="cellIs" dxfId="9330" priority="9170" stopIfTrue="1" operator="equal">
      <formula>"Pass"</formula>
    </cfRule>
  </conditionalFormatting>
  <conditionalFormatting sqref="U1024:V1024">
    <cfRule type="cellIs" dxfId="9329" priority="9167" stopIfTrue="1" operator="equal">
      <formula>"Fail"</formula>
    </cfRule>
    <cfRule type="cellIs" dxfId="9328" priority="9168" stopIfTrue="1" operator="equal">
      <formula>"Pass"</formula>
    </cfRule>
  </conditionalFormatting>
  <conditionalFormatting sqref="F1024:G1024 J1024:N1024">
    <cfRule type="cellIs" dxfId="9327" priority="9165" stopIfTrue="1" operator="equal">
      <formula>"Pass"</formula>
    </cfRule>
    <cfRule type="cellIs" dxfId="9326" priority="9166" stopIfTrue="1" operator="equal">
      <formula>"Fail"</formula>
    </cfRule>
  </conditionalFormatting>
  <conditionalFormatting sqref="J1025:N1025">
    <cfRule type="cellIs" dxfId="9325" priority="9163" stopIfTrue="1" operator="equal">
      <formula>"Pass"</formula>
    </cfRule>
    <cfRule type="cellIs" dxfId="9324" priority="9164" stopIfTrue="1" operator="equal">
      <formula>"Fail"</formula>
    </cfRule>
  </conditionalFormatting>
  <conditionalFormatting sqref="U1024:V1024">
    <cfRule type="cellIs" dxfId="9323" priority="9161" stopIfTrue="1" operator="equal">
      <formula>"Fail"</formula>
    </cfRule>
    <cfRule type="cellIs" dxfId="9322" priority="9162" stopIfTrue="1" operator="equal">
      <formula>"Pass"</formula>
    </cfRule>
  </conditionalFormatting>
  <conditionalFormatting sqref="U1024:V1024">
    <cfRule type="cellIs" dxfId="9321" priority="9159" stopIfTrue="1" operator="equal">
      <formula>"Fail"</formula>
    </cfRule>
    <cfRule type="cellIs" dxfId="9320" priority="9160" stopIfTrue="1" operator="equal">
      <formula>"Pass"</formula>
    </cfRule>
  </conditionalFormatting>
  <conditionalFormatting sqref="U1024:V1024">
    <cfRule type="cellIs" dxfId="9319" priority="9157" stopIfTrue="1" operator="equal">
      <formula>"Fail"</formula>
    </cfRule>
    <cfRule type="cellIs" dxfId="9318" priority="9158" stopIfTrue="1" operator="equal">
      <formula>"Pass"</formula>
    </cfRule>
  </conditionalFormatting>
  <conditionalFormatting sqref="N1024">
    <cfRule type="cellIs" dxfId="9317" priority="9155" stopIfTrue="1" operator="equal">
      <formula>"Pass"</formula>
    </cfRule>
    <cfRule type="cellIs" dxfId="9316" priority="9156" stopIfTrue="1" operator="equal">
      <formula>"Fail"</formula>
    </cfRule>
  </conditionalFormatting>
  <conditionalFormatting sqref="N1024">
    <cfRule type="cellIs" dxfId="9315" priority="9153" stopIfTrue="1" operator="equal">
      <formula>"Pass"</formula>
    </cfRule>
    <cfRule type="cellIs" dxfId="9314" priority="9154" stopIfTrue="1" operator="equal">
      <formula>"Fail"</formula>
    </cfRule>
  </conditionalFormatting>
  <conditionalFormatting sqref="N1024">
    <cfRule type="cellIs" dxfId="9313" priority="9151" stopIfTrue="1" operator="equal">
      <formula>"Pass"</formula>
    </cfRule>
    <cfRule type="cellIs" dxfId="9312" priority="9152" stopIfTrue="1" operator="equal">
      <formula>"Fail"</formula>
    </cfRule>
  </conditionalFormatting>
  <conditionalFormatting sqref="A1024">
    <cfRule type="cellIs" dxfId="9311" priority="9149" stopIfTrue="1" operator="equal">
      <formula>"Pass"</formula>
    </cfRule>
    <cfRule type="cellIs" dxfId="9310" priority="9150" stopIfTrue="1" operator="equal">
      <formula>"Fail"</formula>
    </cfRule>
  </conditionalFormatting>
  <conditionalFormatting sqref="A1024">
    <cfRule type="cellIs" dxfId="9309" priority="9147" stopIfTrue="1" operator="equal">
      <formula>"Pass"</formula>
    </cfRule>
    <cfRule type="cellIs" dxfId="9308" priority="9148" stopIfTrue="1" operator="equal">
      <formula>"Fail"</formula>
    </cfRule>
  </conditionalFormatting>
  <conditionalFormatting sqref="A1024">
    <cfRule type="cellIs" dxfId="9307" priority="9145" stopIfTrue="1" operator="equal">
      <formula>"Pass"</formula>
    </cfRule>
    <cfRule type="cellIs" dxfId="9306" priority="9146" stopIfTrue="1" operator="equal">
      <formula>"Fail"</formula>
    </cfRule>
  </conditionalFormatting>
  <conditionalFormatting sqref="A1024">
    <cfRule type="cellIs" dxfId="9305" priority="9143" stopIfTrue="1" operator="equal">
      <formula>"Pass"</formula>
    </cfRule>
    <cfRule type="cellIs" dxfId="9304" priority="9144" stopIfTrue="1" operator="equal">
      <formula>"Fail"</formula>
    </cfRule>
  </conditionalFormatting>
  <conditionalFormatting sqref="A1024">
    <cfRule type="cellIs" dxfId="9303" priority="9141" stopIfTrue="1" operator="equal">
      <formula>"Pass"</formula>
    </cfRule>
    <cfRule type="cellIs" dxfId="9302" priority="9142" stopIfTrue="1" operator="equal">
      <formula>"Fail"</formula>
    </cfRule>
  </conditionalFormatting>
  <conditionalFormatting sqref="A1024">
    <cfRule type="cellIs" dxfId="9301" priority="9139" stopIfTrue="1" operator="equal">
      <formula>"Pass"</formula>
    </cfRule>
    <cfRule type="cellIs" dxfId="9300" priority="9140" stopIfTrue="1" operator="equal">
      <formula>"Fail"</formula>
    </cfRule>
  </conditionalFormatting>
  <conditionalFormatting sqref="A1024">
    <cfRule type="cellIs" dxfId="9299" priority="9137" stopIfTrue="1" operator="equal">
      <formula>"Pass"</formula>
    </cfRule>
    <cfRule type="cellIs" dxfId="9298" priority="9138" stopIfTrue="1" operator="equal">
      <formula>"Fail"</formula>
    </cfRule>
  </conditionalFormatting>
  <conditionalFormatting sqref="A1024">
    <cfRule type="cellIs" dxfId="9297" priority="9135" stopIfTrue="1" operator="equal">
      <formula>"Pass"</formula>
    </cfRule>
    <cfRule type="cellIs" dxfId="9296" priority="9136" stopIfTrue="1" operator="equal">
      <formula>"Fail"</formula>
    </cfRule>
  </conditionalFormatting>
  <conditionalFormatting sqref="A1024">
    <cfRule type="cellIs" dxfId="9295" priority="9133" stopIfTrue="1" operator="equal">
      <formula>"Pass"</formula>
    </cfRule>
    <cfRule type="cellIs" dxfId="9294" priority="9134" stopIfTrue="1" operator="equal">
      <formula>"Fail"</formula>
    </cfRule>
  </conditionalFormatting>
  <conditionalFormatting sqref="A1024">
    <cfRule type="cellIs" dxfId="9293" priority="9131" stopIfTrue="1" operator="equal">
      <formula>"Pass"</formula>
    </cfRule>
    <cfRule type="cellIs" dxfId="9292" priority="9132" stopIfTrue="1" operator="equal">
      <formula>"Fail"</formula>
    </cfRule>
  </conditionalFormatting>
  <conditionalFormatting sqref="A1024">
    <cfRule type="cellIs" dxfId="9291" priority="9129" stopIfTrue="1" operator="equal">
      <formula>"Pass"</formula>
    </cfRule>
    <cfRule type="cellIs" dxfId="9290" priority="9130" stopIfTrue="1" operator="equal">
      <formula>"Fail"</formula>
    </cfRule>
  </conditionalFormatting>
  <conditionalFormatting sqref="A1024">
    <cfRule type="cellIs" dxfId="9289" priority="9127" stopIfTrue="1" operator="equal">
      <formula>"Pass"</formula>
    </cfRule>
    <cfRule type="cellIs" dxfId="9288" priority="9128" stopIfTrue="1" operator="equal">
      <formula>"Fail"</formula>
    </cfRule>
  </conditionalFormatting>
  <conditionalFormatting sqref="A1024">
    <cfRule type="cellIs" dxfId="9287" priority="9125" stopIfTrue="1" operator="equal">
      <formula>"Pass"</formula>
    </cfRule>
    <cfRule type="cellIs" dxfId="9286" priority="9126" stopIfTrue="1" operator="equal">
      <formula>"Fail"</formula>
    </cfRule>
  </conditionalFormatting>
  <conditionalFormatting sqref="A1024">
    <cfRule type="cellIs" dxfId="9285" priority="9123" stopIfTrue="1" operator="equal">
      <formula>"Pass"</formula>
    </cfRule>
    <cfRule type="cellIs" dxfId="9284" priority="9124" stopIfTrue="1" operator="equal">
      <formula>"Fail"</formula>
    </cfRule>
  </conditionalFormatting>
  <conditionalFormatting sqref="A1024">
    <cfRule type="cellIs" dxfId="9283" priority="9121" stopIfTrue="1" operator="equal">
      <formula>"Pass"</formula>
    </cfRule>
    <cfRule type="cellIs" dxfId="9282" priority="9122" stopIfTrue="1" operator="equal">
      <formula>"Fail"</formula>
    </cfRule>
  </conditionalFormatting>
  <conditionalFormatting sqref="A1024">
    <cfRule type="cellIs" dxfId="9281" priority="9119" stopIfTrue="1" operator="equal">
      <formula>"Pass"</formula>
    </cfRule>
    <cfRule type="cellIs" dxfId="9280" priority="9120" stopIfTrue="1" operator="equal">
      <formula>"Fail"</formula>
    </cfRule>
  </conditionalFormatting>
  <conditionalFormatting sqref="A1024">
    <cfRule type="cellIs" dxfId="9279" priority="9117" stopIfTrue="1" operator="equal">
      <formula>"Pass"</formula>
    </cfRule>
    <cfRule type="cellIs" dxfId="9278" priority="9118" stopIfTrue="1" operator="equal">
      <formula>"Fail"</formula>
    </cfRule>
  </conditionalFormatting>
  <conditionalFormatting sqref="A1024">
    <cfRule type="cellIs" dxfId="9277" priority="9115" stopIfTrue="1" operator="equal">
      <formula>"Pass"</formula>
    </cfRule>
    <cfRule type="cellIs" dxfId="9276" priority="9116" stopIfTrue="1" operator="equal">
      <formula>"Fail"</formula>
    </cfRule>
  </conditionalFormatting>
  <conditionalFormatting sqref="H1024:H1025">
    <cfRule type="cellIs" dxfId="9275" priority="9113" stopIfTrue="1" operator="equal">
      <formula>"Pass"</formula>
    </cfRule>
    <cfRule type="cellIs" dxfId="9274" priority="9114" stopIfTrue="1" operator="equal">
      <formula>"Fail"</formula>
    </cfRule>
  </conditionalFormatting>
  <conditionalFormatting sqref="F1024 F1026 I1024:M1025">
    <cfRule type="cellIs" dxfId="9273" priority="9111" stopIfTrue="1" operator="equal">
      <formula>"Pass"</formula>
    </cfRule>
    <cfRule type="cellIs" dxfId="9272" priority="9112" stopIfTrue="1" operator="equal">
      <formula>"Fail"</formula>
    </cfRule>
  </conditionalFormatting>
  <conditionalFormatting sqref="T1026 T1024 R1024:R1026 S1025:S1026">
    <cfRule type="cellIs" dxfId="9271" priority="9109" stopIfTrue="1" operator="equal">
      <formula>"Fail"</formula>
    </cfRule>
    <cfRule type="cellIs" dxfId="9270" priority="9110" stopIfTrue="1" operator="equal">
      <formula>"Pass"</formula>
    </cfRule>
  </conditionalFormatting>
  <conditionalFormatting sqref="F1024:G1024 F1026:G1026 J1024:N1025">
    <cfRule type="cellIs" dxfId="9269" priority="9107" stopIfTrue="1" operator="equal">
      <formula>"Pass"</formula>
    </cfRule>
    <cfRule type="cellIs" dxfId="9268" priority="9108" stopIfTrue="1" operator="equal">
      <formula>"Fail"</formula>
    </cfRule>
  </conditionalFormatting>
  <conditionalFormatting sqref="U1026:V1026 T1024:T1026 S1025:S1026">
    <cfRule type="cellIs" dxfId="9267" priority="9105" stopIfTrue="1" operator="equal">
      <formula>"Fail"</formula>
    </cfRule>
    <cfRule type="cellIs" dxfId="9266" priority="9106" stopIfTrue="1" operator="equal">
      <formula>"Pass"</formula>
    </cfRule>
  </conditionalFormatting>
  <conditionalFormatting sqref="U1024:V1024">
    <cfRule type="cellIs" dxfId="9265" priority="9103" stopIfTrue="1" operator="equal">
      <formula>"Fail"</formula>
    </cfRule>
    <cfRule type="cellIs" dxfId="9264" priority="9104" stopIfTrue="1" operator="equal">
      <formula>"Pass"</formula>
    </cfRule>
  </conditionalFormatting>
  <conditionalFormatting sqref="F1024:G1024 J1024:N1024">
    <cfRule type="cellIs" dxfId="9263" priority="9101" stopIfTrue="1" operator="equal">
      <formula>"Pass"</formula>
    </cfRule>
    <cfRule type="cellIs" dxfId="9262" priority="9102" stopIfTrue="1" operator="equal">
      <formula>"Fail"</formula>
    </cfRule>
  </conditionalFormatting>
  <conditionalFormatting sqref="J1025:N1025">
    <cfRule type="cellIs" dxfId="9261" priority="9099" stopIfTrue="1" operator="equal">
      <formula>"Pass"</formula>
    </cfRule>
    <cfRule type="cellIs" dxfId="9260" priority="9100" stopIfTrue="1" operator="equal">
      <formula>"Fail"</formula>
    </cfRule>
  </conditionalFormatting>
  <conditionalFormatting sqref="H1024:H1025">
    <cfRule type="cellIs" dxfId="9259" priority="9097" stopIfTrue="1" operator="equal">
      <formula>"Pass"</formula>
    </cfRule>
    <cfRule type="cellIs" dxfId="9258" priority="9098" stopIfTrue="1" operator="equal">
      <formula>"Fail"</formula>
    </cfRule>
  </conditionalFormatting>
  <conditionalFormatting sqref="F1024 F1026 I1024:M1025">
    <cfRule type="cellIs" dxfId="9257" priority="9095" stopIfTrue="1" operator="equal">
      <formula>"Pass"</formula>
    </cfRule>
    <cfRule type="cellIs" dxfId="9256" priority="9096" stopIfTrue="1" operator="equal">
      <formula>"Fail"</formula>
    </cfRule>
  </conditionalFormatting>
  <conditionalFormatting sqref="T1026 T1024 R1024:R1026 S1025:S1026">
    <cfRule type="cellIs" dxfId="9255" priority="9093" stopIfTrue="1" operator="equal">
      <formula>"Fail"</formula>
    </cfRule>
    <cfRule type="cellIs" dxfId="9254" priority="9094" stopIfTrue="1" operator="equal">
      <formula>"Pass"</formula>
    </cfRule>
  </conditionalFormatting>
  <conditionalFormatting sqref="F1024:G1024 F1026:G1026 J1024:N1025">
    <cfRule type="cellIs" dxfId="9253" priority="9091" stopIfTrue="1" operator="equal">
      <formula>"Pass"</formula>
    </cfRule>
    <cfRule type="cellIs" dxfId="9252" priority="9092" stopIfTrue="1" operator="equal">
      <formula>"Fail"</formula>
    </cfRule>
  </conditionalFormatting>
  <conditionalFormatting sqref="U1026:V1026 T1024:T1026 S1025:S1026">
    <cfRule type="cellIs" dxfId="9251" priority="9089" stopIfTrue="1" operator="equal">
      <formula>"Fail"</formula>
    </cfRule>
    <cfRule type="cellIs" dxfId="9250" priority="9090" stopIfTrue="1" operator="equal">
      <formula>"Pass"</formula>
    </cfRule>
  </conditionalFormatting>
  <conditionalFormatting sqref="U1024:V1024">
    <cfRule type="cellIs" dxfId="9249" priority="9087" stopIfTrue="1" operator="equal">
      <formula>"Fail"</formula>
    </cfRule>
    <cfRule type="cellIs" dxfId="9248" priority="9088" stopIfTrue="1" operator="equal">
      <formula>"Pass"</formula>
    </cfRule>
  </conditionalFormatting>
  <conditionalFormatting sqref="F1024:G1024 J1024:N1024">
    <cfRule type="cellIs" dxfId="9247" priority="9085" stopIfTrue="1" operator="equal">
      <formula>"Pass"</formula>
    </cfRule>
    <cfRule type="cellIs" dxfId="9246" priority="9086" stopIfTrue="1" operator="equal">
      <formula>"Fail"</formula>
    </cfRule>
  </conditionalFormatting>
  <conditionalFormatting sqref="J1025:N1025">
    <cfRule type="cellIs" dxfId="9245" priority="9083" stopIfTrue="1" operator="equal">
      <formula>"Pass"</formula>
    </cfRule>
    <cfRule type="cellIs" dxfId="9244" priority="9084" stopIfTrue="1" operator="equal">
      <formula>"Fail"</formula>
    </cfRule>
  </conditionalFormatting>
  <conditionalFormatting sqref="H1024:H1025">
    <cfRule type="cellIs" dxfId="9243" priority="9081" stopIfTrue="1" operator="equal">
      <formula>"Pass"</formula>
    </cfRule>
    <cfRule type="cellIs" dxfId="9242" priority="9082" stopIfTrue="1" operator="equal">
      <formula>"Fail"</formula>
    </cfRule>
  </conditionalFormatting>
  <conditionalFormatting sqref="F1024 F1026 I1024:M1025">
    <cfRule type="cellIs" dxfId="9241" priority="9079" stopIfTrue="1" operator="equal">
      <formula>"Pass"</formula>
    </cfRule>
    <cfRule type="cellIs" dxfId="9240" priority="9080" stopIfTrue="1" operator="equal">
      <formula>"Fail"</formula>
    </cfRule>
  </conditionalFormatting>
  <conditionalFormatting sqref="T1026 T1024 R1024:R1026 S1025:S1026">
    <cfRule type="cellIs" dxfId="9239" priority="9077" stopIfTrue="1" operator="equal">
      <formula>"Fail"</formula>
    </cfRule>
    <cfRule type="cellIs" dxfId="9238" priority="9078" stopIfTrue="1" operator="equal">
      <formula>"Pass"</formula>
    </cfRule>
  </conditionalFormatting>
  <conditionalFormatting sqref="F1024:G1024 F1026:G1026 J1024:N1025">
    <cfRule type="cellIs" dxfId="9237" priority="9075" stopIfTrue="1" operator="equal">
      <formula>"Pass"</formula>
    </cfRule>
    <cfRule type="cellIs" dxfId="9236" priority="9076" stopIfTrue="1" operator="equal">
      <formula>"Fail"</formula>
    </cfRule>
  </conditionalFormatting>
  <conditionalFormatting sqref="U1026:V1026 T1024:T1026 S1025:S1026">
    <cfRule type="cellIs" dxfId="9235" priority="9073" stopIfTrue="1" operator="equal">
      <formula>"Fail"</formula>
    </cfRule>
    <cfRule type="cellIs" dxfId="9234" priority="9074" stopIfTrue="1" operator="equal">
      <formula>"Pass"</formula>
    </cfRule>
  </conditionalFormatting>
  <conditionalFormatting sqref="U1024:V1024">
    <cfRule type="cellIs" dxfId="9233" priority="9071" stopIfTrue="1" operator="equal">
      <formula>"Fail"</formula>
    </cfRule>
    <cfRule type="cellIs" dxfId="9232" priority="9072" stopIfTrue="1" operator="equal">
      <formula>"Pass"</formula>
    </cfRule>
  </conditionalFormatting>
  <conditionalFormatting sqref="F1024:G1024 J1024:N1024">
    <cfRule type="cellIs" dxfId="9231" priority="9069" stopIfTrue="1" operator="equal">
      <formula>"Pass"</formula>
    </cfRule>
    <cfRule type="cellIs" dxfId="9230" priority="9070" stopIfTrue="1" operator="equal">
      <formula>"Fail"</formula>
    </cfRule>
  </conditionalFormatting>
  <conditionalFormatting sqref="J1025:N1025">
    <cfRule type="cellIs" dxfId="9229" priority="9067" stopIfTrue="1" operator="equal">
      <formula>"Pass"</formula>
    </cfRule>
    <cfRule type="cellIs" dxfId="9228" priority="9068" stopIfTrue="1" operator="equal">
      <formula>"Fail"</formula>
    </cfRule>
  </conditionalFormatting>
  <conditionalFormatting sqref="U1024:V1024">
    <cfRule type="cellIs" dxfId="9227" priority="9065" stopIfTrue="1" operator="equal">
      <formula>"Fail"</formula>
    </cfRule>
    <cfRule type="cellIs" dxfId="9226" priority="9066" stopIfTrue="1" operator="equal">
      <formula>"Pass"</formula>
    </cfRule>
  </conditionalFormatting>
  <conditionalFormatting sqref="U1024:V1024">
    <cfRule type="cellIs" dxfId="9225" priority="9063" stopIfTrue="1" operator="equal">
      <formula>"Fail"</formula>
    </cfRule>
    <cfRule type="cellIs" dxfId="9224" priority="9064" stopIfTrue="1" operator="equal">
      <formula>"Pass"</formula>
    </cfRule>
  </conditionalFormatting>
  <conditionalFormatting sqref="U1024:V1024">
    <cfRule type="cellIs" dxfId="9223" priority="9061" stopIfTrue="1" operator="equal">
      <formula>"Fail"</formula>
    </cfRule>
    <cfRule type="cellIs" dxfId="9222" priority="9062" stopIfTrue="1" operator="equal">
      <formula>"Pass"</formula>
    </cfRule>
  </conditionalFormatting>
  <conditionalFormatting sqref="N1024">
    <cfRule type="cellIs" dxfId="9221" priority="9059" stopIfTrue="1" operator="equal">
      <formula>"Pass"</formula>
    </cfRule>
    <cfRule type="cellIs" dxfId="9220" priority="9060" stopIfTrue="1" operator="equal">
      <formula>"Fail"</formula>
    </cfRule>
  </conditionalFormatting>
  <conditionalFormatting sqref="N1024">
    <cfRule type="cellIs" dxfId="9219" priority="9057" stopIfTrue="1" operator="equal">
      <formula>"Pass"</formula>
    </cfRule>
    <cfRule type="cellIs" dxfId="9218" priority="9058" stopIfTrue="1" operator="equal">
      <formula>"Fail"</formula>
    </cfRule>
  </conditionalFormatting>
  <conditionalFormatting sqref="N1024">
    <cfRule type="cellIs" dxfId="9217" priority="9055" stopIfTrue="1" operator="equal">
      <formula>"Pass"</formula>
    </cfRule>
    <cfRule type="cellIs" dxfId="9216" priority="9056" stopIfTrue="1" operator="equal">
      <formula>"Fail"</formula>
    </cfRule>
  </conditionalFormatting>
  <conditionalFormatting sqref="U1024:V1024">
    <cfRule type="cellIs" dxfId="9215" priority="9053" stopIfTrue="1" operator="equal">
      <formula>"Fail"</formula>
    </cfRule>
    <cfRule type="cellIs" dxfId="9214" priority="9054" stopIfTrue="1" operator="equal">
      <formula>"Pass"</formula>
    </cfRule>
  </conditionalFormatting>
  <conditionalFormatting sqref="U1024:V1024">
    <cfRule type="cellIs" dxfId="9213" priority="9051" stopIfTrue="1" operator="equal">
      <formula>"Fail"</formula>
    </cfRule>
    <cfRule type="cellIs" dxfId="9212" priority="9052" stopIfTrue="1" operator="equal">
      <formula>"Pass"</formula>
    </cfRule>
  </conditionalFormatting>
  <conditionalFormatting sqref="U1024:V1024">
    <cfRule type="cellIs" dxfId="9211" priority="9049" stopIfTrue="1" operator="equal">
      <formula>"Fail"</formula>
    </cfRule>
    <cfRule type="cellIs" dxfId="9210" priority="9050" stopIfTrue="1" operator="equal">
      <formula>"Pass"</formula>
    </cfRule>
  </conditionalFormatting>
  <conditionalFormatting sqref="U1024:V1024">
    <cfRule type="cellIs" dxfId="9209" priority="9047" stopIfTrue="1" operator="equal">
      <formula>"Fail"</formula>
    </cfRule>
    <cfRule type="cellIs" dxfId="9208" priority="9048" stopIfTrue="1" operator="equal">
      <formula>"Pass"</formula>
    </cfRule>
  </conditionalFormatting>
  <conditionalFormatting sqref="T1024">
    <cfRule type="cellIs" dxfId="9207" priority="9045" stopIfTrue="1" operator="equal">
      <formula>"Fail"</formula>
    </cfRule>
    <cfRule type="cellIs" dxfId="9206" priority="9046" stopIfTrue="1" operator="equal">
      <formula>"Pass"</formula>
    </cfRule>
  </conditionalFormatting>
  <conditionalFormatting sqref="T1024">
    <cfRule type="cellIs" dxfId="9205" priority="9043" stopIfTrue="1" operator="equal">
      <formula>"Fail"</formula>
    </cfRule>
    <cfRule type="cellIs" dxfId="9204" priority="9044" stopIfTrue="1" operator="equal">
      <formula>"Pass"</formula>
    </cfRule>
  </conditionalFormatting>
  <conditionalFormatting sqref="T1024">
    <cfRule type="cellIs" dxfId="9203" priority="9041" stopIfTrue="1" operator="equal">
      <formula>"Fail"</formula>
    </cfRule>
    <cfRule type="cellIs" dxfId="9202" priority="9042" stopIfTrue="1" operator="equal">
      <formula>"Pass"</formula>
    </cfRule>
  </conditionalFormatting>
  <conditionalFormatting sqref="T1024">
    <cfRule type="cellIs" dxfId="9201" priority="9039" stopIfTrue="1" operator="equal">
      <formula>"Fail"</formula>
    </cfRule>
    <cfRule type="cellIs" dxfId="9200" priority="9040" stopIfTrue="1" operator="equal">
      <formula>"Pass"</formula>
    </cfRule>
  </conditionalFormatting>
  <conditionalFormatting sqref="T1024">
    <cfRule type="cellIs" dxfId="9199" priority="9037" stopIfTrue="1" operator="equal">
      <formula>"Fail"</formula>
    </cfRule>
    <cfRule type="cellIs" dxfId="9198" priority="9038" stopIfTrue="1" operator="equal">
      <formula>"Pass"</formula>
    </cfRule>
  </conditionalFormatting>
  <conditionalFormatting sqref="T1024">
    <cfRule type="cellIs" dxfId="9197" priority="9035" stopIfTrue="1" operator="equal">
      <formula>"Fail"</formula>
    </cfRule>
    <cfRule type="cellIs" dxfId="9196" priority="9036" stopIfTrue="1" operator="equal">
      <formula>"Pass"</formula>
    </cfRule>
  </conditionalFormatting>
  <conditionalFormatting sqref="T1024">
    <cfRule type="cellIs" dxfId="9195" priority="9033" stopIfTrue="1" operator="equal">
      <formula>"Fail"</formula>
    </cfRule>
    <cfRule type="cellIs" dxfId="9194" priority="9034" stopIfTrue="1" operator="equal">
      <formula>"Pass"</formula>
    </cfRule>
  </conditionalFormatting>
  <conditionalFormatting sqref="T1024">
    <cfRule type="cellIs" dxfId="9193" priority="9031" stopIfTrue="1" operator="equal">
      <formula>"Fail"</formula>
    </cfRule>
    <cfRule type="cellIs" dxfId="9192" priority="9032" stopIfTrue="1" operator="equal">
      <formula>"Pass"</formula>
    </cfRule>
  </conditionalFormatting>
  <conditionalFormatting sqref="T1024">
    <cfRule type="cellIs" dxfId="9191" priority="9029" stopIfTrue="1" operator="equal">
      <formula>"Fail"</formula>
    </cfRule>
    <cfRule type="cellIs" dxfId="9190" priority="9030" stopIfTrue="1" operator="equal">
      <formula>"Pass"</formula>
    </cfRule>
  </conditionalFormatting>
  <conditionalFormatting sqref="T1024">
    <cfRule type="cellIs" dxfId="9189" priority="9027" stopIfTrue="1" operator="equal">
      <formula>"Fail"</formula>
    </cfRule>
    <cfRule type="cellIs" dxfId="9188" priority="9028" stopIfTrue="1" operator="equal">
      <formula>"Pass"</formula>
    </cfRule>
  </conditionalFormatting>
  <conditionalFormatting sqref="T1024">
    <cfRule type="cellIs" dxfId="9187" priority="9025" stopIfTrue="1" operator="equal">
      <formula>"Fail"</formula>
    </cfRule>
    <cfRule type="cellIs" dxfId="9186" priority="9026" stopIfTrue="1" operator="equal">
      <formula>"Pass"</formula>
    </cfRule>
  </conditionalFormatting>
  <conditionalFormatting sqref="T1024">
    <cfRule type="cellIs" dxfId="9185" priority="9023" stopIfTrue="1" operator="equal">
      <formula>"Fail"</formula>
    </cfRule>
    <cfRule type="cellIs" dxfId="9184" priority="9024" stopIfTrue="1" operator="equal">
      <formula>"Pass"</formula>
    </cfRule>
  </conditionalFormatting>
  <conditionalFormatting sqref="T1024">
    <cfRule type="cellIs" dxfId="9183" priority="9021" stopIfTrue="1" operator="equal">
      <formula>"Fail"</formula>
    </cfRule>
    <cfRule type="cellIs" dxfId="9182" priority="9022" stopIfTrue="1" operator="equal">
      <formula>"Pass"</formula>
    </cfRule>
  </conditionalFormatting>
  <conditionalFormatting sqref="T1024">
    <cfRule type="cellIs" dxfId="9181" priority="9019" stopIfTrue="1" operator="equal">
      <formula>"Fail"</formula>
    </cfRule>
    <cfRule type="cellIs" dxfId="9180" priority="9020" stopIfTrue="1" operator="equal">
      <formula>"Pass"</formula>
    </cfRule>
  </conditionalFormatting>
  <conditionalFormatting sqref="T1024">
    <cfRule type="cellIs" dxfId="9179" priority="9017" stopIfTrue="1" operator="equal">
      <formula>"Fail"</formula>
    </cfRule>
    <cfRule type="cellIs" dxfId="9178" priority="9018" stopIfTrue="1" operator="equal">
      <formula>"Pass"</formula>
    </cfRule>
  </conditionalFormatting>
  <conditionalFormatting sqref="T1024">
    <cfRule type="cellIs" dxfId="9177" priority="9015" stopIfTrue="1" operator="equal">
      <formula>"Fail"</formula>
    </cfRule>
    <cfRule type="cellIs" dxfId="9176" priority="9016" stopIfTrue="1" operator="equal">
      <formula>"Pass"</formula>
    </cfRule>
  </conditionalFormatting>
  <conditionalFormatting sqref="T1024">
    <cfRule type="cellIs" dxfId="9175" priority="9013" stopIfTrue="1" operator="equal">
      <formula>"Fail"</formula>
    </cfRule>
    <cfRule type="cellIs" dxfId="9174" priority="9014" stopIfTrue="1" operator="equal">
      <formula>"Pass"</formula>
    </cfRule>
  </conditionalFormatting>
  <conditionalFormatting sqref="T1024">
    <cfRule type="cellIs" dxfId="9173" priority="9011" stopIfTrue="1" operator="equal">
      <formula>"Fail"</formula>
    </cfRule>
    <cfRule type="cellIs" dxfId="9172" priority="9012" stopIfTrue="1" operator="equal">
      <formula>"Pass"</formula>
    </cfRule>
  </conditionalFormatting>
  <conditionalFormatting sqref="T1024">
    <cfRule type="cellIs" dxfId="9171" priority="9009" stopIfTrue="1" operator="equal">
      <formula>"Fail"</formula>
    </cfRule>
    <cfRule type="cellIs" dxfId="9170" priority="9010" stopIfTrue="1" operator="equal">
      <formula>"Pass"</formula>
    </cfRule>
  </conditionalFormatting>
  <conditionalFormatting sqref="T1024">
    <cfRule type="cellIs" dxfId="9169" priority="9007" stopIfTrue="1" operator="equal">
      <formula>"Fail"</formula>
    </cfRule>
    <cfRule type="cellIs" dxfId="9168" priority="9008" stopIfTrue="1" operator="equal">
      <formula>"Pass"</formula>
    </cfRule>
  </conditionalFormatting>
  <conditionalFormatting sqref="T1024">
    <cfRule type="cellIs" dxfId="9167" priority="9005" stopIfTrue="1" operator="equal">
      <formula>"Fail"</formula>
    </cfRule>
    <cfRule type="cellIs" dxfId="9166" priority="9006" stopIfTrue="1" operator="equal">
      <formula>"Pass"</formula>
    </cfRule>
  </conditionalFormatting>
  <conditionalFormatting sqref="T1024">
    <cfRule type="cellIs" dxfId="9165" priority="9003" stopIfTrue="1" operator="equal">
      <formula>"Fail"</formula>
    </cfRule>
    <cfRule type="cellIs" dxfId="9164" priority="9004" stopIfTrue="1" operator="equal">
      <formula>"Pass"</formula>
    </cfRule>
  </conditionalFormatting>
  <conditionalFormatting sqref="T1024">
    <cfRule type="cellIs" dxfId="9163" priority="9001" stopIfTrue="1" operator="equal">
      <formula>"Fail"</formula>
    </cfRule>
    <cfRule type="cellIs" dxfId="9162" priority="9002" stopIfTrue="1" operator="equal">
      <formula>"Pass"</formula>
    </cfRule>
  </conditionalFormatting>
  <conditionalFormatting sqref="T1024">
    <cfRule type="cellIs" dxfId="9161" priority="8999" stopIfTrue="1" operator="equal">
      <formula>"Fail"</formula>
    </cfRule>
    <cfRule type="cellIs" dxfId="9160" priority="9000" stopIfTrue="1" operator="equal">
      <formula>"Pass"</formula>
    </cfRule>
  </conditionalFormatting>
  <conditionalFormatting sqref="A1027:A1029">
    <cfRule type="cellIs" dxfId="9159" priority="8997" stopIfTrue="1" operator="equal">
      <formula>"Pass"</formula>
    </cfRule>
    <cfRule type="cellIs" dxfId="9158" priority="8998" stopIfTrue="1" operator="equal">
      <formula>"Fail"</formula>
    </cfRule>
  </conditionalFormatting>
  <conditionalFormatting sqref="A1027:A1029">
    <cfRule type="cellIs" dxfId="9157" priority="8995" stopIfTrue="1" operator="equal">
      <formula>"Pass"</formula>
    </cfRule>
    <cfRule type="cellIs" dxfId="9156" priority="8996" stopIfTrue="1" operator="equal">
      <formula>"Fail"</formula>
    </cfRule>
  </conditionalFormatting>
  <conditionalFormatting sqref="A1027:A1029">
    <cfRule type="cellIs" dxfId="9155" priority="8993" stopIfTrue="1" operator="equal">
      <formula>"Pass"</formula>
    </cfRule>
    <cfRule type="cellIs" dxfId="9154" priority="8994" stopIfTrue="1" operator="equal">
      <formula>"Fail"</formula>
    </cfRule>
  </conditionalFormatting>
  <conditionalFormatting sqref="A1027:A1029">
    <cfRule type="cellIs" dxfId="9153" priority="8991" stopIfTrue="1" operator="equal">
      <formula>"Pass"</formula>
    </cfRule>
    <cfRule type="cellIs" dxfId="9152" priority="8992" stopIfTrue="1" operator="equal">
      <formula>"Fail"</formula>
    </cfRule>
  </conditionalFormatting>
  <conditionalFormatting sqref="A1027:A1029">
    <cfRule type="cellIs" dxfId="9151" priority="8989" stopIfTrue="1" operator="equal">
      <formula>"Pass"</formula>
    </cfRule>
    <cfRule type="cellIs" dxfId="9150" priority="8990" stopIfTrue="1" operator="equal">
      <formula>"Fail"</formula>
    </cfRule>
  </conditionalFormatting>
  <conditionalFormatting sqref="A1029">
    <cfRule type="cellIs" dxfId="9149" priority="8987" stopIfTrue="1" operator="equal">
      <formula>"Pass"</formula>
    </cfRule>
    <cfRule type="cellIs" dxfId="9148" priority="8988" stopIfTrue="1" operator="equal">
      <formula>"Fail"</formula>
    </cfRule>
  </conditionalFormatting>
  <conditionalFormatting sqref="A1027:A1029">
    <cfRule type="cellIs" dxfId="9147" priority="8985" stopIfTrue="1" operator="equal">
      <formula>"Pass"</formula>
    </cfRule>
    <cfRule type="cellIs" dxfId="9146" priority="8986" stopIfTrue="1" operator="equal">
      <formula>"Fail"</formula>
    </cfRule>
  </conditionalFormatting>
  <conditionalFormatting sqref="A1027:A1029">
    <cfRule type="cellIs" dxfId="9145" priority="8983" stopIfTrue="1" operator="equal">
      <formula>"Pass"</formula>
    </cfRule>
    <cfRule type="cellIs" dxfId="9144" priority="8984" stopIfTrue="1" operator="equal">
      <formula>"Fail"</formula>
    </cfRule>
  </conditionalFormatting>
  <conditionalFormatting sqref="A1027:A1029">
    <cfRule type="cellIs" dxfId="9143" priority="8981" stopIfTrue="1" operator="equal">
      <formula>"Pass"</formula>
    </cfRule>
    <cfRule type="cellIs" dxfId="9142" priority="8982" stopIfTrue="1" operator="equal">
      <formula>"Fail"</formula>
    </cfRule>
  </conditionalFormatting>
  <conditionalFormatting sqref="A1027:A1029">
    <cfRule type="cellIs" dxfId="9141" priority="8979" stopIfTrue="1" operator="equal">
      <formula>"Pass"</formula>
    </cfRule>
    <cfRule type="cellIs" dxfId="9140" priority="8980" stopIfTrue="1" operator="equal">
      <formula>"Fail"</formula>
    </cfRule>
  </conditionalFormatting>
  <conditionalFormatting sqref="A1027:A1029">
    <cfRule type="cellIs" dxfId="9139" priority="8977" stopIfTrue="1" operator="equal">
      <formula>"Pass"</formula>
    </cfRule>
    <cfRule type="cellIs" dxfId="9138" priority="8978" stopIfTrue="1" operator="equal">
      <formula>"Fail"</formula>
    </cfRule>
  </conditionalFormatting>
  <conditionalFormatting sqref="A1027:A1029">
    <cfRule type="cellIs" dxfId="9137" priority="8975" stopIfTrue="1" operator="equal">
      <formula>"Pass"</formula>
    </cfRule>
    <cfRule type="cellIs" dxfId="9136" priority="8976" stopIfTrue="1" operator="equal">
      <formula>"Fail"</formula>
    </cfRule>
  </conditionalFormatting>
  <conditionalFormatting sqref="A1029">
    <cfRule type="cellIs" dxfId="9135" priority="8973" stopIfTrue="1" operator="equal">
      <formula>"Pass"</formula>
    </cfRule>
    <cfRule type="cellIs" dxfId="9134" priority="8974" stopIfTrue="1" operator="equal">
      <formula>"Fail"</formula>
    </cfRule>
  </conditionalFormatting>
  <conditionalFormatting sqref="A1027:A1029">
    <cfRule type="cellIs" dxfId="9133" priority="8971" stopIfTrue="1" operator="equal">
      <formula>"Pass"</formula>
    </cfRule>
    <cfRule type="cellIs" dxfId="9132" priority="8972" stopIfTrue="1" operator="equal">
      <formula>"Fail"</formula>
    </cfRule>
  </conditionalFormatting>
  <conditionalFormatting sqref="A1027:A1029">
    <cfRule type="cellIs" dxfId="9131" priority="8969" stopIfTrue="1" operator="equal">
      <formula>"Pass"</formula>
    </cfRule>
    <cfRule type="cellIs" dxfId="9130" priority="8970" stopIfTrue="1" operator="equal">
      <formula>"Fail"</formula>
    </cfRule>
  </conditionalFormatting>
  <conditionalFormatting sqref="A1027:A1029">
    <cfRule type="cellIs" dxfId="9129" priority="8967" stopIfTrue="1" operator="equal">
      <formula>"Pass"</formula>
    </cfRule>
    <cfRule type="cellIs" dxfId="9128" priority="8968" stopIfTrue="1" operator="equal">
      <formula>"Fail"</formula>
    </cfRule>
  </conditionalFormatting>
  <conditionalFormatting sqref="A1027:A1029">
    <cfRule type="cellIs" dxfId="9127" priority="8965" stopIfTrue="1" operator="equal">
      <formula>"Pass"</formula>
    </cfRule>
    <cfRule type="cellIs" dxfId="9126" priority="8966" stopIfTrue="1" operator="equal">
      <formula>"Fail"</formula>
    </cfRule>
  </conditionalFormatting>
  <conditionalFormatting sqref="A1027:A1029">
    <cfRule type="cellIs" dxfId="9125" priority="8963" stopIfTrue="1" operator="equal">
      <formula>"Pass"</formula>
    </cfRule>
    <cfRule type="cellIs" dxfId="9124" priority="8964" stopIfTrue="1" operator="equal">
      <formula>"Fail"</formula>
    </cfRule>
  </conditionalFormatting>
  <conditionalFormatting sqref="A1027:A1029">
    <cfRule type="cellIs" dxfId="9123" priority="8961" stopIfTrue="1" operator="equal">
      <formula>"Pass"</formula>
    </cfRule>
    <cfRule type="cellIs" dxfId="9122" priority="8962" stopIfTrue="1" operator="equal">
      <formula>"Fail"</formula>
    </cfRule>
  </conditionalFormatting>
  <conditionalFormatting sqref="A1029">
    <cfRule type="cellIs" dxfId="9121" priority="8959" stopIfTrue="1" operator="equal">
      <formula>"Pass"</formula>
    </cfRule>
    <cfRule type="cellIs" dxfId="9120" priority="8960" stopIfTrue="1" operator="equal">
      <formula>"Fail"</formula>
    </cfRule>
  </conditionalFormatting>
  <conditionalFormatting sqref="A1027:A1029">
    <cfRule type="cellIs" dxfId="9119" priority="8957" stopIfTrue="1" operator="equal">
      <formula>"Pass"</formula>
    </cfRule>
    <cfRule type="cellIs" dxfId="9118" priority="8958" stopIfTrue="1" operator="equal">
      <formula>"Fail"</formula>
    </cfRule>
  </conditionalFormatting>
  <conditionalFormatting sqref="A1027:A1029">
    <cfRule type="cellIs" dxfId="9117" priority="8955" stopIfTrue="1" operator="equal">
      <formula>"Pass"</formula>
    </cfRule>
    <cfRule type="cellIs" dxfId="9116" priority="8956" stopIfTrue="1" operator="equal">
      <formula>"Fail"</formula>
    </cfRule>
  </conditionalFormatting>
  <conditionalFormatting sqref="A1027:A1029">
    <cfRule type="cellIs" dxfId="9115" priority="8953" stopIfTrue="1" operator="equal">
      <formula>"Pass"</formula>
    </cfRule>
    <cfRule type="cellIs" dxfId="9114" priority="8954" stopIfTrue="1" operator="equal">
      <formula>"Fail"</formula>
    </cfRule>
  </conditionalFormatting>
  <conditionalFormatting sqref="A1027:A1029">
    <cfRule type="cellIs" dxfId="9113" priority="8951" stopIfTrue="1" operator="equal">
      <formula>"Pass"</formula>
    </cfRule>
    <cfRule type="cellIs" dxfId="9112" priority="8952" stopIfTrue="1" operator="equal">
      <formula>"Fail"</formula>
    </cfRule>
  </conditionalFormatting>
  <conditionalFormatting sqref="A1027:A1029">
    <cfRule type="cellIs" dxfId="9111" priority="8949" stopIfTrue="1" operator="equal">
      <formula>"Pass"</formula>
    </cfRule>
    <cfRule type="cellIs" dxfId="9110" priority="8950" stopIfTrue="1" operator="equal">
      <formula>"Fail"</formula>
    </cfRule>
  </conditionalFormatting>
  <conditionalFormatting sqref="A1027:A1029">
    <cfRule type="cellIs" dxfId="9109" priority="8947" stopIfTrue="1" operator="equal">
      <formula>"Pass"</formula>
    </cfRule>
    <cfRule type="cellIs" dxfId="9108" priority="8948" stopIfTrue="1" operator="equal">
      <formula>"Fail"</formula>
    </cfRule>
  </conditionalFormatting>
  <conditionalFormatting sqref="A1029">
    <cfRule type="cellIs" dxfId="9107" priority="8945" stopIfTrue="1" operator="equal">
      <formula>"Pass"</formula>
    </cfRule>
    <cfRule type="cellIs" dxfId="9106" priority="8946" stopIfTrue="1" operator="equal">
      <formula>"Fail"</formula>
    </cfRule>
  </conditionalFormatting>
  <conditionalFormatting sqref="A1027:A1029">
    <cfRule type="cellIs" dxfId="9105" priority="8943" stopIfTrue="1" operator="equal">
      <formula>"Pass"</formula>
    </cfRule>
    <cfRule type="cellIs" dxfId="9104" priority="8944" stopIfTrue="1" operator="equal">
      <formula>"Fail"</formula>
    </cfRule>
  </conditionalFormatting>
  <conditionalFormatting sqref="A1027:A1029">
    <cfRule type="cellIs" dxfId="9103" priority="8941" stopIfTrue="1" operator="equal">
      <formula>"Pass"</formula>
    </cfRule>
    <cfRule type="cellIs" dxfId="9102" priority="8942" stopIfTrue="1" operator="equal">
      <formula>"Fail"</formula>
    </cfRule>
  </conditionalFormatting>
  <conditionalFormatting sqref="A1027:A1029">
    <cfRule type="cellIs" dxfId="9101" priority="8939" stopIfTrue="1" operator="equal">
      <formula>"Pass"</formula>
    </cfRule>
    <cfRule type="cellIs" dxfId="9100" priority="8940" stopIfTrue="1" operator="equal">
      <formula>"Fail"</formula>
    </cfRule>
  </conditionalFormatting>
  <conditionalFormatting sqref="A1027:A1029">
    <cfRule type="cellIs" dxfId="9099" priority="8937" stopIfTrue="1" operator="equal">
      <formula>"Pass"</formula>
    </cfRule>
    <cfRule type="cellIs" dxfId="9098" priority="8938" stopIfTrue="1" operator="equal">
      <formula>"Fail"</formula>
    </cfRule>
  </conditionalFormatting>
  <conditionalFormatting sqref="A1027:A1029">
    <cfRule type="cellIs" dxfId="9097" priority="8935" stopIfTrue="1" operator="equal">
      <formula>"Pass"</formula>
    </cfRule>
    <cfRule type="cellIs" dxfId="9096" priority="8936" stopIfTrue="1" operator="equal">
      <formula>"Fail"</formula>
    </cfRule>
  </conditionalFormatting>
  <conditionalFormatting sqref="A1027:A1029">
    <cfRule type="cellIs" dxfId="9095" priority="8933" stopIfTrue="1" operator="equal">
      <formula>"Pass"</formula>
    </cfRule>
    <cfRule type="cellIs" dxfId="9094" priority="8934" stopIfTrue="1" operator="equal">
      <formula>"Fail"</formula>
    </cfRule>
  </conditionalFormatting>
  <conditionalFormatting sqref="A1029">
    <cfRule type="cellIs" dxfId="9093" priority="8931" stopIfTrue="1" operator="equal">
      <formula>"Pass"</formula>
    </cfRule>
    <cfRule type="cellIs" dxfId="9092" priority="8932" stopIfTrue="1" operator="equal">
      <formula>"Fail"</formula>
    </cfRule>
  </conditionalFormatting>
  <conditionalFormatting sqref="A1027:A1029">
    <cfRule type="cellIs" dxfId="9091" priority="8929" stopIfTrue="1" operator="equal">
      <formula>"Pass"</formula>
    </cfRule>
    <cfRule type="cellIs" dxfId="9090" priority="8930" stopIfTrue="1" operator="equal">
      <formula>"Fail"</formula>
    </cfRule>
  </conditionalFormatting>
  <conditionalFormatting sqref="A1027:A1029">
    <cfRule type="cellIs" dxfId="9089" priority="8927" stopIfTrue="1" operator="equal">
      <formula>"Pass"</formula>
    </cfRule>
    <cfRule type="cellIs" dxfId="9088" priority="8928" stopIfTrue="1" operator="equal">
      <formula>"Fail"</formula>
    </cfRule>
  </conditionalFormatting>
  <conditionalFormatting sqref="A1027:A1029">
    <cfRule type="cellIs" dxfId="9087" priority="8925" stopIfTrue="1" operator="equal">
      <formula>"Pass"</formula>
    </cfRule>
    <cfRule type="cellIs" dxfId="9086" priority="8926" stopIfTrue="1" operator="equal">
      <formula>"Fail"</formula>
    </cfRule>
  </conditionalFormatting>
  <conditionalFormatting sqref="A1027:A1029">
    <cfRule type="cellIs" dxfId="9085" priority="8923" stopIfTrue="1" operator="equal">
      <formula>"Pass"</formula>
    </cfRule>
    <cfRule type="cellIs" dxfId="9084" priority="8924" stopIfTrue="1" operator="equal">
      <formula>"Fail"</formula>
    </cfRule>
  </conditionalFormatting>
  <conditionalFormatting sqref="A1027:A1029">
    <cfRule type="cellIs" dxfId="9083" priority="8921" stopIfTrue="1" operator="equal">
      <formula>"Pass"</formula>
    </cfRule>
    <cfRule type="cellIs" dxfId="9082" priority="8922" stopIfTrue="1" operator="equal">
      <formula>"Fail"</formula>
    </cfRule>
  </conditionalFormatting>
  <conditionalFormatting sqref="A1027:A1029">
    <cfRule type="cellIs" dxfId="9081" priority="8919" stopIfTrue="1" operator="equal">
      <formula>"Pass"</formula>
    </cfRule>
    <cfRule type="cellIs" dxfId="9080" priority="8920" stopIfTrue="1" operator="equal">
      <formula>"Fail"</formula>
    </cfRule>
  </conditionalFormatting>
  <conditionalFormatting sqref="A1029">
    <cfRule type="cellIs" dxfId="9079" priority="8917" stopIfTrue="1" operator="equal">
      <formula>"Pass"</formula>
    </cfRule>
    <cfRule type="cellIs" dxfId="9078" priority="8918" stopIfTrue="1" operator="equal">
      <formula>"Fail"</formula>
    </cfRule>
  </conditionalFormatting>
  <conditionalFormatting sqref="A1027:A1029">
    <cfRule type="cellIs" dxfId="9077" priority="8915" stopIfTrue="1" operator="equal">
      <formula>"Pass"</formula>
    </cfRule>
    <cfRule type="cellIs" dxfId="9076" priority="8916" stopIfTrue="1" operator="equal">
      <formula>"Fail"</formula>
    </cfRule>
  </conditionalFormatting>
  <conditionalFormatting sqref="A1027">
    <cfRule type="cellIs" dxfId="9075" priority="8913" stopIfTrue="1" operator="equal">
      <formula>"Pass"</formula>
    </cfRule>
    <cfRule type="cellIs" dxfId="9074" priority="8914" stopIfTrue="1" operator="equal">
      <formula>"Fail"</formula>
    </cfRule>
  </conditionalFormatting>
  <conditionalFormatting sqref="A1027">
    <cfRule type="cellIs" dxfId="9073" priority="8911" stopIfTrue="1" operator="equal">
      <formula>"Pass"</formula>
    </cfRule>
    <cfRule type="cellIs" dxfId="9072" priority="8912" stopIfTrue="1" operator="equal">
      <formula>"Fail"</formula>
    </cfRule>
  </conditionalFormatting>
  <conditionalFormatting sqref="A1027">
    <cfRule type="cellIs" dxfId="9071" priority="8909" stopIfTrue="1" operator="equal">
      <formula>"Pass"</formula>
    </cfRule>
    <cfRule type="cellIs" dxfId="9070" priority="8910" stopIfTrue="1" operator="equal">
      <formula>"Fail"</formula>
    </cfRule>
  </conditionalFormatting>
  <conditionalFormatting sqref="A1027">
    <cfRule type="cellIs" dxfId="9069" priority="8907" stopIfTrue="1" operator="equal">
      <formula>"Pass"</formula>
    </cfRule>
    <cfRule type="cellIs" dxfId="9068" priority="8908" stopIfTrue="1" operator="equal">
      <formula>"Fail"</formula>
    </cfRule>
  </conditionalFormatting>
  <conditionalFormatting sqref="A1027">
    <cfRule type="cellIs" dxfId="9067" priority="8905" stopIfTrue="1" operator="equal">
      <formula>"Pass"</formula>
    </cfRule>
    <cfRule type="cellIs" dxfId="9066" priority="8906" stopIfTrue="1" operator="equal">
      <formula>"Fail"</formula>
    </cfRule>
  </conditionalFormatting>
  <conditionalFormatting sqref="A1027">
    <cfRule type="cellIs" dxfId="9065" priority="8903" stopIfTrue="1" operator="equal">
      <formula>"Pass"</formula>
    </cfRule>
    <cfRule type="cellIs" dxfId="9064" priority="8904" stopIfTrue="1" operator="equal">
      <formula>"Fail"</formula>
    </cfRule>
  </conditionalFormatting>
  <conditionalFormatting sqref="H1027:H1028">
    <cfRule type="cellIs" dxfId="9063" priority="8901" stopIfTrue="1" operator="equal">
      <formula>"Pass"</formula>
    </cfRule>
    <cfRule type="cellIs" dxfId="9062" priority="8902" stopIfTrue="1" operator="equal">
      <formula>"Fail"</formula>
    </cfRule>
  </conditionalFormatting>
  <conditionalFormatting sqref="E1027:F1027 E1029:F1029 A1027 I1027:M1028">
    <cfRule type="cellIs" dxfId="9061" priority="8899" stopIfTrue="1" operator="equal">
      <formula>"Pass"</formula>
    </cfRule>
    <cfRule type="cellIs" dxfId="9060" priority="8900" stopIfTrue="1" operator="equal">
      <formula>"Fail"</formula>
    </cfRule>
  </conditionalFormatting>
  <conditionalFormatting sqref="T1029 T1027 R1027:R1029 S1028:S1029">
    <cfRule type="cellIs" dxfId="9059" priority="8897" stopIfTrue="1" operator="equal">
      <formula>"Fail"</formula>
    </cfRule>
    <cfRule type="cellIs" dxfId="9058" priority="8898" stopIfTrue="1" operator="equal">
      <formula>"Pass"</formula>
    </cfRule>
  </conditionalFormatting>
  <conditionalFormatting sqref="F1027:G1027 F1029:G1029 B1027:B1029 A1027 J1027:N1028">
    <cfRule type="cellIs" dxfId="9057" priority="8895" stopIfTrue="1" operator="equal">
      <formula>"Pass"</formula>
    </cfRule>
    <cfRule type="cellIs" dxfId="9056" priority="8896" stopIfTrue="1" operator="equal">
      <formula>"Fail"</formula>
    </cfRule>
  </conditionalFormatting>
  <conditionalFormatting sqref="U1029:V1029 T1027:T1029 S1028:S1029">
    <cfRule type="cellIs" dxfId="9055" priority="8893" stopIfTrue="1" operator="equal">
      <formula>"Fail"</formula>
    </cfRule>
    <cfRule type="cellIs" dxfId="9054" priority="8894" stopIfTrue="1" operator="equal">
      <formula>"Pass"</formula>
    </cfRule>
  </conditionalFormatting>
  <conditionalFormatting sqref="A1027">
    <cfRule type="cellIs" dxfId="9053" priority="8891" stopIfTrue="1" operator="equal">
      <formula>"Pass"</formula>
    </cfRule>
    <cfRule type="cellIs" dxfId="9052" priority="8892" stopIfTrue="1" operator="equal">
      <formula>"Fail"</formula>
    </cfRule>
  </conditionalFormatting>
  <conditionalFormatting sqref="A1027">
    <cfRule type="cellIs" dxfId="9051" priority="8889" stopIfTrue="1" operator="equal">
      <formula>"Pass"</formula>
    </cfRule>
    <cfRule type="cellIs" dxfId="9050" priority="8890" stopIfTrue="1" operator="equal">
      <formula>"Fail"</formula>
    </cfRule>
  </conditionalFormatting>
  <conditionalFormatting sqref="A1027">
    <cfRule type="cellIs" dxfId="9049" priority="8887" stopIfTrue="1" operator="equal">
      <formula>"Pass"</formula>
    </cfRule>
    <cfRule type="cellIs" dxfId="9048" priority="8888" stopIfTrue="1" operator="equal">
      <formula>"Fail"</formula>
    </cfRule>
  </conditionalFormatting>
  <conditionalFormatting sqref="A1027">
    <cfRule type="cellIs" dxfId="9047" priority="8885" stopIfTrue="1" operator="equal">
      <formula>"Pass"</formula>
    </cfRule>
    <cfRule type="cellIs" dxfId="9046" priority="8886" stopIfTrue="1" operator="equal">
      <formula>"Fail"</formula>
    </cfRule>
  </conditionalFormatting>
  <conditionalFormatting sqref="A1027">
    <cfRule type="cellIs" dxfId="9045" priority="8883" stopIfTrue="1" operator="equal">
      <formula>"Pass"</formula>
    </cfRule>
    <cfRule type="cellIs" dxfId="9044" priority="8884" stopIfTrue="1" operator="equal">
      <formula>"Fail"</formula>
    </cfRule>
  </conditionalFormatting>
  <conditionalFormatting sqref="A1027">
    <cfRule type="cellIs" dxfId="9043" priority="8881" stopIfTrue="1" operator="equal">
      <formula>"Pass"</formula>
    </cfRule>
    <cfRule type="cellIs" dxfId="9042" priority="8882" stopIfTrue="1" operator="equal">
      <formula>"Fail"</formula>
    </cfRule>
  </conditionalFormatting>
  <conditionalFormatting sqref="A1027">
    <cfRule type="cellIs" dxfId="9041" priority="8879" stopIfTrue="1" operator="equal">
      <formula>"Pass"</formula>
    </cfRule>
    <cfRule type="cellIs" dxfId="9040" priority="8880" stopIfTrue="1" operator="equal">
      <formula>"Fail"</formula>
    </cfRule>
  </conditionalFormatting>
  <conditionalFormatting sqref="A1027">
    <cfRule type="cellIs" dxfId="9039" priority="8877" stopIfTrue="1" operator="equal">
      <formula>"Pass"</formula>
    </cfRule>
    <cfRule type="cellIs" dxfId="9038" priority="8878" stopIfTrue="1" operator="equal">
      <formula>"Fail"</formula>
    </cfRule>
  </conditionalFormatting>
  <conditionalFormatting sqref="A1027">
    <cfRule type="cellIs" dxfId="9037" priority="8875" stopIfTrue="1" operator="equal">
      <formula>"Pass"</formula>
    </cfRule>
    <cfRule type="cellIs" dxfId="9036" priority="8876" stopIfTrue="1" operator="equal">
      <formula>"Fail"</formula>
    </cfRule>
  </conditionalFormatting>
  <conditionalFormatting sqref="A1027">
    <cfRule type="cellIs" dxfId="9035" priority="8873" stopIfTrue="1" operator="equal">
      <formula>"Pass"</formula>
    </cfRule>
    <cfRule type="cellIs" dxfId="9034" priority="8874" stopIfTrue="1" operator="equal">
      <formula>"Fail"</formula>
    </cfRule>
  </conditionalFormatting>
  <conditionalFormatting sqref="U1027:V1027">
    <cfRule type="cellIs" dxfId="9033" priority="8871" stopIfTrue="1" operator="equal">
      <formula>"Fail"</formula>
    </cfRule>
    <cfRule type="cellIs" dxfId="9032" priority="8872" stopIfTrue="1" operator="equal">
      <formula>"Pass"</formula>
    </cfRule>
  </conditionalFormatting>
  <conditionalFormatting sqref="F1027:G1027 J1027:N1027">
    <cfRule type="cellIs" dxfId="9031" priority="8869" stopIfTrue="1" operator="equal">
      <formula>"Pass"</formula>
    </cfRule>
    <cfRule type="cellIs" dxfId="9030" priority="8870" stopIfTrue="1" operator="equal">
      <formula>"Fail"</formula>
    </cfRule>
  </conditionalFormatting>
  <conditionalFormatting sqref="J1028:N1028">
    <cfRule type="cellIs" dxfId="9029" priority="8867" stopIfTrue="1" operator="equal">
      <formula>"Pass"</formula>
    </cfRule>
    <cfRule type="cellIs" dxfId="9028" priority="8868" stopIfTrue="1" operator="equal">
      <formula>"Fail"</formula>
    </cfRule>
  </conditionalFormatting>
  <conditionalFormatting sqref="A1027">
    <cfRule type="cellIs" dxfId="9027" priority="8865" stopIfTrue="1" operator="equal">
      <formula>"Pass"</formula>
    </cfRule>
    <cfRule type="cellIs" dxfId="9026" priority="8866" stopIfTrue="1" operator="equal">
      <formula>"Fail"</formula>
    </cfRule>
  </conditionalFormatting>
  <conditionalFormatting sqref="A1027">
    <cfRule type="cellIs" dxfId="9025" priority="8863" stopIfTrue="1" operator="equal">
      <formula>"Pass"</formula>
    </cfRule>
    <cfRule type="cellIs" dxfId="9024" priority="8864" stopIfTrue="1" operator="equal">
      <formula>"Fail"</formula>
    </cfRule>
  </conditionalFormatting>
  <conditionalFormatting sqref="A1027">
    <cfRule type="cellIs" dxfId="9023" priority="8861" stopIfTrue="1" operator="equal">
      <formula>"Pass"</formula>
    </cfRule>
    <cfRule type="cellIs" dxfId="9022" priority="8862" stopIfTrue="1" operator="equal">
      <formula>"Fail"</formula>
    </cfRule>
  </conditionalFormatting>
  <conditionalFormatting sqref="A1027">
    <cfRule type="cellIs" dxfId="9021" priority="8859" stopIfTrue="1" operator="equal">
      <formula>"Pass"</formula>
    </cfRule>
    <cfRule type="cellIs" dxfId="9020" priority="8860" stopIfTrue="1" operator="equal">
      <formula>"Fail"</formula>
    </cfRule>
  </conditionalFormatting>
  <conditionalFormatting sqref="A1027">
    <cfRule type="cellIs" dxfId="9019" priority="8857" stopIfTrue="1" operator="equal">
      <formula>"Pass"</formula>
    </cfRule>
    <cfRule type="cellIs" dxfId="9018" priority="8858" stopIfTrue="1" operator="equal">
      <formula>"Fail"</formula>
    </cfRule>
  </conditionalFormatting>
  <conditionalFormatting sqref="A1027">
    <cfRule type="cellIs" dxfId="9017" priority="8855" stopIfTrue="1" operator="equal">
      <formula>"Pass"</formula>
    </cfRule>
    <cfRule type="cellIs" dxfId="9016" priority="8856" stopIfTrue="1" operator="equal">
      <formula>"Fail"</formula>
    </cfRule>
  </conditionalFormatting>
  <conditionalFormatting sqref="A1027">
    <cfRule type="cellIs" dxfId="9015" priority="8853" stopIfTrue="1" operator="equal">
      <formula>"Pass"</formula>
    </cfRule>
    <cfRule type="cellIs" dxfId="9014" priority="8854" stopIfTrue="1" operator="equal">
      <formula>"Fail"</formula>
    </cfRule>
  </conditionalFormatting>
  <conditionalFormatting sqref="A1027">
    <cfRule type="cellIs" dxfId="9013" priority="8851" stopIfTrue="1" operator="equal">
      <formula>"Pass"</formula>
    </cfRule>
    <cfRule type="cellIs" dxfId="9012" priority="8852" stopIfTrue="1" operator="equal">
      <formula>"Fail"</formula>
    </cfRule>
  </conditionalFormatting>
  <conditionalFormatting sqref="A1027">
    <cfRule type="cellIs" dxfId="9011" priority="8849" stopIfTrue="1" operator="equal">
      <formula>"Pass"</formula>
    </cfRule>
    <cfRule type="cellIs" dxfId="9010" priority="8850" stopIfTrue="1" operator="equal">
      <formula>"Fail"</formula>
    </cfRule>
  </conditionalFormatting>
  <conditionalFormatting sqref="A1027">
    <cfRule type="cellIs" dxfId="9009" priority="8847" stopIfTrue="1" operator="equal">
      <formula>"Pass"</formula>
    </cfRule>
    <cfRule type="cellIs" dxfId="9008" priority="8848" stopIfTrue="1" operator="equal">
      <formula>"Fail"</formula>
    </cfRule>
  </conditionalFormatting>
  <conditionalFormatting sqref="A1027">
    <cfRule type="cellIs" dxfId="9007" priority="8845" stopIfTrue="1" operator="equal">
      <formula>"Pass"</formula>
    </cfRule>
    <cfRule type="cellIs" dxfId="9006" priority="8846" stopIfTrue="1" operator="equal">
      <formula>"Fail"</formula>
    </cfRule>
  </conditionalFormatting>
  <conditionalFormatting sqref="A1027">
    <cfRule type="cellIs" dxfId="9005" priority="8843" stopIfTrue="1" operator="equal">
      <formula>"Pass"</formula>
    </cfRule>
    <cfRule type="cellIs" dxfId="9004" priority="8844" stopIfTrue="1" operator="equal">
      <formula>"Fail"</formula>
    </cfRule>
  </conditionalFormatting>
  <conditionalFormatting sqref="H1027:H1028">
    <cfRule type="cellIs" dxfId="9003" priority="8841" stopIfTrue="1" operator="equal">
      <formula>"Pass"</formula>
    </cfRule>
    <cfRule type="cellIs" dxfId="9002" priority="8842" stopIfTrue="1" operator="equal">
      <formula>"Fail"</formula>
    </cfRule>
  </conditionalFormatting>
  <conditionalFormatting sqref="F1027 F1029 I1027:M1028">
    <cfRule type="cellIs" dxfId="9001" priority="8839" stopIfTrue="1" operator="equal">
      <formula>"Pass"</formula>
    </cfRule>
    <cfRule type="cellIs" dxfId="9000" priority="8840" stopIfTrue="1" operator="equal">
      <formula>"Fail"</formula>
    </cfRule>
  </conditionalFormatting>
  <conditionalFormatting sqref="T1029 T1027 R1027:R1029 S1028:S1029">
    <cfRule type="cellIs" dxfId="8999" priority="8837" stopIfTrue="1" operator="equal">
      <formula>"Fail"</formula>
    </cfRule>
    <cfRule type="cellIs" dxfId="8998" priority="8838" stopIfTrue="1" operator="equal">
      <formula>"Pass"</formula>
    </cfRule>
  </conditionalFormatting>
  <conditionalFormatting sqref="F1027:G1027 F1029:G1029 J1027:N1028">
    <cfRule type="cellIs" dxfId="8997" priority="8835" stopIfTrue="1" operator="equal">
      <formula>"Pass"</formula>
    </cfRule>
    <cfRule type="cellIs" dxfId="8996" priority="8836" stopIfTrue="1" operator="equal">
      <formula>"Fail"</formula>
    </cfRule>
  </conditionalFormatting>
  <conditionalFormatting sqref="U1029:V1029 T1027:T1029 S1028:S1029">
    <cfRule type="cellIs" dxfId="8995" priority="8833" stopIfTrue="1" operator="equal">
      <formula>"Fail"</formula>
    </cfRule>
    <cfRule type="cellIs" dxfId="8994" priority="8834" stopIfTrue="1" operator="equal">
      <formula>"Pass"</formula>
    </cfRule>
  </conditionalFormatting>
  <conditionalFormatting sqref="U1027:V1027">
    <cfRule type="cellIs" dxfId="8993" priority="8831" stopIfTrue="1" operator="equal">
      <formula>"Fail"</formula>
    </cfRule>
    <cfRule type="cellIs" dxfId="8992" priority="8832" stopIfTrue="1" operator="equal">
      <formula>"Pass"</formula>
    </cfRule>
  </conditionalFormatting>
  <conditionalFormatting sqref="F1027:G1027 J1027:N1027">
    <cfRule type="cellIs" dxfId="8991" priority="8829" stopIfTrue="1" operator="equal">
      <formula>"Pass"</formula>
    </cfRule>
    <cfRule type="cellIs" dxfId="8990" priority="8830" stopIfTrue="1" operator="equal">
      <formula>"Fail"</formula>
    </cfRule>
  </conditionalFormatting>
  <conditionalFormatting sqref="J1028:N1028">
    <cfRule type="cellIs" dxfId="8989" priority="8827" stopIfTrue="1" operator="equal">
      <formula>"Pass"</formula>
    </cfRule>
    <cfRule type="cellIs" dxfId="8988" priority="8828" stopIfTrue="1" operator="equal">
      <formula>"Fail"</formula>
    </cfRule>
  </conditionalFormatting>
  <conditionalFormatting sqref="H1027:H1028">
    <cfRule type="cellIs" dxfId="8987" priority="8825" stopIfTrue="1" operator="equal">
      <formula>"Pass"</formula>
    </cfRule>
    <cfRule type="cellIs" dxfId="8986" priority="8826" stopIfTrue="1" operator="equal">
      <formula>"Fail"</formula>
    </cfRule>
  </conditionalFormatting>
  <conditionalFormatting sqref="F1027 F1029 I1027:M1028">
    <cfRule type="cellIs" dxfId="8985" priority="8823" stopIfTrue="1" operator="equal">
      <formula>"Pass"</formula>
    </cfRule>
    <cfRule type="cellIs" dxfId="8984" priority="8824" stopIfTrue="1" operator="equal">
      <formula>"Fail"</formula>
    </cfRule>
  </conditionalFormatting>
  <conditionalFormatting sqref="T1029 T1027 R1027:R1029 S1028:S1029">
    <cfRule type="cellIs" dxfId="8983" priority="8821" stopIfTrue="1" operator="equal">
      <formula>"Fail"</formula>
    </cfRule>
    <cfRule type="cellIs" dxfId="8982" priority="8822" stopIfTrue="1" operator="equal">
      <formula>"Pass"</formula>
    </cfRule>
  </conditionalFormatting>
  <conditionalFormatting sqref="F1027:G1027 F1029:G1029 J1027:N1028">
    <cfRule type="cellIs" dxfId="8981" priority="8819" stopIfTrue="1" operator="equal">
      <formula>"Pass"</formula>
    </cfRule>
    <cfRule type="cellIs" dxfId="8980" priority="8820" stopIfTrue="1" operator="equal">
      <formula>"Fail"</formula>
    </cfRule>
  </conditionalFormatting>
  <conditionalFormatting sqref="U1029:V1029 T1027:T1029 S1028:S1029">
    <cfRule type="cellIs" dxfId="8979" priority="8817" stopIfTrue="1" operator="equal">
      <formula>"Fail"</formula>
    </cfRule>
    <cfRule type="cellIs" dxfId="8978" priority="8818" stopIfTrue="1" operator="equal">
      <formula>"Pass"</formula>
    </cfRule>
  </conditionalFormatting>
  <conditionalFormatting sqref="U1027:V1027">
    <cfRule type="cellIs" dxfId="8977" priority="8815" stopIfTrue="1" operator="equal">
      <formula>"Fail"</formula>
    </cfRule>
    <cfRule type="cellIs" dxfId="8976" priority="8816" stopIfTrue="1" operator="equal">
      <formula>"Pass"</formula>
    </cfRule>
  </conditionalFormatting>
  <conditionalFormatting sqref="F1027:G1027 J1027:N1027">
    <cfRule type="cellIs" dxfId="8975" priority="8813" stopIfTrue="1" operator="equal">
      <formula>"Pass"</formula>
    </cfRule>
    <cfRule type="cellIs" dxfId="8974" priority="8814" stopIfTrue="1" operator="equal">
      <formula>"Fail"</formula>
    </cfRule>
  </conditionalFormatting>
  <conditionalFormatting sqref="J1028:N1028">
    <cfRule type="cellIs" dxfId="8973" priority="8811" stopIfTrue="1" operator="equal">
      <formula>"Pass"</formula>
    </cfRule>
    <cfRule type="cellIs" dxfId="8972" priority="8812" stopIfTrue="1" operator="equal">
      <formula>"Fail"</formula>
    </cfRule>
  </conditionalFormatting>
  <conditionalFormatting sqref="U1027:V1027">
    <cfRule type="cellIs" dxfId="8971" priority="8809" stopIfTrue="1" operator="equal">
      <formula>"Fail"</formula>
    </cfRule>
    <cfRule type="cellIs" dxfId="8970" priority="8810" stopIfTrue="1" operator="equal">
      <formula>"Pass"</formula>
    </cfRule>
  </conditionalFormatting>
  <conditionalFormatting sqref="U1027:V1027">
    <cfRule type="cellIs" dxfId="8969" priority="8807" stopIfTrue="1" operator="equal">
      <formula>"Fail"</formula>
    </cfRule>
    <cfRule type="cellIs" dxfId="8968" priority="8808" stopIfTrue="1" operator="equal">
      <formula>"Pass"</formula>
    </cfRule>
  </conditionalFormatting>
  <conditionalFormatting sqref="U1027:V1027">
    <cfRule type="cellIs" dxfId="8967" priority="8805" stopIfTrue="1" operator="equal">
      <formula>"Fail"</formula>
    </cfRule>
    <cfRule type="cellIs" dxfId="8966" priority="8806" stopIfTrue="1" operator="equal">
      <formula>"Pass"</formula>
    </cfRule>
  </conditionalFormatting>
  <conditionalFormatting sqref="N1027">
    <cfRule type="cellIs" dxfId="8965" priority="8803" stopIfTrue="1" operator="equal">
      <formula>"Pass"</formula>
    </cfRule>
    <cfRule type="cellIs" dxfId="8964" priority="8804" stopIfTrue="1" operator="equal">
      <formula>"Fail"</formula>
    </cfRule>
  </conditionalFormatting>
  <conditionalFormatting sqref="N1027">
    <cfRule type="cellIs" dxfId="8963" priority="8801" stopIfTrue="1" operator="equal">
      <formula>"Pass"</formula>
    </cfRule>
    <cfRule type="cellIs" dxfId="8962" priority="8802" stopIfTrue="1" operator="equal">
      <formula>"Fail"</formula>
    </cfRule>
  </conditionalFormatting>
  <conditionalFormatting sqref="N1027">
    <cfRule type="cellIs" dxfId="8961" priority="8799" stopIfTrue="1" operator="equal">
      <formula>"Pass"</formula>
    </cfRule>
    <cfRule type="cellIs" dxfId="8960" priority="8800" stopIfTrue="1" operator="equal">
      <formula>"Fail"</formula>
    </cfRule>
  </conditionalFormatting>
  <conditionalFormatting sqref="A1027">
    <cfRule type="cellIs" dxfId="8959" priority="8797" stopIfTrue="1" operator="equal">
      <formula>"Pass"</formula>
    </cfRule>
    <cfRule type="cellIs" dxfId="8958" priority="8798" stopIfTrue="1" operator="equal">
      <formula>"Fail"</formula>
    </cfRule>
  </conditionalFormatting>
  <conditionalFormatting sqref="A1027">
    <cfRule type="cellIs" dxfId="8957" priority="8795" stopIfTrue="1" operator="equal">
      <formula>"Pass"</formula>
    </cfRule>
    <cfRule type="cellIs" dxfId="8956" priority="8796" stopIfTrue="1" operator="equal">
      <formula>"Fail"</formula>
    </cfRule>
  </conditionalFormatting>
  <conditionalFormatting sqref="A1027">
    <cfRule type="cellIs" dxfId="8955" priority="8793" stopIfTrue="1" operator="equal">
      <formula>"Pass"</formula>
    </cfRule>
    <cfRule type="cellIs" dxfId="8954" priority="8794" stopIfTrue="1" operator="equal">
      <formula>"Fail"</formula>
    </cfRule>
  </conditionalFormatting>
  <conditionalFormatting sqref="A1027">
    <cfRule type="cellIs" dxfId="8953" priority="8791" stopIfTrue="1" operator="equal">
      <formula>"Pass"</formula>
    </cfRule>
    <cfRule type="cellIs" dxfId="8952" priority="8792" stopIfTrue="1" operator="equal">
      <formula>"Fail"</formula>
    </cfRule>
  </conditionalFormatting>
  <conditionalFormatting sqref="A1027">
    <cfRule type="cellIs" dxfId="8951" priority="8789" stopIfTrue="1" operator="equal">
      <formula>"Pass"</formula>
    </cfRule>
    <cfRule type="cellIs" dxfId="8950" priority="8790" stopIfTrue="1" operator="equal">
      <formula>"Fail"</formula>
    </cfRule>
  </conditionalFormatting>
  <conditionalFormatting sqref="A1027">
    <cfRule type="cellIs" dxfId="8949" priority="8787" stopIfTrue="1" operator="equal">
      <formula>"Pass"</formula>
    </cfRule>
    <cfRule type="cellIs" dxfId="8948" priority="8788" stopIfTrue="1" operator="equal">
      <formula>"Fail"</formula>
    </cfRule>
  </conditionalFormatting>
  <conditionalFormatting sqref="A1027">
    <cfRule type="cellIs" dxfId="8947" priority="8785" stopIfTrue="1" operator="equal">
      <formula>"Pass"</formula>
    </cfRule>
    <cfRule type="cellIs" dxfId="8946" priority="8786" stopIfTrue="1" operator="equal">
      <formula>"Fail"</formula>
    </cfRule>
  </conditionalFormatting>
  <conditionalFormatting sqref="A1027">
    <cfRule type="cellIs" dxfId="8945" priority="8783" stopIfTrue="1" operator="equal">
      <formula>"Pass"</formula>
    </cfRule>
    <cfRule type="cellIs" dxfId="8944" priority="8784" stopIfTrue="1" operator="equal">
      <formula>"Fail"</formula>
    </cfRule>
  </conditionalFormatting>
  <conditionalFormatting sqref="A1027">
    <cfRule type="cellIs" dxfId="8943" priority="8781" stopIfTrue="1" operator="equal">
      <formula>"Pass"</formula>
    </cfRule>
    <cfRule type="cellIs" dxfId="8942" priority="8782" stopIfTrue="1" operator="equal">
      <formula>"Fail"</formula>
    </cfRule>
  </conditionalFormatting>
  <conditionalFormatting sqref="A1027">
    <cfRule type="cellIs" dxfId="8941" priority="8779" stopIfTrue="1" operator="equal">
      <formula>"Pass"</formula>
    </cfRule>
    <cfRule type="cellIs" dxfId="8940" priority="8780" stopIfTrue="1" operator="equal">
      <formula>"Fail"</formula>
    </cfRule>
  </conditionalFormatting>
  <conditionalFormatting sqref="A1027">
    <cfRule type="cellIs" dxfId="8939" priority="8777" stopIfTrue="1" operator="equal">
      <formula>"Pass"</formula>
    </cfRule>
    <cfRule type="cellIs" dxfId="8938" priority="8778" stopIfTrue="1" operator="equal">
      <formula>"Fail"</formula>
    </cfRule>
  </conditionalFormatting>
  <conditionalFormatting sqref="A1027">
    <cfRule type="cellIs" dxfId="8937" priority="8775" stopIfTrue="1" operator="equal">
      <formula>"Pass"</formula>
    </cfRule>
    <cfRule type="cellIs" dxfId="8936" priority="8776" stopIfTrue="1" operator="equal">
      <formula>"Fail"</formula>
    </cfRule>
  </conditionalFormatting>
  <conditionalFormatting sqref="A1027">
    <cfRule type="cellIs" dxfId="8935" priority="8773" stopIfTrue="1" operator="equal">
      <formula>"Pass"</formula>
    </cfRule>
    <cfRule type="cellIs" dxfId="8934" priority="8774" stopIfTrue="1" operator="equal">
      <formula>"Fail"</formula>
    </cfRule>
  </conditionalFormatting>
  <conditionalFormatting sqref="A1027">
    <cfRule type="cellIs" dxfId="8933" priority="8771" stopIfTrue="1" operator="equal">
      <formula>"Pass"</formula>
    </cfRule>
    <cfRule type="cellIs" dxfId="8932" priority="8772" stopIfTrue="1" operator="equal">
      <formula>"Fail"</formula>
    </cfRule>
  </conditionalFormatting>
  <conditionalFormatting sqref="A1027">
    <cfRule type="cellIs" dxfId="8931" priority="8769" stopIfTrue="1" operator="equal">
      <formula>"Pass"</formula>
    </cfRule>
    <cfRule type="cellIs" dxfId="8930" priority="8770" stopIfTrue="1" operator="equal">
      <formula>"Fail"</formula>
    </cfRule>
  </conditionalFormatting>
  <conditionalFormatting sqref="A1027">
    <cfRule type="cellIs" dxfId="8929" priority="8767" stopIfTrue="1" operator="equal">
      <formula>"Pass"</formula>
    </cfRule>
    <cfRule type="cellIs" dxfId="8928" priority="8768" stopIfTrue="1" operator="equal">
      <formula>"Fail"</formula>
    </cfRule>
  </conditionalFormatting>
  <conditionalFormatting sqref="A1027">
    <cfRule type="cellIs" dxfId="8927" priority="8765" stopIfTrue="1" operator="equal">
      <formula>"Pass"</formula>
    </cfRule>
    <cfRule type="cellIs" dxfId="8926" priority="8766" stopIfTrue="1" operator="equal">
      <formula>"Fail"</formula>
    </cfRule>
  </conditionalFormatting>
  <conditionalFormatting sqref="A1027">
    <cfRule type="cellIs" dxfId="8925" priority="8763" stopIfTrue="1" operator="equal">
      <formula>"Pass"</formula>
    </cfRule>
    <cfRule type="cellIs" dxfId="8924" priority="8764" stopIfTrue="1" operator="equal">
      <formula>"Fail"</formula>
    </cfRule>
  </conditionalFormatting>
  <conditionalFormatting sqref="H1027:H1028">
    <cfRule type="cellIs" dxfId="8923" priority="8761" stopIfTrue="1" operator="equal">
      <formula>"Pass"</formula>
    </cfRule>
    <cfRule type="cellIs" dxfId="8922" priority="8762" stopIfTrue="1" operator="equal">
      <formula>"Fail"</formula>
    </cfRule>
  </conditionalFormatting>
  <conditionalFormatting sqref="F1027 F1029 I1027:M1028">
    <cfRule type="cellIs" dxfId="8921" priority="8759" stopIfTrue="1" operator="equal">
      <formula>"Pass"</formula>
    </cfRule>
    <cfRule type="cellIs" dxfId="8920" priority="8760" stopIfTrue="1" operator="equal">
      <formula>"Fail"</formula>
    </cfRule>
  </conditionalFormatting>
  <conditionalFormatting sqref="T1029 T1027 R1027:R1029 S1028:S1029">
    <cfRule type="cellIs" dxfId="8919" priority="8757" stopIfTrue="1" operator="equal">
      <formula>"Fail"</formula>
    </cfRule>
    <cfRule type="cellIs" dxfId="8918" priority="8758" stopIfTrue="1" operator="equal">
      <formula>"Pass"</formula>
    </cfRule>
  </conditionalFormatting>
  <conditionalFormatting sqref="F1027:G1027 F1029:G1029 J1027:N1028">
    <cfRule type="cellIs" dxfId="8917" priority="8755" stopIfTrue="1" operator="equal">
      <formula>"Pass"</formula>
    </cfRule>
    <cfRule type="cellIs" dxfId="8916" priority="8756" stopIfTrue="1" operator="equal">
      <formula>"Fail"</formula>
    </cfRule>
  </conditionalFormatting>
  <conditionalFormatting sqref="U1029:V1029 T1027:T1029 S1028:S1029">
    <cfRule type="cellIs" dxfId="8915" priority="8753" stopIfTrue="1" operator="equal">
      <formula>"Fail"</formula>
    </cfRule>
    <cfRule type="cellIs" dxfId="8914" priority="8754" stopIfTrue="1" operator="equal">
      <formula>"Pass"</formula>
    </cfRule>
  </conditionalFormatting>
  <conditionalFormatting sqref="U1027:V1027">
    <cfRule type="cellIs" dxfId="8913" priority="8751" stopIfTrue="1" operator="equal">
      <formula>"Fail"</formula>
    </cfRule>
    <cfRule type="cellIs" dxfId="8912" priority="8752" stopIfTrue="1" operator="equal">
      <formula>"Pass"</formula>
    </cfRule>
  </conditionalFormatting>
  <conditionalFormatting sqref="F1027:G1027 J1027:N1027">
    <cfRule type="cellIs" dxfId="8911" priority="8749" stopIfTrue="1" operator="equal">
      <formula>"Pass"</formula>
    </cfRule>
    <cfRule type="cellIs" dxfId="8910" priority="8750" stopIfTrue="1" operator="equal">
      <formula>"Fail"</formula>
    </cfRule>
  </conditionalFormatting>
  <conditionalFormatting sqref="J1028:N1028">
    <cfRule type="cellIs" dxfId="8909" priority="8747" stopIfTrue="1" operator="equal">
      <formula>"Pass"</formula>
    </cfRule>
    <cfRule type="cellIs" dxfId="8908" priority="8748" stopIfTrue="1" operator="equal">
      <formula>"Fail"</formula>
    </cfRule>
  </conditionalFormatting>
  <conditionalFormatting sqref="H1027:H1028">
    <cfRule type="cellIs" dxfId="8907" priority="8745" stopIfTrue="1" operator="equal">
      <formula>"Pass"</formula>
    </cfRule>
    <cfRule type="cellIs" dxfId="8906" priority="8746" stopIfTrue="1" operator="equal">
      <formula>"Fail"</formula>
    </cfRule>
  </conditionalFormatting>
  <conditionalFormatting sqref="F1027 F1029 I1027:M1028">
    <cfRule type="cellIs" dxfId="8905" priority="8743" stopIfTrue="1" operator="equal">
      <formula>"Pass"</formula>
    </cfRule>
    <cfRule type="cellIs" dxfId="8904" priority="8744" stopIfTrue="1" operator="equal">
      <formula>"Fail"</formula>
    </cfRule>
  </conditionalFormatting>
  <conditionalFormatting sqref="T1029 T1027 R1027:R1029 S1028:S1029">
    <cfRule type="cellIs" dxfId="8903" priority="8741" stopIfTrue="1" operator="equal">
      <formula>"Fail"</formula>
    </cfRule>
    <cfRule type="cellIs" dxfId="8902" priority="8742" stopIfTrue="1" operator="equal">
      <formula>"Pass"</formula>
    </cfRule>
  </conditionalFormatting>
  <conditionalFormatting sqref="F1027:G1027 F1029:G1029 J1027:N1028">
    <cfRule type="cellIs" dxfId="8901" priority="8739" stopIfTrue="1" operator="equal">
      <formula>"Pass"</formula>
    </cfRule>
    <cfRule type="cellIs" dxfId="8900" priority="8740" stopIfTrue="1" operator="equal">
      <formula>"Fail"</formula>
    </cfRule>
  </conditionalFormatting>
  <conditionalFormatting sqref="U1029:V1029 T1027:T1029 S1028:S1029">
    <cfRule type="cellIs" dxfId="8899" priority="8737" stopIfTrue="1" operator="equal">
      <formula>"Fail"</formula>
    </cfRule>
    <cfRule type="cellIs" dxfId="8898" priority="8738" stopIfTrue="1" operator="equal">
      <formula>"Pass"</formula>
    </cfRule>
  </conditionalFormatting>
  <conditionalFormatting sqref="U1027:V1027">
    <cfRule type="cellIs" dxfId="8897" priority="8735" stopIfTrue="1" operator="equal">
      <formula>"Fail"</formula>
    </cfRule>
    <cfRule type="cellIs" dxfId="8896" priority="8736" stopIfTrue="1" operator="equal">
      <formula>"Pass"</formula>
    </cfRule>
  </conditionalFormatting>
  <conditionalFormatting sqref="F1027:G1027 J1027:N1027">
    <cfRule type="cellIs" dxfId="8895" priority="8733" stopIfTrue="1" operator="equal">
      <formula>"Pass"</formula>
    </cfRule>
    <cfRule type="cellIs" dxfId="8894" priority="8734" stopIfTrue="1" operator="equal">
      <formula>"Fail"</formula>
    </cfRule>
  </conditionalFormatting>
  <conditionalFormatting sqref="J1028:N1028">
    <cfRule type="cellIs" dxfId="8893" priority="8731" stopIfTrue="1" operator="equal">
      <formula>"Pass"</formula>
    </cfRule>
    <cfRule type="cellIs" dxfId="8892" priority="8732" stopIfTrue="1" operator="equal">
      <formula>"Fail"</formula>
    </cfRule>
  </conditionalFormatting>
  <conditionalFormatting sqref="H1027:H1028">
    <cfRule type="cellIs" dxfId="8891" priority="8729" stopIfTrue="1" operator="equal">
      <formula>"Pass"</formula>
    </cfRule>
    <cfRule type="cellIs" dxfId="8890" priority="8730" stopIfTrue="1" operator="equal">
      <formula>"Fail"</formula>
    </cfRule>
  </conditionalFormatting>
  <conditionalFormatting sqref="F1027 F1029 I1027:M1028">
    <cfRule type="cellIs" dxfId="8889" priority="8727" stopIfTrue="1" operator="equal">
      <formula>"Pass"</formula>
    </cfRule>
    <cfRule type="cellIs" dxfId="8888" priority="8728" stopIfTrue="1" operator="equal">
      <formula>"Fail"</formula>
    </cfRule>
  </conditionalFormatting>
  <conditionalFormatting sqref="T1029 T1027 R1027:R1029 S1028:S1029">
    <cfRule type="cellIs" dxfId="8887" priority="8725" stopIfTrue="1" operator="equal">
      <formula>"Fail"</formula>
    </cfRule>
    <cfRule type="cellIs" dxfId="8886" priority="8726" stopIfTrue="1" operator="equal">
      <formula>"Pass"</formula>
    </cfRule>
  </conditionalFormatting>
  <conditionalFormatting sqref="F1027:G1027 F1029:G1029 J1027:N1028">
    <cfRule type="cellIs" dxfId="8885" priority="8723" stopIfTrue="1" operator="equal">
      <formula>"Pass"</formula>
    </cfRule>
    <cfRule type="cellIs" dxfId="8884" priority="8724" stopIfTrue="1" operator="equal">
      <formula>"Fail"</formula>
    </cfRule>
  </conditionalFormatting>
  <conditionalFormatting sqref="U1029:V1029 T1027:T1029 S1028:S1029">
    <cfRule type="cellIs" dxfId="8883" priority="8721" stopIfTrue="1" operator="equal">
      <formula>"Fail"</formula>
    </cfRule>
    <cfRule type="cellIs" dxfId="8882" priority="8722" stopIfTrue="1" operator="equal">
      <formula>"Pass"</formula>
    </cfRule>
  </conditionalFormatting>
  <conditionalFormatting sqref="U1027:V1027">
    <cfRule type="cellIs" dxfId="8881" priority="8719" stopIfTrue="1" operator="equal">
      <formula>"Fail"</formula>
    </cfRule>
    <cfRule type="cellIs" dxfId="8880" priority="8720" stopIfTrue="1" operator="equal">
      <formula>"Pass"</formula>
    </cfRule>
  </conditionalFormatting>
  <conditionalFormatting sqref="F1027:G1027 J1027:N1027">
    <cfRule type="cellIs" dxfId="8879" priority="8717" stopIfTrue="1" operator="equal">
      <formula>"Pass"</formula>
    </cfRule>
    <cfRule type="cellIs" dxfId="8878" priority="8718" stopIfTrue="1" operator="equal">
      <formula>"Fail"</formula>
    </cfRule>
  </conditionalFormatting>
  <conditionalFormatting sqref="J1028:N1028">
    <cfRule type="cellIs" dxfId="8877" priority="8715" stopIfTrue="1" operator="equal">
      <formula>"Pass"</formula>
    </cfRule>
    <cfRule type="cellIs" dxfId="8876" priority="8716" stopIfTrue="1" operator="equal">
      <formula>"Fail"</formula>
    </cfRule>
  </conditionalFormatting>
  <conditionalFormatting sqref="U1027:V1027">
    <cfRule type="cellIs" dxfId="8875" priority="8713" stopIfTrue="1" operator="equal">
      <formula>"Fail"</formula>
    </cfRule>
    <cfRule type="cellIs" dxfId="8874" priority="8714" stopIfTrue="1" operator="equal">
      <formula>"Pass"</formula>
    </cfRule>
  </conditionalFormatting>
  <conditionalFormatting sqref="U1027:V1027">
    <cfRule type="cellIs" dxfId="8873" priority="8711" stopIfTrue="1" operator="equal">
      <formula>"Fail"</formula>
    </cfRule>
    <cfRule type="cellIs" dxfId="8872" priority="8712" stopIfTrue="1" operator="equal">
      <formula>"Pass"</formula>
    </cfRule>
  </conditionalFormatting>
  <conditionalFormatting sqref="U1027:V1027">
    <cfRule type="cellIs" dxfId="8871" priority="8709" stopIfTrue="1" operator="equal">
      <formula>"Fail"</formula>
    </cfRule>
    <cfRule type="cellIs" dxfId="8870" priority="8710" stopIfTrue="1" operator="equal">
      <formula>"Pass"</formula>
    </cfRule>
  </conditionalFormatting>
  <conditionalFormatting sqref="N1027">
    <cfRule type="cellIs" dxfId="8869" priority="8707" stopIfTrue="1" operator="equal">
      <formula>"Pass"</formula>
    </cfRule>
    <cfRule type="cellIs" dxfId="8868" priority="8708" stopIfTrue="1" operator="equal">
      <formula>"Fail"</formula>
    </cfRule>
  </conditionalFormatting>
  <conditionalFormatting sqref="N1027">
    <cfRule type="cellIs" dxfId="8867" priority="8705" stopIfTrue="1" operator="equal">
      <formula>"Pass"</formula>
    </cfRule>
    <cfRule type="cellIs" dxfId="8866" priority="8706" stopIfTrue="1" operator="equal">
      <formula>"Fail"</formula>
    </cfRule>
  </conditionalFormatting>
  <conditionalFormatting sqref="N1027">
    <cfRule type="cellIs" dxfId="8865" priority="8703" stopIfTrue="1" operator="equal">
      <formula>"Pass"</formula>
    </cfRule>
    <cfRule type="cellIs" dxfId="8864" priority="8704" stopIfTrue="1" operator="equal">
      <formula>"Fail"</formula>
    </cfRule>
  </conditionalFormatting>
  <conditionalFormatting sqref="U1027:V1027">
    <cfRule type="cellIs" dxfId="8863" priority="8701" stopIfTrue="1" operator="equal">
      <formula>"Fail"</formula>
    </cfRule>
    <cfRule type="cellIs" dxfId="8862" priority="8702" stopIfTrue="1" operator="equal">
      <formula>"Pass"</formula>
    </cfRule>
  </conditionalFormatting>
  <conditionalFormatting sqref="U1027:V1027">
    <cfRule type="cellIs" dxfId="8861" priority="8699" stopIfTrue="1" operator="equal">
      <formula>"Fail"</formula>
    </cfRule>
    <cfRule type="cellIs" dxfId="8860" priority="8700" stopIfTrue="1" operator="equal">
      <formula>"Pass"</formula>
    </cfRule>
  </conditionalFormatting>
  <conditionalFormatting sqref="U1027:V1027">
    <cfRule type="cellIs" dxfId="8859" priority="8697" stopIfTrue="1" operator="equal">
      <formula>"Fail"</formula>
    </cfRule>
    <cfRule type="cellIs" dxfId="8858" priority="8698" stopIfTrue="1" operator="equal">
      <formula>"Pass"</formula>
    </cfRule>
  </conditionalFormatting>
  <conditionalFormatting sqref="U1027:V1027">
    <cfRule type="cellIs" dxfId="8857" priority="8695" stopIfTrue="1" operator="equal">
      <formula>"Fail"</formula>
    </cfRule>
    <cfRule type="cellIs" dxfId="8856" priority="8696" stopIfTrue="1" operator="equal">
      <formula>"Pass"</formula>
    </cfRule>
  </conditionalFormatting>
  <conditionalFormatting sqref="T1027">
    <cfRule type="cellIs" dxfId="8855" priority="8693" stopIfTrue="1" operator="equal">
      <formula>"Fail"</formula>
    </cfRule>
    <cfRule type="cellIs" dxfId="8854" priority="8694" stopIfTrue="1" operator="equal">
      <formula>"Pass"</formula>
    </cfRule>
  </conditionalFormatting>
  <conditionalFormatting sqref="T1027">
    <cfRule type="cellIs" dxfId="8853" priority="8691" stopIfTrue="1" operator="equal">
      <formula>"Fail"</formula>
    </cfRule>
    <cfRule type="cellIs" dxfId="8852" priority="8692" stopIfTrue="1" operator="equal">
      <formula>"Pass"</formula>
    </cfRule>
  </conditionalFormatting>
  <conditionalFormatting sqref="T1027">
    <cfRule type="cellIs" dxfId="8851" priority="8689" stopIfTrue="1" operator="equal">
      <formula>"Fail"</formula>
    </cfRule>
    <cfRule type="cellIs" dxfId="8850" priority="8690" stopIfTrue="1" operator="equal">
      <formula>"Pass"</formula>
    </cfRule>
  </conditionalFormatting>
  <conditionalFormatting sqref="T1027">
    <cfRule type="cellIs" dxfId="8849" priority="8687" stopIfTrue="1" operator="equal">
      <formula>"Fail"</formula>
    </cfRule>
    <cfRule type="cellIs" dxfId="8848" priority="8688" stopIfTrue="1" operator="equal">
      <formula>"Pass"</formula>
    </cfRule>
  </conditionalFormatting>
  <conditionalFormatting sqref="T1027">
    <cfRule type="cellIs" dxfId="8847" priority="8685" stopIfTrue="1" operator="equal">
      <formula>"Fail"</formula>
    </cfRule>
    <cfRule type="cellIs" dxfId="8846" priority="8686" stopIfTrue="1" operator="equal">
      <formula>"Pass"</formula>
    </cfRule>
  </conditionalFormatting>
  <conditionalFormatting sqref="T1027">
    <cfRule type="cellIs" dxfId="8845" priority="8683" stopIfTrue="1" operator="equal">
      <formula>"Fail"</formula>
    </cfRule>
    <cfRule type="cellIs" dxfId="8844" priority="8684" stopIfTrue="1" operator="equal">
      <formula>"Pass"</formula>
    </cfRule>
  </conditionalFormatting>
  <conditionalFormatting sqref="T1027">
    <cfRule type="cellIs" dxfId="8843" priority="8681" stopIfTrue="1" operator="equal">
      <formula>"Fail"</formula>
    </cfRule>
    <cfRule type="cellIs" dxfId="8842" priority="8682" stopIfTrue="1" operator="equal">
      <formula>"Pass"</formula>
    </cfRule>
  </conditionalFormatting>
  <conditionalFormatting sqref="T1027">
    <cfRule type="cellIs" dxfId="8841" priority="8679" stopIfTrue="1" operator="equal">
      <formula>"Fail"</formula>
    </cfRule>
    <cfRule type="cellIs" dxfId="8840" priority="8680" stopIfTrue="1" operator="equal">
      <formula>"Pass"</formula>
    </cfRule>
  </conditionalFormatting>
  <conditionalFormatting sqref="T1027">
    <cfRule type="cellIs" dxfId="8839" priority="8677" stopIfTrue="1" operator="equal">
      <formula>"Fail"</formula>
    </cfRule>
    <cfRule type="cellIs" dxfId="8838" priority="8678" stopIfTrue="1" operator="equal">
      <formula>"Pass"</formula>
    </cfRule>
  </conditionalFormatting>
  <conditionalFormatting sqref="T1027">
    <cfRule type="cellIs" dxfId="8837" priority="8675" stopIfTrue="1" operator="equal">
      <formula>"Fail"</formula>
    </cfRule>
    <cfRule type="cellIs" dxfId="8836" priority="8676" stopIfTrue="1" operator="equal">
      <formula>"Pass"</formula>
    </cfRule>
  </conditionalFormatting>
  <conditionalFormatting sqref="T1027">
    <cfRule type="cellIs" dxfId="8835" priority="8673" stopIfTrue="1" operator="equal">
      <formula>"Fail"</formula>
    </cfRule>
    <cfRule type="cellIs" dxfId="8834" priority="8674" stopIfTrue="1" operator="equal">
      <formula>"Pass"</formula>
    </cfRule>
  </conditionalFormatting>
  <conditionalFormatting sqref="T1027">
    <cfRule type="cellIs" dxfId="8833" priority="8671" stopIfTrue="1" operator="equal">
      <formula>"Fail"</formula>
    </cfRule>
    <cfRule type="cellIs" dxfId="8832" priority="8672" stopIfTrue="1" operator="equal">
      <formula>"Pass"</formula>
    </cfRule>
  </conditionalFormatting>
  <conditionalFormatting sqref="T1027">
    <cfRule type="cellIs" dxfId="8831" priority="8669" stopIfTrue="1" operator="equal">
      <formula>"Fail"</formula>
    </cfRule>
    <cfRule type="cellIs" dxfId="8830" priority="8670" stopIfTrue="1" operator="equal">
      <formula>"Pass"</formula>
    </cfRule>
  </conditionalFormatting>
  <conditionalFormatting sqref="T1027">
    <cfRule type="cellIs" dxfId="8829" priority="8667" stopIfTrue="1" operator="equal">
      <formula>"Fail"</formula>
    </cfRule>
    <cfRule type="cellIs" dxfId="8828" priority="8668" stopIfTrue="1" operator="equal">
      <formula>"Pass"</formula>
    </cfRule>
  </conditionalFormatting>
  <conditionalFormatting sqref="T1027">
    <cfRule type="cellIs" dxfId="8827" priority="8665" stopIfTrue="1" operator="equal">
      <formula>"Fail"</formula>
    </cfRule>
    <cfRule type="cellIs" dxfId="8826" priority="8666" stopIfTrue="1" operator="equal">
      <formula>"Pass"</formula>
    </cfRule>
  </conditionalFormatting>
  <conditionalFormatting sqref="T1027">
    <cfRule type="cellIs" dxfId="8825" priority="8663" stopIfTrue="1" operator="equal">
      <formula>"Fail"</formula>
    </cfRule>
    <cfRule type="cellIs" dxfId="8824" priority="8664" stopIfTrue="1" operator="equal">
      <formula>"Pass"</formula>
    </cfRule>
  </conditionalFormatting>
  <conditionalFormatting sqref="T1027">
    <cfRule type="cellIs" dxfId="8823" priority="8661" stopIfTrue="1" operator="equal">
      <formula>"Fail"</formula>
    </cfRule>
    <cfRule type="cellIs" dxfId="8822" priority="8662" stopIfTrue="1" operator="equal">
      <formula>"Pass"</formula>
    </cfRule>
  </conditionalFormatting>
  <conditionalFormatting sqref="T1027">
    <cfRule type="cellIs" dxfId="8821" priority="8659" stopIfTrue="1" operator="equal">
      <formula>"Fail"</formula>
    </cfRule>
    <cfRule type="cellIs" dxfId="8820" priority="8660" stopIfTrue="1" operator="equal">
      <formula>"Pass"</formula>
    </cfRule>
  </conditionalFormatting>
  <conditionalFormatting sqref="T1027">
    <cfRule type="cellIs" dxfId="8819" priority="8657" stopIfTrue="1" operator="equal">
      <formula>"Fail"</formula>
    </cfRule>
    <cfRule type="cellIs" dxfId="8818" priority="8658" stopIfTrue="1" operator="equal">
      <formula>"Pass"</formula>
    </cfRule>
  </conditionalFormatting>
  <conditionalFormatting sqref="T1027">
    <cfRule type="cellIs" dxfId="8817" priority="8655" stopIfTrue="1" operator="equal">
      <formula>"Fail"</formula>
    </cfRule>
    <cfRule type="cellIs" dxfId="8816" priority="8656" stopIfTrue="1" operator="equal">
      <formula>"Pass"</formula>
    </cfRule>
  </conditionalFormatting>
  <conditionalFormatting sqref="T1027">
    <cfRule type="cellIs" dxfId="8815" priority="8653" stopIfTrue="1" operator="equal">
      <formula>"Fail"</formula>
    </cfRule>
    <cfRule type="cellIs" dxfId="8814" priority="8654" stopIfTrue="1" operator="equal">
      <formula>"Pass"</formula>
    </cfRule>
  </conditionalFormatting>
  <conditionalFormatting sqref="T1027">
    <cfRule type="cellIs" dxfId="8813" priority="8651" stopIfTrue="1" operator="equal">
      <formula>"Fail"</formula>
    </cfRule>
    <cfRule type="cellIs" dxfId="8812" priority="8652" stopIfTrue="1" operator="equal">
      <formula>"Pass"</formula>
    </cfRule>
  </conditionalFormatting>
  <conditionalFormatting sqref="T1027">
    <cfRule type="cellIs" dxfId="8811" priority="8649" stopIfTrue="1" operator="equal">
      <formula>"Fail"</formula>
    </cfRule>
    <cfRule type="cellIs" dxfId="8810" priority="8650" stopIfTrue="1" operator="equal">
      <formula>"Pass"</formula>
    </cfRule>
  </conditionalFormatting>
  <conditionalFormatting sqref="T1027">
    <cfRule type="cellIs" dxfId="8809" priority="8647" stopIfTrue="1" operator="equal">
      <formula>"Fail"</formula>
    </cfRule>
    <cfRule type="cellIs" dxfId="8808" priority="8648" stopIfTrue="1" operator="equal">
      <formula>"Pass"</formula>
    </cfRule>
  </conditionalFormatting>
  <conditionalFormatting sqref="A1027:A1029">
    <cfRule type="cellIs" dxfId="8807" priority="8645" stopIfTrue="1" operator="equal">
      <formula>"Pass"</formula>
    </cfRule>
    <cfRule type="cellIs" dxfId="8806" priority="8646" stopIfTrue="1" operator="equal">
      <formula>"Fail"</formula>
    </cfRule>
  </conditionalFormatting>
  <conditionalFormatting sqref="A1027:A1029">
    <cfRule type="cellIs" dxfId="8805" priority="8643" stopIfTrue="1" operator="equal">
      <formula>"Pass"</formula>
    </cfRule>
    <cfRule type="cellIs" dxfId="8804" priority="8644" stopIfTrue="1" operator="equal">
      <formula>"Fail"</formula>
    </cfRule>
  </conditionalFormatting>
  <conditionalFormatting sqref="A1027:A1029">
    <cfRule type="cellIs" dxfId="8803" priority="8641" stopIfTrue="1" operator="equal">
      <formula>"Pass"</formula>
    </cfRule>
    <cfRule type="cellIs" dxfId="8802" priority="8642" stopIfTrue="1" operator="equal">
      <formula>"Fail"</formula>
    </cfRule>
  </conditionalFormatting>
  <conditionalFormatting sqref="A1027:A1029">
    <cfRule type="cellIs" dxfId="8801" priority="8639" stopIfTrue="1" operator="equal">
      <formula>"Pass"</formula>
    </cfRule>
    <cfRule type="cellIs" dxfId="8800" priority="8640" stopIfTrue="1" operator="equal">
      <formula>"Fail"</formula>
    </cfRule>
  </conditionalFormatting>
  <conditionalFormatting sqref="A1027:A1029">
    <cfRule type="cellIs" dxfId="8799" priority="8637" stopIfTrue="1" operator="equal">
      <formula>"Pass"</formula>
    </cfRule>
    <cfRule type="cellIs" dxfId="8798" priority="8638" stopIfTrue="1" operator="equal">
      <formula>"Fail"</formula>
    </cfRule>
  </conditionalFormatting>
  <conditionalFormatting sqref="A1029">
    <cfRule type="cellIs" dxfId="8797" priority="8635" stopIfTrue="1" operator="equal">
      <formula>"Pass"</formula>
    </cfRule>
    <cfRule type="cellIs" dxfId="8796" priority="8636" stopIfTrue="1" operator="equal">
      <formula>"Fail"</formula>
    </cfRule>
  </conditionalFormatting>
  <conditionalFormatting sqref="A1027:A1029">
    <cfRule type="cellIs" dxfId="8795" priority="8633" stopIfTrue="1" operator="equal">
      <formula>"Pass"</formula>
    </cfRule>
    <cfRule type="cellIs" dxfId="8794" priority="8634" stopIfTrue="1" operator="equal">
      <formula>"Fail"</formula>
    </cfRule>
  </conditionalFormatting>
  <conditionalFormatting sqref="A1027:A1029">
    <cfRule type="cellIs" dxfId="8793" priority="8631" stopIfTrue="1" operator="equal">
      <formula>"Pass"</formula>
    </cfRule>
    <cfRule type="cellIs" dxfId="8792" priority="8632" stopIfTrue="1" operator="equal">
      <formula>"Fail"</formula>
    </cfRule>
  </conditionalFormatting>
  <conditionalFormatting sqref="A1027:A1029">
    <cfRule type="cellIs" dxfId="8791" priority="8629" stopIfTrue="1" operator="equal">
      <formula>"Pass"</formula>
    </cfRule>
    <cfRule type="cellIs" dxfId="8790" priority="8630" stopIfTrue="1" operator="equal">
      <formula>"Fail"</formula>
    </cfRule>
  </conditionalFormatting>
  <conditionalFormatting sqref="A1027:A1029">
    <cfRule type="cellIs" dxfId="8789" priority="8627" stopIfTrue="1" operator="equal">
      <formula>"Pass"</formula>
    </cfRule>
    <cfRule type="cellIs" dxfId="8788" priority="8628" stopIfTrue="1" operator="equal">
      <formula>"Fail"</formula>
    </cfRule>
  </conditionalFormatting>
  <conditionalFormatting sqref="A1027:A1029">
    <cfRule type="cellIs" dxfId="8787" priority="8625" stopIfTrue="1" operator="equal">
      <formula>"Pass"</formula>
    </cfRule>
    <cfRule type="cellIs" dxfId="8786" priority="8626" stopIfTrue="1" operator="equal">
      <formula>"Fail"</formula>
    </cfRule>
  </conditionalFormatting>
  <conditionalFormatting sqref="A1027:A1029">
    <cfRule type="cellIs" dxfId="8785" priority="8623" stopIfTrue="1" operator="equal">
      <formula>"Pass"</formula>
    </cfRule>
    <cfRule type="cellIs" dxfId="8784" priority="8624" stopIfTrue="1" operator="equal">
      <formula>"Fail"</formula>
    </cfRule>
  </conditionalFormatting>
  <conditionalFormatting sqref="A1029">
    <cfRule type="cellIs" dxfId="8783" priority="8621" stopIfTrue="1" operator="equal">
      <formula>"Pass"</formula>
    </cfRule>
    <cfRule type="cellIs" dxfId="8782" priority="8622" stopIfTrue="1" operator="equal">
      <formula>"Fail"</formula>
    </cfRule>
  </conditionalFormatting>
  <conditionalFormatting sqref="A1027:A1029">
    <cfRule type="cellIs" dxfId="8781" priority="8619" stopIfTrue="1" operator="equal">
      <formula>"Pass"</formula>
    </cfRule>
    <cfRule type="cellIs" dxfId="8780" priority="8620" stopIfTrue="1" operator="equal">
      <formula>"Fail"</formula>
    </cfRule>
  </conditionalFormatting>
  <conditionalFormatting sqref="A1027:A1029">
    <cfRule type="cellIs" dxfId="8779" priority="8617" stopIfTrue="1" operator="equal">
      <formula>"Pass"</formula>
    </cfRule>
    <cfRule type="cellIs" dxfId="8778" priority="8618" stopIfTrue="1" operator="equal">
      <formula>"Fail"</formula>
    </cfRule>
  </conditionalFormatting>
  <conditionalFormatting sqref="A1027:A1029">
    <cfRule type="cellIs" dxfId="8777" priority="8615" stopIfTrue="1" operator="equal">
      <formula>"Pass"</formula>
    </cfRule>
    <cfRule type="cellIs" dxfId="8776" priority="8616" stopIfTrue="1" operator="equal">
      <formula>"Fail"</formula>
    </cfRule>
  </conditionalFormatting>
  <conditionalFormatting sqref="A1027:A1029">
    <cfRule type="cellIs" dxfId="8775" priority="8613" stopIfTrue="1" operator="equal">
      <formula>"Pass"</formula>
    </cfRule>
    <cfRule type="cellIs" dxfId="8774" priority="8614" stopIfTrue="1" operator="equal">
      <formula>"Fail"</formula>
    </cfRule>
  </conditionalFormatting>
  <conditionalFormatting sqref="A1027:A1029">
    <cfRule type="cellIs" dxfId="8773" priority="8611" stopIfTrue="1" operator="equal">
      <formula>"Pass"</formula>
    </cfRule>
    <cfRule type="cellIs" dxfId="8772" priority="8612" stopIfTrue="1" operator="equal">
      <formula>"Fail"</formula>
    </cfRule>
  </conditionalFormatting>
  <conditionalFormatting sqref="A1027:A1029">
    <cfRule type="cellIs" dxfId="8771" priority="8609" stopIfTrue="1" operator="equal">
      <formula>"Pass"</formula>
    </cfRule>
    <cfRule type="cellIs" dxfId="8770" priority="8610" stopIfTrue="1" operator="equal">
      <formula>"Fail"</formula>
    </cfRule>
  </conditionalFormatting>
  <conditionalFormatting sqref="A1029">
    <cfRule type="cellIs" dxfId="8769" priority="8607" stopIfTrue="1" operator="equal">
      <formula>"Pass"</formula>
    </cfRule>
    <cfRule type="cellIs" dxfId="8768" priority="8608" stopIfTrue="1" operator="equal">
      <formula>"Fail"</formula>
    </cfRule>
  </conditionalFormatting>
  <conditionalFormatting sqref="A1027:A1029">
    <cfRule type="cellIs" dxfId="8767" priority="8605" stopIfTrue="1" operator="equal">
      <formula>"Pass"</formula>
    </cfRule>
    <cfRule type="cellIs" dxfId="8766" priority="8606" stopIfTrue="1" operator="equal">
      <formula>"Fail"</formula>
    </cfRule>
  </conditionalFormatting>
  <conditionalFormatting sqref="A1027:A1029">
    <cfRule type="cellIs" dxfId="8765" priority="8603" stopIfTrue="1" operator="equal">
      <formula>"Pass"</formula>
    </cfRule>
    <cfRule type="cellIs" dxfId="8764" priority="8604" stopIfTrue="1" operator="equal">
      <formula>"Fail"</formula>
    </cfRule>
  </conditionalFormatting>
  <conditionalFormatting sqref="A1027:A1029">
    <cfRule type="cellIs" dxfId="8763" priority="8601" stopIfTrue="1" operator="equal">
      <formula>"Pass"</formula>
    </cfRule>
    <cfRule type="cellIs" dxfId="8762" priority="8602" stopIfTrue="1" operator="equal">
      <formula>"Fail"</formula>
    </cfRule>
  </conditionalFormatting>
  <conditionalFormatting sqref="A1027:A1029">
    <cfRule type="cellIs" dxfId="8761" priority="8599" stopIfTrue="1" operator="equal">
      <formula>"Pass"</formula>
    </cfRule>
    <cfRule type="cellIs" dxfId="8760" priority="8600" stopIfTrue="1" operator="equal">
      <formula>"Fail"</formula>
    </cfRule>
  </conditionalFormatting>
  <conditionalFormatting sqref="A1027:A1029">
    <cfRule type="cellIs" dxfId="8759" priority="8597" stopIfTrue="1" operator="equal">
      <formula>"Pass"</formula>
    </cfRule>
    <cfRule type="cellIs" dxfId="8758" priority="8598" stopIfTrue="1" operator="equal">
      <formula>"Fail"</formula>
    </cfRule>
  </conditionalFormatting>
  <conditionalFormatting sqref="A1027:A1029">
    <cfRule type="cellIs" dxfId="8757" priority="8595" stopIfTrue="1" operator="equal">
      <formula>"Pass"</formula>
    </cfRule>
    <cfRule type="cellIs" dxfId="8756" priority="8596" stopIfTrue="1" operator="equal">
      <formula>"Fail"</formula>
    </cfRule>
  </conditionalFormatting>
  <conditionalFormatting sqref="A1029">
    <cfRule type="cellIs" dxfId="8755" priority="8593" stopIfTrue="1" operator="equal">
      <formula>"Pass"</formula>
    </cfRule>
    <cfRule type="cellIs" dxfId="8754" priority="8594" stopIfTrue="1" operator="equal">
      <formula>"Fail"</formula>
    </cfRule>
  </conditionalFormatting>
  <conditionalFormatting sqref="A1027:A1029">
    <cfRule type="cellIs" dxfId="8753" priority="8591" stopIfTrue="1" operator="equal">
      <formula>"Pass"</formula>
    </cfRule>
    <cfRule type="cellIs" dxfId="8752" priority="8592" stopIfTrue="1" operator="equal">
      <formula>"Fail"</formula>
    </cfRule>
  </conditionalFormatting>
  <conditionalFormatting sqref="A1027:A1029">
    <cfRule type="cellIs" dxfId="8751" priority="8589" stopIfTrue="1" operator="equal">
      <formula>"Pass"</formula>
    </cfRule>
    <cfRule type="cellIs" dxfId="8750" priority="8590" stopIfTrue="1" operator="equal">
      <formula>"Fail"</formula>
    </cfRule>
  </conditionalFormatting>
  <conditionalFormatting sqref="A1027:A1029">
    <cfRule type="cellIs" dxfId="8749" priority="8587" stopIfTrue="1" operator="equal">
      <formula>"Pass"</formula>
    </cfRule>
    <cfRule type="cellIs" dxfId="8748" priority="8588" stopIfTrue="1" operator="equal">
      <formula>"Fail"</formula>
    </cfRule>
  </conditionalFormatting>
  <conditionalFormatting sqref="A1027:A1029">
    <cfRule type="cellIs" dxfId="8747" priority="8585" stopIfTrue="1" operator="equal">
      <formula>"Pass"</formula>
    </cfRule>
    <cfRule type="cellIs" dxfId="8746" priority="8586" stopIfTrue="1" operator="equal">
      <formula>"Fail"</formula>
    </cfRule>
  </conditionalFormatting>
  <conditionalFormatting sqref="A1027:A1029">
    <cfRule type="cellIs" dxfId="8745" priority="8583" stopIfTrue="1" operator="equal">
      <formula>"Pass"</formula>
    </cfRule>
    <cfRule type="cellIs" dxfId="8744" priority="8584" stopIfTrue="1" operator="equal">
      <formula>"Fail"</formula>
    </cfRule>
  </conditionalFormatting>
  <conditionalFormatting sqref="A1027:A1029">
    <cfRule type="cellIs" dxfId="8743" priority="8581" stopIfTrue="1" operator="equal">
      <formula>"Pass"</formula>
    </cfRule>
    <cfRule type="cellIs" dxfId="8742" priority="8582" stopIfTrue="1" operator="equal">
      <formula>"Fail"</formula>
    </cfRule>
  </conditionalFormatting>
  <conditionalFormatting sqref="A1029">
    <cfRule type="cellIs" dxfId="8741" priority="8579" stopIfTrue="1" operator="equal">
      <formula>"Pass"</formula>
    </cfRule>
    <cfRule type="cellIs" dxfId="8740" priority="8580" stopIfTrue="1" operator="equal">
      <formula>"Fail"</formula>
    </cfRule>
  </conditionalFormatting>
  <conditionalFormatting sqref="A1027:A1029">
    <cfRule type="cellIs" dxfId="8739" priority="8577" stopIfTrue="1" operator="equal">
      <formula>"Pass"</formula>
    </cfRule>
    <cfRule type="cellIs" dxfId="8738" priority="8578" stopIfTrue="1" operator="equal">
      <formula>"Fail"</formula>
    </cfRule>
  </conditionalFormatting>
  <conditionalFormatting sqref="A1027:A1029">
    <cfRule type="cellIs" dxfId="8737" priority="8575" stopIfTrue="1" operator="equal">
      <formula>"Pass"</formula>
    </cfRule>
    <cfRule type="cellIs" dxfId="8736" priority="8576" stopIfTrue="1" operator="equal">
      <formula>"Fail"</formula>
    </cfRule>
  </conditionalFormatting>
  <conditionalFormatting sqref="A1027:A1029">
    <cfRule type="cellIs" dxfId="8735" priority="8573" stopIfTrue="1" operator="equal">
      <formula>"Pass"</formula>
    </cfRule>
    <cfRule type="cellIs" dxfId="8734" priority="8574" stopIfTrue="1" operator="equal">
      <formula>"Fail"</formula>
    </cfRule>
  </conditionalFormatting>
  <conditionalFormatting sqref="A1027:A1029">
    <cfRule type="cellIs" dxfId="8733" priority="8571" stopIfTrue="1" operator="equal">
      <formula>"Pass"</formula>
    </cfRule>
    <cfRule type="cellIs" dxfId="8732" priority="8572" stopIfTrue="1" operator="equal">
      <formula>"Fail"</formula>
    </cfRule>
  </conditionalFormatting>
  <conditionalFormatting sqref="A1027:A1029">
    <cfRule type="cellIs" dxfId="8731" priority="8569" stopIfTrue="1" operator="equal">
      <formula>"Pass"</formula>
    </cfRule>
    <cfRule type="cellIs" dxfId="8730" priority="8570" stopIfTrue="1" operator="equal">
      <formula>"Fail"</formula>
    </cfRule>
  </conditionalFormatting>
  <conditionalFormatting sqref="A1027:A1029">
    <cfRule type="cellIs" dxfId="8729" priority="8567" stopIfTrue="1" operator="equal">
      <formula>"Pass"</formula>
    </cfRule>
    <cfRule type="cellIs" dxfId="8728" priority="8568" stopIfTrue="1" operator="equal">
      <formula>"Fail"</formula>
    </cfRule>
  </conditionalFormatting>
  <conditionalFormatting sqref="A1029">
    <cfRule type="cellIs" dxfId="8727" priority="8565" stopIfTrue="1" operator="equal">
      <formula>"Pass"</formula>
    </cfRule>
    <cfRule type="cellIs" dxfId="8726" priority="8566" stopIfTrue="1" operator="equal">
      <formula>"Fail"</formula>
    </cfRule>
  </conditionalFormatting>
  <conditionalFormatting sqref="A1027:A1029">
    <cfRule type="cellIs" dxfId="8725" priority="8563" stopIfTrue="1" operator="equal">
      <formula>"Pass"</formula>
    </cfRule>
    <cfRule type="cellIs" dxfId="8724" priority="8564" stopIfTrue="1" operator="equal">
      <formula>"Fail"</formula>
    </cfRule>
  </conditionalFormatting>
  <conditionalFormatting sqref="A1027">
    <cfRule type="cellIs" dxfId="8723" priority="8561" stopIfTrue="1" operator="equal">
      <formula>"Pass"</formula>
    </cfRule>
    <cfRule type="cellIs" dxfId="8722" priority="8562" stopIfTrue="1" operator="equal">
      <formula>"Fail"</formula>
    </cfRule>
  </conditionalFormatting>
  <conditionalFormatting sqref="A1027">
    <cfRule type="cellIs" dxfId="8721" priority="8559" stopIfTrue="1" operator="equal">
      <formula>"Pass"</formula>
    </cfRule>
    <cfRule type="cellIs" dxfId="8720" priority="8560" stopIfTrue="1" operator="equal">
      <formula>"Fail"</formula>
    </cfRule>
  </conditionalFormatting>
  <conditionalFormatting sqref="A1027">
    <cfRule type="cellIs" dxfId="8719" priority="8557" stopIfTrue="1" operator="equal">
      <formula>"Pass"</formula>
    </cfRule>
    <cfRule type="cellIs" dxfId="8718" priority="8558" stopIfTrue="1" operator="equal">
      <formula>"Fail"</formula>
    </cfRule>
  </conditionalFormatting>
  <conditionalFormatting sqref="A1027">
    <cfRule type="cellIs" dxfId="8717" priority="8555" stopIfTrue="1" operator="equal">
      <formula>"Pass"</formula>
    </cfRule>
    <cfRule type="cellIs" dxfId="8716" priority="8556" stopIfTrue="1" operator="equal">
      <formula>"Fail"</formula>
    </cfRule>
  </conditionalFormatting>
  <conditionalFormatting sqref="A1027">
    <cfRule type="cellIs" dxfId="8715" priority="8553" stopIfTrue="1" operator="equal">
      <formula>"Pass"</formula>
    </cfRule>
    <cfRule type="cellIs" dxfId="8714" priority="8554" stopIfTrue="1" operator="equal">
      <formula>"Fail"</formula>
    </cfRule>
  </conditionalFormatting>
  <conditionalFormatting sqref="A1027">
    <cfRule type="cellIs" dxfId="8713" priority="8551" stopIfTrue="1" operator="equal">
      <formula>"Pass"</formula>
    </cfRule>
    <cfRule type="cellIs" dxfId="8712" priority="8552" stopIfTrue="1" operator="equal">
      <formula>"Fail"</formula>
    </cfRule>
  </conditionalFormatting>
  <conditionalFormatting sqref="H1027:H1028">
    <cfRule type="cellIs" dxfId="8711" priority="8549" stopIfTrue="1" operator="equal">
      <formula>"Pass"</formula>
    </cfRule>
    <cfRule type="cellIs" dxfId="8710" priority="8550" stopIfTrue="1" operator="equal">
      <formula>"Fail"</formula>
    </cfRule>
  </conditionalFormatting>
  <conditionalFormatting sqref="E1027:F1027 E1029:F1029 A1027 I1027:M1028">
    <cfRule type="cellIs" dxfId="8709" priority="8547" stopIfTrue="1" operator="equal">
      <formula>"Pass"</formula>
    </cfRule>
    <cfRule type="cellIs" dxfId="8708" priority="8548" stopIfTrue="1" operator="equal">
      <formula>"Fail"</formula>
    </cfRule>
  </conditionalFormatting>
  <conditionalFormatting sqref="T1029 T1027 R1027:R1029 S1028:S1029">
    <cfRule type="cellIs" dxfId="8707" priority="8545" stopIfTrue="1" operator="equal">
      <formula>"Fail"</formula>
    </cfRule>
    <cfRule type="cellIs" dxfId="8706" priority="8546" stopIfTrue="1" operator="equal">
      <formula>"Pass"</formula>
    </cfRule>
  </conditionalFormatting>
  <conditionalFormatting sqref="F1027:G1027 F1029:G1029 B1027:B1029 A1027 J1027:N1028">
    <cfRule type="cellIs" dxfId="8705" priority="8543" stopIfTrue="1" operator="equal">
      <formula>"Pass"</formula>
    </cfRule>
    <cfRule type="cellIs" dxfId="8704" priority="8544" stopIfTrue="1" operator="equal">
      <formula>"Fail"</formula>
    </cfRule>
  </conditionalFormatting>
  <conditionalFormatting sqref="U1029:V1029 T1027:T1029 S1028:S1029">
    <cfRule type="cellIs" dxfId="8703" priority="8541" stopIfTrue="1" operator="equal">
      <formula>"Fail"</formula>
    </cfRule>
    <cfRule type="cellIs" dxfId="8702" priority="8542" stopIfTrue="1" operator="equal">
      <formula>"Pass"</formula>
    </cfRule>
  </conditionalFormatting>
  <conditionalFormatting sqref="A1027">
    <cfRule type="cellIs" dxfId="8701" priority="8539" stopIfTrue="1" operator="equal">
      <formula>"Pass"</formula>
    </cfRule>
    <cfRule type="cellIs" dxfId="8700" priority="8540" stopIfTrue="1" operator="equal">
      <formula>"Fail"</formula>
    </cfRule>
  </conditionalFormatting>
  <conditionalFormatting sqref="A1027">
    <cfRule type="cellIs" dxfId="8699" priority="8537" stopIfTrue="1" operator="equal">
      <formula>"Pass"</formula>
    </cfRule>
    <cfRule type="cellIs" dxfId="8698" priority="8538" stopIfTrue="1" operator="equal">
      <formula>"Fail"</formula>
    </cfRule>
  </conditionalFormatting>
  <conditionalFormatting sqref="A1027">
    <cfRule type="cellIs" dxfId="8697" priority="8535" stopIfTrue="1" operator="equal">
      <formula>"Pass"</formula>
    </cfRule>
    <cfRule type="cellIs" dxfId="8696" priority="8536" stopIfTrue="1" operator="equal">
      <formula>"Fail"</formula>
    </cfRule>
  </conditionalFormatting>
  <conditionalFormatting sqref="A1027">
    <cfRule type="cellIs" dxfId="8695" priority="8533" stopIfTrue="1" operator="equal">
      <formula>"Pass"</formula>
    </cfRule>
    <cfRule type="cellIs" dxfId="8694" priority="8534" stopIfTrue="1" operator="equal">
      <formula>"Fail"</formula>
    </cfRule>
  </conditionalFormatting>
  <conditionalFormatting sqref="A1027">
    <cfRule type="cellIs" dxfId="8693" priority="8531" stopIfTrue="1" operator="equal">
      <formula>"Pass"</formula>
    </cfRule>
    <cfRule type="cellIs" dxfId="8692" priority="8532" stopIfTrue="1" operator="equal">
      <formula>"Fail"</formula>
    </cfRule>
  </conditionalFormatting>
  <conditionalFormatting sqref="A1027">
    <cfRule type="cellIs" dxfId="8691" priority="8529" stopIfTrue="1" operator="equal">
      <formula>"Pass"</formula>
    </cfRule>
    <cfRule type="cellIs" dxfId="8690" priority="8530" stopIfTrue="1" operator="equal">
      <formula>"Fail"</formula>
    </cfRule>
  </conditionalFormatting>
  <conditionalFormatting sqref="A1027">
    <cfRule type="cellIs" dxfId="8689" priority="8527" stopIfTrue="1" operator="equal">
      <formula>"Pass"</formula>
    </cfRule>
    <cfRule type="cellIs" dxfId="8688" priority="8528" stopIfTrue="1" operator="equal">
      <formula>"Fail"</formula>
    </cfRule>
  </conditionalFormatting>
  <conditionalFormatting sqref="A1027">
    <cfRule type="cellIs" dxfId="8687" priority="8525" stopIfTrue="1" operator="equal">
      <formula>"Pass"</formula>
    </cfRule>
    <cfRule type="cellIs" dxfId="8686" priority="8526" stopIfTrue="1" operator="equal">
      <formula>"Fail"</formula>
    </cfRule>
  </conditionalFormatting>
  <conditionalFormatting sqref="A1027">
    <cfRule type="cellIs" dxfId="8685" priority="8523" stopIfTrue="1" operator="equal">
      <formula>"Pass"</formula>
    </cfRule>
    <cfRule type="cellIs" dxfId="8684" priority="8524" stopIfTrue="1" operator="equal">
      <formula>"Fail"</formula>
    </cfRule>
  </conditionalFormatting>
  <conditionalFormatting sqref="A1027">
    <cfRule type="cellIs" dxfId="8683" priority="8521" stopIfTrue="1" operator="equal">
      <formula>"Pass"</formula>
    </cfRule>
    <cfRule type="cellIs" dxfId="8682" priority="8522" stopIfTrue="1" operator="equal">
      <formula>"Fail"</formula>
    </cfRule>
  </conditionalFormatting>
  <conditionalFormatting sqref="U1027:V1027">
    <cfRule type="cellIs" dxfId="8681" priority="8519" stopIfTrue="1" operator="equal">
      <formula>"Fail"</formula>
    </cfRule>
    <cfRule type="cellIs" dxfId="8680" priority="8520" stopIfTrue="1" operator="equal">
      <formula>"Pass"</formula>
    </cfRule>
  </conditionalFormatting>
  <conditionalFormatting sqref="F1027:G1027 J1027:N1027">
    <cfRule type="cellIs" dxfId="8679" priority="8517" stopIfTrue="1" operator="equal">
      <formula>"Pass"</formula>
    </cfRule>
    <cfRule type="cellIs" dxfId="8678" priority="8518" stopIfTrue="1" operator="equal">
      <formula>"Fail"</formula>
    </cfRule>
  </conditionalFormatting>
  <conditionalFormatting sqref="J1028:N1028">
    <cfRule type="cellIs" dxfId="8677" priority="8515" stopIfTrue="1" operator="equal">
      <formula>"Pass"</formula>
    </cfRule>
    <cfRule type="cellIs" dxfId="8676" priority="8516" stopIfTrue="1" operator="equal">
      <formula>"Fail"</formula>
    </cfRule>
  </conditionalFormatting>
  <conditionalFormatting sqref="A1027">
    <cfRule type="cellIs" dxfId="8675" priority="8513" stopIfTrue="1" operator="equal">
      <formula>"Pass"</formula>
    </cfRule>
    <cfRule type="cellIs" dxfId="8674" priority="8514" stopIfTrue="1" operator="equal">
      <formula>"Fail"</formula>
    </cfRule>
  </conditionalFormatting>
  <conditionalFormatting sqref="A1027">
    <cfRule type="cellIs" dxfId="8673" priority="8511" stopIfTrue="1" operator="equal">
      <formula>"Pass"</formula>
    </cfRule>
    <cfRule type="cellIs" dxfId="8672" priority="8512" stopIfTrue="1" operator="equal">
      <formula>"Fail"</formula>
    </cfRule>
  </conditionalFormatting>
  <conditionalFormatting sqref="A1027">
    <cfRule type="cellIs" dxfId="8671" priority="8509" stopIfTrue="1" operator="equal">
      <formula>"Pass"</formula>
    </cfRule>
    <cfRule type="cellIs" dxfId="8670" priority="8510" stopIfTrue="1" operator="equal">
      <formula>"Fail"</formula>
    </cfRule>
  </conditionalFormatting>
  <conditionalFormatting sqref="A1027">
    <cfRule type="cellIs" dxfId="8669" priority="8507" stopIfTrue="1" operator="equal">
      <formula>"Pass"</formula>
    </cfRule>
    <cfRule type="cellIs" dxfId="8668" priority="8508" stopIfTrue="1" operator="equal">
      <formula>"Fail"</formula>
    </cfRule>
  </conditionalFormatting>
  <conditionalFormatting sqref="A1027">
    <cfRule type="cellIs" dxfId="8667" priority="8505" stopIfTrue="1" operator="equal">
      <formula>"Pass"</formula>
    </cfRule>
    <cfRule type="cellIs" dxfId="8666" priority="8506" stopIfTrue="1" operator="equal">
      <formula>"Fail"</formula>
    </cfRule>
  </conditionalFormatting>
  <conditionalFormatting sqref="A1027">
    <cfRule type="cellIs" dxfId="8665" priority="8503" stopIfTrue="1" operator="equal">
      <formula>"Pass"</formula>
    </cfRule>
    <cfRule type="cellIs" dxfId="8664" priority="8504" stopIfTrue="1" operator="equal">
      <formula>"Fail"</formula>
    </cfRule>
  </conditionalFormatting>
  <conditionalFormatting sqref="A1027">
    <cfRule type="cellIs" dxfId="8663" priority="8501" stopIfTrue="1" operator="equal">
      <formula>"Pass"</formula>
    </cfRule>
    <cfRule type="cellIs" dxfId="8662" priority="8502" stopIfTrue="1" operator="equal">
      <formula>"Fail"</formula>
    </cfRule>
  </conditionalFormatting>
  <conditionalFormatting sqref="A1027">
    <cfRule type="cellIs" dxfId="8661" priority="8499" stopIfTrue="1" operator="equal">
      <formula>"Pass"</formula>
    </cfRule>
    <cfRule type="cellIs" dxfId="8660" priority="8500" stopIfTrue="1" operator="equal">
      <formula>"Fail"</formula>
    </cfRule>
  </conditionalFormatting>
  <conditionalFormatting sqref="A1027">
    <cfRule type="cellIs" dxfId="8659" priority="8497" stopIfTrue="1" operator="equal">
      <formula>"Pass"</formula>
    </cfRule>
    <cfRule type="cellIs" dxfId="8658" priority="8498" stopIfTrue="1" operator="equal">
      <formula>"Fail"</formula>
    </cfRule>
  </conditionalFormatting>
  <conditionalFormatting sqref="A1027">
    <cfRule type="cellIs" dxfId="8657" priority="8495" stopIfTrue="1" operator="equal">
      <formula>"Pass"</formula>
    </cfRule>
    <cfRule type="cellIs" dxfId="8656" priority="8496" stopIfTrue="1" operator="equal">
      <formula>"Fail"</formula>
    </cfRule>
  </conditionalFormatting>
  <conditionalFormatting sqref="A1027">
    <cfRule type="cellIs" dxfId="8655" priority="8493" stopIfTrue="1" operator="equal">
      <formula>"Pass"</formula>
    </cfRule>
    <cfRule type="cellIs" dxfId="8654" priority="8494" stopIfTrue="1" operator="equal">
      <formula>"Fail"</formula>
    </cfRule>
  </conditionalFormatting>
  <conditionalFormatting sqref="A1027">
    <cfRule type="cellIs" dxfId="8653" priority="8491" stopIfTrue="1" operator="equal">
      <formula>"Pass"</formula>
    </cfRule>
    <cfRule type="cellIs" dxfId="8652" priority="8492" stopIfTrue="1" operator="equal">
      <formula>"Fail"</formula>
    </cfRule>
  </conditionalFormatting>
  <conditionalFormatting sqref="H1027:H1028">
    <cfRule type="cellIs" dxfId="8651" priority="8489" stopIfTrue="1" operator="equal">
      <formula>"Pass"</formula>
    </cfRule>
    <cfRule type="cellIs" dxfId="8650" priority="8490" stopIfTrue="1" operator="equal">
      <formula>"Fail"</formula>
    </cfRule>
  </conditionalFormatting>
  <conditionalFormatting sqref="F1027 F1029 I1027:M1028">
    <cfRule type="cellIs" dxfId="8649" priority="8487" stopIfTrue="1" operator="equal">
      <formula>"Pass"</formula>
    </cfRule>
    <cfRule type="cellIs" dxfId="8648" priority="8488" stopIfTrue="1" operator="equal">
      <formula>"Fail"</formula>
    </cfRule>
  </conditionalFormatting>
  <conditionalFormatting sqref="T1029 T1027 R1027:R1029 S1028:S1029">
    <cfRule type="cellIs" dxfId="8647" priority="8485" stopIfTrue="1" operator="equal">
      <formula>"Fail"</formula>
    </cfRule>
    <cfRule type="cellIs" dxfId="8646" priority="8486" stopIfTrue="1" operator="equal">
      <formula>"Pass"</formula>
    </cfRule>
  </conditionalFormatting>
  <conditionalFormatting sqref="F1027:G1027 F1029:G1029 J1027:N1028">
    <cfRule type="cellIs" dxfId="8645" priority="8483" stopIfTrue="1" operator="equal">
      <formula>"Pass"</formula>
    </cfRule>
    <cfRule type="cellIs" dxfId="8644" priority="8484" stopIfTrue="1" operator="equal">
      <formula>"Fail"</formula>
    </cfRule>
  </conditionalFormatting>
  <conditionalFormatting sqref="U1029:V1029 T1027:T1029 S1028:S1029">
    <cfRule type="cellIs" dxfId="8643" priority="8481" stopIfTrue="1" operator="equal">
      <formula>"Fail"</formula>
    </cfRule>
    <cfRule type="cellIs" dxfId="8642" priority="8482" stopIfTrue="1" operator="equal">
      <formula>"Pass"</formula>
    </cfRule>
  </conditionalFormatting>
  <conditionalFormatting sqref="U1027:V1027">
    <cfRule type="cellIs" dxfId="8641" priority="8479" stopIfTrue="1" operator="equal">
      <formula>"Fail"</formula>
    </cfRule>
    <cfRule type="cellIs" dxfId="8640" priority="8480" stopIfTrue="1" operator="equal">
      <formula>"Pass"</formula>
    </cfRule>
  </conditionalFormatting>
  <conditionalFormatting sqref="F1027:G1027 J1027:N1027">
    <cfRule type="cellIs" dxfId="8639" priority="8477" stopIfTrue="1" operator="equal">
      <formula>"Pass"</formula>
    </cfRule>
    <cfRule type="cellIs" dxfId="8638" priority="8478" stopIfTrue="1" operator="equal">
      <formula>"Fail"</formula>
    </cfRule>
  </conditionalFormatting>
  <conditionalFormatting sqref="J1028:N1028">
    <cfRule type="cellIs" dxfId="8637" priority="8475" stopIfTrue="1" operator="equal">
      <formula>"Pass"</formula>
    </cfRule>
    <cfRule type="cellIs" dxfId="8636" priority="8476" stopIfTrue="1" operator="equal">
      <formula>"Fail"</formula>
    </cfRule>
  </conditionalFormatting>
  <conditionalFormatting sqref="H1027:H1028">
    <cfRule type="cellIs" dxfId="8635" priority="8473" stopIfTrue="1" operator="equal">
      <formula>"Pass"</formula>
    </cfRule>
    <cfRule type="cellIs" dxfId="8634" priority="8474" stopIfTrue="1" operator="equal">
      <formula>"Fail"</formula>
    </cfRule>
  </conditionalFormatting>
  <conditionalFormatting sqref="F1027 F1029 I1027:M1028">
    <cfRule type="cellIs" dxfId="8633" priority="8471" stopIfTrue="1" operator="equal">
      <formula>"Pass"</formula>
    </cfRule>
    <cfRule type="cellIs" dxfId="8632" priority="8472" stopIfTrue="1" operator="equal">
      <formula>"Fail"</formula>
    </cfRule>
  </conditionalFormatting>
  <conditionalFormatting sqref="T1029 T1027 R1027:R1029 S1028:S1029">
    <cfRule type="cellIs" dxfId="8631" priority="8469" stopIfTrue="1" operator="equal">
      <formula>"Fail"</formula>
    </cfRule>
    <cfRule type="cellIs" dxfId="8630" priority="8470" stopIfTrue="1" operator="equal">
      <formula>"Pass"</formula>
    </cfRule>
  </conditionalFormatting>
  <conditionalFormatting sqref="F1027:G1027 F1029:G1029 J1027:N1028">
    <cfRule type="cellIs" dxfId="8629" priority="8467" stopIfTrue="1" operator="equal">
      <formula>"Pass"</formula>
    </cfRule>
    <cfRule type="cellIs" dxfId="8628" priority="8468" stopIfTrue="1" operator="equal">
      <formula>"Fail"</formula>
    </cfRule>
  </conditionalFormatting>
  <conditionalFormatting sqref="U1029:V1029 T1027:T1029 S1028:S1029">
    <cfRule type="cellIs" dxfId="8627" priority="8465" stopIfTrue="1" operator="equal">
      <formula>"Fail"</formula>
    </cfRule>
    <cfRule type="cellIs" dxfId="8626" priority="8466" stopIfTrue="1" operator="equal">
      <formula>"Pass"</formula>
    </cfRule>
  </conditionalFormatting>
  <conditionalFormatting sqref="U1027:V1027">
    <cfRule type="cellIs" dxfId="8625" priority="8463" stopIfTrue="1" operator="equal">
      <formula>"Fail"</formula>
    </cfRule>
    <cfRule type="cellIs" dxfId="8624" priority="8464" stopIfTrue="1" operator="equal">
      <formula>"Pass"</formula>
    </cfRule>
  </conditionalFormatting>
  <conditionalFormatting sqref="F1027:G1027 J1027:N1027">
    <cfRule type="cellIs" dxfId="8623" priority="8461" stopIfTrue="1" operator="equal">
      <formula>"Pass"</formula>
    </cfRule>
    <cfRule type="cellIs" dxfId="8622" priority="8462" stopIfTrue="1" operator="equal">
      <formula>"Fail"</formula>
    </cfRule>
  </conditionalFormatting>
  <conditionalFormatting sqref="J1028:N1028">
    <cfRule type="cellIs" dxfId="8621" priority="8459" stopIfTrue="1" operator="equal">
      <formula>"Pass"</formula>
    </cfRule>
    <cfRule type="cellIs" dxfId="8620" priority="8460" stopIfTrue="1" operator="equal">
      <formula>"Fail"</formula>
    </cfRule>
  </conditionalFormatting>
  <conditionalFormatting sqref="U1027:V1027">
    <cfRule type="cellIs" dxfId="8619" priority="8457" stopIfTrue="1" operator="equal">
      <formula>"Fail"</formula>
    </cfRule>
    <cfRule type="cellIs" dxfId="8618" priority="8458" stopIfTrue="1" operator="equal">
      <formula>"Pass"</formula>
    </cfRule>
  </conditionalFormatting>
  <conditionalFormatting sqref="U1027:V1027">
    <cfRule type="cellIs" dxfId="8617" priority="8455" stopIfTrue="1" operator="equal">
      <formula>"Fail"</formula>
    </cfRule>
    <cfRule type="cellIs" dxfId="8616" priority="8456" stopIfTrue="1" operator="equal">
      <formula>"Pass"</formula>
    </cfRule>
  </conditionalFormatting>
  <conditionalFormatting sqref="U1027:V1027">
    <cfRule type="cellIs" dxfId="8615" priority="8453" stopIfTrue="1" operator="equal">
      <formula>"Fail"</formula>
    </cfRule>
    <cfRule type="cellIs" dxfId="8614" priority="8454" stopIfTrue="1" operator="equal">
      <formula>"Pass"</formula>
    </cfRule>
  </conditionalFormatting>
  <conditionalFormatting sqref="N1027">
    <cfRule type="cellIs" dxfId="8613" priority="8451" stopIfTrue="1" operator="equal">
      <formula>"Pass"</formula>
    </cfRule>
    <cfRule type="cellIs" dxfId="8612" priority="8452" stopIfTrue="1" operator="equal">
      <formula>"Fail"</formula>
    </cfRule>
  </conditionalFormatting>
  <conditionalFormatting sqref="N1027">
    <cfRule type="cellIs" dxfId="8611" priority="8449" stopIfTrue="1" operator="equal">
      <formula>"Pass"</formula>
    </cfRule>
    <cfRule type="cellIs" dxfId="8610" priority="8450" stopIfTrue="1" operator="equal">
      <formula>"Fail"</formula>
    </cfRule>
  </conditionalFormatting>
  <conditionalFormatting sqref="N1027">
    <cfRule type="cellIs" dxfId="8609" priority="8447" stopIfTrue="1" operator="equal">
      <formula>"Pass"</formula>
    </cfRule>
    <cfRule type="cellIs" dxfId="8608" priority="8448" stopIfTrue="1" operator="equal">
      <formula>"Fail"</formula>
    </cfRule>
  </conditionalFormatting>
  <conditionalFormatting sqref="A1027">
    <cfRule type="cellIs" dxfId="8607" priority="8445" stopIfTrue="1" operator="equal">
      <formula>"Pass"</formula>
    </cfRule>
    <cfRule type="cellIs" dxfId="8606" priority="8446" stopIfTrue="1" operator="equal">
      <formula>"Fail"</formula>
    </cfRule>
  </conditionalFormatting>
  <conditionalFormatting sqref="A1027">
    <cfRule type="cellIs" dxfId="8605" priority="8443" stopIfTrue="1" operator="equal">
      <formula>"Pass"</formula>
    </cfRule>
    <cfRule type="cellIs" dxfId="8604" priority="8444" stopIfTrue="1" operator="equal">
      <formula>"Fail"</formula>
    </cfRule>
  </conditionalFormatting>
  <conditionalFormatting sqref="A1027">
    <cfRule type="cellIs" dxfId="8603" priority="8441" stopIfTrue="1" operator="equal">
      <formula>"Pass"</formula>
    </cfRule>
    <cfRule type="cellIs" dxfId="8602" priority="8442" stopIfTrue="1" operator="equal">
      <formula>"Fail"</formula>
    </cfRule>
  </conditionalFormatting>
  <conditionalFormatting sqref="A1027">
    <cfRule type="cellIs" dxfId="8601" priority="8439" stopIfTrue="1" operator="equal">
      <formula>"Pass"</formula>
    </cfRule>
    <cfRule type="cellIs" dxfId="8600" priority="8440" stopIfTrue="1" operator="equal">
      <formula>"Fail"</formula>
    </cfRule>
  </conditionalFormatting>
  <conditionalFormatting sqref="A1027">
    <cfRule type="cellIs" dxfId="8599" priority="8437" stopIfTrue="1" operator="equal">
      <formula>"Pass"</formula>
    </cfRule>
    <cfRule type="cellIs" dxfId="8598" priority="8438" stopIfTrue="1" operator="equal">
      <formula>"Fail"</formula>
    </cfRule>
  </conditionalFormatting>
  <conditionalFormatting sqref="A1027">
    <cfRule type="cellIs" dxfId="8597" priority="8435" stopIfTrue="1" operator="equal">
      <formula>"Pass"</formula>
    </cfRule>
    <cfRule type="cellIs" dxfId="8596" priority="8436" stopIfTrue="1" operator="equal">
      <formula>"Fail"</formula>
    </cfRule>
  </conditionalFormatting>
  <conditionalFormatting sqref="A1027">
    <cfRule type="cellIs" dxfId="8595" priority="8433" stopIfTrue="1" operator="equal">
      <formula>"Pass"</formula>
    </cfRule>
    <cfRule type="cellIs" dxfId="8594" priority="8434" stopIfTrue="1" operator="equal">
      <formula>"Fail"</formula>
    </cfRule>
  </conditionalFormatting>
  <conditionalFormatting sqref="A1027">
    <cfRule type="cellIs" dxfId="8593" priority="8431" stopIfTrue="1" operator="equal">
      <formula>"Pass"</formula>
    </cfRule>
    <cfRule type="cellIs" dxfId="8592" priority="8432" stopIfTrue="1" operator="equal">
      <formula>"Fail"</formula>
    </cfRule>
  </conditionalFormatting>
  <conditionalFormatting sqref="A1027">
    <cfRule type="cellIs" dxfId="8591" priority="8429" stopIfTrue="1" operator="equal">
      <formula>"Pass"</formula>
    </cfRule>
    <cfRule type="cellIs" dxfId="8590" priority="8430" stopIfTrue="1" operator="equal">
      <formula>"Fail"</formula>
    </cfRule>
  </conditionalFormatting>
  <conditionalFormatting sqref="A1027">
    <cfRule type="cellIs" dxfId="8589" priority="8427" stopIfTrue="1" operator="equal">
      <formula>"Pass"</formula>
    </cfRule>
    <cfRule type="cellIs" dxfId="8588" priority="8428" stopIfTrue="1" operator="equal">
      <formula>"Fail"</formula>
    </cfRule>
  </conditionalFormatting>
  <conditionalFormatting sqref="A1027">
    <cfRule type="cellIs" dxfId="8587" priority="8425" stopIfTrue="1" operator="equal">
      <formula>"Pass"</formula>
    </cfRule>
    <cfRule type="cellIs" dxfId="8586" priority="8426" stopIfTrue="1" operator="equal">
      <formula>"Fail"</formula>
    </cfRule>
  </conditionalFormatting>
  <conditionalFormatting sqref="A1027">
    <cfRule type="cellIs" dxfId="8585" priority="8423" stopIfTrue="1" operator="equal">
      <formula>"Pass"</formula>
    </cfRule>
    <cfRule type="cellIs" dxfId="8584" priority="8424" stopIfTrue="1" operator="equal">
      <formula>"Fail"</formula>
    </cfRule>
  </conditionalFormatting>
  <conditionalFormatting sqref="A1027">
    <cfRule type="cellIs" dxfId="8583" priority="8421" stopIfTrue="1" operator="equal">
      <formula>"Pass"</formula>
    </cfRule>
    <cfRule type="cellIs" dxfId="8582" priority="8422" stopIfTrue="1" operator="equal">
      <formula>"Fail"</formula>
    </cfRule>
  </conditionalFormatting>
  <conditionalFormatting sqref="A1027">
    <cfRule type="cellIs" dxfId="8581" priority="8419" stopIfTrue="1" operator="equal">
      <formula>"Pass"</formula>
    </cfRule>
    <cfRule type="cellIs" dxfId="8580" priority="8420" stopIfTrue="1" operator="equal">
      <formula>"Fail"</formula>
    </cfRule>
  </conditionalFormatting>
  <conditionalFormatting sqref="A1027">
    <cfRule type="cellIs" dxfId="8579" priority="8417" stopIfTrue="1" operator="equal">
      <formula>"Pass"</formula>
    </cfRule>
    <cfRule type="cellIs" dxfId="8578" priority="8418" stopIfTrue="1" operator="equal">
      <formula>"Fail"</formula>
    </cfRule>
  </conditionalFormatting>
  <conditionalFormatting sqref="A1027">
    <cfRule type="cellIs" dxfId="8577" priority="8415" stopIfTrue="1" operator="equal">
      <formula>"Pass"</formula>
    </cfRule>
    <cfRule type="cellIs" dxfId="8576" priority="8416" stopIfTrue="1" operator="equal">
      <formula>"Fail"</formula>
    </cfRule>
  </conditionalFormatting>
  <conditionalFormatting sqref="A1027">
    <cfRule type="cellIs" dxfId="8575" priority="8413" stopIfTrue="1" operator="equal">
      <formula>"Pass"</formula>
    </cfRule>
    <cfRule type="cellIs" dxfId="8574" priority="8414" stopIfTrue="1" operator="equal">
      <formula>"Fail"</formula>
    </cfRule>
  </conditionalFormatting>
  <conditionalFormatting sqref="A1027">
    <cfRule type="cellIs" dxfId="8573" priority="8411" stopIfTrue="1" operator="equal">
      <formula>"Pass"</formula>
    </cfRule>
    <cfRule type="cellIs" dxfId="8572" priority="8412" stopIfTrue="1" operator="equal">
      <formula>"Fail"</formula>
    </cfRule>
  </conditionalFormatting>
  <conditionalFormatting sqref="H1027:H1028">
    <cfRule type="cellIs" dxfId="8571" priority="8409" stopIfTrue="1" operator="equal">
      <formula>"Pass"</formula>
    </cfRule>
    <cfRule type="cellIs" dxfId="8570" priority="8410" stopIfTrue="1" operator="equal">
      <formula>"Fail"</formula>
    </cfRule>
  </conditionalFormatting>
  <conditionalFormatting sqref="F1027 F1029 I1027:M1028">
    <cfRule type="cellIs" dxfId="8569" priority="8407" stopIfTrue="1" operator="equal">
      <formula>"Pass"</formula>
    </cfRule>
    <cfRule type="cellIs" dxfId="8568" priority="8408" stopIfTrue="1" operator="equal">
      <formula>"Fail"</formula>
    </cfRule>
  </conditionalFormatting>
  <conditionalFormatting sqref="T1029 T1027 R1027:R1029 S1028:S1029">
    <cfRule type="cellIs" dxfId="8567" priority="8405" stopIfTrue="1" operator="equal">
      <formula>"Fail"</formula>
    </cfRule>
    <cfRule type="cellIs" dxfId="8566" priority="8406" stopIfTrue="1" operator="equal">
      <formula>"Pass"</formula>
    </cfRule>
  </conditionalFormatting>
  <conditionalFormatting sqref="F1027:G1027 F1029:G1029 J1027:N1028">
    <cfRule type="cellIs" dxfId="8565" priority="8403" stopIfTrue="1" operator="equal">
      <formula>"Pass"</formula>
    </cfRule>
    <cfRule type="cellIs" dxfId="8564" priority="8404" stopIfTrue="1" operator="equal">
      <formula>"Fail"</formula>
    </cfRule>
  </conditionalFormatting>
  <conditionalFormatting sqref="U1029:V1029 T1027:T1029 S1028:S1029">
    <cfRule type="cellIs" dxfId="8563" priority="8401" stopIfTrue="1" operator="equal">
      <formula>"Fail"</formula>
    </cfRule>
    <cfRule type="cellIs" dxfId="8562" priority="8402" stopIfTrue="1" operator="equal">
      <formula>"Pass"</formula>
    </cfRule>
  </conditionalFormatting>
  <conditionalFormatting sqref="U1027:V1027">
    <cfRule type="cellIs" dxfId="8561" priority="8399" stopIfTrue="1" operator="equal">
      <formula>"Fail"</formula>
    </cfRule>
    <cfRule type="cellIs" dxfId="8560" priority="8400" stopIfTrue="1" operator="equal">
      <formula>"Pass"</formula>
    </cfRule>
  </conditionalFormatting>
  <conditionalFormatting sqref="F1027:G1027 J1027:N1027">
    <cfRule type="cellIs" dxfId="8559" priority="8397" stopIfTrue="1" operator="equal">
      <formula>"Pass"</formula>
    </cfRule>
    <cfRule type="cellIs" dxfId="8558" priority="8398" stopIfTrue="1" operator="equal">
      <formula>"Fail"</formula>
    </cfRule>
  </conditionalFormatting>
  <conditionalFormatting sqref="J1028:N1028">
    <cfRule type="cellIs" dxfId="8557" priority="8395" stopIfTrue="1" operator="equal">
      <formula>"Pass"</formula>
    </cfRule>
    <cfRule type="cellIs" dxfId="8556" priority="8396" stopIfTrue="1" operator="equal">
      <formula>"Fail"</formula>
    </cfRule>
  </conditionalFormatting>
  <conditionalFormatting sqref="H1027:H1028">
    <cfRule type="cellIs" dxfId="8555" priority="8393" stopIfTrue="1" operator="equal">
      <formula>"Pass"</formula>
    </cfRule>
    <cfRule type="cellIs" dxfId="8554" priority="8394" stopIfTrue="1" operator="equal">
      <formula>"Fail"</formula>
    </cfRule>
  </conditionalFormatting>
  <conditionalFormatting sqref="F1027 F1029 I1027:M1028">
    <cfRule type="cellIs" dxfId="8553" priority="8391" stopIfTrue="1" operator="equal">
      <formula>"Pass"</formula>
    </cfRule>
    <cfRule type="cellIs" dxfId="8552" priority="8392" stopIfTrue="1" operator="equal">
      <formula>"Fail"</formula>
    </cfRule>
  </conditionalFormatting>
  <conditionalFormatting sqref="T1029 T1027 R1027:R1029 S1028:S1029">
    <cfRule type="cellIs" dxfId="8551" priority="8389" stopIfTrue="1" operator="equal">
      <formula>"Fail"</formula>
    </cfRule>
    <cfRule type="cellIs" dxfId="8550" priority="8390" stopIfTrue="1" operator="equal">
      <formula>"Pass"</formula>
    </cfRule>
  </conditionalFormatting>
  <conditionalFormatting sqref="F1027:G1027 F1029:G1029 J1027:N1028">
    <cfRule type="cellIs" dxfId="8549" priority="8387" stopIfTrue="1" operator="equal">
      <formula>"Pass"</formula>
    </cfRule>
    <cfRule type="cellIs" dxfId="8548" priority="8388" stopIfTrue="1" operator="equal">
      <formula>"Fail"</formula>
    </cfRule>
  </conditionalFormatting>
  <conditionalFormatting sqref="U1029:V1029 T1027:T1029 S1028:S1029">
    <cfRule type="cellIs" dxfId="8547" priority="8385" stopIfTrue="1" operator="equal">
      <formula>"Fail"</formula>
    </cfRule>
    <cfRule type="cellIs" dxfId="8546" priority="8386" stopIfTrue="1" operator="equal">
      <formula>"Pass"</formula>
    </cfRule>
  </conditionalFormatting>
  <conditionalFormatting sqref="U1027:V1027">
    <cfRule type="cellIs" dxfId="8545" priority="8383" stopIfTrue="1" operator="equal">
      <formula>"Fail"</formula>
    </cfRule>
    <cfRule type="cellIs" dxfId="8544" priority="8384" stopIfTrue="1" operator="equal">
      <formula>"Pass"</formula>
    </cfRule>
  </conditionalFormatting>
  <conditionalFormatting sqref="F1027:G1027 J1027:N1027">
    <cfRule type="cellIs" dxfId="8543" priority="8381" stopIfTrue="1" operator="equal">
      <formula>"Pass"</formula>
    </cfRule>
    <cfRule type="cellIs" dxfId="8542" priority="8382" stopIfTrue="1" operator="equal">
      <formula>"Fail"</formula>
    </cfRule>
  </conditionalFormatting>
  <conditionalFormatting sqref="J1028:N1028">
    <cfRule type="cellIs" dxfId="8541" priority="8379" stopIfTrue="1" operator="equal">
      <formula>"Pass"</formula>
    </cfRule>
    <cfRule type="cellIs" dxfId="8540" priority="8380" stopIfTrue="1" operator="equal">
      <formula>"Fail"</formula>
    </cfRule>
  </conditionalFormatting>
  <conditionalFormatting sqref="H1027:H1028">
    <cfRule type="cellIs" dxfId="8539" priority="8377" stopIfTrue="1" operator="equal">
      <formula>"Pass"</formula>
    </cfRule>
    <cfRule type="cellIs" dxfId="8538" priority="8378" stopIfTrue="1" operator="equal">
      <formula>"Fail"</formula>
    </cfRule>
  </conditionalFormatting>
  <conditionalFormatting sqref="F1027 F1029 I1027:M1028">
    <cfRule type="cellIs" dxfId="8537" priority="8375" stopIfTrue="1" operator="equal">
      <formula>"Pass"</formula>
    </cfRule>
    <cfRule type="cellIs" dxfId="8536" priority="8376" stopIfTrue="1" operator="equal">
      <formula>"Fail"</formula>
    </cfRule>
  </conditionalFormatting>
  <conditionalFormatting sqref="T1029 T1027 R1027:R1029 S1028:S1029">
    <cfRule type="cellIs" dxfId="8535" priority="8373" stopIfTrue="1" operator="equal">
      <formula>"Fail"</formula>
    </cfRule>
    <cfRule type="cellIs" dxfId="8534" priority="8374" stopIfTrue="1" operator="equal">
      <formula>"Pass"</formula>
    </cfRule>
  </conditionalFormatting>
  <conditionalFormatting sqref="F1027:G1027 F1029:G1029 J1027:N1028">
    <cfRule type="cellIs" dxfId="8533" priority="8371" stopIfTrue="1" operator="equal">
      <formula>"Pass"</formula>
    </cfRule>
    <cfRule type="cellIs" dxfId="8532" priority="8372" stopIfTrue="1" operator="equal">
      <formula>"Fail"</formula>
    </cfRule>
  </conditionalFormatting>
  <conditionalFormatting sqref="U1029:V1029 T1027:T1029 S1028:S1029">
    <cfRule type="cellIs" dxfId="8531" priority="8369" stopIfTrue="1" operator="equal">
      <formula>"Fail"</formula>
    </cfRule>
    <cfRule type="cellIs" dxfId="8530" priority="8370" stopIfTrue="1" operator="equal">
      <formula>"Pass"</formula>
    </cfRule>
  </conditionalFormatting>
  <conditionalFormatting sqref="U1027:V1027">
    <cfRule type="cellIs" dxfId="8529" priority="8367" stopIfTrue="1" operator="equal">
      <formula>"Fail"</formula>
    </cfRule>
    <cfRule type="cellIs" dxfId="8528" priority="8368" stopIfTrue="1" operator="equal">
      <formula>"Pass"</formula>
    </cfRule>
  </conditionalFormatting>
  <conditionalFormatting sqref="F1027:G1027 J1027:N1027">
    <cfRule type="cellIs" dxfId="8527" priority="8365" stopIfTrue="1" operator="equal">
      <formula>"Pass"</formula>
    </cfRule>
    <cfRule type="cellIs" dxfId="8526" priority="8366" stopIfTrue="1" operator="equal">
      <formula>"Fail"</formula>
    </cfRule>
  </conditionalFormatting>
  <conditionalFormatting sqref="J1028:N1028">
    <cfRule type="cellIs" dxfId="8525" priority="8363" stopIfTrue="1" operator="equal">
      <formula>"Pass"</formula>
    </cfRule>
    <cfRule type="cellIs" dxfId="8524" priority="8364" stopIfTrue="1" operator="equal">
      <formula>"Fail"</formula>
    </cfRule>
  </conditionalFormatting>
  <conditionalFormatting sqref="U1027:V1027">
    <cfRule type="cellIs" dxfId="8523" priority="8361" stopIfTrue="1" operator="equal">
      <formula>"Fail"</formula>
    </cfRule>
    <cfRule type="cellIs" dxfId="8522" priority="8362" stopIfTrue="1" operator="equal">
      <formula>"Pass"</formula>
    </cfRule>
  </conditionalFormatting>
  <conditionalFormatting sqref="U1027:V1027">
    <cfRule type="cellIs" dxfId="8521" priority="8359" stopIfTrue="1" operator="equal">
      <formula>"Fail"</formula>
    </cfRule>
    <cfRule type="cellIs" dxfId="8520" priority="8360" stopIfTrue="1" operator="equal">
      <formula>"Pass"</formula>
    </cfRule>
  </conditionalFormatting>
  <conditionalFormatting sqref="U1027:V1027">
    <cfRule type="cellIs" dxfId="8519" priority="8357" stopIfTrue="1" operator="equal">
      <formula>"Fail"</formula>
    </cfRule>
    <cfRule type="cellIs" dxfId="8518" priority="8358" stopIfTrue="1" operator="equal">
      <formula>"Pass"</formula>
    </cfRule>
  </conditionalFormatting>
  <conditionalFormatting sqref="N1027">
    <cfRule type="cellIs" dxfId="8517" priority="8355" stopIfTrue="1" operator="equal">
      <formula>"Pass"</formula>
    </cfRule>
    <cfRule type="cellIs" dxfId="8516" priority="8356" stopIfTrue="1" operator="equal">
      <formula>"Fail"</formula>
    </cfRule>
  </conditionalFormatting>
  <conditionalFormatting sqref="N1027">
    <cfRule type="cellIs" dxfId="8515" priority="8353" stopIfTrue="1" operator="equal">
      <formula>"Pass"</formula>
    </cfRule>
    <cfRule type="cellIs" dxfId="8514" priority="8354" stopIfTrue="1" operator="equal">
      <formula>"Fail"</formula>
    </cfRule>
  </conditionalFormatting>
  <conditionalFormatting sqref="N1027">
    <cfRule type="cellIs" dxfId="8513" priority="8351" stopIfTrue="1" operator="equal">
      <formula>"Pass"</formula>
    </cfRule>
    <cfRule type="cellIs" dxfId="8512" priority="8352" stopIfTrue="1" operator="equal">
      <formula>"Fail"</formula>
    </cfRule>
  </conditionalFormatting>
  <conditionalFormatting sqref="U1027:V1027">
    <cfRule type="cellIs" dxfId="8511" priority="8349" stopIfTrue="1" operator="equal">
      <formula>"Fail"</formula>
    </cfRule>
    <cfRule type="cellIs" dxfId="8510" priority="8350" stopIfTrue="1" operator="equal">
      <formula>"Pass"</formula>
    </cfRule>
  </conditionalFormatting>
  <conditionalFormatting sqref="U1027:V1027">
    <cfRule type="cellIs" dxfId="8509" priority="8347" stopIfTrue="1" operator="equal">
      <formula>"Fail"</formula>
    </cfRule>
    <cfRule type="cellIs" dxfId="8508" priority="8348" stopIfTrue="1" operator="equal">
      <formula>"Pass"</formula>
    </cfRule>
  </conditionalFormatting>
  <conditionalFormatting sqref="U1027:V1027">
    <cfRule type="cellIs" dxfId="8507" priority="8345" stopIfTrue="1" operator="equal">
      <formula>"Fail"</formula>
    </cfRule>
    <cfRule type="cellIs" dxfId="8506" priority="8346" stopIfTrue="1" operator="equal">
      <formula>"Pass"</formula>
    </cfRule>
  </conditionalFormatting>
  <conditionalFormatting sqref="U1027:V1027">
    <cfRule type="cellIs" dxfId="8505" priority="8343" stopIfTrue="1" operator="equal">
      <formula>"Fail"</formula>
    </cfRule>
    <cfRule type="cellIs" dxfId="8504" priority="8344" stopIfTrue="1" operator="equal">
      <formula>"Pass"</formula>
    </cfRule>
  </conditionalFormatting>
  <conditionalFormatting sqref="T1027">
    <cfRule type="cellIs" dxfId="8503" priority="8341" stopIfTrue="1" operator="equal">
      <formula>"Fail"</formula>
    </cfRule>
    <cfRule type="cellIs" dxfId="8502" priority="8342" stopIfTrue="1" operator="equal">
      <formula>"Pass"</formula>
    </cfRule>
  </conditionalFormatting>
  <conditionalFormatting sqref="T1027">
    <cfRule type="cellIs" dxfId="8501" priority="8339" stopIfTrue="1" operator="equal">
      <formula>"Fail"</formula>
    </cfRule>
    <cfRule type="cellIs" dxfId="8500" priority="8340" stopIfTrue="1" operator="equal">
      <formula>"Pass"</formula>
    </cfRule>
  </conditionalFormatting>
  <conditionalFormatting sqref="T1027">
    <cfRule type="cellIs" dxfId="8499" priority="8337" stopIfTrue="1" operator="equal">
      <formula>"Fail"</formula>
    </cfRule>
    <cfRule type="cellIs" dxfId="8498" priority="8338" stopIfTrue="1" operator="equal">
      <formula>"Pass"</formula>
    </cfRule>
  </conditionalFormatting>
  <conditionalFormatting sqref="T1027">
    <cfRule type="cellIs" dxfId="8497" priority="8335" stopIfTrue="1" operator="equal">
      <formula>"Fail"</formula>
    </cfRule>
    <cfRule type="cellIs" dxfId="8496" priority="8336" stopIfTrue="1" operator="equal">
      <formula>"Pass"</formula>
    </cfRule>
  </conditionalFormatting>
  <conditionalFormatting sqref="T1027">
    <cfRule type="cellIs" dxfId="8495" priority="8333" stopIfTrue="1" operator="equal">
      <formula>"Fail"</formula>
    </cfRule>
    <cfRule type="cellIs" dxfId="8494" priority="8334" stopIfTrue="1" operator="equal">
      <formula>"Pass"</formula>
    </cfRule>
  </conditionalFormatting>
  <conditionalFormatting sqref="T1027">
    <cfRule type="cellIs" dxfId="8493" priority="8331" stopIfTrue="1" operator="equal">
      <formula>"Fail"</formula>
    </cfRule>
    <cfRule type="cellIs" dxfId="8492" priority="8332" stopIfTrue="1" operator="equal">
      <formula>"Pass"</formula>
    </cfRule>
  </conditionalFormatting>
  <conditionalFormatting sqref="T1027">
    <cfRule type="cellIs" dxfId="8491" priority="8329" stopIfTrue="1" operator="equal">
      <formula>"Fail"</formula>
    </cfRule>
    <cfRule type="cellIs" dxfId="8490" priority="8330" stopIfTrue="1" operator="equal">
      <formula>"Pass"</formula>
    </cfRule>
  </conditionalFormatting>
  <conditionalFormatting sqref="T1027">
    <cfRule type="cellIs" dxfId="8489" priority="8327" stopIfTrue="1" operator="equal">
      <formula>"Fail"</formula>
    </cfRule>
    <cfRule type="cellIs" dxfId="8488" priority="8328" stopIfTrue="1" operator="equal">
      <formula>"Pass"</formula>
    </cfRule>
  </conditionalFormatting>
  <conditionalFormatting sqref="T1027">
    <cfRule type="cellIs" dxfId="8487" priority="8325" stopIfTrue="1" operator="equal">
      <formula>"Fail"</formula>
    </cfRule>
    <cfRule type="cellIs" dxfId="8486" priority="8326" stopIfTrue="1" operator="equal">
      <formula>"Pass"</formula>
    </cfRule>
  </conditionalFormatting>
  <conditionalFormatting sqref="T1027">
    <cfRule type="cellIs" dxfId="8485" priority="8323" stopIfTrue="1" operator="equal">
      <formula>"Fail"</formula>
    </cfRule>
    <cfRule type="cellIs" dxfId="8484" priority="8324" stopIfTrue="1" operator="equal">
      <formula>"Pass"</formula>
    </cfRule>
  </conditionalFormatting>
  <conditionalFormatting sqref="T1027">
    <cfRule type="cellIs" dxfId="8483" priority="8321" stopIfTrue="1" operator="equal">
      <formula>"Fail"</formula>
    </cfRule>
    <cfRule type="cellIs" dxfId="8482" priority="8322" stopIfTrue="1" operator="equal">
      <formula>"Pass"</formula>
    </cfRule>
  </conditionalFormatting>
  <conditionalFormatting sqref="T1027">
    <cfRule type="cellIs" dxfId="8481" priority="8319" stopIfTrue="1" operator="equal">
      <formula>"Fail"</formula>
    </cfRule>
    <cfRule type="cellIs" dxfId="8480" priority="8320" stopIfTrue="1" operator="equal">
      <formula>"Pass"</formula>
    </cfRule>
  </conditionalFormatting>
  <conditionalFormatting sqref="T1027">
    <cfRule type="cellIs" dxfId="8479" priority="8317" stopIfTrue="1" operator="equal">
      <formula>"Fail"</formula>
    </cfRule>
    <cfRule type="cellIs" dxfId="8478" priority="8318" stopIfTrue="1" operator="equal">
      <formula>"Pass"</formula>
    </cfRule>
  </conditionalFormatting>
  <conditionalFormatting sqref="T1027">
    <cfRule type="cellIs" dxfId="8477" priority="8315" stopIfTrue="1" operator="equal">
      <formula>"Fail"</formula>
    </cfRule>
    <cfRule type="cellIs" dxfId="8476" priority="8316" stopIfTrue="1" operator="equal">
      <formula>"Pass"</formula>
    </cfRule>
  </conditionalFormatting>
  <conditionalFormatting sqref="T1027">
    <cfRule type="cellIs" dxfId="8475" priority="8313" stopIfTrue="1" operator="equal">
      <formula>"Fail"</formula>
    </cfRule>
    <cfRule type="cellIs" dxfId="8474" priority="8314" stopIfTrue="1" operator="equal">
      <formula>"Pass"</formula>
    </cfRule>
  </conditionalFormatting>
  <conditionalFormatting sqref="T1027">
    <cfRule type="cellIs" dxfId="8473" priority="8311" stopIfTrue="1" operator="equal">
      <formula>"Fail"</formula>
    </cfRule>
    <cfRule type="cellIs" dxfId="8472" priority="8312" stopIfTrue="1" operator="equal">
      <formula>"Pass"</formula>
    </cfRule>
  </conditionalFormatting>
  <conditionalFormatting sqref="T1027">
    <cfRule type="cellIs" dxfId="8471" priority="8309" stopIfTrue="1" operator="equal">
      <formula>"Fail"</formula>
    </cfRule>
    <cfRule type="cellIs" dxfId="8470" priority="8310" stopIfTrue="1" operator="equal">
      <formula>"Pass"</formula>
    </cfRule>
  </conditionalFormatting>
  <conditionalFormatting sqref="T1027">
    <cfRule type="cellIs" dxfId="8469" priority="8307" stopIfTrue="1" operator="equal">
      <formula>"Fail"</formula>
    </cfRule>
    <cfRule type="cellIs" dxfId="8468" priority="8308" stopIfTrue="1" operator="equal">
      <formula>"Pass"</formula>
    </cfRule>
  </conditionalFormatting>
  <conditionalFormatting sqref="T1027">
    <cfRule type="cellIs" dxfId="8467" priority="8305" stopIfTrue="1" operator="equal">
      <formula>"Fail"</formula>
    </cfRule>
    <cfRule type="cellIs" dxfId="8466" priority="8306" stopIfTrue="1" operator="equal">
      <formula>"Pass"</formula>
    </cfRule>
  </conditionalFormatting>
  <conditionalFormatting sqref="T1027">
    <cfRule type="cellIs" dxfId="8465" priority="8303" stopIfTrue="1" operator="equal">
      <formula>"Fail"</formula>
    </cfRule>
    <cfRule type="cellIs" dxfId="8464" priority="8304" stopIfTrue="1" operator="equal">
      <formula>"Pass"</formula>
    </cfRule>
  </conditionalFormatting>
  <conditionalFormatting sqref="T1027">
    <cfRule type="cellIs" dxfId="8463" priority="8301" stopIfTrue="1" operator="equal">
      <formula>"Fail"</formula>
    </cfRule>
    <cfRule type="cellIs" dxfId="8462" priority="8302" stopIfTrue="1" operator="equal">
      <formula>"Pass"</formula>
    </cfRule>
  </conditionalFormatting>
  <conditionalFormatting sqref="T1027">
    <cfRule type="cellIs" dxfId="8461" priority="8299" stopIfTrue="1" operator="equal">
      <formula>"Fail"</formula>
    </cfRule>
    <cfRule type="cellIs" dxfId="8460" priority="8300" stopIfTrue="1" operator="equal">
      <formula>"Pass"</formula>
    </cfRule>
  </conditionalFormatting>
  <conditionalFormatting sqref="T1027">
    <cfRule type="cellIs" dxfId="8459" priority="8297" stopIfTrue="1" operator="equal">
      <formula>"Fail"</formula>
    </cfRule>
    <cfRule type="cellIs" dxfId="8458" priority="8298" stopIfTrue="1" operator="equal">
      <formula>"Pass"</formula>
    </cfRule>
  </conditionalFormatting>
  <conditionalFormatting sqref="T1027">
    <cfRule type="cellIs" dxfId="8457" priority="8295" stopIfTrue="1" operator="equal">
      <formula>"Fail"</formula>
    </cfRule>
    <cfRule type="cellIs" dxfId="8456" priority="8296" stopIfTrue="1" operator="equal">
      <formula>"Pass"</formula>
    </cfRule>
  </conditionalFormatting>
  <conditionalFormatting sqref="A1030">
    <cfRule type="cellIs" dxfId="8455" priority="8293" stopIfTrue="1" operator="equal">
      <formula>"Pass"</formula>
    </cfRule>
    <cfRule type="cellIs" dxfId="8454" priority="8294" stopIfTrue="1" operator="equal">
      <formula>"Fail"</formula>
    </cfRule>
  </conditionalFormatting>
  <conditionalFormatting sqref="A1030">
    <cfRule type="cellIs" dxfId="8453" priority="8291" stopIfTrue="1" operator="equal">
      <formula>"Pass"</formula>
    </cfRule>
    <cfRule type="cellIs" dxfId="8452" priority="8292" stopIfTrue="1" operator="equal">
      <formula>"Fail"</formula>
    </cfRule>
  </conditionalFormatting>
  <conditionalFormatting sqref="A1030">
    <cfRule type="cellIs" dxfId="8451" priority="8289" stopIfTrue="1" operator="equal">
      <formula>"Pass"</formula>
    </cfRule>
    <cfRule type="cellIs" dxfId="8450" priority="8290" stopIfTrue="1" operator="equal">
      <formula>"Fail"</formula>
    </cfRule>
  </conditionalFormatting>
  <conditionalFormatting sqref="A1030">
    <cfRule type="cellIs" dxfId="8449" priority="8287" stopIfTrue="1" operator="equal">
      <formula>"Pass"</formula>
    </cfRule>
    <cfRule type="cellIs" dxfId="8448" priority="8288" stopIfTrue="1" operator="equal">
      <formula>"Fail"</formula>
    </cfRule>
  </conditionalFormatting>
  <conditionalFormatting sqref="A1030">
    <cfRule type="cellIs" dxfId="8447" priority="8285" stopIfTrue="1" operator="equal">
      <formula>"Pass"</formula>
    </cfRule>
    <cfRule type="cellIs" dxfId="8446" priority="8286" stopIfTrue="1" operator="equal">
      <formula>"Fail"</formula>
    </cfRule>
  </conditionalFormatting>
  <conditionalFormatting sqref="A1030">
    <cfRule type="cellIs" dxfId="8445" priority="8283" stopIfTrue="1" operator="equal">
      <formula>"Pass"</formula>
    </cfRule>
    <cfRule type="cellIs" dxfId="8444" priority="8284" stopIfTrue="1" operator="equal">
      <formula>"Fail"</formula>
    </cfRule>
  </conditionalFormatting>
  <conditionalFormatting sqref="A1030">
    <cfRule type="cellIs" dxfId="8443" priority="8281" stopIfTrue="1" operator="equal">
      <formula>"Pass"</formula>
    </cfRule>
    <cfRule type="cellIs" dxfId="8442" priority="8282" stopIfTrue="1" operator="equal">
      <formula>"Fail"</formula>
    </cfRule>
  </conditionalFormatting>
  <conditionalFormatting sqref="A1030">
    <cfRule type="cellIs" dxfId="8441" priority="8279" stopIfTrue="1" operator="equal">
      <formula>"Pass"</formula>
    </cfRule>
    <cfRule type="cellIs" dxfId="8440" priority="8280" stopIfTrue="1" operator="equal">
      <formula>"Fail"</formula>
    </cfRule>
  </conditionalFormatting>
  <conditionalFormatting sqref="A1030">
    <cfRule type="cellIs" dxfId="8439" priority="8277" stopIfTrue="1" operator="equal">
      <formula>"Pass"</formula>
    </cfRule>
    <cfRule type="cellIs" dxfId="8438" priority="8278" stopIfTrue="1" operator="equal">
      <formula>"Fail"</formula>
    </cfRule>
  </conditionalFormatting>
  <conditionalFormatting sqref="A1030">
    <cfRule type="cellIs" dxfId="8437" priority="8275" stopIfTrue="1" operator="equal">
      <formula>"Pass"</formula>
    </cfRule>
    <cfRule type="cellIs" dxfId="8436" priority="8276" stopIfTrue="1" operator="equal">
      <formula>"Fail"</formula>
    </cfRule>
  </conditionalFormatting>
  <conditionalFormatting sqref="A1030">
    <cfRule type="cellIs" dxfId="8435" priority="8273" stopIfTrue="1" operator="equal">
      <formula>"Pass"</formula>
    </cfRule>
    <cfRule type="cellIs" dxfId="8434" priority="8274" stopIfTrue="1" operator="equal">
      <formula>"Fail"</formula>
    </cfRule>
  </conditionalFormatting>
  <conditionalFormatting sqref="A1030">
    <cfRule type="cellIs" dxfId="8433" priority="8271" stopIfTrue="1" operator="equal">
      <formula>"Pass"</formula>
    </cfRule>
    <cfRule type="cellIs" dxfId="8432" priority="8272" stopIfTrue="1" operator="equal">
      <formula>"Fail"</formula>
    </cfRule>
  </conditionalFormatting>
  <conditionalFormatting sqref="A1030">
    <cfRule type="cellIs" dxfId="8431" priority="8269" stopIfTrue="1" operator="equal">
      <formula>"Pass"</formula>
    </cfRule>
    <cfRule type="cellIs" dxfId="8430" priority="8270" stopIfTrue="1" operator="equal">
      <formula>"Fail"</formula>
    </cfRule>
  </conditionalFormatting>
  <conditionalFormatting sqref="A1030">
    <cfRule type="cellIs" dxfId="8429" priority="8267" stopIfTrue="1" operator="equal">
      <formula>"Pass"</formula>
    </cfRule>
    <cfRule type="cellIs" dxfId="8428" priority="8268" stopIfTrue="1" operator="equal">
      <formula>"Fail"</formula>
    </cfRule>
  </conditionalFormatting>
  <conditionalFormatting sqref="A1030">
    <cfRule type="cellIs" dxfId="8427" priority="8265" stopIfTrue="1" operator="equal">
      <formula>"Pass"</formula>
    </cfRule>
    <cfRule type="cellIs" dxfId="8426" priority="8266" stopIfTrue="1" operator="equal">
      <formula>"Fail"</formula>
    </cfRule>
  </conditionalFormatting>
  <conditionalFormatting sqref="A1030">
    <cfRule type="cellIs" dxfId="8425" priority="8263" stopIfTrue="1" operator="equal">
      <formula>"Pass"</formula>
    </cfRule>
    <cfRule type="cellIs" dxfId="8424" priority="8264" stopIfTrue="1" operator="equal">
      <formula>"Fail"</formula>
    </cfRule>
  </conditionalFormatting>
  <conditionalFormatting sqref="A1030">
    <cfRule type="cellIs" dxfId="8423" priority="8261" stopIfTrue="1" operator="equal">
      <formula>"Pass"</formula>
    </cfRule>
    <cfRule type="cellIs" dxfId="8422" priority="8262" stopIfTrue="1" operator="equal">
      <formula>"Fail"</formula>
    </cfRule>
  </conditionalFormatting>
  <conditionalFormatting sqref="A1030">
    <cfRule type="cellIs" dxfId="8421" priority="8259" stopIfTrue="1" operator="equal">
      <formula>"Pass"</formula>
    </cfRule>
    <cfRule type="cellIs" dxfId="8420" priority="8260" stopIfTrue="1" operator="equal">
      <formula>"Fail"</formula>
    </cfRule>
  </conditionalFormatting>
  <conditionalFormatting sqref="A1030">
    <cfRule type="cellIs" dxfId="8419" priority="8257" stopIfTrue="1" operator="equal">
      <formula>"Pass"</formula>
    </cfRule>
    <cfRule type="cellIs" dxfId="8418" priority="8258" stopIfTrue="1" operator="equal">
      <formula>"Fail"</formula>
    </cfRule>
  </conditionalFormatting>
  <conditionalFormatting sqref="A1030">
    <cfRule type="cellIs" dxfId="8417" priority="8255" stopIfTrue="1" operator="equal">
      <formula>"Pass"</formula>
    </cfRule>
    <cfRule type="cellIs" dxfId="8416" priority="8256" stopIfTrue="1" operator="equal">
      <formula>"Fail"</formula>
    </cfRule>
  </conditionalFormatting>
  <conditionalFormatting sqref="A1030">
    <cfRule type="cellIs" dxfId="8415" priority="8253" stopIfTrue="1" operator="equal">
      <formula>"Pass"</formula>
    </cfRule>
    <cfRule type="cellIs" dxfId="8414" priority="8254" stopIfTrue="1" operator="equal">
      <formula>"Fail"</formula>
    </cfRule>
  </conditionalFormatting>
  <conditionalFormatting sqref="A1030">
    <cfRule type="cellIs" dxfId="8413" priority="8251" stopIfTrue="1" operator="equal">
      <formula>"Pass"</formula>
    </cfRule>
    <cfRule type="cellIs" dxfId="8412" priority="8252" stopIfTrue="1" operator="equal">
      <formula>"Fail"</formula>
    </cfRule>
  </conditionalFormatting>
  <conditionalFormatting sqref="A1030">
    <cfRule type="cellIs" dxfId="8411" priority="8249" stopIfTrue="1" operator="equal">
      <formula>"Pass"</formula>
    </cfRule>
    <cfRule type="cellIs" dxfId="8410" priority="8250" stopIfTrue="1" operator="equal">
      <formula>"Fail"</formula>
    </cfRule>
  </conditionalFormatting>
  <conditionalFormatting sqref="A1030">
    <cfRule type="cellIs" dxfId="8409" priority="8247" stopIfTrue="1" operator="equal">
      <formula>"Pass"</formula>
    </cfRule>
    <cfRule type="cellIs" dxfId="8408" priority="8248" stopIfTrue="1" operator="equal">
      <formula>"Fail"</formula>
    </cfRule>
  </conditionalFormatting>
  <conditionalFormatting sqref="A1030">
    <cfRule type="cellIs" dxfId="8407" priority="8245" stopIfTrue="1" operator="equal">
      <formula>"Pass"</formula>
    </cfRule>
    <cfRule type="cellIs" dxfId="8406" priority="8246" stopIfTrue="1" operator="equal">
      <formula>"Fail"</formula>
    </cfRule>
  </conditionalFormatting>
  <conditionalFormatting sqref="A1030">
    <cfRule type="cellIs" dxfId="8405" priority="8243" stopIfTrue="1" operator="equal">
      <formula>"Pass"</formula>
    </cfRule>
    <cfRule type="cellIs" dxfId="8404" priority="8244" stopIfTrue="1" operator="equal">
      <formula>"Fail"</formula>
    </cfRule>
  </conditionalFormatting>
  <conditionalFormatting sqref="A1030">
    <cfRule type="cellIs" dxfId="8403" priority="8241" stopIfTrue="1" operator="equal">
      <formula>"Pass"</formula>
    </cfRule>
    <cfRule type="cellIs" dxfId="8402" priority="8242" stopIfTrue="1" operator="equal">
      <formula>"Fail"</formula>
    </cfRule>
  </conditionalFormatting>
  <conditionalFormatting sqref="A1030">
    <cfRule type="cellIs" dxfId="8401" priority="8239" stopIfTrue="1" operator="equal">
      <formula>"Pass"</formula>
    </cfRule>
    <cfRule type="cellIs" dxfId="8400" priority="8240" stopIfTrue="1" operator="equal">
      <formula>"Fail"</formula>
    </cfRule>
  </conditionalFormatting>
  <conditionalFormatting sqref="A1030">
    <cfRule type="cellIs" dxfId="8399" priority="8237" stopIfTrue="1" operator="equal">
      <formula>"Pass"</formula>
    </cfRule>
    <cfRule type="cellIs" dxfId="8398" priority="8238" stopIfTrue="1" operator="equal">
      <formula>"Fail"</formula>
    </cfRule>
  </conditionalFormatting>
  <conditionalFormatting sqref="A1030">
    <cfRule type="cellIs" dxfId="8397" priority="8235" stopIfTrue="1" operator="equal">
      <formula>"Pass"</formula>
    </cfRule>
    <cfRule type="cellIs" dxfId="8396" priority="8236" stopIfTrue="1" operator="equal">
      <formula>"Fail"</formula>
    </cfRule>
  </conditionalFormatting>
  <conditionalFormatting sqref="A1030">
    <cfRule type="cellIs" dxfId="8395" priority="8233" stopIfTrue="1" operator="equal">
      <formula>"Pass"</formula>
    </cfRule>
    <cfRule type="cellIs" dxfId="8394" priority="8234" stopIfTrue="1" operator="equal">
      <formula>"Fail"</formula>
    </cfRule>
  </conditionalFormatting>
  <conditionalFormatting sqref="A1030">
    <cfRule type="cellIs" dxfId="8393" priority="8231" stopIfTrue="1" operator="equal">
      <formula>"Pass"</formula>
    </cfRule>
    <cfRule type="cellIs" dxfId="8392" priority="8232" stopIfTrue="1" operator="equal">
      <formula>"Fail"</formula>
    </cfRule>
  </conditionalFormatting>
  <conditionalFormatting sqref="A1030">
    <cfRule type="cellIs" dxfId="8391" priority="8229" stopIfTrue="1" operator="equal">
      <formula>"Pass"</formula>
    </cfRule>
    <cfRule type="cellIs" dxfId="8390" priority="8230" stopIfTrue="1" operator="equal">
      <formula>"Fail"</formula>
    </cfRule>
  </conditionalFormatting>
  <conditionalFormatting sqref="A1030">
    <cfRule type="cellIs" dxfId="8389" priority="8227" stopIfTrue="1" operator="equal">
      <formula>"Pass"</formula>
    </cfRule>
    <cfRule type="cellIs" dxfId="8388" priority="8228" stopIfTrue="1" operator="equal">
      <formula>"Fail"</formula>
    </cfRule>
  </conditionalFormatting>
  <conditionalFormatting sqref="A1030">
    <cfRule type="cellIs" dxfId="8387" priority="8225" stopIfTrue="1" operator="equal">
      <formula>"Pass"</formula>
    </cfRule>
    <cfRule type="cellIs" dxfId="8386" priority="8226" stopIfTrue="1" operator="equal">
      <formula>"Fail"</formula>
    </cfRule>
  </conditionalFormatting>
  <conditionalFormatting sqref="A1030">
    <cfRule type="cellIs" dxfId="8385" priority="8223" stopIfTrue="1" operator="equal">
      <formula>"Pass"</formula>
    </cfRule>
    <cfRule type="cellIs" dxfId="8384" priority="8224" stopIfTrue="1" operator="equal">
      <formula>"Fail"</formula>
    </cfRule>
  </conditionalFormatting>
  <conditionalFormatting sqref="A1030">
    <cfRule type="cellIs" dxfId="8383" priority="8221" stopIfTrue="1" operator="equal">
      <formula>"Pass"</formula>
    </cfRule>
    <cfRule type="cellIs" dxfId="8382" priority="8222" stopIfTrue="1" operator="equal">
      <formula>"Fail"</formula>
    </cfRule>
  </conditionalFormatting>
  <conditionalFormatting sqref="A1030">
    <cfRule type="cellIs" dxfId="8381" priority="8219" stopIfTrue="1" operator="equal">
      <formula>"Pass"</formula>
    </cfRule>
    <cfRule type="cellIs" dxfId="8380" priority="8220" stopIfTrue="1" operator="equal">
      <formula>"Fail"</formula>
    </cfRule>
  </conditionalFormatting>
  <conditionalFormatting sqref="A1030">
    <cfRule type="cellIs" dxfId="8379" priority="8217" stopIfTrue="1" operator="equal">
      <formula>"Pass"</formula>
    </cfRule>
    <cfRule type="cellIs" dxfId="8378" priority="8218" stopIfTrue="1" operator="equal">
      <formula>"Fail"</formula>
    </cfRule>
  </conditionalFormatting>
  <conditionalFormatting sqref="A1030">
    <cfRule type="cellIs" dxfId="8377" priority="8215" stopIfTrue="1" operator="equal">
      <formula>"Pass"</formula>
    </cfRule>
    <cfRule type="cellIs" dxfId="8376" priority="8216" stopIfTrue="1" operator="equal">
      <formula>"Fail"</formula>
    </cfRule>
  </conditionalFormatting>
  <conditionalFormatting sqref="A1030">
    <cfRule type="cellIs" dxfId="8375" priority="8213" stopIfTrue="1" operator="equal">
      <formula>"Pass"</formula>
    </cfRule>
    <cfRule type="cellIs" dxfId="8374" priority="8214" stopIfTrue="1" operator="equal">
      <formula>"Fail"</formula>
    </cfRule>
  </conditionalFormatting>
  <conditionalFormatting sqref="A1030">
    <cfRule type="cellIs" dxfId="8373" priority="8211" stopIfTrue="1" operator="equal">
      <formula>"Pass"</formula>
    </cfRule>
    <cfRule type="cellIs" dxfId="8372" priority="8212" stopIfTrue="1" operator="equal">
      <formula>"Fail"</formula>
    </cfRule>
  </conditionalFormatting>
  <conditionalFormatting sqref="H1030:H1031">
    <cfRule type="cellIs" dxfId="8371" priority="8209" stopIfTrue="1" operator="equal">
      <formula>"Pass"</formula>
    </cfRule>
    <cfRule type="cellIs" dxfId="8370" priority="8210" stopIfTrue="1" operator="equal">
      <formula>"Fail"</formula>
    </cfRule>
  </conditionalFormatting>
  <conditionalFormatting sqref="E1030:F1030 E1032:F1032 A1030 I1030:M1031">
    <cfRule type="cellIs" dxfId="8369" priority="8207" stopIfTrue="1" operator="equal">
      <formula>"Pass"</formula>
    </cfRule>
    <cfRule type="cellIs" dxfId="8368" priority="8208" stopIfTrue="1" operator="equal">
      <formula>"Fail"</formula>
    </cfRule>
  </conditionalFormatting>
  <conditionalFormatting sqref="T1032 T1030 R1030:R1032 S1031:S1032">
    <cfRule type="cellIs" dxfId="8367" priority="8205" stopIfTrue="1" operator="equal">
      <formula>"Fail"</formula>
    </cfRule>
    <cfRule type="cellIs" dxfId="8366" priority="8206" stopIfTrue="1" operator="equal">
      <formula>"Pass"</formula>
    </cfRule>
  </conditionalFormatting>
  <conditionalFormatting sqref="F1030:G1030 F1032:G1032 B1030:B1032 A1030 J1030:N1031">
    <cfRule type="cellIs" dxfId="8365" priority="8203" stopIfTrue="1" operator="equal">
      <formula>"Pass"</formula>
    </cfRule>
    <cfRule type="cellIs" dxfId="8364" priority="8204" stopIfTrue="1" operator="equal">
      <formula>"Fail"</formula>
    </cfRule>
  </conditionalFormatting>
  <conditionalFormatting sqref="U1032:V1032 T1030:T1032 S1031:S1032">
    <cfRule type="cellIs" dxfId="8363" priority="8201" stopIfTrue="1" operator="equal">
      <formula>"Fail"</formula>
    </cfRule>
    <cfRule type="cellIs" dxfId="8362" priority="8202" stopIfTrue="1" operator="equal">
      <formula>"Pass"</formula>
    </cfRule>
  </conditionalFormatting>
  <conditionalFormatting sqref="A1030">
    <cfRule type="cellIs" dxfId="8361" priority="8199" stopIfTrue="1" operator="equal">
      <formula>"Pass"</formula>
    </cfRule>
    <cfRule type="cellIs" dxfId="8360" priority="8200" stopIfTrue="1" operator="equal">
      <formula>"Fail"</formula>
    </cfRule>
  </conditionalFormatting>
  <conditionalFormatting sqref="A1030">
    <cfRule type="cellIs" dxfId="8359" priority="8197" stopIfTrue="1" operator="equal">
      <formula>"Pass"</formula>
    </cfRule>
    <cfRule type="cellIs" dxfId="8358" priority="8198" stopIfTrue="1" operator="equal">
      <formula>"Fail"</formula>
    </cfRule>
  </conditionalFormatting>
  <conditionalFormatting sqref="A1030">
    <cfRule type="cellIs" dxfId="8357" priority="8195" stopIfTrue="1" operator="equal">
      <formula>"Pass"</formula>
    </cfRule>
    <cfRule type="cellIs" dxfId="8356" priority="8196" stopIfTrue="1" operator="equal">
      <formula>"Fail"</formula>
    </cfRule>
  </conditionalFormatting>
  <conditionalFormatting sqref="A1030">
    <cfRule type="cellIs" dxfId="8355" priority="8193" stopIfTrue="1" operator="equal">
      <formula>"Pass"</formula>
    </cfRule>
    <cfRule type="cellIs" dxfId="8354" priority="8194" stopIfTrue="1" operator="equal">
      <formula>"Fail"</formula>
    </cfRule>
  </conditionalFormatting>
  <conditionalFormatting sqref="A1030">
    <cfRule type="cellIs" dxfId="8353" priority="8191" stopIfTrue="1" operator="equal">
      <formula>"Pass"</formula>
    </cfRule>
    <cfRule type="cellIs" dxfId="8352" priority="8192" stopIfTrue="1" operator="equal">
      <formula>"Fail"</formula>
    </cfRule>
  </conditionalFormatting>
  <conditionalFormatting sqref="A1030">
    <cfRule type="cellIs" dxfId="8351" priority="8189" stopIfTrue="1" operator="equal">
      <formula>"Pass"</formula>
    </cfRule>
    <cfRule type="cellIs" dxfId="8350" priority="8190" stopIfTrue="1" operator="equal">
      <formula>"Fail"</formula>
    </cfRule>
  </conditionalFormatting>
  <conditionalFormatting sqref="A1030">
    <cfRule type="cellIs" dxfId="8349" priority="8187" stopIfTrue="1" operator="equal">
      <formula>"Pass"</formula>
    </cfRule>
    <cfRule type="cellIs" dxfId="8348" priority="8188" stopIfTrue="1" operator="equal">
      <formula>"Fail"</formula>
    </cfRule>
  </conditionalFormatting>
  <conditionalFormatting sqref="A1030">
    <cfRule type="cellIs" dxfId="8347" priority="8185" stopIfTrue="1" operator="equal">
      <formula>"Pass"</formula>
    </cfRule>
    <cfRule type="cellIs" dxfId="8346" priority="8186" stopIfTrue="1" operator="equal">
      <formula>"Fail"</formula>
    </cfRule>
  </conditionalFormatting>
  <conditionalFormatting sqref="A1030">
    <cfRule type="cellIs" dxfId="8345" priority="8183" stopIfTrue="1" operator="equal">
      <formula>"Pass"</formula>
    </cfRule>
    <cfRule type="cellIs" dxfId="8344" priority="8184" stopIfTrue="1" operator="equal">
      <formula>"Fail"</formula>
    </cfRule>
  </conditionalFormatting>
  <conditionalFormatting sqref="A1030">
    <cfRule type="cellIs" dxfId="8343" priority="8181" stopIfTrue="1" operator="equal">
      <formula>"Pass"</formula>
    </cfRule>
    <cfRule type="cellIs" dxfId="8342" priority="8182" stopIfTrue="1" operator="equal">
      <formula>"Fail"</formula>
    </cfRule>
  </conditionalFormatting>
  <conditionalFormatting sqref="U1030:V1030">
    <cfRule type="cellIs" dxfId="8341" priority="8179" stopIfTrue="1" operator="equal">
      <formula>"Fail"</formula>
    </cfRule>
    <cfRule type="cellIs" dxfId="8340" priority="8180" stopIfTrue="1" operator="equal">
      <formula>"Pass"</formula>
    </cfRule>
  </conditionalFormatting>
  <conditionalFormatting sqref="F1030:G1030 J1030:N1030">
    <cfRule type="cellIs" dxfId="8339" priority="8177" stopIfTrue="1" operator="equal">
      <formula>"Pass"</formula>
    </cfRule>
    <cfRule type="cellIs" dxfId="8338" priority="8178" stopIfTrue="1" operator="equal">
      <formula>"Fail"</formula>
    </cfRule>
  </conditionalFormatting>
  <conditionalFormatting sqref="J1031:N1031">
    <cfRule type="cellIs" dxfId="8337" priority="8175" stopIfTrue="1" operator="equal">
      <formula>"Pass"</formula>
    </cfRule>
    <cfRule type="cellIs" dxfId="8336" priority="8176" stopIfTrue="1" operator="equal">
      <formula>"Fail"</formula>
    </cfRule>
  </conditionalFormatting>
  <conditionalFormatting sqref="A1030">
    <cfRule type="cellIs" dxfId="8335" priority="8173" stopIfTrue="1" operator="equal">
      <formula>"Pass"</formula>
    </cfRule>
    <cfRule type="cellIs" dxfId="8334" priority="8174" stopIfTrue="1" operator="equal">
      <formula>"Fail"</formula>
    </cfRule>
  </conditionalFormatting>
  <conditionalFormatting sqref="A1030">
    <cfRule type="cellIs" dxfId="8333" priority="8171" stopIfTrue="1" operator="equal">
      <formula>"Pass"</formula>
    </cfRule>
    <cfRule type="cellIs" dxfId="8332" priority="8172" stopIfTrue="1" operator="equal">
      <formula>"Fail"</formula>
    </cfRule>
  </conditionalFormatting>
  <conditionalFormatting sqref="A1030">
    <cfRule type="cellIs" dxfId="8331" priority="8169" stopIfTrue="1" operator="equal">
      <formula>"Pass"</formula>
    </cfRule>
    <cfRule type="cellIs" dxfId="8330" priority="8170" stopIfTrue="1" operator="equal">
      <formula>"Fail"</formula>
    </cfRule>
  </conditionalFormatting>
  <conditionalFormatting sqref="A1030">
    <cfRule type="cellIs" dxfId="8329" priority="8167" stopIfTrue="1" operator="equal">
      <formula>"Pass"</formula>
    </cfRule>
    <cfRule type="cellIs" dxfId="8328" priority="8168" stopIfTrue="1" operator="equal">
      <formula>"Fail"</formula>
    </cfRule>
  </conditionalFormatting>
  <conditionalFormatting sqref="A1030">
    <cfRule type="cellIs" dxfId="8327" priority="8165" stopIfTrue="1" operator="equal">
      <formula>"Pass"</formula>
    </cfRule>
    <cfRule type="cellIs" dxfId="8326" priority="8166" stopIfTrue="1" operator="equal">
      <formula>"Fail"</formula>
    </cfRule>
  </conditionalFormatting>
  <conditionalFormatting sqref="A1030">
    <cfRule type="cellIs" dxfId="8325" priority="8163" stopIfTrue="1" operator="equal">
      <formula>"Pass"</formula>
    </cfRule>
    <cfRule type="cellIs" dxfId="8324" priority="8164" stopIfTrue="1" operator="equal">
      <formula>"Fail"</formula>
    </cfRule>
  </conditionalFormatting>
  <conditionalFormatting sqref="A1030">
    <cfRule type="cellIs" dxfId="8323" priority="8161" stopIfTrue="1" operator="equal">
      <formula>"Pass"</formula>
    </cfRule>
    <cfRule type="cellIs" dxfId="8322" priority="8162" stopIfTrue="1" operator="equal">
      <formula>"Fail"</formula>
    </cfRule>
  </conditionalFormatting>
  <conditionalFormatting sqref="A1030">
    <cfRule type="cellIs" dxfId="8321" priority="8159" stopIfTrue="1" operator="equal">
      <formula>"Pass"</formula>
    </cfRule>
    <cfRule type="cellIs" dxfId="8320" priority="8160" stopIfTrue="1" operator="equal">
      <formula>"Fail"</formula>
    </cfRule>
  </conditionalFormatting>
  <conditionalFormatting sqref="A1030">
    <cfRule type="cellIs" dxfId="8319" priority="8157" stopIfTrue="1" operator="equal">
      <formula>"Pass"</formula>
    </cfRule>
    <cfRule type="cellIs" dxfId="8318" priority="8158" stopIfTrue="1" operator="equal">
      <formula>"Fail"</formula>
    </cfRule>
  </conditionalFormatting>
  <conditionalFormatting sqref="A1030">
    <cfRule type="cellIs" dxfId="8317" priority="8155" stopIfTrue="1" operator="equal">
      <formula>"Pass"</formula>
    </cfRule>
    <cfRule type="cellIs" dxfId="8316" priority="8156" stopIfTrue="1" operator="equal">
      <formula>"Fail"</formula>
    </cfRule>
  </conditionalFormatting>
  <conditionalFormatting sqref="A1030">
    <cfRule type="cellIs" dxfId="8315" priority="8153" stopIfTrue="1" operator="equal">
      <formula>"Pass"</formula>
    </cfRule>
    <cfRule type="cellIs" dxfId="8314" priority="8154" stopIfTrue="1" operator="equal">
      <formula>"Fail"</formula>
    </cfRule>
  </conditionalFormatting>
  <conditionalFormatting sqref="A1030">
    <cfRule type="cellIs" dxfId="8313" priority="8151" stopIfTrue="1" operator="equal">
      <formula>"Pass"</formula>
    </cfRule>
    <cfRule type="cellIs" dxfId="8312" priority="8152" stopIfTrue="1" operator="equal">
      <formula>"Fail"</formula>
    </cfRule>
  </conditionalFormatting>
  <conditionalFormatting sqref="H1030:H1031">
    <cfRule type="cellIs" dxfId="8311" priority="8149" stopIfTrue="1" operator="equal">
      <formula>"Pass"</formula>
    </cfRule>
    <cfRule type="cellIs" dxfId="8310" priority="8150" stopIfTrue="1" operator="equal">
      <formula>"Fail"</formula>
    </cfRule>
  </conditionalFormatting>
  <conditionalFormatting sqref="F1030 F1032 I1030:M1031">
    <cfRule type="cellIs" dxfId="8309" priority="8147" stopIfTrue="1" operator="equal">
      <formula>"Pass"</formula>
    </cfRule>
    <cfRule type="cellIs" dxfId="8308" priority="8148" stopIfTrue="1" operator="equal">
      <formula>"Fail"</formula>
    </cfRule>
  </conditionalFormatting>
  <conditionalFormatting sqref="T1032 T1030 R1030:R1032 S1031:S1032">
    <cfRule type="cellIs" dxfId="8307" priority="8145" stopIfTrue="1" operator="equal">
      <formula>"Fail"</formula>
    </cfRule>
    <cfRule type="cellIs" dxfId="8306" priority="8146" stopIfTrue="1" operator="equal">
      <formula>"Pass"</formula>
    </cfRule>
  </conditionalFormatting>
  <conditionalFormatting sqref="F1030:G1030 F1032:G1032 J1030:N1031">
    <cfRule type="cellIs" dxfId="8305" priority="8143" stopIfTrue="1" operator="equal">
      <formula>"Pass"</formula>
    </cfRule>
    <cfRule type="cellIs" dxfId="8304" priority="8144" stopIfTrue="1" operator="equal">
      <formula>"Fail"</formula>
    </cfRule>
  </conditionalFormatting>
  <conditionalFormatting sqref="U1032:V1032 T1030:T1032 S1031:S1032">
    <cfRule type="cellIs" dxfId="8303" priority="8141" stopIfTrue="1" operator="equal">
      <formula>"Fail"</formula>
    </cfRule>
    <cfRule type="cellIs" dxfId="8302" priority="8142" stopIfTrue="1" operator="equal">
      <formula>"Pass"</formula>
    </cfRule>
  </conditionalFormatting>
  <conditionalFormatting sqref="U1030:V1030">
    <cfRule type="cellIs" dxfId="8301" priority="8139" stopIfTrue="1" operator="equal">
      <formula>"Fail"</formula>
    </cfRule>
    <cfRule type="cellIs" dxfId="8300" priority="8140" stopIfTrue="1" operator="equal">
      <formula>"Pass"</formula>
    </cfRule>
  </conditionalFormatting>
  <conditionalFormatting sqref="F1030:G1030 J1030:N1030">
    <cfRule type="cellIs" dxfId="8299" priority="8137" stopIfTrue="1" operator="equal">
      <formula>"Pass"</formula>
    </cfRule>
    <cfRule type="cellIs" dxfId="8298" priority="8138" stopIfTrue="1" operator="equal">
      <formula>"Fail"</formula>
    </cfRule>
  </conditionalFormatting>
  <conditionalFormatting sqref="J1031:N1031">
    <cfRule type="cellIs" dxfId="8297" priority="8135" stopIfTrue="1" operator="equal">
      <formula>"Pass"</formula>
    </cfRule>
    <cfRule type="cellIs" dxfId="8296" priority="8136" stopIfTrue="1" operator="equal">
      <formula>"Fail"</formula>
    </cfRule>
  </conditionalFormatting>
  <conditionalFormatting sqref="H1030:H1031">
    <cfRule type="cellIs" dxfId="8295" priority="8133" stopIfTrue="1" operator="equal">
      <formula>"Pass"</formula>
    </cfRule>
    <cfRule type="cellIs" dxfId="8294" priority="8134" stopIfTrue="1" operator="equal">
      <formula>"Fail"</formula>
    </cfRule>
  </conditionalFormatting>
  <conditionalFormatting sqref="F1030 F1032 I1030:M1031">
    <cfRule type="cellIs" dxfId="8293" priority="8131" stopIfTrue="1" operator="equal">
      <formula>"Pass"</formula>
    </cfRule>
    <cfRule type="cellIs" dxfId="8292" priority="8132" stopIfTrue="1" operator="equal">
      <formula>"Fail"</formula>
    </cfRule>
  </conditionalFormatting>
  <conditionalFormatting sqref="T1032 T1030 R1030:R1032 S1031:S1032">
    <cfRule type="cellIs" dxfId="8291" priority="8129" stopIfTrue="1" operator="equal">
      <formula>"Fail"</formula>
    </cfRule>
    <cfRule type="cellIs" dxfId="8290" priority="8130" stopIfTrue="1" operator="equal">
      <formula>"Pass"</formula>
    </cfRule>
  </conditionalFormatting>
  <conditionalFormatting sqref="F1030:G1030 F1032:G1032 J1030:N1031">
    <cfRule type="cellIs" dxfId="8289" priority="8127" stopIfTrue="1" operator="equal">
      <formula>"Pass"</formula>
    </cfRule>
    <cfRule type="cellIs" dxfId="8288" priority="8128" stopIfTrue="1" operator="equal">
      <formula>"Fail"</formula>
    </cfRule>
  </conditionalFormatting>
  <conditionalFormatting sqref="U1032:V1032 T1030:T1032 S1031:S1032">
    <cfRule type="cellIs" dxfId="8287" priority="8125" stopIfTrue="1" operator="equal">
      <formula>"Fail"</formula>
    </cfRule>
    <cfRule type="cellIs" dxfId="8286" priority="8126" stopIfTrue="1" operator="equal">
      <formula>"Pass"</formula>
    </cfRule>
  </conditionalFormatting>
  <conditionalFormatting sqref="U1030:V1030">
    <cfRule type="cellIs" dxfId="8285" priority="8123" stopIfTrue="1" operator="equal">
      <formula>"Fail"</formula>
    </cfRule>
    <cfRule type="cellIs" dxfId="8284" priority="8124" stopIfTrue="1" operator="equal">
      <formula>"Pass"</formula>
    </cfRule>
  </conditionalFormatting>
  <conditionalFormatting sqref="F1030:G1030 J1030:N1030">
    <cfRule type="cellIs" dxfId="8283" priority="8121" stopIfTrue="1" operator="equal">
      <formula>"Pass"</formula>
    </cfRule>
    <cfRule type="cellIs" dxfId="8282" priority="8122" stopIfTrue="1" operator="equal">
      <formula>"Fail"</formula>
    </cfRule>
  </conditionalFormatting>
  <conditionalFormatting sqref="J1031:N1031">
    <cfRule type="cellIs" dxfId="8281" priority="8119" stopIfTrue="1" operator="equal">
      <formula>"Pass"</formula>
    </cfRule>
    <cfRule type="cellIs" dxfId="8280" priority="8120" stopIfTrue="1" operator="equal">
      <formula>"Fail"</formula>
    </cfRule>
  </conditionalFormatting>
  <conditionalFormatting sqref="U1030:V1030">
    <cfRule type="cellIs" dxfId="8279" priority="8117" stopIfTrue="1" operator="equal">
      <formula>"Fail"</formula>
    </cfRule>
    <cfRule type="cellIs" dxfId="8278" priority="8118" stopIfTrue="1" operator="equal">
      <formula>"Pass"</formula>
    </cfRule>
  </conditionalFormatting>
  <conditionalFormatting sqref="U1030:V1030">
    <cfRule type="cellIs" dxfId="8277" priority="8115" stopIfTrue="1" operator="equal">
      <formula>"Fail"</formula>
    </cfRule>
    <cfRule type="cellIs" dxfId="8276" priority="8116" stopIfTrue="1" operator="equal">
      <formula>"Pass"</formula>
    </cfRule>
  </conditionalFormatting>
  <conditionalFormatting sqref="U1030:V1030">
    <cfRule type="cellIs" dxfId="8275" priority="8113" stopIfTrue="1" operator="equal">
      <formula>"Fail"</formula>
    </cfRule>
    <cfRule type="cellIs" dxfId="8274" priority="8114" stopIfTrue="1" operator="equal">
      <formula>"Pass"</formula>
    </cfRule>
  </conditionalFormatting>
  <conditionalFormatting sqref="N1030">
    <cfRule type="cellIs" dxfId="8273" priority="8111" stopIfTrue="1" operator="equal">
      <formula>"Pass"</formula>
    </cfRule>
    <cfRule type="cellIs" dxfId="8272" priority="8112" stopIfTrue="1" operator="equal">
      <formula>"Fail"</formula>
    </cfRule>
  </conditionalFormatting>
  <conditionalFormatting sqref="N1030">
    <cfRule type="cellIs" dxfId="8271" priority="8109" stopIfTrue="1" operator="equal">
      <formula>"Pass"</formula>
    </cfRule>
    <cfRule type="cellIs" dxfId="8270" priority="8110" stopIfTrue="1" operator="equal">
      <formula>"Fail"</formula>
    </cfRule>
  </conditionalFormatting>
  <conditionalFormatting sqref="N1030">
    <cfRule type="cellIs" dxfId="8269" priority="8107" stopIfTrue="1" operator="equal">
      <formula>"Pass"</formula>
    </cfRule>
    <cfRule type="cellIs" dxfId="8268" priority="8108" stopIfTrue="1" operator="equal">
      <formula>"Fail"</formula>
    </cfRule>
  </conditionalFormatting>
  <conditionalFormatting sqref="A1030">
    <cfRule type="cellIs" dxfId="8267" priority="8105" stopIfTrue="1" operator="equal">
      <formula>"Pass"</formula>
    </cfRule>
    <cfRule type="cellIs" dxfId="8266" priority="8106" stopIfTrue="1" operator="equal">
      <formula>"Fail"</formula>
    </cfRule>
  </conditionalFormatting>
  <conditionalFormatting sqref="A1030">
    <cfRule type="cellIs" dxfId="8265" priority="8103" stopIfTrue="1" operator="equal">
      <formula>"Pass"</formula>
    </cfRule>
    <cfRule type="cellIs" dxfId="8264" priority="8104" stopIfTrue="1" operator="equal">
      <formula>"Fail"</formula>
    </cfRule>
  </conditionalFormatting>
  <conditionalFormatting sqref="A1030">
    <cfRule type="cellIs" dxfId="8263" priority="8101" stopIfTrue="1" operator="equal">
      <formula>"Pass"</formula>
    </cfRule>
    <cfRule type="cellIs" dxfId="8262" priority="8102" stopIfTrue="1" operator="equal">
      <formula>"Fail"</formula>
    </cfRule>
  </conditionalFormatting>
  <conditionalFormatting sqref="A1030">
    <cfRule type="cellIs" dxfId="8261" priority="8099" stopIfTrue="1" operator="equal">
      <formula>"Pass"</formula>
    </cfRule>
    <cfRule type="cellIs" dxfId="8260" priority="8100" stopIfTrue="1" operator="equal">
      <formula>"Fail"</formula>
    </cfRule>
  </conditionalFormatting>
  <conditionalFormatting sqref="A1030">
    <cfRule type="cellIs" dxfId="8259" priority="8097" stopIfTrue="1" operator="equal">
      <formula>"Pass"</formula>
    </cfRule>
    <cfRule type="cellIs" dxfId="8258" priority="8098" stopIfTrue="1" operator="equal">
      <formula>"Fail"</formula>
    </cfRule>
  </conditionalFormatting>
  <conditionalFormatting sqref="A1030">
    <cfRule type="cellIs" dxfId="8257" priority="8095" stopIfTrue="1" operator="equal">
      <formula>"Pass"</formula>
    </cfRule>
    <cfRule type="cellIs" dxfId="8256" priority="8096" stopIfTrue="1" operator="equal">
      <formula>"Fail"</formula>
    </cfRule>
  </conditionalFormatting>
  <conditionalFormatting sqref="A1030">
    <cfRule type="cellIs" dxfId="8255" priority="8093" stopIfTrue="1" operator="equal">
      <formula>"Pass"</formula>
    </cfRule>
    <cfRule type="cellIs" dxfId="8254" priority="8094" stopIfTrue="1" operator="equal">
      <formula>"Fail"</formula>
    </cfRule>
  </conditionalFormatting>
  <conditionalFormatting sqref="A1030">
    <cfRule type="cellIs" dxfId="8253" priority="8091" stopIfTrue="1" operator="equal">
      <formula>"Pass"</formula>
    </cfRule>
    <cfRule type="cellIs" dxfId="8252" priority="8092" stopIfTrue="1" operator="equal">
      <formula>"Fail"</formula>
    </cfRule>
  </conditionalFormatting>
  <conditionalFormatting sqref="A1030">
    <cfRule type="cellIs" dxfId="8251" priority="8089" stopIfTrue="1" operator="equal">
      <formula>"Pass"</formula>
    </cfRule>
    <cfRule type="cellIs" dxfId="8250" priority="8090" stopIfTrue="1" operator="equal">
      <formula>"Fail"</formula>
    </cfRule>
  </conditionalFormatting>
  <conditionalFormatting sqref="A1030">
    <cfRule type="cellIs" dxfId="8249" priority="8087" stopIfTrue="1" operator="equal">
      <formula>"Pass"</formula>
    </cfRule>
    <cfRule type="cellIs" dxfId="8248" priority="8088" stopIfTrue="1" operator="equal">
      <formula>"Fail"</formula>
    </cfRule>
  </conditionalFormatting>
  <conditionalFormatting sqref="A1030">
    <cfRule type="cellIs" dxfId="8247" priority="8085" stopIfTrue="1" operator="equal">
      <formula>"Pass"</formula>
    </cfRule>
    <cfRule type="cellIs" dxfId="8246" priority="8086" stopIfTrue="1" operator="equal">
      <formula>"Fail"</formula>
    </cfRule>
  </conditionalFormatting>
  <conditionalFormatting sqref="A1030">
    <cfRule type="cellIs" dxfId="8245" priority="8083" stopIfTrue="1" operator="equal">
      <formula>"Pass"</formula>
    </cfRule>
    <cfRule type="cellIs" dxfId="8244" priority="8084" stopIfTrue="1" operator="equal">
      <formula>"Fail"</formula>
    </cfRule>
  </conditionalFormatting>
  <conditionalFormatting sqref="A1030">
    <cfRule type="cellIs" dxfId="8243" priority="8081" stopIfTrue="1" operator="equal">
      <formula>"Pass"</formula>
    </cfRule>
    <cfRule type="cellIs" dxfId="8242" priority="8082" stopIfTrue="1" operator="equal">
      <formula>"Fail"</formula>
    </cfRule>
  </conditionalFormatting>
  <conditionalFormatting sqref="A1030">
    <cfRule type="cellIs" dxfId="8241" priority="8079" stopIfTrue="1" operator="equal">
      <formula>"Pass"</formula>
    </cfRule>
    <cfRule type="cellIs" dxfId="8240" priority="8080" stopIfTrue="1" operator="equal">
      <formula>"Fail"</formula>
    </cfRule>
  </conditionalFormatting>
  <conditionalFormatting sqref="A1030">
    <cfRule type="cellIs" dxfId="8239" priority="8077" stopIfTrue="1" operator="equal">
      <formula>"Pass"</formula>
    </cfRule>
    <cfRule type="cellIs" dxfId="8238" priority="8078" stopIfTrue="1" operator="equal">
      <formula>"Fail"</formula>
    </cfRule>
  </conditionalFormatting>
  <conditionalFormatting sqref="A1030">
    <cfRule type="cellIs" dxfId="8237" priority="8075" stopIfTrue="1" operator="equal">
      <formula>"Pass"</formula>
    </cfRule>
    <cfRule type="cellIs" dxfId="8236" priority="8076" stopIfTrue="1" operator="equal">
      <formula>"Fail"</formula>
    </cfRule>
  </conditionalFormatting>
  <conditionalFormatting sqref="A1030">
    <cfRule type="cellIs" dxfId="8235" priority="8073" stopIfTrue="1" operator="equal">
      <formula>"Pass"</formula>
    </cfRule>
    <cfRule type="cellIs" dxfId="8234" priority="8074" stopIfTrue="1" operator="equal">
      <formula>"Fail"</formula>
    </cfRule>
  </conditionalFormatting>
  <conditionalFormatting sqref="A1030">
    <cfRule type="cellIs" dxfId="8233" priority="8071" stopIfTrue="1" operator="equal">
      <formula>"Pass"</formula>
    </cfRule>
    <cfRule type="cellIs" dxfId="8232" priority="8072" stopIfTrue="1" operator="equal">
      <formula>"Fail"</formula>
    </cfRule>
  </conditionalFormatting>
  <conditionalFormatting sqref="H1030:H1031">
    <cfRule type="cellIs" dxfId="8231" priority="8069" stopIfTrue="1" operator="equal">
      <formula>"Pass"</formula>
    </cfRule>
    <cfRule type="cellIs" dxfId="8230" priority="8070" stopIfTrue="1" operator="equal">
      <formula>"Fail"</formula>
    </cfRule>
  </conditionalFormatting>
  <conditionalFormatting sqref="F1030 F1032 I1030:M1031">
    <cfRule type="cellIs" dxfId="8229" priority="8067" stopIfTrue="1" operator="equal">
      <formula>"Pass"</formula>
    </cfRule>
    <cfRule type="cellIs" dxfId="8228" priority="8068" stopIfTrue="1" operator="equal">
      <formula>"Fail"</formula>
    </cfRule>
  </conditionalFormatting>
  <conditionalFormatting sqref="T1032 T1030 R1030:R1032 S1031:S1032">
    <cfRule type="cellIs" dxfId="8227" priority="8065" stopIfTrue="1" operator="equal">
      <formula>"Fail"</formula>
    </cfRule>
    <cfRule type="cellIs" dxfId="8226" priority="8066" stopIfTrue="1" operator="equal">
      <formula>"Pass"</formula>
    </cfRule>
  </conditionalFormatting>
  <conditionalFormatting sqref="F1030:G1030 F1032:G1032 J1030:N1031">
    <cfRule type="cellIs" dxfId="8225" priority="8063" stopIfTrue="1" operator="equal">
      <formula>"Pass"</formula>
    </cfRule>
    <cfRule type="cellIs" dxfId="8224" priority="8064" stopIfTrue="1" operator="equal">
      <formula>"Fail"</formula>
    </cfRule>
  </conditionalFormatting>
  <conditionalFormatting sqref="U1032:V1032 T1030:T1032 S1031:S1032">
    <cfRule type="cellIs" dxfId="8223" priority="8061" stopIfTrue="1" operator="equal">
      <formula>"Fail"</formula>
    </cfRule>
    <cfRule type="cellIs" dxfId="8222" priority="8062" stopIfTrue="1" operator="equal">
      <formula>"Pass"</formula>
    </cfRule>
  </conditionalFormatting>
  <conditionalFormatting sqref="U1030:V1030">
    <cfRule type="cellIs" dxfId="8221" priority="8059" stopIfTrue="1" operator="equal">
      <formula>"Fail"</formula>
    </cfRule>
    <cfRule type="cellIs" dxfId="8220" priority="8060" stopIfTrue="1" operator="equal">
      <formula>"Pass"</formula>
    </cfRule>
  </conditionalFormatting>
  <conditionalFormatting sqref="F1030:G1030 J1030:N1030">
    <cfRule type="cellIs" dxfId="8219" priority="8057" stopIfTrue="1" operator="equal">
      <formula>"Pass"</formula>
    </cfRule>
    <cfRule type="cellIs" dxfId="8218" priority="8058" stopIfTrue="1" operator="equal">
      <formula>"Fail"</formula>
    </cfRule>
  </conditionalFormatting>
  <conditionalFormatting sqref="J1031:N1031">
    <cfRule type="cellIs" dxfId="8217" priority="8055" stopIfTrue="1" operator="equal">
      <formula>"Pass"</formula>
    </cfRule>
    <cfRule type="cellIs" dxfId="8216" priority="8056" stopIfTrue="1" operator="equal">
      <formula>"Fail"</formula>
    </cfRule>
  </conditionalFormatting>
  <conditionalFormatting sqref="H1030:H1031">
    <cfRule type="cellIs" dxfId="8215" priority="8053" stopIfTrue="1" operator="equal">
      <formula>"Pass"</formula>
    </cfRule>
    <cfRule type="cellIs" dxfId="8214" priority="8054" stopIfTrue="1" operator="equal">
      <formula>"Fail"</formula>
    </cfRule>
  </conditionalFormatting>
  <conditionalFormatting sqref="F1030 F1032 I1030:M1031">
    <cfRule type="cellIs" dxfId="8213" priority="8051" stopIfTrue="1" operator="equal">
      <formula>"Pass"</formula>
    </cfRule>
    <cfRule type="cellIs" dxfId="8212" priority="8052" stopIfTrue="1" operator="equal">
      <formula>"Fail"</formula>
    </cfRule>
  </conditionalFormatting>
  <conditionalFormatting sqref="T1032 T1030 R1030:R1032 S1031:S1032">
    <cfRule type="cellIs" dxfId="8211" priority="8049" stopIfTrue="1" operator="equal">
      <formula>"Fail"</formula>
    </cfRule>
    <cfRule type="cellIs" dxfId="8210" priority="8050" stopIfTrue="1" operator="equal">
      <formula>"Pass"</formula>
    </cfRule>
  </conditionalFormatting>
  <conditionalFormatting sqref="F1030:G1030 F1032:G1032 J1030:N1031">
    <cfRule type="cellIs" dxfId="8209" priority="8047" stopIfTrue="1" operator="equal">
      <formula>"Pass"</formula>
    </cfRule>
    <cfRule type="cellIs" dxfId="8208" priority="8048" stopIfTrue="1" operator="equal">
      <formula>"Fail"</formula>
    </cfRule>
  </conditionalFormatting>
  <conditionalFormatting sqref="U1032:V1032 T1030:T1032 S1031:S1032">
    <cfRule type="cellIs" dxfId="8207" priority="8045" stopIfTrue="1" operator="equal">
      <formula>"Fail"</formula>
    </cfRule>
    <cfRule type="cellIs" dxfId="8206" priority="8046" stopIfTrue="1" operator="equal">
      <formula>"Pass"</formula>
    </cfRule>
  </conditionalFormatting>
  <conditionalFormatting sqref="U1030:V1030">
    <cfRule type="cellIs" dxfId="8205" priority="8043" stopIfTrue="1" operator="equal">
      <formula>"Fail"</formula>
    </cfRule>
    <cfRule type="cellIs" dxfId="8204" priority="8044" stopIfTrue="1" operator="equal">
      <formula>"Pass"</formula>
    </cfRule>
  </conditionalFormatting>
  <conditionalFormatting sqref="F1030:G1030 J1030:N1030">
    <cfRule type="cellIs" dxfId="8203" priority="8041" stopIfTrue="1" operator="equal">
      <formula>"Pass"</formula>
    </cfRule>
    <cfRule type="cellIs" dxfId="8202" priority="8042" stopIfTrue="1" operator="equal">
      <formula>"Fail"</formula>
    </cfRule>
  </conditionalFormatting>
  <conditionalFormatting sqref="J1031:N1031">
    <cfRule type="cellIs" dxfId="8201" priority="8039" stopIfTrue="1" operator="equal">
      <formula>"Pass"</formula>
    </cfRule>
    <cfRule type="cellIs" dxfId="8200" priority="8040" stopIfTrue="1" operator="equal">
      <formula>"Fail"</formula>
    </cfRule>
  </conditionalFormatting>
  <conditionalFormatting sqref="H1030:H1031">
    <cfRule type="cellIs" dxfId="8199" priority="8037" stopIfTrue="1" operator="equal">
      <formula>"Pass"</formula>
    </cfRule>
    <cfRule type="cellIs" dxfId="8198" priority="8038" stopIfTrue="1" operator="equal">
      <formula>"Fail"</formula>
    </cfRule>
  </conditionalFormatting>
  <conditionalFormatting sqref="F1030 F1032 I1030:M1031">
    <cfRule type="cellIs" dxfId="8197" priority="8035" stopIfTrue="1" operator="equal">
      <formula>"Pass"</formula>
    </cfRule>
    <cfRule type="cellIs" dxfId="8196" priority="8036" stopIfTrue="1" operator="equal">
      <formula>"Fail"</formula>
    </cfRule>
  </conditionalFormatting>
  <conditionalFormatting sqref="T1032 T1030 R1030:R1032 S1031:S1032">
    <cfRule type="cellIs" dxfId="8195" priority="8033" stopIfTrue="1" operator="equal">
      <formula>"Fail"</formula>
    </cfRule>
    <cfRule type="cellIs" dxfId="8194" priority="8034" stopIfTrue="1" operator="equal">
      <formula>"Pass"</formula>
    </cfRule>
  </conditionalFormatting>
  <conditionalFormatting sqref="F1030:G1030 F1032:G1032 J1030:N1031">
    <cfRule type="cellIs" dxfId="8193" priority="8031" stopIfTrue="1" operator="equal">
      <formula>"Pass"</formula>
    </cfRule>
    <cfRule type="cellIs" dxfId="8192" priority="8032" stopIfTrue="1" operator="equal">
      <formula>"Fail"</formula>
    </cfRule>
  </conditionalFormatting>
  <conditionalFormatting sqref="U1032:V1032 T1030:T1032 S1031:S1032">
    <cfRule type="cellIs" dxfId="8191" priority="8029" stopIfTrue="1" operator="equal">
      <formula>"Fail"</formula>
    </cfRule>
    <cfRule type="cellIs" dxfId="8190" priority="8030" stopIfTrue="1" operator="equal">
      <formula>"Pass"</formula>
    </cfRule>
  </conditionalFormatting>
  <conditionalFormatting sqref="U1030:V1030">
    <cfRule type="cellIs" dxfId="8189" priority="8027" stopIfTrue="1" operator="equal">
      <formula>"Fail"</formula>
    </cfRule>
    <cfRule type="cellIs" dxfId="8188" priority="8028" stopIfTrue="1" operator="equal">
      <formula>"Pass"</formula>
    </cfRule>
  </conditionalFormatting>
  <conditionalFormatting sqref="F1030:G1030 J1030:N1030">
    <cfRule type="cellIs" dxfId="8187" priority="8025" stopIfTrue="1" operator="equal">
      <formula>"Pass"</formula>
    </cfRule>
    <cfRule type="cellIs" dxfId="8186" priority="8026" stopIfTrue="1" operator="equal">
      <formula>"Fail"</formula>
    </cfRule>
  </conditionalFormatting>
  <conditionalFormatting sqref="J1031:N1031">
    <cfRule type="cellIs" dxfId="8185" priority="8023" stopIfTrue="1" operator="equal">
      <formula>"Pass"</formula>
    </cfRule>
    <cfRule type="cellIs" dxfId="8184" priority="8024" stopIfTrue="1" operator="equal">
      <formula>"Fail"</formula>
    </cfRule>
  </conditionalFormatting>
  <conditionalFormatting sqref="U1030:V1030">
    <cfRule type="cellIs" dxfId="8183" priority="8021" stopIfTrue="1" operator="equal">
      <formula>"Fail"</formula>
    </cfRule>
    <cfRule type="cellIs" dxfId="8182" priority="8022" stopIfTrue="1" operator="equal">
      <formula>"Pass"</formula>
    </cfRule>
  </conditionalFormatting>
  <conditionalFormatting sqref="U1030:V1030">
    <cfRule type="cellIs" dxfId="8181" priority="8019" stopIfTrue="1" operator="equal">
      <formula>"Fail"</formula>
    </cfRule>
    <cfRule type="cellIs" dxfId="8180" priority="8020" stopIfTrue="1" operator="equal">
      <formula>"Pass"</formula>
    </cfRule>
  </conditionalFormatting>
  <conditionalFormatting sqref="U1030:V1030">
    <cfRule type="cellIs" dxfId="8179" priority="8017" stopIfTrue="1" operator="equal">
      <formula>"Fail"</formula>
    </cfRule>
    <cfRule type="cellIs" dxfId="8178" priority="8018" stopIfTrue="1" operator="equal">
      <formula>"Pass"</formula>
    </cfRule>
  </conditionalFormatting>
  <conditionalFormatting sqref="N1030">
    <cfRule type="cellIs" dxfId="8177" priority="8015" stopIfTrue="1" operator="equal">
      <formula>"Pass"</formula>
    </cfRule>
    <cfRule type="cellIs" dxfId="8176" priority="8016" stopIfTrue="1" operator="equal">
      <formula>"Fail"</formula>
    </cfRule>
  </conditionalFormatting>
  <conditionalFormatting sqref="N1030">
    <cfRule type="cellIs" dxfId="8175" priority="8013" stopIfTrue="1" operator="equal">
      <formula>"Pass"</formula>
    </cfRule>
    <cfRule type="cellIs" dxfId="8174" priority="8014" stopIfTrue="1" operator="equal">
      <formula>"Fail"</formula>
    </cfRule>
  </conditionalFormatting>
  <conditionalFormatting sqref="N1030">
    <cfRule type="cellIs" dxfId="8173" priority="8011" stopIfTrue="1" operator="equal">
      <formula>"Pass"</formula>
    </cfRule>
    <cfRule type="cellIs" dxfId="8172" priority="8012" stopIfTrue="1" operator="equal">
      <formula>"Fail"</formula>
    </cfRule>
  </conditionalFormatting>
  <conditionalFormatting sqref="U1030:V1030">
    <cfRule type="cellIs" dxfId="8171" priority="8009" stopIfTrue="1" operator="equal">
      <formula>"Fail"</formula>
    </cfRule>
    <cfRule type="cellIs" dxfId="8170" priority="8010" stopIfTrue="1" operator="equal">
      <formula>"Pass"</formula>
    </cfRule>
  </conditionalFormatting>
  <conditionalFormatting sqref="U1030:V1030">
    <cfRule type="cellIs" dxfId="8169" priority="8007" stopIfTrue="1" operator="equal">
      <formula>"Fail"</formula>
    </cfRule>
    <cfRule type="cellIs" dxfId="8168" priority="8008" stopIfTrue="1" operator="equal">
      <formula>"Pass"</formula>
    </cfRule>
  </conditionalFormatting>
  <conditionalFormatting sqref="U1030:V1030">
    <cfRule type="cellIs" dxfId="8167" priority="8005" stopIfTrue="1" operator="equal">
      <formula>"Fail"</formula>
    </cfRule>
    <cfRule type="cellIs" dxfId="8166" priority="8006" stopIfTrue="1" operator="equal">
      <formula>"Pass"</formula>
    </cfRule>
  </conditionalFormatting>
  <conditionalFormatting sqref="U1030:V1030">
    <cfRule type="cellIs" dxfId="8165" priority="8003" stopIfTrue="1" operator="equal">
      <formula>"Fail"</formula>
    </cfRule>
    <cfRule type="cellIs" dxfId="8164" priority="8004" stopIfTrue="1" operator="equal">
      <formula>"Pass"</formula>
    </cfRule>
  </conditionalFormatting>
  <conditionalFormatting sqref="T1030">
    <cfRule type="cellIs" dxfId="8163" priority="8001" stopIfTrue="1" operator="equal">
      <formula>"Fail"</formula>
    </cfRule>
    <cfRule type="cellIs" dxfId="8162" priority="8002" stopIfTrue="1" operator="equal">
      <formula>"Pass"</formula>
    </cfRule>
  </conditionalFormatting>
  <conditionalFormatting sqref="T1030">
    <cfRule type="cellIs" dxfId="8161" priority="7999" stopIfTrue="1" operator="equal">
      <formula>"Fail"</formula>
    </cfRule>
    <cfRule type="cellIs" dxfId="8160" priority="8000" stopIfTrue="1" operator="equal">
      <formula>"Pass"</formula>
    </cfRule>
  </conditionalFormatting>
  <conditionalFormatting sqref="T1030">
    <cfRule type="cellIs" dxfId="8159" priority="7997" stopIfTrue="1" operator="equal">
      <formula>"Fail"</formula>
    </cfRule>
    <cfRule type="cellIs" dxfId="8158" priority="7998" stopIfTrue="1" operator="equal">
      <formula>"Pass"</formula>
    </cfRule>
  </conditionalFormatting>
  <conditionalFormatting sqref="T1030">
    <cfRule type="cellIs" dxfId="8157" priority="7995" stopIfTrue="1" operator="equal">
      <formula>"Fail"</formula>
    </cfRule>
    <cfRule type="cellIs" dxfId="8156" priority="7996" stopIfTrue="1" operator="equal">
      <formula>"Pass"</formula>
    </cfRule>
  </conditionalFormatting>
  <conditionalFormatting sqref="T1030">
    <cfRule type="cellIs" dxfId="8155" priority="7993" stopIfTrue="1" operator="equal">
      <formula>"Fail"</formula>
    </cfRule>
    <cfRule type="cellIs" dxfId="8154" priority="7994" stopIfTrue="1" operator="equal">
      <formula>"Pass"</formula>
    </cfRule>
  </conditionalFormatting>
  <conditionalFormatting sqref="T1030">
    <cfRule type="cellIs" dxfId="8153" priority="7991" stopIfTrue="1" operator="equal">
      <formula>"Fail"</formula>
    </cfRule>
    <cfRule type="cellIs" dxfId="8152" priority="7992" stopIfTrue="1" operator="equal">
      <formula>"Pass"</formula>
    </cfRule>
  </conditionalFormatting>
  <conditionalFormatting sqref="T1030">
    <cfRule type="cellIs" dxfId="8151" priority="7989" stopIfTrue="1" operator="equal">
      <formula>"Fail"</formula>
    </cfRule>
    <cfRule type="cellIs" dxfId="8150" priority="7990" stopIfTrue="1" operator="equal">
      <formula>"Pass"</formula>
    </cfRule>
  </conditionalFormatting>
  <conditionalFormatting sqref="T1030">
    <cfRule type="cellIs" dxfId="8149" priority="7987" stopIfTrue="1" operator="equal">
      <formula>"Fail"</formula>
    </cfRule>
    <cfRule type="cellIs" dxfId="8148" priority="7988" stopIfTrue="1" operator="equal">
      <formula>"Pass"</formula>
    </cfRule>
  </conditionalFormatting>
  <conditionalFormatting sqref="T1030">
    <cfRule type="cellIs" dxfId="8147" priority="7985" stopIfTrue="1" operator="equal">
      <formula>"Fail"</formula>
    </cfRule>
    <cfRule type="cellIs" dxfId="8146" priority="7986" stopIfTrue="1" operator="equal">
      <formula>"Pass"</formula>
    </cfRule>
  </conditionalFormatting>
  <conditionalFormatting sqref="T1030">
    <cfRule type="cellIs" dxfId="8145" priority="7983" stopIfTrue="1" operator="equal">
      <formula>"Fail"</formula>
    </cfRule>
    <cfRule type="cellIs" dxfId="8144" priority="7984" stopIfTrue="1" operator="equal">
      <formula>"Pass"</formula>
    </cfRule>
  </conditionalFormatting>
  <conditionalFormatting sqref="T1030">
    <cfRule type="cellIs" dxfId="8143" priority="7981" stopIfTrue="1" operator="equal">
      <formula>"Fail"</formula>
    </cfRule>
    <cfRule type="cellIs" dxfId="8142" priority="7982" stopIfTrue="1" operator="equal">
      <formula>"Pass"</formula>
    </cfRule>
  </conditionalFormatting>
  <conditionalFormatting sqref="T1030">
    <cfRule type="cellIs" dxfId="8141" priority="7979" stopIfTrue="1" operator="equal">
      <formula>"Fail"</formula>
    </cfRule>
    <cfRule type="cellIs" dxfId="8140" priority="7980" stopIfTrue="1" operator="equal">
      <formula>"Pass"</formula>
    </cfRule>
  </conditionalFormatting>
  <conditionalFormatting sqref="T1030">
    <cfRule type="cellIs" dxfId="8139" priority="7977" stopIfTrue="1" operator="equal">
      <formula>"Fail"</formula>
    </cfRule>
    <cfRule type="cellIs" dxfId="8138" priority="7978" stopIfTrue="1" operator="equal">
      <formula>"Pass"</formula>
    </cfRule>
  </conditionalFormatting>
  <conditionalFormatting sqref="T1030">
    <cfRule type="cellIs" dxfId="8137" priority="7975" stopIfTrue="1" operator="equal">
      <formula>"Fail"</formula>
    </cfRule>
    <cfRule type="cellIs" dxfId="8136" priority="7976" stopIfTrue="1" operator="equal">
      <formula>"Pass"</formula>
    </cfRule>
  </conditionalFormatting>
  <conditionalFormatting sqref="T1030">
    <cfRule type="cellIs" dxfId="8135" priority="7973" stopIfTrue="1" operator="equal">
      <formula>"Fail"</formula>
    </cfRule>
    <cfRule type="cellIs" dxfId="8134" priority="7974" stopIfTrue="1" operator="equal">
      <formula>"Pass"</formula>
    </cfRule>
  </conditionalFormatting>
  <conditionalFormatting sqref="T1030">
    <cfRule type="cellIs" dxfId="8133" priority="7971" stopIfTrue="1" operator="equal">
      <formula>"Fail"</formula>
    </cfRule>
    <cfRule type="cellIs" dxfId="8132" priority="7972" stopIfTrue="1" operator="equal">
      <formula>"Pass"</formula>
    </cfRule>
  </conditionalFormatting>
  <conditionalFormatting sqref="T1030">
    <cfRule type="cellIs" dxfId="8131" priority="7969" stopIfTrue="1" operator="equal">
      <formula>"Fail"</formula>
    </cfRule>
    <cfRule type="cellIs" dxfId="8130" priority="7970" stopIfTrue="1" operator="equal">
      <formula>"Pass"</formula>
    </cfRule>
  </conditionalFormatting>
  <conditionalFormatting sqref="T1030">
    <cfRule type="cellIs" dxfId="8129" priority="7967" stopIfTrue="1" operator="equal">
      <formula>"Fail"</formula>
    </cfRule>
    <cfRule type="cellIs" dxfId="8128" priority="7968" stopIfTrue="1" operator="equal">
      <formula>"Pass"</formula>
    </cfRule>
  </conditionalFormatting>
  <conditionalFormatting sqref="T1030">
    <cfRule type="cellIs" dxfId="8127" priority="7965" stopIfTrue="1" operator="equal">
      <formula>"Fail"</formula>
    </cfRule>
    <cfRule type="cellIs" dxfId="8126" priority="7966" stopIfTrue="1" operator="equal">
      <formula>"Pass"</formula>
    </cfRule>
  </conditionalFormatting>
  <conditionalFormatting sqref="T1030">
    <cfRule type="cellIs" dxfId="8125" priority="7963" stopIfTrue="1" operator="equal">
      <formula>"Fail"</formula>
    </cfRule>
    <cfRule type="cellIs" dxfId="8124" priority="7964" stopIfTrue="1" operator="equal">
      <formula>"Pass"</formula>
    </cfRule>
  </conditionalFormatting>
  <conditionalFormatting sqref="T1030">
    <cfRule type="cellIs" dxfId="8123" priority="7961" stopIfTrue="1" operator="equal">
      <formula>"Fail"</formula>
    </cfRule>
    <cfRule type="cellIs" dxfId="8122" priority="7962" stopIfTrue="1" operator="equal">
      <formula>"Pass"</formula>
    </cfRule>
  </conditionalFormatting>
  <conditionalFormatting sqref="T1030">
    <cfRule type="cellIs" dxfId="8121" priority="7959" stopIfTrue="1" operator="equal">
      <formula>"Fail"</formula>
    </cfRule>
    <cfRule type="cellIs" dxfId="8120" priority="7960" stopIfTrue="1" operator="equal">
      <formula>"Pass"</formula>
    </cfRule>
  </conditionalFormatting>
  <conditionalFormatting sqref="T1030">
    <cfRule type="cellIs" dxfId="8119" priority="7957" stopIfTrue="1" operator="equal">
      <formula>"Fail"</formula>
    </cfRule>
    <cfRule type="cellIs" dxfId="8118" priority="7958" stopIfTrue="1" operator="equal">
      <formula>"Pass"</formula>
    </cfRule>
  </conditionalFormatting>
  <conditionalFormatting sqref="T1030">
    <cfRule type="cellIs" dxfId="8117" priority="7955" stopIfTrue="1" operator="equal">
      <formula>"Fail"</formula>
    </cfRule>
    <cfRule type="cellIs" dxfId="8116" priority="7956" stopIfTrue="1" operator="equal">
      <formula>"Pass"</formula>
    </cfRule>
  </conditionalFormatting>
  <conditionalFormatting sqref="H1030:H1031">
    <cfRule type="cellIs" dxfId="8115" priority="7953" stopIfTrue="1" operator="equal">
      <formula>"Pass"</formula>
    </cfRule>
    <cfRule type="cellIs" dxfId="8114" priority="7954" stopIfTrue="1" operator="equal">
      <formula>"Fail"</formula>
    </cfRule>
  </conditionalFormatting>
  <conditionalFormatting sqref="E1030:F1030 E1032:F1032 I1030:M1031 A1030">
    <cfRule type="cellIs" dxfId="8113" priority="7951" stopIfTrue="1" operator="equal">
      <formula>"Pass"</formula>
    </cfRule>
    <cfRule type="cellIs" dxfId="8112" priority="7952" stopIfTrue="1" operator="equal">
      <formula>"Fail"</formula>
    </cfRule>
  </conditionalFormatting>
  <conditionalFormatting sqref="T1032 T1030 R1030:R1032 S1031:S1032">
    <cfRule type="cellIs" dxfId="8111" priority="7949" stopIfTrue="1" operator="equal">
      <formula>"Fail"</formula>
    </cfRule>
    <cfRule type="cellIs" dxfId="8110" priority="7950" stopIfTrue="1" operator="equal">
      <formula>"Pass"</formula>
    </cfRule>
  </conditionalFormatting>
  <conditionalFormatting sqref="F1030:G1030 F1032:G1032 J1030:N1031 B1030:B1032 A1030">
    <cfRule type="cellIs" dxfId="8109" priority="7947" stopIfTrue="1" operator="equal">
      <formula>"Pass"</formula>
    </cfRule>
    <cfRule type="cellIs" dxfId="8108" priority="7948" stopIfTrue="1" operator="equal">
      <formula>"Fail"</formula>
    </cfRule>
  </conditionalFormatting>
  <conditionalFormatting sqref="U1032:V1032 U1030:V1030 T1030:T1032 S1031:S1032">
    <cfRule type="cellIs" dxfId="8107" priority="7945" stopIfTrue="1" operator="equal">
      <formula>"Fail"</formula>
    </cfRule>
    <cfRule type="cellIs" dxfId="8106" priority="7946" stopIfTrue="1" operator="equal">
      <formula>"Pass"</formula>
    </cfRule>
  </conditionalFormatting>
  <conditionalFormatting sqref="A1030">
    <cfRule type="cellIs" dxfId="8105" priority="7943" stopIfTrue="1" operator="equal">
      <formula>"Pass"</formula>
    </cfRule>
    <cfRule type="cellIs" dxfId="8104" priority="7944" stopIfTrue="1" operator="equal">
      <formula>"Fail"</formula>
    </cfRule>
  </conditionalFormatting>
  <conditionalFormatting sqref="A1030">
    <cfRule type="cellIs" dxfId="8103" priority="7941" stopIfTrue="1" operator="equal">
      <formula>"Pass"</formula>
    </cfRule>
    <cfRule type="cellIs" dxfId="8102" priority="7942" stopIfTrue="1" operator="equal">
      <formula>"Fail"</formula>
    </cfRule>
  </conditionalFormatting>
  <conditionalFormatting sqref="A1030">
    <cfRule type="cellIs" dxfId="8101" priority="7939" stopIfTrue="1" operator="equal">
      <formula>"Pass"</formula>
    </cfRule>
    <cfRule type="cellIs" dxfId="8100" priority="7940" stopIfTrue="1" operator="equal">
      <formula>"Fail"</formula>
    </cfRule>
  </conditionalFormatting>
  <conditionalFormatting sqref="E1030:G1032 J1030:N1031">
    <cfRule type="cellIs" dxfId="8099" priority="7937" stopIfTrue="1" operator="equal">
      <formula>"Pass"</formula>
    </cfRule>
    <cfRule type="cellIs" dxfId="8098" priority="7938" stopIfTrue="1" operator="equal">
      <formula>"Fail"</formula>
    </cfRule>
  </conditionalFormatting>
  <conditionalFormatting sqref="F1030:H1032 C1032 K1030:O1031">
    <cfRule type="cellIs" dxfId="8097" priority="7935" stopIfTrue="1" operator="equal">
      <formula>"Pass"</formula>
    </cfRule>
    <cfRule type="cellIs" dxfId="8096" priority="7936" stopIfTrue="1" operator="equal">
      <formula>"Fail"</formula>
    </cfRule>
  </conditionalFormatting>
  <conditionalFormatting sqref="T1030">
    <cfRule type="cellIs" dxfId="8095" priority="7933" stopIfTrue="1" operator="equal">
      <formula>"Fail"</formula>
    </cfRule>
    <cfRule type="cellIs" dxfId="8094" priority="7934" stopIfTrue="1" operator="equal">
      <formula>"Pass"</formula>
    </cfRule>
  </conditionalFormatting>
  <conditionalFormatting sqref="A1030">
    <cfRule type="cellIs" dxfId="8093" priority="7931" stopIfTrue="1" operator="equal">
      <formula>"Pass"</formula>
    </cfRule>
    <cfRule type="cellIs" dxfId="8092" priority="7932" stopIfTrue="1" operator="equal">
      <formula>"Fail"</formula>
    </cfRule>
  </conditionalFormatting>
  <conditionalFormatting sqref="A1030">
    <cfRule type="cellIs" dxfId="8091" priority="7929" stopIfTrue="1" operator="equal">
      <formula>"Pass"</formula>
    </cfRule>
    <cfRule type="cellIs" dxfId="8090" priority="7930" stopIfTrue="1" operator="equal">
      <formula>"Fail"</formula>
    </cfRule>
  </conditionalFormatting>
  <conditionalFormatting sqref="A1030">
    <cfRule type="cellIs" dxfId="8089" priority="7927" stopIfTrue="1" operator="equal">
      <formula>"Pass"</formula>
    </cfRule>
    <cfRule type="cellIs" dxfId="8088" priority="7928" stopIfTrue="1" operator="equal">
      <formula>"Fail"</formula>
    </cfRule>
  </conditionalFormatting>
  <conditionalFormatting sqref="A1030">
    <cfRule type="cellIs" dxfId="8087" priority="7925" stopIfTrue="1" operator="equal">
      <formula>"Pass"</formula>
    </cfRule>
    <cfRule type="cellIs" dxfId="8086" priority="7926" stopIfTrue="1" operator="equal">
      <formula>"Fail"</formula>
    </cfRule>
  </conditionalFormatting>
  <conditionalFormatting sqref="A1030">
    <cfRule type="cellIs" dxfId="8085" priority="7923" stopIfTrue="1" operator="equal">
      <formula>"Pass"</formula>
    </cfRule>
    <cfRule type="cellIs" dxfId="8084" priority="7924" stopIfTrue="1" operator="equal">
      <formula>"Fail"</formula>
    </cfRule>
  </conditionalFormatting>
  <conditionalFormatting sqref="A1030">
    <cfRule type="cellIs" dxfId="8083" priority="7921" stopIfTrue="1" operator="equal">
      <formula>"Pass"</formula>
    </cfRule>
    <cfRule type="cellIs" dxfId="8082" priority="7922" stopIfTrue="1" operator="equal">
      <formula>"Fail"</formula>
    </cfRule>
  </conditionalFormatting>
  <conditionalFormatting sqref="A1030">
    <cfRule type="cellIs" dxfId="8081" priority="7919" stopIfTrue="1" operator="equal">
      <formula>"Pass"</formula>
    </cfRule>
    <cfRule type="cellIs" dxfId="8080" priority="7920" stopIfTrue="1" operator="equal">
      <formula>"Fail"</formula>
    </cfRule>
  </conditionalFormatting>
  <conditionalFormatting sqref="A1030">
    <cfRule type="cellIs" dxfId="8079" priority="7917" stopIfTrue="1" operator="equal">
      <formula>"Pass"</formula>
    </cfRule>
    <cfRule type="cellIs" dxfId="8078" priority="7918" stopIfTrue="1" operator="equal">
      <formula>"Fail"</formula>
    </cfRule>
  </conditionalFormatting>
  <conditionalFormatting sqref="A1030">
    <cfRule type="cellIs" dxfId="8077" priority="7915" stopIfTrue="1" operator="equal">
      <formula>"Pass"</formula>
    </cfRule>
    <cfRule type="cellIs" dxfId="8076" priority="7916" stopIfTrue="1" operator="equal">
      <formula>"Fail"</formula>
    </cfRule>
  </conditionalFormatting>
  <conditionalFormatting sqref="A1030">
    <cfRule type="cellIs" dxfId="8075" priority="7913" stopIfTrue="1" operator="equal">
      <formula>"Pass"</formula>
    </cfRule>
    <cfRule type="cellIs" dxfId="8074" priority="7914" stopIfTrue="1" operator="equal">
      <formula>"Fail"</formula>
    </cfRule>
  </conditionalFormatting>
  <conditionalFormatting sqref="A1030">
    <cfRule type="cellIs" dxfId="8073" priority="7911" stopIfTrue="1" operator="equal">
      <formula>"Pass"</formula>
    </cfRule>
    <cfRule type="cellIs" dxfId="8072" priority="7912" stopIfTrue="1" operator="equal">
      <formula>"Fail"</formula>
    </cfRule>
  </conditionalFormatting>
  <conditionalFormatting sqref="A1030">
    <cfRule type="cellIs" dxfId="8071" priority="7909" stopIfTrue="1" operator="equal">
      <formula>"Pass"</formula>
    </cfRule>
    <cfRule type="cellIs" dxfId="8070" priority="7910" stopIfTrue="1" operator="equal">
      <formula>"Fail"</formula>
    </cfRule>
  </conditionalFormatting>
  <conditionalFormatting sqref="A1030">
    <cfRule type="cellIs" dxfId="8069" priority="7907" stopIfTrue="1" operator="equal">
      <formula>"Pass"</formula>
    </cfRule>
    <cfRule type="cellIs" dxfId="8068" priority="7908" stopIfTrue="1" operator="equal">
      <formula>"Fail"</formula>
    </cfRule>
  </conditionalFormatting>
  <conditionalFormatting sqref="H1030:H1031">
    <cfRule type="cellIs" dxfId="8067" priority="7905" stopIfTrue="1" operator="equal">
      <formula>"Pass"</formula>
    </cfRule>
    <cfRule type="cellIs" dxfId="8066" priority="7906" stopIfTrue="1" operator="equal">
      <formula>"Fail"</formula>
    </cfRule>
  </conditionalFormatting>
  <conditionalFormatting sqref="F1030 F1032 I1030:M1031">
    <cfRule type="cellIs" dxfId="8065" priority="7903" stopIfTrue="1" operator="equal">
      <formula>"Pass"</formula>
    </cfRule>
    <cfRule type="cellIs" dxfId="8064" priority="7904" stopIfTrue="1" operator="equal">
      <formula>"Fail"</formula>
    </cfRule>
  </conditionalFormatting>
  <conditionalFormatting sqref="T1032 T1030 R1030:R1032 S1031:S1032">
    <cfRule type="cellIs" dxfId="8063" priority="7901" stopIfTrue="1" operator="equal">
      <formula>"Fail"</formula>
    </cfRule>
    <cfRule type="cellIs" dxfId="8062" priority="7902" stopIfTrue="1" operator="equal">
      <formula>"Pass"</formula>
    </cfRule>
  </conditionalFormatting>
  <conditionalFormatting sqref="F1030:G1030 F1032:G1032 J1030:N1031">
    <cfRule type="cellIs" dxfId="8061" priority="7899" stopIfTrue="1" operator="equal">
      <formula>"Pass"</formula>
    </cfRule>
    <cfRule type="cellIs" dxfId="8060" priority="7900" stopIfTrue="1" operator="equal">
      <formula>"Fail"</formula>
    </cfRule>
  </conditionalFormatting>
  <conditionalFormatting sqref="U1032:V1032 U1030:V1030 T1030:T1032 S1031:S1032">
    <cfRule type="cellIs" dxfId="8059" priority="7897" stopIfTrue="1" operator="equal">
      <formula>"Fail"</formula>
    </cfRule>
    <cfRule type="cellIs" dxfId="8058" priority="7898" stopIfTrue="1" operator="equal">
      <formula>"Pass"</formula>
    </cfRule>
  </conditionalFormatting>
  <conditionalFormatting sqref="F1030:G1032 J1030:N1031">
    <cfRule type="cellIs" dxfId="8057" priority="7895" stopIfTrue="1" operator="equal">
      <formula>"Pass"</formula>
    </cfRule>
    <cfRule type="cellIs" dxfId="8056" priority="7896" stopIfTrue="1" operator="equal">
      <formula>"Fail"</formula>
    </cfRule>
  </conditionalFormatting>
  <conditionalFormatting sqref="K1030:O1031 F1030:H1032">
    <cfRule type="cellIs" dxfId="8055" priority="7893" stopIfTrue="1" operator="equal">
      <formula>"Pass"</formula>
    </cfRule>
    <cfRule type="cellIs" dxfId="8054" priority="7894" stopIfTrue="1" operator="equal">
      <formula>"Fail"</formula>
    </cfRule>
  </conditionalFormatting>
  <conditionalFormatting sqref="T1030">
    <cfRule type="cellIs" dxfId="8053" priority="7891" stopIfTrue="1" operator="equal">
      <formula>"Fail"</formula>
    </cfRule>
    <cfRule type="cellIs" dxfId="8052" priority="7892" stopIfTrue="1" operator="equal">
      <formula>"Pass"</formula>
    </cfRule>
  </conditionalFormatting>
  <conditionalFormatting sqref="K1030:O1031 F1030:H1032">
    <cfRule type="cellIs" dxfId="8051" priority="7889" stopIfTrue="1" operator="equal">
      <formula>"Pass"</formula>
    </cfRule>
    <cfRule type="cellIs" dxfId="8050" priority="7890" stopIfTrue="1" operator="equal">
      <formula>"Fail"</formula>
    </cfRule>
  </conditionalFormatting>
  <conditionalFormatting sqref="T1030">
    <cfRule type="cellIs" dxfId="8049" priority="7887" stopIfTrue="1" operator="equal">
      <formula>"Fail"</formula>
    </cfRule>
    <cfRule type="cellIs" dxfId="8048" priority="7888" stopIfTrue="1" operator="equal">
      <formula>"Pass"</formula>
    </cfRule>
  </conditionalFormatting>
  <conditionalFormatting sqref="H1030:H1031">
    <cfRule type="cellIs" dxfId="8047" priority="7885" stopIfTrue="1" operator="equal">
      <formula>"Pass"</formula>
    </cfRule>
    <cfRule type="cellIs" dxfId="8046" priority="7886" stopIfTrue="1" operator="equal">
      <formula>"Fail"</formula>
    </cfRule>
  </conditionalFormatting>
  <conditionalFormatting sqref="E1030:F1030 E1032:F1032 I1030:M1031 A1030">
    <cfRule type="cellIs" dxfId="8045" priority="7883" stopIfTrue="1" operator="equal">
      <formula>"Pass"</formula>
    </cfRule>
    <cfRule type="cellIs" dxfId="8044" priority="7884" stopIfTrue="1" operator="equal">
      <formula>"Fail"</formula>
    </cfRule>
  </conditionalFormatting>
  <conditionalFormatting sqref="T1032 T1030 R1030:R1032 S1031:S1032">
    <cfRule type="cellIs" dxfId="8043" priority="7881" stopIfTrue="1" operator="equal">
      <formula>"Fail"</formula>
    </cfRule>
    <cfRule type="cellIs" dxfId="8042" priority="7882" stopIfTrue="1" operator="equal">
      <formula>"Pass"</formula>
    </cfRule>
  </conditionalFormatting>
  <conditionalFormatting sqref="F1030:G1030 F1032:G1032 J1030:N1031 B1030:B1032 A1030">
    <cfRule type="cellIs" dxfId="8041" priority="7879" stopIfTrue="1" operator="equal">
      <formula>"Pass"</formula>
    </cfRule>
    <cfRule type="cellIs" dxfId="8040" priority="7880" stopIfTrue="1" operator="equal">
      <formula>"Fail"</formula>
    </cfRule>
  </conditionalFormatting>
  <conditionalFormatting sqref="U1032:V1032 U1030:V1030 T1030:T1032 S1031:S1032">
    <cfRule type="cellIs" dxfId="8039" priority="7877" stopIfTrue="1" operator="equal">
      <formula>"Fail"</formula>
    </cfRule>
    <cfRule type="cellIs" dxfId="8038" priority="7878" stopIfTrue="1" operator="equal">
      <formula>"Pass"</formula>
    </cfRule>
  </conditionalFormatting>
  <conditionalFormatting sqref="A1030">
    <cfRule type="cellIs" dxfId="8037" priority="7875" stopIfTrue="1" operator="equal">
      <formula>"Pass"</formula>
    </cfRule>
    <cfRule type="cellIs" dxfId="8036" priority="7876" stopIfTrue="1" operator="equal">
      <formula>"Fail"</formula>
    </cfRule>
  </conditionalFormatting>
  <conditionalFormatting sqref="A1030">
    <cfRule type="cellIs" dxfId="8035" priority="7873" stopIfTrue="1" operator="equal">
      <formula>"Pass"</formula>
    </cfRule>
    <cfRule type="cellIs" dxfId="8034" priority="7874" stopIfTrue="1" operator="equal">
      <formula>"Fail"</formula>
    </cfRule>
  </conditionalFormatting>
  <conditionalFormatting sqref="A1030">
    <cfRule type="cellIs" dxfId="8033" priority="7871" stopIfTrue="1" operator="equal">
      <formula>"Pass"</formula>
    </cfRule>
    <cfRule type="cellIs" dxfId="8032" priority="7872" stopIfTrue="1" operator="equal">
      <formula>"Fail"</formula>
    </cfRule>
  </conditionalFormatting>
  <conditionalFormatting sqref="E1030:G1032 J1030:N1031">
    <cfRule type="cellIs" dxfId="8031" priority="7869" stopIfTrue="1" operator="equal">
      <formula>"Pass"</formula>
    </cfRule>
    <cfRule type="cellIs" dxfId="8030" priority="7870" stopIfTrue="1" operator="equal">
      <formula>"Fail"</formula>
    </cfRule>
  </conditionalFormatting>
  <conditionalFormatting sqref="F1030:H1032 C1032 K1030:O1031">
    <cfRule type="cellIs" dxfId="8029" priority="7867" stopIfTrue="1" operator="equal">
      <formula>"Pass"</formula>
    </cfRule>
    <cfRule type="cellIs" dxfId="8028" priority="7868" stopIfTrue="1" operator="equal">
      <formula>"Fail"</formula>
    </cfRule>
  </conditionalFormatting>
  <conditionalFormatting sqref="T1030">
    <cfRule type="cellIs" dxfId="8027" priority="7865" stopIfTrue="1" operator="equal">
      <formula>"Fail"</formula>
    </cfRule>
    <cfRule type="cellIs" dxfId="8026" priority="7866" stopIfTrue="1" operator="equal">
      <formula>"Pass"</formula>
    </cfRule>
  </conditionalFormatting>
  <conditionalFormatting sqref="A1030">
    <cfRule type="cellIs" dxfId="8025" priority="7863" stopIfTrue="1" operator="equal">
      <formula>"Pass"</formula>
    </cfRule>
    <cfRule type="cellIs" dxfId="8024" priority="7864" stopIfTrue="1" operator="equal">
      <formula>"Fail"</formula>
    </cfRule>
  </conditionalFormatting>
  <conditionalFormatting sqref="A1030">
    <cfRule type="cellIs" dxfId="8023" priority="7861" stopIfTrue="1" operator="equal">
      <formula>"Pass"</formula>
    </cfRule>
    <cfRule type="cellIs" dxfId="8022" priority="7862" stopIfTrue="1" operator="equal">
      <formula>"Fail"</formula>
    </cfRule>
  </conditionalFormatting>
  <conditionalFormatting sqref="A1030">
    <cfRule type="cellIs" dxfId="8021" priority="7859" stopIfTrue="1" operator="equal">
      <formula>"Pass"</formula>
    </cfRule>
    <cfRule type="cellIs" dxfId="8020" priority="7860" stopIfTrue="1" operator="equal">
      <formula>"Fail"</formula>
    </cfRule>
  </conditionalFormatting>
  <conditionalFormatting sqref="A1030">
    <cfRule type="cellIs" dxfId="8019" priority="7857" stopIfTrue="1" operator="equal">
      <formula>"Pass"</formula>
    </cfRule>
    <cfRule type="cellIs" dxfId="8018" priority="7858" stopIfTrue="1" operator="equal">
      <formula>"Fail"</formula>
    </cfRule>
  </conditionalFormatting>
  <conditionalFormatting sqref="A1030">
    <cfRule type="cellIs" dxfId="8017" priority="7855" stopIfTrue="1" operator="equal">
      <formula>"Pass"</formula>
    </cfRule>
    <cfRule type="cellIs" dxfId="8016" priority="7856" stopIfTrue="1" operator="equal">
      <formula>"Fail"</formula>
    </cfRule>
  </conditionalFormatting>
  <conditionalFormatting sqref="A1030">
    <cfRule type="cellIs" dxfId="8015" priority="7853" stopIfTrue="1" operator="equal">
      <formula>"Pass"</formula>
    </cfRule>
    <cfRule type="cellIs" dxfId="8014" priority="7854" stopIfTrue="1" operator="equal">
      <formula>"Fail"</formula>
    </cfRule>
  </conditionalFormatting>
  <conditionalFormatting sqref="A1030">
    <cfRule type="cellIs" dxfId="8013" priority="7851" stopIfTrue="1" operator="equal">
      <formula>"Pass"</formula>
    </cfRule>
    <cfRule type="cellIs" dxfId="8012" priority="7852" stopIfTrue="1" operator="equal">
      <formula>"Fail"</formula>
    </cfRule>
  </conditionalFormatting>
  <conditionalFormatting sqref="A1030">
    <cfRule type="cellIs" dxfId="8011" priority="7849" stopIfTrue="1" operator="equal">
      <formula>"Pass"</formula>
    </cfRule>
    <cfRule type="cellIs" dxfId="8010" priority="7850" stopIfTrue="1" operator="equal">
      <formula>"Fail"</formula>
    </cfRule>
  </conditionalFormatting>
  <conditionalFormatting sqref="A1030">
    <cfRule type="cellIs" dxfId="8009" priority="7847" stopIfTrue="1" operator="equal">
      <formula>"Pass"</formula>
    </cfRule>
    <cfRule type="cellIs" dxfId="8008" priority="7848" stopIfTrue="1" operator="equal">
      <formula>"Fail"</formula>
    </cfRule>
  </conditionalFormatting>
  <conditionalFormatting sqref="A1030">
    <cfRule type="cellIs" dxfId="8007" priority="7845" stopIfTrue="1" operator="equal">
      <formula>"Pass"</formula>
    </cfRule>
    <cfRule type="cellIs" dxfId="8006" priority="7846" stopIfTrue="1" operator="equal">
      <formula>"Fail"</formula>
    </cfRule>
  </conditionalFormatting>
  <conditionalFormatting sqref="A1030">
    <cfRule type="cellIs" dxfId="8005" priority="7843" stopIfTrue="1" operator="equal">
      <formula>"Pass"</formula>
    </cfRule>
    <cfRule type="cellIs" dxfId="8004" priority="7844" stopIfTrue="1" operator="equal">
      <formula>"Fail"</formula>
    </cfRule>
  </conditionalFormatting>
  <conditionalFormatting sqref="A1030">
    <cfRule type="cellIs" dxfId="8003" priority="7841" stopIfTrue="1" operator="equal">
      <formula>"Pass"</formula>
    </cfRule>
    <cfRule type="cellIs" dxfId="8002" priority="7842" stopIfTrue="1" operator="equal">
      <formula>"Fail"</formula>
    </cfRule>
  </conditionalFormatting>
  <conditionalFormatting sqref="A1030">
    <cfRule type="cellIs" dxfId="8001" priority="7839" stopIfTrue="1" operator="equal">
      <formula>"Pass"</formula>
    </cfRule>
    <cfRule type="cellIs" dxfId="8000" priority="7840" stopIfTrue="1" operator="equal">
      <formula>"Fail"</formula>
    </cfRule>
  </conditionalFormatting>
  <conditionalFormatting sqref="H1030:H1031">
    <cfRule type="cellIs" dxfId="7999" priority="7837" stopIfTrue="1" operator="equal">
      <formula>"Pass"</formula>
    </cfRule>
    <cfRule type="cellIs" dxfId="7998" priority="7838" stopIfTrue="1" operator="equal">
      <formula>"Fail"</formula>
    </cfRule>
  </conditionalFormatting>
  <conditionalFormatting sqref="F1030 F1032 I1030:M1031">
    <cfRule type="cellIs" dxfId="7997" priority="7835" stopIfTrue="1" operator="equal">
      <formula>"Pass"</formula>
    </cfRule>
    <cfRule type="cellIs" dxfId="7996" priority="7836" stopIfTrue="1" operator="equal">
      <formula>"Fail"</formula>
    </cfRule>
  </conditionalFormatting>
  <conditionalFormatting sqref="T1032 T1030 R1030:R1032 S1031:S1032">
    <cfRule type="cellIs" dxfId="7995" priority="7833" stopIfTrue="1" operator="equal">
      <formula>"Fail"</formula>
    </cfRule>
    <cfRule type="cellIs" dxfId="7994" priority="7834" stopIfTrue="1" operator="equal">
      <formula>"Pass"</formula>
    </cfRule>
  </conditionalFormatting>
  <conditionalFormatting sqref="F1030:G1030 F1032:G1032 J1030:N1031">
    <cfRule type="cellIs" dxfId="7993" priority="7831" stopIfTrue="1" operator="equal">
      <formula>"Pass"</formula>
    </cfRule>
    <cfRule type="cellIs" dxfId="7992" priority="7832" stopIfTrue="1" operator="equal">
      <formula>"Fail"</formula>
    </cfRule>
  </conditionalFormatting>
  <conditionalFormatting sqref="U1032:V1032 U1030:V1030 T1030:T1032 S1031:S1032">
    <cfRule type="cellIs" dxfId="7991" priority="7829" stopIfTrue="1" operator="equal">
      <formula>"Fail"</formula>
    </cfRule>
    <cfRule type="cellIs" dxfId="7990" priority="7830" stopIfTrue="1" operator="equal">
      <formula>"Pass"</formula>
    </cfRule>
  </conditionalFormatting>
  <conditionalFormatting sqref="F1030:G1032 J1030:N1031">
    <cfRule type="cellIs" dxfId="7989" priority="7827" stopIfTrue="1" operator="equal">
      <formula>"Pass"</formula>
    </cfRule>
    <cfRule type="cellIs" dxfId="7988" priority="7828" stopIfTrue="1" operator="equal">
      <formula>"Fail"</formula>
    </cfRule>
  </conditionalFormatting>
  <conditionalFormatting sqref="K1030:O1031 F1030:H1032">
    <cfRule type="cellIs" dxfId="7987" priority="7825" stopIfTrue="1" operator="equal">
      <formula>"Pass"</formula>
    </cfRule>
    <cfRule type="cellIs" dxfId="7986" priority="7826" stopIfTrue="1" operator="equal">
      <formula>"Fail"</formula>
    </cfRule>
  </conditionalFormatting>
  <conditionalFormatting sqref="T1030">
    <cfRule type="cellIs" dxfId="7985" priority="7823" stopIfTrue="1" operator="equal">
      <formula>"Fail"</formula>
    </cfRule>
    <cfRule type="cellIs" dxfId="7984" priority="7824" stopIfTrue="1" operator="equal">
      <formula>"Pass"</formula>
    </cfRule>
  </conditionalFormatting>
  <conditionalFormatting sqref="K1030:O1031 F1030:H1032">
    <cfRule type="cellIs" dxfId="7983" priority="7821" stopIfTrue="1" operator="equal">
      <formula>"Pass"</formula>
    </cfRule>
    <cfRule type="cellIs" dxfId="7982" priority="7822" stopIfTrue="1" operator="equal">
      <formula>"Fail"</formula>
    </cfRule>
  </conditionalFormatting>
  <conditionalFormatting sqref="T1030">
    <cfRule type="cellIs" dxfId="7981" priority="7819" stopIfTrue="1" operator="equal">
      <formula>"Fail"</formula>
    </cfRule>
    <cfRule type="cellIs" dxfId="7980" priority="7820" stopIfTrue="1" operator="equal">
      <formula>"Pass"</formula>
    </cfRule>
  </conditionalFormatting>
  <conditionalFormatting sqref="A1030:A1035">
    <cfRule type="cellIs" dxfId="7979" priority="7817" stopIfTrue="1" operator="equal">
      <formula>"Pass"</formula>
    </cfRule>
    <cfRule type="cellIs" dxfId="7978" priority="7818" stopIfTrue="1" operator="equal">
      <formula>"Fail"</formula>
    </cfRule>
  </conditionalFormatting>
  <conditionalFormatting sqref="A1030:A1035">
    <cfRule type="cellIs" dxfId="7977" priority="7815" stopIfTrue="1" operator="equal">
      <formula>"Pass"</formula>
    </cfRule>
    <cfRule type="cellIs" dxfId="7976" priority="7816" stopIfTrue="1" operator="equal">
      <formula>"Fail"</formula>
    </cfRule>
  </conditionalFormatting>
  <conditionalFormatting sqref="A1030:A1035">
    <cfRule type="cellIs" dxfId="7975" priority="7813" stopIfTrue="1" operator="equal">
      <formula>"Pass"</formula>
    </cfRule>
    <cfRule type="cellIs" dxfId="7974" priority="7814" stopIfTrue="1" operator="equal">
      <formula>"Fail"</formula>
    </cfRule>
  </conditionalFormatting>
  <conditionalFormatting sqref="A1030:A1035">
    <cfRule type="cellIs" dxfId="7973" priority="7811" stopIfTrue="1" operator="equal">
      <formula>"Pass"</formula>
    </cfRule>
    <cfRule type="cellIs" dxfId="7972" priority="7812" stopIfTrue="1" operator="equal">
      <formula>"Fail"</formula>
    </cfRule>
  </conditionalFormatting>
  <conditionalFormatting sqref="A1030:A1035">
    <cfRule type="cellIs" dxfId="7971" priority="7809" stopIfTrue="1" operator="equal">
      <formula>"Pass"</formula>
    </cfRule>
    <cfRule type="cellIs" dxfId="7970" priority="7810" stopIfTrue="1" operator="equal">
      <formula>"Fail"</formula>
    </cfRule>
  </conditionalFormatting>
  <conditionalFormatting sqref="A1035 A1032">
    <cfRule type="cellIs" dxfId="7969" priority="7807" stopIfTrue="1" operator="equal">
      <formula>"Pass"</formula>
    </cfRule>
    <cfRule type="cellIs" dxfId="7968" priority="7808" stopIfTrue="1" operator="equal">
      <formula>"Fail"</formula>
    </cfRule>
  </conditionalFormatting>
  <conditionalFormatting sqref="A1030:A1035">
    <cfRule type="cellIs" dxfId="7967" priority="7805" stopIfTrue="1" operator="equal">
      <formula>"Pass"</formula>
    </cfRule>
    <cfRule type="cellIs" dxfId="7966" priority="7806" stopIfTrue="1" operator="equal">
      <formula>"Fail"</formula>
    </cfRule>
  </conditionalFormatting>
  <conditionalFormatting sqref="A1030:A1035">
    <cfRule type="cellIs" dxfId="7965" priority="7803" stopIfTrue="1" operator="equal">
      <formula>"Pass"</formula>
    </cfRule>
    <cfRule type="cellIs" dxfId="7964" priority="7804" stopIfTrue="1" operator="equal">
      <formula>"Fail"</formula>
    </cfRule>
  </conditionalFormatting>
  <conditionalFormatting sqref="A1030:A1035">
    <cfRule type="cellIs" dxfId="7963" priority="7801" stopIfTrue="1" operator="equal">
      <formula>"Pass"</formula>
    </cfRule>
    <cfRule type="cellIs" dxfId="7962" priority="7802" stopIfTrue="1" operator="equal">
      <formula>"Fail"</formula>
    </cfRule>
  </conditionalFormatting>
  <conditionalFormatting sqref="A1030:A1035">
    <cfRule type="cellIs" dxfId="7961" priority="7799" stopIfTrue="1" operator="equal">
      <formula>"Pass"</formula>
    </cfRule>
    <cfRule type="cellIs" dxfId="7960" priority="7800" stopIfTrue="1" operator="equal">
      <formula>"Fail"</formula>
    </cfRule>
  </conditionalFormatting>
  <conditionalFormatting sqref="A1030:A1035">
    <cfRule type="cellIs" dxfId="7959" priority="7797" stopIfTrue="1" operator="equal">
      <formula>"Pass"</formula>
    </cfRule>
    <cfRule type="cellIs" dxfId="7958" priority="7798" stopIfTrue="1" operator="equal">
      <formula>"Fail"</formula>
    </cfRule>
  </conditionalFormatting>
  <conditionalFormatting sqref="A1030:A1035">
    <cfRule type="cellIs" dxfId="7957" priority="7795" stopIfTrue="1" operator="equal">
      <formula>"Pass"</formula>
    </cfRule>
    <cfRule type="cellIs" dxfId="7956" priority="7796" stopIfTrue="1" operator="equal">
      <formula>"Fail"</formula>
    </cfRule>
  </conditionalFormatting>
  <conditionalFormatting sqref="A1035 A1032">
    <cfRule type="cellIs" dxfId="7955" priority="7793" stopIfTrue="1" operator="equal">
      <formula>"Pass"</formula>
    </cfRule>
    <cfRule type="cellIs" dxfId="7954" priority="7794" stopIfTrue="1" operator="equal">
      <formula>"Fail"</formula>
    </cfRule>
  </conditionalFormatting>
  <conditionalFormatting sqref="A1030:A1035">
    <cfRule type="cellIs" dxfId="7953" priority="7791" stopIfTrue="1" operator="equal">
      <formula>"Pass"</formula>
    </cfRule>
    <cfRule type="cellIs" dxfId="7952" priority="7792" stopIfTrue="1" operator="equal">
      <formula>"Fail"</formula>
    </cfRule>
  </conditionalFormatting>
  <conditionalFormatting sqref="A1030:A1035">
    <cfRule type="cellIs" dxfId="7951" priority="7789" stopIfTrue="1" operator="equal">
      <formula>"Pass"</formula>
    </cfRule>
    <cfRule type="cellIs" dxfId="7950" priority="7790" stopIfTrue="1" operator="equal">
      <formula>"Fail"</formula>
    </cfRule>
  </conditionalFormatting>
  <conditionalFormatting sqref="A1030:A1035">
    <cfRule type="cellIs" dxfId="7949" priority="7787" stopIfTrue="1" operator="equal">
      <formula>"Pass"</formula>
    </cfRule>
    <cfRule type="cellIs" dxfId="7948" priority="7788" stopIfTrue="1" operator="equal">
      <formula>"Fail"</formula>
    </cfRule>
  </conditionalFormatting>
  <conditionalFormatting sqref="A1030:A1035">
    <cfRule type="cellIs" dxfId="7947" priority="7785" stopIfTrue="1" operator="equal">
      <formula>"Pass"</formula>
    </cfRule>
    <cfRule type="cellIs" dxfId="7946" priority="7786" stopIfTrue="1" operator="equal">
      <formula>"Fail"</formula>
    </cfRule>
  </conditionalFormatting>
  <conditionalFormatting sqref="A1030:A1035">
    <cfRule type="cellIs" dxfId="7945" priority="7783" stopIfTrue="1" operator="equal">
      <formula>"Pass"</formula>
    </cfRule>
    <cfRule type="cellIs" dxfId="7944" priority="7784" stopIfTrue="1" operator="equal">
      <formula>"Fail"</formula>
    </cfRule>
  </conditionalFormatting>
  <conditionalFormatting sqref="A1030:A1035">
    <cfRule type="cellIs" dxfId="7943" priority="7781" stopIfTrue="1" operator="equal">
      <formula>"Pass"</formula>
    </cfRule>
    <cfRule type="cellIs" dxfId="7942" priority="7782" stopIfTrue="1" operator="equal">
      <formula>"Fail"</formula>
    </cfRule>
  </conditionalFormatting>
  <conditionalFormatting sqref="A1035 A1032">
    <cfRule type="cellIs" dxfId="7941" priority="7779" stopIfTrue="1" operator="equal">
      <formula>"Pass"</formula>
    </cfRule>
    <cfRule type="cellIs" dxfId="7940" priority="7780" stopIfTrue="1" operator="equal">
      <formula>"Fail"</formula>
    </cfRule>
  </conditionalFormatting>
  <conditionalFormatting sqref="A1030:A1035">
    <cfRule type="cellIs" dxfId="7939" priority="7777" stopIfTrue="1" operator="equal">
      <formula>"Pass"</formula>
    </cfRule>
    <cfRule type="cellIs" dxfId="7938" priority="7778" stopIfTrue="1" operator="equal">
      <formula>"Fail"</formula>
    </cfRule>
  </conditionalFormatting>
  <conditionalFormatting sqref="A1030:A1035">
    <cfRule type="cellIs" dxfId="7937" priority="7775" stopIfTrue="1" operator="equal">
      <formula>"Pass"</formula>
    </cfRule>
    <cfRule type="cellIs" dxfId="7936" priority="7776" stopIfTrue="1" operator="equal">
      <formula>"Fail"</formula>
    </cfRule>
  </conditionalFormatting>
  <conditionalFormatting sqref="A1030:A1035">
    <cfRule type="cellIs" dxfId="7935" priority="7773" stopIfTrue="1" operator="equal">
      <formula>"Pass"</formula>
    </cfRule>
    <cfRule type="cellIs" dxfId="7934" priority="7774" stopIfTrue="1" operator="equal">
      <formula>"Fail"</formula>
    </cfRule>
  </conditionalFormatting>
  <conditionalFormatting sqref="A1030:A1035">
    <cfRule type="cellIs" dxfId="7933" priority="7771" stopIfTrue="1" operator="equal">
      <formula>"Pass"</formula>
    </cfRule>
    <cfRule type="cellIs" dxfId="7932" priority="7772" stopIfTrue="1" operator="equal">
      <formula>"Fail"</formula>
    </cfRule>
  </conditionalFormatting>
  <conditionalFormatting sqref="A1030:A1035">
    <cfRule type="cellIs" dxfId="7931" priority="7769" stopIfTrue="1" operator="equal">
      <formula>"Pass"</formula>
    </cfRule>
    <cfRule type="cellIs" dxfId="7930" priority="7770" stopIfTrue="1" operator="equal">
      <formula>"Fail"</formula>
    </cfRule>
  </conditionalFormatting>
  <conditionalFormatting sqref="A1030:A1035">
    <cfRule type="cellIs" dxfId="7929" priority="7767" stopIfTrue="1" operator="equal">
      <formula>"Pass"</formula>
    </cfRule>
    <cfRule type="cellIs" dxfId="7928" priority="7768" stopIfTrue="1" operator="equal">
      <formula>"Fail"</formula>
    </cfRule>
  </conditionalFormatting>
  <conditionalFormatting sqref="A1035 A1032">
    <cfRule type="cellIs" dxfId="7927" priority="7765" stopIfTrue="1" operator="equal">
      <formula>"Pass"</formula>
    </cfRule>
    <cfRule type="cellIs" dxfId="7926" priority="7766" stopIfTrue="1" operator="equal">
      <formula>"Fail"</formula>
    </cfRule>
  </conditionalFormatting>
  <conditionalFormatting sqref="A1030:A1035">
    <cfRule type="cellIs" dxfId="7925" priority="7763" stopIfTrue="1" operator="equal">
      <formula>"Pass"</formula>
    </cfRule>
    <cfRule type="cellIs" dxfId="7924" priority="7764" stopIfTrue="1" operator="equal">
      <formula>"Fail"</formula>
    </cfRule>
  </conditionalFormatting>
  <conditionalFormatting sqref="A1030:A1035">
    <cfRule type="cellIs" dxfId="7923" priority="7761" stopIfTrue="1" operator="equal">
      <formula>"Pass"</formula>
    </cfRule>
    <cfRule type="cellIs" dxfId="7922" priority="7762" stopIfTrue="1" operator="equal">
      <formula>"Fail"</formula>
    </cfRule>
  </conditionalFormatting>
  <conditionalFormatting sqref="A1030:A1035">
    <cfRule type="cellIs" dxfId="7921" priority="7759" stopIfTrue="1" operator="equal">
      <formula>"Pass"</formula>
    </cfRule>
    <cfRule type="cellIs" dxfId="7920" priority="7760" stopIfTrue="1" operator="equal">
      <formula>"Fail"</formula>
    </cfRule>
  </conditionalFormatting>
  <conditionalFormatting sqref="A1030:A1035">
    <cfRule type="cellIs" dxfId="7919" priority="7757" stopIfTrue="1" operator="equal">
      <formula>"Pass"</formula>
    </cfRule>
    <cfRule type="cellIs" dxfId="7918" priority="7758" stopIfTrue="1" operator="equal">
      <formula>"Fail"</formula>
    </cfRule>
  </conditionalFormatting>
  <conditionalFormatting sqref="A1030:A1035">
    <cfRule type="cellIs" dxfId="7917" priority="7755" stopIfTrue="1" operator="equal">
      <formula>"Pass"</formula>
    </cfRule>
    <cfRule type="cellIs" dxfId="7916" priority="7756" stopIfTrue="1" operator="equal">
      <formula>"Fail"</formula>
    </cfRule>
  </conditionalFormatting>
  <conditionalFormatting sqref="A1030:A1035">
    <cfRule type="cellIs" dxfId="7915" priority="7753" stopIfTrue="1" operator="equal">
      <formula>"Pass"</formula>
    </cfRule>
    <cfRule type="cellIs" dxfId="7914" priority="7754" stopIfTrue="1" operator="equal">
      <formula>"Fail"</formula>
    </cfRule>
  </conditionalFormatting>
  <conditionalFormatting sqref="A1035 A1032">
    <cfRule type="cellIs" dxfId="7913" priority="7751" stopIfTrue="1" operator="equal">
      <formula>"Pass"</formula>
    </cfRule>
    <cfRule type="cellIs" dxfId="7912" priority="7752" stopIfTrue="1" operator="equal">
      <formula>"Fail"</formula>
    </cfRule>
  </conditionalFormatting>
  <conditionalFormatting sqref="A1030:A1035">
    <cfRule type="cellIs" dxfId="7911" priority="7749" stopIfTrue="1" operator="equal">
      <formula>"Pass"</formula>
    </cfRule>
    <cfRule type="cellIs" dxfId="7910" priority="7750" stopIfTrue="1" operator="equal">
      <formula>"Fail"</formula>
    </cfRule>
  </conditionalFormatting>
  <conditionalFormatting sqref="A1030:A1035">
    <cfRule type="cellIs" dxfId="7909" priority="7747" stopIfTrue="1" operator="equal">
      <formula>"Pass"</formula>
    </cfRule>
    <cfRule type="cellIs" dxfId="7908" priority="7748" stopIfTrue="1" operator="equal">
      <formula>"Fail"</formula>
    </cfRule>
  </conditionalFormatting>
  <conditionalFormatting sqref="A1030:A1035">
    <cfRule type="cellIs" dxfId="7907" priority="7745" stopIfTrue="1" operator="equal">
      <formula>"Pass"</formula>
    </cfRule>
    <cfRule type="cellIs" dxfId="7906" priority="7746" stopIfTrue="1" operator="equal">
      <formula>"Fail"</formula>
    </cfRule>
  </conditionalFormatting>
  <conditionalFormatting sqref="A1030:A1035">
    <cfRule type="cellIs" dxfId="7905" priority="7743" stopIfTrue="1" operator="equal">
      <formula>"Pass"</formula>
    </cfRule>
    <cfRule type="cellIs" dxfId="7904" priority="7744" stopIfTrue="1" operator="equal">
      <formula>"Fail"</formula>
    </cfRule>
  </conditionalFormatting>
  <conditionalFormatting sqref="A1030:A1035">
    <cfRule type="cellIs" dxfId="7903" priority="7741" stopIfTrue="1" operator="equal">
      <formula>"Pass"</formula>
    </cfRule>
    <cfRule type="cellIs" dxfId="7902" priority="7742" stopIfTrue="1" operator="equal">
      <formula>"Fail"</formula>
    </cfRule>
  </conditionalFormatting>
  <conditionalFormatting sqref="A1030:A1035">
    <cfRule type="cellIs" dxfId="7901" priority="7739" stopIfTrue="1" operator="equal">
      <formula>"Pass"</formula>
    </cfRule>
    <cfRule type="cellIs" dxfId="7900" priority="7740" stopIfTrue="1" operator="equal">
      <formula>"Fail"</formula>
    </cfRule>
  </conditionalFormatting>
  <conditionalFormatting sqref="A1035 A1032">
    <cfRule type="cellIs" dxfId="7899" priority="7737" stopIfTrue="1" operator="equal">
      <formula>"Pass"</formula>
    </cfRule>
    <cfRule type="cellIs" dxfId="7898" priority="7738" stopIfTrue="1" operator="equal">
      <formula>"Fail"</formula>
    </cfRule>
  </conditionalFormatting>
  <conditionalFormatting sqref="A1030:A1035">
    <cfRule type="cellIs" dxfId="7897" priority="7735" stopIfTrue="1" operator="equal">
      <formula>"Pass"</formula>
    </cfRule>
    <cfRule type="cellIs" dxfId="7896" priority="7736" stopIfTrue="1" operator="equal">
      <formula>"Fail"</formula>
    </cfRule>
  </conditionalFormatting>
  <conditionalFormatting sqref="A1033 A1030">
    <cfRule type="cellIs" dxfId="7895" priority="7733" stopIfTrue="1" operator="equal">
      <formula>"Pass"</formula>
    </cfRule>
    <cfRule type="cellIs" dxfId="7894" priority="7734" stopIfTrue="1" operator="equal">
      <formula>"Fail"</formula>
    </cfRule>
  </conditionalFormatting>
  <conditionalFormatting sqref="A1033 A1030">
    <cfRule type="cellIs" dxfId="7893" priority="7731" stopIfTrue="1" operator="equal">
      <formula>"Pass"</formula>
    </cfRule>
    <cfRule type="cellIs" dxfId="7892" priority="7732" stopIfTrue="1" operator="equal">
      <formula>"Fail"</formula>
    </cfRule>
  </conditionalFormatting>
  <conditionalFormatting sqref="A1033 A1030">
    <cfRule type="cellIs" dxfId="7891" priority="7729" stopIfTrue="1" operator="equal">
      <formula>"Pass"</formula>
    </cfRule>
    <cfRule type="cellIs" dxfId="7890" priority="7730" stopIfTrue="1" operator="equal">
      <formula>"Fail"</formula>
    </cfRule>
  </conditionalFormatting>
  <conditionalFormatting sqref="A1033 A1030">
    <cfRule type="cellIs" dxfId="7889" priority="7727" stopIfTrue="1" operator="equal">
      <formula>"Pass"</formula>
    </cfRule>
    <cfRule type="cellIs" dxfId="7888" priority="7728" stopIfTrue="1" operator="equal">
      <formula>"Fail"</formula>
    </cfRule>
  </conditionalFormatting>
  <conditionalFormatting sqref="A1033 A1030">
    <cfRule type="cellIs" dxfId="7887" priority="7725" stopIfTrue="1" operator="equal">
      <formula>"Pass"</formula>
    </cfRule>
    <cfRule type="cellIs" dxfId="7886" priority="7726" stopIfTrue="1" operator="equal">
      <formula>"Fail"</formula>
    </cfRule>
  </conditionalFormatting>
  <conditionalFormatting sqref="A1033 A1030">
    <cfRule type="cellIs" dxfId="7885" priority="7723" stopIfTrue="1" operator="equal">
      <formula>"Pass"</formula>
    </cfRule>
    <cfRule type="cellIs" dxfId="7884" priority="7724" stopIfTrue="1" operator="equal">
      <formula>"Fail"</formula>
    </cfRule>
  </conditionalFormatting>
  <conditionalFormatting sqref="A1033 A1030">
    <cfRule type="cellIs" dxfId="7883" priority="7721" stopIfTrue="1" operator="equal">
      <formula>"Pass"</formula>
    </cfRule>
    <cfRule type="cellIs" dxfId="7882" priority="7722" stopIfTrue="1" operator="equal">
      <formula>"Fail"</formula>
    </cfRule>
  </conditionalFormatting>
  <conditionalFormatting sqref="A1033 A1030">
    <cfRule type="cellIs" dxfId="7881" priority="7719" stopIfTrue="1" operator="equal">
      <formula>"Pass"</formula>
    </cfRule>
    <cfRule type="cellIs" dxfId="7880" priority="7720" stopIfTrue="1" operator="equal">
      <formula>"Fail"</formula>
    </cfRule>
  </conditionalFormatting>
  <conditionalFormatting sqref="A1033 A1030">
    <cfRule type="cellIs" dxfId="7879" priority="7717" stopIfTrue="1" operator="equal">
      <formula>"Pass"</formula>
    </cfRule>
    <cfRule type="cellIs" dxfId="7878" priority="7718" stopIfTrue="1" operator="equal">
      <formula>"Fail"</formula>
    </cfRule>
  </conditionalFormatting>
  <conditionalFormatting sqref="A1033 A1030">
    <cfRule type="cellIs" dxfId="7877" priority="7715" stopIfTrue="1" operator="equal">
      <formula>"Pass"</formula>
    </cfRule>
    <cfRule type="cellIs" dxfId="7876" priority="7716" stopIfTrue="1" operator="equal">
      <formula>"Fail"</formula>
    </cfRule>
  </conditionalFormatting>
  <conditionalFormatting sqref="A1033 A1030">
    <cfRule type="cellIs" dxfId="7875" priority="7713" stopIfTrue="1" operator="equal">
      <formula>"Pass"</formula>
    </cfRule>
    <cfRule type="cellIs" dxfId="7874" priority="7714" stopIfTrue="1" operator="equal">
      <formula>"Fail"</formula>
    </cfRule>
  </conditionalFormatting>
  <conditionalFormatting sqref="A1033 A1030">
    <cfRule type="cellIs" dxfId="7873" priority="7711" stopIfTrue="1" operator="equal">
      <formula>"Pass"</formula>
    </cfRule>
    <cfRule type="cellIs" dxfId="7872" priority="7712" stopIfTrue="1" operator="equal">
      <formula>"Fail"</formula>
    </cfRule>
  </conditionalFormatting>
  <conditionalFormatting sqref="A1033 A1030">
    <cfRule type="cellIs" dxfId="7871" priority="7709" stopIfTrue="1" operator="equal">
      <formula>"Pass"</formula>
    </cfRule>
    <cfRule type="cellIs" dxfId="7870" priority="7710" stopIfTrue="1" operator="equal">
      <formula>"Fail"</formula>
    </cfRule>
  </conditionalFormatting>
  <conditionalFormatting sqref="A1033 A1030">
    <cfRule type="cellIs" dxfId="7869" priority="7707" stopIfTrue="1" operator="equal">
      <formula>"Pass"</formula>
    </cfRule>
    <cfRule type="cellIs" dxfId="7868" priority="7708" stopIfTrue="1" operator="equal">
      <formula>"Fail"</formula>
    </cfRule>
  </conditionalFormatting>
  <conditionalFormatting sqref="A1033 A1030">
    <cfRule type="cellIs" dxfId="7867" priority="7705" stopIfTrue="1" operator="equal">
      <formula>"Pass"</formula>
    </cfRule>
    <cfRule type="cellIs" dxfId="7866" priority="7706" stopIfTrue="1" operator="equal">
      <formula>"Fail"</formula>
    </cfRule>
  </conditionalFormatting>
  <conditionalFormatting sqref="A1033 A1030">
    <cfRule type="cellIs" dxfId="7865" priority="7703" stopIfTrue="1" operator="equal">
      <formula>"Pass"</formula>
    </cfRule>
    <cfRule type="cellIs" dxfId="7864" priority="7704" stopIfTrue="1" operator="equal">
      <formula>"Fail"</formula>
    </cfRule>
  </conditionalFormatting>
  <conditionalFormatting sqref="A1033 A1030">
    <cfRule type="cellIs" dxfId="7863" priority="7701" stopIfTrue="1" operator="equal">
      <formula>"Pass"</formula>
    </cfRule>
    <cfRule type="cellIs" dxfId="7862" priority="7702" stopIfTrue="1" operator="equal">
      <formula>"Fail"</formula>
    </cfRule>
  </conditionalFormatting>
  <conditionalFormatting sqref="A1033 A1030">
    <cfRule type="cellIs" dxfId="7861" priority="7699" stopIfTrue="1" operator="equal">
      <formula>"Pass"</formula>
    </cfRule>
    <cfRule type="cellIs" dxfId="7860" priority="7700" stopIfTrue="1" operator="equal">
      <formula>"Fail"</formula>
    </cfRule>
  </conditionalFormatting>
  <conditionalFormatting sqref="J1033:J1034">
    <cfRule type="cellIs" dxfId="7859" priority="7697" stopIfTrue="1" operator="equal">
      <formula>"Pass"</formula>
    </cfRule>
    <cfRule type="cellIs" dxfId="7858" priority="7698" stopIfTrue="1" operator="equal">
      <formula>"Fail"</formula>
    </cfRule>
  </conditionalFormatting>
  <conditionalFormatting sqref="H1033:H1034 I1034">
    <cfRule type="cellIs" dxfId="7857" priority="7695" stopIfTrue="1" operator="equal">
      <formula>"Pass"</formula>
    </cfRule>
    <cfRule type="cellIs" dxfId="7856" priority="7696" stopIfTrue="1" operator="equal">
      <formula>"Fail"</formula>
    </cfRule>
  </conditionalFormatting>
  <conditionalFormatting sqref="A1033 C1033 F1035 F1033:G1033 K1033:N1034 A1030">
    <cfRule type="cellIs" dxfId="7855" priority="7693" stopIfTrue="1" operator="equal">
      <formula>"Pass"</formula>
    </cfRule>
    <cfRule type="cellIs" dxfId="7854" priority="7694" stopIfTrue="1" operator="equal">
      <formula>"Fail"</formula>
    </cfRule>
  </conditionalFormatting>
  <conditionalFormatting sqref="T1033:T1035 U1034:V1035">
    <cfRule type="cellIs" dxfId="7853" priority="7691" stopIfTrue="1" operator="equal">
      <formula>"Fail"</formula>
    </cfRule>
    <cfRule type="cellIs" dxfId="7852" priority="7692" stopIfTrue="1" operator="equal">
      <formula>"Pass"</formula>
    </cfRule>
  </conditionalFormatting>
  <conditionalFormatting sqref="A1033 A1030">
    <cfRule type="cellIs" dxfId="7851" priority="7689" stopIfTrue="1" operator="equal">
      <formula>"Pass"</formula>
    </cfRule>
    <cfRule type="cellIs" dxfId="7850" priority="7690" stopIfTrue="1" operator="equal">
      <formula>"Fail"</formula>
    </cfRule>
  </conditionalFormatting>
  <conditionalFormatting sqref="A1033 A1030">
    <cfRule type="cellIs" dxfId="7849" priority="7687" stopIfTrue="1" operator="equal">
      <formula>"Pass"</formula>
    </cfRule>
    <cfRule type="cellIs" dxfId="7848" priority="7688" stopIfTrue="1" operator="equal">
      <formula>"Fail"</formula>
    </cfRule>
  </conditionalFormatting>
  <conditionalFormatting sqref="A1033 A1030">
    <cfRule type="cellIs" dxfId="7847" priority="7685" stopIfTrue="1" operator="equal">
      <formula>"Pass"</formula>
    </cfRule>
    <cfRule type="cellIs" dxfId="7846" priority="7686" stopIfTrue="1" operator="equal">
      <formula>"Fail"</formula>
    </cfRule>
  </conditionalFormatting>
  <conditionalFormatting sqref="A1033 A1030">
    <cfRule type="cellIs" dxfId="7845" priority="7683" stopIfTrue="1" operator="equal">
      <formula>"Pass"</formula>
    </cfRule>
    <cfRule type="cellIs" dxfId="7844" priority="7684" stopIfTrue="1" operator="equal">
      <formula>"Fail"</formula>
    </cfRule>
  </conditionalFormatting>
  <conditionalFormatting sqref="A1033 A1030">
    <cfRule type="cellIs" dxfId="7843" priority="7681" stopIfTrue="1" operator="equal">
      <formula>"Pass"</formula>
    </cfRule>
    <cfRule type="cellIs" dxfId="7842" priority="7682" stopIfTrue="1" operator="equal">
      <formula>"Fail"</formula>
    </cfRule>
  </conditionalFormatting>
  <conditionalFormatting sqref="A1033 A1030">
    <cfRule type="cellIs" dxfId="7841" priority="7679" stopIfTrue="1" operator="equal">
      <formula>"Pass"</formula>
    </cfRule>
    <cfRule type="cellIs" dxfId="7840" priority="7680" stopIfTrue="1" operator="equal">
      <formula>"Fail"</formula>
    </cfRule>
  </conditionalFormatting>
  <conditionalFormatting sqref="A1033 A1030">
    <cfRule type="cellIs" dxfId="7839" priority="7677" stopIfTrue="1" operator="equal">
      <formula>"Pass"</formula>
    </cfRule>
    <cfRule type="cellIs" dxfId="7838" priority="7678" stopIfTrue="1" operator="equal">
      <formula>"Fail"</formula>
    </cfRule>
  </conditionalFormatting>
  <conditionalFormatting sqref="A1033 A1030">
    <cfRule type="cellIs" dxfId="7837" priority="7675" stopIfTrue="1" operator="equal">
      <formula>"Pass"</formula>
    </cfRule>
    <cfRule type="cellIs" dxfId="7836" priority="7676" stopIfTrue="1" operator="equal">
      <formula>"Fail"</formula>
    </cfRule>
  </conditionalFormatting>
  <conditionalFormatting sqref="A1033 A1030">
    <cfRule type="cellIs" dxfId="7835" priority="7673" stopIfTrue="1" operator="equal">
      <formula>"Pass"</formula>
    </cfRule>
    <cfRule type="cellIs" dxfId="7834" priority="7674" stopIfTrue="1" operator="equal">
      <formula>"Fail"</formula>
    </cfRule>
  </conditionalFormatting>
  <conditionalFormatting sqref="A1033 A1030">
    <cfRule type="cellIs" dxfId="7833" priority="7671" stopIfTrue="1" operator="equal">
      <formula>"Pass"</formula>
    </cfRule>
    <cfRule type="cellIs" dxfId="7832" priority="7672" stopIfTrue="1" operator="equal">
      <formula>"Fail"</formula>
    </cfRule>
  </conditionalFormatting>
  <conditionalFormatting sqref="A1033 A1030">
    <cfRule type="cellIs" dxfId="7831" priority="7669" stopIfTrue="1" operator="equal">
      <formula>"Pass"</formula>
    </cfRule>
    <cfRule type="cellIs" dxfId="7830" priority="7670" stopIfTrue="1" operator="equal">
      <formula>"Fail"</formula>
    </cfRule>
  </conditionalFormatting>
  <conditionalFormatting sqref="A1033 A1030">
    <cfRule type="cellIs" dxfId="7829" priority="7667" stopIfTrue="1" operator="equal">
      <formula>"Pass"</formula>
    </cfRule>
    <cfRule type="cellIs" dxfId="7828" priority="7668" stopIfTrue="1" operator="equal">
      <formula>"Fail"</formula>
    </cfRule>
  </conditionalFormatting>
  <conditionalFormatting sqref="A1033 A1030">
    <cfRule type="cellIs" dxfId="7827" priority="7665" stopIfTrue="1" operator="equal">
      <formula>"Pass"</formula>
    </cfRule>
    <cfRule type="cellIs" dxfId="7826" priority="7666" stopIfTrue="1" operator="equal">
      <formula>"Fail"</formula>
    </cfRule>
  </conditionalFormatting>
  <conditionalFormatting sqref="A1033 A1030">
    <cfRule type="cellIs" dxfId="7825" priority="7663" stopIfTrue="1" operator="equal">
      <formula>"Pass"</formula>
    </cfRule>
    <cfRule type="cellIs" dxfId="7824" priority="7664" stopIfTrue="1" operator="equal">
      <formula>"Fail"</formula>
    </cfRule>
  </conditionalFormatting>
  <conditionalFormatting sqref="A1033 A1030">
    <cfRule type="cellIs" dxfId="7823" priority="7661" stopIfTrue="1" operator="equal">
      <formula>"Pass"</formula>
    </cfRule>
    <cfRule type="cellIs" dxfId="7822" priority="7662" stopIfTrue="1" operator="equal">
      <formula>"Fail"</formula>
    </cfRule>
  </conditionalFormatting>
  <conditionalFormatting sqref="A1033 A1030">
    <cfRule type="cellIs" dxfId="7821" priority="7659" stopIfTrue="1" operator="equal">
      <formula>"Pass"</formula>
    </cfRule>
    <cfRule type="cellIs" dxfId="7820" priority="7660" stopIfTrue="1" operator="equal">
      <formula>"Fail"</formula>
    </cfRule>
  </conditionalFormatting>
  <conditionalFormatting sqref="U1033:V1033">
    <cfRule type="cellIs" dxfId="7819" priority="7657" stopIfTrue="1" operator="equal">
      <formula>"Fail"</formula>
    </cfRule>
    <cfRule type="cellIs" dxfId="7818" priority="7658" stopIfTrue="1" operator="equal">
      <formula>"Pass"</formula>
    </cfRule>
  </conditionalFormatting>
  <conditionalFormatting sqref="U1033:V1033">
    <cfRule type="cellIs" dxfId="7817" priority="7655" stopIfTrue="1" operator="equal">
      <formula>"Fail"</formula>
    </cfRule>
    <cfRule type="cellIs" dxfId="7816" priority="7656" stopIfTrue="1" operator="equal">
      <formula>"Pass"</formula>
    </cfRule>
  </conditionalFormatting>
  <conditionalFormatting sqref="J1033:J1034">
    <cfRule type="cellIs" dxfId="7815" priority="7653" stopIfTrue="1" operator="equal">
      <formula>"Pass"</formula>
    </cfRule>
    <cfRule type="cellIs" dxfId="7814" priority="7654" stopIfTrue="1" operator="equal">
      <formula>"Fail"</formula>
    </cfRule>
  </conditionalFormatting>
  <conditionalFormatting sqref="H1033:H1034 I1034">
    <cfRule type="cellIs" dxfId="7813" priority="7651" stopIfTrue="1" operator="equal">
      <formula>"Pass"</formula>
    </cfRule>
    <cfRule type="cellIs" dxfId="7812" priority="7652" stopIfTrue="1" operator="equal">
      <formula>"Fail"</formula>
    </cfRule>
  </conditionalFormatting>
  <conditionalFormatting sqref="F1035 F1033:G1033 K1033:N1034">
    <cfRule type="cellIs" dxfId="7811" priority="7649" stopIfTrue="1" operator="equal">
      <formula>"Pass"</formula>
    </cfRule>
    <cfRule type="cellIs" dxfId="7810" priority="7650" stopIfTrue="1" operator="equal">
      <formula>"Fail"</formula>
    </cfRule>
  </conditionalFormatting>
  <conditionalFormatting sqref="T1033:T1035 U1034:V1035">
    <cfRule type="cellIs" dxfId="7809" priority="7647" stopIfTrue="1" operator="equal">
      <formula>"Fail"</formula>
    </cfRule>
    <cfRule type="cellIs" dxfId="7808" priority="7648" stopIfTrue="1" operator="equal">
      <formula>"Pass"</formula>
    </cfRule>
  </conditionalFormatting>
  <conditionalFormatting sqref="U1033:V1033">
    <cfRule type="cellIs" dxfId="7807" priority="7645" stopIfTrue="1" operator="equal">
      <formula>"Fail"</formula>
    </cfRule>
    <cfRule type="cellIs" dxfId="7806" priority="7646" stopIfTrue="1" operator="equal">
      <formula>"Pass"</formula>
    </cfRule>
  </conditionalFormatting>
  <conditionalFormatting sqref="U1033:V1033">
    <cfRule type="cellIs" dxfId="7805" priority="7643" stopIfTrue="1" operator="equal">
      <formula>"Fail"</formula>
    </cfRule>
    <cfRule type="cellIs" dxfId="7804" priority="7644" stopIfTrue="1" operator="equal">
      <formula>"Pass"</formula>
    </cfRule>
  </conditionalFormatting>
  <conditionalFormatting sqref="F1033:G1033 K1033:N1033">
    <cfRule type="cellIs" dxfId="7803" priority="7641" stopIfTrue="1" operator="equal">
      <formula>"Pass"</formula>
    </cfRule>
    <cfRule type="cellIs" dxfId="7802" priority="7642" stopIfTrue="1" operator="equal">
      <formula>"Fail"</formula>
    </cfRule>
  </conditionalFormatting>
  <conditionalFormatting sqref="K1034:N1034">
    <cfRule type="cellIs" dxfId="7801" priority="7639" stopIfTrue="1" operator="equal">
      <formula>"Pass"</formula>
    </cfRule>
    <cfRule type="cellIs" dxfId="7800" priority="7640" stopIfTrue="1" operator="equal">
      <formula>"Fail"</formula>
    </cfRule>
  </conditionalFormatting>
  <conditionalFormatting sqref="U1033:V1033">
    <cfRule type="cellIs" dxfId="7799" priority="7637" stopIfTrue="1" operator="equal">
      <formula>"Fail"</formula>
    </cfRule>
    <cfRule type="cellIs" dxfId="7798" priority="7638" stopIfTrue="1" operator="equal">
      <formula>"Pass"</formula>
    </cfRule>
  </conditionalFormatting>
  <conditionalFormatting sqref="A1033 A1030">
    <cfRule type="cellIs" dxfId="7797" priority="7635" stopIfTrue="1" operator="equal">
      <formula>"Pass"</formula>
    </cfRule>
    <cfRule type="cellIs" dxfId="7796" priority="7636" stopIfTrue="1" operator="equal">
      <formula>"Fail"</formula>
    </cfRule>
  </conditionalFormatting>
  <conditionalFormatting sqref="A1033 A1030">
    <cfRule type="cellIs" dxfId="7795" priority="7633" stopIfTrue="1" operator="equal">
      <formula>"Pass"</formula>
    </cfRule>
    <cfRule type="cellIs" dxfId="7794" priority="7634" stopIfTrue="1" operator="equal">
      <formula>"Fail"</formula>
    </cfRule>
  </conditionalFormatting>
  <conditionalFormatting sqref="A1033 A1030">
    <cfRule type="cellIs" dxfId="7793" priority="7631" stopIfTrue="1" operator="equal">
      <formula>"Pass"</formula>
    </cfRule>
    <cfRule type="cellIs" dxfId="7792" priority="7632" stopIfTrue="1" operator="equal">
      <formula>"Fail"</formula>
    </cfRule>
  </conditionalFormatting>
  <conditionalFormatting sqref="A1033 A1030">
    <cfRule type="cellIs" dxfId="7791" priority="7629" stopIfTrue="1" operator="equal">
      <formula>"Pass"</formula>
    </cfRule>
    <cfRule type="cellIs" dxfId="7790" priority="7630" stopIfTrue="1" operator="equal">
      <formula>"Fail"</formula>
    </cfRule>
  </conditionalFormatting>
  <conditionalFormatting sqref="A1033 A1030">
    <cfRule type="cellIs" dxfId="7789" priority="7627" stopIfTrue="1" operator="equal">
      <formula>"Pass"</formula>
    </cfRule>
    <cfRule type="cellIs" dxfId="7788" priority="7628" stopIfTrue="1" operator="equal">
      <formula>"Fail"</formula>
    </cfRule>
  </conditionalFormatting>
  <conditionalFormatting sqref="A1033 A1030">
    <cfRule type="cellIs" dxfId="7787" priority="7625" stopIfTrue="1" operator="equal">
      <formula>"Pass"</formula>
    </cfRule>
    <cfRule type="cellIs" dxfId="7786" priority="7626" stopIfTrue="1" operator="equal">
      <formula>"Fail"</formula>
    </cfRule>
  </conditionalFormatting>
  <conditionalFormatting sqref="A1033 A1030">
    <cfRule type="cellIs" dxfId="7785" priority="7623" stopIfTrue="1" operator="equal">
      <formula>"Pass"</formula>
    </cfRule>
    <cfRule type="cellIs" dxfId="7784" priority="7624" stopIfTrue="1" operator="equal">
      <formula>"Fail"</formula>
    </cfRule>
  </conditionalFormatting>
  <conditionalFormatting sqref="A1033 A1030">
    <cfRule type="cellIs" dxfId="7783" priority="7621" stopIfTrue="1" operator="equal">
      <formula>"Pass"</formula>
    </cfRule>
    <cfRule type="cellIs" dxfId="7782" priority="7622" stopIfTrue="1" operator="equal">
      <formula>"Fail"</formula>
    </cfRule>
  </conditionalFormatting>
  <conditionalFormatting sqref="A1033 A1030">
    <cfRule type="cellIs" dxfId="7781" priority="7619" stopIfTrue="1" operator="equal">
      <formula>"Pass"</formula>
    </cfRule>
    <cfRule type="cellIs" dxfId="7780" priority="7620" stopIfTrue="1" operator="equal">
      <formula>"Fail"</formula>
    </cfRule>
  </conditionalFormatting>
  <conditionalFormatting sqref="A1033 A1030">
    <cfRule type="cellIs" dxfId="7779" priority="7617" stopIfTrue="1" operator="equal">
      <formula>"Pass"</formula>
    </cfRule>
    <cfRule type="cellIs" dxfId="7778" priority="7618" stopIfTrue="1" operator="equal">
      <formula>"Fail"</formula>
    </cfRule>
  </conditionalFormatting>
  <conditionalFormatting sqref="A1033 A1030">
    <cfRule type="cellIs" dxfId="7777" priority="7615" stopIfTrue="1" operator="equal">
      <formula>"Pass"</formula>
    </cfRule>
    <cfRule type="cellIs" dxfId="7776" priority="7616" stopIfTrue="1" operator="equal">
      <formula>"Fail"</formula>
    </cfRule>
  </conditionalFormatting>
  <conditionalFormatting sqref="A1033 A1030">
    <cfRule type="cellIs" dxfId="7775" priority="7613" stopIfTrue="1" operator="equal">
      <formula>"Pass"</formula>
    </cfRule>
    <cfRule type="cellIs" dxfId="7774" priority="7614" stopIfTrue="1" operator="equal">
      <formula>"Fail"</formula>
    </cfRule>
  </conditionalFormatting>
  <conditionalFormatting sqref="J1033:J1034">
    <cfRule type="cellIs" dxfId="7773" priority="7611" stopIfTrue="1" operator="equal">
      <formula>"Pass"</formula>
    </cfRule>
    <cfRule type="cellIs" dxfId="7772" priority="7612" stopIfTrue="1" operator="equal">
      <formula>"Fail"</formula>
    </cfRule>
  </conditionalFormatting>
  <conditionalFormatting sqref="H1033:H1034 I1034">
    <cfRule type="cellIs" dxfId="7771" priority="7609" stopIfTrue="1" operator="equal">
      <formula>"Pass"</formula>
    </cfRule>
    <cfRule type="cellIs" dxfId="7770" priority="7610" stopIfTrue="1" operator="equal">
      <formula>"Fail"</formula>
    </cfRule>
  </conditionalFormatting>
  <conditionalFormatting sqref="F1035 F1033:G1033 K1033:N1034">
    <cfRule type="cellIs" dxfId="7769" priority="7607" stopIfTrue="1" operator="equal">
      <formula>"Pass"</formula>
    </cfRule>
    <cfRule type="cellIs" dxfId="7768" priority="7608" stopIfTrue="1" operator="equal">
      <formula>"Fail"</formula>
    </cfRule>
  </conditionalFormatting>
  <conditionalFormatting sqref="T1033:T1035 U1034:V1035">
    <cfRule type="cellIs" dxfId="7767" priority="7605" stopIfTrue="1" operator="equal">
      <formula>"Fail"</formula>
    </cfRule>
    <cfRule type="cellIs" dxfId="7766" priority="7606" stopIfTrue="1" operator="equal">
      <formula>"Pass"</formula>
    </cfRule>
  </conditionalFormatting>
  <conditionalFormatting sqref="U1033:V1033">
    <cfRule type="cellIs" dxfId="7765" priority="7603" stopIfTrue="1" operator="equal">
      <formula>"Fail"</formula>
    </cfRule>
    <cfRule type="cellIs" dxfId="7764" priority="7604" stopIfTrue="1" operator="equal">
      <formula>"Pass"</formula>
    </cfRule>
  </conditionalFormatting>
  <conditionalFormatting sqref="U1033:V1033">
    <cfRule type="cellIs" dxfId="7763" priority="7601" stopIfTrue="1" operator="equal">
      <formula>"Fail"</formula>
    </cfRule>
    <cfRule type="cellIs" dxfId="7762" priority="7602" stopIfTrue="1" operator="equal">
      <formula>"Pass"</formula>
    </cfRule>
  </conditionalFormatting>
  <conditionalFormatting sqref="J1033:J1034">
    <cfRule type="cellIs" dxfId="7761" priority="7599" stopIfTrue="1" operator="equal">
      <formula>"Pass"</formula>
    </cfRule>
    <cfRule type="cellIs" dxfId="7760" priority="7600" stopIfTrue="1" operator="equal">
      <formula>"Fail"</formula>
    </cfRule>
  </conditionalFormatting>
  <conditionalFormatting sqref="H1033:H1034 I1034">
    <cfRule type="cellIs" dxfId="7759" priority="7597" stopIfTrue="1" operator="equal">
      <formula>"Pass"</formula>
    </cfRule>
    <cfRule type="cellIs" dxfId="7758" priority="7598" stopIfTrue="1" operator="equal">
      <formula>"Fail"</formula>
    </cfRule>
  </conditionalFormatting>
  <conditionalFormatting sqref="F1035 F1033:G1033 K1033:N1034">
    <cfRule type="cellIs" dxfId="7757" priority="7595" stopIfTrue="1" operator="equal">
      <formula>"Pass"</formula>
    </cfRule>
    <cfRule type="cellIs" dxfId="7756" priority="7596" stopIfTrue="1" operator="equal">
      <formula>"Fail"</formula>
    </cfRule>
  </conditionalFormatting>
  <conditionalFormatting sqref="T1033:T1035 U1034:V1035">
    <cfRule type="cellIs" dxfId="7755" priority="7593" stopIfTrue="1" operator="equal">
      <formula>"Fail"</formula>
    </cfRule>
    <cfRule type="cellIs" dxfId="7754" priority="7594" stopIfTrue="1" operator="equal">
      <formula>"Pass"</formula>
    </cfRule>
  </conditionalFormatting>
  <conditionalFormatting sqref="U1033:V1033">
    <cfRule type="cellIs" dxfId="7753" priority="7591" stopIfTrue="1" operator="equal">
      <formula>"Fail"</formula>
    </cfRule>
    <cfRule type="cellIs" dxfId="7752" priority="7592" stopIfTrue="1" operator="equal">
      <formula>"Pass"</formula>
    </cfRule>
  </conditionalFormatting>
  <conditionalFormatting sqref="U1033:V1033">
    <cfRule type="cellIs" dxfId="7751" priority="7589" stopIfTrue="1" operator="equal">
      <formula>"Fail"</formula>
    </cfRule>
    <cfRule type="cellIs" dxfId="7750" priority="7590" stopIfTrue="1" operator="equal">
      <formula>"Pass"</formula>
    </cfRule>
  </conditionalFormatting>
  <conditionalFormatting sqref="F1033:G1033 K1033:N1033">
    <cfRule type="cellIs" dxfId="7749" priority="7587" stopIfTrue="1" operator="equal">
      <formula>"Pass"</formula>
    </cfRule>
    <cfRule type="cellIs" dxfId="7748" priority="7588" stopIfTrue="1" operator="equal">
      <formula>"Fail"</formula>
    </cfRule>
  </conditionalFormatting>
  <conditionalFormatting sqref="K1034:N1034">
    <cfRule type="cellIs" dxfId="7747" priority="7585" stopIfTrue="1" operator="equal">
      <formula>"Pass"</formula>
    </cfRule>
    <cfRule type="cellIs" dxfId="7746" priority="7586" stopIfTrue="1" operator="equal">
      <formula>"Fail"</formula>
    </cfRule>
  </conditionalFormatting>
  <conditionalFormatting sqref="U1033:V1033">
    <cfRule type="cellIs" dxfId="7745" priority="7583" stopIfTrue="1" operator="equal">
      <formula>"Fail"</formula>
    </cfRule>
    <cfRule type="cellIs" dxfId="7744" priority="7584" stopIfTrue="1" operator="equal">
      <formula>"Pass"</formula>
    </cfRule>
  </conditionalFormatting>
  <conditionalFormatting sqref="J1033:J1034">
    <cfRule type="cellIs" dxfId="7743" priority="7581" stopIfTrue="1" operator="equal">
      <formula>"Pass"</formula>
    </cfRule>
    <cfRule type="cellIs" dxfId="7742" priority="7582" stopIfTrue="1" operator="equal">
      <formula>"Fail"</formula>
    </cfRule>
  </conditionalFormatting>
  <conditionalFormatting sqref="H1033:H1034 I1034">
    <cfRule type="cellIs" dxfId="7741" priority="7579" stopIfTrue="1" operator="equal">
      <formula>"Pass"</formula>
    </cfRule>
    <cfRule type="cellIs" dxfId="7740" priority="7580" stopIfTrue="1" operator="equal">
      <formula>"Fail"</formula>
    </cfRule>
  </conditionalFormatting>
  <conditionalFormatting sqref="F1033:G1033 K1033:N1034">
    <cfRule type="cellIs" dxfId="7739" priority="7577" stopIfTrue="1" operator="equal">
      <formula>"Pass"</formula>
    </cfRule>
    <cfRule type="cellIs" dxfId="7738" priority="7578" stopIfTrue="1" operator="equal">
      <formula>"Fail"</formula>
    </cfRule>
  </conditionalFormatting>
  <conditionalFormatting sqref="T1033:T1034 U1034:V1034">
    <cfRule type="cellIs" dxfId="7737" priority="7575" stopIfTrue="1" operator="equal">
      <formula>"Fail"</formula>
    </cfRule>
    <cfRule type="cellIs" dxfId="7736" priority="7576" stopIfTrue="1" operator="equal">
      <formula>"Pass"</formula>
    </cfRule>
  </conditionalFormatting>
  <conditionalFormatting sqref="U1033:V1033">
    <cfRule type="cellIs" dxfId="7735" priority="7573" stopIfTrue="1" operator="equal">
      <formula>"Fail"</formula>
    </cfRule>
    <cfRule type="cellIs" dxfId="7734" priority="7574" stopIfTrue="1" operator="equal">
      <formula>"Pass"</formula>
    </cfRule>
  </conditionalFormatting>
  <conditionalFormatting sqref="U1033:V1033">
    <cfRule type="cellIs" dxfId="7733" priority="7571" stopIfTrue="1" operator="equal">
      <formula>"Fail"</formula>
    </cfRule>
    <cfRule type="cellIs" dxfId="7732" priority="7572" stopIfTrue="1" operator="equal">
      <formula>"Pass"</formula>
    </cfRule>
  </conditionalFormatting>
  <conditionalFormatting sqref="J1033:J1034">
    <cfRule type="cellIs" dxfId="7731" priority="7569" stopIfTrue="1" operator="equal">
      <formula>"Pass"</formula>
    </cfRule>
    <cfRule type="cellIs" dxfId="7730" priority="7570" stopIfTrue="1" operator="equal">
      <formula>"Fail"</formula>
    </cfRule>
  </conditionalFormatting>
  <conditionalFormatting sqref="H1033:H1034 I1034">
    <cfRule type="cellIs" dxfId="7729" priority="7567" stopIfTrue="1" operator="equal">
      <formula>"Pass"</formula>
    </cfRule>
    <cfRule type="cellIs" dxfId="7728" priority="7568" stopIfTrue="1" operator="equal">
      <formula>"Fail"</formula>
    </cfRule>
  </conditionalFormatting>
  <conditionalFormatting sqref="F1033:G1033 K1033:N1034">
    <cfRule type="cellIs" dxfId="7727" priority="7565" stopIfTrue="1" operator="equal">
      <formula>"Pass"</formula>
    </cfRule>
    <cfRule type="cellIs" dxfId="7726" priority="7566" stopIfTrue="1" operator="equal">
      <formula>"Fail"</formula>
    </cfRule>
  </conditionalFormatting>
  <conditionalFormatting sqref="T1033:T1034 U1034:V1034">
    <cfRule type="cellIs" dxfId="7725" priority="7563" stopIfTrue="1" operator="equal">
      <formula>"Fail"</formula>
    </cfRule>
    <cfRule type="cellIs" dxfId="7724" priority="7564" stopIfTrue="1" operator="equal">
      <formula>"Pass"</formula>
    </cfRule>
  </conditionalFormatting>
  <conditionalFormatting sqref="U1033:V1033">
    <cfRule type="cellIs" dxfId="7723" priority="7561" stopIfTrue="1" operator="equal">
      <formula>"Fail"</formula>
    </cfRule>
    <cfRule type="cellIs" dxfId="7722" priority="7562" stopIfTrue="1" operator="equal">
      <formula>"Pass"</formula>
    </cfRule>
  </conditionalFormatting>
  <conditionalFormatting sqref="U1033:V1033">
    <cfRule type="cellIs" dxfId="7721" priority="7559" stopIfTrue="1" operator="equal">
      <formula>"Fail"</formula>
    </cfRule>
    <cfRule type="cellIs" dxfId="7720" priority="7560" stopIfTrue="1" operator="equal">
      <formula>"Pass"</formula>
    </cfRule>
  </conditionalFormatting>
  <conditionalFormatting sqref="F1033:G1033 K1033:N1033">
    <cfRule type="cellIs" dxfId="7719" priority="7557" stopIfTrue="1" operator="equal">
      <formula>"Pass"</formula>
    </cfRule>
    <cfRule type="cellIs" dxfId="7718" priority="7558" stopIfTrue="1" operator="equal">
      <formula>"Fail"</formula>
    </cfRule>
  </conditionalFormatting>
  <conditionalFormatting sqref="K1034:N1034">
    <cfRule type="cellIs" dxfId="7717" priority="7555" stopIfTrue="1" operator="equal">
      <formula>"Pass"</formula>
    </cfRule>
    <cfRule type="cellIs" dxfId="7716" priority="7556" stopIfTrue="1" operator="equal">
      <formula>"Fail"</formula>
    </cfRule>
  </conditionalFormatting>
  <conditionalFormatting sqref="U1033:V1033">
    <cfRule type="cellIs" dxfId="7715" priority="7553" stopIfTrue="1" operator="equal">
      <formula>"Fail"</formula>
    </cfRule>
    <cfRule type="cellIs" dxfId="7714" priority="7554" stopIfTrue="1" operator="equal">
      <formula>"Pass"</formula>
    </cfRule>
  </conditionalFormatting>
  <conditionalFormatting sqref="U1033:V1033">
    <cfRule type="cellIs" dxfId="7713" priority="7551" stopIfTrue="1" operator="equal">
      <formula>"Fail"</formula>
    </cfRule>
    <cfRule type="cellIs" dxfId="7712" priority="7552" stopIfTrue="1" operator="equal">
      <formula>"Pass"</formula>
    </cfRule>
  </conditionalFormatting>
  <conditionalFormatting sqref="U1033:V1033">
    <cfRule type="cellIs" dxfId="7711" priority="7549" stopIfTrue="1" operator="equal">
      <formula>"Fail"</formula>
    </cfRule>
    <cfRule type="cellIs" dxfId="7710" priority="7550" stopIfTrue="1" operator="equal">
      <formula>"Pass"</formula>
    </cfRule>
  </conditionalFormatting>
  <conditionalFormatting sqref="U1033:V1033">
    <cfRule type="cellIs" dxfId="7709" priority="7547" stopIfTrue="1" operator="equal">
      <formula>"Fail"</formula>
    </cfRule>
    <cfRule type="cellIs" dxfId="7708" priority="7548" stopIfTrue="1" operator="equal">
      <formula>"Pass"</formula>
    </cfRule>
  </conditionalFormatting>
  <conditionalFormatting sqref="A1033 A1030">
    <cfRule type="cellIs" dxfId="7707" priority="7545" stopIfTrue="1" operator="equal">
      <formula>"Pass"</formula>
    </cfRule>
    <cfRule type="cellIs" dxfId="7706" priority="7546" stopIfTrue="1" operator="equal">
      <formula>"Fail"</formula>
    </cfRule>
  </conditionalFormatting>
  <conditionalFormatting sqref="A1033 A1030">
    <cfRule type="cellIs" dxfId="7705" priority="7543" stopIfTrue="1" operator="equal">
      <formula>"Pass"</formula>
    </cfRule>
    <cfRule type="cellIs" dxfId="7704" priority="7544" stopIfTrue="1" operator="equal">
      <formula>"Fail"</formula>
    </cfRule>
  </conditionalFormatting>
  <conditionalFormatting sqref="A1033 A1030">
    <cfRule type="cellIs" dxfId="7703" priority="7541" stopIfTrue="1" operator="equal">
      <formula>"Pass"</formula>
    </cfRule>
    <cfRule type="cellIs" dxfId="7702" priority="7542" stopIfTrue="1" operator="equal">
      <formula>"Fail"</formula>
    </cfRule>
  </conditionalFormatting>
  <conditionalFormatting sqref="A1033 A1030">
    <cfRule type="cellIs" dxfId="7701" priority="7539" stopIfTrue="1" operator="equal">
      <formula>"Pass"</formula>
    </cfRule>
    <cfRule type="cellIs" dxfId="7700" priority="7540" stopIfTrue="1" operator="equal">
      <formula>"Fail"</formula>
    </cfRule>
  </conditionalFormatting>
  <conditionalFormatting sqref="A1033 A1030">
    <cfRule type="cellIs" dxfId="7699" priority="7537" stopIfTrue="1" operator="equal">
      <formula>"Pass"</formula>
    </cfRule>
    <cfRule type="cellIs" dxfId="7698" priority="7538" stopIfTrue="1" operator="equal">
      <formula>"Fail"</formula>
    </cfRule>
  </conditionalFormatting>
  <conditionalFormatting sqref="A1033 A1030">
    <cfRule type="cellIs" dxfId="7697" priority="7535" stopIfTrue="1" operator="equal">
      <formula>"Pass"</formula>
    </cfRule>
    <cfRule type="cellIs" dxfId="7696" priority="7536" stopIfTrue="1" operator="equal">
      <formula>"Fail"</formula>
    </cfRule>
  </conditionalFormatting>
  <conditionalFormatting sqref="A1033 A1030">
    <cfRule type="cellIs" dxfId="7695" priority="7533" stopIfTrue="1" operator="equal">
      <formula>"Pass"</formula>
    </cfRule>
    <cfRule type="cellIs" dxfId="7694" priority="7534" stopIfTrue="1" operator="equal">
      <formula>"Fail"</formula>
    </cfRule>
  </conditionalFormatting>
  <conditionalFormatting sqref="A1033 A1030">
    <cfRule type="cellIs" dxfId="7693" priority="7531" stopIfTrue="1" operator="equal">
      <formula>"Pass"</formula>
    </cfRule>
    <cfRule type="cellIs" dxfId="7692" priority="7532" stopIfTrue="1" operator="equal">
      <formula>"Fail"</formula>
    </cfRule>
  </conditionalFormatting>
  <conditionalFormatting sqref="A1033 A1030">
    <cfRule type="cellIs" dxfId="7691" priority="7529" stopIfTrue="1" operator="equal">
      <formula>"Pass"</formula>
    </cfRule>
    <cfRule type="cellIs" dxfId="7690" priority="7530" stopIfTrue="1" operator="equal">
      <formula>"Fail"</formula>
    </cfRule>
  </conditionalFormatting>
  <conditionalFormatting sqref="A1033 A1030">
    <cfRule type="cellIs" dxfId="7689" priority="7527" stopIfTrue="1" operator="equal">
      <formula>"Pass"</formula>
    </cfRule>
    <cfRule type="cellIs" dxfId="7688" priority="7528" stopIfTrue="1" operator="equal">
      <formula>"Fail"</formula>
    </cfRule>
  </conditionalFormatting>
  <conditionalFormatting sqref="A1033 A1030">
    <cfRule type="cellIs" dxfId="7687" priority="7525" stopIfTrue="1" operator="equal">
      <formula>"Pass"</formula>
    </cfRule>
    <cfRule type="cellIs" dxfId="7686" priority="7526" stopIfTrue="1" operator="equal">
      <formula>"Fail"</formula>
    </cfRule>
  </conditionalFormatting>
  <conditionalFormatting sqref="A1033 A1030">
    <cfRule type="cellIs" dxfId="7685" priority="7523" stopIfTrue="1" operator="equal">
      <formula>"Pass"</formula>
    </cfRule>
    <cfRule type="cellIs" dxfId="7684" priority="7524" stopIfTrue="1" operator="equal">
      <formula>"Fail"</formula>
    </cfRule>
  </conditionalFormatting>
  <conditionalFormatting sqref="A1033 A1030">
    <cfRule type="cellIs" dxfId="7683" priority="7521" stopIfTrue="1" operator="equal">
      <formula>"Pass"</formula>
    </cfRule>
    <cfRule type="cellIs" dxfId="7682" priority="7522" stopIfTrue="1" operator="equal">
      <formula>"Fail"</formula>
    </cfRule>
  </conditionalFormatting>
  <conditionalFormatting sqref="A1033 A1030">
    <cfRule type="cellIs" dxfId="7681" priority="7519" stopIfTrue="1" operator="equal">
      <formula>"Pass"</formula>
    </cfRule>
    <cfRule type="cellIs" dxfId="7680" priority="7520" stopIfTrue="1" operator="equal">
      <formula>"Fail"</formula>
    </cfRule>
  </conditionalFormatting>
  <conditionalFormatting sqref="A1033 A1030">
    <cfRule type="cellIs" dxfId="7679" priority="7517" stopIfTrue="1" operator="equal">
      <formula>"Pass"</formula>
    </cfRule>
    <cfRule type="cellIs" dxfId="7678" priority="7518" stopIfTrue="1" operator="equal">
      <formula>"Fail"</formula>
    </cfRule>
  </conditionalFormatting>
  <conditionalFormatting sqref="A1033 A1030">
    <cfRule type="cellIs" dxfId="7677" priority="7515" stopIfTrue="1" operator="equal">
      <formula>"Pass"</formula>
    </cfRule>
    <cfRule type="cellIs" dxfId="7676" priority="7516" stopIfTrue="1" operator="equal">
      <formula>"Fail"</formula>
    </cfRule>
  </conditionalFormatting>
  <conditionalFormatting sqref="A1033 A1030">
    <cfRule type="cellIs" dxfId="7675" priority="7513" stopIfTrue="1" operator="equal">
      <formula>"Pass"</formula>
    </cfRule>
    <cfRule type="cellIs" dxfId="7674" priority="7514" stopIfTrue="1" operator="equal">
      <formula>"Fail"</formula>
    </cfRule>
  </conditionalFormatting>
  <conditionalFormatting sqref="A1033 A1030">
    <cfRule type="cellIs" dxfId="7673" priority="7511" stopIfTrue="1" operator="equal">
      <formula>"Pass"</formula>
    </cfRule>
    <cfRule type="cellIs" dxfId="7672" priority="7512" stopIfTrue="1" operator="equal">
      <formula>"Fail"</formula>
    </cfRule>
  </conditionalFormatting>
  <conditionalFormatting sqref="U1033:V1033">
    <cfRule type="cellIs" dxfId="7671" priority="7509" stopIfTrue="1" operator="equal">
      <formula>"Fail"</formula>
    </cfRule>
    <cfRule type="cellIs" dxfId="7670" priority="7510" stopIfTrue="1" operator="equal">
      <formula>"Pass"</formula>
    </cfRule>
  </conditionalFormatting>
  <conditionalFormatting sqref="U1033:V1033">
    <cfRule type="cellIs" dxfId="7669" priority="7507" stopIfTrue="1" operator="equal">
      <formula>"Fail"</formula>
    </cfRule>
    <cfRule type="cellIs" dxfId="7668" priority="7508" stopIfTrue="1" operator="equal">
      <formula>"Pass"</formula>
    </cfRule>
  </conditionalFormatting>
  <conditionalFormatting sqref="U1033:V1033">
    <cfRule type="cellIs" dxfId="7667" priority="7505" stopIfTrue="1" operator="equal">
      <formula>"Fail"</formula>
    </cfRule>
    <cfRule type="cellIs" dxfId="7666" priority="7506" stopIfTrue="1" operator="equal">
      <formula>"Pass"</formula>
    </cfRule>
  </conditionalFormatting>
  <conditionalFormatting sqref="U1033:V1033">
    <cfRule type="cellIs" dxfId="7665" priority="7503" stopIfTrue="1" operator="equal">
      <formula>"Fail"</formula>
    </cfRule>
    <cfRule type="cellIs" dxfId="7664" priority="7504" stopIfTrue="1" operator="equal">
      <formula>"Pass"</formula>
    </cfRule>
  </conditionalFormatting>
  <conditionalFormatting sqref="A1036:A1038">
    <cfRule type="cellIs" dxfId="7663" priority="7501" stopIfTrue="1" operator="equal">
      <formula>"Pass"</formula>
    </cfRule>
    <cfRule type="cellIs" dxfId="7662" priority="7502" stopIfTrue="1" operator="equal">
      <formula>"Fail"</formula>
    </cfRule>
  </conditionalFormatting>
  <conditionalFormatting sqref="A1036:A1038">
    <cfRule type="cellIs" dxfId="7661" priority="7499" stopIfTrue="1" operator="equal">
      <formula>"Pass"</formula>
    </cfRule>
    <cfRule type="cellIs" dxfId="7660" priority="7500" stopIfTrue="1" operator="equal">
      <formula>"Fail"</formula>
    </cfRule>
  </conditionalFormatting>
  <conditionalFormatting sqref="A1036:A1038">
    <cfRule type="cellIs" dxfId="7659" priority="7497" stopIfTrue="1" operator="equal">
      <formula>"Pass"</formula>
    </cfRule>
    <cfRule type="cellIs" dxfId="7658" priority="7498" stopIfTrue="1" operator="equal">
      <formula>"Fail"</formula>
    </cfRule>
  </conditionalFormatting>
  <conditionalFormatting sqref="A1036:A1038">
    <cfRule type="cellIs" dxfId="7657" priority="7495" stopIfTrue="1" operator="equal">
      <formula>"Pass"</formula>
    </cfRule>
    <cfRule type="cellIs" dxfId="7656" priority="7496" stopIfTrue="1" operator="equal">
      <formula>"Fail"</formula>
    </cfRule>
  </conditionalFormatting>
  <conditionalFormatting sqref="A1036:A1038">
    <cfRule type="cellIs" dxfId="7655" priority="7493" stopIfTrue="1" operator="equal">
      <formula>"Pass"</formula>
    </cfRule>
    <cfRule type="cellIs" dxfId="7654" priority="7494" stopIfTrue="1" operator="equal">
      <formula>"Fail"</formula>
    </cfRule>
  </conditionalFormatting>
  <conditionalFormatting sqref="A1038">
    <cfRule type="cellIs" dxfId="7653" priority="7491" stopIfTrue="1" operator="equal">
      <formula>"Pass"</formula>
    </cfRule>
    <cfRule type="cellIs" dxfId="7652" priority="7492" stopIfTrue="1" operator="equal">
      <formula>"Fail"</formula>
    </cfRule>
  </conditionalFormatting>
  <conditionalFormatting sqref="A1036:A1038">
    <cfRule type="cellIs" dxfId="7651" priority="7489" stopIfTrue="1" operator="equal">
      <formula>"Pass"</formula>
    </cfRule>
    <cfRule type="cellIs" dxfId="7650" priority="7490" stopIfTrue="1" operator="equal">
      <formula>"Fail"</formula>
    </cfRule>
  </conditionalFormatting>
  <conditionalFormatting sqref="A1036:A1038">
    <cfRule type="cellIs" dxfId="7649" priority="7487" stopIfTrue="1" operator="equal">
      <formula>"Pass"</formula>
    </cfRule>
    <cfRule type="cellIs" dxfId="7648" priority="7488" stopIfTrue="1" operator="equal">
      <formula>"Fail"</formula>
    </cfRule>
  </conditionalFormatting>
  <conditionalFormatting sqref="A1036:A1038">
    <cfRule type="cellIs" dxfId="7647" priority="7485" stopIfTrue="1" operator="equal">
      <formula>"Pass"</formula>
    </cfRule>
    <cfRule type="cellIs" dxfId="7646" priority="7486" stopIfTrue="1" operator="equal">
      <formula>"Fail"</formula>
    </cfRule>
  </conditionalFormatting>
  <conditionalFormatting sqref="A1036:A1038">
    <cfRule type="cellIs" dxfId="7645" priority="7483" stopIfTrue="1" operator="equal">
      <formula>"Pass"</formula>
    </cfRule>
    <cfRule type="cellIs" dxfId="7644" priority="7484" stopIfTrue="1" operator="equal">
      <formula>"Fail"</formula>
    </cfRule>
  </conditionalFormatting>
  <conditionalFormatting sqref="A1036:A1038">
    <cfRule type="cellIs" dxfId="7643" priority="7481" stopIfTrue="1" operator="equal">
      <formula>"Pass"</formula>
    </cfRule>
    <cfRule type="cellIs" dxfId="7642" priority="7482" stopIfTrue="1" operator="equal">
      <formula>"Fail"</formula>
    </cfRule>
  </conditionalFormatting>
  <conditionalFormatting sqref="A1036:A1038">
    <cfRule type="cellIs" dxfId="7641" priority="7479" stopIfTrue="1" operator="equal">
      <formula>"Pass"</formula>
    </cfRule>
    <cfRule type="cellIs" dxfId="7640" priority="7480" stopIfTrue="1" operator="equal">
      <formula>"Fail"</formula>
    </cfRule>
  </conditionalFormatting>
  <conditionalFormatting sqref="A1038">
    <cfRule type="cellIs" dxfId="7639" priority="7477" stopIfTrue="1" operator="equal">
      <formula>"Pass"</formula>
    </cfRule>
    <cfRule type="cellIs" dxfId="7638" priority="7478" stopIfTrue="1" operator="equal">
      <formula>"Fail"</formula>
    </cfRule>
  </conditionalFormatting>
  <conditionalFormatting sqref="A1036:A1038">
    <cfRule type="cellIs" dxfId="7637" priority="7475" stopIfTrue="1" operator="equal">
      <formula>"Pass"</formula>
    </cfRule>
    <cfRule type="cellIs" dxfId="7636" priority="7476" stopIfTrue="1" operator="equal">
      <formula>"Fail"</formula>
    </cfRule>
  </conditionalFormatting>
  <conditionalFormatting sqref="A1036:A1038">
    <cfRule type="cellIs" dxfId="7635" priority="7473" stopIfTrue="1" operator="equal">
      <formula>"Pass"</formula>
    </cfRule>
    <cfRule type="cellIs" dxfId="7634" priority="7474" stopIfTrue="1" operator="equal">
      <formula>"Fail"</formula>
    </cfRule>
  </conditionalFormatting>
  <conditionalFormatting sqref="A1036:A1038">
    <cfRule type="cellIs" dxfId="7633" priority="7471" stopIfTrue="1" operator="equal">
      <formula>"Pass"</formula>
    </cfRule>
    <cfRule type="cellIs" dxfId="7632" priority="7472" stopIfTrue="1" operator="equal">
      <formula>"Fail"</formula>
    </cfRule>
  </conditionalFormatting>
  <conditionalFormatting sqref="A1036:A1038">
    <cfRule type="cellIs" dxfId="7631" priority="7469" stopIfTrue="1" operator="equal">
      <formula>"Pass"</formula>
    </cfRule>
    <cfRule type="cellIs" dxfId="7630" priority="7470" stopIfTrue="1" operator="equal">
      <formula>"Fail"</formula>
    </cfRule>
  </conditionalFormatting>
  <conditionalFormatting sqref="A1036:A1038">
    <cfRule type="cellIs" dxfId="7629" priority="7467" stopIfTrue="1" operator="equal">
      <formula>"Pass"</formula>
    </cfRule>
    <cfRule type="cellIs" dxfId="7628" priority="7468" stopIfTrue="1" operator="equal">
      <formula>"Fail"</formula>
    </cfRule>
  </conditionalFormatting>
  <conditionalFormatting sqref="A1036:A1038">
    <cfRule type="cellIs" dxfId="7627" priority="7465" stopIfTrue="1" operator="equal">
      <formula>"Pass"</formula>
    </cfRule>
    <cfRule type="cellIs" dxfId="7626" priority="7466" stopIfTrue="1" operator="equal">
      <formula>"Fail"</formula>
    </cfRule>
  </conditionalFormatting>
  <conditionalFormatting sqref="A1038">
    <cfRule type="cellIs" dxfId="7625" priority="7463" stopIfTrue="1" operator="equal">
      <formula>"Pass"</formula>
    </cfRule>
    <cfRule type="cellIs" dxfId="7624" priority="7464" stopIfTrue="1" operator="equal">
      <formula>"Fail"</formula>
    </cfRule>
  </conditionalFormatting>
  <conditionalFormatting sqref="A1036:A1038">
    <cfRule type="cellIs" dxfId="7623" priority="7461" stopIfTrue="1" operator="equal">
      <formula>"Pass"</formula>
    </cfRule>
    <cfRule type="cellIs" dxfId="7622" priority="7462" stopIfTrue="1" operator="equal">
      <formula>"Fail"</formula>
    </cfRule>
  </conditionalFormatting>
  <conditionalFormatting sqref="A1036:A1038">
    <cfRule type="cellIs" dxfId="7621" priority="7459" stopIfTrue="1" operator="equal">
      <formula>"Pass"</formula>
    </cfRule>
    <cfRule type="cellIs" dxfId="7620" priority="7460" stopIfTrue="1" operator="equal">
      <formula>"Fail"</formula>
    </cfRule>
  </conditionalFormatting>
  <conditionalFormatting sqref="A1036:A1038">
    <cfRule type="cellIs" dxfId="7619" priority="7457" stopIfTrue="1" operator="equal">
      <formula>"Pass"</formula>
    </cfRule>
    <cfRule type="cellIs" dxfId="7618" priority="7458" stopIfTrue="1" operator="equal">
      <formula>"Fail"</formula>
    </cfRule>
  </conditionalFormatting>
  <conditionalFormatting sqref="A1036:A1038">
    <cfRule type="cellIs" dxfId="7617" priority="7455" stopIfTrue="1" operator="equal">
      <formula>"Pass"</formula>
    </cfRule>
    <cfRule type="cellIs" dxfId="7616" priority="7456" stopIfTrue="1" operator="equal">
      <formula>"Fail"</formula>
    </cfRule>
  </conditionalFormatting>
  <conditionalFormatting sqref="A1036:A1038">
    <cfRule type="cellIs" dxfId="7615" priority="7453" stopIfTrue="1" operator="equal">
      <formula>"Pass"</formula>
    </cfRule>
    <cfRule type="cellIs" dxfId="7614" priority="7454" stopIfTrue="1" operator="equal">
      <formula>"Fail"</formula>
    </cfRule>
  </conditionalFormatting>
  <conditionalFormatting sqref="A1036:A1038">
    <cfRule type="cellIs" dxfId="7613" priority="7451" stopIfTrue="1" operator="equal">
      <formula>"Pass"</formula>
    </cfRule>
    <cfRule type="cellIs" dxfId="7612" priority="7452" stopIfTrue="1" operator="equal">
      <formula>"Fail"</formula>
    </cfRule>
  </conditionalFormatting>
  <conditionalFormatting sqref="A1038">
    <cfRule type="cellIs" dxfId="7611" priority="7449" stopIfTrue="1" operator="equal">
      <formula>"Pass"</formula>
    </cfRule>
    <cfRule type="cellIs" dxfId="7610" priority="7450" stopIfTrue="1" operator="equal">
      <formula>"Fail"</formula>
    </cfRule>
  </conditionalFormatting>
  <conditionalFormatting sqref="A1036:A1038">
    <cfRule type="cellIs" dxfId="7609" priority="7447" stopIfTrue="1" operator="equal">
      <formula>"Pass"</formula>
    </cfRule>
    <cfRule type="cellIs" dxfId="7608" priority="7448" stopIfTrue="1" operator="equal">
      <formula>"Fail"</formula>
    </cfRule>
  </conditionalFormatting>
  <conditionalFormatting sqref="A1036:A1038">
    <cfRule type="cellIs" dxfId="7607" priority="7445" stopIfTrue="1" operator="equal">
      <formula>"Pass"</formula>
    </cfRule>
    <cfRule type="cellIs" dxfId="7606" priority="7446" stopIfTrue="1" operator="equal">
      <formula>"Fail"</formula>
    </cfRule>
  </conditionalFormatting>
  <conditionalFormatting sqref="A1036:A1038">
    <cfRule type="cellIs" dxfId="7605" priority="7443" stopIfTrue="1" operator="equal">
      <formula>"Pass"</formula>
    </cfRule>
    <cfRule type="cellIs" dxfId="7604" priority="7444" stopIfTrue="1" operator="equal">
      <formula>"Fail"</formula>
    </cfRule>
  </conditionalFormatting>
  <conditionalFormatting sqref="A1036:A1038">
    <cfRule type="cellIs" dxfId="7603" priority="7441" stopIfTrue="1" operator="equal">
      <formula>"Pass"</formula>
    </cfRule>
    <cfRule type="cellIs" dxfId="7602" priority="7442" stopIfTrue="1" operator="equal">
      <formula>"Fail"</formula>
    </cfRule>
  </conditionalFormatting>
  <conditionalFormatting sqref="A1036:A1038">
    <cfRule type="cellIs" dxfId="7601" priority="7439" stopIfTrue="1" operator="equal">
      <formula>"Pass"</formula>
    </cfRule>
    <cfRule type="cellIs" dxfId="7600" priority="7440" stopIfTrue="1" operator="equal">
      <formula>"Fail"</formula>
    </cfRule>
  </conditionalFormatting>
  <conditionalFormatting sqref="A1036:A1038">
    <cfRule type="cellIs" dxfId="7599" priority="7437" stopIfTrue="1" operator="equal">
      <formula>"Pass"</formula>
    </cfRule>
    <cfRule type="cellIs" dxfId="7598" priority="7438" stopIfTrue="1" operator="equal">
      <formula>"Fail"</formula>
    </cfRule>
  </conditionalFormatting>
  <conditionalFormatting sqref="A1038">
    <cfRule type="cellIs" dxfId="7597" priority="7435" stopIfTrue="1" operator="equal">
      <formula>"Pass"</formula>
    </cfRule>
    <cfRule type="cellIs" dxfId="7596" priority="7436" stopIfTrue="1" operator="equal">
      <formula>"Fail"</formula>
    </cfRule>
  </conditionalFormatting>
  <conditionalFormatting sqref="A1036:A1038">
    <cfRule type="cellIs" dxfId="7595" priority="7433" stopIfTrue="1" operator="equal">
      <formula>"Pass"</formula>
    </cfRule>
    <cfRule type="cellIs" dxfId="7594" priority="7434" stopIfTrue="1" operator="equal">
      <formula>"Fail"</formula>
    </cfRule>
  </conditionalFormatting>
  <conditionalFormatting sqref="A1036:A1038">
    <cfRule type="cellIs" dxfId="7593" priority="7431" stopIfTrue="1" operator="equal">
      <formula>"Pass"</formula>
    </cfRule>
    <cfRule type="cellIs" dxfId="7592" priority="7432" stopIfTrue="1" operator="equal">
      <formula>"Fail"</formula>
    </cfRule>
  </conditionalFormatting>
  <conditionalFormatting sqref="A1036:A1038">
    <cfRule type="cellIs" dxfId="7591" priority="7429" stopIfTrue="1" operator="equal">
      <formula>"Pass"</formula>
    </cfRule>
    <cfRule type="cellIs" dxfId="7590" priority="7430" stopIfTrue="1" operator="equal">
      <formula>"Fail"</formula>
    </cfRule>
  </conditionalFormatting>
  <conditionalFormatting sqref="A1036:A1038">
    <cfRule type="cellIs" dxfId="7589" priority="7427" stopIfTrue="1" operator="equal">
      <formula>"Pass"</formula>
    </cfRule>
    <cfRule type="cellIs" dxfId="7588" priority="7428" stopIfTrue="1" operator="equal">
      <formula>"Fail"</formula>
    </cfRule>
  </conditionalFormatting>
  <conditionalFormatting sqref="A1036:A1038">
    <cfRule type="cellIs" dxfId="7587" priority="7425" stopIfTrue="1" operator="equal">
      <formula>"Pass"</formula>
    </cfRule>
    <cfRule type="cellIs" dxfId="7586" priority="7426" stopIfTrue="1" operator="equal">
      <formula>"Fail"</formula>
    </cfRule>
  </conditionalFormatting>
  <conditionalFormatting sqref="A1036:A1038">
    <cfRule type="cellIs" dxfId="7585" priority="7423" stopIfTrue="1" operator="equal">
      <formula>"Pass"</formula>
    </cfRule>
    <cfRule type="cellIs" dxfId="7584" priority="7424" stopIfTrue="1" operator="equal">
      <formula>"Fail"</formula>
    </cfRule>
  </conditionalFormatting>
  <conditionalFormatting sqref="A1038">
    <cfRule type="cellIs" dxfId="7583" priority="7421" stopIfTrue="1" operator="equal">
      <formula>"Pass"</formula>
    </cfRule>
    <cfRule type="cellIs" dxfId="7582" priority="7422" stopIfTrue="1" operator="equal">
      <formula>"Fail"</formula>
    </cfRule>
  </conditionalFormatting>
  <conditionalFormatting sqref="A1036:A1038">
    <cfRule type="cellIs" dxfId="7581" priority="7419" stopIfTrue="1" operator="equal">
      <formula>"Pass"</formula>
    </cfRule>
    <cfRule type="cellIs" dxfId="7580" priority="7420" stopIfTrue="1" operator="equal">
      <formula>"Fail"</formula>
    </cfRule>
  </conditionalFormatting>
  <conditionalFormatting sqref="A1036">
    <cfRule type="cellIs" dxfId="7579" priority="7417" stopIfTrue="1" operator="equal">
      <formula>"Pass"</formula>
    </cfRule>
    <cfRule type="cellIs" dxfId="7578" priority="7418" stopIfTrue="1" operator="equal">
      <formula>"Fail"</formula>
    </cfRule>
  </conditionalFormatting>
  <conditionalFormatting sqref="A1036">
    <cfRule type="cellIs" dxfId="7577" priority="7415" stopIfTrue="1" operator="equal">
      <formula>"Pass"</formula>
    </cfRule>
    <cfRule type="cellIs" dxfId="7576" priority="7416" stopIfTrue="1" operator="equal">
      <formula>"Fail"</formula>
    </cfRule>
  </conditionalFormatting>
  <conditionalFormatting sqref="A1036">
    <cfRule type="cellIs" dxfId="7575" priority="7413" stopIfTrue="1" operator="equal">
      <formula>"Pass"</formula>
    </cfRule>
    <cfRule type="cellIs" dxfId="7574" priority="7414" stopIfTrue="1" operator="equal">
      <formula>"Fail"</formula>
    </cfRule>
  </conditionalFormatting>
  <conditionalFormatting sqref="A1036">
    <cfRule type="cellIs" dxfId="7573" priority="7411" stopIfTrue="1" operator="equal">
      <formula>"Pass"</formula>
    </cfRule>
    <cfRule type="cellIs" dxfId="7572" priority="7412" stopIfTrue="1" operator="equal">
      <formula>"Fail"</formula>
    </cfRule>
  </conditionalFormatting>
  <conditionalFormatting sqref="A1036">
    <cfRule type="cellIs" dxfId="7571" priority="7409" stopIfTrue="1" operator="equal">
      <formula>"Pass"</formula>
    </cfRule>
    <cfRule type="cellIs" dxfId="7570" priority="7410" stopIfTrue="1" operator="equal">
      <formula>"Fail"</formula>
    </cfRule>
  </conditionalFormatting>
  <conditionalFormatting sqref="A1036">
    <cfRule type="cellIs" dxfId="7569" priority="7407" stopIfTrue="1" operator="equal">
      <formula>"Pass"</formula>
    </cfRule>
    <cfRule type="cellIs" dxfId="7568" priority="7408" stopIfTrue="1" operator="equal">
      <formula>"Fail"</formula>
    </cfRule>
  </conditionalFormatting>
  <conditionalFormatting sqref="H1036:H1037">
    <cfRule type="cellIs" dxfId="7567" priority="7405" stopIfTrue="1" operator="equal">
      <formula>"Pass"</formula>
    </cfRule>
    <cfRule type="cellIs" dxfId="7566" priority="7406" stopIfTrue="1" operator="equal">
      <formula>"Fail"</formula>
    </cfRule>
  </conditionalFormatting>
  <conditionalFormatting sqref="E1036:F1036 E1038:F1038 A1036 I1036:M1037">
    <cfRule type="cellIs" dxfId="7565" priority="7403" stopIfTrue="1" operator="equal">
      <formula>"Pass"</formula>
    </cfRule>
    <cfRule type="cellIs" dxfId="7564" priority="7404" stopIfTrue="1" operator="equal">
      <formula>"Fail"</formula>
    </cfRule>
  </conditionalFormatting>
  <conditionalFormatting sqref="T1038 T1036 R1036:R1038 S1037:S1038">
    <cfRule type="cellIs" dxfId="7563" priority="7401" stopIfTrue="1" operator="equal">
      <formula>"Fail"</formula>
    </cfRule>
    <cfRule type="cellIs" dxfId="7562" priority="7402" stopIfTrue="1" operator="equal">
      <formula>"Pass"</formula>
    </cfRule>
  </conditionalFormatting>
  <conditionalFormatting sqref="F1036:G1036 F1038:G1038 B1036:B1038 A1036 J1036:N1037">
    <cfRule type="cellIs" dxfId="7561" priority="7399" stopIfTrue="1" operator="equal">
      <formula>"Pass"</formula>
    </cfRule>
    <cfRule type="cellIs" dxfId="7560" priority="7400" stopIfTrue="1" operator="equal">
      <formula>"Fail"</formula>
    </cfRule>
  </conditionalFormatting>
  <conditionalFormatting sqref="U1038:V1038 T1036:T1038 S1037:S1038">
    <cfRule type="cellIs" dxfId="7559" priority="7397" stopIfTrue="1" operator="equal">
      <formula>"Fail"</formula>
    </cfRule>
    <cfRule type="cellIs" dxfId="7558" priority="7398" stopIfTrue="1" operator="equal">
      <formula>"Pass"</formula>
    </cfRule>
  </conditionalFormatting>
  <conditionalFormatting sqref="A1036">
    <cfRule type="cellIs" dxfId="7557" priority="7395" stopIfTrue="1" operator="equal">
      <formula>"Pass"</formula>
    </cfRule>
    <cfRule type="cellIs" dxfId="7556" priority="7396" stopIfTrue="1" operator="equal">
      <formula>"Fail"</formula>
    </cfRule>
  </conditionalFormatting>
  <conditionalFormatting sqref="A1036">
    <cfRule type="cellIs" dxfId="7555" priority="7393" stopIfTrue="1" operator="equal">
      <formula>"Pass"</formula>
    </cfRule>
    <cfRule type="cellIs" dxfId="7554" priority="7394" stopIfTrue="1" operator="equal">
      <formula>"Fail"</formula>
    </cfRule>
  </conditionalFormatting>
  <conditionalFormatting sqref="A1036">
    <cfRule type="cellIs" dxfId="7553" priority="7391" stopIfTrue="1" operator="equal">
      <formula>"Pass"</formula>
    </cfRule>
    <cfRule type="cellIs" dxfId="7552" priority="7392" stopIfTrue="1" operator="equal">
      <formula>"Fail"</formula>
    </cfRule>
  </conditionalFormatting>
  <conditionalFormatting sqref="A1036">
    <cfRule type="cellIs" dxfId="7551" priority="7389" stopIfTrue="1" operator="equal">
      <formula>"Pass"</formula>
    </cfRule>
    <cfRule type="cellIs" dxfId="7550" priority="7390" stopIfTrue="1" operator="equal">
      <formula>"Fail"</formula>
    </cfRule>
  </conditionalFormatting>
  <conditionalFormatting sqref="A1036">
    <cfRule type="cellIs" dxfId="7549" priority="7387" stopIfTrue="1" operator="equal">
      <formula>"Pass"</formula>
    </cfRule>
    <cfRule type="cellIs" dxfId="7548" priority="7388" stopIfTrue="1" operator="equal">
      <formula>"Fail"</formula>
    </cfRule>
  </conditionalFormatting>
  <conditionalFormatting sqref="A1036">
    <cfRule type="cellIs" dxfId="7547" priority="7385" stopIfTrue="1" operator="equal">
      <formula>"Pass"</formula>
    </cfRule>
    <cfRule type="cellIs" dxfId="7546" priority="7386" stopIfTrue="1" operator="equal">
      <formula>"Fail"</formula>
    </cfRule>
  </conditionalFormatting>
  <conditionalFormatting sqref="A1036">
    <cfRule type="cellIs" dxfId="7545" priority="7383" stopIfTrue="1" operator="equal">
      <formula>"Pass"</formula>
    </cfRule>
    <cfRule type="cellIs" dxfId="7544" priority="7384" stopIfTrue="1" operator="equal">
      <formula>"Fail"</formula>
    </cfRule>
  </conditionalFormatting>
  <conditionalFormatting sqref="A1036">
    <cfRule type="cellIs" dxfId="7543" priority="7381" stopIfTrue="1" operator="equal">
      <formula>"Pass"</formula>
    </cfRule>
    <cfRule type="cellIs" dxfId="7542" priority="7382" stopIfTrue="1" operator="equal">
      <formula>"Fail"</formula>
    </cfRule>
  </conditionalFormatting>
  <conditionalFormatting sqref="A1036">
    <cfRule type="cellIs" dxfId="7541" priority="7379" stopIfTrue="1" operator="equal">
      <formula>"Pass"</formula>
    </cfRule>
    <cfRule type="cellIs" dxfId="7540" priority="7380" stopIfTrue="1" operator="equal">
      <formula>"Fail"</formula>
    </cfRule>
  </conditionalFormatting>
  <conditionalFormatting sqref="A1036">
    <cfRule type="cellIs" dxfId="7539" priority="7377" stopIfTrue="1" operator="equal">
      <formula>"Pass"</formula>
    </cfRule>
    <cfRule type="cellIs" dxfId="7538" priority="7378" stopIfTrue="1" operator="equal">
      <formula>"Fail"</formula>
    </cfRule>
  </conditionalFormatting>
  <conditionalFormatting sqref="U1036:V1036">
    <cfRule type="cellIs" dxfId="7537" priority="7375" stopIfTrue="1" operator="equal">
      <formula>"Fail"</formula>
    </cfRule>
    <cfRule type="cellIs" dxfId="7536" priority="7376" stopIfTrue="1" operator="equal">
      <formula>"Pass"</formula>
    </cfRule>
  </conditionalFormatting>
  <conditionalFormatting sqref="F1036:G1036 J1036:N1036">
    <cfRule type="cellIs" dxfId="7535" priority="7373" stopIfTrue="1" operator="equal">
      <formula>"Pass"</formula>
    </cfRule>
    <cfRule type="cellIs" dxfId="7534" priority="7374" stopIfTrue="1" operator="equal">
      <formula>"Fail"</formula>
    </cfRule>
  </conditionalFormatting>
  <conditionalFormatting sqref="J1037:N1037">
    <cfRule type="cellIs" dxfId="7533" priority="7371" stopIfTrue="1" operator="equal">
      <formula>"Pass"</formula>
    </cfRule>
    <cfRule type="cellIs" dxfId="7532" priority="7372" stopIfTrue="1" operator="equal">
      <formula>"Fail"</formula>
    </cfRule>
  </conditionalFormatting>
  <conditionalFormatting sqref="A1036">
    <cfRule type="cellIs" dxfId="7531" priority="7369" stopIfTrue="1" operator="equal">
      <formula>"Pass"</formula>
    </cfRule>
    <cfRule type="cellIs" dxfId="7530" priority="7370" stopIfTrue="1" operator="equal">
      <formula>"Fail"</formula>
    </cfRule>
  </conditionalFormatting>
  <conditionalFormatting sqref="A1036">
    <cfRule type="cellIs" dxfId="7529" priority="7367" stopIfTrue="1" operator="equal">
      <formula>"Pass"</formula>
    </cfRule>
    <cfRule type="cellIs" dxfId="7528" priority="7368" stopIfTrue="1" operator="equal">
      <formula>"Fail"</formula>
    </cfRule>
  </conditionalFormatting>
  <conditionalFormatting sqref="A1036">
    <cfRule type="cellIs" dxfId="7527" priority="7365" stopIfTrue="1" operator="equal">
      <formula>"Pass"</formula>
    </cfRule>
    <cfRule type="cellIs" dxfId="7526" priority="7366" stopIfTrue="1" operator="equal">
      <formula>"Fail"</formula>
    </cfRule>
  </conditionalFormatting>
  <conditionalFormatting sqref="A1036">
    <cfRule type="cellIs" dxfId="7525" priority="7363" stopIfTrue="1" operator="equal">
      <formula>"Pass"</formula>
    </cfRule>
    <cfRule type="cellIs" dxfId="7524" priority="7364" stopIfTrue="1" operator="equal">
      <formula>"Fail"</formula>
    </cfRule>
  </conditionalFormatting>
  <conditionalFormatting sqref="A1036">
    <cfRule type="cellIs" dxfId="7523" priority="7361" stopIfTrue="1" operator="equal">
      <formula>"Pass"</formula>
    </cfRule>
    <cfRule type="cellIs" dxfId="7522" priority="7362" stopIfTrue="1" operator="equal">
      <formula>"Fail"</formula>
    </cfRule>
  </conditionalFormatting>
  <conditionalFormatting sqref="A1036">
    <cfRule type="cellIs" dxfId="7521" priority="7359" stopIfTrue="1" operator="equal">
      <formula>"Pass"</formula>
    </cfRule>
    <cfRule type="cellIs" dxfId="7520" priority="7360" stopIfTrue="1" operator="equal">
      <formula>"Fail"</formula>
    </cfRule>
  </conditionalFormatting>
  <conditionalFormatting sqref="A1036">
    <cfRule type="cellIs" dxfId="7519" priority="7357" stopIfTrue="1" operator="equal">
      <formula>"Pass"</formula>
    </cfRule>
    <cfRule type="cellIs" dxfId="7518" priority="7358" stopIfTrue="1" operator="equal">
      <formula>"Fail"</formula>
    </cfRule>
  </conditionalFormatting>
  <conditionalFormatting sqref="A1036">
    <cfRule type="cellIs" dxfId="7517" priority="7355" stopIfTrue="1" operator="equal">
      <formula>"Pass"</formula>
    </cfRule>
    <cfRule type="cellIs" dxfId="7516" priority="7356" stopIfTrue="1" operator="equal">
      <formula>"Fail"</formula>
    </cfRule>
  </conditionalFormatting>
  <conditionalFormatting sqref="A1036">
    <cfRule type="cellIs" dxfId="7515" priority="7353" stopIfTrue="1" operator="equal">
      <formula>"Pass"</formula>
    </cfRule>
    <cfRule type="cellIs" dxfId="7514" priority="7354" stopIfTrue="1" operator="equal">
      <formula>"Fail"</formula>
    </cfRule>
  </conditionalFormatting>
  <conditionalFormatting sqref="A1036">
    <cfRule type="cellIs" dxfId="7513" priority="7351" stopIfTrue="1" operator="equal">
      <formula>"Pass"</formula>
    </cfRule>
    <cfRule type="cellIs" dxfId="7512" priority="7352" stopIfTrue="1" operator="equal">
      <formula>"Fail"</formula>
    </cfRule>
  </conditionalFormatting>
  <conditionalFormatting sqref="A1036">
    <cfRule type="cellIs" dxfId="7511" priority="7349" stopIfTrue="1" operator="equal">
      <formula>"Pass"</formula>
    </cfRule>
    <cfRule type="cellIs" dxfId="7510" priority="7350" stopIfTrue="1" operator="equal">
      <formula>"Fail"</formula>
    </cfRule>
  </conditionalFormatting>
  <conditionalFormatting sqref="A1036">
    <cfRule type="cellIs" dxfId="7509" priority="7347" stopIfTrue="1" operator="equal">
      <formula>"Pass"</formula>
    </cfRule>
    <cfRule type="cellIs" dxfId="7508" priority="7348" stopIfTrue="1" operator="equal">
      <formula>"Fail"</formula>
    </cfRule>
  </conditionalFormatting>
  <conditionalFormatting sqref="H1036:H1037">
    <cfRule type="cellIs" dxfId="7507" priority="7345" stopIfTrue="1" operator="equal">
      <formula>"Pass"</formula>
    </cfRule>
    <cfRule type="cellIs" dxfId="7506" priority="7346" stopIfTrue="1" operator="equal">
      <formula>"Fail"</formula>
    </cfRule>
  </conditionalFormatting>
  <conditionalFormatting sqref="F1036 F1038 I1036:M1037">
    <cfRule type="cellIs" dxfId="7505" priority="7343" stopIfTrue="1" operator="equal">
      <formula>"Pass"</formula>
    </cfRule>
    <cfRule type="cellIs" dxfId="7504" priority="7344" stopIfTrue="1" operator="equal">
      <formula>"Fail"</formula>
    </cfRule>
  </conditionalFormatting>
  <conditionalFormatting sqref="T1038 T1036 R1036:R1038 S1037:S1038">
    <cfRule type="cellIs" dxfId="7503" priority="7341" stopIfTrue="1" operator="equal">
      <formula>"Fail"</formula>
    </cfRule>
    <cfRule type="cellIs" dxfId="7502" priority="7342" stopIfTrue="1" operator="equal">
      <formula>"Pass"</formula>
    </cfRule>
  </conditionalFormatting>
  <conditionalFormatting sqref="F1036:G1036 F1038:G1038 J1036:N1037">
    <cfRule type="cellIs" dxfId="7501" priority="7339" stopIfTrue="1" operator="equal">
      <formula>"Pass"</formula>
    </cfRule>
    <cfRule type="cellIs" dxfId="7500" priority="7340" stopIfTrue="1" operator="equal">
      <formula>"Fail"</formula>
    </cfRule>
  </conditionalFormatting>
  <conditionalFormatting sqref="U1038:V1038 T1036:T1038 S1037:S1038">
    <cfRule type="cellIs" dxfId="7499" priority="7337" stopIfTrue="1" operator="equal">
      <formula>"Fail"</formula>
    </cfRule>
    <cfRule type="cellIs" dxfId="7498" priority="7338" stopIfTrue="1" operator="equal">
      <formula>"Pass"</formula>
    </cfRule>
  </conditionalFormatting>
  <conditionalFormatting sqref="U1036:V1036">
    <cfRule type="cellIs" dxfId="7497" priority="7335" stopIfTrue="1" operator="equal">
      <formula>"Fail"</formula>
    </cfRule>
    <cfRule type="cellIs" dxfId="7496" priority="7336" stopIfTrue="1" operator="equal">
      <formula>"Pass"</formula>
    </cfRule>
  </conditionalFormatting>
  <conditionalFormatting sqref="F1036:G1036 J1036:N1036">
    <cfRule type="cellIs" dxfId="7495" priority="7333" stopIfTrue="1" operator="equal">
      <formula>"Pass"</formula>
    </cfRule>
    <cfRule type="cellIs" dxfId="7494" priority="7334" stopIfTrue="1" operator="equal">
      <formula>"Fail"</formula>
    </cfRule>
  </conditionalFormatting>
  <conditionalFormatting sqref="J1037:N1037">
    <cfRule type="cellIs" dxfId="7493" priority="7331" stopIfTrue="1" operator="equal">
      <formula>"Pass"</formula>
    </cfRule>
    <cfRule type="cellIs" dxfId="7492" priority="7332" stopIfTrue="1" operator="equal">
      <formula>"Fail"</formula>
    </cfRule>
  </conditionalFormatting>
  <conditionalFormatting sqref="H1036:H1037">
    <cfRule type="cellIs" dxfId="7491" priority="7329" stopIfTrue="1" operator="equal">
      <formula>"Pass"</formula>
    </cfRule>
    <cfRule type="cellIs" dxfId="7490" priority="7330" stopIfTrue="1" operator="equal">
      <formula>"Fail"</formula>
    </cfRule>
  </conditionalFormatting>
  <conditionalFormatting sqref="F1036 F1038 I1036:M1037">
    <cfRule type="cellIs" dxfId="7489" priority="7327" stopIfTrue="1" operator="equal">
      <formula>"Pass"</formula>
    </cfRule>
    <cfRule type="cellIs" dxfId="7488" priority="7328" stopIfTrue="1" operator="equal">
      <formula>"Fail"</formula>
    </cfRule>
  </conditionalFormatting>
  <conditionalFormatting sqref="T1038 T1036 R1036:R1038 S1037:S1038">
    <cfRule type="cellIs" dxfId="7487" priority="7325" stopIfTrue="1" operator="equal">
      <formula>"Fail"</formula>
    </cfRule>
    <cfRule type="cellIs" dxfId="7486" priority="7326" stopIfTrue="1" operator="equal">
      <formula>"Pass"</formula>
    </cfRule>
  </conditionalFormatting>
  <conditionalFormatting sqref="F1036:G1036 F1038:G1038 J1036:N1037">
    <cfRule type="cellIs" dxfId="7485" priority="7323" stopIfTrue="1" operator="equal">
      <formula>"Pass"</formula>
    </cfRule>
    <cfRule type="cellIs" dxfId="7484" priority="7324" stopIfTrue="1" operator="equal">
      <formula>"Fail"</formula>
    </cfRule>
  </conditionalFormatting>
  <conditionalFormatting sqref="U1038:V1038 T1036:T1038 S1037:S1038">
    <cfRule type="cellIs" dxfId="7483" priority="7321" stopIfTrue="1" operator="equal">
      <formula>"Fail"</formula>
    </cfRule>
    <cfRule type="cellIs" dxfId="7482" priority="7322" stopIfTrue="1" operator="equal">
      <formula>"Pass"</formula>
    </cfRule>
  </conditionalFormatting>
  <conditionalFormatting sqref="U1036:V1036">
    <cfRule type="cellIs" dxfId="7481" priority="7319" stopIfTrue="1" operator="equal">
      <formula>"Fail"</formula>
    </cfRule>
    <cfRule type="cellIs" dxfId="7480" priority="7320" stopIfTrue="1" operator="equal">
      <formula>"Pass"</formula>
    </cfRule>
  </conditionalFormatting>
  <conditionalFormatting sqref="F1036:G1036 J1036:N1036">
    <cfRule type="cellIs" dxfId="7479" priority="7317" stopIfTrue="1" operator="equal">
      <formula>"Pass"</formula>
    </cfRule>
    <cfRule type="cellIs" dxfId="7478" priority="7318" stopIfTrue="1" operator="equal">
      <formula>"Fail"</formula>
    </cfRule>
  </conditionalFormatting>
  <conditionalFormatting sqref="J1037:N1037">
    <cfRule type="cellIs" dxfId="7477" priority="7315" stopIfTrue="1" operator="equal">
      <formula>"Pass"</formula>
    </cfRule>
    <cfRule type="cellIs" dxfId="7476" priority="7316" stopIfTrue="1" operator="equal">
      <formula>"Fail"</formula>
    </cfRule>
  </conditionalFormatting>
  <conditionalFormatting sqref="U1036:V1036">
    <cfRule type="cellIs" dxfId="7475" priority="7313" stopIfTrue="1" operator="equal">
      <formula>"Fail"</formula>
    </cfRule>
    <cfRule type="cellIs" dxfId="7474" priority="7314" stopIfTrue="1" operator="equal">
      <formula>"Pass"</formula>
    </cfRule>
  </conditionalFormatting>
  <conditionalFormatting sqref="U1036:V1036">
    <cfRule type="cellIs" dxfId="7473" priority="7311" stopIfTrue="1" operator="equal">
      <formula>"Fail"</formula>
    </cfRule>
    <cfRule type="cellIs" dxfId="7472" priority="7312" stopIfTrue="1" operator="equal">
      <formula>"Pass"</formula>
    </cfRule>
  </conditionalFormatting>
  <conditionalFormatting sqref="U1036:V1036">
    <cfRule type="cellIs" dxfId="7471" priority="7309" stopIfTrue="1" operator="equal">
      <formula>"Fail"</formula>
    </cfRule>
    <cfRule type="cellIs" dxfId="7470" priority="7310" stopIfTrue="1" operator="equal">
      <formula>"Pass"</formula>
    </cfRule>
  </conditionalFormatting>
  <conditionalFormatting sqref="N1036">
    <cfRule type="cellIs" dxfId="7469" priority="7307" stopIfTrue="1" operator="equal">
      <formula>"Pass"</formula>
    </cfRule>
    <cfRule type="cellIs" dxfId="7468" priority="7308" stopIfTrue="1" operator="equal">
      <formula>"Fail"</formula>
    </cfRule>
  </conditionalFormatting>
  <conditionalFormatting sqref="N1036">
    <cfRule type="cellIs" dxfId="7467" priority="7305" stopIfTrue="1" operator="equal">
      <formula>"Pass"</formula>
    </cfRule>
    <cfRule type="cellIs" dxfId="7466" priority="7306" stopIfTrue="1" operator="equal">
      <formula>"Fail"</formula>
    </cfRule>
  </conditionalFormatting>
  <conditionalFormatting sqref="N1036">
    <cfRule type="cellIs" dxfId="7465" priority="7303" stopIfTrue="1" operator="equal">
      <formula>"Pass"</formula>
    </cfRule>
    <cfRule type="cellIs" dxfId="7464" priority="7304" stopIfTrue="1" operator="equal">
      <formula>"Fail"</formula>
    </cfRule>
  </conditionalFormatting>
  <conditionalFormatting sqref="A1036">
    <cfRule type="cellIs" dxfId="7463" priority="7301" stopIfTrue="1" operator="equal">
      <formula>"Pass"</formula>
    </cfRule>
    <cfRule type="cellIs" dxfId="7462" priority="7302" stopIfTrue="1" operator="equal">
      <formula>"Fail"</formula>
    </cfRule>
  </conditionalFormatting>
  <conditionalFormatting sqref="A1036">
    <cfRule type="cellIs" dxfId="7461" priority="7299" stopIfTrue="1" operator="equal">
      <formula>"Pass"</formula>
    </cfRule>
    <cfRule type="cellIs" dxfId="7460" priority="7300" stopIfTrue="1" operator="equal">
      <formula>"Fail"</formula>
    </cfRule>
  </conditionalFormatting>
  <conditionalFormatting sqref="A1036">
    <cfRule type="cellIs" dxfId="7459" priority="7297" stopIfTrue="1" operator="equal">
      <formula>"Pass"</formula>
    </cfRule>
    <cfRule type="cellIs" dxfId="7458" priority="7298" stopIfTrue="1" operator="equal">
      <formula>"Fail"</formula>
    </cfRule>
  </conditionalFormatting>
  <conditionalFormatting sqref="A1036">
    <cfRule type="cellIs" dxfId="7457" priority="7295" stopIfTrue="1" operator="equal">
      <formula>"Pass"</formula>
    </cfRule>
    <cfRule type="cellIs" dxfId="7456" priority="7296" stopIfTrue="1" operator="equal">
      <formula>"Fail"</formula>
    </cfRule>
  </conditionalFormatting>
  <conditionalFormatting sqref="A1036">
    <cfRule type="cellIs" dxfId="7455" priority="7293" stopIfTrue="1" operator="equal">
      <formula>"Pass"</formula>
    </cfRule>
    <cfRule type="cellIs" dxfId="7454" priority="7294" stopIfTrue="1" operator="equal">
      <formula>"Fail"</formula>
    </cfRule>
  </conditionalFormatting>
  <conditionalFormatting sqref="A1036">
    <cfRule type="cellIs" dxfId="7453" priority="7291" stopIfTrue="1" operator="equal">
      <formula>"Pass"</formula>
    </cfRule>
    <cfRule type="cellIs" dxfId="7452" priority="7292" stopIfTrue="1" operator="equal">
      <formula>"Fail"</formula>
    </cfRule>
  </conditionalFormatting>
  <conditionalFormatting sqref="A1036">
    <cfRule type="cellIs" dxfId="7451" priority="7289" stopIfTrue="1" operator="equal">
      <formula>"Pass"</formula>
    </cfRule>
    <cfRule type="cellIs" dxfId="7450" priority="7290" stopIfTrue="1" operator="equal">
      <formula>"Fail"</formula>
    </cfRule>
  </conditionalFormatting>
  <conditionalFormatting sqref="A1036">
    <cfRule type="cellIs" dxfId="7449" priority="7287" stopIfTrue="1" operator="equal">
      <formula>"Pass"</formula>
    </cfRule>
    <cfRule type="cellIs" dxfId="7448" priority="7288" stopIfTrue="1" operator="equal">
      <formula>"Fail"</formula>
    </cfRule>
  </conditionalFormatting>
  <conditionalFormatting sqref="A1036">
    <cfRule type="cellIs" dxfId="7447" priority="7285" stopIfTrue="1" operator="equal">
      <formula>"Pass"</formula>
    </cfRule>
    <cfRule type="cellIs" dxfId="7446" priority="7286" stopIfTrue="1" operator="equal">
      <formula>"Fail"</formula>
    </cfRule>
  </conditionalFormatting>
  <conditionalFormatting sqref="A1036">
    <cfRule type="cellIs" dxfId="7445" priority="7283" stopIfTrue="1" operator="equal">
      <formula>"Pass"</formula>
    </cfRule>
    <cfRule type="cellIs" dxfId="7444" priority="7284" stopIfTrue="1" operator="equal">
      <formula>"Fail"</formula>
    </cfRule>
  </conditionalFormatting>
  <conditionalFormatting sqref="A1036">
    <cfRule type="cellIs" dxfId="7443" priority="7281" stopIfTrue="1" operator="equal">
      <formula>"Pass"</formula>
    </cfRule>
    <cfRule type="cellIs" dxfId="7442" priority="7282" stopIfTrue="1" operator="equal">
      <formula>"Fail"</formula>
    </cfRule>
  </conditionalFormatting>
  <conditionalFormatting sqref="A1036">
    <cfRule type="cellIs" dxfId="7441" priority="7279" stopIfTrue="1" operator="equal">
      <formula>"Pass"</formula>
    </cfRule>
    <cfRule type="cellIs" dxfId="7440" priority="7280" stopIfTrue="1" operator="equal">
      <formula>"Fail"</formula>
    </cfRule>
  </conditionalFormatting>
  <conditionalFormatting sqref="A1036">
    <cfRule type="cellIs" dxfId="7439" priority="7277" stopIfTrue="1" operator="equal">
      <formula>"Pass"</formula>
    </cfRule>
    <cfRule type="cellIs" dxfId="7438" priority="7278" stopIfTrue="1" operator="equal">
      <formula>"Fail"</formula>
    </cfRule>
  </conditionalFormatting>
  <conditionalFormatting sqref="A1036">
    <cfRule type="cellIs" dxfId="7437" priority="7275" stopIfTrue="1" operator="equal">
      <formula>"Pass"</formula>
    </cfRule>
    <cfRule type="cellIs" dxfId="7436" priority="7276" stopIfTrue="1" operator="equal">
      <formula>"Fail"</formula>
    </cfRule>
  </conditionalFormatting>
  <conditionalFormatting sqref="A1036">
    <cfRule type="cellIs" dxfId="7435" priority="7273" stopIfTrue="1" operator="equal">
      <formula>"Pass"</formula>
    </cfRule>
    <cfRule type="cellIs" dxfId="7434" priority="7274" stopIfTrue="1" operator="equal">
      <formula>"Fail"</formula>
    </cfRule>
  </conditionalFormatting>
  <conditionalFormatting sqref="A1036">
    <cfRule type="cellIs" dxfId="7433" priority="7271" stopIfTrue="1" operator="equal">
      <formula>"Pass"</formula>
    </cfRule>
    <cfRule type="cellIs" dxfId="7432" priority="7272" stopIfTrue="1" operator="equal">
      <formula>"Fail"</formula>
    </cfRule>
  </conditionalFormatting>
  <conditionalFormatting sqref="A1036">
    <cfRule type="cellIs" dxfId="7431" priority="7269" stopIfTrue="1" operator="equal">
      <formula>"Pass"</formula>
    </cfRule>
    <cfRule type="cellIs" dxfId="7430" priority="7270" stopIfTrue="1" operator="equal">
      <formula>"Fail"</formula>
    </cfRule>
  </conditionalFormatting>
  <conditionalFormatting sqref="A1036">
    <cfRule type="cellIs" dxfId="7429" priority="7267" stopIfTrue="1" operator="equal">
      <formula>"Pass"</formula>
    </cfRule>
    <cfRule type="cellIs" dxfId="7428" priority="7268" stopIfTrue="1" operator="equal">
      <formula>"Fail"</formula>
    </cfRule>
  </conditionalFormatting>
  <conditionalFormatting sqref="H1036:H1037">
    <cfRule type="cellIs" dxfId="7427" priority="7265" stopIfTrue="1" operator="equal">
      <formula>"Pass"</formula>
    </cfRule>
    <cfRule type="cellIs" dxfId="7426" priority="7266" stopIfTrue="1" operator="equal">
      <formula>"Fail"</formula>
    </cfRule>
  </conditionalFormatting>
  <conditionalFormatting sqref="F1036 F1038 I1036:M1037">
    <cfRule type="cellIs" dxfId="7425" priority="7263" stopIfTrue="1" operator="equal">
      <formula>"Pass"</formula>
    </cfRule>
    <cfRule type="cellIs" dxfId="7424" priority="7264" stopIfTrue="1" operator="equal">
      <formula>"Fail"</formula>
    </cfRule>
  </conditionalFormatting>
  <conditionalFormatting sqref="T1038 T1036 R1036:R1038 S1037:S1038">
    <cfRule type="cellIs" dxfId="7423" priority="7261" stopIfTrue="1" operator="equal">
      <formula>"Fail"</formula>
    </cfRule>
    <cfRule type="cellIs" dxfId="7422" priority="7262" stopIfTrue="1" operator="equal">
      <formula>"Pass"</formula>
    </cfRule>
  </conditionalFormatting>
  <conditionalFormatting sqref="F1036:G1036 F1038:G1038 J1036:N1037">
    <cfRule type="cellIs" dxfId="7421" priority="7259" stopIfTrue="1" operator="equal">
      <formula>"Pass"</formula>
    </cfRule>
    <cfRule type="cellIs" dxfId="7420" priority="7260" stopIfTrue="1" operator="equal">
      <formula>"Fail"</formula>
    </cfRule>
  </conditionalFormatting>
  <conditionalFormatting sqref="U1038:V1038 T1036:T1038 S1037:S1038">
    <cfRule type="cellIs" dxfId="7419" priority="7257" stopIfTrue="1" operator="equal">
      <formula>"Fail"</formula>
    </cfRule>
    <cfRule type="cellIs" dxfId="7418" priority="7258" stopIfTrue="1" operator="equal">
      <formula>"Pass"</formula>
    </cfRule>
  </conditionalFormatting>
  <conditionalFormatting sqref="U1036:V1036">
    <cfRule type="cellIs" dxfId="7417" priority="7255" stopIfTrue="1" operator="equal">
      <formula>"Fail"</formula>
    </cfRule>
    <cfRule type="cellIs" dxfId="7416" priority="7256" stopIfTrue="1" operator="equal">
      <formula>"Pass"</formula>
    </cfRule>
  </conditionalFormatting>
  <conditionalFormatting sqref="F1036:G1036 J1036:N1036">
    <cfRule type="cellIs" dxfId="7415" priority="7253" stopIfTrue="1" operator="equal">
      <formula>"Pass"</formula>
    </cfRule>
    <cfRule type="cellIs" dxfId="7414" priority="7254" stopIfTrue="1" operator="equal">
      <formula>"Fail"</formula>
    </cfRule>
  </conditionalFormatting>
  <conditionalFormatting sqref="J1037:N1037">
    <cfRule type="cellIs" dxfId="7413" priority="7251" stopIfTrue="1" operator="equal">
      <formula>"Pass"</formula>
    </cfRule>
    <cfRule type="cellIs" dxfId="7412" priority="7252" stopIfTrue="1" operator="equal">
      <formula>"Fail"</formula>
    </cfRule>
  </conditionalFormatting>
  <conditionalFormatting sqref="H1036:H1037">
    <cfRule type="cellIs" dxfId="7411" priority="7249" stopIfTrue="1" operator="equal">
      <formula>"Pass"</formula>
    </cfRule>
    <cfRule type="cellIs" dxfId="7410" priority="7250" stopIfTrue="1" operator="equal">
      <formula>"Fail"</formula>
    </cfRule>
  </conditionalFormatting>
  <conditionalFormatting sqref="F1036 F1038 I1036:M1037">
    <cfRule type="cellIs" dxfId="7409" priority="7247" stopIfTrue="1" operator="equal">
      <formula>"Pass"</formula>
    </cfRule>
    <cfRule type="cellIs" dxfId="7408" priority="7248" stopIfTrue="1" operator="equal">
      <formula>"Fail"</formula>
    </cfRule>
  </conditionalFormatting>
  <conditionalFormatting sqref="T1038 T1036 R1036:R1038 S1037:S1038">
    <cfRule type="cellIs" dxfId="7407" priority="7245" stopIfTrue="1" operator="equal">
      <formula>"Fail"</formula>
    </cfRule>
    <cfRule type="cellIs" dxfId="7406" priority="7246" stopIfTrue="1" operator="equal">
      <formula>"Pass"</formula>
    </cfRule>
  </conditionalFormatting>
  <conditionalFormatting sqref="F1036:G1036 F1038:G1038 J1036:N1037">
    <cfRule type="cellIs" dxfId="7405" priority="7243" stopIfTrue="1" operator="equal">
      <formula>"Pass"</formula>
    </cfRule>
    <cfRule type="cellIs" dxfId="7404" priority="7244" stopIfTrue="1" operator="equal">
      <formula>"Fail"</formula>
    </cfRule>
  </conditionalFormatting>
  <conditionalFormatting sqref="U1038:V1038 T1036:T1038 S1037:S1038">
    <cfRule type="cellIs" dxfId="7403" priority="7241" stopIfTrue="1" operator="equal">
      <formula>"Fail"</formula>
    </cfRule>
    <cfRule type="cellIs" dxfId="7402" priority="7242" stopIfTrue="1" operator="equal">
      <formula>"Pass"</formula>
    </cfRule>
  </conditionalFormatting>
  <conditionalFormatting sqref="U1036:V1036">
    <cfRule type="cellIs" dxfId="7401" priority="7239" stopIfTrue="1" operator="equal">
      <formula>"Fail"</formula>
    </cfRule>
    <cfRule type="cellIs" dxfId="7400" priority="7240" stopIfTrue="1" operator="equal">
      <formula>"Pass"</formula>
    </cfRule>
  </conditionalFormatting>
  <conditionalFormatting sqref="F1036:G1036 J1036:N1036">
    <cfRule type="cellIs" dxfId="7399" priority="7237" stopIfTrue="1" operator="equal">
      <formula>"Pass"</formula>
    </cfRule>
    <cfRule type="cellIs" dxfId="7398" priority="7238" stopIfTrue="1" operator="equal">
      <formula>"Fail"</formula>
    </cfRule>
  </conditionalFormatting>
  <conditionalFormatting sqref="J1037:N1037">
    <cfRule type="cellIs" dxfId="7397" priority="7235" stopIfTrue="1" operator="equal">
      <formula>"Pass"</formula>
    </cfRule>
    <cfRule type="cellIs" dxfId="7396" priority="7236" stopIfTrue="1" operator="equal">
      <formula>"Fail"</formula>
    </cfRule>
  </conditionalFormatting>
  <conditionalFormatting sqref="H1036:H1037">
    <cfRule type="cellIs" dxfId="7395" priority="7233" stopIfTrue="1" operator="equal">
      <formula>"Pass"</formula>
    </cfRule>
    <cfRule type="cellIs" dxfId="7394" priority="7234" stopIfTrue="1" operator="equal">
      <formula>"Fail"</formula>
    </cfRule>
  </conditionalFormatting>
  <conditionalFormatting sqref="F1036 F1038 I1036:M1037">
    <cfRule type="cellIs" dxfId="7393" priority="7231" stopIfTrue="1" operator="equal">
      <formula>"Pass"</formula>
    </cfRule>
    <cfRule type="cellIs" dxfId="7392" priority="7232" stopIfTrue="1" operator="equal">
      <formula>"Fail"</formula>
    </cfRule>
  </conditionalFormatting>
  <conditionalFormatting sqref="T1038 T1036 R1036:R1038 S1037:S1038">
    <cfRule type="cellIs" dxfId="7391" priority="7229" stopIfTrue="1" operator="equal">
      <formula>"Fail"</formula>
    </cfRule>
    <cfRule type="cellIs" dxfId="7390" priority="7230" stopIfTrue="1" operator="equal">
      <formula>"Pass"</formula>
    </cfRule>
  </conditionalFormatting>
  <conditionalFormatting sqref="F1036:G1036 F1038:G1038 J1036:N1037">
    <cfRule type="cellIs" dxfId="7389" priority="7227" stopIfTrue="1" operator="equal">
      <formula>"Pass"</formula>
    </cfRule>
    <cfRule type="cellIs" dxfId="7388" priority="7228" stopIfTrue="1" operator="equal">
      <formula>"Fail"</formula>
    </cfRule>
  </conditionalFormatting>
  <conditionalFormatting sqref="U1038:V1038 T1036:T1038 S1037:S1038">
    <cfRule type="cellIs" dxfId="7387" priority="7225" stopIfTrue="1" operator="equal">
      <formula>"Fail"</formula>
    </cfRule>
    <cfRule type="cellIs" dxfId="7386" priority="7226" stopIfTrue="1" operator="equal">
      <formula>"Pass"</formula>
    </cfRule>
  </conditionalFormatting>
  <conditionalFormatting sqref="U1036:V1036">
    <cfRule type="cellIs" dxfId="7385" priority="7223" stopIfTrue="1" operator="equal">
      <formula>"Fail"</formula>
    </cfRule>
    <cfRule type="cellIs" dxfId="7384" priority="7224" stopIfTrue="1" operator="equal">
      <formula>"Pass"</formula>
    </cfRule>
  </conditionalFormatting>
  <conditionalFormatting sqref="F1036:G1036 J1036:N1036">
    <cfRule type="cellIs" dxfId="7383" priority="7221" stopIfTrue="1" operator="equal">
      <formula>"Pass"</formula>
    </cfRule>
    <cfRule type="cellIs" dxfId="7382" priority="7222" stopIfTrue="1" operator="equal">
      <formula>"Fail"</formula>
    </cfRule>
  </conditionalFormatting>
  <conditionalFormatting sqref="J1037:N1037">
    <cfRule type="cellIs" dxfId="7381" priority="7219" stopIfTrue="1" operator="equal">
      <formula>"Pass"</formula>
    </cfRule>
    <cfRule type="cellIs" dxfId="7380" priority="7220" stopIfTrue="1" operator="equal">
      <formula>"Fail"</formula>
    </cfRule>
  </conditionalFormatting>
  <conditionalFormatting sqref="U1036:V1036">
    <cfRule type="cellIs" dxfId="7379" priority="7217" stopIfTrue="1" operator="equal">
      <formula>"Fail"</formula>
    </cfRule>
    <cfRule type="cellIs" dxfId="7378" priority="7218" stopIfTrue="1" operator="equal">
      <formula>"Pass"</formula>
    </cfRule>
  </conditionalFormatting>
  <conditionalFormatting sqref="U1036:V1036">
    <cfRule type="cellIs" dxfId="7377" priority="7215" stopIfTrue="1" operator="equal">
      <formula>"Fail"</formula>
    </cfRule>
    <cfRule type="cellIs" dxfId="7376" priority="7216" stopIfTrue="1" operator="equal">
      <formula>"Pass"</formula>
    </cfRule>
  </conditionalFormatting>
  <conditionalFormatting sqref="U1036:V1036">
    <cfRule type="cellIs" dxfId="7375" priority="7213" stopIfTrue="1" operator="equal">
      <formula>"Fail"</formula>
    </cfRule>
    <cfRule type="cellIs" dxfId="7374" priority="7214" stopIfTrue="1" operator="equal">
      <formula>"Pass"</formula>
    </cfRule>
  </conditionalFormatting>
  <conditionalFormatting sqref="N1036">
    <cfRule type="cellIs" dxfId="7373" priority="7211" stopIfTrue="1" operator="equal">
      <formula>"Pass"</formula>
    </cfRule>
    <cfRule type="cellIs" dxfId="7372" priority="7212" stopIfTrue="1" operator="equal">
      <formula>"Fail"</formula>
    </cfRule>
  </conditionalFormatting>
  <conditionalFormatting sqref="N1036">
    <cfRule type="cellIs" dxfId="7371" priority="7209" stopIfTrue="1" operator="equal">
      <formula>"Pass"</formula>
    </cfRule>
    <cfRule type="cellIs" dxfId="7370" priority="7210" stopIfTrue="1" operator="equal">
      <formula>"Fail"</formula>
    </cfRule>
  </conditionalFormatting>
  <conditionalFormatting sqref="N1036">
    <cfRule type="cellIs" dxfId="7369" priority="7207" stopIfTrue="1" operator="equal">
      <formula>"Pass"</formula>
    </cfRule>
    <cfRule type="cellIs" dxfId="7368" priority="7208" stopIfTrue="1" operator="equal">
      <formula>"Fail"</formula>
    </cfRule>
  </conditionalFormatting>
  <conditionalFormatting sqref="U1036:V1036">
    <cfRule type="cellIs" dxfId="7367" priority="7205" stopIfTrue="1" operator="equal">
      <formula>"Fail"</formula>
    </cfRule>
    <cfRule type="cellIs" dxfId="7366" priority="7206" stopIfTrue="1" operator="equal">
      <formula>"Pass"</formula>
    </cfRule>
  </conditionalFormatting>
  <conditionalFormatting sqref="U1036:V1036">
    <cfRule type="cellIs" dxfId="7365" priority="7203" stopIfTrue="1" operator="equal">
      <formula>"Fail"</formula>
    </cfRule>
    <cfRule type="cellIs" dxfId="7364" priority="7204" stopIfTrue="1" operator="equal">
      <formula>"Pass"</formula>
    </cfRule>
  </conditionalFormatting>
  <conditionalFormatting sqref="U1036:V1036">
    <cfRule type="cellIs" dxfId="7363" priority="7201" stopIfTrue="1" operator="equal">
      <formula>"Fail"</formula>
    </cfRule>
    <cfRule type="cellIs" dxfId="7362" priority="7202" stopIfTrue="1" operator="equal">
      <formula>"Pass"</formula>
    </cfRule>
  </conditionalFormatting>
  <conditionalFormatting sqref="U1036:V1036">
    <cfRule type="cellIs" dxfId="7361" priority="7199" stopIfTrue="1" operator="equal">
      <formula>"Fail"</formula>
    </cfRule>
    <cfRule type="cellIs" dxfId="7360" priority="7200" stopIfTrue="1" operator="equal">
      <formula>"Pass"</formula>
    </cfRule>
  </conditionalFormatting>
  <conditionalFormatting sqref="T1036">
    <cfRule type="cellIs" dxfId="7359" priority="7197" stopIfTrue="1" operator="equal">
      <formula>"Fail"</formula>
    </cfRule>
    <cfRule type="cellIs" dxfId="7358" priority="7198" stopIfTrue="1" operator="equal">
      <formula>"Pass"</formula>
    </cfRule>
  </conditionalFormatting>
  <conditionalFormatting sqref="T1036">
    <cfRule type="cellIs" dxfId="7357" priority="7195" stopIfTrue="1" operator="equal">
      <formula>"Fail"</formula>
    </cfRule>
    <cfRule type="cellIs" dxfId="7356" priority="7196" stopIfTrue="1" operator="equal">
      <formula>"Pass"</formula>
    </cfRule>
  </conditionalFormatting>
  <conditionalFormatting sqref="T1036">
    <cfRule type="cellIs" dxfId="7355" priority="7193" stopIfTrue="1" operator="equal">
      <formula>"Fail"</formula>
    </cfRule>
    <cfRule type="cellIs" dxfId="7354" priority="7194" stopIfTrue="1" operator="equal">
      <formula>"Pass"</formula>
    </cfRule>
  </conditionalFormatting>
  <conditionalFormatting sqref="T1036">
    <cfRule type="cellIs" dxfId="7353" priority="7191" stopIfTrue="1" operator="equal">
      <formula>"Fail"</formula>
    </cfRule>
    <cfRule type="cellIs" dxfId="7352" priority="7192" stopIfTrue="1" operator="equal">
      <formula>"Pass"</formula>
    </cfRule>
  </conditionalFormatting>
  <conditionalFormatting sqref="T1036">
    <cfRule type="cellIs" dxfId="7351" priority="7189" stopIfTrue="1" operator="equal">
      <formula>"Fail"</formula>
    </cfRule>
    <cfRule type="cellIs" dxfId="7350" priority="7190" stopIfTrue="1" operator="equal">
      <formula>"Pass"</formula>
    </cfRule>
  </conditionalFormatting>
  <conditionalFormatting sqref="T1036">
    <cfRule type="cellIs" dxfId="7349" priority="7187" stopIfTrue="1" operator="equal">
      <formula>"Fail"</formula>
    </cfRule>
    <cfRule type="cellIs" dxfId="7348" priority="7188" stopIfTrue="1" operator="equal">
      <formula>"Pass"</formula>
    </cfRule>
  </conditionalFormatting>
  <conditionalFormatting sqref="T1036">
    <cfRule type="cellIs" dxfId="7347" priority="7185" stopIfTrue="1" operator="equal">
      <formula>"Fail"</formula>
    </cfRule>
    <cfRule type="cellIs" dxfId="7346" priority="7186" stopIfTrue="1" operator="equal">
      <formula>"Pass"</formula>
    </cfRule>
  </conditionalFormatting>
  <conditionalFormatting sqref="T1036">
    <cfRule type="cellIs" dxfId="7345" priority="7183" stopIfTrue="1" operator="equal">
      <formula>"Fail"</formula>
    </cfRule>
    <cfRule type="cellIs" dxfId="7344" priority="7184" stopIfTrue="1" operator="equal">
      <formula>"Pass"</formula>
    </cfRule>
  </conditionalFormatting>
  <conditionalFormatting sqref="T1036">
    <cfRule type="cellIs" dxfId="7343" priority="7181" stopIfTrue="1" operator="equal">
      <formula>"Fail"</formula>
    </cfRule>
    <cfRule type="cellIs" dxfId="7342" priority="7182" stopIfTrue="1" operator="equal">
      <formula>"Pass"</formula>
    </cfRule>
  </conditionalFormatting>
  <conditionalFormatting sqref="T1036">
    <cfRule type="cellIs" dxfId="7341" priority="7179" stopIfTrue="1" operator="equal">
      <formula>"Fail"</formula>
    </cfRule>
    <cfRule type="cellIs" dxfId="7340" priority="7180" stopIfTrue="1" operator="equal">
      <formula>"Pass"</formula>
    </cfRule>
  </conditionalFormatting>
  <conditionalFormatting sqref="T1036">
    <cfRule type="cellIs" dxfId="7339" priority="7177" stopIfTrue="1" operator="equal">
      <formula>"Fail"</formula>
    </cfRule>
    <cfRule type="cellIs" dxfId="7338" priority="7178" stopIfTrue="1" operator="equal">
      <formula>"Pass"</formula>
    </cfRule>
  </conditionalFormatting>
  <conditionalFormatting sqref="T1036">
    <cfRule type="cellIs" dxfId="7337" priority="7175" stopIfTrue="1" operator="equal">
      <formula>"Fail"</formula>
    </cfRule>
    <cfRule type="cellIs" dxfId="7336" priority="7176" stopIfTrue="1" operator="equal">
      <formula>"Pass"</formula>
    </cfRule>
  </conditionalFormatting>
  <conditionalFormatting sqref="T1036">
    <cfRule type="cellIs" dxfId="7335" priority="7173" stopIfTrue="1" operator="equal">
      <formula>"Fail"</formula>
    </cfRule>
    <cfRule type="cellIs" dxfId="7334" priority="7174" stopIfTrue="1" operator="equal">
      <formula>"Pass"</formula>
    </cfRule>
  </conditionalFormatting>
  <conditionalFormatting sqref="T1036">
    <cfRule type="cellIs" dxfId="7333" priority="7171" stopIfTrue="1" operator="equal">
      <formula>"Fail"</formula>
    </cfRule>
    <cfRule type="cellIs" dxfId="7332" priority="7172" stopIfTrue="1" operator="equal">
      <formula>"Pass"</formula>
    </cfRule>
  </conditionalFormatting>
  <conditionalFormatting sqref="T1036">
    <cfRule type="cellIs" dxfId="7331" priority="7169" stopIfTrue="1" operator="equal">
      <formula>"Fail"</formula>
    </cfRule>
    <cfRule type="cellIs" dxfId="7330" priority="7170" stopIfTrue="1" operator="equal">
      <formula>"Pass"</formula>
    </cfRule>
  </conditionalFormatting>
  <conditionalFormatting sqref="T1036">
    <cfRule type="cellIs" dxfId="7329" priority="7167" stopIfTrue="1" operator="equal">
      <formula>"Fail"</formula>
    </cfRule>
    <cfRule type="cellIs" dxfId="7328" priority="7168" stopIfTrue="1" operator="equal">
      <formula>"Pass"</formula>
    </cfRule>
  </conditionalFormatting>
  <conditionalFormatting sqref="T1036">
    <cfRule type="cellIs" dxfId="7327" priority="7165" stopIfTrue="1" operator="equal">
      <formula>"Fail"</formula>
    </cfRule>
    <cfRule type="cellIs" dxfId="7326" priority="7166" stopIfTrue="1" operator="equal">
      <formula>"Pass"</formula>
    </cfRule>
  </conditionalFormatting>
  <conditionalFormatting sqref="T1036">
    <cfRule type="cellIs" dxfId="7325" priority="7163" stopIfTrue="1" operator="equal">
      <formula>"Fail"</formula>
    </cfRule>
    <cfRule type="cellIs" dxfId="7324" priority="7164" stopIfTrue="1" operator="equal">
      <formula>"Pass"</formula>
    </cfRule>
  </conditionalFormatting>
  <conditionalFormatting sqref="T1036">
    <cfRule type="cellIs" dxfId="7323" priority="7161" stopIfTrue="1" operator="equal">
      <formula>"Fail"</formula>
    </cfRule>
    <cfRule type="cellIs" dxfId="7322" priority="7162" stopIfTrue="1" operator="equal">
      <formula>"Pass"</formula>
    </cfRule>
  </conditionalFormatting>
  <conditionalFormatting sqref="T1036">
    <cfRule type="cellIs" dxfId="7321" priority="7159" stopIfTrue="1" operator="equal">
      <formula>"Fail"</formula>
    </cfRule>
    <cfRule type="cellIs" dxfId="7320" priority="7160" stopIfTrue="1" operator="equal">
      <formula>"Pass"</formula>
    </cfRule>
  </conditionalFormatting>
  <conditionalFormatting sqref="T1036">
    <cfRule type="cellIs" dxfId="7319" priority="7157" stopIfTrue="1" operator="equal">
      <formula>"Fail"</formula>
    </cfRule>
    <cfRule type="cellIs" dxfId="7318" priority="7158" stopIfTrue="1" operator="equal">
      <formula>"Pass"</formula>
    </cfRule>
  </conditionalFormatting>
  <conditionalFormatting sqref="T1036">
    <cfRule type="cellIs" dxfId="7317" priority="7155" stopIfTrue="1" operator="equal">
      <formula>"Fail"</formula>
    </cfRule>
    <cfRule type="cellIs" dxfId="7316" priority="7156" stopIfTrue="1" operator="equal">
      <formula>"Pass"</formula>
    </cfRule>
  </conditionalFormatting>
  <conditionalFormatting sqref="T1036">
    <cfRule type="cellIs" dxfId="7315" priority="7153" stopIfTrue="1" operator="equal">
      <formula>"Fail"</formula>
    </cfRule>
    <cfRule type="cellIs" dxfId="7314" priority="7154" stopIfTrue="1" operator="equal">
      <formula>"Pass"</formula>
    </cfRule>
  </conditionalFormatting>
  <conditionalFormatting sqref="T1036">
    <cfRule type="cellIs" dxfId="7313" priority="7151" stopIfTrue="1" operator="equal">
      <formula>"Fail"</formula>
    </cfRule>
    <cfRule type="cellIs" dxfId="7312" priority="7152" stopIfTrue="1" operator="equal">
      <formula>"Pass"</formula>
    </cfRule>
  </conditionalFormatting>
  <conditionalFormatting sqref="A1036:A1038">
    <cfRule type="cellIs" dxfId="7311" priority="7149" stopIfTrue="1" operator="equal">
      <formula>"Pass"</formula>
    </cfRule>
    <cfRule type="cellIs" dxfId="7310" priority="7150" stopIfTrue="1" operator="equal">
      <formula>"Fail"</formula>
    </cfRule>
  </conditionalFormatting>
  <conditionalFormatting sqref="A1036:A1038">
    <cfRule type="cellIs" dxfId="7309" priority="7147" stopIfTrue="1" operator="equal">
      <formula>"Pass"</formula>
    </cfRule>
    <cfRule type="cellIs" dxfId="7308" priority="7148" stopIfTrue="1" operator="equal">
      <formula>"Fail"</formula>
    </cfRule>
  </conditionalFormatting>
  <conditionalFormatting sqref="A1036:A1038">
    <cfRule type="cellIs" dxfId="7307" priority="7145" stopIfTrue="1" operator="equal">
      <formula>"Pass"</formula>
    </cfRule>
    <cfRule type="cellIs" dxfId="7306" priority="7146" stopIfTrue="1" operator="equal">
      <formula>"Fail"</formula>
    </cfRule>
  </conditionalFormatting>
  <conditionalFormatting sqref="A1036:A1038">
    <cfRule type="cellIs" dxfId="7305" priority="7143" stopIfTrue="1" operator="equal">
      <formula>"Pass"</formula>
    </cfRule>
    <cfRule type="cellIs" dxfId="7304" priority="7144" stopIfTrue="1" operator="equal">
      <formula>"Fail"</formula>
    </cfRule>
  </conditionalFormatting>
  <conditionalFormatting sqref="A1036:A1038">
    <cfRule type="cellIs" dxfId="7303" priority="7141" stopIfTrue="1" operator="equal">
      <formula>"Pass"</formula>
    </cfRule>
    <cfRule type="cellIs" dxfId="7302" priority="7142" stopIfTrue="1" operator="equal">
      <formula>"Fail"</formula>
    </cfRule>
  </conditionalFormatting>
  <conditionalFormatting sqref="A1038">
    <cfRule type="cellIs" dxfId="7301" priority="7139" stopIfTrue="1" operator="equal">
      <formula>"Pass"</formula>
    </cfRule>
    <cfRule type="cellIs" dxfId="7300" priority="7140" stopIfTrue="1" operator="equal">
      <formula>"Fail"</formula>
    </cfRule>
  </conditionalFormatting>
  <conditionalFormatting sqref="A1036:A1038">
    <cfRule type="cellIs" dxfId="7299" priority="7137" stopIfTrue="1" operator="equal">
      <formula>"Pass"</formula>
    </cfRule>
    <cfRule type="cellIs" dxfId="7298" priority="7138" stopIfTrue="1" operator="equal">
      <formula>"Fail"</formula>
    </cfRule>
  </conditionalFormatting>
  <conditionalFormatting sqref="A1036:A1038">
    <cfRule type="cellIs" dxfId="7297" priority="7135" stopIfTrue="1" operator="equal">
      <formula>"Pass"</formula>
    </cfRule>
    <cfRule type="cellIs" dxfId="7296" priority="7136" stopIfTrue="1" operator="equal">
      <formula>"Fail"</formula>
    </cfRule>
  </conditionalFormatting>
  <conditionalFormatting sqref="A1036:A1038">
    <cfRule type="cellIs" dxfId="7295" priority="7133" stopIfTrue="1" operator="equal">
      <formula>"Pass"</formula>
    </cfRule>
    <cfRule type="cellIs" dxfId="7294" priority="7134" stopIfTrue="1" operator="equal">
      <formula>"Fail"</formula>
    </cfRule>
  </conditionalFormatting>
  <conditionalFormatting sqref="A1036:A1038">
    <cfRule type="cellIs" dxfId="7293" priority="7131" stopIfTrue="1" operator="equal">
      <formula>"Pass"</formula>
    </cfRule>
    <cfRule type="cellIs" dxfId="7292" priority="7132" stopIfTrue="1" operator="equal">
      <formula>"Fail"</formula>
    </cfRule>
  </conditionalFormatting>
  <conditionalFormatting sqref="A1036:A1038">
    <cfRule type="cellIs" dxfId="7291" priority="7129" stopIfTrue="1" operator="equal">
      <formula>"Pass"</formula>
    </cfRule>
    <cfRule type="cellIs" dxfId="7290" priority="7130" stopIfTrue="1" operator="equal">
      <formula>"Fail"</formula>
    </cfRule>
  </conditionalFormatting>
  <conditionalFormatting sqref="A1036:A1038">
    <cfRule type="cellIs" dxfId="7289" priority="7127" stopIfTrue="1" operator="equal">
      <formula>"Pass"</formula>
    </cfRule>
    <cfRule type="cellIs" dxfId="7288" priority="7128" stopIfTrue="1" operator="equal">
      <formula>"Fail"</formula>
    </cfRule>
  </conditionalFormatting>
  <conditionalFormatting sqref="A1038">
    <cfRule type="cellIs" dxfId="7287" priority="7125" stopIfTrue="1" operator="equal">
      <formula>"Pass"</formula>
    </cfRule>
    <cfRule type="cellIs" dxfId="7286" priority="7126" stopIfTrue="1" operator="equal">
      <formula>"Fail"</formula>
    </cfRule>
  </conditionalFormatting>
  <conditionalFormatting sqref="A1036:A1038">
    <cfRule type="cellIs" dxfId="7285" priority="7123" stopIfTrue="1" operator="equal">
      <formula>"Pass"</formula>
    </cfRule>
    <cfRule type="cellIs" dxfId="7284" priority="7124" stopIfTrue="1" operator="equal">
      <formula>"Fail"</formula>
    </cfRule>
  </conditionalFormatting>
  <conditionalFormatting sqref="A1036:A1038">
    <cfRule type="cellIs" dxfId="7283" priority="7121" stopIfTrue="1" operator="equal">
      <formula>"Pass"</formula>
    </cfRule>
    <cfRule type="cellIs" dxfId="7282" priority="7122" stopIfTrue="1" operator="equal">
      <formula>"Fail"</formula>
    </cfRule>
  </conditionalFormatting>
  <conditionalFormatting sqref="A1036:A1038">
    <cfRule type="cellIs" dxfId="7281" priority="7119" stopIfTrue="1" operator="equal">
      <formula>"Pass"</formula>
    </cfRule>
    <cfRule type="cellIs" dxfId="7280" priority="7120" stopIfTrue="1" operator="equal">
      <formula>"Fail"</formula>
    </cfRule>
  </conditionalFormatting>
  <conditionalFormatting sqref="A1036:A1038">
    <cfRule type="cellIs" dxfId="7279" priority="7117" stopIfTrue="1" operator="equal">
      <formula>"Pass"</formula>
    </cfRule>
    <cfRule type="cellIs" dxfId="7278" priority="7118" stopIfTrue="1" operator="equal">
      <formula>"Fail"</formula>
    </cfRule>
  </conditionalFormatting>
  <conditionalFormatting sqref="A1036:A1038">
    <cfRule type="cellIs" dxfId="7277" priority="7115" stopIfTrue="1" operator="equal">
      <formula>"Pass"</formula>
    </cfRule>
    <cfRule type="cellIs" dxfId="7276" priority="7116" stopIfTrue="1" operator="equal">
      <formula>"Fail"</formula>
    </cfRule>
  </conditionalFormatting>
  <conditionalFormatting sqref="A1036:A1038">
    <cfRule type="cellIs" dxfId="7275" priority="7113" stopIfTrue="1" operator="equal">
      <formula>"Pass"</formula>
    </cfRule>
    <cfRule type="cellIs" dxfId="7274" priority="7114" stopIfTrue="1" operator="equal">
      <formula>"Fail"</formula>
    </cfRule>
  </conditionalFormatting>
  <conditionalFormatting sqref="A1038">
    <cfRule type="cellIs" dxfId="7273" priority="7111" stopIfTrue="1" operator="equal">
      <formula>"Pass"</formula>
    </cfRule>
    <cfRule type="cellIs" dxfId="7272" priority="7112" stopIfTrue="1" operator="equal">
      <formula>"Fail"</formula>
    </cfRule>
  </conditionalFormatting>
  <conditionalFormatting sqref="A1036:A1038">
    <cfRule type="cellIs" dxfId="7271" priority="7109" stopIfTrue="1" operator="equal">
      <formula>"Pass"</formula>
    </cfRule>
    <cfRule type="cellIs" dxfId="7270" priority="7110" stopIfTrue="1" operator="equal">
      <formula>"Fail"</formula>
    </cfRule>
  </conditionalFormatting>
  <conditionalFormatting sqref="A1036:A1038">
    <cfRule type="cellIs" dxfId="7269" priority="7107" stopIfTrue="1" operator="equal">
      <formula>"Pass"</formula>
    </cfRule>
    <cfRule type="cellIs" dxfId="7268" priority="7108" stopIfTrue="1" operator="equal">
      <formula>"Fail"</formula>
    </cfRule>
  </conditionalFormatting>
  <conditionalFormatting sqref="A1036:A1038">
    <cfRule type="cellIs" dxfId="7267" priority="7105" stopIfTrue="1" operator="equal">
      <formula>"Pass"</formula>
    </cfRule>
    <cfRule type="cellIs" dxfId="7266" priority="7106" stopIfTrue="1" operator="equal">
      <formula>"Fail"</formula>
    </cfRule>
  </conditionalFormatting>
  <conditionalFormatting sqref="A1036:A1038">
    <cfRule type="cellIs" dxfId="7265" priority="7103" stopIfTrue="1" operator="equal">
      <formula>"Pass"</formula>
    </cfRule>
    <cfRule type="cellIs" dxfId="7264" priority="7104" stopIfTrue="1" operator="equal">
      <formula>"Fail"</formula>
    </cfRule>
  </conditionalFormatting>
  <conditionalFormatting sqref="A1036:A1038">
    <cfRule type="cellIs" dxfId="7263" priority="7101" stopIfTrue="1" operator="equal">
      <formula>"Pass"</formula>
    </cfRule>
    <cfRule type="cellIs" dxfId="7262" priority="7102" stopIfTrue="1" operator="equal">
      <formula>"Fail"</formula>
    </cfRule>
  </conditionalFormatting>
  <conditionalFormatting sqref="A1036:A1038">
    <cfRule type="cellIs" dxfId="7261" priority="7099" stopIfTrue="1" operator="equal">
      <formula>"Pass"</formula>
    </cfRule>
    <cfRule type="cellIs" dxfId="7260" priority="7100" stopIfTrue="1" operator="equal">
      <formula>"Fail"</formula>
    </cfRule>
  </conditionalFormatting>
  <conditionalFormatting sqref="A1038">
    <cfRule type="cellIs" dxfId="7259" priority="7097" stopIfTrue="1" operator="equal">
      <formula>"Pass"</formula>
    </cfRule>
    <cfRule type="cellIs" dxfId="7258" priority="7098" stopIfTrue="1" operator="equal">
      <formula>"Fail"</formula>
    </cfRule>
  </conditionalFormatting>
  <conditionalFormatting sqref="A1036:A1038">
    <cfRule type="cellIs" dxfId="7257" priority="7095" stopIfTrue="1" operator="equal">
      <formula>"Pass"</formula>
    </cfRule>
    <cfRule type="cellIs" dxfId="7256" priority="7096" stopIfTrue="1" operator="equal">
      <formula>"Fail"</formula>
    </cfRule>
  </conditionalFormatting>
  <conditionalFormatting sqref="A1036:A1038">
    <cfRule type="cellIs" dxfId="7255" priority="7093" stopIfTrue="1" operator="equal">
      <formula>"Pass"</formula>
    </cfRule>
    <cfRule type="cellIs" dxfId="7254" priority="7094" stopIfTrue="1" operator="equal">
      <formula>"Fail"</formula>
    </cfRule>
  </conditionalFormatting>
  <conditionalFormatting sqref="A1036:A1038">
    <cfRule type="cellIs" dxfId="7253" priority="7091" stopIfTrue="1" operator="equal">
      <formula>"Pass"</formula>
    </cfRule>
    <cfRule type="cellIs" dxfId="7252" priority="7092" stopIfTrue="1" operator="equal">
      <formula>"Fail"</formula>
    </cfRule>
  </conditionalFormatting>
  <conditionalFormatting sqref="A1036:A1038">
    <cfRule type="cellIs" dxfId="7251" priority="7089" stopIfTrue="1" operator="equal">
      <formula>"Pass"</formula>
    </cfRule>
    <cfRule type="cellIs" dxfId="7250" priority="7090" stopIfTrue="1" operator="equal">
      <formula>"Fail"</formula>
    </cfRule>
  </conditionalFormatting>
  <conditionalFormatting sqref="A1036:A1038">
    <cfRule type="cellIs" dxfId="7249" priority="7087" stopIfTrue="1" operator="equal">
      <formula>"Pass"</formula>
    </cfRule>
    <cfRule type="cellIs" dxfId="7248" priority="7088" stopIfTrue="1" operator="equal">
      <formula>"Fail"</formula>
    </cfRule>
  </conditionalFormatting>
  <conditionalFormatting sqref="A1036:A1038">
    <cfRule type="cellIs" dxfId="7247" priority="7085" stopIfTrue="1" operator="equal">
      <formula>"Pass"</formula>
    </cfRule>
    <cfRule type="cellIs" dxfId="7246" priority="7086" stopIfTrue="1" operator="equal">
      <formula>"Fail"</formula>
    </cfRule>
  </conditionalFormatting>
  <conditionalFormatting sqref="A1038">
    <cfRule type="cellIs" dxfId="7245" priority="7083" stopIfTrue="1" operator="equal">
      <formula>"Pass"</formula>
    </cfRule>
    <cfRule type="cellIs" dxfId="7244" priority="7084" stopIfTrue="1" operator="equal">
      <formula>"Fail"</formula>
    </cfRule>
  </conditionalFormatting>
  <conditionalFormatting sqref="A1036:A1038">
    <cfRule type="cellIs" dxfId="7243" priority="7081" stopIfTrue="1" operator="equal">
      <formula>"Pass"</formula>
    </cfRule>
    <cfRule type="cellIs" dxfId="7242" priority="7082" stopIfTrue="1" operator="equal">
      <formula>"Fail"</formula>
    </cfRule>
  </conditionalFormatting>
  <conditionalFormatting sqref="A1036:A1038">
    <cfRule type="cellIs" dxfId="7241" priority="7079" stopIfTrue="1" operator="equal">
      <formula>"Pass"</formula>
    </cfRule>
    <cfRule type="cellIs" dxfId="7240" priority="7080" stopIfTrue="1" operator="equal">
      <formula>"Fail"</formula>
    </cfRule>
  </conditionalFormatting>
  <conditionalFormatting sqref="A1036:A1038">
    <cfRule type="cellIs" dxfId="7239" priority="7077" stopIfTrue="1" operator="equal">
      <formula>"Pass"</formula>
    </cfRule>
    <cfRule type="cellIs" dxfId="7238" priority="7078" stopIfTrue="1" operator="equal">
      <formula>"Fail"</formula>
    </cfRule>
  </conditionalFormatting>
  <conditionalFormatting sqref="A1036:A1038">
    <cfRule type="cellIs" dxfId="7237" priority="7075" stopIfTrue="1" operator="equal">
      <formula>"Pass"</formula>
    </cfRule>
    <cfRule type="cellIs" dxfId="7236" priority="7076" stopIfTrue="1" operator="equal">
      <formula>"Fail"</formula>
    </cfRule>
  </conditionalFormatting>
  <conditionalFormatting sqref="A1036:A1038">
    <cfRule type="cellIs" dxfId="7235" priority="7073" stopIfTrue="1" operator="equal">
      <formula>"Pass"</formula>
    </cfRule>
    <cfRule type="cellIs" dxfId="7234" priority="7074" stopIfTrue="1" operator="equal">
      <formula>"Fail"</formula>
    </cfRule>
  </conditionalFormatting>
  <conditionalFormatting sqref="A1036:A1038">
    <cfRule type="cellIs" dxfId="7233" priority="7071" stopIfTrue="1" operator="equal">
      <formula>"Pass"</formula>
    </cfRule>
    <cfRule type="cellIs" dxfId="7232" priority="7072" stopIfTrue="1" operator="equal">
      <formula>"Fail"</formula>
    </cfRule>
  </conditionalFormatting>
  <conditionalFormatting sqref="A1038">
    <cfRule type="cellIs" dxfId="7231" priority="7069" stopIfTrue="1" operator="equal">
      <formula>"Pass"</formula>
    </cfRule>
    <cfRule type="cellIs" dxfId="7230" priority="7070" stopIfTrue="1" operator="equal">
      <formula>"Fail"</formula>
    </cfRule>
  </conditionalFormatting>
  <conditionalFormatting sqref="A1036:A1038">
    <cfRule type="cellIs" dxfId="7229" priority="7067" stopIfTrue="1" operator="equal">
      <formula>"Pass"</formula>
    </cfRule>
    <cfRule type="cellIs" dxfId="7228" priority="7068" stopIfTrue="1" operator="equal">
      <formula>"Fail"</formula>
    </cfRule>
  </conditionalFormatting>
  <conditionalFormatting sqref="A1036">
    <cfRule type="cellIs" dxfId="7227" priority="7065" stopIfTrue="1" operator="equal">
      <formula>"Pass"</formula>
    </cfRule>
    <cfRule type="cellIs" dxfId="7226" priority="7066" stopIfTrue="1" operator="equal">
      <formula>"Fail"</formula>
    </cfRule>
  </conditionalFormatting>
  <conditionalFormatting sqref="A1036">
    <cfRule type="cellIs" dxfId="7225" priority="7063" stopIfTrue="1" operator="equal">
      <formula>"Pass"</formula>
    </cfRule>
    <cfRule type="cellIs" dxfId="7224" priority="7064" stopIfTrue="1" operator="equal">
      <formula>"Fail"</formula>
    </cfRule>
  </conditionalFormatting>
  <conditionalFormatting sqref="A1036">
    <cfRule type="cellIs" dxfId="7223" priority="7061" stopIfTrue="1" operator="equal">
      <formula>"Pass"</formula>
    </cfRule>
    <cfRule type="cellIs" dxfId="7222" priority="7062" stopIfTrue="1" operator="equal">
      <formula>"Fail"</formula>
    </cfRule>
  </conditionalFormatting>
  <conditionalFormatting sqref="A1036">
    <cfRule type="cellIs" dxfId="7221" priority="7059" stopIfTrue="1" operator="equal">
      <formula>"Pass"</formula>
    </cfRule>
    <cfRule type="cellIs" dxfId="7220" priority="7060" stopIfTrue="1" operator="equal">
      <formula>"Fail"</formula>
    </cfRule>
  </conditionalFormatting>
  <conditionalFormatting sqref="A1036">
    <cfRule type="cellIs" dxfId="7219" priority="7057" stopIfTrue="1" operator="equal">
      <formula>"Pass"</formula>
    </cfRule>
    <cfRule type="cellIs" dxfId="7218" priority="7058" stopIfTrue="1" operator="equal">
      <formula>"Fail"</formula>
    </cfRule>
  </conditionalFormatting>
  <conditionalFormatting sqref="A1036">
    <cfRule type="cellIs" dxfId="7217" priority="7055" stopIfTrue="1" operator="equal">
      <formula>"Pass"</formula>
    </cfRule>
    <cfRule type="cellIs" dxfId="7216" priority="7056" stopIfTrue="1" operator="equal">
      <formula>"Fail"</formula>
    </cfRule>
  </conditionalFormatting>
  <conditionalFormatting sqref="H1036:H1037">
    <cfRule type="cellIs" dxfId="7215" priority="7053" stopIfTrue="1" operator="equal">
      <formula>"Pass"</formula>
    </cfRule>
    <cfRule type="cellIs" dxfId="7214" priority="7054" stopIfTrue="1" operator="equal">
      <formula>"Fail"</formula>
    </cfRule>
  </conditionalFormatting>
  <conditionalFormatting sqref="E1036:F1036 E1038:F1038 A1036 I1036:M1037">
    <cfRule type="cellIs" dxfId="7213" priority="7051" stopIfTrue="1" operator="equal">
      <formula>"Pass"</formula>
    </cfRule>
    <cfRule type="cellIs" dxfId="7212" priority="7052" stopIfTrue="1" operator="equal">
      <formula>"Fail"</formula>
    </cfRule>
  </conditionalFormatting>
  <conditionalFormatting sqref="T1038 T1036 R1036:R1038 S1037:S1038">
    <cfRule type="cellIs" dxfId="7211" priority="7049" stopIfTrue="1" operator="equal">
      <formula>"Fail"</formula>
    </cfRule>
    <cfRule type="cellIs" dxfId="7210" priority="7050" stopIfTrue="1" operator="equal">
      <formula>"Pass"</formula>
    </cfRule>
  </conditionalFormatting>
  <conditionalFormatting sqref="F1036:G1036 F1038:G1038 B1036:B1038 A1036 J1036:N1037">
    <cfRule type="cellIs" dxfId="7209" priority="7047" stopIfTrue="1" operator="equal">
      <formula>"Pass"</formula>
    </cfRule>
    <cfRule type="cellIs" dxfId="7208" priority="7048" stopIfTrue="1" operator="equal">
      <formula>"Fail"</formula>
    </cfRule>
  </conditionalFormatting>
  <conditionalFormatting sqref="U1038:V1038 T1036:T1038 S1037:S1038">
    <cfRule type="cellIs" dxfId="7207" priority="7045" stopIfTrue="1" operator="equal">
      <formula>"Fail"</formula>
    </cfRule>
    <cfRule type="cellIs" dxfId="7206" priority="7046" stopIfTrue="1" operator="equal">
      <formula>"Pass"</formula>
    </cfRule>
  </conditionalFormatting>
  <conditionalFormatting sqref="A1036">
    <cfRule type="cellIs" dxfId="7205" priority="7043" stopIfTrue="1" operator="equal">
      <formula>"Pass"</formula>
    </cfRule>
    <cfRule type="cellIs" dxfId="7204" priority="7044" stopIfTrue="1" operator="equal">
      <formula>"Fail"</formula>
    </cfRule>
  </conditionalFormatting>
  <conditionalFormatting sqref="A1036">
    <cfRule type="cellIs" dxfId="7203" priority="7041" stopIfTrue="1" operator="equal">
      <formula>"Pass"</formula>
    </cfRule>
    <cfRule type="cellIs" dxfId="7202" priority="7042" stopIfTrue="1" operator="equal">
      <formula>"Fail"</formula>
    </cfRule>
  </conditionalFormatting>
  <conditionalFormatting sqref="A1036">
    <cfRule type="cellIs" dxfId="7201" priority="7039" stopIfTrue="1" operator="equal">
      <formula>"Pass"</formula>
    </cfRule>
    <cfRule type="cellIs" dxfId="7200" priority="7040" stopIfTrue="1" operator="equal">
      <formula>"Fail"</formula>
    </cfRule>
  </conditionalFormatting>
  <conditionalFormatting sqref="A1036">
    <cfRule type="cellIs" dxfId="7199" priority="7037" stopIfTrue="1" operator="equal">
      <formula>"Pass"</formula>
    </cfRule>
    <cfRule type="cellIs" dxfId="7198" priority="7038" stopIfTrue="1" operator="equal">
      <formula>"Fail"</formula>
    </cfRule>
  </conditionalFormatting>
  <conditionalFormatting sqref="A1036">
    <cfRule type="cellIs" dxfId="7197" priority="7035" stopIfTrue="1" operator="equal">
      <formula>"Pass"</formula>
    </cfRule>
    <cfRule type="cellIs" dxfId="7196" priority="7036" stopIfTrue="1" operator="equal">
      <formula>"Fail"</formula>
    </cfRule>
  </conditionalFormatting>
  <conditionalFormatting sqref="A1036">
    <cfRule type="cellIs" dxfId="7195" priority="7033" stopIfTrue="1" operator="equal">
      <formula>"Pass"</formula>
    </cfRule>
    <cfRule type="cellIs" dxfId="7194" priority="7034" stopIfTrue="1" operator="equal">
      <formula>"Fail"</formula>
    </cfRule>
  </conditionalFormatting>
  <conditionalFormatting sqref="A1036">
    <cfRule type="cellIs" dxfId="7193" priority="7031" stopIfTrue="1" operator="equal">
      <formula>"Pass"</formula>
    </cfRule>
    <cfRule type="cellIs" dxfId="7192" priority="7032" stopIfTrue="1" operator="equal">
      <formula>"Fail"</formula>
    </cfRule>
  </conditionalFormatting>
  <conditionalFormatting sqref="A1036">
    <cfRule type="cellIs" dxfId="7191" priority="7029" stopIfTrue="1" operator="equal">
      <formula>"Pass"</formula>
    </cfRule>
    <cfRule type="cellIs" dxfId="7190" priority="7030" stopIfTrue="1" operator="equal">
      <formula>"Fail"</formula>
    </cfRule>
  </conditionalFormatting>
  <conditionalFormatting sqref="A1036">
    <cfRule type="cellIs" dxfId="7189" priority="7027" stopIfTrue="1" operator="equal">
      <formula>"Pass"</formula>
    </cfRule>
    <cfRule type="cellIs" dxfId="7188" priority="7028" stopIfTrue="1" operator="equal">
      <formula>"Fail"</formula>
    </cfRule>
  </conditionalFormatting>
  <conditionalFormatting sqref="A1036">
    <cfRule type="cellIs" dxfId="7187" priority="7025" stopIfTrue="1" operator="equal">
      <formula>"Pass"</formula>
    </cfRule>
    <cfRule type="cellIs" dxfId="7186" priority="7026" stopIfTrue="1" operator="equal">
      <formula>"Fail"</formula>
    </cfRule>
  </conditionalFormatting>
  <conditionalFormatting sqref="U1036:V1036">
    <cfRule type="cellIs" dxfId="7185" priority="7023" stopIfTrue="1" operator="equal">
      <formula>"Fail"</formula>
    </cfRule>
    <cfRule type="cellIs" dxfId="7184" priority="7024" stopIfTrue="1" operator="equal">
      <formula>"Pass"</formula>
    </cfRule>
  </conditionalFormatting>
  <conditionalFormatting sqref="F1036:G1036 J1036:N1036">
    <cfRule type="cellIs" dxfId="7183" priority="7021" stopIfTrue="1" operator="equal">
      <formula>"Pass"</formula>
    </cfRule>
    <cfRule type="cellIs" dxfId="7182" priority="7022" stopIfTrue="1" operator="equal">
      <formula>"Fail"</formula>
    </cfRule>
  </conditionalFormatting>
  <conditionalFormatting sqref="J1037:N1037">
    <cfRule type="cellIs" dxfId="7181" priority="7019" stopIfTrue="1" operator="equal">
      <formula>"Pass"</formula>
    </cfRule>
    <cfRule type="cellIs" dxfId="7180" priority="7020" stopIfTrue="1" operator="equal">
      <formula>"Fail"</formula>
    </cfRule>
  </conditionalFormatting>
  <conditionalFormatting sqref="A1036">
    <cfRule type="cellIs" dxfId="7179" priority="7017" stopIfTrue="1" operator="equal">
      <formula>"Pass"</formula>
    </cfRule>
    <cfRule type="cellIs" dxfId="7178" priority="7018" stopIfTrue="1" operator="equal">
      <formula>"Fail"</formula>
    </cfRule>
  </conditionalFormatting>
  <conditionalFormatting sqref="A1036">
    <cfRule type="cellIs" dxfId="7177" priority="7015" stopIfTrue="1" operator="equal">
      <formula>"Pass"</formula>
    </cfRule>
    <cfRule type="cellIs" dxfId="7176" priority="7016" stopIfTrue="1" operator="equal">
      <formula>"Fail"</formula>
    </cfRule>
  </conditionalFormatting>
  <conditionalFormatting sqref="A1036">
    <cfRule type="cellIs" dxfId="7175" priority="7013" stopIfTrue="1" operator="equal">
      <formula>"Pass"</formula>
    </cfRule>
    <cfRule type="cellIs" dxfId="7174" priority="7014" stopIfTrue="1" operator="equal">
      <formula>"Fail"</formula>
    </cfRule>
  </conditionalFormatting>
  <conditionalFormatting sqref="A1036">
    <cfRule type="cellIs" dxfId="7173" priority="7011" stopIfTrue="1" operator="equal">
      <formula>"Pass"</formula>
    </cfRule>
    <cfRule type="cellIs" dxfId="7172" priority="7012" stopIfTrue="1" operator="equal">
      <formula>"Fail"</formula>
    </cfRule>
  </conditionalFormatting>
  <conditionalFormatting sqref="A1036">
    <cfRule type="cellIs" dxfId="7171" priority="7009" stopIfTrue="1" operator="equal">
      <formula>"Pass"</formula>
    </cfRule>
    <cfRule type="cellIs" dxfId="7170" priority="7010" stopIfTrue="1" operator="equal">
      <formula>"Fail"</formula>
    </cfRule>
  </conditionalFormatting>
  <conditionalFormatting sqref="A1036">
    <cfRule type="cellIs" dxfId="7169" priority="7007" stopIfTrue="1" operator="equal">
      <formula>"Pass"</formula>
    </cfRule>
    <cfRule type="cellIs" dxfId="7168" priority="7008" stopIfTrue="1" operator="equal">
      <formula>"Fail"</formula>
    </cfRule>
  </conditionalFormatting>
  <conditionalFormatting sqref="A1036">
    <cfRule type="cellIs" dxfId="7167" priority="7005" stopIfTrue="1" operator="equal">
      <formula>"Pass"</formula>
    </cfRule>
    <cfRule type="cellIs" dxfId="7166" priority="7006" stopIfTrue="1" operator="equal">
      <formula>"Fail"</formula>
    </cfRule>
  </conditionalFormatting>
  <conditionalFormatting sqref="A1036">
    <cfRule type="cellIs" dxfId="7165" priority="7003" stopIfTrue="1" operator="equal">
      <formula>"Pass"</formula>
    </cfRule>
    <cfRule type="cellIs" dxfId="7164" priority="7004" stopIfTrue="1" operator="equal">
      <formula>"Fail"</formula>
    </cfRule>
  </conditionalFormatting>
  <conditionalFormatting sqref="A1036">
    <cfRule type="cellIs" dxfId="7163" priority="7001" stopIfTrue="1" operator="equal">
      <formula>"Pass"</formula>
    </cfRule>
    <cfRule type="cellIs" dxfId="7162" priority="7002" stopIfTrue="1" operator="equal">
      <formula>"Fail"</formula>
    </cfRule>
  </conditionalFormatting>
  <conditionalFormatting sqref="A1036">
    <cfRule type="cellIs" dxfId="7161" priority="6999" stopIfTrue="1" operator="equal">
      <formula>"Pass"</formula>
    </cfRule>
    <cfRule type="cellIs" dxfId="7160" priority="7000" stopIfTrue="1" operator="equal">
      <formula>"Fail"</formula>
    </cfRule>
  </conditionalFormatting>
  <conditionalFormatting sqref="A1036">
    <cfRule type="cellIs" dxfId="7159" priority="6997" stopIfTrue="1" operator="equal">
      <formula>"Pass"</formula>
    </cfRule>
    <cfRule type="cellIs" dxfId="7158" priority="6998" stopIfTrue="1" operator="equal">
      <formula>"Fail"</formula>
    </cfRule>
  </conditionalFormatting>
  <conditionalFormatting sqref="A1036">
    <cfRule type="cellIs" dxfId="7157" priority="6995" stopIfTrue="1" operator="equal">
      <formula>"Pass"</formula>
    </cfRule>
    <cfRule type="cellIs" dxfId="7156" priority="6996" stopIfTrue="1" operator="equal">
      <formula>"Fail"</formula>
    </cfRule>
  </conditionalFormatting>
  <conditionalFormatting sqref="H1036:H1037">
    <cfRule type="cellIs" dxfId="7155" priority="6993" stopIfTrue="1" operator="equal">
      <formula>"Pass"</formula>
    </cfRule>
    <cfRule type="cellIs" dxfId="7154" priority="6994" stopIfTrue="1" operator="equal">
      <formula>"Fail"</formula>
    </cfRule>
  </conditionalFormatting>
  <conditionalFormatting sqref="F1036 F1038 I1036:M1037">
    <cfRule type="cellIs" dxfId="7153" priority="6991" stopIfTrue="1" operator="equal">
      <formula>"Pass"</formula>
    </cfRule>
    <cfRule type="cellIs" dxfId="7152" priority="6992" stopIfTrue="1" operator="equal">
      <formula>"Fail"</formula>
    </cfRule>
  </conditionalFormatting>
  <conditionalFormatting sqref="T1038 T1036 R1036:R1038 S1037:S1038">
    <cfRule type="cellIs" dxfId="7151" priority="6989" stopIfTrue="1" operator="equal">
      <formula>"Fail"</formula>
    </cfRule>
    <cfRule type="cellIs" dxfId="7150" priority="6990" stopIfTrue="1" operator="equal">
      <formula>"Pass"</formula>
    </cfRule>
  </conditionalFormatting>
  <conditionalFormatting sqref="F1036:G1036 F1038:G1038 J1036:N1037">
    <cfRule type="cellIs" dxfId="7149" priority="6987" stopIfTrue="1" operator="equal">
      <formula>"Pass"</formula>
    </cfRule>
    <cfRule type="cellIs" dxfId="7148" priority="6988" stopIfTrue="1" operator="equal">
      <formula>"Fail"</formula>
    </cfRule>
  </conditionalFormatting>
  <conditionalFormatting sqref="U1038:V1038 T1036:T1038 S1037:S1038">
    <cfRule type="cellIs" dxfId="7147" priority="6985" stopIfTrue="1" operator="equal">
      <formula>"Fail"</formula>
    </cfRule>
    <cfRule type="cellIs" dxfId="7146" priority="6986" stopIfTrue="1" operator="equal">
      <formula>"Pass"</formula>
    </cfRule>
  </conditionalFormatting>
  <conditionalFormatting sqref="U1036:V1036">
    <cfRule type="cellIs" dxfId="7145" priority="6983" stopIfTrue="1" operator="equal">
      <formula>"Fail"</formula>
    </cfRule>
    <cfRule type="cellIs" dxfId="7144" priority="6984" stopIfTrue="1" operator="equal">
      <formula>"Pass"</formula>
    </cfRule>
  </conditionalFormatting>
  <conditionalFormatting sqref="F1036:G1036 J1036:N1036">
    <cfRule type="cellIs" dxfId="7143" priority="6981" stopIfTrue="1" operator="equal">
      <formula>"Pass"</formula>
    </cfRule>
    <cfRule type="cellIs" dxfId="7142" priority="6982" stopIfTrue="1" operator="equal">
      <formula>"Fail"</formula>
    </cfRule>
  </conditionalFormatting>
  <conditionalFormatting sqref="J1037:N1037">
    <cfRule type="cellIs" dxfId="7141" priority="6979" stopIfTrue="1" operator="equal">
      <formula>"Pass"</formula>
    </cfRule>
    <cfRule type="cellIs" dxfId="7140" priority="6980" stopIfTrue="1" operator="equal">
      <formula>"Fail"</formula>
    </cfRule>
  </conditionalFormatting>
  <conditionalFormatting sqref="H1036:H1037">
    <cfRule type="cellIs" dxfId="7139" priority="6977" stopIfTrue="1" operator="equal">
      <formula>"Pass"</formula>
    </cfRule>
    <cfRule type="cellIs" dxfId="7138" priority="6978" stopIfTrue="1" operator="equal">
      <formula>"Fail"</formula>
    </cfRule>
  </conditionalFormatting>
  <conditionalFormatting sqref="F1036 F1038 I1036:M1037">
    <cfRule type="cellIs" dxfId="7137" priority="6975" stopIfTrue="1" operator="equal">
      <formula>"Pass"</formula>
    </cfRule>
    <cfRule type="cellIs" dxfId="7136" priority="6976" stopIfTrue="1" operator="equal">
      <formula>"Fail"</formula>
    </cfRule>
  </conditionalFormatting>
  <conditionalFormatting sqref="T1038 T1036 R1036:R1038 S1037:S1038">
    <cfRule type="cellIs" dxfId="7135" priority="6973" stopIfTrue="1" operator="equal">
      <formula>"Fail"</formula>
    </cfRule>
    <cfRule type="cellIs" dxfId="7134" priority="6974" stopIfTrue="1" operator="equal">
      <formula>"Pass"</formula>
    </cfRule>
  </conditionalFormatting>
  <conditionalFormatting sqref="F1036:G1036 F1038:G1038 J1036:N1037">
    <cfRule type="cellIs" dxfId="7133" priority="6971" stopIfTrue="1" operator="equal">
      <formula>"Pass"</formula>
    </cfRule>
    <cfRule type="cellIs" dxfId="7132" priority="6972" stopIfTrue="1" operator="equal">
      <formula>"Fail"</formula>
    </cfRule>
  </conditionalFormatting>
  <conditionalFormatting sqref="U1038:V1038 T1036:T1038 S1037:S1038">
    <cfRule type="cellIs" dxfId="7131" priority="6969" stopIfTrue="1" operator="equal">
      <formula>"Fail"</formula>
    </cfRule>
    <cfRule type="cellIs" dxfId="7130" priority="6970" stopIfTrue="1" operator="equal">
      <formula>"Pass"</formula>
    </cfRule>
  </conditionalFormatting>
  <conditionalFormatting sqref="U1036:V1036">
    <cfRule type="cellIs" dxfId="7129" priority="6967" stopIfTrue="1" operator="equal">
      <formula>"Fail"</formula>
    </cfRule>
    <cfRule type="cellIs" dxfId="7128" priority="6968" stopIfTrue="1" operator="equal">
      <formula>"Pass"</formula>
    </cfRule>
  </conditionalFormatting>
  <conditionalFormatting sqref="F1036:G1036 J1036:N1036">
    <cfRule type="cellIs" dxfId="7127" priority="6965" stopIfTrue="1" operator="equal">
      <formula>"Pass"</formula>
    </cfRule>
    <cfRule type="cellIs" dxfId="7126" priority="6966" stopIfTrue="1" operator="equal">
      <formula>"Fail"</formula>
    </cfRule>
  </conditionalFormatting>
  <conditionalFormatting sqref="J1037:N1037">
    <cfRule type="cellIs" dxfId="7125" priority="6963" stopIfTrue="1" operator="equal">
      <formula>"Pass"</formula>
    </cfRule>
    <cfRule type="cellIs" dxfId="7124" priority="6964" stopIfTrue="1" operator="equal">
      <formula>"Fail"</formula>
    </cfRule>
  </conditionalFormatting>
  <conditionalFormatting sqref="U1036:V1036">
    <cfRule type="cellIs" dxfId="7123" priority="6961" stopIfTrue="1" operator="equal">
      <formula>"Fail"</formula>
    </cfRule>
    <cfRule type="cellIs" dxfId="7122" priority="6962" stopIfTrue="1" operator="equal">
      <formula>"Pass"</formula>
    </cfRule>
  </conditionalFormatting>
  <conditionalFormatting sqref="U1036:V1036">
    <cfRule type="cellIs" dxfId="7121" priority="6959" stopIfTrue="1" operator="equal">
      <formula>"Fail"</formula>
    </cfRule>
    <cfRule type="cellIs" dxfId="7120" priority="6960" stopIfTrue="1" operator="equal">
      <formula>"Pass"</formula>
    </cfRule>
  </conditionalFormatting>
  <conditionalFormatting sqref="U1036:V1036">
    <cfRule type="cellIs" dxfId="7119" priority="6957" stopIfTrue="1" operator="equal">
      <formula>"Fail"</formula>
    </cfRule>
    <cfRule type="cellIs" dxfId="7118" priority="6958" stopIfTrue="1" operator="equal">
      <formula>"Pass"</formula>
    </cfRule>
  </conditionalFormatting>
  <conditionalFormatting sqref="N1036">
    <cfRule type="cellIs" dxfId="7117" priority="6955" stopIfTrue="1" operator="equal">
      <formula>"Pass"</formula>
    </cfRule>
    <cfRule type="cellIs" dxfId="7116" priority="6956" stopIfTrue="1" operator="equal">
      <formula>"Fail"</formula>
    </cfRule>
  </conditionalFormatting>
  <conditionalFormatting sqref="N1036">
    <cfRule type="cellIs" dxfId="7115" priority="6953" stopIfTrue="1" operator="equal">
      <formula>"Pass"</formula>
    </cfRule>
    <cfRule type="cellIs" dxfId="7114" priority="6954" stopIfTrue="1" operator="equal">
      <formula>"Fail"</formula>
    </cfRule>
  </conditionalFormatting>
  <conditionalFormatting sqref="N1036">
    <cfRule type="cellIs" dxfId="7113" priority="6951" stopIfTrue="1" operator="equal">
      <formula>"Pass"</formula>
    </cfRule>
    <cfRule type="cellIs" dxfId="7112" priority="6952" stopIfTrue="1" operator="equal">
      <formula>"Fail"</formula>
    </cfRule>
  </conditionalFormatting>
  <conditionalFormatting sqref="A1036">
    <cfRule type="cellIs" dxfId="7111" priority="6949" stopIfTrue="1" operator="equal">
      <formula>"Pass"</formula>
    </cfRule>
    <cfRule type="cellIs" dxfId="7110" priority="6950" stopIfTrue="1" operator="equal">
      <formula>"Fail"</formula>
    </cfRule>
  </conditionalFormatting>
  <conditionalFormatting sqref="A1036">
    <cfRule type="cellIs" dxfId="7109" priority="6947" stopIfTrue="1" operator="equal">
      <formula>"Pass"</formula>
    </cfRule>
    <cfRule type="cellIs" dxfId="7108" priority="6948" stopIfTrue="1" operator="equal">
      <formula>"Fail"</formula>
    </cfRule>
  </conditionalFormatting>
  <conditionalFormatting sqref="A1036">
    <cfRule type="cellIs" dxfId="7107" priority="6945" stopIfTrue="1" operator="equal">
      <formula>"Pass"</formula>
    </cfRule>
    <cfRule type="cellIs" dxfId="7106" priority="6946" stopIfTrue="1" operator="equal">
      <formula>"Fail"</formula>
    </cfRule>
  </conditionalFormatting>
  <conditionalFormatting sqref="A1036">
    <cfRule type="cellIs" dxfId="7105" priority="6943" stopIfTrue="1" operator="equal">
      <formula>"Pass"</formula>
    </cfRule>
    <cfRule type="cellIs" dxfId="7104" priority="6944" stopIfTrue="1" operator="equal">
      <formula>"Fail"</formula>
    </cfRule>
  </conditionalFormatting>
  <conditionalFormatting sqref="A1036">
    <cfRule type="cellIs" dxfId="7103" priority="6941" stopIfTrue="1" operator="equal">
      <formula>"Pass"</formula>
    </cfRule>
    <cfRule type="cellIs" dxfId="7102" priority="6942" stopIfTrue="1" operator="equal">
      <formula>"Fail"</formula>
    </cfRule>
  </conditionalFormatting>
  <conditionalFormatting sqref="A1036">
    <cfRule type="cellIs" dxfId="7101" priority="6939" stopIfTrue="1" operator="equal">
      <formula>"Pass"</formula>
    </cfRule>
    <cfRule type="cellIs" dxfId="7100" priority="6940" stopIfTrue="1" operator="equal">
      <formula>"Fail"</formula>
    </cfRule>
  </conditionalFormatting>
  <conditionalFormatting sqref="A1036">
    <cfRule type="cellIs" dxfId="7099" priority="6937" stopIfTrue="1" operator="equal">
      <formula>"Pass"</formula>
    </cfRule>
    <cfRule type="cellIs" dxfId="7098" priority="6938" stopIfTrue="1" operator="equal">
      <formula>"Fail"</formula>
    </cfRule>
  </conditionalFormatting>
  <conditionalFormatting sqref="A1036">
    <cfRule type="cellIs" dxfId="7097" priority="6935" stopIfTrue="1" operator="equal">
      <formula>"Pass"</formula>
    </cfRule>
    <cfRule type="cellIs" dxfId="7096" priority="6936" stopIfTrue="1" operator="equal">
      <formula>"Fail"</formula>
    </cfRule>
  </conditionalFormatting>
  <conditionalFormatting sqref="A1036">
    <cfRule type="cellIs" dxfId="7095" priority="6933" stopIfTrue="1" operator="equal">
      <formula>"Pass"</formula>
    </cfRule>
    <cfRule type="cellIs" dxfId="7094" priority="6934" stopIfTrue="1" operator="equal">
      <formula>"Fail"</formula>
    </cfRule>
  </conditionalFormatting>
  <conditionalFormatting sqref="A1036">
    <cfRule type="cellIs" dxfId="7093" priority="6931" stopIfTrue="1" operator="equal">
      <formula>"Pass"</formula>
    </cfRule>
    <cfRule type="cellIs" dxfId="7092" priority="6932" stopIfTrue="1" operator="equal">
      <formula>"Fail"</formula>
    </cfRule>
  </conditionalFormatting>
  <conditionalFormatting sqref="A1036">
    <cfRule type="cellIs" dxfId="7091" priority="6929" stopIfTrue="1" operator="equal">
      <formula>"Pass"</formula>
    </cfRule>
    <cfRule type="cellIs" dxfId="7090" priority="6930" stopIfTrue="1" operator="equal">
      <formula>"Fail"</formula>
    </cfRule>
  </conditionalFormatting>
  <conditionalFormatting sqref="A1036">
    <cfRule type="cellIs" dxfId="7089" priority="6927" stopIfTrue="1" operator="equal">
      <formula>"Pass"</formula>
    </cfRule>
    <cfRule type="cellIs" dxfId="7088" priority="6928" stopIfTrue="1" operator="equal">
      <formula>"Fail"</formula>
    </cfRule>
  </conditionalFormatting>
  <conditionalFormatting sqref="A1036">
    <cfRule type="cellIs" dxfId="7087" priority="6925" stopIfTrue="1" operator="equal">
      <formula>"Pass"</formula>
    </cfRule>
    <cfRule type="cellIs" dxfId="7086" priority="6926" stopIfTrue="1" operator="equal">
      <formula>"Fail"</formula>
    </cfRule>
  </conditionalFormatting>
  <conditionalFormatting sqref="A1036">
    <cfRule type="cellIs" dxfId="7085" priority="6923" stopIfTrue="1" operator="equal">
      <formula>"Pass"</formula>
    </cfRule>
    <cfRule type="cellIs" dxfId="7084" priority="6924" stopIfTrue="1" operator="equal">
      <formula>"Fail"</formula>
    </cfRule>
  </conditionalFormatting>
  <conditionalFormatting sqref="A1036">
    <cfRule type="cellIs" dxfId="7083" priority="6921" stopIfTrue="1" operator="equal">
      <formula>"Pass"</formula>
    </cfRule>
    <cfRule type="cellIs" dxfId="7082" priority="6922" stopIfTrue="1" operator="equal">
      <formula>"Fail"</formula>
    </cfRule>
  </conditionalFormatting>
  <conditionalFormatting sqref="A1036">
    <cfRule type="cellIs" dxfId="7081" priority="6919" stopIfTrue="1" operator="equal">
      <formula>"Pass"</formula>
    </cfRule>
    <cfRule type="cellIs" dxfId="7080" priority="6920" stopIfTrue="1" operator="equal">
      <formula>"Fail"</formula>
    </cfRule>
  </conditionalFormatting>
  <conditionalFormatting sqref="A1036">
    <cfRule type="cellIs" dxfId="7079" priority="6917" stopIfTrue="1" operator="equal">
      <formula>"Pass"</formula>
    </cfRule>
    <cfRule type="cellIs" dxfId="7078" priority="6918" stopIfTrue="1" operator="equal">
      <formula>"Fail"</formula>
    </cfRule>
  </conditionalFormatting>
  <conditionalFormatting sqref="A1036">
    <cfRule type="cellIs" dxfId="7077" priority="6915" stopIfTrue="1" operator="equal">
      <formula>"Pass"</formula>
    </cfRule>
    <cfRule type="cellIs" dxfId="7076" priority="6916" stopIfTrue="1" operator="equal">
      <formula>"Fail"</formula>
    </cfRule>
  </conditionalFormatting>
  <conditionalFormatting sqref="H1036:H1037">
    <cfRule type="cellIs" dxfId="7075" priority="6913" stopIfTrue="1" operator="equal">
      <formula>"Pass"</formula>
    </cfRule>
    <cfRule type="cellIs" dxfId="7074" priority="6914" stopIfTrue="1" operator="equal">
      <formula>"Fail"</formula>
    </cfRule>
  </conditionalFormatting>
  <conditionalFormatting sqref="F1036 F1038 I1036:M1037">
    <cfRule type="cellIs" dxfId="7073" priority="6911" stopIfTrue="1" operator="equal">
      <formula>"Pass"</formula>
    </cfRule>
    <cfRule type="cellIs" dxfId="7072" priority="6912" stopIfTrue="1" operator="equal">
      <formula>"Fail"</formula>
    </cfRule>
  </conditionalFormatting>
  <conditionalFormatting sqref="T1038 T1036 R1036:R1038 S1037:S1038">
    <cfRule type="cellIs" dxfId="7071" priority="6909" stopIfTrue="1" operator="equal">
      <formula>"Fail"</formula>
    </cfRule>
    <cfRule type="cellIs" dxfId="7070" priority="6910" stopIfTrue="1" operator="equal">
      <formula>"Pass"</formula>
    </cfRule>
  </conditionalFormatting>
  <conditionalFormatting sqref="F1036:G1036 F1038:G1038 J1036:N1037">
    <cfRule type="cellIs" dxfId="7069" priority="6907" stopIfTrue="1" operator="equal">
      <formula>"Pass"</formula>
    </cfRule>
    <cfRule type="cellIs" dxfId="7068" priority="6908" stopIfTrue="1" operator="equal">
      <formula>"Fail"</formula>
    </cfRule>
  </conditionalFormatting>
  <conditionalFormatting sqref="U1038:V1038 T1036:T1038 S1037:S1038">
    <cfRule type="cellIs" dxfId="7067" priority="6905" stopIfTrue="1" operator="equal">
      <formula>"Fail"</formula>
    </cfRule>
    <cfRule type="cellIs" dxfId="7066" priority="6906" stopIfTrue="1" operator="equal">
      <formula>"Pass"</formula>
    </cfRule>
  </conditionalFormatting>
  <conditionalFormatting sqref="U1036:V1036">
    <cfRule type="cellIs" dxfId="7065" priority="6903" stopIfTrue="1" operator="equal">
      <formula>"Fail"</formula>
    </cfRule>
    <cfRule type="cellIs" dxfId="7064" priority="6904" stopIfTrue="1" operator="equal">
      <formula>"Pass"</formula>
    </cfRule>
  </conditionalFormatting>
  <conditionalFormatting sqref="F1036:G1036 J1036:N1036">
    <cfRule type="cellIs" dxfId="7063" priority="6901" stopIfTrue="1" operator="equal">
      <formula>"Pass"</formula>
    </cfRule>
    <cfRule type="cellIs" dxfId="7062" priority="6902" stopIfTrue="1" operator="equal">
      <formula>"Fail"</formula>
    </cfRule>
  </conditionalFormatting>
  <conditionalFormatting sqref="J1037:N1037">
    <cfRule type="cellIs" dxfId="7061" priority="6899" stopIfTrue="1" operator="equal">
      <formula>"Pass"</formula>
    </cfRule>
    <cfRule type="cellIs" dxfId="7060" priority="6900" stopIfTrue="1" operator="equal">
      <formula>"Fail"</formula>
    </cfRule>
  </conditionalFormatting>
  <conditionalFormatting sqref="H1036:H1037">
    <cfRule type="cellIs" dxfId="7059" priority="6897" stopIfTrue="1" operator="equal">
      <formula>"Pass"</formula>
    </cfRule>
    <cfRule type="cellIs" dxfId="7058" priority="6898" stopIfTrue="1" operator="equal">
      <formula>"Fail"</formula>
    </cfRule>
  </conditionalFormatting>
  <conditionalFormatting sqref="F1036 F1038 I1036:M1037">
    <cfRule type="cellIs" dxfId="7057" priority="6895" stopIfTrue="1" operator="equal">
      <formula>"Pass"</formula>
    </cfRule>
    <cfRule type="cellIs" dxfId="7056" priority="6896" stopIfTrue="1" operator="equal">
      <formula>"Fail"</formula>
    </cfRule>
  </conditionalFormatting>
  <conditionalFormatting sqref="T1038 T1036 R1036:R1038 S1037:S1038">
    <cfRule type="cellIs" dxfId="7055" priority="6893" stopIfTrue="1" operator="equal">
      <formula>"Fail"</formula>
    </cfRule>
    <cfRule type="cellIs" dxfId="7054" priority="6894" stopIfTrue="1" operator="equal">
      <formula>"Pass"</formula>
    </cfRule>
  </conditionalFormatting>
  <conditionalFormatting sqref="F1036:G1036 F1038:G1038 J1036:N1037">
    <cfRule type="cellIs" dxfId="7053" priority="6891" stopIfTrue="1" operator="equal">
      <formula>"Pass"</formula>
    </cfRule>
    <cfRule type="cellIs" dxfId="7052" priority="6892" stopIfTrue="1" operator="equal">
      <formula>"Fail"</formula>
    </cfRule>
  </conditionalFormatting>
  <conditionalFormatting sqref="U1038:V1038 T1036:T1038 S1037:S1038">
    <cfRule type="cellIs" dxfId="7051" priority="6889" stopIfTrue="1" operator="equal">
      <formula>"Fail"</formula>
    </cfRule>
    <cfRule type="cellIs" dxfId="7050" priority="6890" stopIfTrue="1" operator="equal">
      <formula>"Pass"</formula>
    </cfRule>
  </conditionalFormatting>
  <conditionalFormatting sqref="U1036:V1036">
    <cfRule type="cellIs" dxfId="7049" priority="6887" stopIfTrue="1" operator="equal">
      <formula>"Fail"</formula>
    </cfRule>
    <cfRule type="cellIs" dxfId="7048" priority="6888" stopIfTrue="1" operator="equal">
      <formula>"Pass"</formula>
    </cfRule>
  </conditionalFormatting>
  <conditionalFormatting sqref="F1036:G1036 J1036:N1036">
    <cfRule type="cellIs" dxfId="7047" priority="6885" stopIfTrue="1" operator="equal">
      <formula>"Pass"</formula>
    </cfRule>
    <cfRule type="cellIs" dxfId="7046" priority="6886" stopIfTrue="1" operator="equal">
      <formula>"Fail"</formula>
    </cfRule>
  </conditionalFormatting>
  <conditionalFormatting sqref="J1037:N1037">
    <cfRule type="cellIs" dxfId="7045" priority="6883" stopIfTrue="1" operator="equal">
      <formula>"Pass"</formula>
    </cfRule>
    <cfRule type="cellIs" dxfId="7044" priority="6884" stopIfTrue="1" operator="equal">
      <formula>"Fail"</formula>
    </cfRule>
  </conditionalFormatting>
  <conditionalFormatting sqref="H1036:H1037">
    <cfRule type="cellIs" dxfId="7043" priority="6881" stopIfTrue="1" operator="equal">
      <formula>"Pass"</formula>
    </cfRule>
    <cfRule type="cellIs" dxfId="7042" priority="6882" stopIfTrue="1" operator="equal">
      <formula>"Fail"</formula>
    </cfRule>
  </conditionalFormatting>
  <conditionalFormatting sqref="F1036 F1038 I1036:M1037">
    <cfRule type="cellIs" dxfId="7041" priority="6879" stopIfTrue="1" operator="equal">
      <formula>"Pass"</formula>
    </cfRule>
    <cfRule type="cellIs" dxfId="7040" priority="6880" stopIfTrue="1" operator="equal">
      <formula>"Fail"</formula>
    </cfRule>
  </conditionalFormatting>
  <conditionalFormatting sqref="T1038 T1036 R1036:R1038 S1037:S1038">
    <cfRule type="cellIs" dxfId="7039" priority="6877" stopIfTrue="1" operator="equal">
      <formula>"Fail"</formula>
    </cfRule>
    <cfRule type="cellIs" dxfId="7038" priority="6878" stopIfTrue="1" operator="equal">
      <formula>"Pass"</formula>
    </cfRule>
  </conditionalFormatting>
  <conditionalFormatting sqref="F1036:G1036 F1038:G1038 J1036:N1037">
    <cfRule type="cellIs" dxfId="7037" priority="6875" stopIfTrue="1" operator="equal">
      <formula>"Pass"</formula>
    </cfRule>
    <cfRule type="cellIs" dxfId="7036" priority="6876" stopIfTrue="1" operator="equal">
      <formula>"Fail"</formula>
    </cfRule>
  </conditionalFormatting>
  <conditionalFormatting sqref="U1038:V1038 T1036:T1038 S1037:S1038">
    <cfRule type="cellIs" dxfId="7035" priority="6873" stopIfTrue="1" operator="equal">
      <formula>"Fail"</formula>
    </cfRule>
    <cfRule type="cellIs" dxfId="7034" priority="6874" stopIfTrue="1" operator="equal">
      <formula>"Pass"</formula>
    </cfRule>
  </conditionalFormatting>
  <conditionalFormatting sqref="U1036:V1036">
    <cfRule type="cellIs" dxfId="7033" priority="6871" stopIfTrue="1" operator="equal">
      <formula>"Fail"</formula>
    </cfRule>
    <cfRule type="cellIs" dxfId="7032" priority="6872" stopIfTrue="1" operator="equal">
      <formula>"Pass"</formula>
    </cfRule>
  </conditionalFormatting>
  <conditionalFormatting sqref="F1036:G1036 J1036:N1036">
    <cfRule type="cellIs" dxfId="7031" priority="6869" stopIfTrue="1" operator="equal">
      <formula>"Pass"</formula>
    </cfRule>
    <cfRule type="cellIs" dxfId="7030" priority="6870" stopIfTrue="1" operator="equal">
      <formula>"Fail"</formula>
    </cfRule>
  </conditionalFormatting>
  <conditionalFormatting sqref="J1037:N1037">
    <cfRule type="cellIs" dxfId="7029" priority="6867" stopIfTrue="1" operator="equal">
      <formula>"Pass"</formula>
    </cfRule>
    <cfRule type="cellIs" dxfId="7028" priority="6868" stopIfTrue="1" operator="equal">
      <formula>"Fail"</formula>
    </cfRule>
  </conditionalFormatting>
  <conditionalFormatting sqref="U1036:V1036">
    <cfRule type="cellIs" dxfId="7027" priority="6865" stopIfTrue="1" operator="equal">
      <formula>"Fail"</formula>
    </cfRule>
    <cfRule type="cellIs" dxfId="7026" priority="6866" stopIfTrue="1" operator="equal">
      <formula>"Pass"</formula>
    </cfRule>
  </conditionalFormatting>
  <conditionalFormatting sqref="U1036:V1036">
    <cfRule type="cellIs" dxfId="7025" priority="6863" stopIfTrue="1" operator="equal">
      <formula>"Fail"</formula>
    </cfRule>
    <cfRule type="cellIs" dxfId="7024" priority="6864" stopIfTrue="1" operator="equal">
      <formula>"Pass"</formula>
    </cfRule>
  </conditionalFormatting>
  <conditionalFormatting sqref="U1036:V1036">
    <cfRule type="cellIs" dxfId="7023" priority="6861" stopIfTrue="1" operator="equal">
      <formula>"Fail"</formula>
    </cfRule>
    <cfRule type="cellIs" dxfId="7022" priority="6862" stopIfTrue="1" operator="equal">
      <formula>"Pass"</formula>
    </cfRule>
  </conditionalFormatting>
  <conditionalFormatting sqref="N1036">
    <cfRule type="cellIs" dxfId="7021" priority="6859" stopIfTrue="1" operator="equal">
      <formula>"Pass"</formula>
    </cfRule>
    <cfRule type="cellIs" dxfId="7020" priority="6860" stopIfTrue="1" operator="equal">
      <formula>"Fail"</formula>
    </cfRule>
  </conditionalFormatting>
  <conditionalFormatting sqref="N1036">
    <cfRule type="cellIs" dxfId="7019" priority="6857" stopIfTrue="1" operator="equal">
      <formula>"Pass"</formula>
    </cfRule>
    <cfRule type="cellIs" dxfId="7018" priority="6858" stopIfTrue="1" operator="equal">
      <formula>"Fail"</formula>
    </cfRule>
  </conditionalFormatting>
  <conditionalFormatting sqref="N1036">
    <cfRule type="cellIs" dxfId="7017" priority="6855" stopIfTrue="1" operator="equal">
      <formula>"Pass"</formula>
    </cfRule>
    <cfRule type="cellIs" dxfId="7016" priority="6856" stopIfTrue="1" operator="equal">
      <formula>"Fail"</formula>
    </cfRule>
  </conditionalFormatting>
  <conditionalFormatting sqref="U1036:V1036">
    <cfRule type="cellIs" dxfId="7015" priority="6853" stopIfTrue="1" operator="equal">
      <formula>"Fail"</formula>
    </cfRule>
    <cfRule type="cellIs" dxfId="7014" priority="6854" stopIfTrue="1" operator="equal">
      <formula>"Pass"</formula>
    </cfRule>
  </conditionalFormatting>
  <conditionalFormatting sqref="U1036:V1036">
    <cfRule type="cellIs" dxfId="7013" priority="6851" stopIfTrue="1" operator="equal">
      <formula>"Fail"</formula>
    </cfRule>
    <cfRule type="cellIs" dxfId="7012" priority="6852" stopIfTrue="1" operator="equal">
      <formula>"Pass"</formula>
    </cfRule>
  </conditionalFormatting>
  <conditionalFormatting sqref="U1036:V1036">
    <cfRule type="cellIs" dxfId="7011" priority="6849" stopIfTrue="1" operator="equal">
      <formula>"Fail"</formula>
    </cfRule>
    <cfRule type="cellIs" dxfId="7010" priority="6850" stopIfTrue="1" operator="equal">
      <formula>"Pass"</formula>
    </cfRule>
  </conditionalFormatting>
  <conditionalFormatting sqref="U1036:V1036">
    <cfRule type="cellIs" dxfId="7009" priority="6847" stopIfTrue="1" operator="equal">
      <formula>"Fail"</formula>
    </cfRule>
    <cfRule type="cellIs" dxfId="7008" priority="6848" stopIfTrue="1" operator="equal">
      <formula>"Pass"</formula>
    </cfRule>
  </conditionalFormatting>
  <conditionalFormatting sqref="T1036">
    <cfRule type="cellIs" dxfId="7007" priority="6845" stopIfTrue="1" operator="equal">
      <formula>"Fail"</formula>
    </cfRule>
    <cfRule type="cellIs" dxfId="7006" priority="6846" stopIfTrue="1" operator="equal">
      <formula>"Pass"</formula>
    </cfRule>
  </conditionalFormatting>
  <conditionalFormatting sqref="T1036">
    <cfRule type="cellIs" dxfId="7005" priority="6843" stopIfTrue="1" operator="equal">
      <formula>"Fail"</formula>
    </cfRule>
    <cfRule type="cellIs" dxfId="7004" priority="6844" stopIfTrue="1" operator="equal">
      <formula>"Pass"</formula>
    </cfRule>
  </conditionalFormatting>
  <conditionalFormatting sqref="T1036">
    <cfRule type="cellIs" dxfId="7003" priority="6841" stopIfTrue="1" operator="equal">
      <formula>"Fail"</formula>
    </cfRule>
    <cfRule type="cellIs" dxfId="7002" priority="6842" stopIfTrue="1" operator="equal">
      <formula>"Pass"</formula>
    </cfRule>
  </conditionalFormatting>
  <conditionalFormatting sqref="T1036">
    <cfRule type="cellIs" dxfId="7001" priority="6839" stopIfTrue="1" operator="equal">
      <formula>"Fail"</formula>
    </cfRule>
    <cfRule type="cellIs" dxfId="7000" priority="6840" stopIfTrue="1" operator="equal">
      <formula>"Pass"</formula>
    </cfRule>
  </conditionalFormatting>
  <conditionalFormatting sqref="T1036">
    <cfRule type="cellIs" dxfId="6999" priority="6837" stopIfTrue="1" operator="equal">
      <formula>"Fail"</formula>
    </cfRule>
    <cfRule type="cellIs" dxfId="6998" priority="6838" stopIfTrue="1" operator="equal">
      <formula>"Pass"</formula>
    </cfRule>
  </conditionalFormatting>
  <conditionalFormatting sqref="T1036">
    <cfRule type="cellIs" dxfId="6997" priority="6835" stopIfTrue="1" operator="equal">
      <formula>"Fail"</formula>
    </cfRule>
    <cfRule type="cellIs" dxfId="6996" priority="6836" stopIfTrue="1" operator="equal">
      <formula>"Pass"</formula>
    </cfRule>
  </conditionalFormatting>
  <conditionalFormatting sqref="T1036">
    <cfRule type="cellIs" dxfId="6995" priority="6833" stopIfTrue="1" operator="equal">
      <formula>"Fail"</formula>
    </cfRule>
    <cfRule type="cellIs" dxfId="6994" priority="6834" stopIfTrue="1" operator="equal">
      <formula>"Pass"</formula>
    </cfRule>
  </conditionalFormatting>
  <conditionalFormatting sqref="T1036">
    <cfRule type="cellIs" dxfId="6993" priority="6831" stopIfTrue="1" operator="equal">
      <formula>"Fail"</formula>
    </cfRule>
    <cfRule type="cellIs" dxfId="6992" priority="6832" stopIfTrue="1" operator="equal">
      <formula>"Pass"</formula>
    </cfRule>
  </conditionalFormatting>
  <conditionalFormatting sqref="T1036">
    <cfRule type="cellIs" dxfId="6991" priority="6829" stopIfTrue="1" operator="equal">
      <formula>"Fail"</formula>
    </cfRule>
    <cfRule type="cellIs" dxfId="6990" priority="6830" stopIfTrue="1" operator="equal">
      <formula>"Pass"</formula>
    </cfRule>
  </conditionalFormatting>
  <conditionalFormatting sqref="T1036">
    <cfRule type="cellIs" dxfId="6989" priority="6827" stopIfTrue="1" operator="equal">
      <formula>"Fail"</formula>
    </cfRule>
    <cfRule type="cellIs" dxfId="6988" priority="6828" stopIfTrue="1" operator="equal">
      <formula>"Pass"</formula>
    </cfRule>
  </conditionalFormatting>
  <conditionalFormatting sqref="T1036">
    <cfRule type="cellIs" dxfId="6987" priority="6825" stopIfTrue="1" operator="equal">
      <formula>"Fail"</formula>
    </cfRule>
    <cfRule type="cellIs" dxfId="6986" priority="6826" stopIfTrue="1" operator="equal">
      <formula>"Pass"</formula>
    </cfRule>
  </conditionalFormatting>
  <conditionalFormatting sqref="T1036">
    <cfRule type="cellIs" dxfId="6985" priority="6823" stopIfTrue="1" operator="equal">
      <formula>"Fail"</formula>
    </cfRule>
    <cfRule type="cellIs" dxfId="6984" priority="6824" stopIfTrue="1" operator="equal">
      <formula>"Pass"</formula>
    </cfRule>
  </conditionalFormatting>
  <conditionalFormatting sqref="T1036">
    <cfRule type="cellIs" dxfId="6983" priority="6821" stopIfTrue="1" operator="equal">
      <formula>"Fail"</formula>
    </cfRule>
    <cfRule type="cellIs" dxfId="6982" priority="6822" stopIfTrue="1" operator="equal">
      <formula>"Pass"</formula>
    </cfRule>
  </conditionalFormatting>
  <conditionalFormatting sqref="T1036">
    <cfRule type="cellIs" dxfId="6981" priority="6819" stopIfTrue="1" operator="equal">
      <formula>"Fail"</formula>
    </cfRule>
    <cfRule type="cellIs" dxfId="6980" priority="6820" stopIfTrue="1" operator="equal">
      <formula>"Pass"</formula>
    </cfRule>
  </conditionalFormatting>
  <conditionalFormatting sqref="T1036">
    <cfRule type="cellIs" dxfId="6979" priority="6817" stopIfTrue="1" operator="equal">
      <formula>"Fail"</formula>
    </cfRule>
    <cfRule type="cellIs" dxfId="6978" priority="6818" stopIfTrue="1" operator="equal">
      <formula>"Pass"</formula>
    </cfRule>
  </conditionalFormatting>
  <conditionalFormatting sqref="T1036">
    <cfRule type="cellIs" dxfId="6977" priority="6815" stopIfTrue="1" operator="equal">
      <formula>"Fail"</formula>
    </cfRule>
    <cfRule type="cellIs" dxfId="6976" priority="6816" stopIfTrue="1" operator="equal">
      <formula>"Pass"</formula>
    </cfRule>
  </conditionalFormatting>
  <conditionalFormatting sqref="T1036">
    <cfRule type="cellIs" dxfId="6975" priority="6813" stopIfTrue="1" operator="equal">
      <formula>"Fail"</formula>
    </cfRule>
    <cfRule type="cellIs" dxfId="6974" priority="6814" stopIfTrue="1" operator="equal">
      <formula>"Pass"</formula>
    </cfRule>
  </conditionalFormatting>
  <conditionalFormatting sqref="T1036">
    <cfRule type="cellIs" dxfId="6973" priority="6811" stopIfTrue="1" operator="equal">
      <formula>"Fail"</formula>
    </cfRule>
    <cfRule type="cellIs" dxfId="6972" priority="6812" stopIfTrue="1" operator="equal">
      <formula>"Pass"</formula>
    </cfRule>
  </conditionalFormatting>
  <conditionalFormatting sqref="T1036">
    <cfRule type="cellIs" dxfId="6971" priority="6809" stopIfTrue="1" operator="equal">
      <formula>"Fail"</formula>
    </cfRule>
    <cfRule type="cellIs" dxfId="6970" priority="6810" stopIfTrue="1" operator="equal">
      <formula>"Pass"</formula>
    </cfRule>
  </conditionalFormatting>
  <conditionalFormatting sqref="T1036">
    <cfRule type="cellIs" dxfId="6969" priority="6807" stopIfTrue="1" operator="equal">
      <formula>"Fail"</formula>
    </cfRule>
    <cfRule type="cellIs" dxfId="6968" priority="6808" stopIfTrue="1" operator="equal">
      <formula>"Pass"</formula>
    </cfRule>
  </conditionalFormatting>
  <conditionalFormatting sqref="T1036">
    <cfRule type="cellIs" dxfId="6967" priority="6805" stopIfTrue="1" operator="equal">
      <formula>"Fail"</formula>
    </cfRule>
    <cfRule type="cellIs" dxfId="6966" priority="6806" stopIfTrue="1" operator="equal">
      <formula>"Pass"</formula>
    </cfRule>
  </conditionalFormatting>
  <conditionalFormatting sqref="T1036">
    <cfRule type="cellIs" dxfId="6965" priority="6803" stopIfTrue="1" operator="equal">
      <formula>"Fail"</formula>
    </cfRule>
    <cfRule type="cellIs" dxfId="6964" priority="6804" stopIfTrue="1" operator="equal">
      <formula>"Pass"</formula>
    </cfRule>
  </conditionalFormatting>
  <conditionalFormatting sqref="T1036">
    <cfRule type="cellIs" dxfId="6963" priority="6801" stopIfTrue="1" operator="equal">
      <formula>"Fail"</formula>
    </cfRule>
    <cfRule type="cellIs" dxfId="6962" priority="6802" stopIfTrue="1" operator="equal">
      <formula>"Pass"</formula>
    </cfRule>
  </conditionalFormatting>
  <conditionalFormatting sqref="T1036">
    <cfRule type="cellIs" dxfId="6961" priority="6799" stopIfTrue="1" operator="equal">
      <formula>"Fail"</formula>
    </cfRule>
    <cfRule type="cellIs" dxfId="6960" priority="6800" stopIfTrue="1" operator="equal">
      <formula>"Pass"</formula>
    </cfRule>
  </conditionalFormatting>
  <conditionalFormatting sqref="A1030:A1035">
    <cfRule type="cellIs" dxfId="6959" priority="6797" stopIfTrue="1" operator="equal">
      <formula>"Pass"</formula>
    </cfRule>
    <cfRule type="cellIs" dxfId="6958" priority="6798" stopIfTrue="1" operator="equal">
      <formula>"Fail"</formula>
    </cfRule>
  </conditionalFormatting>
  <conditionalFormatting sqref="A1030:A1035">
    <cfRule type="cellIs" dxfId="6957" priority="6795" stopIfTrue="1" operator="equal">
      <formula>"Pass"</formula>
    </cfRule>
    <cfRule type="cellIs" dxfId="6956" priority="6796" stopIfTrue="1" operator="equal">
      <formula>"Fail"</formula>
    </cfRule>
  </conditionalFormatting>
  <conditionalFormatting sqref="A1030:A1035">
    <cfRule type="cellIs" dxfId="6955" priority="6793" stopIfTrue="1" operator="equal">
      <formula>"Pass"</formula>
    </cfRule>
    <cfRule type="cellIs" dxfId="6954" priority="6794" stopIfTrue="1" operator="equal">
      <formula>"Fail"</formula>
    </cfRule>
  </conditionalFormatting>
  <conditionalFormatting sqref="A1030:A1035">
    <cfRule type="cellIs" dxfId="6953" priority="6791" stopIfTrue="1" operator="equal">
      <formula>"Pass"</formula>
    </cfRule>
    <cfRule type="cellIs" dxfId="6952" priority="6792" stopIfTrue="1" operator="equal">
      <formula>"Fail"</formula>
    </cfRule>
  </conditionalFormatting>
  <conditionalFormatting sqref="A1030:A1035">
    <cfRule type="cellIs" dxfId="6951" priority="6789" stopIfTrue="1" operator="equal">
      <formula>"Pass"</formula>
    </cfRule>
    <cfRule type="cellIs" dxfId="6950" priority="6790" stopIfTrue="1" operator="equal">
      <formula>"Fail"</formula>
    </cfRule>
  </conditionalFormatting>
  <conditionalFormatting sqref="A1035 A1032">
    <cfRule type="cellIs" dxfId="6949" priority="6787" stopIfTrue="1" operator="equal">
      <formula>"Pass"</formula>
    </cfRule>
    <cfRule type="cellIs" dxfId="6948" priority="6788" stopIfTrue="1" operator="equal">
      <formula>"Fail"</formula>
    </cfRule>
  </conditionalFormatting>
  <conditionalFormatting sqref="A1030:A1035">
    <cfRule type="cellIs" dxfId="6947" priority="6785" stopIfTrue="1" operator="equal">
      <formula>"Pass"</formula>
    </cfRule>
    <cfRule type="cellIs" dxfId="6946" priority="6786" stopIfTrue="1" operator="equal">
      <formula>"Fail"</formula>
    </cfRule>
  </conditionalFormatting>
  <conditionalFormatting sqref="A1030:A1035">
    <cfRule type="cellIs" dxfId="6945" priority="6783" stopIfTrue="1" operator="equal">
      <formula>"Pass"</formula>
    </cfRule>
    <cfRule type="cellIs" dxfId="6944" priority="6784" stopIfTrue="1" operator="equal">
      <formula>"Fail"</formula>
    </cfRule>
  </conditionalFormatting>
  <conditionalFormatting sqref="A1030:A1035">
    <cfRule type="cellIs" dxfId="6943" priority="6781" stopIfTrue="1" operator="equal">
      <formula>"Pass"</formula>
    </cfRule>
    <cfRule type="cellIs" dxfId="6942" priority="6782" stopIfTrue="1" operator="equal">
      <formula>"Fail"</formula>
    </cfRule>
  </conditionalFormatting>
  <conditionalFormatting sqref="A1030:A1035">
    <cfRule type="cellIs" dxfId="6941" priority="6779" stopIfTrue="1" operator="equal">
      <formula>"Pass"</formula>
    </cfRule>
    <cfRule type="cellIs" dxfId="6940" priority="6780" stopIfTrue="1" operator="equal">
      <formula>"Fail"</formula>
    </cfRule>
  </conditionalFormatting>
  <conditionalFormatting sqref="A1030:A1035">
    <cfRule type="cellIs" dxfId="6939" priority="6777" stopIfTrue="1" operator="equal">
      <formula>"Pass"</formula>
    </cfRule>
    <cfRule type="cellIs" dxfId="6938" priority="6778" stopIfTrue="1" operator="equal">
      <formula>"Fail"</formula>
    </cfRule>
  </conditionalFormatting>
  <conditionalFormatting sqref="A1030:A1035">
    <cfRule type="cellIs" dxfId="6937" priority="6775" stopIfTrue="1" operator="equal">
      <formula>"Pass"</formula>
    </cfRule>
    <cfRule type="cellIs" dxfId="6936" priority="6776" stopIfTrue="1" operator="equal">
      <formula>"Fail"</formula>
    </cfRule>
  </conditionalFormatting>
  <conditionalFormatting sqref="A1035 A1032">
    <cfRule type="cellIs" dxfId="6935" priority="6773" stopIfTrue="1" operator="equal">
      <formula>"Pass"</formula>
    </cfRule>
    <cfRule type="cellIs" dxfId="6934" priority="6774" stopIfTrue="1" operator="equal">
      <formula>"Fail"</formula>
    </cfRule>
  </conditionalFormatting>
  <conditionalFormatting sqref="A1030:A1035">
    <cfRule type="cellIs" dxfId="6933" priority="6771" stopIfTrue="1" operator="equal">
      <formula>"Pass"</formula>
    </cfRule>
    <cfRule type="cellIs" dxfId="6932" priority="6772" stopIfTrue="1" operator="equal">
      <formula>"Fail"</formula>
    </cfRule>
  </conditionalFormatting>
  <conditionalFormatting sqref="A1030:A1035">
    <cfRule type="cellIs" dxfId="6931" priority="6769" stopIfTrue="1" operator="equal">
      <formula>"Pass"</formula>
    </cfRule>
    <cfRule type="cellIs" dxfId="6930" priority="6770" stopIfTrue="1" operator="equal">
      <formula>"Fail"</formula>
    </cfRule>
  </conditionalFormatting>
  <conditionalFormatting sqref="A1030:A1035">
    <cfRule type="cellIs" dxfId="6929" priority="6767" stopIfTrue="1" operator="equal">
      <formula>"Pass"</formula>
    </cfRule>
    <cfRule type="cellIs" dxfId="6928" priority="6768" stopIfTrue="1" operator="equal">
      <formula>"Fail"</formula>
    </cfRule>
  </conditionalFormatting>
  <conditionalFormatting sqref="A1030:A1035">
    <cfRule type="cellIs" dxfId="6927" priority="6765" stopIfTrue="1" operator="equal">
      <formula>"Pass"</formula>
    </cfRule>
    <cfRule type="cellIs" dxfId="6926" priority="6766" stopIfTrue="1" operator="equal">
      <formula>"Fail"</formula>
    </cfRule>
  </conditionalFormatting>
  <conditionalFormatting sqref="A1030:A1035">
    <cfRule type="cellIs" dxfId="6925" priority="6763" stopIfTrue="1" operator="equal">
      <formula>"Pass"</formula>
    </cfRule>
    <cfRule type="cellIs" dxfId="6924" priority="6764" stopIfTrue="1" operator="equal">
      <formula>"Fail"</formula>
    </cfRule>
  </conditionalFormatting>
  <conditionalFormatting sqref="A1030:A1035">
    <cfRule type="cellIs" dxfId="6923" priority="6761" stopIfTrue="1" operator="equal">
      <formula>"Pass"</formula>
    </cfRule>
    <cfRule type="cellIs" dxfId="6922" priority="6762" stopIfTrue="1" operator="equal">
      <formula>"Fail"</formula>
    </cfRule>
  </conditionalFormatting>
  <conditionalFormatting sqref="A1035 A1032">
    <cfRule type="cellIs" dxfId="6921" priority="6759" stopIfTrue="1" operator="equal">
      <formula>"Pass"</formula>
    </cfRule>
    <cfRule type="cellIs" dxfId="6920" priority="6760" stopIfTrue="1" operator="equal">
      <formula>"Fail"</formula>
    </cfRule>
  </conditionalFormatting>
  <conditionalFormatting sqref="A1030:A1035">
    <cfRule type="cellIs" dxfId="6919" priority="6757" stopIfTrue="1" operator="equal">
      <formula>"Pass"</formula>
    </cfRule>
    <cfRule type="cellIs" dxfId="6918" priority="6758" stopIfTrue="1" operator="equal">
      <formula>"Fail"</formula>
    </cfRule>
  </conditionalFormatting>
  <conditionalFormatting sqref="A1030:A1035">
    <cfRule type="cellIs" dxfId="6917" priority="6755" stopIfTrue="1" operator="equal">
      <formula>"Pass"</formula>
    </cfRule>
    <cfRule type="cellIs" dxfId="6916" priority="6756" stopIfTrue="1" operator="equal">
      <formula>"Fail"</formula>
    </cfRule>
  </conditionalFormatting>
  <conditionalFormatting sqref="A1030:A1035">
    <cfRule type="cellIs" dxfId="6915" priority="6753" stopIfTrue="1" operator="equal">
      <formula>"Pass"</formula>
    </cfRule>
    <cfRule type="cellIs" dxfId="6914" priority="6754" stopIfTrue="1" operator="equal">
      <formula>"Fail"</formula>
    </cfRule>
  </conditionalFormatting>
  <conditionalFormatting sqref="A1030:A1035">
    <cfRule type="cellIs" dxfId="6913" priority="6751" stopIfTrue="1" operator="equal">
      <formula>"Pass"</formula>
    </cfRule>
    <cfRule type="cellIs" dxfId="6912" priority="6752" stopIfTrue="1" operator="equal">
      <formula>"Fail"</formula>
    </cfRule>
  </conditionalFormatting>
  <conditionalFormatting sqref="A1030:A1035">
    <cfRule type="cellIs" dxfId="6911" priority="6749" stopIfTrue="1" operator="equal">
      <formula>"Pass"</formula>
    </cfRule>
    <cfRule type="cellIs" dxfId="6910" priority="6750" stopIfTrue="1" operator="equal">
      <formula>"Fail"</formula>
    </cfRule>
  </conditionalFormatting>
  <conditionalFormatting sqref="A1030:A1035">
    <cfRule type="cellIs" dxfId="6909" priority="6747" stopIfTrue="1" operator="equal">
      <formula>"Pass"</formula>
    </cfRule>
    <cfRule type="cellIs" dxfId="6908" priority="6748" stopIfTrue="1" operator="equal">
      <formula>"Fail"</formula>
    </cfRule>
  </conditionalFormatting>
  <conditionalFormatting sqref="A1035 A1032">
    <cfRule type="cellIs" dxfId="6907" priority="6745" stopIfTrue="1" operator="equal">
      <formula>"Pass"</formula>
    </cfRule>
    <cfRule type="cellIs" dxfId="6906" priority="6746" stopIfTrue="1" operator="equal">
      <formula>"Fail"</formula>
    </cfRule>
  </conditionalFormatting>
  <conditionalFormatting sqref="A1030:A1035">
    <cfRule type="cellIs" dxfId="6905" priority="6743" stopIfTrue="1" operator="equal">
      <formula>"Pass"</formula>
    </cfRule>
    <cfRule type="cellIs" dxfId="6904" priority="6744" stopIfTrue="1" operator="equal">
      <formula>"Fail"</formula>
    </cfRule>
  </conditionalFormatting>
  <conditionalFormatting sqref="A1030:A1035">
    <cfRule type="cellIs" dxfId="6903" priority="6741" stopIfTrue="1" operator="equal">
      <formula>"Pass"</formula>
    </cfRule>
    <cfRule type="cellIs" dxfId="6902" priority="6742" stopIfTrue="1" operator="equal">
      <formula>"Fail"</formula>
    </cfRule>
  </conditionalFormatting>
  <conditionalFormatting sqref="A1030:A1035">
    <cfRule type="cellIs" dxfId="6901" priority="6739" stopIfTrue="1" operator="equal">
      <formula>"Pass"</formula>
    </cfRule>
    <cfRule type="cellIs" dxfId="6900" priority="6740" stopIfTrue="1" operator="equal">
      <formula>"Fail"</formula>
    </cfRule>
  </conditionalFormatting>
  <conditionalFormatting sqref="A1030:A1035">
    <cfRule type="cellIs" dxfId="6899" priority="6737" stopIfTrue="1" operator="equal">
      <formula>"Pass"</formula>
    </cfRule>
    <cfRule type="cellIs" dxfId="6898" priority="6738" stopIfTrue="1" operator="equal">
      <formula>"Fail"</formula>
    </cfRule>
  </conditionalFormatting>
  <conditionalFormatting sqref="A1030:A1035">
    <cfRule type="cellIs" dxfId="6897" priority="6735" stopIfTrue="1" operator="equal">
      <formula>"Pass"</formula>
    </cfRule>
    <cfRule type="cellIs" dxfId="6896" priority="6736" stopIfTrue="1" operator="equal">
      <formula>"Fail"</formula>
    </cfRule>
  </conditionalFormatting>
  <conditionalFormatting sqref="A1030:A1035">
    <cfRule type="cellIs" dxfId="6895" priority="6733" stopIfTrue="1" operator="equal">
      <formula>"Pass"</formula>
    </cfRule>
    <cfRule type="cellIs" dxfId="6894" priority="6734" stopIfTrue="1" operator="equal">
      <formula>"Fail"</formula>
    </cfRule>
  </conditionalFormatting>
  <conditionalFormatting sqref="A1035 A1032">
    <cfRule type="cellIs" dxfId="6893" priority="6731" stopIfTrue="1" operator="equal">
      <formula>"Pass"</formula>
    </cfRule>
    <cfRule type="cellIs" dxfId="6892" priority="6732" stopIfTrue="1" operator="equal">
      <formula>"Fail"</formula>
    </cfRule>
  </conditionalFormatting>
  <conditionalFormatting sqref="A1030:A1035">
    <cfRule type="cellIs" dxfId="6891" priority="6729" stopIfTrue="1" operator="equal">
      <formula>"Pass"</formula>
    </cfRule>
    <cfRule type="cellIs" dxfId="6890" priority="6730" stopIfTrue="1" operator="equal">
      <formula>"Fail"</formula>
    </cfRule>
  </conditionalFormatting>
  <conditionalFormatting sqref="A1030:A1035">
    <cfRule type="cellIs" dxfId="6889" priority="6727" stopIfTrue="1" operator="equal">
      <formula>"Pass"</formula>
    </cfRule>
    <cfRule type="cellIs" dxfId="6888" priority="6728" stopIfTrue="1" operator="equal">
      <formula>"Fail"</formula>
    </cfRule>
  </conditionalFormatting>
  <conditionalFormatting sqref="A1030:A1035">
    <cfRule type="cellIs" dxfId="6887" priority="6725" stopIfTrue="1" operator="equal">
      <formula>"Pass"</formula>
    </cfRule>
    <cfRule type="cellIs" dxfId="6886" priority="6726" stopIfTrue="1" operator="equal">
      <formula>"Fail"</formula>
    </cfRule>
  </conditionalFormatting>
  <conditionalFormatting sqref="A1030:A1035">
    <cfRule type="cellIs" dxfId="6885" priority="6723" stopIfTrue="1" operator="equal">
      <formula>"Pass"</formula>
    </cfRule>
    <cfRule type="cellIs" dxfId="6884" priority="6724" stopIfTrue="1" operator="equal">
      <formula>"Fail"</formula>
    </cfRule>
  </conditionalFormatting>
  <conditionalFormatting sqref="A1030:A1035">
    <cfRule type="cellIs" dxfId="6883" priority="6721" stopIfTrue="1" operator="equal">
      <formula>"Pass"</formula>
    </cfRule>
    <cfRule type="cellIs" dxfId="6882" priority="6722" stopIfTrue="1" operator="equal">
      <formula>"Fail"</formula>
    </cfRule>
  </conditionalFormatting>
  <conditionalFormatting sqref="A1030:A1035">
    <cfRule type="cellIs" dxfId="6881" priority="6719" stopIfTrue="1" operator="equal">
      <formula>"Pass"</formula>
    </cfRule>
    <cfRule type="cellIs" dxfId="6880" priority="6720" stopIfTrue="1" operator="equal">
      <formula>"Fail"</formula>
    </cfRule>
  </conditionalFormatting>
  <conditionalFormatting sqref="A1035 A1032">
    <cfRule type="cellIs" dxfId="6879" priority="6717" stopIfTrue="1" operator="equal">
      <formula>"Pass"</formula>
    </cfRule>
    <cfRule type="cellIs" dxfId="6878" priority="6718" stopIfTrue="1" operator="equal">
      <formula>"Fail"</formula>
    </cfRule>
  </conditionalFormatting>
  <conditionalFormatting sqref="A1030:A1035">
    <cfRule type="cellIs" dxfId="6877" priority="6715" stopIfTrue="1" operator="equal">
      <formula>"Pass"</formula>
    </cfRule>
    <cfRule type="cellIs" dxfId="6876" priority="6716" stopIfTrue="1" operator="equal">
      <formula>"Fail"</formula>
    </cfRule>
  </conditionalFormatting>
  <conditionalFormatting sqref="A1033 A1030">
    <cfRule type="cellIs" dxfId="6875" priority="6713" stopIfTrue="1" operator="equal">
      <formula>"Pass"</formula>
    </cfRule>
    <cfRule type="cellIs" dxfId="6874" priority="6714" stopIfTrue="1" operator="equal">
      <formula>"Fail"</formula>
    </cfRule>
  </conditionalFormatting>
  <conditionalFormatting sqref="A1033 A1030">
    <cfRule type="cellIs" dxfId="6873" priority="6711" stopIfTrue="1" operator="equal">
      <formula>"Pass"</formula>
    </cfRule>
    <cfRule type="cellIs" dxfId="6872" priority="6712" stopIfTrue="1" operator="equal">
      <formula>"Fail"</formula>
    </cfRule>
  </conditionalFormatting>
  <conditionalFormatting sqref="A1033 A1030">
    <cfRule type="cellIs" dxfId="6871" priority="6709" stopIfTrue="1" operator="equal">
      <formula>"Pass"</formula>
    </cfRule>
    <cfRule type="cellIs" dxfId="6870" priority="6710" stopIfTrue="1" operator="equal">
      <formula>"Fail"</formula>
    </cfRule>
  </conditionalFormatting>
  <conditionalFormatting sqref="A1033 A1030">
    <cfRule type="cellIs" dxfId="6869" priority="6707" stopIfTrue="1" operator="equal">
      <formula>"Pass"</formula>
    </cfRule>
    <cfRule type="cellIs" dxfId="6868" priority="6708" stopIfTrue="1" operator="equal">
      <formula>"Fail"</formula>
    </cfRule>
  </conditionalFormatting>
  <conditionalFormatting sqref="A1033 A1030">
    <cfRule type="cellIs" dxfId="6867" priority="6705" stopIfTrue="1" operator="equal">
      <formula>"Pass"</formula>
    </cfRule>
    <cfRule type="cellIs" dxfId="6866" priority="6706" stopIfTrue="1" operator="equal">
      <formula>"Fail"</formula>
    </cfRule>
  </conditionalFormatting>
  <conditionalFormatting sqref="A1033 A1030">
    <cfRule type="cellIs" dxfId="6865" priority="6703" stopIfTrue="1" operator="equal">
      <formula>"Pass"</formula>
    </cfRule>
    <cfRule type="cellIs" dxfId="6864" priority="6704" stopIfTrue="1" operator="equal">
      <formula>"Fail"</formula>
    </cfRule>
  </conditionalFormatting>
  <conditionalFormatting sqref="A1033 A1030">
    <cfRule type="cellIs" dxfId="6863" priority="6701" stopIfTrue="1" operator="equal">
      <formula>"Pass"</formula>
    </cfRule>
    <cfRule type="cellIs" dxfId="6862" priority="6702" stopIfTrue="1" operator="equal">
      <formula>"Fail"</formula>
    </cfRule>
  </conditionalFormatting>
  <conditionalFormatting sqref="A1033 A1030">
    <cfRule type="cellIs" dxfId="6861" priority="6699" stopIfTrue="1" operator="equal">
      <formula>"Pass"</formula>
    </cfRule>
    <cfRule type="cellIs" dxfId="6860" priority="6700" stopIfTrue="1" operator="equal">
      <formula>"Fail"</formula>
    </cfRule>
  </conditionalFormatting>
  <conditionalFormatting sqref="A1033 A1030">
    <cfRule type="cellIs" dxfId="6859" priority="6697" stopIfTrue="1" operator="equal">
      <formula>"Pass"</formula>
    </cfRule>
    <cfRule type="cellIs" dxfId="6858" priority="6698" stopIfTrue="1" operator="equal">
      <formula>"Fail"</formula>
    </cfRule>
  </conditionalFormatting>
  <conditionalFormatting sqref="A1033 A1030">
    <cfRule type="cellIs" dxfId="6857" priority="6695" stopIfTrue="1" operator="equal">
      <formula>"Pass"</formula>
    </cfRule>
    <cfRule type="cellIs" dxfId="6856" priority="6696" stopIfTrue="1" operator="equal">
      <formula>"Fail"</formula>
    </cfRule>
  </conditionalFormatting>
  <conditionalFormatting sqref="A1033 A1030">
    <cfRule type="cellIs" dxfId="6855" priority="6693" stopIfTrue="1" operator="equal">
      <formula>"Pass"</formula>
    </cfRule>
    <cfRule type="cellIs" dxfId="6854" priority="6694" stopIfTrue="1" operator="equal">
      <formula>"Fail"</formula>
    </cfRule>
  </conditionalFormatting>
  <conditionalFormatting sqref="A1033 A1030">
    <cfRule type="cellIs" dxfId="6853" priority="6691" stopIfTrue="1" operator="equal">
      <formula>"Pass"</formula>
    </cfRule>
    <cfRule type="cellIs" dxfId="6852" priority="6692" stopIfTrue="1" operator="equal">
      <formula>"Fail"</formula>
    </cfRule>
  </conditionalFormatting>
  <conditionalFormatting sqref="A1033 A1030">
    <cfRule type="cellIs" dxfId="6851" priority="6689" stopIfTrue="1" operator="equal">
      <formula>"Pass"</formula>
    </cfRule>
    <cfRule type="cellIs" dxfId="6850" priority="6690" stopIfTrue="1" operator="equal">
      <formula>"Fail"</formula>
    </cfRule>
  </conditionalFormatting>
  <conditionalFormatting sqref="A1033 A1030">
    <cfRule type="cellIs" dxfId="6849" priority="6687" stopIfTrue="1" operator="equal">
      <formula>"Pass"</formula>
    </cfRule>
    <cfRule type="cellIs" dxfId="6848" priority="6688" stopIfTrue="1" operator="equal">
      <formula>"Fail"</formula>
    </cfRule>
  </conditionalFormatting>
  <conditionalFormatting sqref="A1033 A1030">
    <cfRule type="cellIs" dxfId="6847" priority="6685" stopIfTrue="1" operator="equal">
      <formula>"Pass"</formula>
    </cfRule>
    <cfRule type="cellIs" dxfId="6846" priority="6686" stopIfTrue="1" operator="equal">
      <formula>"Fail"</formula>
    </cfRule>
  </conditionalFormatting>
  <conditionalFormatting sqref="A1033 A1030">
    <cfRule type="cellIs" dxfId="6845" priority="6683" stopIfTrue="1" operator="equal">
      <formula>"Pass"</formula>
    </cfRule>
    <cfRule type="cellIs" dxfId="6844" priority="6684" stopIfTrue="1" operator="equal">
      <formula>"Fail"</formula>
    </cfRule>
  </conditionalFormatting>
  <conditionalFormatting sqref="A1033 A1030">
    <cfRule type="cellIs" dxfId="6843" priority="6681" stopIfTrue="1" operator="equal">
      <formula>"Pass"</formula>
    </cfRule>
    <cfRule type="cellIs" dxfId="6842" priority="6682" stopIfTrue="1" operator="equal">
      <formula>"Fail"</formula>
    </cfRule>
  </conditionalFormatting>
  <conditionalFormatting sqref="A1033 A1030">
    <cfRule type="cellIs" dxfId="6841" priority="6679" stopIfTrue="1" operator="equal">
      <formula>"Pass"</formula>
    </cfRule>
    <cfRule type="cellIs" dxfId="6840" priority="6680" stopIfTrue="1" operator="equal">
      <formula>"Fail"</formula>
    </cfRule>
  </conditionalFormatting>
  <conditionalFormatting sqref="A1033 A1030">
    <cfRule type="cellIs" dxfId="6839" priority="6677" stopIfTrue="1" operator="equal">
      <formula>"Pass"</formula>
    </cfRule>
    <cfRule type="cellIs" dxfId="6838" priority="6678" stopIfTrue="1" operator="equal">
      <formula>"Fail"</formula>
    </cfRule>
  </conditionalFormatting>
  <conditionalFormatting sqref="A1033 A1030">
    <cfRule type="cellIs" dxfId="6837" priority="6675" stopIfTrue="1" operator="equal">
      <formula>"Pass"</formula>
    </cfRule>
    <cfRule type="cellIs" dxfId="6836" priority="6676" stopIfTrue="1" operator="equal">
      <formula>"Fail"</formula>
    </cfRule>
  </conditionalFormatting>
  <conditionalFormatting sqref="A1033 A1030">
    <cfRule type="cellIs" dxfId="6835" priority="6673" stopIfTrue="1" operator="equal">
      <formula>"Pass"</formula>
    </cfRule>
    <cfRule type="cellIs" dxfId="6834" priority="6674" stopIfTrue="1" operator="equal">
      <formula>"Fail"</formula>
    </cfRule>
  </conditionalFormatting>
  <conditionalFormatting sqref="A1033 A1030">
    <cfRule type="cellIs" dxfId="6833" priority="6671" stopIfTrue="1" operator="equal">
      <formula>"Pass"</formula>
    </cfRule>
    <cfRule type="cellIs" dxfId="6832" priority="6672" stopIfTrue="1" operator="equal">
      <formula>"Fail"</formula>
    </cfRule>
  </conditionalFormatting>
  <conditionalFormatting sqref="A1033 A1030">
    <cfRule type="cellIs" dxfId="6831" priority="6669" stopIfTrue="1" operator="equal">
      <formula>"Pass"</formula>
    </cfRule>
    <cfRule type="cellIs" dxfId="6830" priority="6670" stopIfTrue="1" operator="equal">
      <formula>"Fail"</formula>
    </cfRule>
  </conditionalFormatting>
  <conditionalFormatting sqref="A1033 A1030">
    <cfRule type="cellIs" dxfId="6829" priority="6667" stopIfTrue="1" operator="equal">
      <formula>"Pass"</formula>
    </cfRule>
    <cfRule type="cellIs" dxfId="6828" priority="6668" stopIfTrue="1" operator="equal">
      <formula>"Fail"</formula>
    </cfRule>
  </conditionalFormatting>
  <conditionalFormatting sqref="A1033 A1030">
    <cfRule type="cellIs" dxfId="6827" priority="6665" stopIfTrue="1" operator="equal">
      <formula>"Pass"</formula>
    </cfRule>
    <cfRule type="cellIs" dxfId="6826" priority="6666" stopIfTrue="1" operator="equal">
      <formula>"Fail"</formula>
    </cfRule>
  </conditionalFormatting>
  <conditionalFormatting sqref="A1033 A1030">
    <cfRule type="cellIs" dxfId="6825" priority="6663" stopIfTrue="1" operator="equal">
      <formula>"Pass"</formula>
    </cfRule>
    <cfRule type="cellIs" dxfId="6824" priority="6664" stopIfTrue="1" operator="equal">
      <formula>"Fail"</formula>
    </cfRule>
  </conditionalFormatting>
  <conditionalFormatting sqref="A1033 A1030">
    <cfRule type="cellIs" dxfId="6823" priority="6661" stopIfTrue="1" operator="equal">
      <formula>"Pass"</formula>
    </cfRule>
    <cfRule type="cellIs" dxfId="6822" priority="6662" stopIfTrue="1" operator="equal">
      <formula>"Fail"</formula>
    </cfRule>
  </conditionalFormatting>
  <conditionalFormatting sqref="A1033 A1030">
    <cfRule type="cellIs" dxfId="6821" priority="6659" stopIfTrue="1" operator="equal">
      <formula>"Pass"</formula>
    </cfRule>
    <cfRule type="cellIs" dxfId="6820" priority="6660" stopIfTrue="1" operator="equal">
      <formula>"Fail"</formula>
    </cfRule>
  </conditionalFormatting>
  <conditionalFormatting sqref="A1033 A1030">
    <cfRule type="cellIs" dxfId="6819" priority="6657" stopIfTrue="1" operator="equal">
      <formula>"Pass"</formula>
    </cfRule>
    <cfRule type="cellIs" dxfId="6818" priority="6658" stopIfTrue="1" operator="equal">
      <formula>"Fail"</formula>
    </cfRule>
  </conditionalFormatting>
  <conditionalFormatting sqref="A1033 A1030">
    <cfRule type="cellIs" dxfId="6817" priority="6655" stopIfTrue="1" operator="equal">
      <formula>"Pass"</formula>
    </cfRule>
    <cfRule type="cellIs" dxfId="6816" priority="6656" stopIfTrue="1" operator="equal">
      <formula>"Fail"</formula>
    </cfRule>
  </conditionalFormatting>
  <conditionalFormatting sqref="A1033 A1030">
    <cfRule type="cellIs" dxfId="6815" priority="6653" stopIfTrue="1" operator="equal">
      <formula>"Pass"</formula>
    </cfRule>
    <cfRule type="cellIs" dxfId="6814" priority="6654" stopIfTrue="1" operator="equal">
      <formula>"Fail"</formula>
    </cfRule>
  </conditionalFormatting>
  <conditionalFormatting sqref="A1033 A1030">
    <cfRule type="cellIs" dxfId="6813" priority="6651" stopIfTrue="1" operator="equal">
      <formula>"Pass"</formula>
    </cfRule>
    <cfRule type="cellIs" dxfId="6812" priority="6652" stopIfTrue="1" operator="equal">
      <formula>"Fail"</formula>
    </cfRule>
  </conditionalFormatting>
  <conditionalFormatting sqref="A1033 A1030">
    <cfRule type="cellIs" dxfId="6811" priority="6649" stopIfTrue="1" operator="equal">
      <formula>"Pass"</formula>
    </cfRule>
    <cfRule type="cellIs" dxfId="6810" priority="6650" stopIfTrue="1" operator="equal">
      <formula>"Fail"</formula>
    </cfRule>
  </conditionalFormatting>
  <conditionalFormatting sqref="A1033 A1030">
    <cfRule type="cellIs" dxfId="6809" priority="6647" stopIfTrue="1" operator="equal">
      <formula>"Pass"</formula>
    </cfRule>
    <cfRule type="cellIs" dxfId="6808" priority="6648" stopIfTrue="1" operator="equal">
      <formula>"Fail"</formula>
    </cfRule>
  </conditionalFormatting>
  <conditionalFormatting sqref="A1033 A1030">
    <cfRule type="cellIs" dxfId="6807" priority="6645" stopIfTrue="1" operator="equal">
      <formula>"Pass"</formula>
    </cfRule>
    <cfRule type="cellIs" dxfId="6806" priority="6646" stopIfTrue="1" operator="equal">
      <formula>"Fail"</formula>
    </cfRule>
  </conditionalFormatting>
  <conditionalFormatting sqref="A1033 A1030">
    <cfRule type="cellIs" dxfId="6805" priority="6643" stopIfTrue="1" operator="equal">
      <formula>"Pass"</formula>
    </cfRule>
    <cfRule type="cellIs" dxfId="6804" priority="6644" stopIfTrue="1" operator="equal">
      <formula>"Fail"</formula>
    </cfRule>
  </conditionalFormatting>
  <conditionalFormatting sqref="A1033 A1030">
    <cfRule type="cellIs" dxfId="6803" priority="6641" stopIfTrue="1" operator="equal">
      <formula>"Pass"</formula>
    </cfRule>
    <cfRule type="cellIs" dxfId="6802" priority="6642" stopIfTrue="1" operator="equal">
      <formula>"Fail"</formula>
    </cfRule>
  </conditionalFormatting>
  <conditionalFormatting sqref="A1033 A1030">
    <cfRule type="cellIs" dxfId="6801" priority="6639" stopIfTrue="1" operator="equal">
      <formula>"Pass"</formula>
    </cfRule>
    <cfRule type="cellIs" dxfId="6800" priority="6640" stopIfTrue="1" operator="equal">
      <formula>"Fail"</formula>
    </cfRule>
  </conditionalFormatting>
  <conditionalFormatting sqref="A1033 A1030">
    <cfRule type="cellIs" dxfId="6799" priority="6637" stopIfTrue="1" operator="equal">
      <formula>"Pass"</formula>
    </cfRule>
    <cfRule type="cellIs" dxfId="6798" priority="6638" stopIfTrue="1" operator="equal">
      <formula>"Fail"</formula>
    </cfRule>
  </conditionalFormatting>
  <conditionalFormatting sqref="A1033 A1030">
    <cfRule type="cellIs" dxfId="6797" priority="6635" stopIfTrue="1" operator="equal">
      <formula>"Pass"</formula>
    </cfRule>
    <cfRule type="cellIs" dxfId="6796" priority="6636" stopIfTrue="1" operator="equal">
      <formula>"Fail"</formula>
    </cfRule>
  </conditionalFormatting>
  <conditionalFormatting sqref="A1033 A1030">
    <cfRule type="cellIs" dxfId="6795" priority="6633" stopIfTrue="1" operator="equal">
      <formula>"Pass"</formula>
    </cfRule>
    <cfRule type="cellIs" dxfId="6794" priority="6634" stopIfTrue="1" operator="equal">
      <formula>"Fail"</formula>
    </cfRule>
  </conditionalFormatting>
  <conditionalFormatting sqref="A1033 A1030">
    <cfRule type="cellIs" dxfId="6793" priority="6631" stopIfTrue="1" operator="equal">
      <formula>"Pass"</formula>
    </cfRule>
    <cfRule type="cellIs" dxfId="6792" priority="6632" stopIfTrue="1" operator="equal">
      <formula>"Fail"</formula>
    </cfRule>
  </conditionalFormatting>
  <conditionalFormatting sqref="A1033 A1030">
    <cfRule type="cellIs" dxfId="6791" priority="6629" stopIfTrue="1" operator="equal">
      <formula>"Pass"</formula>
    </cfRule>
    <cfRule type="cellIs" dxfId="6790" priority="6630" stopIfTrue="1" operator="equal">
      <formula>"Fail"</formula>
    </cfRule>
  </conditionalFormatting>
  <conditionalFormatting sqref="A1033 A1030">
    <cfRule type="cellIs" dxfId="6789" priority="6627" stopIfTrue="1" operator="equal">
      <formula>"Pass"</formula>
    </cfRule>
    <cfRule type="cellIs" dxfId="6788" priority="6628" stopIfTrue="1" operator="equal">
      <formula>"Fail"</formula>
    </cfRule>
  </conditionalFormatting>
  <conditionalFormatting sqref="A1033 A1030">
    <cfRule type="cellIs" dxfId="6787" priority="6625" stopIfTrue="1" operator="equal">
      <formula>"Pass"</formula>
    </cfRule>
    <cfRule type="cellIs" dxfId="6786" priority="6626" stopIfTrue="1" operator="equal">
      <formula>"Fail"</formula>
    </cfRule>
  </conditionalFormatting>
  <conditionalFormatting sqref="A1033 A1030">
    <cfRule type="cellIs" dxfId="6785" priority="6623" stopIfTrue="1" operator="equal">
      <formula>"Pass"</formula>
    </cfRule>
    <cfRule type="cellIs" dxfId="6784" priority="6624" stopIfTrue="1" operator="equal">
      <formula>"Fail"</formula>
    </cfRule>
  </conditionalFormatting>
  <conditionalFormatting sqref="A1033 A1030">
    <cfRule type="cellIs" dxfId="6783" priority="6621" stopIfTrue="1" operator="equal">
      <formula>"Pass"</formula>
    </cfRule>
    <cfRule type="cellIs" dxfId="6782" priority="6622" stopIfTrue="1" operator="equal">
      <formula>"Fail"</formula>
    </cfRule>
  </conditionalFormatting>
  <conditionalFormatting sqref="A1033 A1030">
    <cfRule type="cellIs" dxfId="6781" priority="6619" stopIfTrue="1" operator="equal">
      <formula>"Pass"</formula>
    </cfRule>
    <cfRule type="cellIs" dxfId="6780" priority="6620" stopIfTrue="1" operator="equal">
      <formula>"Fail"</formula>
    </cfRule>
  </conditionalFormatting>
  <conditionalFormatting sqref="A1030:A1035">
    <cfRule type="cellIs" dxfId="6779" priority="6617" stopIfTrue="1" operator="equal">
      <formula>"Pass"</formula>
    </cfRule>
    <cfRule type="cellIs" dxfId="6778" priority="6618" stopIfTrue="1" operator="equal">
      <formula>"Fail"</formula>
    </cfRule>
  </conditionalFormatting>
  <conditionalFormatting sqref="A1030:A1035">
    <cfRule type="cellIs" dxfId="6777" priority="6615" stopIfTrue="1" operator="equal">
      <formula>"Pass"</formula>
    </cfRule>
    <cfRule type="cellIs" dxfId="6776" priority="6616" stopIfTrue="1" operator="equal">
      <formula>"Fail"</formula>
    </cfRule>
  </conditionalFormatting>
  <conditionalFormatting sqref="A1030:A1035">
    <cfRule type="cellIs" dxfId="6775" priority="6613" stopIfTrue="1" operator="equal">
      <formula>"Pass"</formula>
    </cfRule>
    <cfRule type="cellIs" dxfId="6774" priority="6614" stopIfTrue="1" operator="equal">
      <formula>"Fail"</formula>
    </cfRule>
  </conditionalFormatting>
  <conditionalFormatting sqref="A1030:A1035">
    <cfRule type="cellIs" dxfId="6773" priority="6611" stopIfTrue="1" operator="equal">
      <formula>"Pass"</formula>
    </cfRule>
    <cfRule type="cellIs" dxfId="6772" priority="6612" stopIfTrue="1" operator="equal">
      <formula>"Fail"</formula>
    </cfRule>
  </conditionalFormatting>
  <conditionalFormatting sqref="A1030:A1035">
    <cfRule type="cellIs" dxfId="6771" priority="6609" stopIfTrue="1" operator="equal">
      <formula>"Pass"</formula>
    </cfRule>
    <cfRule type="cellIs" dxfId="6770" priority="6610" stopIfTrue="1" operator="equal">
      <formula>"Fail"</formula>
    </cfRule>
  </conditionalFormatting>
  <conditionalFormatting sqref="A1035 A1032">
    <cfRule type="cellIs" dxfId="6769" priority="6607" stopIfTrue="1" operator="equal">
      <formula>"Pass"</formula>
    </cfRule>
    <cfRule type="cellIs" dxfId="6768" priority="6608" stopIfTrue="1" operator="equal">
      <formula>"Fail"</formula>
    </cfRule>
  </conditionalFormatting>
  <conditionalFormatting sqref="A1030:A1035">
    <cfRule type="cellIs" dxfId="6767" priority="6605" stopIfTrue="1" operator="equal">
      <formula>"Pass"</formula>
    </cfRule>
    <cfRule type="cellIs" dxfId="6766" priority="6606" stopIfTrue="1" operator="equal">
      <formula>"Fail"</formula>
    </cfRule>
  </conditionalFormatting>
  <conditionalFormatting sqref="A1030:A1035">
    <cfRule type="cellIs" dxfId="6765" priority="6603" stopIfTrue="1" operator="equal">
      <formula>"Pass"</formula>
    </cfRule>
    <cfRule type="cellIs" dxfId="6764" priority="6604" stopIfTrue="1" operator="equal">
      <formula>"Fail"</formula>
    </cfRule>
  </conditionalFormatting>
  <conditionalFormatting sqref="A1030:A1035">
    <cfRule type="cellIs" dxfId="6763" priority="6601" stopIfTrue="1" operator="equal">
      <formula>"Pass"</formula>
    </cfRule>
    <cfRule type="cellIs" dxfId="6762" priority="6602" stopIfTrue="1" operator="equal">
      <formula>"Fail"</formula>
    </cfRule>
  </conditionalFormatting>
  <conditionalFormatting sqref="A1030:A1035">
    <cfRule type="cellIs" dxfId="6761" priority="6599" stopIfTrue="1" operator="equal">
      <formula>"Pass"</formula>
    </cfRule>
    <cfRule type="cellIs" dxfId="6760" priority="6600" stopIfTrue="1" operator="equal">
      <formula>"Fail"</formula>
    </cfRule>
  </conditionalFormatting>
  <conditionalFormatting sqref="A1030:A1035">
    <cfRule type="cellIs" dxfId="6759" priority="6597" stopIfTrue="1" operator="equal">
      <formula>"Pass"</formula>
    </cfRule>
    <cfRule type="cellIs" dxfId="6758" priority="6598" stopIfTrue="1" operator="equal">
      <formula>"Fail"</formula>
    </cfRule>
  </conditionalFormatting>
  <conditionalFormatting sqref="A1030:A1035">
    <cfRule type="cellIs" dxfId="6757" priority="6595" stopIfTrue="1" operator="equal">
      <formula>"Pass"</formula>
    </cfRule>
    <cfRule type="cellIs" dxfId="6756" priority="6596" stopIfTrue="1" operator="equal">
      <formula>"Fail"</formula>
    </cfRule>
  </conditionalFormatting>
  <conditionalFormatting sqref="A1035 A1032">
    <cfRule type="cellIs" dxfId="6755" priority="6593" stopIfTrue="1" operator="equal">
      <formula>"Pass"</formula>
    </cfRule>
    <cfRule type="cellIs" dxfId="6754" priority="6594" stopIfTrue="1" operator="equal">
      <formula>"Fail"</formula>
    </cfRule>
  </conditionalFormatting>
  <conditionalFormatting sqref="A1030:A1035">
    <cfRule type="cellIs" dxfId="6753" priority="6591" stopIfTrue="1" operator="equal">
      <formula>"Pass"</formula>
    </cfRule>
    <cfRule type="cellIs" dxfId="6752" priority="6592" stopIfTrue="1" operator="equal">
      <formula>"Fail"</formula>
    </cfRule>
  </conditionalFormatting>
  <conditionalFormatting sqref="A1030:A1035">
    <cfRule type="cellIs" dxfId="6751" priority="6589" stopIfTrue="1" operator="equal">
      <formula>"Pass"</formula>
    </cfRule>
    <cfRule type="cellIs" dxfId="6750" priority="6590" stopIfTrue="1" operator="equal">
      <formula>"Fail"</formula>
    </cfRule>
  </conditionalFormatting>
  <conditionalFormatting sqref="A1030:A1035">
    <cfRule type="cellIs" dxfId="6749" priority="6587" stopIfTrue="1" operator="equal">
      <formula>"Pass"</formula>
    </cfRule>
    <cfRule type="cellIs" dxfId="6748" priority="6588" stopIfTrue="1" operator="equal">
      <formula>"Fail"</formula>
    </cfRule>
  </conditionalFormatting>
  <conditionalFormatting sqref="A1030:A1035">
    <cfRule type="cellIs" dxfId="6747" priority="6585" stopIfTrue="1" operator="equal">
      <formula>"Pass"</formula>
    </cfRule>
    <cfRule type="cellIs" dxfId="6746" priority="6586" stopIfTrue="1" operator="equal">
      <formula>"Fail"</formula>
    </cfRule>
  </conditionalFormatting>
  <conditionalFormatting sqref="A1030:A1035">
    <cfRule type="cellIs" dxfId="6745" priority="6583" stopIfTrue="1" operator="equal">
      <formula>"Pass"</formula>
    </cfRule>
    <cfRule type="cellIs" dxfId="6744" priority="6584" stopIfTrue="1" operator="equal">
      <formula>"Fail"</formula>
    </cfRule>
  </conditionalFormatting>
  <conditionalFormatting sqref="A1030:A1035">
    <cfRule type="cellIs" dxfId="6743" priority="6581" stopIfTrue="1" operator="equal">
      <formula>"Pass"</formula>
    </cfRule>
    <cfRule type="cellIs" dxfId="6742" priority="6582" stopIfTrue="1" operator="equal">
      <formula>"Fail"</formula>
    </cfRule>
  </conditionalFormatting>
  <conditionalFormatting sqref="A1035 A1032">
    <cfRule type="cellIs" dxfId="6741" priority="6579" stopIfTrue="1" operator="equal">
      <formula>"Pass"</formula>
    </cfRule>
    <cfRule type="cellIs" dxfId="6740" priority="6580" stopIfTrue="1" operator="equal">
      <formula>"Fail"</formula>
    </cfRule>
  </conditionalFormatting>
  <conditionalFormatting sqref="A1030:A1035">
    <cfRule type="cellIs" dxfId="6739" priority="6577" stopIfTrue="1" operator="equal">
      <formula>"Pass"</formula>
    </cfRule>
    <cfRule type="cellIs" dxfId="6738" priority="6578" stopIfTrue="1" operator="equal">
      <formula>"Fail"</formula>
    </cfRule>
  </conditionalFormatting>
  <conditionalFormatting sqref="A1030:A1035">
    <cfRule type="cellIs" dxfId="6737" priority="6575" stopIfTrue="1" operator="equal">
      <formula>"Pass"</formula>
    </cfRule>
    <cfRule type="cellIs" dxfId="6736" priority="6576" stopIfTrue="1" operator="equal">
      <formula>"Fail"</formula>
    </cfRule>
  </conditionalFormatting>
  <conditionalFormatting sqref="A1030:A1035">
    <cfRule type="cellIs" dxfId="6735" priority="6573" stopIfTrue="1" operator="equal">
      <formula>"Pass"</formula>
    </cfRule>
    <cfRule type="cellIs" dxfId="6734" priority="6574" stopIfTrue="1" operator="equal">
      <formula>"Fail"</formula>
    </cfRule>
  </conditionalFormatting>
  <conditionalFormatting sqref="A1030:A1035">
    <cfRule type="cellIs" dxfId="6733" priority="6571" stopIfTrue="1" operator="equal">
      <formula>"Pass"</formula>
    </cfRule>
    <cfRule type="cellIs" dxfId="6732" priority="6572" stopIfTrue="1" operator="equal">
      <formula>"Fail"</formula>
    </cfRule>
  </conditionalFormatting>
  <conditionalFormatting sqref="A1030:A1035">
    <cfRule type="cellIs" dxfId="6731" priority="6569" stopIfTrue="1" operator="equal">
      <formula>"Pass"</formula>
    </cfRule>
    <cfRule type="cellIs" dxfId="6730" priority="6570" stopIfTrue="1" operator="equal">
      <formula>"Fail"</formula>
    </cfRule>
  </conditionalFormatting>
  <conditionalFormatting sqref="A1030:A1035">
    <cfRule type="cellIs" dxfId="6729" priority="6567" stopIfTrue="1" operator="equal">
      <formula>"Pass"</formula>
    </cfRule>
    <cfRule type="cellIs" dxfId="6728" priority="6568" stopIfTrue="1" operator="equal">
      <formula>"Fail"</formula>
    </cfRule>
  </conditionalFormatting>
  <conditionalFormatting sqref="A1035 A1032">
    <cfRule type="cellIs" dxfId="6727" priority="6565" stopIfTrue="1" operator="equal">
      <formula>"Pass"</formula>
    </cfRule>
    <cfRule type="cellIs" dxfId="6726" priority="6566" stopIfTrue="1" operator="equal">
      <formula>"Fail"</formula>
    </cfRule>
  </conditionalFormatting>
  <conditionalFormatting sqref="A1030:A1035">
    <cfRule type="cellIs" dxfId="6725" priority="6563" stopIfTrue="1" operator="equal">
      <formula>"Pass"</formula>
    </cfRule>
    <cfRule type="cellIs" dxfId="6724" priority="6564" stopIfTrue="1" operator="equal">
      <formula>"Fail"</formula>
    </cfRule>
  </conditionalFormatting>
  <conditionalFormatting sqref="A1030:A1035">
    <cfRule type="cellIs" dxfId="6723" priority="6561" stopIfTrue="1" operator="equal">
      <formula>"Pass"</formula>
    </cfRule>
    <cfRule type="cellIs" dxfId="6722" priority="6562" stopIfTrue="1" operator="equal">
      <formula>"Fail"</formula>
    </cfRule>
  </conditionalFormatting>
  <conditionalFormatting sqref="A1030:A1035">
    <cfRule type="cellIs" dxfId="6721" priority="6559" stopIfTrue="1" operator="equal">
      <formula>"Pass"</formula>
    </cfRule>
    <cfRule type="cellIs" dxfId="6720" priority="6560" stopIfTrue="1" operator="equal">
      <formula>"Fail"</formula>
    </cfRule>
  </conditionalFormatting>
  <conditionalFormatting sqref="A1030:A1035">
    <cfRule type="cellIs" dxfId="6719" priority="6557" stopIfTrue="1" operator="equal">
      <formula>"Pass"</formula>
    </cfRule>
    <cfRule type="cellIs" dxfId="6718" priority="6558" stopIfTrue="1" operator="equal">
      <formula>"Fail"</formula>
    </cfRule>
  </conditionalFormatting>
  <conditionalFormatting sqref="A1030:A1035">
    <cfRule type="cellIs" dxfId="6717" priority="6555" stopIfTrue="1" operator="equal">
      <formula>"Pass"</formula>
    </cfRule>
    <cfRule type="cellIs" dxfId="6716" priority="6556" stopIfTrue="1" operator="equal">
      <formula>"Fail"</formula>
    </cfRule>
  </conditionalFormatting>
  <conditionalFormatting sqref="A1030:A1035">
    <cfRule type="cellIs" dxfId="6715" priority="6553" stopIfTrue="1" operator="equal">
      <formula>"Pass"</formula>
    </cfRule>
    <cfRule type="cellIs" dxfId="6714" priority="6554" stopIfTrue="1" operator="equal">
      <formula>"Fail"</formula>
    </cfRule>
  </conditionalFormatting>
  <conditionalFormatting sqref="A1035 A1032">
    <cfRule type="cellIs" dxfId="6713" priority="6551" stopIfTrue="1" operator="equal">
      <formula>"Pass"</formula>
    </cfRule>
    <cfRule type="cellIs" dxfId="6712" priority="6552" stopIfTrue="1" operator="equal">
      <formula>"Fail"</formula>
    </cfRule>
  </conditionalFormatting>
  <conditionalFormatting sqref="A1030:A1035">
    <cfRule type="cellIs" dxfId="6711" priority="6549" stopIfTrue="1" operator="equal">
      <formula>"Pass"</formula>
    </cfRule>
    <cfRule type="cellIs" dxfId="6710" priority="6550" stopIfTrue="1" operator="equal">
      <formula>"Fail"</formula>
    </cfRule>
  </conditionalFormatting>
  <conditionalFormatting sqref="A1030:A1035">
    <cfRule type="cellIs" dxfId="6709" priority="6547" stopIfTrue="1" operator="equal">
      <formula>"Pass"</formula>
    </cfRule>
    <cfRule type="cellIs" dxfId="6708" priority="6548" stopIfTrue="1" operator="equal">
      <formula>"Fail"</formula>
    </cfRule>
  </conditionalFormatting>
  <conditionalFormatting sqref="A1030:A1035">
    <cfRule type="cellIs" dxfId="6707" priority="6545" stopIfTrue="1" operator="equal">
      <formula>"Pass"</formula>
    </cfRule>
    <cfRule type="cellIs" dxfId="6706" priority="6546" stopIfTrue="1" operator="equal">
      <formula>"Fail"</formula>
    </cfRule>
  </conditionalFormatting>
  <conditionalFormatting sqref="A1030:A1035">
    <cfRule type="cellIs" dxfId="6705" priority="6543" stopIfTrue="1" operator="equal">
      <formula>"Pass"</formula>
    </cfRule>
    <cfRule type="cellIs" dxfId="6704" priority="6544" stopIfTrue="1" operator="equal">
      <formula>"Fail"</formula>
    </cfRule>
  </conditionalFormatting>
  <conditionalFormatting sqref="A1030:A1035">
    <cfRule type="cellIs" dxfId="6703" priority="6541" stopIfTrue="1" operator="equal">
      <formula>"Pass"</formula>
    </cfRule>
    <cfRule type="cellIs" dxfId="6702" priority="6542" stopIfTrue="1" operator="equal">
      <formula>"Fail"</formula>
    </cfRule>
  </conditionalFormatting>
  <conditionalFormatting sqref="A1030:A1035">
    <cfRule type="cellIs" dxfId="6701" priority="6539" stopIfTrue="1" operator="equal">
      <formula>"Pass"</formula>
    </cfRule>
    <cfRule type="cellIs" dxfId="6700" priority="6540" stopIfTrue="1" operator="equal">
      <formula>"Fail"</formula>
    </cfRule>
  </conditionalFormatting>
  <conditionalFormatting sqref="A1035 A1032">
    <cfRule type="cellIs" dxfId="6699" priority="6537" stopIfTrue="1" operator="equal">
      <formula>"Pass"</formula>
    </cfRule>
    <cfRule type="cellIs" dxfId="6698" priority="6538" stopIfTrue="1" operator="equal">
      <formula>"Fail"</formula>
    </cfRule>
  </conditionalFormatting>
  <conditionalFormatting sqref="A1030:A1035">
    <cfRule type="cellIs" dxfId="6697" priority="6535" stopIfTrue="1" operator="equal">
      <formula>"Pass"</formula>
    </cfRule>
    <cfRule type="cellIs" dxfId="6696" priority="6536" stopIfTrue="1" operator="equal">
      <formula>"Fail"</formula>
    </cfRule>
  </conditionalFormatting>
  <conditionalFormatting sqref="A1033 A1030">
    <cfRule type="cellIs" dxfId="6695" priority="6533" stopIfTrue="1" operator="equal">
      <formula>"Pass"</formula>
    </cfRule>
    <cfRule type="cellIs" dxfId="6694" priority="6534" stopIfTrue="1" operator="equal">
      <formula>"Fail"</formula>
    </cfRule>
  </conditionalFormatting>
  <conditionalFormatting sqref="A1033 A1030">
    <cfRule type="cellIs" dxfId="6693" priority="6531" stopIfTrue="1" operator="equal">
      <formula>"Pass"</formula>
    </cfRule>
    <cfRule type="cellIs" dxfId="6692" priority="6532" stopIfTrue="1" operator="equal">
      <formula>"Fail"</formula>
    </cfRule>
  </conditionalFormatting>
  <conditionalFormatting sqref="A1033 A1030">
    <cfRule type="cellIs" dxfId="6691" priority="6529" stopIfTrue="1" operator="equal">
      <formula>"Pass"</formula>
    </cfRule>
    <cfRule type="cellIs" dxfId="6690" priority="6530" stopIfTrue="1" operator="equal">
      <formula>"Fail"</formula>
    </cfRule>
  </conditionalFormatting>
  <conditionalFormatting sqref="A1033 A1030">
    <cfRule type="cellIs" dxfId="6689" priority="6527" stopIfTrue="1" operator="equal">
      <formula>"Pass"</formula>
    </cfRule>
    <cfRule type="cellIs" dxfId="6688" priority="6528" stopIfTrue="1" operator="equal">
      <formula>"Fail"</formula>
    </cfRule>
  </conditionalFormatting>
  <conditionalFormatting sqref="A1033 A1030">
    <cfRule type="cellIs" dxfId="6687" priority="6525" stopIfTrue="1" operator="equal">
      <formula>"Pass"</formula>
    </cfRule>
    <cfRule type="cellIs" dxfId="6686" priority="6526" stopIfTrue="1" operator="equal">
      <formula>"Fail"</formula>
    </cfRule>
  </conditionalFormatting>
  <conditionalFormatting sqref="A1033 A1030">
    <cfRule type="cellIs" dxfId="6685" priority="6523" stopIfTrue="1" operator="equal">
      <formula>"Pass"</formula>
    </cfRule>
    <cfRule type="cellIs" dxfId="6684" priority="6524" stopIfTrue="1" operator="equal">
      <formula>"Fail"</formula>
    </cfRule>
  </conditionalFormatting>
  <conditionalFormatting sqref="A1033 A1030">
    <cfRule type="cellIs" dxfId="6683" priority="6521" stopIfTrue="1" operator="equal">
      <formula>"Pass"</formula>
    </cfRule>
    <cfRule type="cellIs" dxfId="6682" priority="6522" stopIfTrue="1" operator="equal">
      <formula>"Fail"</formula>
    </cfRule>
  </conditionalFormatting>
  <conditionalFormatting sqref="A1033 A1030">
    <cfRule type="cellIs" dxfId="6681" priority="6519" stopIfTrue="1" operator="equal">
      <formula>"Pass"</formula>
    </cfRule>
    <cfRule type="cellIs" dxfId="6680" priority="6520" stopIfTrue="1" operator="equal">
      <formula>"Fail"</formula>
    </cfRule>
  </conditionalFormatting>
  <conditionalFormatting sqref="A1033 A1030">
    <cfRule type="cellIs" dxfId="6679" priority="6517" stopIfTrue="1" operator="equal">
      <formula>"Pass"</formula>
    </cfRule>
    <cfRule type="cellIs" dxfId="6678" priority="6518" stopIfTrue="1" operator="equal">
      <formula>"Fail"</formula>
    </cfRule>
  </conditionalFormatting>
  <conditionalFormatting sqref="A1033 A1030">
    <cfRule type="cellIs" dxfId="6677" priority="6515" stopIfTrue="1" operator="equal">
      <formula>"Pass"</formula>
    </cfRule>
    <cfRule type="cellIs" dxfId="6676" priority="6516" stopIfTrue="1" operator="equal">
      <formula>"Fail"</formula>
    </cfRule>
  </conditionalFormatting>
  <conditionalFormatting sqref="A1033 A1030">
    <cfRule type="cellIs" dxfId="6675" priority="6513" stopIfTrue="1" operator="equal">
      <formula>"Pass"</formula>
    </cfRule>
    <cfRule type="cellIs" dxfId="6674" priority="6514" stopIfTrue="1" operator="equal">
      <formula>"Fail"</formula>
    </cfRule>
  </conditionalFormatting>
  <conditionalFormatting sqref="A1033 A1030">
    <cfRule type="cellIs" dxfId="6673" priority="6511" stopIfTrue="1" operator="equal">
      <formula>"Pass"</formula>
    </cfRule>
    <cfRule type="cellIs" dxfId="6672" priority="6512" stopIfTrue="1" operator="equal">
      <formula>"Fail"</formula>
    </cfRule>
  </conditionalFormatting>
  <conditionalFormatting sqref="A1033 A1030">
    <cfRule type="cellIs" dxfId="6671" priority="6509" stopIfTrue="1" operator="equal">
      <formula>"Pass"</formula>
    </cfRule>
    <cfRule type="cellIs" dxfId="6670" priority="6510" stopIfTrue="1" operator="equal">
      <formula>"Fail"</formula>
    </cfRule>
  </conditionalFormatting>
  <conditionalFormatting sqref="A1033 A1030">
    <cfRule type="cellIs" dxfId="6669" priority="6507" stopIfTrue="1" operator="equal">
      <formula>"Pass"</formula>
    </cfRule>
    <cfRule type="cellIs" dxfId="6668" priority="6508" stopIfTrue="1" operator="equal">
      <formula>"Fail"</formula>
    </cfRule>
  </conditionalFormatting>
  <conditionalFormatting sqref="A1033 A1030">
    <cfRule type="cellIs" dxfId="6667" priority="6505" stopIfTrue="1" operator="equal">
      <formula>"Pass"</formula>
    </cfRule>
    <cfRule type="cellIs" dxfId="6666" priority="6506" stopIfTrue="1" operator="equal">
      <formula>"Fail"</formula>
    </cfRule>
  </conditionalFormatting>
  <conditionalFormatting sqref="A1033 A1030">
    <cfRule type="cellIs" dxfId="6665" priority="6503" stopIfTrue="1" operator="equal">
      <formula>"Pass"</formula>
    </cfRule>
    <cfRule type="cellIs" dxfId="6664" priority="6504" stopIfTrue="1" operator="equal">
      <formula>"Fail"</formula>
    </cfRule>
  </conditionalFormatting>
  <conditionalFormatting sqref="A1033 A1030">
    <cfRule type="cellIs" dxfId="6663" priority="6501" stopIfTrue="1" operator="equal">
      <formula>"Pass"</formula>
    </cfRule>
    <cfRule type="cellIs" dxfId="6662" priority="6502" stopIfTrue="1" operator="equal">
      <formula>"Fail"</formula>
    </cfRule>
  </conditionalFormatting>
  <conditionalFormatting sqref="A1033 A1030">
    <cfRule type="cellIs" dxfId="6661" priority="6499" stopIfTrue="1" operator="equal">
      <formula>"Pass"</formula>
    </cfRule>
    <cfRule type="cellIs" dxfId="6660" priority="6500" stopIfTrue="1" operator="equal">
      <formula>"Fail"</formula>
    </cfRule>
  </conditionalFormatting>
  <conditionalFormatting sqref="A1033 A1030">
    <cfRule type="cellIs" dxfId="6659" priority="6497" stopIfTrue="1" operator="equal">
      <formula>"Pass"</formula>
    </cfRule>
    <cfRule type="cellIs" dxfId="6658" priority="6498" stopIfTrue="1" operator="equal">
      <formula>"Fail"</formula>
    </cfRule>
  </conditionalFormatting>
  <conditionalFormatting sqref="A1033 A1030">
    <cfRule type="cellIs" dxfId="6657" priority="6495" stopIfTrue="1" operator="equal">
      <formula>"Pass"</formula>
    </cfRule>
    <cfRule type="cellIs" dxfId="6656" priority="6496" stopIfTrue="1" operator="equal">
      <formula>"Fail"</formula>
    </cfRule>
  </conditionalFormatting>
  <conditionalFormatting sqref="A1033 A1030">
    <cfRule type="cellIs" dxfId="6655" priority="6493" stopIfTrue="1" operator="equal">
      <formula>"Pass"</formula>
    </cfRule>
    <cfRule type="cellIs" dxfId="6654" priority="6494" stopIfTrue="1" operator="equal">
      <formula>"Fail"</formula>
    </cfRule>
  </conditionalFormatting>
  <conditionalFormatting sqref="A1033 A1030">
    <cfRule type="cellIs" dxfId="6653" priority="6491" stopIfTrue="1" operator="equal">
      <formula>"Pass"</formula>
    </cfRule>
    <cfRule type="cellIs" dxfId="6652" priority="6492" stopIfTrue="1" operator="equal">
      <formula>"Fail"</formula>
    </cfRule>
  </conditionalFormatting>
  <conditionalFormatting sqref="A1033 A1030">
    <cfRule type="cellIs" dxfId="6651" priority="6489" stopIfTrue="1" operator="equal">
      <formula>"Pass"</formula>
    </cfRule>
    <cfRule type="cellIs" dxfId="6650" priority="6490" stopIfTrue="1" operator="equal">
      <formula>"Fail"</formula>
    </cfRule>
  </conditionalFormatting>
  <conditionalFormatting sqref="A1033 A1030">
    <cfRule type="cellIs" dxfId="6649" priority="6487" stopIfTrue="1" operator="equal">
      <formula>"Pass"</formula>
    </cfRule>
    <cfRule type="cellIs" dxfId="6648" priority="6488" stopIfTrue="1" operator="equal">
      <formula>"Fail"</formula>
    </cfRule>
  </conditionalFormatting>
  <conditionalFormatting sqref="A1033 A1030">
    <cfRule type="cellIs" dxfId="6647" priority="6485" stopIfTrue="1" operator="equal">
      <formula>"Pass"</formula>
    </cfRule>
    <cfRule type="cellIs" dxfId="6646" priority="6486" stopIfTrue="1" operator="equal">
      <formula>"Fail"</formula>
    </cfRule>
  </conditionalFormatting>
  <conditionalFormatting sqref="A1033 A1030">
    <cfRule type="cellIs" dxfId="6645" priority="6483" stopIfTrue="1" operator="equal">
      <formula>"Pass"</formula>
    </cfRule>
    <cfRule type="cellIs" dxfId="6644" priority="6484" stopIfTrue="1" operator="equal">
      <formula>"Fail"</formula>
    </cfRule>
  </conditionalFormatting>
  <conditionalFormatting sqref="A1033 A1030">
    <cfRule type="cellIs" dxfId="6643" priority="6481" stopIfTrue="1" operator="equal">
      <formula>"Pass"</formula>
    </cfRule>
    <cfRule type="cellIs" dxfId="6642" priority="6482" stopIfTrue="1" operator="equal">
      <formula>"Fail"</formula>
    </cfRule>
  </conditionalFormatting>
  <conditionalFormatting sqref="A1033 A1030">
    <cfRule type="cellIs" dxfId="6641" priority="6479" stopIfTrue="1" operator="equal">
      <formula>"Pass"</formula>
    </cfRule>
    <cfRule type="cellIs" dxfId="6640" priority="6480" stopIfTrue="1" operator="equal">
      <formula>"Fail"</formula>
    </cfRule>
  </conditionalFormatting>
  <conditionalFormatting sqref="A1033 A1030">
    <cfRule type="cellIs" dxfId="6639" priority="6477" stopIfTrue="1" operator="equal">
      <formula>"Pass"</formula>
    </cfRule>
    <cfRule type="cellIs" dxfId="6638" priority="6478" stopIfTrue="1" operator="equal">
      <formula>"Fail"</formula>
    </cfRule>
  </conditionalFormatting>
  <conditionalFormatting sqref="A1033 A1030">
    <cfRule type="cellIs" dxfId="6637" priority="6475" stopIfTrue="1" operator="equal">
      <formula>"Pass"</formula>
    </cfRule>
    <cfRule type="cellIs" dxfId="6636" priority="6476" stopIfTrue="1" operator="equal">
      <formula>"Fail"</formula>
    </cfRule>
  </conditionalFormatting>
  <conditionalFormatting sqref="A1033 A1030">
    <cfRule type="cellIs" dxfId="6635" priority="6473" stopIfTrue="1" operator="equal">
      <formula>"Pass"</formula>
    </cfRule>
    <cfRule type="cellIs" dxfId="6634" priority="6474" stopIfTrue="1" operator="equal">
      <formula>"Fail"</formula>
    </cfRule>
  </conditionalFormatting>
  <conditionalFormatting sqref="A1033 A1030">
    <cfRule type="cellIs" dxfId="6633" priority="6471" stopIfTrue="1" operator="equal">
      <formula>"Pass"</formula>
    </cfRule>
    <cfRule type="cellIs" dxfId="6632" priority="6472" stopIfTrue="1" operator="equal">
      <formula>"Fail"</formula>
    </cfRule>
  </conditionalFormatting>
  <conditionalFormatting sqref="A1033 A1030">
    <cfRule type="cellIs" dxfId="6631" priority="6469" stopIfTrue="1" operator="equal">
      <formula>"Pass"</formula>
    </cfRule>
    <cfRule type="cellIs" dxfId="6630" priority="6470" stopIfTrue="1" operator="equal">
      <formula>"Fail"</formula>
    </cfRule>
  </conditionalFormatting>
  <conditionalFormatting sqref="A1033 A1030">
    <cfRule type="cellIs" dxfId="6629" priority="6467" stopIfTrue="1" operator="equal">
      <formula>"Pass"</formula>
    </cfRule>
    <cfRule type="cellIs" dxfId="6628" priority="6468" stopIfTrue="1" operator="equal">
      <formula>"Fail"</formula>
    </cfRule>
  </conditionalFormatting>
  <conditionalFormatting sqref="A1033 A1030">
    <cfRule type="cellIs" dxfId="6627" priority="6465" stopIfTrue="1" operator="equal">
      <formula>"Pass"</formula>
    </cfRule>
    <cfRule type="cellIs" dxfId="6626" priority="6466" stopIfTrue="1" operator="equal">
      <formula>"Fail"</formula>
    </cfRule>
  </conditionalFormatting>
  <conditionalFormatting sqref="A1033 A1030">
    <cfRule type="cellIs" dxfId="6625" priority="6463" stopIfTrue="1" operator="equal">
      <formula>"Pass"</formula>
    </cfRule>
    <cfRule type="cellIs" dxfId="6624" priority="6464" stopIfTrue="1" operator="equal">
      <formula>"Fail"</formula>
    </cfRule>
  </conditionalFormatting>
  <conditionalFormatting sqref="A1033 A1030">
    <cfRule type="cellIs" dxfId="6623" priority="6461" stopIfTrue="1" operator="equal">
      <formula>"Pass"</formula>
    </cfRule>
    <cfRule type="cellIs" dxfId="6622" priority="6462" stopIfTrue="1" operator="equal">
      <formula>"Fail"</formula>
    </cfRule>
  </conditionalFormatting>
  <conditionalFormatting sqref="A1033 A1030">
    <cfRule type="cellIs" dxfId="6621" priority="6459" stopIfTrue="1" operator="equal">
      <formula>"Pass"</formula>
    </cfRule>
    <cfRule type="cellIs" dxfId="6620" priority="6460" stopIfTrue="1" operator="equal">
      <formula>"Fail"</formula>
    </cfRule>
  </conditionalFormatting>
  <conditionalFormatting sqref="A1033 A1030">
    <cfRule type="cellIs" dxfId="6619" priority="6457" stopIfTrue="1" operator="equal">
      <formula>"Pass"</formula>
    </cfRule>
    <cfRule type="cellIs" dxfId="6618" priority="6458" stopIfTrue="1" operator="equal">
      <formula>"Fail"</formula>
    </cfRule>
  </conditionalFormatting>
  <conditionalFormatting sqref="A1033 A1030">
    <cfRule type="cellIs" dxfId="6617" priority="6455" stopIfTrue="1" operator="equal">
      <formula>"Pass"</formula>
    </cfRule>
    <cfRule type="cellIs" dxfId="6616" priority="6456" stopIfTrue="1" operator="equal">
      <formula>"Fail"</formula>
    </cfRule>
  </conditionalFormatting>
  <conditionalFormatting sqref="A1033 A1030">
    <cfRule type="cellIs" dxfId="6615" priority="6453" stopIfTrue="1" operator="equal">
      <formula>"Pass"</formula>
    </cfRule>
    <cfRule type="cellIs" dxfId="6614" priority="6454" stopIfTrue="1" operator="equal">
      <formula>"Fail"</formula>
    </cfRule>
  </conditionalFormatting>
  <conditionalFormatting sqref="A1033 A1030">
    <cfRule type="cellIs" dxfId="6613" priority="6451" stopIfTrue="1" operator="equal">
      <formula>"Pass"</formula>
    </cfRule>
    <cfRule type="cellIs" dxfId="6612" priority="6452" stopIfTrue="1" operator="equal">
      <formula>"Fail"</formula>
    </cfRule>
  </conditionalFormatting>
  <conditionalFormatting sqref="A1033 A1030">
    <cfRule type="cellIs" dxfId="6611" priority="6449" stopIfTrue="1" operator="equal">
      <formula>"Pass"</formula>
    </cfRule>
    <cfRule type="cellIs" dxfId="6610" priority="6450" stopIfTrue="1" operator="equal">
      <formula>"Fail"</formula>
    </cfRule>
  </conditionalFormatting>
  <conditionalFormatting sqref="A1033 A1030">
    <cfRule type="cellIs" dxfId="6609" priority="6447" stopIfTrue="1" operator="equal">
      <formula>"Pass"</formula>
    </cfRule>
    <cfRule type="cellIs" dxfId="6608" priority="6448" stopIfTrue="1" operator="equal">
      <formula>"Fail"</formula>
    </cfRule>
  </conditionalFormatting>
  <conditionalFormatting sqref="A1033 A1030">
    <cfRule type="cellIs" dxfId="6607" priority="6445" stopIfTrue="1" operator="equal">
      <formula>"Pass"</formula>
    </cfRule>
    <cfRule type="cellIs" dxfId="6606" priority="6446" stopIfTrue="1" operator="equal">
      <formula>"Fail"</formula>
    </cfRule>
  </conditionalFormatting>
  <conditionalFormatting sqref="A1033 A1030">
    <cfRule type="cellIs" dxfId="6605" priority="6443" stopIfTrue="1" operator="equal">
      <formula>"Pass"</formula>
    </cfRule>
    <cfRule type="cellIs" dxfId="6604" priority="6444" stopIfTrue="1" operator="equal">
      <formula>"Fail"</formula>
    </cfRule>
  </conditionalFormatting>
  <conditionalFormatting sqref="A1033 A1030">
    <cfRule type="cellIs" dxfId="6603" priority="6441" stopIfTrue="1" operator="equal">
      <formula>"Pass"</formula>
    </cfRule>
    <cfRule type="cellIs" dxfId="6602" priority="6442" stopIfTrue="1" operator="equal">
      <formula>"Fail"</formula>
    </cfRule>
  </conditionalFormatting>
  <conditionalFormatting sqref="A1033 A1030">
    <cfRule type="cellIs" dxfId="6601" priority="6439" stopIfTrue="1" operator="equal">
      <formula>"Pass"</formula>
    </cfRule>
    <cfRule type="cellIs" dxfId="6600" priority="6440" stopIfTrue="1" operator="equal">
      <formula>"Fail"</formula>
    </cfRule>
  </conditionalFormatting>
  <conditionalFormatting sqref="A1039">
    <cfRule type="cellIs" dxfId="6599" priority="6437" stopIfTrue="1" operator="equal">
      <formula>"Pass"</formula>
    </cfRule>
    <cfRule type="cellIs" dxfId="6598" priority="6438" stopIfTrue="1" operator="equal">
      <formula>"Fail"</formula>
    </cfRule>
  </conditionalFormatting>
  <conditionalFormatting sqref="A1039">
    <cfRule type="cellIs" dxfId="6597" priority="6435" stopIfTrue="1" operator="equal">
      <formula>"Pass"</formula>
    </cfRule>
    <cfRule type="cellIs" dxfId="6596" priority="6436" stopIfTrue="1" operator="equal">
      <formula>"Fail"</formula>
    </cfRule>
  </conditionalFormatting>
  <conditionalFormatting sqref="A1039">
    <cfRule type="cellIs" dxfId="6595" priority="6433" stopIfTrue="1" operator="equal">
      <formula>"Pass"</formula>
    </cfRule>
    <cfRule type="cellIs" dxfId="6594" priority="6434" stopIfTrue="1" operator="equal">
      <formula>"Fail"</formula>
    </cfRule>
  </conditionalFormatting>
  <conditionalFormatting sqref="A1039">
    <cfRule type="cellIs" dxfId="6593" priority="6431" stopIfTrue="1" operator="equal">
      <formula>"Pass"</formula>
    </cfRule>
    <cfRule type="cellIs" dxfId="6592" priority="6432" stopIfTrue="1" operator="equal">
      <formula>"Fail"</formula>
    </cfRule>
  </conditionalFormatting>
  <conditionalFormatting sqref="A1039">
    <cfRule type="cellIs" dxfId="6591" priority="6429" stopIfTrue="1" operator="equal">
      <formula>"Pass"</formula>
    </cfRule>
    <cfRule type="cellIs" dxfId="6590" priority="6430" stopIfTrue="1" operator="equal">
      <formula>"Fail"</formula>
    </cfRule>
  </conditionalFormatting>
  <conditionalFormatting sqref="A1039">
    <cfRule type="cellIs" dxfId="6589" priority="6427" stopIfTrue="1" operator="equal">
      <formula>"Pass"</formula>
    </cfRule>
    <cfRule type="cellIs" dxfId="6588" priority="6428" stopIfTrue="1" operator="equal">
      <formula>"Fail"</formula>
    </cfRule>
  </conditionalFormatting>
  <conditionalFormatting sqref="A1039">
    <cfRule type="cellIs" dxfId="6587" priority="6425" stopIfTrue="1" operator="equal">
      <formula>"Pass"</formula>
    </cfRule>
    <cfRule type="cellIs" dxfId="6586" priority="6426" stopIfTrue="1" operator="equal">
      <formula>"Fail"</formula>
    </cfRule>
  </conditionalFormatting>
  <conditionalFormatting sqref="A1039">
    <cfRule type="cellIs" dxfId="6585" priority="6423" stopIfTrue="1" operator="equal">
      <formula>"Pass"</formula>
    </cfRule>
    <cfRule type="cellIs" dxfId="6584" priority="6424" stopIfTrue="1" operator="equal">
      <formula>"Fail"</formula>
    </cfRule>
  </conditionalFormatting>
  <conditionalFormatting sqref="A1039">
    <cfRule type="cellIs" dxfId="6583" priority="6421" stopIfTrue="1" operator="equal">
      <formula>"Pass"</formula>
    </cfRule>
    <cfRule type="cellIs" dxfId="6582" priority="6422" stopIfTrue="1" operator="equal">
      <formula>"Fail"</formula>
    </cfRule>
  </conditionalFormatting>
  <conditionalFormatting sqref="A1039">
    <cfRule type="cellIs" dxfId="6581" priority="6419" stopIfTrue="1" operator="equal">
      <formula>"Pass"</formula>
    </cfRule>
    <cfRule type="cellIs" dxfId="6580" priority="6420" stopIfTrue="1" operator="equal">
      <formula>"Fail"</formula>
    </cfRule>
  </conditionalFormatting>
  <conditionalFormatting sqref="A1039">
    <cfRule type="cellIs" dxfId="6579" priority="6417" stopIfTrue="1" operator="equal">
      <formula>"Pass"</formula>
    </cfRule>
    <cfRule type="cellIs" dxfId="6578" priority="6418" stopIfTrue="1" operator="equal">
      <formula>"Fail"</formula>
    </cfRule>
  </conditionalFormatting>
  <conditionalFormatting sqref="A1039">
    <cfRule type="cellIs" dxfId="6577" priority="6415" stopIfTrue="1" operator="equal">
      <formula>"Pass"</formula>
    </cfRule>
    <cfRule type="cellIs" dxfId="6576" priority="6416" stopIfTrue="1" operator="equal">
      <formula>"Fail"</formula>
    </cfRule>
  </conditionalFormatting>
  <conditionalFormatting sqref="A1039">
    <cfRule type="cellIs" dxfId="6575" priority="6413" stopIfTrue="1" operator="equal">
      <formula>"Pass"</formula>
    </cfRule>
    <cfRule type="cellIs" dxfId="6574" priority="6414" stopIfTrue="1" operator="equal">
      <formula>"Fail"</formula>
    </cfRule>
  </conditionalFormatting>
  <conditionalFormatting sqref="A1039">
    <cfRule type="cellIs" dxfId="6573" priority="6411" stopIfTrue="1" operator="equal">
      <formula>"Pass"</formula>
    </cfRule>
    <cfRule type="cellIs" dxfId="6572" priority="6412" stopIfTrue="1" operator="equal">
      <formula>"Fail"</formula>
    </cfRule>
  </conditionalFormatting>
  <conditionalFormatting sqref="A1039">
    <cfRule type="cellIs" dxfId="6571" priority="6409" stopIfTrue="1" operator="equal">
      <formula>"Pass"</formula>
    </cfRule>
    <cfRule type="cellIs" dxfId="6570" priority="6410" stopIfTrue="1" operator="equal">
      <formula>"Fail"</formula>
    </cfRule>
  </conditionalFormatting>
  <conditionalFormatting sqref="A1039">
    <cfRule type="cellIs" dxfId="6569" priority="6407" stopIfTrue="1" operator="equal">
      <formula>"Pass"</formula>
    </cfRule>
    <cfRule type="cellIs" dxfId="6568" priority="6408" stopIfTrue="1" operator="equal">
      <formula>"Fail"</formula>
    </cfRule>
  </conditionalFormatting>
  <conditionalFormatting sqref="A1039">
    <cfRule type="cellIs" dxfId="6567" priority="6405" stopIfTrue="1" operator="equal">
      <formula>"Pass"</formula>
    </cfRule>
    <cfRule type="cellIs" dxfId="6566" priority="6406" stopIfTrue="1" operator="equal">
      <formula>"Fail"</formula>
    </cfRule>
  </conditionalFormatting>
  <conditionalFormatting sqref="A1039">
    <cfRule type="cellIs" dxfId="6565" priority="6403" stopIfTrue="1" operator="equal">
      <formula>"Pass"</formula>
    </cfRule>
    <cfRule type="cellIs" dxfId="6564" priority="6404" stopIfTrue="1" operator="equal">
      <formula>"Fail"</formula>
    </cfRule>
  </conditionalFormatting>
  <conditionalFormatting sqref="A1039">
    <cfRule type="cellIs" dxfId="6563" priority="6401" stopIfTrue="1" operator="equal">
      <formula>"Pass"</formula>
    </cfRule>
    <cfRule type="cellIs" dxfId="6562" priority="6402" stopIfTrue="1" operator="equal">
      <formula>"Fail"</formula>
    </cfRule>
  </conditionalFormatting>
  <conditionalFormatting sqref="A1039">
    <cfRule type="cellIs" dxfId="6561" priority="6399" stopIfTrue="1" operator="equal">
      <formula>"Pass"</formula>
    </cfRule>
    <cfRule type="cellIs" dxfId="6560" priority="6400" stopIfTrue="1" operator="equal">
      <formula>"Fail"</formula>
    </cfRule>
  </conditionalFormatting>
  <conditionalFormatting sqref="A1039">
    <cfRule type="cellIs" dxfId="6559" priority="6397" stopIfTrue="1" operator="equal">
      <formula>"Pass"</formula>
    </cfRule>
    <cfRule type="cellIs" dxfId="6558" priority="6398" stopIfTrue="1" operator="equal">
      <formula>"Fail"</formula>
    </cfRule>
  </conditionalFormatting>
  <conditionalFormatting sqref="A1039">
    <cfRule type="cellIs" dxfId="6557" priority="6395" stopIfTrue="1" operator="equal">
      <formula>"Pass"</formula>
    </cfRule>
    <cfRule type="cellIs" dxfId="6556" priority="6396" stopIfTrue="1" operator="equal">
      <formula>"Fail"</formula>
    </cfRule>
  </conditionalFormatting>
  <conditionalFormatting sqref="A1039">
    <cfRule type="cellIs" dxfId="6555" priority="6393" stopIfTrue="1" operator="equal">
      <formula>"Pass"</formula>
    </cfRule>
    <cfRule type="cellIs" dxfId="6554" priority="6394" stopIfTrue="1" operator="equal">
      <formula>"Fail"</formula>
    </cfRule>
  </conditionalFormatting>
  <conditionalFormatting sqref="A1039">
    <cfRule type="cellIs" dxfId="6553" priority="6391" stopIfTrue="1" operator="equal">
      <formula>"Pass"</formula>
    </cfRule>
    <cfRule type="cellIs" dxfId="6552" priority="6392" stopIfTrue="1" operator="equal">
      <formula>"Fail"</formula>
    </cfRule>
  </conditionalFormatting>
  <conditionalFormatting sqref="A1039">
    <cfRule type="cellIs" dxfId="6551" priority="6389" stopIfTrue="1" operator="equal">
      <formula>"Pass"</formula>
    </cfRule>
    <cfRule type="cellIs" dxfId="6550" priority="6390" stopIfTrue="1" operator="equal">
      <formula>"Fail"</formula>
    </cfRule>
  </conditionalFormatting>
  <conditionalFormatting sqref="A1039">
    <cfRule type="cellIs" dxfId="6549" priority="6387" stopIfTrue="1" operator="equal">
      <formula>"Pass"</formula>
    </cfRule>
    <cfRule type="cellIs" dxfId="6548" priority="6388" stopIfTrue="1" operator="equal">
      <formula>"Fail"</formula>
    </cfRule>
  </conditionalFormatting>
  <conditionalFormatting sqref="A1039">
    <cfRule type="cellIs" dxfId="6547" priority="6385" stopIfTrue="1" operator="equal">
      <formula>"Pass"</formula>
    </cfRule>
    <cfRule type="cellIs" dxfId="6546" priority="6386" stopIfTrue="1" operator="equal">
      <formula>"Fail"</formula>
    </cfRule>
  </conditionalFormatting>
  <conditionalFormatting sqref="A1039">
    <cfRule type="cellIs" dxfId="6545" priority="6383" stopIfTrue="1" operator="equal">
      <formula>"Pass"</formula>
    </cfRule>
    <cfRule type="cellIs" dxfId="6544" priority="6384" stopIfTrue="1" operator="equal">
      <formula>"Fail"</formula>
    </cfRule>
  </conditionalFormatting>
  <conditionalFormatting sqref="A1039">
    <cfRule type="cellIs" dxfId="6543" priority="6381" stopIfTrue="1" operator="equal">
      <formula>"Pass"</formula>
    </cfRule>
    <cfRule type="cellIs" dxfId="6542" priority="6382" stopIfTrue="1" operator="equal">
      <formula>"Fail"</formula>
    </cfRule>
  </conditionalFormatting>
  <conditionalFormatting sqref="A1039">
    <cfRule type="cellIs" dxfId="6541" priority="6379" stopIfTrue="1" operator="equal">
      <formula>"Pass"</formula>
    </cfRule>
    <cfRule type="cellIs" dxfId="6540" priority="6380" stopIfTrue="1" operator="equal">
      <formula>"Fail"</formula>
    </cfRule>
  </conditionalFormatting>
  <conditionalFormatting sqref="A1039">
    <cfRule type="cellIs" dxfId="6539" priority="6377" stopIfTrue="1" operator="equal">
      <formula>"Pass"</formula>
    </cfRule>
    <cfRule type="cellIs" dxfId="6538" priority="6378" stopIfTrue="1" operator="equal">
      <formula>"Fail"</formula>
    </cfRule>
  </conditionalFormatting>
  <conditionalFormatting sqref="A1039">
    <cfRule type="cellIs" dxfId="6537" priority="6375" stopIfTrue="1" operator="equal">
      <formula>"Pass"</formula>
    </cfRule>
    <cfRule type="cellIs" dxfId="6536" priority="6376" stopIfTrue="1" operator="equal">
      <formula>"Fail"</formula>
    </cfRule>
  </conditionalFormatting>
  <conditionalFormatting sqref="A1039">
    <cfRule type="cellIs" dxfId="6535" priority="6373" stopIfTrue="1" operator="equal">
      <formula>"Pass"</formula>
    </cfRule>
    <cfRule type="cellIs" dxfId="6534" priority="6374" stopIfTrue="1" operator="equal">
      <formula>"Fail"</formula>
    </cfRule>
  </conditionalFormatting>
  <conditionalFormatting sqref="A1039">
    <cfRule type="cellIs" dxfId="6533" priority="6371" stopIfTrue="1" operator="equal">
      <formula>"Pass"</formula>
    </cfRule>
    <cfRule type="cellIs" dxfId="6532" priority="6372" stopIfTrue="1" operator="equal">
      <formula>"Fail"</formula>
    </cfRule>
  </conditionalFormatting>
  <conditionalFormatting sqref="A1039">
    <cfRule type="cellIs" dxfId="6531" priority="6369" stopIfTrue="1" operator="equal">
      <formula>"Pass"</formula>
    </cfRule>
    <cfRule type="cellIs" dxfId="6530" priority="6370" stopIfTrue="1" operator="equal">
      <formula>"Fail"</formula>
    </cfRule>
  </conditionalFormatting>
  <conditionalFormatting sqref="A1039">
    <cfRule type="cellIs" dxfId="6529" priority="6367" stopIfTrue="1" operator="equal">
      <formula>"Pass"</formula>
    </cfRule>
    <cfRule type="cellIs" dxfId="6528" priority="6368" stopIfTrue="1" operator="equal">
      <formula>"Fail"</formula>
    </cfRule>
  </conditionalFormatting>
  <conditionalFormatting sqref="A1039">
    <cfRule type="cellIs" dxfId="6527" priority="6365" stopIfTrue="1" operator="equal">
      <formula>"Pass"</formula>
    </cfRule>
    <cfRule type="cellIs" dxfId="6526" priority="6366" stopIfTrue="1" operator="equal">
      <formula>"Fail"</formula>
    </cfRule>
  </conditionalFormatting>
  <conditionalFormatting sqref="A1039">
    <cfRule type="cellIs" dxfId="6525" priority="6363" stopIfTrue="1" operator="equal">
      <formula>"Pass"</formula>
    </cfRule>
    <cfRule type="cellIs" dxfId="6524" priority="6364" stopIfTrue="1" operator="equal">
      <formula>"Fail"</formula>
    </cfRule>
  </conditionalFormatting>
  <conditionalFormatting sqref="A1039">
    <cfRule type="cellIs" dxfId="6523" priority="6361" stopIfTrue="1" operator="equal">
      <formula>"Pass"</formula>
    </cfRule>
    <cfRule type="cellIs" dxfId="6522" priority="6362" stopIfTrue="1" operator="equal">
      <formula>"Fail"</formula>
    </cfRule>
  </conditionalFormatting>
  <conditionalFormatting sqref="A1039">
    <cfRule type="cellIs" dxfId="6521" priority="6359" stopIfTrue="1" operator="equal">
      <formula>"Pass"</formula>
    </cfRule>
    <cfRule type="cellIs" dxfId="6520" priority="6360" stopIfTrue="1" operator="equal">
      <formula>"Fail"</formula>
    </cfRule>
  </conditionalFormatting>
  <conditionalFormatting sqref="A1039">
    <cfRule type="cellIs" dxfId="6519" priority="6357" stopIfTrue="1" operator="equal">
      <formula>"Pass"</formula>
    </cfRule>
    <cfRule type="cellIs" dxfId="6518" priority="6358" stopIfTrue="1" operator="equal">
      <formula>"Fail"</formula>
    </cfRule>
  </conditionalFormatting>
  <conditionalFormatting sqref="A1039">
    <cfRule type="cellIs" dxfId="6517" priority="6355" stopIfTrue="1" operator="equal">
      <formula>"Pass"</formula>
    </cfRule>
    <cfRule type="cellIs" dxfId="6516" priority="6356" stopIfTrue="1" operator="equal">
      <formula>"Fail"</formula>
    </cfRule>
  </conditionalFormatting>
  <conditionalFormatting sqref="H1039:H1040">
    <cfRule type="cellIs" dxfId="6515" priority="6353" stopIfTrue="1" operator="equal">
      <formula>"Pass"</formula>
    </cfRule>
    <cfRule type="cellIs" dxfId="6514" priority="6354" stopIfTrue="1" operator="equal">
      <formula>"Fail"</formula>
    </cfRule>
  </conditionalFormatting>
  <conditionalFormatting sqref="E1039:F1039 E1041:F1041 A1039 I1039:M1040">
    <cfRule type="cellIs" dxfId="6513" priority="6351" stopIfTrue="1" operator="equal">
      <formula>"Pass"</formula>
    </cfRule>
    <cfRule type="cellIs" dxfId="6512" priority="6352" stopIfTrue="1" operator="equal">
      <formula>"Fail"</formula>
    </cfRule>
  </conditionalFormatting>
  <conditionalFormatting sqref="T1041 T1039 R1039:R1041 S1040:S1041">
    <cfRule type="cellIs" dxfId="6511" priority="6349" stopIfTrue="1" operator="equal">
      <formula>"Fail"</formula>
    </cfRule>
    <cfRule type="cellIs" dxfId="6510" priority="6350" stopIfTrue="1" operator="equal">
      <formula>"Pass"</formula>
    </cfRule>
  </conditionalFormatting>
  <conditionalFormatting sqref="F1039:G1039 F1041:G1041 B1039:B1041 A1039 J1039:N1040">
    <cfRule type="cellIs" dxfId="6509" priority="6347" stopIfTrue="1" operator="equal">
      <formula>"Pass"</formula>
    </cfRule>
    <cfRule type="cellIs" dxfId="6508" priority="6348" stopIfTrue="1" operator="equal">
      <formula>"Fail"</formula>
    </cfRule>
  </conditionalFormatting>
  <conditionalFormatting sqref="U1041:V1041 T1039:T1041 S1040:S1041">
    <cfRule type="cellIs" dxfId="6507" priority="6345" stopIfTrue="1" operator="equal">
      <formula>"Fail"</formula>
    </cfRule>
    <cfRule type="cellIs" dxfId="6506" priority="6346" stopIfTrue="1" operator="equal">
      <formula>"Pass"</formula>
    </cfRule>
  </conditionalFormatting>
  <conditionalFormatting sqref="A1039">
    <cfRule type="cellIs" dxfId="6505" priority="6343" stopIfTrue="1" operator="equal">
      <formula>"Pass"</formula>
    </cfRule>
    <cfRule type="cellIs" dxfId="6504" priority="6344" stopIfTrue="1" operator="equal">
      <formula>"Fail"</formula>
    </cfRule>
  </conditionalFormatting>
  <conditionalFormatting sqref="A1039">
    <cfRule type="cellIs" dxfId="6503" priority="6341" stopIfTrue="1" operator="equal">
      <formula>"Pass"</formula>
    </cfRule>
    <cfRule type="cellIs" dxfId="6502" priority="6342" stopIfTrue="1" operator="equal">
      <formula>"Fail"</formula>
    </cfRule>
  </conditionalFormatting>
  <conditionalFormatting sqref="A1039">
    <cfRule type="cellIs" dxfId="6501" priority="6339" stopIfTrue="1" operator="equal">
      <formula>"Pass"</formula>
    </cfRule>
    <cfRule type="cellIs" dxfId="6500" priority="6340" stopIfTrue="1" operator="equal">
      <formula>"Fail"</formula>
    </cfRule>
  </conditionalFormatting>
  <conditionalFormatting sqref="A1039">
    <cfRule type="cellIs" dxfId="6499" priority="6337" stopIfTrue="1" operator="equal">
      <formula>"Pass"</formula>
    </cfRule>
    <cfRule type="cellIs" dxfId="6498" priority="6338" stopIfTrue="1" operator="equal">
      <formula>"Fail"</formula>
    </cfRule>
  </conditionalFormatting>
  <conditionalFormatting sqref="A1039">
    <cfRule type="cellIs" dxfId="6497" priority="6335" stopIfTrue="1" operator="equal">
      <formula>"Pass"</formula>
    </cfRule>
    <cfRule type="cellIs" dxfId="6496" priority="6336" stopIfTrue="1" operator="equal">
      <formula>"Fail"</formula>
    </cfRule>
  </conditionalFormatting>
  <conditionalFormatting sqref="A1039">
    <cfRule type="cellIs" dxfId="6495" priority="6333" stopIfTrue="1" operator="equal">
      <formula>"Pass"</formula>
    </cfRule>
    <cfRule type="cellIs" dxfId="6494" priority="6334" stopIfTrue="1" operator="equal">
      <formula>"Fail"</formula>
    </cfRule>
  </conditionalFormatting>
  <conditionalFormatting sqref="A1039">
    <cfRule type="cellIs" dxfId="6493" priority="6331" stopIfTrue="1" operator="equal">
      <formula>"Pass"</formula>
    </cfRule>
    <cfRule type="cellIs" dxfId="6492" priority="6332" stopIfTrue="1" operator="equal">
      <formula>"Fail"</formula>
    </cfRule>
  </conditionalFormatting>
  <conditionalFormatting sqref="A1039">
    <cfRule type="cellIs" dxfId="6491" priority="6329" stopIfTrue="1" operator="equal">
      <formula>"Pass"</formula>
    </cfRule>
    <cfRule type="cellIs" dxfId="6490" priority="6330" stopIfTrue="1" operator="equal">
      <formula>"Fail"</formula>
    </cfRule>
  </conditionalFormatting>
  <conditionalFormatting sqref="A1039">
    <cfRule type="cellIs" dxfId="6489" priority="6327" stopIfTrue="1" operator="equal">
      <formula>"Pass"</formula>
    </cfRule>
    <cfRule type="cellIs" dxfId="6488" priority="6328" stopIfTrue="1" operator="equal">
      <formula>"Fail"</formula>
    </cfRule>
  </conditionalFormatting>
  <conditionalFormatting sqref="A1039">
    <cfRule type="cellIs" dxfId="6487" priority="6325" stopIfTrue="1" operator="equal">
      <formula>"Pass"</formula>
    </cfRule>
    <cfRule type="cellIs" dxfId="6486" priority="6326" stopIfTrue="1" operator="equal">
      <formula>"Fail"</formula>
    </cfRule>
  </conditionalFormatting>
  <conditionalFormatting sqref="U1039:V1039">
    <cfRule type="cellIs" dxfId="6485" priority="6323" stopIfTrue="1" operator="equal">
      <formula>"Fail"</formula>
    </cfRule>
    <cfRule type="cellIs" dxfId="6484" priority="6324" stopIfTrue="1" operator="equal">
      <formula>"Pass"</formula>
    </cfRule>
  </conditionalFormatting>
  <conditionalFormatting sqref="F1039:G1039 J1039:N1039">
    <cfRule type="cellIs" dxfId="6483" priority="6321" stopIfTrue="1" operator="equal">
      <formula>"Pass"</formula>
    </cfRule>
    <cfRule type="cellIs" dxfId="6482" priority="6322" stopIfTrue="1" operator="equal">
      <formula>"Fail"</formula>
    </cfRule>
  </conditionalFormatting>
  <conditionalFormatting sqref="J1040:N1040">
    <cfRule type="cellIs" dxfId="6481" priority="6319" stopIfTrue="1" operator="equal">
      <formula>"Pass"</formula>
    </cfRule>
    <cfRule type="cellIs" dxfId="6480" priority="6320" stopIfTrue="1" operator="equal">
      <formula>"Fail"</formula>
    </cfRule>
  </conditionalFormatting>
  <conditionalFormatting sqref="A1039">
    <cfRule type="cellIs" dxfId="6479" priority="6317" stopIfTrue="1" operator="equal">
      <formula>"Pass"</formula>
    </cfRule>
    <cfRule type="cellIs" dxfId="6478" priority="6318" stopIfTrue="1" operator="equal">
      <formula>"Fail"</formula>
    </cfRule>
  </conditionalFormatting>
  <conditionalFormatting sqref="A1039">
    <cfRule type="cellIs" dxfId="6477" priority="6315" stopIfTrue="1" operator="equal">
      <formula>"Pass"</formula>
    </cfRule>
    <cfRule type="cellIs" dxfId="6476" priority="6316" stopIfTrue="1" operator="equal">
      <formula>"Fail"</formula>
    </cfRule>
  </conditionalFormatting>
  <conditionalFormatting sqref="A1039">
    <cfRule type="cellIs" dxfId="6475" priority="6313" stopIfTrue="1" operator="equal">
      <formula>"Pass"</formula>
    </cfRule>
    <cfRule type="cellIs" dxfId="6474" priority="6314" stopIfTrue="1" operator="equal">
      <formula>"Fail"</formula>
    </cfRule>
  </conditionalFormatting>
  <conditionalFormatting sqref="A1039">
    <cfRule type="cellIs" dxfId="6473" priority="6311" stopIfTrue="1" operator="equal">
      <formula>"Pass"</formula>
    </cfRule>
    <cfRule type="cellIs" dxfId="6472" priority="6312" stopIfTrue="1" operator="equal">
      <formula>"Fail"</formula>
    </cfRule>
  </conditionalFormatting>
  <conditionalFormatting sqref="A1039">
    <cfRule type="cellIs" dxfId="6471" priority="6309" stopIfTrue="1" operator="equal">
      <formula>"Pass"</formula>
    </cfRule>
    <cfRule type="cellIs" dxfId="6470" priority="6310" stopIfTrue="1" operator="equal">
      <formula>"Fail"</formula>
    </cfRule>
  </conditionalFormatting>
  <conditionalFormatting sqref="A1039">
    <cfRule type="cellIs" dxfId="6469" priority="6307" stopIfTrue="1" operator="equal">
      <formula>"Pass"</formula>
    </cfRule>
    <cfRule type="cellIs" dxfId="6468" priority="6308" stopIfTrue="1" operator="equal">
      <formula>"Fail"</formula>
    </cfRule>
  </conditionalFormatting>
  <conditionalFormatting sqref="A1039">
    <cfRule type="cellIs" dxfId="6467" priority="6305" stopIfTrue="1" operator="equal">
      <formula>"Pass"</formula>
    </cfRule>
    <cfRule type="cellIs" dxfId="6466" priority="6306" stopIfTrue="1" operator="equal">
      <formula>"Fail"</formula>
    </cfRule>
  </conditionalFormatting>
  <conditionalFormatting sqref="A1039">
    <cfRule type="cellIs" dxfId="6465" priority="6303" stopIfTrue="1" operator="equal">
      <formula>"Pass"</formula>
    </cfRule>
    <cfRule type="cellIs" dxfId="6464" priority="6304" stopIfTrue="1" operator="equal">
      <formula>"Fail"</formula>
    </cfRule>
  </conditionalFormatting>
  <conditionalFormatting sqref="A1039">
    <cfRule type="cellIs" dxfId="6463" priority="6301" stopIfTrue="1" operator="equal">
      <formula>"Pass"</formula>
    </cfRule>
    <cfRule type="cellIs" dxfId="6462" priority="6302" stopIfTrue="1" operator="equal">
      <formula>"Fail"</formula>
    </cfRule>
  </conditionalFormatting>
  <conditionalFormatting sqref="A1039">
    <cfRule type="cellIs" dxfId="6461" priority="6299" stopIfTrue="1" operator="equal">
      <formula>"Pass"</formula>
    </cfRule>
    <cfRule type="cellIs" dxfId="6460" priority="6300" stopIfTrue="1" operator="equal">
      <formula>"Fail"</formula>
    </cfRule>
  </conditionalFormatting>
  <conditionalFormatting sqref="A1039">
    <cfRule type="cellIs" dxfId="6459" priority="6297" stopIfTrue="1" operator="equal">
      <formula>"Pass"</formula>
    </cfRule>
    <cfRule type="cellIs" dxfId="6458" priority="6298" stopIfTrue="1" operator="equal">
      <formula>"Fail"</formula>
    </cfRule>
  </conditionalFormatting>
  <conditionalFormatting sqref="A1039">
    <cfRule type="cellIs" dxfId="6457" priority="6295" stopIfTrue="1" operator="equal">
      <formula>"Pass"</formula>
    </cfRule>
    <cfRule type="cellIs" dxfId="6456" priority="6296" stopIfTrue="1" operator="equal">
      <formula>"Fail"</formula>
    </cfRule>
  </conditionalFormatting>
  <conditionalFormatting sqref="H1039:H1040">
    <cfRule type="cellIs" dxfId="6455" priority="6293" stopIfTrue="1" operator="equal">
      <formula>"Pass"</formula>
    </cfRule>
    <cfRule type="cellIs" dxfId="6454" priority="6294" stopIfTrue="1" operator="equal">
      <formula>"Fail"</formula>
    </cfRule>
  </conditionalFormatting>
  <conditionalFormatting sqref="F1039 F1041 I1039:M1040">
    <cfRule type="cellIs" dxfId="6453" priority="6291" stopIfTrue="1" operator="equal">
      <formula>"Pass"</formula>
    </cfRule>
    <cfRule type="cellIs" dxfId="6452" priority="6292" stopIfTrue="1" operator="equal">
      <formula>"Fail"</formula>
    </cfRule>
  </conditionalFormatting>
  <conditionalFormatting sqref="T1041 T1039 R1039:R1041 S1040:S1041">
    <cfRule type="cellIs" dxfId="6451" priority="6289" stopIfTrue="1" operator="equal">
      <formula>"Fail"</formula>
    </cfRule>
    <cfRule type="cellIs" dxfId="6450" priority="6290" stopIfTrue="1" operator="equal">
      <formula>"Pass"</formula>
    </cfRule>
  </conditionalFormatting>
  <conditionalFormatting sqref="F1039:G1039 F1041:G1041 J1039:N1040">
    <cfRule type="cellIs" dxfId="6449" priority="6287" stopIfTrue="1" operator="equal">
      <formula>"Pass"</formula>
    </cfRule>
    <cfRule type="cellIs" dxfId="6448" priority="6288" stopIfTrue="1" operator="equal">
      <formula>"Fail"</formula>
    </cfRule>
  </conditionalFormatting>
  <conditionalFormatting sqref="U1041:V1041 T1039:T1041 S1040:S1041">
    <cfRule type="cellIs" dxfId="6447" priority="6285" stopIfTrue="1" operator="equal">
      <formula>"Fail"</formula>
    </cfRule>
    <cfRule type="cellIs" dxfId="6446" priority="6286" stopIfTrue="1" operator="equal">
      <formula>"Pass"</formula>
    </cfRule>
  </conditionalFormatting>
  <conditionalFormatting sqref="U1039:V1039">
    <cfRule type="cellIs" dxfId="6445" priority="6283" stopIfTrue="1" operator="equal">
      <formula>"Fail"</formula>
    </cfRule>
    <cfRule type="cellIs" dxfId="6444" priority="6284" stopIfTrue="1" operator="equal">
      <formula>"Pass"</formula>
    </cfRule>
  </conditionalFormatting>
  <conditionalFormatting sqref="F1039:G1039 J1039:N1039">
    <cfRule type="cellIs" dxfId="6443" priority="6281" stopIfTrue="1" operator="equal">
      <formula>"Pass"</formula>
    </cfRule>
    <cfRule type="cellIs" dxfId="6442" priority="6282" stopIfTrue="1" operator="equal">
      <formula>"Fail"</formula>
    </cfRule>
  </conditionalFormatting>
  <conditionalFormatting sqref="J1040:N1040">
    <cfRule type="cellIs" dxfId="6441" priority="6279" stopIfTrue="1" operator="equal">
      <formula>"Pass"</formula>
    </cfRule>
    <cfRule type="cellIs" dxfId="6440" priority="6280" stopIfTrue="1" operator="equal">
      <formula>"Fail"</formula>
    </cfRule>
  </conditionalFormatting>
  <conditionalFormatting sqref="H1039:H1040">
    <cfRule type="cellIs" dxfId="6439" priority="6277" stopIfTrue="1" operator="equal">
      <formula>"Pass"</formula>
    </cfRule>
    <cfRule type="cellIs" dxfId="6438" priority="6278" stopIfTrue="1" operator="equal">
      <formula>"Fail"</formula>
    </cfRule>
  </conditionalFormatting>
  <conditionalFormatting sqref="F1039 F1041 I1039:M1040">
    <cfRule type="cellIs" dxfId="6437" priority="6275" stopIfTrue="1" operator="equal">
      <formula>"Pass"</formula>
    </cfRule>
    <cfRule type="cellIs" dxfId="6436" priority="6276" stopIfTrue="1" operator="equal">
      <formula>"Fail"</formula>
    </cfRule>
  </conditionalFormatting>
  <conditionalFormatting sqref="T1041 T1039 R1039:R1041 S1040:S1041">
    <cfRule type="cellIs" dxfId="6435" priority="6273" stopIfTrue="1" operator="equal">
      <formula>"Fail"</formula>
    </cfRule>
    <cfRule type="cellIs" dxfId="6434" priority="6274" stopIfTrue="1" operator="equal">
      <formula>"Pass"</formula>
    </cfRule>
  </conditionalFormatting>
  <conditionalFormatting sqref="F1039:G1039 F1041:G1041 J1039:N1040">
    <cfRule type="cellIs" dxfId="6433" priority="6271" stopIfTrue="1" operator="equal">
      <formula>"Pass"</formula>
    </cfRule>
    <cfRule type="cellIs" dxfId="6432" priority="6272" stopIfTrue="1" operator="equal">
      <formula>"Fail"</formula>
    </cfRule>
  </conditionalFormatting>
  <conditionalFormatting sqref="U1041:V1041 T1039:T1041 S1040:S1041">
    <cfRule type="cellIs" dxfId="6431" priority="6269" stopIfTrue="1" operator="equal">
      <formula>"Fail"</formula>
    </cfRule>
    <cfRule type="cellIs" dxfId="6430" priority="6270" stopIfTrue="1" operator="equal">
      <formula>"Pass"</formula>
    </cfRule>
  </conditionalFormatting>
  <conditionalFormatting sqref="U1039:V1039">
    <cfRule type="cellIs" dxfId="6429" priority="6267" stopIfTrue="1" operator="equal">
      <formula>"Fail"</formula>
    </cfRule>
    <cfRule type="cellIs" dxfId="6428" priority="6268" stopIfTrue="1" operator="equal">
      <formula>"Pass"</formula>
    </cfRule>
  </conditionalFormatting>
  <conditionalFormatting sqref="F1039:G1039 J1039:N1039">
    <cfRule type="cellIs" dxfId="6427" priority="6265" stopIfTrue="1" operator="equal">
      <formula>"Pass"</formula>
    </cfRule>
    <cfRule type="cellIs" dxfId="6426" priority="6266" stopIfTrue="1" operator="equal">
      <formula>"Fail"</formula>
    </cfRule>
  </conditionalFormatting>
  <conditionalFormatting sqref="J1040:N1040">
    <cfRule type="cellIs" dxfId="6425" priority="6263" stopIfTrue="1" operator="equal">
      <formula>"Pass"</formula>
    </cfRule>
    <cfRule type="cellIs" dxfId="6424" priority="6264" stopIfTrue="1" operator="equal">
      <formula>"Fail"</formula>
    </cfRule>
  </conditionalFormatting>
  <conditionalFormatting sqref="U1039:V1039">
    <cfRule type="cellIs" dxfId="6423" priority="6261" stopIfTrue="1" operator="equal">
      <formula>"Fail"</formula>
    </cfRule>
    <cfRule type="cellIs" dxfId="6422" priority="6262" stopIfTrue="1" operator="equal">
      <formula>"Pass"</formula>
    </cfRule>
  </conditionalFormatting>
  <conditionalFormatting sqref="U1039:V1039">
    <cfRule type="cellIs" dxfId="6421" priority="6259" stopIfTrue="1" operator="equal">
      <formula>"Fail"</formula>
    </cfRule>
    <cfRule type="cellIs" dxfId="6420" priority="6260" stopIfTrue="1" operator="equal">
      <formula>"Pass"</formula>
    </cfRule>
  </conditionalFormatting>
  <conditionalFormatting sqref="U1039:V1039">
    <cfRule type="cellIs" dxfId="6419" priority="6257" stopIfTrue="1" operator="equal">
      <formula>"Fail"</formula>
    </cfRule>
    <cfRule type="cellIs" dxfId="6418" priority="6258" stopIfTrue="1" operator="equal">
      <formula>"Pass"</formula>
    </cfRule>
  </conditionalFormatting>
  <conditionalFormatting sqref="N1039">
    <cfRule type="cellIs" dxfId="6417" priority="6255" stopIfTrue="1" operator="equal">
      <formula>"Pass"</formula>
    </cfRule>
    <cfRule type="cellIs" dxfId="6416" priority="6256" stopIfTrue="1" operator="equal">
      <formula>"Fail"</formula>
    </cfRule>
  </conditionalFormatting>
  <conditionalFormatting sqref="N1039">
    <cfRule type="cellIs" dxfId="6415" priority="6253" stopIfTrue="1" operator="equal">
      <formula>"Pass"</formula>
    </cfRule>
    <cfRule type="cellIs" dxfId="6414" priority="6254" stopIfTrue="1" operator="equal">
      <formula>"Fail"</formula>
    </cfRule>
  </conditionalFormatting>
  <conditionalFormatting sqref="N1039">
    <cfRule type="cellIs" dxfId="6413" priority="6251" stopIfTrue="1" operator="equal">
      <formula>"Pass"</formula>
    </cfRule>
    <cfRule type="cellIs" dxfId="6412" priority="6252" stopIfTrue="1" operator="equal">
      <formula>"Fail"</formula>
    </cfRule>
  </conditionalFormatting>
  <conditionalFormatting sqref="A1039">
    <cfRule type="cellIs" dxfId="6411" priority="6249" stopIfTrue="1" operator="equal">
      <formula>"Pass"</formula>
    </cfRule>
    <cfRule type="cellIs" dxfId="6410" priority="6250" stopIfTrue="1" operator="equal">
      <formula>"Fail"</formula>
    </cfRule>
  </conditionalFormatting>
  <conditionalFormatting sqref="A1039">
    <cfRule type="cellIs" dxfId="6409" priority="6247" stopIfTrue="1" operator="equal">
      <formula>"Pass"</formula>
    </cfRule>
    <cfRule type="cellIs" dxfId="6408" priority="6248" stopIfTrue="1" operator="equal">
      <formula>"Fail"</formula>
    </cfRule>
  </conditionalFormatting>
  <conditionalFormatting sqref="A1039">
    <cfRule type="cellIs" dxfId="6407" priority="6245" stopIfTrue="1" operator="equal">
      <formula>"Pass"</formula>
    </cfRule>
    <cfRule type="cellIs" dxfId="6406" priority="6246" stopIfTrue="1" operator="equal">
      <formula>"Fail"</formula>
    </cfRule>
  </conditionalFormatting>
  <conditionalFormatting sqref="A1039">
    <cfRule type="cellIs" dxfId="6405" priority="6243" stopIfTrue="1" operator="equal">
      <formula>"Pass"</formula>
    </cfRule>
    <cfRule type="cellIs" dxfId="6404" priority="6244" stopIfTrue="1" operator="equal">
      <formula>"Fail"</formula>
    </cfRule>
  </conditionalFormatting>
  <conditionalFormatting sqref="A1039">
    <cfRule type="cellIs" dxfId="6403" priority="6241" stopIfTrue="1" operator="equal">
      <formula>"Pass"</formula>
    </cfRule>
    <cfRule type="cellIs" dxfId="6402" priority="6242" stopIfTrue="1" operator="equal">
      <formula>"Fail"</formula>
    </cfRule>
  </conditionalFormatting>
  <conditionalFormatting sqref="A1039">
    <cfRule type="cellIs" dxfId="6401" priority="6239" stopIfTrue="1" operator="equal">
      <formula>"Pass"</formula>
    </cfRule>
    <cfRule type="cellIs" dxfId="6400" priority="6240" stopIfTrue="1" operator="equal">
      <formula>"Fail"</formula>
    </cfRule>
  </conditionalFormatting>
  <conditionalFormatting sqref="A1039">
    <cfRule type="cellIs" dxfId="6399" priority="6237" stopIfTrue="1" operator="equal">
      <formula>"Pass"</formula>
    </cfRule>
    <cfRule type="cellIs" dxfId="6398" priority="6238" stopIfTrue="1" operator="equal">
      <formula>"Fail"</formula>
    </cfRule>
  </conditionalFormatting>
  <conditionalFormatting sqref="A1039">
    <cfRule type="cellIs" dxfId="6397" priority="6235" stopIfTrue="1" operator="equal">
      <formula>"Pass"</formula>
    </cfRule>
    <cfRule type="cellIs" dxfId="6396" priority="6236" stopIfTrue="1" operator="equal">
      <formula>"Fail"</formula>
    </cfRule>
  </conditionalFormatting>
  <conditionalFormatting sqref="A1039">
    <cfRule type="cellIs" dxfId="6395" priority="6233" stopIfTrue="1" operator="equal">
      <formula>"Pass"</formula>
    </cfRule>
    <cfRule type="cellIs" dxfId="6394" priority="6234" stopIfTrue="1" operator="equal">
      <formula>"Fail"</formula>
    </cfRule>
  </conditionalFormatting>
  <conditionalFormatting sqref="A1039">
    <cfRule type="cellIs" dxfId="6393" priority="6231" stopIfTrue="1" operator="equal">
      <formula>"Pass"</formula>
    </cfRule>
    <cfRule type="cellIs" dxfId="6392" priority="6232" stopIfTrue="1" operator="equal">
      <formula>"Fail"</formula>
    </cfRule>
  </conditionalFormatting>
  <conditionalFormatting sqref="A1039">
    <cfRule type="cellIs" dxfId="6391" priority="6229" stopIfTrue="1" operator="equal">
      <formula>"Pass"</formula>
    </cfRule>
    <cfRule type="cellIs" dxfId="6390" priority="6230" stopIfTrue="1" operator="equal">
      <formula>"Fail"</formula>
    </cfRule>
  </conditionalFormatting>
  <conditionalFormatting sqref="A1039">
    <cfRule type="cellIs" dxfId="6389" priority="6227" stopIfTrue="1" operator="equal">
      <formula>"Pass"</formula>
    </cfRule>
    <cfRule type="cellIs" dxfId="6388" priority="6228" stopIfTrue="1" operator="equal">
      <formula>"Fail"</formula>
    </cfRule>
  </conditionalFormatting>
  <conditionalFormatting sqref="A1039">
    <cfRule type="cellIs" dxfId="6387" priority="6225" stopIfTrue="1" operator="equal">
      <formula>"Pass"</formula>
    </cfRule>
    <cfRule type="cellIs" dxfId="6386" priority="6226" stopIfTrue="1" operator="equal">
      <formula>"Fail"</formula>
    </cfRule>
  </conditionalFormatting>
  <conditionalFormatting sqref="A1039">
    <cfRule type="cellIs" dxfId="6385" priority="6223" stopIfTrue="1" operator="equal">
      <formula>"Pass"</formula>
    </cfRule>
    <cfRule type="cellIs" dxfId="6384" priority="6224" stopIfTrue="1" operator="equal">
      <formula>"Fail"</formula>
    </cfRule>
  </conditionalFormatting>
  <conditionalFormatting sqref="A1039">
    <cfRule type="cellIs" dxfId="6383" priority="6221" stopIfTrue="1" operator="equal">
      <formula>"Pass"</formula>
    </cfRule>
    <cfRule type="cellIs" dxfId="6382" priority="6222" stopIfTrue="1" operator="equal">
      <formula>"Fail"</formula>
    </cfRule>
  </conditionalFormatting>
  <conditionalFormatting sqref="A1039">
    <cfRule type="cellIs" dxfId="6381" priority="6219" stopIfTrue="1" operator="equal">
      <formula>"Pass"</formula>
    </cfRule>
    <cfRule type="cellIs" dxfId="6380" priority="6220" stopIfTrue="1" operator="equal">
      <formula>"Fail"</formula>
    </cfRule>
  </conditionalFormatting>
  <conditionalFormatting sqref="A1039">
    <cfRule type="cellIs" dxfId="6379" priority="6217" stopIfTrue="1" operator="equal">
      <formula>"Pass"</formula>
    </cfRule>
    <cfRule type="cellIs" dxfId="6378" priority="6218" stopIfTrue="1" operator="equal">
      <formula>"Fail"</formula>
    </cfRule>
  </conditionalFormatting>
  <conditionalFormatting sqref="A1039">
    <cfRule type="cellIs" dxfId="6377" priority="6215" stopIfTrue="1" operator="equal">
      <formula>"Pass"</formula>
    </cfRule>
    <cfRule type="cellIs" dxfId="6376" priority="6216" stopIfTrue="1" operator="equal">
      <formula>"Fail"</formula>
    </cfRule>
  </conditionalFormatting>
  <conditionalFormatting sqref="H1039:H1040">
    <cfRule type="cellIs" dxfId="6375" priority="6213" stopIfTrue="1" operator="equal">
      <formula>"Pass"</formula>
    </cfRule>
    <cfRule type="cellIs" dxfId="6374" priority="6214" stopIfTrue="1" operator="equal">
      <formula>"Fail"</formula>
    </cfRule>
  </conditionalFormatting>
  <conditionalFormatting sqref="F1039 F1041 I1039:M1040">
    <cfRule type="cellIs" dxfId="6373" priority="6211" stopIfTrue="1" operator="equal">
      <formula>"Pass"</formula>
    </cfRule>
    <cfRule type="cellIs" dxfId="6372" priority="6212" stopIfTrue="1" operator="equal">
      <formula>"Fail"</formula>
    </cfRule>
  </conditionalFormatting>
  <conditionalFormatting sqref="T1041 T1039 R1039:R1041 S1040:S1041">
    <cfRule type="cellIs" dxfId="6371" priority="6209" stopIfTrue="1" operator="equal">
      <formula>"Fail"</formula>
    </cfRule>
    <cfRule type="cellIs" dxfId="6370" priority="6210" stopIfTrue="1" operator="equal">
      <formula>"Pass"</formula>
    </cfRule>
  </conditionalFormatting>
  <conditionalFormatting sqref="F1039:G1039 F1041:G1041 J1039:N1040">
    <cfRule type="cellIs" dxfId="6369" priority="6207" stopIfTrue="1" operator="equal">
      <formula>"Pass"</formula>
    </cfRule>
    <cfRule type="cellIs" dxfId="6368" priority="6208" stopIfTrue="1" operator="equal">
      <formula>"Fail"</formula>
    </cfRule>
  </conditionalFormatting>
  <conditionalFormatting sqref="U1041:V1041 T1039:T1041 S1040:S1041">
    <cfRule type="cellIs" dxfId="6367" priority="6205" stopIfTrue="1" operator="equal">
      <formula>"Fail"</formula>
    </cfRule>
    <cfRule type="cellIs" dxfId="6366" priority="6206" stopIfTrue="1" operator="equal">
      <formula>"Pass"</formula>
    </cfRule>
  </conditionalFormatting>
  <conditionalFormatting sqref="U1039:V1039">
    <cfRule type="cellIs" dxfId="6365" priority="6203" stopIfTrue="1" operator="equal">
      <formula>"Fail"</formula>
    </cfRule>
    <cfRule type="cellIs" dxfId="6364" priority="6204" stopIfTrue="1" operator="equal">
      <formula>"Pass"</formula>
    </cfRule>
  </conditionalFormatting>
  <conditionalFormatting sqref="F1039:G1039 J1039:N1039">
    <cfRule type="cellIs" dxfId="6363" priority="6201" stopIfTrue="1" operator="equal">
      <formula>"Pass"</formula>
    </cfRule>
    <cfRule type="cellIs" dxfId="6362" priority="6202" stopIfTrue="1" operator="equal">
      <formula>"Fail"</formula>
    </cfRule>
  </conditionalFormatting>
  <conditionalFormatting sqref="J1040:N1040">
    <cfRule type="cellIs" dxfId="6361" priority="6199" stopIfTrue="1" operator="equal">
      <formula>"Pass"</formula>
    </cfRule>
    <cfRule type="cellIs" dxfId="6360" priority="6200" stopIfTrue="1" operator="equal">
      <formula>"Fail"</formula>
    </cfRule>
  </conditionalFormatting>
  <conditionalFormatting sqref="H1039:H1040">
    <cfRule type="cellIs" dxfId="6359" priority="6197" stopIfTrue="1" operator="equal">
      <formula>"Pass"</formula>
    </cfRule>
    <cfRule type="cellIs" dxfId="6358" priority="6198" stopIfTrue="1" operator="equal">
      <formula>"Fail"</formula>
    </cfRule>
  </conditionalFormatting>
  <conditionalFormatting sqref="F1039 F1041 I1039:M1040">
    <cfRule type="cellIs" dxfId="6357" priority="6195" stopIfTrue="1" operator="equal">
      <formula>"Pass"</formula>
    </cfRule>
    <cfRule type="cellIs" dxfId="6356" priority="6196" stopIfTrue="1" operator="equal">
      <formula>"Fail"</formula>
    </cfRule>
  </conditionalFormatting>
  <conditionalFormatting sqref="T1041 T1039 R1039:R1041 S1040:S1041">
    <cfRule type="cellIs" dxfId="6355" priority="6193" stopIfTrue="1" operator="equal">
      <formula>"Fail"</formula>
    </cfRule>
    <cfRule type="cellIs" dxfId="6354" priority="6194" stopIfTrue="1" operator="equal">
      <formula>"Pass"</formula>
    </cfRule>
  </conditionalFormatting>
  <conditionalFormatting sqref="F1039:G1039 F1041:G1041 J1039:N1040">
    <cfRule type="cellIs" dxfId="6353" priority="6191" stopIfTrue="1" operator="equal">
      <formula>"Pass"</formula>
    </cfRule>
    <cfRule type="cellIs" dxfId="6352" priority="6192" stopIfTrue="1" operator="equal">
      <formula>"Fail"</formula>
    </cfRule>
  </conditionalFormatting>
  <conditionalFormatting sqref="U1041:V1041 T1039:T1041 S1040:S1041">
    <cfRule type="cellIs" dxfId="6351" priority="6189" stopIfTrue="1" operator="equal">
      <formula>"Fail"</formula>
    </cfRule>
    <cfRule type="cellIs" dxfId="6350" priority="6190" stopIfTrue="1" operator="equal">
      <formula>"Pass"</formula>
    </cfRule>
  </conditionalFormatting>
  <conditionalFormatting sqref="U1039:V1039">
    <cfRule type="cellIs" dxfId="6349" priority="6187" stopIfTrue="1" operator="equal">
      <formula>"Fail"</formula>
    </cfRule>
    <cfRule type="cellIs" dxfId="6348" priority="6188" stopIfTrue="1" operator="equal">
      <formula>"Pass"</formula>
    </cfRule>
  </conditionalFormatting>
  <conditionalFormatting sqref="F1039:G1039 J1039:N1039">
    <cfRule type="cellIs" dxfId="6347" priority="6185" stopIfTrue="1" operator="equal">
      <formula>"Pass"</formula>
    </cfRule>
    <cfRule type="cellIs" dxfId="6346" priority="6186" stopIfTrue="1" operator="equal">
      <formula>"Fail"</formula>
    </cfRule>
  </conditionalFormatting>
  <conditionalFormatting sqref="J1040:N1040">
    <cfRule type="cellIs" dxfId="6345" priority="6183" stopIfTrue="1" operator="equal">
      <formula>"Pass"</formula>
    </cfRule>
    <cfRule type="cellIs" dxfId="6344" priority="6184" stopIfTrue="1" operator="equal">
      <formula>"Fail"</formula>
    </cfRule>
  </conditionalFormatting>
  <conditionalFormatting sqref="H1039:H1040">
    <cfRule type="cellIs" dxfId="6343" priority="6181" stopIfTrue="1" operator="equal">
      <formula>"Pass"</formula>
    </cfRule>
    <cfRule type="cellIs" dxfId="6342" priority="6182" stopIfTrue="1" operator="equal">
      <formula>"Fail"</formula>
    </cfRule>
  </conditionalFormatting>
  <conditionalFormatting sqref="F1039 F1041 I1039:M1040">
    <cfRule type="cellIs" dxfId="6341" priority="6179" stopIfTrue="1" operator="equal">
      <formula>"Pass"</formula>
    </cfRule>
    <cfRule type="cellIs" dxfId="6340" priority="6180" stopIfTrue="1" operator="equal">
      <formula>"Fail"</formula>
    </cfRule>
  </conditionalFormatting>
  <conditionalFormatting sqref="T1041 T1039 R1039:R1041 S1040:S1041">
    <cfRule type="cellIs" dxfId="6339" priority="6177" stopIfTrue="1" operator="equal">
      <formula>"Fail"</formula>
    </cfRule>
    <cfRule type="cellIs" dxfId="6338" priority="6178" stopIfTrue="1" operator="equal">
      <formula>"Pass"</formula>
    </cfRule>
  </conditionalFormatting>
  <conditionalFormatting sqref="F1039:G1039 F1041:G1041 J1039:N1040">
    <cfRule type="cellIs" dxfId="6337" priority="6175" stopIfTrue="1" operator="equal">
      <formula>"Pass"</formula>
    </cfRule>
    <cfRule type="cellIs" dxfId="6336" priority="6176" stopIfTrue="1" operator="equal">
      <formula>"Fail"</formula>
    </cfRule>
  </conditionalFormatting>
  <conditionalFormatting sqref="U1041:V1041 T1039:T1041 S1040:S1041">
    <cfRule type="cellIs" dxfId="6335" priority="6173" stopIfTrue="1" operator="equal">
      <formula>"Fail"</formula>
    </cfRule>
    <cfRule type="cellIs" dxfId="6334" priority="6174" stopIfTrue="1" operator="equal">
      <formula>"Pass"</formula>
    </cfRule>
  </conditionalFormatting>
  <conditionalFormatting sqref="U1039:V1039">
    <cfRule type="cellIs" dxfId="6333" priority="6171" stopIfTrue="1" operator="equal">
      <formula>"Fail"</formula>
    </cfRule>
    <cfRule type="cellIs" dxfId="6332" priority="6172" stopIfTrue="1" operator="equal">
      <formula>"Pass"</formula>
    </cfRule>
  </conditionalFormatting>
  <conditionalFormatting sqref="F1039:G1039 J1039:N1039">
    <cfRule type="cellIs" dxfId="6331" priority="6169" stopIfTrue="1" operator="equal">
      <formula>"Pass"</formula>
    </cfRule>
    <cfRule type="cellIs" dxfId="6330" priority="6170" stopIfTrue="1" operator="equal">
      <formula>"Fail"</formula>
    </cfRule>
  </conditionalFormatting>
  <conditionalFormatting sqref="J1040:N1040">
    <cfRule type="cellIs" dxfId="6329" priority="6167" stopIfTrue="1" operator="equal">
      <formula>"Pass"</formula>
    </cfRule>
    <cfRule type="cellIs" dxfId="6328" priority="6168" stopIfTrue="1" operator="equal">
      <formula>"Fail"</formula>
    </cfRule>
  </conditionalFormatting>
  <conditionalFormatting sqref="U1039:V1039">
    <cfRule type="cellIs" dxfId="6327" priority="6165" stopIfTrue="1" operator="equal">
      <formula>"Fail"</formula>
    </cfRule>
    <cfRule type="cellIs" dxfId="6326" priority="6166" stopIfTrue="1" operator="equal">
      <formula>"Pass"</formula>
    </cfRule>
  </conditionalFormatting>
  <conditionalFormatting sqref="U1039:V1039">
    <cfRule type="cellIs" dxfId="6325" priority="6163" stopIfTrue="1" operator="equal">
      <formula>"Fail"</formula>
    </cfRule>
    <cfRule type="cellIs" dxfId="6324" priority="6164" stopIfTrue="1" operator="equal">
      <formula>"Pass"</formula>
    </cfRule>
  </conditionalFormatting>
  <conditionalFormatting sqref="U1039:V1039">
    <cfRule type="cellIs" dxfId="6323" priority="6161" stopIfTrue="1" operator="equal">
      <formula>"Fail"</formula>
    </cfRule>
    <cfRule type="cellIs" dxfId="6322" priority="6162" stopIfTrue="1" operator="equal">
      <formula>"Pass"</formula>
    </cfRule>
  </conditionalFormatting>
  <conditionalFormatting sqref="N1039">
    <cfRule type="cellIs" dxfId="6321" priority="6159" stopIfTrue="1" operator="equal">
      <formula>"Pass"</formula>
    </cfRule>
    <cfRule type="cellIs" dxfId="6320" priority="6160" stopIfTrue="1" operator="equal">
      <formula>"Fail"</formula>
    </cfRule>
  </conditionalFormatting>
  <conditionalFormatting sqref="N1039">
    <cfRule type="cellIs" dxfId="6319" priority="6157" stopIfTrue="1" operator="equal">
      <formula>"Pass"</formula>
    </cfRule>
    <cfRule type="cellIs" dxfId="6318" priority="6158" stopIfTrue="1" operator="equal">
      <formula>"Fail"</formula>
    </cfRule>
  </conditionalFormatting>
  <conditionalFormatting sqref="N1039">
    <cfRule type="cellIs" dxfId="6317" priority="6155" stopIfTrue="1" operator="equal">
      <formula>"Pass"</formula>
    </cfRule>
    <cfRule type="cellIs" dxfId="6316" priority="6156" stopIfTrue="1" operator="equal">
      <formula>"Fail"</formula>
    </cfRule>
  </conditionalFormatting>
  <conditionalFormatting sqref="U1039:V1039">
    <cfRule type="cellIs" dxfId="6315" priority="6153" stopIfTrue="1" operator="equal">
      <formula>"Fail"</formula>
    </cfRule>
    <cfRule type="cellIs" dxfId="6314" priority="6154" stopIfTrue="1" operator="equal">
      <formula>"Pass"</formula>
    </cfRule>
  </conditionalFormatting>
  <conditionalFormatting sqref="U1039:V1039">
    <cfRule type="cellIs" dxfId="6313" priority="6151" stopIfTrue="1" operator="equal">
      <formula>"Fail"</formula>
    </cfRule>
    <cfRule type="cellIs" dxfId="6312" priority="6152" stopIfTrue="1" operator="equal">
      <formula>"Pass"</formula>
    </cfRule>
  </conditionalFormatting>
  <conditionalFormatting sqref="U1039:V1039">
    <cfRule type="cellIs" dxfId="6311" priority="6149" stopIfTrue="1" operator="equal">
      <formula>"Fail"</formula>
    </cfRule>
    <cfRule type="cellIs" dxfId="6310" priority="6150" stopIfTrue="1" operator="equal">
      <formula>"Pass"</formula>
    </cfRule>
  </conditionalFormatting>
  <conditionalFormatting sqref="U1039:V1039">
    <cfRule type="cellIs" dxfId="6309" priority="6147" stopIfTrue="1" operator="equal">
      <formula>"Fail"</formula>
    </cfRule>
    <cfRule type="cellIs" dxfId="6308" priority="6148" stopIfTrue="1" operator="equal">
      <formula>"Pass"</formula>
    </cfRule>
  </conditionalFormatting>
  <conditionalFormatting sqref="T1039">
    <cfRule type="cellIs" dxfId="6307" priority="6145" stopIfTrue="1" operator="equal">
      <formula>"Fail"</formula>
    </cfRule>
    <cfRule type="cellIs" dxfId="6306" priority="6146" stopIfTrue="1" operator="equal">
      <formula>"Pass"</formula>
    </cfRule>
  </conditionalFormatting>
  <conditionalFormatting sqref="T1039">
    <cfRule type="cellIs" dxfId="6305" priority="6143" stopIfTrue="1" operator="equal">
      <formula>"Fail"</formula>
    </cfRule>
    <cfRule type="cellIs" dxfId="6304" priority="6144" stopIfTrue="1" operator="equal">
      <formula>"Pass"</formula>
    </cfRule>
  </conditionalFormatting>
  <conditionalFormatting sqref="T1039">
    <cfRule type="cellIs" dxfId="6303" priority="6141" stopIfTrue="1" operator="equal">
      <formula>"Fail"</formula>
    </cfRule>
    <cfRule type="cellIs" dxfId="6302" priority="6142" stopIfTrue="1" operator="equal">
      <formula>"Pass"</formula>
    </cfRule>
  </conditionalFormatting>
  <conditionalFormatting sqref="T1039">
    <cfRule type="cellIs" dxfId="6301" priority="6139" stopIfTrue="1" operator="equal">
      <formula>"Fail"</formula>
    </cfRule>
    <cfRule type="cellIs" dxfId="6300" priority="6140" stopIfTrue="1" operator="equal">
      <formula>"Pass"</formula>
    </cfRule>
  </conditionalFormatting>
  <conditionalFormatting sqref="T1039">
    <cfRule type="cellIs" dxfId="6299" priority="6137" stopIfTrue="1" operator="equal">
      <formula>"Fail"</formula>
    </cfRule>
    <cfRule type="cellIs" dxfId="6298" priority="6138" stopIfTrue="1" operator="equal">
      <formula>"Pass"</formula>
    </cfRule>
  </conditionalFormatting>
  <conditionalFormatting sqref="T1039">
    <cfRule type="cellIs" dxfId="6297" priority="6135" stopIfTrue="1" operator="equal">
      <formula>"Fail"</formula>
    </cfRule>
    <cfRule type="cellIs" dxfId="6296" priority="6136" stopIfTrue="1" operator="equal">
      <formula>"Pass"</formula>
    </cfRule>
  </conditionalFormatting>
  <conditionalFormatting sqref="T1039">
    <cfRule type="cellIs" dxfId="6295" priority="6133" stopIfTrue="1" operator="equal">
      <formula>"Fail"</formula>
    </cfRule>
    <cfRule type="cellIs" dxfId="6294" priority="6134" stopIfTrue="1" operator="equal">
      <formula>"Pass"</formula>
    </cfRule>
  </conditionalFormatting>
  <conditionalFormatting sqref="T1039">
    <cfRule type="cellIs" dxfId="6293" priority="6131" stopIfTrue="1" operator="equal">
      <formula>"Fail"</formula>
    </cfRule>
    <cfRule type="cellIs" dxfId="6292" priority="6132" stopIfTrue="1" operator="equal">
      <formula>"Pass"</formula>
    </cfRule>
  </conditionalFormatting>
  <conditionalFormatting sqref="T1039">
    <cfRule type="cellIs" dxfId="6291" priority="6129" stopIfTrue="1" operator="equal">
      <formula>"Fail"</formula>
    </cfRule>
    <cfRule type="cellIs" dxfId="6290" priority="6130" stopIfTrue="1" operator="equal">
      <formula>"Pass"</formula>
    </cfRule>
  </conditionalFormatting>
  <conditionalFormatting sqref="T1039">
    <cfRule type="cellIs" dxfId="6289" priority="6127" stopIfTrue="1" operator="equal">
      <formula>"Fail"</formula>
    </cfRule>
    <cfRule type="cellIs" dxfId="6288" priority="6128" stopIfTrue="1" operator="equal">
      <formula>"Pass"</formula>
    </cfRule>
  </conditionalFormatting>
  <conditionalFormatting sqref="T1039">
    <cfRule type="cellIs" dxfId="6287" priority="6125" stopIfTrue="1" operator="equal">
      <formula>"Fail"</formula>
    </cfRule>
    <cfRule type="cellIs" dxfId="6286" priority="6126" stopIfTrue="1" operator="equal">
      <formula>"Pass"</formula>
    </cfRule>
  </conditionalFormatting>
  <conditionalFormatting sqref="T1039">
    <cfRule type="cellIs" dxfId="6285" priority="6123" stopIfTrue="1" operator="equal">
      <formula>"Fail"</formula>
    </cfRule>
    <cfRule type="cellIs" dxfId="6284" priority="6124" stopIfTrue="1" operator="equal">
      <formula>"Pass"</formula>
    </cfRule>
  </conditionalFormatting>
  <conditionalFormatting sqref="T1039">
    <cfRule type="cellIs" dxfId="6283" priority="6121" stopIfTrue="1" operator="equal">
      <formula>"Fail"</formula>
    </cfRule>
    <cfRule type="cellIs" dxfId="6282" priority="6122" stopIfTrue="1" operator="equal">
      <formula>"Pass"</formula>
    </cfRule>
  </conditionalFormatting>
  <conditionalFormatting sqref="T1039">
    <cfRule type="cellIs" dxfId="6281" priority="6119" stopIfTrue="1" operator="equal">
      <formula>"Fail"</formula>
    </cfRule>
    <cfRule type="cellIs" dxfId="6280" priority="6120" stopIfTrue="1" operator="equal">
      <formula>"Pass"</formula>
    </cfRule>
  </conditionalFormatting>
  <conditionalFormatting sqref="T1039">
    <cfRule type="cellIs" dxfId="6279" priority="6117" stopIfTrue="1" operator="equal">
      <formula>"Fail"</formula>
    </cfRule>
    <cfRule type="cellIs" dxfId="6278" priority="6118" stopIfTrue="1" operator="equal">
      <formula>"Pass"</formula>
    </cfRule>
  </conditionalFormatting>
  <conditionalFormatting sqref="T1039">
    <cfRule type="cellIs" dxfId="6277" priority="6115" stopIfTrue="1" operator="equal">
      <formula>"Fail"</formula>
    </cfRule>
    <cfRule type="cellIs" dxfId="6276" priority="6116" stopIfTrue="1" operator="equal">
      <formula>"Pass"</formula>
    </cfRule>
  </conditionalFormatting>
  <conditionalFormatting sqref="T1039">
    <cfRule type="cellIs" dxfId="6275" priority="6113" stopIfTrue="1" operator="equal">
      <formula>"Fail"</formula>
    </cfRule>
    <cfRule type="cellIs" dxfId="6274" priority="6114" stopIfTrue="1" operator="equal">
      <formula>"Pass"</formula>
    </cfRule>
  </conditionalFormatting>
  <conditionalFormatting sqref="T1039">
    <cfRule type="cellIs" dxfId="6273" priority="6111" stopIfTrue="1" operator="equal">
      <formula>"Fail"</formula>
    </cfRule>
    <cfRule type="cellIs" dxfId="6272" priority="6112" stopIfTrue="1" operator="equal">
      <formula>"Pass"</formula>
    </cfRule>
  </conditionalFormatting>
  <conditionalFormatting sqref="T1039">
    <cfRule type="cellIs" dxfId="6271" priority="6109" stopIfTrue="1" operator="equal">
      <formula>"Fail"</formula>
    </cfRule>
    <cfRule type="cellIs" dxfId="6270" priority="6110" stopIfTrue="1" operator="equal">
      <formula>"Pass"</formula>
    </cfRule>
  </conditionalFormatting>
  <conditionalFormatting sqref="T1039">
    <cfRule type="cellIs" dxfId="6269" priority="6107" stopIfTrue="1" operator="equal">
      <formula>"Fail"</formula>
    </cfRule>
    <cfRule type="cellIs" dxfId="6268" priority="6108" stopIfTrue="1" operator="equal">
      <formula>"Pass"</formula>
    </cfRule>
  </conditionalFormatting>
  <conditionalFormatting sqref="T1039">
    <cfRule type="cellIs" dxfId="6267" priority="6105" stopIfTrue="1" operator="equal">
      <formula>"Fail"</formula>
    </cfRule>
    <cfRule type="cellIs" dxfId="6266" priority="6106" stopIfTrue="1" operator="equal">
      <formula>"Pass"</formula>
    </cfRule>
  </conditionalFormatting>
  <conditionalFormatting sqref="T1039">
    <cfRule type="cellIs" dxfId="6265" priority="6103" stopIfTrue="1" operator="equal">
      <formula>"Fail"</formula>
    </cfRule>
    <cfRule type="cellIs" dxfId="6264" priority="6104" stopIfTrue="1" operator="equal">
      <formula>"Pass"</formula>
    </cfRule>
  </conditionalFormatting>
  <conditionalFormatting sqref="T1039">
    <cfRule type="cellIs" dxfId="6263" priority="6101" stopIfTrue="1" operator="equal">
      <formula>"Fail"</formula>
    </cfRule>
    <cfRule type="cellIs" dxfId="6262" priority="6102" stopIfTrue="1" operator="equal">
      <formula>"Pass"</formula>
    </cfRule>
  </conditionalFormatting>
  <conditionalFormatting sqref="T1039">
    <cfRule type="cellIs" dxfId="6261" priority="6099" stopIfTrue="1" operator="equal">
      <formula>"Fail"</formula>
    </cfRule>
    <cfRule type="cellIs" dxfId="6260" priority="6100" stopIfTrue="1" operator="equal">
      <formula>"Pass"</formula>
    </cfRule>
  </conditionalFormatting>
  <conditionalFormatting sqref="H1039:H1040">
    <cfRule type="cellIs" dxfId="6259" priority="6097" stopIfTrue="1" operator="equal">
      <formula>"Pass"</formula>
    </cfRule>
    <cfRule type="cellIs" dxfId="6258" priority="6098" stopIfTrue="1" operator="equal">
      <formula>"Fail"</formula>
    </cfRule>
  </conditionalFormatting>
  <conditionalFormatting sqref="E1039:F1039 E1041:F1041 I1039:M1040 A1039">
    <cfRule type="cellIs" dxfId="6257" priority="6095" stopIfTrue="1" operator="equal">
      <formula>"Pass"</formula>
    </cfRule>
    <cfRule type="cellIs" dxfId="6256" priority="6096" stopIfTrue="1" operator="equal">
      <formula>"Fail"</formula>
    </cfRule>
  </conditionalFormatting>
  <conditionalFormatting sqref="T1041 T1039 R1039:R1041 S1040:S1041">
    <cfRule type="cellIs" dxfId="6255" priority="6093" stopIfTrue="1" operator="equal">
      <formula>"Fail"</formula>
    </cfRule>
    <cfRule type="cellIs" dxfId="6254" priority="6094" stopIfTrue="1" operator="equal">
      <formula>"Pass"</formula>
    </cfRule>
  </conditionalFormatting>
  <conditionalFormatting sqref="F1039:G1039 F1041:G1041 J1039:N1040 B1039:B1041 A1039">
    <cfRule type="cellIs" dxfId="6253" priority="6091" stopIfTrue="1" operator="equal">
      <formula>"Pass"</formula>
    </cfRule>
    <cfRule type="cellIs" dxfId="6252" priority="6092" stopIfTrue="1" operator="equal">
      <formula>"Fail"</formula>
    </cfRule>
  </conditionalFormatting>
  <conditionalFormatting sqref="U1041:V1041 U1039:V1039 T1039:T1041 S1040:S1041">
    <cfRule type="cellIs" dxfId="6251" priority="6089" stopIfTrue="1" operator="equal">
      <formula>"Fail"</formula>
    </cfRule>
    <cfRule type="cellIs" dxfId="6250" priority="6090" stopIfTrue="1" operator="equal">
      <formula>"Pass"</formula>
    </cfRule>
  </conditionalFormatting>
  <conditionalFormatting sqref="A1039">
    <cfRule type="cellIs" dxfId="6249" priority="6087" stopIfTrue="1" operator="equal">
      <formula>"Pass"</formula>
    </cfRule>
    <cfRule type="cellIs" dxfId="6248" priority="6088" stopIfTrue="1" operator="equal">
      <formula>"Fail"</formula>
    </cfRule>
  </conditionalFormatting>
  <conditionalFormatting sqref="A1039">
    <cfRule type="cellIs" dxfId="6247" priority="6085" stopIfTrue="1" operator="equal">
      <formula>"Pass"</formula>
    </cfRule>
    <cfRule type="cellIs" dxfId="6246" priority="6086" stopIfTrue="1" operator="equal">
      <formula>"Fail"</formula>
    </cfRule>
  </conditionalFormatting>
  <conditionalFormatting sqref="A1039">
    <cfRule type="cellIs" dxfId="6245" priority="6083" stopIfTrue="1" operator="equal">
      <formula>"Pass"</formula>
    </cfRule>
    <cfRule type="cellIs" dxfId="6244" priority="6084" stopIfTrue="1" operator="equal">
      <formula>"Fail"</formula>
    </cfRule>
  </conditionalFormatting>
  <conditionalFormatting sqref="E1039:G1041 J1039:N1040">
    <cfRule type="cellIs" dxfId="6243" priority="6081" stopIfTrue="1" operator="equal">
      <formula>"Pass"</formula>
    </cfRule>
    <cfRule type="cellIs" dxfId="6242" priority="6082" stopIfTrue="1" operator="equal">
      <formula>"Fail"</formula>
    </cfRule>
  </conditionalFormatting>
  <conditionalFormatting sqref="F1039:H1041 C1041 K1039:O1040">
    <cfRule type="cellIs" dxfId="6241" priority="6079" stopIfTrue="1" operator="equal">
      <formula>"Pass"</formula>
    </cfRule>
    <cfRule type="cellIs" dxfId="6240" priority="6080" stopIfTrue="1" operator="equal">
      <formula>"Fail"</formula>
    </cfRule>
  </conditionalFormatting>
  <conditionalFormatting sqref="T1039">
    <cfRule type="cellIs" dxfId="6239" priority="6077" stopIfTrue="1" operator="equal">
      <formula>"Fail"</formula>
    </cfRule>
    <cfRule type="cellIs" dxfId="6238" priority="6078" stopIfTrue="1" operator="equal">
      <formula>"Pass"</formula>
    </cfRule>
  </conditionalFormatting>
  <conditionalFormatting sqref="A1039">
    <cfRule type="cellIs" dxfId="6237" priority="6075" stopIfTrue="1" operator="equal">
      <formula>"Pass"</formula>
    </cfRule>
    <cfRule type="cellIs" dxfId="6236" priority="6076" stopIfTrue="1" operator="equal">
      <formula>"Fail"</formula>
    </cfRule>
  </conditionalFormatting>
  <conditionalFormatting sqref="A1039">
    <cfRule type="cellIs" dxfId="6235" priority="6073" stopIfTrue="1" operator="equal">
      <formula>"Pass"</formula>
    </cfRule>
    <cfRule type="cellIs" dxfId="6234" priority="6074" stopIfTrue="1" operator="equal">
      <formula>"Fail"</formula>
    </cfRule>
  </conditionalFormatting>
  <conditionalFormatting sqref="A1039">
    <cfRule type="cellIs" dxfId="6233" priority="6071" stopIfTrue="1" operator="equal">
      <formula>"Pass"</formula>
    </cfRule>
    <cfRule type="cellIs" dxfId="6232" priority="6072" stopIfTrue="1" operator="equal">
      <formula>"Fail"</formula>
    </cfRule>
  </conditionalFormatting>
  <conditionalFormatting sqref="A1039">
    <cfRule type="cellIs" dxfId="6231" priority="6069" stopIfTrue="1" operator="equal">
      <formula>"Pass"</formula>
    </cfRule>
    <cfRule type="cellIs" dxfId="6230" priority="6070" stopIfTrue="1" operator="equal">
      <formula>"Fail"</formula>
    </cfRule>
  </conditionalFormatting>
  <conditionalFormatting sqref="A1039">
    <cfRule type="cellIs" dxfId="6229" priority="6067" stopIfTrue="1" operator="equal">
      <formula>"Pass"</formula>
    </cfRule>
    <cfRule type="cellIs" dxfId="6228" priority="6068" stopIfTrue="1" operator="equal">
      <formula>"Fail"</formula>
    </cfRule>
  </conditionalFormatting>
  <conditionalFormatting sqref="A1039">
    <cfRule type="cellIs" dxfId="6227" priority="6065" stopIfTrue="1" operator="equal">
      <formula>"Pass"</formula>
    </cfRule>
    <cfRule type="cellIs" dxfId="6226" priority="6066" stopIfTrue="1" operator="equal">
      <formula>"Fail"</formula>
    </cfRule>
  </conditionalFormatting>
  <conditionalFormatting sqref="A1039">
    <cfRule type="cellIs" dxfId="6225" priority="6063" stopIfTrue="1" operator="equal">
      <formula>"Pass"</formula>
    </cfRule>
    <cfRule type="cellIs" dxfId="6224" priority="6064" stopIfTrue="1" operator="equal">
      <formula>"Fail"</formula>
    </cfRule>
  </conditionalFormatting>
  <conditionalFormatting sqref="A1039">
    <cfRule type="cellIs" dxfId="6223" priority="6061" stopIfTrue="1" operator="equal">
      <formula>"Pass"</formula>
    </cfRule>
    <cfRule type="cellIs" dxfId="6222" priority="6062" stopIfTrue="1" operator="equal">
      <formula>"Fail"</formula>
    </cfRule>
  </conditionalFormatting>
  <conditionalFormatting sqref="A1039">
    <cfRule type="cellIs" dxfId="6221" priority="6059" stopIfTrue="1" operator="equal">
      <formula>"Pass"</formula>
    </cfRule>
    <cfRule type="cellIs" dxfId="6220" priority="6060" stopIfTrue="1" operator="equal">
      <formula>"Fail"</formula>
    </cfRule>
  </conditionalFormatting>
  <conditionalFormatting sqref="A1039">
    <cfRule type="cellIs" dxfId="6219" priority="6057" stopIfTrue="1" operator="equal">
      <formula>"Pass"</formula>
    </cfRule>
    <cfRule type="cellIs" dxfId="6218" priority="6058" stopIfTrue="1" operator="equal">
      <formula>"Fail"</formula>
    </cfRule>
  </conditionalFormatting>
  <conditionalFormatting sqref="A1039">
    <cfRule type="cellIs" dxfId="6217" priority="6055" stopIfTrue="1" operator="equal">
      <formula>"Pass"</formula>
    </cfRule>
    <cfRule type="cellIs" dxfId="6216" priority="6056" stopIfTrue="1" operator="equal">
      <formula>"Fail"</formula>
    </cfRule>
  </conditionalFormatting>
  <conditionalFormatting sqref="A1039">
    <cfRule type="cellIs" dxfId="6215" priority="6053" stopIfTrue="1" operator="equal">
      <formula>"Pass"</formula>
    </cfRule>
    <cfRule type="cellIs" dxfId="6214" priority="6054" stopIfTrue="1" operator="equal">
      <formula>"Fail"</formula>
    </cfRule>
  </conditionalFormatting>
  <conditionalFormatting sqref="A1039">
    <cfRule type="cellIs" dxfId="6213" priority="6051" stopIfTrue="1" operator="equal">
      <formula>"Pass"</formula>
    </cfRule>
    <cfRule type="cellIs" dxfId="6212" priority="6052" stopIfTrue="1" operator="equal">
      <formula>"Fail"</formula>
    </cfRule>
  </conditionalFormatting>
  <conditionalFormatting sqref="H1039:H1040">
    <cfRule type="cellIs" dxfId="6211" priority="6049" stopIfTrue="1" operator="equal">
      <formula>"Pass"</formula>
    </cfRule>
    <cfRule type="cellIs" dxfId="6210" priority="6050" stopIfTrue="1" operator="equal">
      <formula>"Fail"</formula>
    </cfRule>
  </conditionalFormatting>
  <conditionalFormatting sqref="F1039 F1041 I1039:M1040">
    <cfRule type="cellIs" dxfId="6209" priority="6047" stopIfTrue="1" operator="equal">
      <formula>"Pass"</formula>
    </cfRule>
    <cfRule type="cellIs" dxfId="6208" priority="6048" stopIfTrue="1" operator="equal">
      <formula>"Fail"</formula>
    </cfRule>
  </conditionalFormatting>
  <conditionalFormatting sqref="T1041 T1039 R1039:R1041 S1040:S1041">
    <cfRule type="cellIs" dxfId="6207" priority="6045" stopIfTrue="1" operator="equal">
      <formula>"Fail"</formula>
    </cfRule>
    <cfRule type="cellIs" dxfId="6206" priority="6046" stopIfTrue="1" operator="equal">
      <formula>"Pass"</formula>
    </cfRule>
  </conditionalFormatting>
  <conditionalFormatting sqref="F1039:G1039 F1041:G1041 J1039:N1040">
    <cfRule type="cellIs" dxfId="6205" priority="6043" stopIfTrue="1" operator="equal">
      <formula>"Pass"</formula>
    </cfRule>
    <cfRule type="cellIs" dxfId="6204" priority="6044" stopIfTrue="1" operator="equal">
      <formula>"Fail"</formula>
    </cfRule>
  </conditionalFormatting>
  <conditionalFormatting sqref="U1041:V1041 U1039:V1039 T1039:T1041 S1040:S1041">
    <cfRule type="cellIs" dxfId="6203" priority="6041" stopIfTrue="1" operator="equal">
      <formula>"Fail"</formula>
    </cfRule>
    <cfRule type="cellIs" dxfId="6202" priority="6042" stopIfTrue="1" operator="equal">
      <formula>"Pass"</formula>
    </cfRule>
  </conditionalFormatting>
  <conditionalFormatting sqref="F1039:G1041 J1039:N1040">
    <cfRule type="cellIs" dxfId="6201" priority="6039" stopIfTrue="1" operator="equal">
      <formula>"Pass"</formula>
    </cfRule>
    <cfRule type="cellIs" dxfId="6200" priority="6040" stopIfTrue="1" operator="equal">
      <formula>"Fail"</formula>
    </cfRule>
  </conditionalFormatting>
  <conditionalFormatting sqref="K1039:O1040 F1039:H1041">
    <cfRule type="cellIs" dxfId="6199" priority="6037" stopIfTrue="1" operator="equal">
      <formula>"Pass"</formula>
    </cfRule>
    <cfRule type="cellIs" dxfId="6198" priority="6038" stopIfTrue="1" operator="equal">
      <formula>"Fail"</formula>
    </cfRule>
  </conditionalFormatting>
  <conditionalFormatting sqref="T1039">
    <cfRule type="cellIs" dxfId="6197" priority="6035" stopIfTrue="1" operator="equal">
      <formula>"Fail"</formula>
    </cfRule>
    <cfRule type="cellIs" dxfId="6196" priority="6036" stopIfTrue="1" operator="equal">
      <formula>"Pass"</formula>
    </cfRule>
  </conditionalFormatting>
  <conditionalFormatting sqref="K1039:O1040 F1039:H1041">
    <cfRule type="cellIs" dxfId="6195" priority="6033" stopIfTrue="1" operator="equal">
      <formula>"Pass"</formula>
    </cfRule>
    <cfRule type="cellIs" dxfId="6194" priority="6034" stopIfTrue="1" operator="equal">
      <formula>"Fail"</formula>
    </cfRule>
  </conditionalFormatting>
  <conditionalFormatting sqref="T1039">
    <cfRule type="cellIs" dxfId="6193" priority="6031" stopIfTrue="1" operator="equal">
      <formula>"Fail"</formula>
    </cfRule>
    <cfRule type="cellIs" dxfId="6192" priority="6032" stopIfTrue="1" operator="equal">
      <formula>"Pass"</formula>
    </cfRule>
  </conditionalFormatting>
  <conditionalFormatting sqref="H1039:H1040">
    <cfRule type="cellIs" dxfId="6191" priority="6029" stopIfTrue="1" operator="equal">
      <formula>"Pass"</formula>
    </cfRule>
    <cfRule type="cellIs" dxfId="6190" priority="6030" stopIfTrue="1" operator="equal">
      <formula>"Fail"</formula>
    </cfRule>
  </conditionalFormatting>
  <conditionalFormatting sqref="E1039:F1039 E1041:F1041 I1039:M1040 A1039">
    <cfRule type="cellIs" dxfId="6189" priority="6027" stopIfTrue="1" operator="equal">
      <formula>"Pass"</formula>
    </cfRule>
    <cfRule type="cellIs" dxfId="6188" priority="6028" stopIfTrue="1" operator="equal">
      <formula>"Fail"</formula>
    </cfRule>
  </conditionalFormatting>
  <conditionalFormatting sqref="T1041 T1039 R1039:R1041 S1040:S1041">
    <cfRule type="cellIs" dxfId="6187" priority="6025" stopIfTrue="1" operator="equal">
      <formula>"Fail"</formula>
    </cfRule>
    <cfRule type="cellIs" dxfId="6186" priority="6026" stopIfTrue="1" operator="equal">
      <formula>"Pass"</formula>
    </cfRule>
  </conditionalFormatting>
  <conditionalFormatting sqref="F1039:G1039 F1041:G1041 J1039:N1040 B1039:B1041 A1039">
    <cfRule type="cellIs" dxfId="6185" priority="6023" stopIfTrue="1" operator="equal">
      <formula>"Pass"</formula>
    </cfRule>
    <cfRule type="cellIs" dxfId="6184" priority="6024" stopIfTrue="1" operator="equal">
      <formula>"Fail"</formula>
    </cfRule>
  </conditionalFormatting>
  <conditionalFormatting sqref="U1041:V1041 U1039:V1039 T1039:T1041 S1040:S1041">
    <cfRule type="cellIs" dxfId="6183" priority="6021" stopIfTrue="1" operator="equal">
      <formula>"Fail"</formula>
    </cfRule>
    <cfRule type="cellIs" dxfId="6182" priority="6022" stopIfTrue="1" operator="equal">
      <formula>"Pass"</formula>
    </cfRule>
  </conditionalFormatting>
  <conditionalFormatting sqref="A1039">
    <cfRule type="cellIs" dxfId="6181" priority="6019" stopIfTrue="1" operator="equal">
      <formula>"Pass"</formula>
    </cfRule>
    <cfRule type="cellIs" dxfId="6180" priority="6020" stopIfTrue="1" operator="equal">
      <formula>"Fail"</formula>
    </cfRule>
  </conditionalFormatting>
  <conditionalFormatting sqref="A1039">
    <cfRule type="cellIs" dxfId="6179" priority="6017" stopIfTrue="1" operator="equal">
      <formula>"Pass"</formula>
    </cfRule>
    <cfRule type="cellIs" dxfId="6178" priority="6018" stopIfTrue="1" operator="equal">
      <formula>"Fail"</formula>
    </cfRule>
  </conditionalFormatting>
  <conditionalFormatting sqref="A1039">
    <cfRule type="cellIs" dxfId="6177" priority="6015" stopIfTrue="1" operator="equal">
      <formula>"Pass"</formula>
    </cfRule>
    <cfRule type="cellIs" dxfId="6176" priority="6016" stopIfTrue="1" operator="equal">
      <formula>"Fail"</formula>
    </cfRule>
  </conditionalFormatting>
  <conditionalFormatting sqref="E1039:G1041 J1039:N1040">
    <cfRule type="cellIs" dxfId="6175" priority="6013" stopIfTrue="1" operator="equal">
      <formula>"Pass"</formula>
    </cfRule>
    <cfRule type="cellIs" dxfId="6174" priority="6014" stopIfTrue="1" operator="equal">
      <formula>"Fail"</formula>
    </cfRule>
  </conditionalFormatting>
  <conditionalFormatting sqref="F1039:H1041 C1041 K1039:O1040">
    <cfRule type="cellIs" dxfId="6173" priority="6011" stopIfTrue="1" operator="equal">
      <formula>"Pass"</formula>
    </cfRule>
    <cfRule type="cellIs" dxfId="6172" priority="6012" stopIfTrue="1" operator="equal">
      <formula>"Fail"</formula>
    </cfRule>
  </conditionalFormatting>
  <conditionalFormatting sqref="T1039">
    <cfRule type="cellIs" dxfId="6171" priority="6009" stopIfTrue="1" operator="equal">
      <formula>"Fail"</formula>
    </cfRule>
    <cfRule type="cellIs" dxfId="6170" priority="6010" stopIfTrue="1" operator="equal">
      <formula>"Pass"</formula>
    </cfRule>
  </conditionalFormatting>
  <conditionalFormatting sqref="A1039">
    <cfRule type="cellIs" dxfId="6169" priority="6007" stopIfTrue="1" operator="equal">
      <formula>"Pass"</formula>
    </cfRule>
    <cfRule type="cellIs" dxfId="6168" priority="6008" stopIfTrue="1" operator="equal">
      <formula>"Fail"</formula>
    </cfRule>
  </conditionalFormatting>
  <conditionalFormatting sqref="A1039">
    <cfRule type="cellIs" dxfId="6167" priority="6005" stopIfTrue="1" operator="equal">
      <formula>"Pass"</formula>
    </cfRule>
    <cfRule type="cellIs" dxfId="6166" priority="6006" stopIfTrue="1" operator="equal">
      <formula>"Fail"</formula>
    </cfRule>
  </conditionalFormatting>
  <conditionalFormatting sqref="A1039">
    <cfRule type="cellIs" dxfId="6165" priority="6003" stopIfTrue="1" operator="equal">
      <formula>"Pass"</formula>
    </cfRule>
    <cfRule type="cellIs" dxfId="6164" priority="6004" stopIfTrue="1" operator="equal">
      <formula>"Fail"</formula>
    </cfRule>
  </conditionalFormatting>
  <conditionalFormatting sqref="A1039">
    <cfRule type="cellIs" dxfId="6163" priority="6001" stopIfTrue="1" operator="equal">
      <formula>"Pass"</formula>
    </cfRule>
    <cfRule type="cellIs" dxfId="6162" priority="6002" stopIfTrue="1" operator="equal">
      <formula>"Fail"</formula>
    </cfRule>
  </conditionalFormatting>
  <conditionalFormatting sqref="A1039">
    <cfRule type="cellIs" dxfId="6161" priority="5999" stopIfTrue="1" operator="equal">
      <formula>"Pass"</formula>
    </cfRule>
    <cfRule type="cellIs" dxfId="6160" priority="6000" stopIfTrue="1" operator="equal">
      <formula>"Fail"</formula>
    </cfRule>
  </conditionalFormatting>
  <conditionalFormatting sqref="A1039">
    <cfRule type="cellIs" dxfId="6159" priority="5997" stopIfTrue="1" operator="equal">
      <formula>"Pass"</formula>
    </cfRule>
    <cfRule type="cellIs" dxfId="6158" priority="5998" stopIfTrue="1" operator="equal">
      <formula>"Fail"</formula>
    </cfRule>
  </conditionalFormatting>
  <conditionalFormatting sqref="A1039">
    <cfRule type="cellIs" dxfId="6157" priority="5995" stopIfTrue="1" operator="equal">
      <formula>"Pass"</formula>
    </cfRule>
    <cfRule type="cellIs" dxfId="6156" priority="5996" stopIfTrue="1" operator="equal">
      <formula>"Fail"</formula>
    </cfRule>
  </conditionalFormatting>
  <conditionalFormatting sqref="A1039">
    <cfRule type="cellIs" dxfId="6155" priority="5993" stopIfTrue="1" operator="equal">
      <formula>"Pass"</formula>
    </cfRule>
    <cfRule type="cellIs" dxfId="6154" priority="5994" stopIfTrue="1" operator="equal">
      <formula>"Fail"</formula>
    </cfRule>
  </conditionalFormatting>
  <conditionalFormatting sqref="A1039">
    <cfRule type="cellIs" dxfId="6153" priority="5991" stopIfTrue="1" operator="equal">
      <formula>"Pass"</formula>
    </cfRule>
    <cfRule type="cellIs" dxfId="6152" priority="5992" stopIfTrue="1" operator="equal">
      <formula>"Fail"</formula>
    </cfRule>
  </conditionalFormatting>
  <conditionalFormatting sqref="A1039">
    <cfRule type="cellIs" dxfId="6151" priority="5989" stopIfTrue="1" operator="equal">
      <formula>"Pass"</formula>
    </cfRule>
    <cfRule type="cellIs" dxfId="6150" priority="5990" stopIfTrue="1" operator="equal">
      <formula>"Fail"</formula>
    </cfRule>
  </conditionalFormatting>
  <conditionalFormatting sqref="A1039">
    <cfRule type="cellIs" dxfId="6149" priority="5987" stopIfTrue="1" operator="equal">
      <formula>"Pass"</formula>
    </cfRule>
    <cfRule type="cellIs" dxfId="6148" priority="5988" stopIfTrue="1" operator="equal">
      <formula>"Fail"</formula>
    </cfRule>
  </conditionalFormatting>
  <conditionalFormatting sqref="A1039">
    <cfRule type="cellIs" dxfId="6147" priority="5985" stopIfTrue="1" operator="equal">
      <formula>"Pass"</formula>
    </cfRule>
    <cfRule type="cellIs" dxfId="6146" priority="5986" stopIfTrue="1" operator="equal">
      <formula>"Fail"</formula>
    </cfRule>
  </conditionalFormatting>
  <conditionalFormatting sqref="A1039">
    <cfRule type="cellIs" dxfId="6145" priority="5983" stopIfTrue="1" operator="equal">
      <formula>"Pass"</formula>
    </cfRule>
    <cfRule type="cellIs" dxfId="6144" priority="5984" stopIfTrue="1" operator="equal">
      <formula>"Fail"</formula>
    </cfRule>
  </conditionalFormatting>
  <conditionalFormatting sqref="H1039:H1040">
    <cfRule type="cellIs" dxfId="6143" priority="5981" stopIfTrue="1" operator="equal">
      <formula>"Pass"</formula>
    </cfRule>
    <cfRule type="cellIs" dxfId="6142" priority="5982" stopIfTrue="1" operator="equal">
      <formula>"Fail"</formula>
    </cfRule>
  </conditionalFormatting>
  <conditionalFormatting sqref="F1039 F1041 I1039:M1040">
    <cfRule type="cellIs" dxfId="6141" priority="5979" stopIfTrue="1" operator="equal">
      <formula>"Pass"</formula>
    </cfRule>
    <cfRule type="cellIs" dxfId="6140" priority="5980" stopIfTrue="1" operator="equal">
      <formula>"Fail"</formula>
    </cfRule>
  </conditionalFormatting>
  <conditionalFormatting sqref="T1041 T1039 R1039:R1041 S1040:S1041">
    <cfRule type="cellIs" dxfId="6139" priority="5977" stopIfTrue="1" operator="equal">
      <formula>"Fail"</formula>
    </cfRule>
    <cfRule type="cellIs" dxfId="6138" priority="5978" stopIfTrue="1" operator="equal">
      <formula>"Pass"</formula>
    </cfRule>
  </conditionalFormatting>
  <conditionalFormatting sqref="F1039:G1039 F1041:G1041 J1039:N1040">
    <cfRule type="cellIs" dxfId="6137" priority="5975" stopIfTrue="1" operator="equal">
      <formula>"Pass"</formula>
    </cfRule>
    <cfRule type="cellIs" dxfId="6136" priority="5976" stopIfTrue="1" operator="equal">
      <formula>"Fail"</formula>
    </cfRule>
  </conditionalFormatting>
  <conditionalFormatting sqref="U1041:V1041 U1039:V1039 T1039:T1041 S1040:S1041">
    <cfRule type="cellIs" dxfId="6135" priority="5973" stopIfTrue="1" operator="equal">
      <formula>"Fail"</formula>
    </cfRule>
    <cfRule type="cellIs" dxfId="6134" priority="5974" stopIfTrue="1" operator="equal">
      <formula>"Pass"</formula>
    </cfRule>
  </conditionalFormatting>
  <conditionalFormatting sqref="F1039:G1041 J1039:N1040">
    <cfRule type="cellIs" dxfId="6133" priority="5971" stopIfTrue="1" operator="equal">
      <formula>"Pass"</formula>
    </cfRule>
    <cfRule type="cellIs" dxfId="6132" priority="5972" stopIfTrue="1" operator="equal">
      <formula>"Fail"</formula>
    </cfRule>
  </conditionalFormatting>
  <conditionalFormatting sqref="K1039:O1040 F1039:H1041">
    <cfRule type="cellIs" dxfId="6131" priority="5969" stopIfTrue="1" operator="equal">
      <formula>"Pass"</formula>
    </cfRule>
    <cfRule type="cellIs" dxfId="6130" priority="5970" stopIfTrue="1" operator="equal">
      <formula>"Fail"</formula>
    </cfRule>
  </conditionalFormatting>
  <conditionalFormatting sqref="T1039">
    <cfRule type="cellIs" dxfId="6129" priority="5967" stopIfTrue="1" operator="equal">
      <formula>"Fail"</formula>
    </cfRule>
    <cfRule type="cellIs" dxfId="6128" priority="5968" stopIfTrue="1" operator="equal">
      <formula>"Pass"</formula>
    </cfRule>
  </conditionalFormatting>
  <conditionalFormatting sqref="K1039:O1040 F1039:H1041">
    <cfRule type="cellIs" dxfId="6127" priority="5965" stopIfTrue="1" operator="equal">
      <formula>"Pass"</formula>
    </cfRule>
    <cfRule type="cellIs" dxfId="6126" priority="5966" stopIfTrue="1" operator="equal">
      <formula>"Fail"</formula>
    </cfRule>
  </conditionalFormatting>
  <conditionalFormatting sqref="T1039">
    <cfRule type="cellIs" dxfId="6125" priority="5963" stopIfTrue="1" operator="equal">
      <formula>"Fail"</formula>
    </cfRule>
    <cfRule type="cellIs" dxfId="6124" priority="5964" stopIfTrue="1" operator="equal">
      <formula>"Pass"</formula>
    </cfRule>
  </conditionalFormatting>
  <conditionalFormatting sqref="A1039:A1041">
    <cfRule type="cellIs" dxfId="6123" priority="5961" stopIfTrue="1" operator="equal">
      <formula>"Pass"</formula>
    </cfRule>
    <cfRule type="cellIs" dxfId="6122" priority="5962" stopIfTrue="1" operator="equal">
      <formula>"Fail"</formula>
    </cfRule>
  </conditionalFormatting>
  <conditionalFormatting sqref="A1039:A1041">
    <cfRule type="cellIs" dxfId="6121" priority="5959" stopIfTrue="1" operator="equal">
      <formula>"Pass"</formula>
    </cfRule>
    <cfRule type="cellIs" dxfId="6120" priority="5960" stopIfTrue="1" operator="equal">
      <formula>"Fail"</formula>
    </cfRule>
  </conditionalFormatting>
  <conditionalFormatting sqref="A1039:A1041">
    <cfRule type="cellIs" dxfId="6119" priority="5957" stopIfTrue="1" operator="equal">
      <formula>"Pass"</formula>
    </cfRule>
    <cfRule type="cellIs" dxfId="6118" priority="5958" stopIfTrue="1" operator="equal">
      <formula>"Fail"</formula>
    </cfRule>
  </conditionalFormatting>
  <conditionalFormatting sqref="A1039:A1041">
    <cfRule type="cellIs" dxfId="6117" priority="5955" stopIfTrue="1" operator="equal">
      <formula>"Pass"</formula>
    </cfRule>
    <cfRule type="cellIs" dxfId="6116" priority="5956" stopIfTrue="1" operator="equal">
      <formula>"Fail"</formula>
    </cfRule>
  </conditionalFormatting>
  <conditionalFormatting sqref="A1039:A1041">
    <cfRule type="cellIs" dxfId="6115" priority="5953" stopIfTrue="1" operator="equal">
      <formula>"Pass"</formula>
    </cfRule>
    <cfRule type="cellIs" dxfId="6114" priority="5954" stopIfTrue="1" operator="equal">
      <formula>"Fail"</formula>
    </cfRule>
  </conditionalFormatting>
  <conditionalFormatting sqref="A1041">
    <cfRule type="cellIs" dxfId="6113" priority="5951" stopIfTrue="1" operator="equal">
      <formula>"Pass"</formula>
    </cfRule>
    <cfRule type="cellIs" dxfId="6112" priority="5952" stopIfTrue="1" operator="equal">
      <formula>"Fail"</formula>
    </cfRule>
  </conditionalFormatting>
  <conditionalFormatting sqref="A1039:A1041">
    <cfRule type="cellIs" dxfId="6111" priority="5949" stopIfTrue="1" operator="equal">
      <formula>"Pass"</formula>
    </cfRule>
    <cfRule type="cellIs" dxfId="6110" priority="5950" stopIfTrue="1" operator="equal">
      <formula>"Fail"</formula>
    </cfRule>
  </conditionalFormatting>
  <conditionalFormatting sqref="A1039:A1041">
    <cfRule type="cellIs" dxfId="6109" priority="5947" stopIfTrue="1" operator="equal">
      <formula>"Pass"</formula>
    </cfRule>
    <cfRule type="cellIs" dxfId="6108" priority="5948" stopIfTrue="1" operator="equal">
      <formula>"Fail"</formula>
    </cfRule>
  </conditionalFormatting>
  <conditionalFormatting sqref="A1039:A1041">
    <cfRule type="cellIs" dxfId="6107" priority="5945" stopIfTrue="1" operator="equal">
      <formula>"Pass"</formula>
    </cfRule>
    <cfRule type="cellIs" dxfId="6106" priority="5946" stopIfTrue="1" operator="equal">
      <formula>"Fail"</formula>
    </cfRule>
  </conditionalFormatting>
  <conditionalFormatting sqref="A1039:A1041">
    <cfRule type="cellIs" dxfId="6105" priority="5943" stopIfTrue="1" operator="equal">
      <formula>"Pass"</formula>
    </cfRule>
    <cfRule type="cellIs" dxfId="6104" priority="5944" stopIfTrue="1" operator="equal">
      <formula>"Fail"</formula>
    </cfRule>
  </conditionalFormatting>
  <conditionalFormatting sqref="A1039:A1041">
    <cfRule type="cellIs" dxfId="6103" priority="5941" stopIfTrue="1" operator="equal">
      <formula>"Pass"</formula>
    </cfRule>
    <cfRule type="cellIs" dxfId="6102" priority="5942" stopIfTrue="1" operator="equal">
      <formula>"Fail"</formula>
    </cfRule>
  </conditionalFormatting>
  <conditionalFormatting sqref="A1039:A1041">
    <cfRule type="cellIs" dxfId="6101" priority="5939" stopIfTrue="1" operator="equal">
      <formula>"Pass"</formula>
    </cfRule>
    <cfRule type="cellIs" dxfId="6100" priority="5940" stopIfTrue="1" operator="equal">
      <formula>"Fail"</formula>
    </cfRule>
  </conditionalFormatting>
  <conditionalFormatting sqref="A1041">
    <cfRule type="cellIs" dxfId="6099" priority="5937" stopIfTrue="1" operator="equal">
      <formula>"Pass"</formula>
    </cfRule>
    <cfRule type="cellIs" dxfId="6098" priority="5938" stopIfTrue="1" operator="equal">
      <formula>"Fail"</formula>
    </cfRule>
  </conditionalFormatting>
  <conditionalFormatting sqref="A1039:A1041">
    <cfRule type="cellIs" dxfId="6097" priority="5935" stopIfTrue="1" operator="equal">
      <formula>"Pass"</formula>
    </cfRule>
    <cfRule type="cellIs" dxfId="6096" priority="5936" stopIfTrue="1" operator="equal">
      <formula>"Fail"</formula>
    </cfRule>
  </conditionalFormatting>
  <conditionalFormatting sqref="A1039:A1041">
    <cfRule type="cellIs" dxfId="6095" priority="5933" stopIfTrue="1" operator="equal">
      <formula>"Pass"</formula>
    </cfRule>
    <cfRule type="cellIs" dxfId="6094" priority="5934" stopIfTrue="1" operator="equal">
      <formula>"Fail"</formula>
    </cfRule>
  </conditionalFormatting>
  <conditionalFormatting sqref="A1039:A1041">
    <cfRule type="cellIs" dxfId="6093" priority="5931" stopIfTrue="1" operator="equal">
      <formula>"Pass"</formula>
    </cfRule>
    <cfRule type="cellIs" dxfId="6092" priority="5932" stopIfTrue="1" operator="equal">
      <formula>"Fail"</formula>
    </cfRule>
  </conditionalFormatting>
  <conditionalFormatting sqref="A1039:A1041">
    <cfRule type="cellIs" dxfId="6091" priority="5929" stopIfTrue="1" operator="equal">
      <formula>"Pass"</formula>
    </cfRule>
    <cfRule type="cellIs" dxfId="6090" priority="5930" stopIfTrue="1" operator="equal">
      <formula>"Fail"</formula>
    </cfRule>
  </conditionalFormatting>
  <conditionalFormatting sqref="A1039:A1041">
    <cfRule type="cellIs" dxfId="6089" priority="5927" stopIfTrue="1" operator="equal">
      <formula>"Pass"</formula>
    </cfRule>
    <cfRule type="cellIs" dxfId="6088" priority="5928" stopIfTrue="1" operator="equal">
      <formula>"Fail"</formula>
    </cfRule>
  </conditionalFormatting>
  <conditionalFormatting sqref="A1039:A1041">
    <cfRule type="cellIs" dxfId="6087" priority="5925" stopIfTrue="1" operator="equal">
      <formula>"Pass"</formula>
    </cfRule>
    <cfRule type="cellIs" dxfId="6086" priority="5926" stopIfTrue="1" operator="equal">
      <formula>"Fail"</formula>
    </cfRule>
  </conditionalFormatting>
  <conditionalFormatting sqref="A1041">
    <cfRule type="cellIs" dxfId="6085" priority="5923" stopIfTrue="1" operator="equal">
      <formula>"Pass"</formula>
    </cfRule>
    <cfRule type="cellIs" dxfId="6084" priority="5924" stopIfTrue="1" operator="equal">
      <formula>"Fail"</formula>
    </cfRule>
  </conditionalFormatting>
  <conditionalFormatting sqref="A1039:A1041">
    <cfRule type="cellIs" dxfId="6083" priority="5921" stopIfTrue="1" operator="equal">
      <formula>"Pass"</formula>
    </cfRule>
    <cfRule type="cellIs" dxfId="6082" priority="5922" stopIfTrue="1" operator="equal">
      <formula>"Fail"</formula>
    </cfRule>
  </conditionalFormatting>
  <conditionalFormatting sqref="A1039:A1041">
    <cfRule type="cellIs" dxfId="6081" priority="5919" stopIfTrue="1" operator="equal">
      <formula>"Pass"</formula>
    </cfRule>
    <cfRule type="cellIs" dxfId="6080" priority="5920" stopIfTrue="1" operator="equal">
      <formula>"Fail"</formula>
    </cfRule>
  </conditionalFormatting>
  <conditionalFormatting sqref="A1039:A1041">
    <cfRule type="cellIs" dxfId="6079" priority="5917" stopIfTrue="1" operator="equal">
      <formula>"Pass"</formula>
    </cfRule>
    <cfRule type="cellIs" dxfId="6078" priority="5918" stopIfTrue="1" operator="equal">
      <formula>"Fail"</formula>
    </cfRule>
  </conditionalFormatting>
  <conditionalFormatting sqref="A1039:A1041">
    <cfRule type="cellIs" dxfId="6077" priority="5915" stopIfTrue="1" operator="equal">
      <formula>"Pass"</formula>
    </cfRule>
    <cfRule type="cellIs" dxfId="6076" priority="5916" stopIfTrue="1" operator="equal">
      <formula>"Fail"</formula>
    </cfRule>
  </conditionalFormatting>
  <conditionalFormatting sqref="A1039:A1041">
    <cfRule type="cellIs" dxfId="6075" priority="5913" stopIfTrue="1" operator="equal">
      <formula>"Pass"</formula>
    </cfRule>
    <cfRule type="cellIs" dxfId="6074" priority="5914" stopIfTrue="1" operator="equal">
      <formula>"Fail"</formula>
    </cfRule>
  </conditionalFormatting>
  <conditionalFormatting sqref="A1039:A1041">
    <cfRule type="cellIs" dxfId="6073" priority="5911" stopIfTrue="1" operator="equal">
      <formula>"Pass"</formula>
    </cfRule>
    <cfRule type="cellIs" dxfId="6072" priority="5912" stopIfTrue="1" operator="equal">
      <formula>"Fail"</formula>
    </cfRule>
  </conditionalFormatting>
  <conditionalFormatting sqref="A1041">
    <cfRule type="cellIs" dxfId="6071" priority="5909" stopIfTrue="1" operator="equal">
      <formula>"Pass"</formula>
    </cfRule>
    <cfRule type="cellIs" dxfId="6070" priority="5910" stopIfTrue="1" operator="equal">
      <formula>"Fail"</formula>
    </cfRule>
  </conditionalFormatting>
  <conditionalFormatting sqref="A1039:A1041">
    <cfRule type="cellIs" dxfId="6069" priority="5907" stopIfTrue="1" operator="equal">
      <formula>"Pass"</formula>
    </cfRule>
    <cfRule type="cellIs" dxfId="6068" priority="5908" stopIfTrue="1" operator="equal">
      <formula>"Fail"</formula>
    </cfRule>
  </conditionalFormatting>
  <conditionalFormatting sqref="A1039:A1041">
    <cfRule type="cellIs" dxfId="6067" priority="5905" stopIfTrue="1" operator="equal">
      <formula>"Pass"</formula>
    </cfRule>
    <cfRule type="cellIs" dxfId="6066" priority="5906" stopIfTrue="1" operator="equal">
      <formula>"Fail"</formula>
    </cfRule>
  </conditionalFormatting>
  <conditionalFormatting sqref="A1039:A1041">
    <cfRule type="cellIs" dxfId="6065" priority="5903" stopIfTrue="1" operator="equal">
      <formula>"Pass"</formula>
    </cfRule>
    <cfRule type="cellIs" dxfId="6064" priority="5904" stopIfTrue="1" operator="equal">
      <formula>"Fail"</formula>
    </cfRule>
  </conditionalFormatting>
  <conditionalFormatting sqref="A1039:A1041">
    <cfRule type="cellIs" dxfId="6063" priority="5901" stopIfTrue="1" operator="equal">
      <formula>"Pass"</formula>
    </cfRule>
    <cfRule type="cellIs" dxfId="6062" priority="5902" stopIfTrue="1" operator="equal">
      <formula>"Fail"</formula>
    </cfRule>
  </conditionalFormatting>
  <conditionalFormatting sqref="A1039:A1041">
    <cfRule type="cellIs" dxfId="6061" priority="5899" stopIfTrue="1" operator="equal">
      <formula>"Pass"</formula>
    </cfRule>
    <cfRule type="cellIs" dxfId="6060" priority="5900" stopIfTrue="1" operator="equal">
      <formula>"Fail"</formula>
    </cfRule>
  </conditionalFormatting>
  <conditionalFormatting sqref="A1039:A1041">
    <cfRule type="cellIs" dxfId="6059" priority="5897" stopIfTrue="1" operator="equal">
      <formula>"Pass"</formula>
    </cfRule>
    <cfRule type="cellIs" dxfId="6058" priority="5898" stopIfTrue="1" operator="equal">
      <formula>"Fail"</formula>
    </cfRule>
  </conditionalFormatting>
  <conditionalFormatting sqref="A1041">
    <cfRule type="cellIs" dxfId="6057" priority="5895" stopIfTrue="1" operator="equal">
      <formula>"Pass"</formula>
    </cfRule>
    <cfRule type="cellIs" dxfId="6056" priority="5896" stopIfTrue="1" operator="equal">
      <formula>"Fail"</formula>
    </cfRule>
  </conditionalFormatting>
  <conditionalFormatting sqref="A1039:A1041">
    <cfRule type="cellIs" dxfId="6055" priority="5893" stopIfTrue="1" operator="equal">
      <formula>"Pass"</formula>
    </cfRule>
    <cfRule type="cellIs" dxfId="6054" priority="5894" stopIfTrue="1" operator="equal">
      <formula>"Fail"</formula>
    </cfRule>
  </conditionalFormatting>
  <conditionalFormatting sqref="A1039:A1041">
    <cfRule type="cellIs" dxfId="6053" priority="5891" stopIfTrue="1" operator="equal">
      <formula>"Pass"</formula>
    </cfRule>
    <cfRule type="cellIs" dxfId="6052" priority="5892" stopIfTrue="1" operator="equal">
      <formula>"Fail"</formula>
    </cfRule>
  </conditionalFormatting>
  <conditionalFormatting sqref="A1039:A1041">
    <cfRule type="cellIs" dxfId="6051" priority="5889" stopIfTrue="1" operator="equal">
      <formula>"Pass"</formula>
    </cfRule>
    <cfRule type="cellIs" dxfId="6050" priority="5890" stopIfTrue="1" operator="equal">
      <formula>"Fail"</formula>
    </cfRule>
  </conditionalFormatting>
  <conditionalFormatting sqref="A1039:A1041">
    <cfRule type="cellIs" dxfId="6049" priority="5887" stopIfTrue="1" operator="equal">
      <formula>"Pass"</formula>
    </cfRule>
    <cfRule type="cellIs" dxfId="6048" priority="5888" stopIfTrue="1" operator="equal">
      <formula>"Fail"</formula>
    </cfRule>
  </conditionalFormatting>
  <conditionalFormatting sqref="A1039:A1041">
    <cfRule type="cellIs" dxfId="6047" priority="5885" stopIfTrue="1" operator="equal">
      <formula>"Pass"</formula>
    </cfRule>
    <cfRule type="cellIs" dxfId="6046" priority="5886" stopIfTrue="1" operator="equal">
      <formula>"Fail"</formula>
    </cfRule>
  </conditionalFormatting>
  <conditionalFormatting sqref="A1039:A1041">
    <cfRule type="cellIs" dxfId="6045" priority="5883" stopIfTrue="1" operator="equal">
      <formula>"Pass"</formula>
    </cfRule>
    <cfRule type="cellIs" dxfId="6044" priority="5884" stopIfTrue="1" operator="equal">
      <formula>"Fail"</formula>
    </cfRule>
  </conditionalFormatting>
  <conditionalFormatting sqref="A1041">
    <cfRule type="cellIs" dxfId="6043" priority="5881" stopIfTrue="1" operator="equal">
      <formula>"Pass"</formula>
    </cfRule>
    <cfRule type="cellIs" dxfId="6042" priority="5882" stopIfTrue="1" operator="equal">
      <formula>"Fail"</formula>
    </cfRule>
  </conditionalFormatting>
  <conditionalFormatting sqref="A1039:A1041">
    <cfRule type="cellIs" dxfId="6041" priority="5879" stopIfTrue="1" operator="equal">
      <formula>"Pass"</formula>
    </cfRule>
    <cfRule type="cellIs" dxfId="6040" priority="5880" stopIfTrue="1" operator="equal">
      <formula>"Fail"</formula>
    </cfRule>
  </conditionalFormatting>
  <conditionalFormatting sqref="A1039">
    <cfRule type="cellIs" dxfId="6039" priority="5877" stopIfTrue="1" operator="equal">
      <formula>"Pass"</formula>
    </cfRule>
    <cfRule type="cellIs" dxfId="6038" priority="5878" stopIfTrue="1" operator="equal">
      <formula>"Fail"</formula>
    </cfRule>
  </conditionalFormatting>
  <conditionalFormatting sqref="A1039">
    <cfRule type="cellIs" dxfId="6037" priority="5875" stopIfTrue="1" operator="equal">
      <formula>"Pass"</formula>
    </cfRule>
    <cfRule type="cellIs" dxfId="6036" priority="5876" stopIfTrue="1" operator="equal">
      <formula>"Fail"</formula>
    </cfRule>
  </conditionalFormatting>
  <conditionalFormatting sqref="A1039">
    <cfRule type="cellIs" dxfId="6035" priority="5873" stopIfTrue="1" operator="equal">
      <formula>"Pass"</formula>
    </cfRule>
    <cfRule type="cellIs" dxfId="6034" priority="5874" stopIfTrue="1" operator="equal">
      <formula>"Fail"</formula>
    </cfRule>
  </conditionalFormatting>
  <conditionalFormatting sqref="A1039">
    <cfRule type="cellIs" dxfId="6033" priority="5871" stopIfTrue="1" operator="equal">
      <formula>"Pass"</formula>
    </cfRule>
    <cfRule type="cellIs" dxfId="6032" priority="5872" stopIfTrue="1" operator="equal">
      <formula>"Fail"</formula>
    </cfRule>
  </conditionalFormatting>
  <conditionalFormatting sqref="A1039">
    <cfRule type="cellIs" dxfId="6031" priority="5869" stopIfTrue="1" operator="equal">
      <formula>"Pass"</formula>
    </cfRule>
    <cfRule type="cellIs" dxfId="6030" priority="5870" stopIfTrue="1" operator="equal">
      <formula>"Fail"</formula>
    </cfRule>
  </conditionalFormatting>
  <conditionalFormatting sqref="A1039">
    <cfRule type="cellIs" dxfId="6029" priority="5867" stopIfTrue="1" operator="equal">
      <formula>"Pass"</formula>
    </cfRule>
    <cfRule type="cellIs" dxfId="6028" priority="5868" stopIfTrue="1" operator="equal">
      <formula>"Fail"</formula>
    </cfRule>
  </conditionalFormatting>
  <conditionalFormatting sqref="A1039">
    <cfRule type="cellIs" dxfId="6027" priority="5865" stopIfTrue="1" operator="equal">
      <formula>"Pass"</formula>
    </cfRule>
    <cfRule type="cellIs" dxfId="6026" priority="5866" stopIfTrue="1" operator="equal">
      <formula>"Fail"</formula>
    </cfRule>
  </conditionalFormatting>
  <conditionalFormatting sqref="A1039">
    <cfRule type="cellIs" dxfId="6025" priority="5863" stopIfTrue="1" operator="equal">
      <formula>"Pass"</formula>
    </cfRule>
    <cfRule type="cellIs" dxfId="6024" priority="5864" stopIfTrue="1" operator="equal">
      <formula>"Fail"</formula>
    </cfRule>
  </conditionalFormatting>
  <conditionalFormatting sqref="A1039">
    <cfRule type="cellIs" dxfId="6023" priority="5861" stopIfTrue="1" operator="equal">
      <formula>"Pass"</formula>
    </cfRule>
    <cfRule type="cellIs" dxfId="6022" priority="5862" stopIfTrue="1" operator="equal">
      <formula>"Fail"</formula>
    </cfRule>
  </conditionalFormatting>
  <conditionalFormatting sqref="A1039">
    <cfRule type="cellIs" dxfId="6021" priority="5859" stopIfTrue="1" operator="equal">
      <formula>"Pass"</formula>
    </cfRule>
    <cfRule type="cellIs" dxfId="6020" priority="5860" stopIfTrue="1" operator="equal">
      <formula>"Fail"</formula>
    </cfRule>
  </conditionalFormatting>
  <conditionalFormatting sqref="A1039">
    <cfRule type="cellIs" dxfId="6019" priority="5857" stopIfTrue="1" operator="equal">
      <formula>"Pass"</formula>
    </cfRule>
    <cfRule type="cellIs" dxfId="6018" priority="5858" stopIfTrue="1" operator="equal">
      <formula>"Fail"</formula>
    </cfRule>
  </conditionalFormatting>
  <conditionalFormatting sqref="A1039">
    <cfRule type="cellIs" dxfId="6017" priority="5855" stopIfTrue="1" operator="equal">
      <formula>"Pass"</formula>
    </cfRule>
    <cfRule type="cellIs" dxfId="6016" priority="5856" stopIfTrue="1" operator="equal">
      <formula>"Fail"</formula>
    </cfRule>
  </conditionalFormatting>
  <conditionalFormatting sqref="A1039">
    <cfRule type="cellIs" dxfId="6015" priority="5853" stopIfTrue="1" operator="equal">
      <formula>"Pass"</formula>
    </cfRule>
    <cfRule type="cellIs" dxfId="6014" priority="5854" stopIfTrue="1" operator="equal">
      <formula>"Fail"</formula>
    </cfRule>
  </conditionalFormatting>
  <conditionalFormatting sqref="A1039">
    <cfRule type="cellIs" dxfId="6013" priority="5851" stopIfTrue="1" operator="equal">
      <formula>"Pass"</formula>
    </cfRule>
    <cfRule type="cellIs" dxfId="6012" priority="5852" stopIfTrue="1" operator="equal">
      <formula>"Fail"</formula>
    </cfRule>
  </conditionalFormatting>
  <conditionalFormatting sqref="A1039">
    <cfRule type="cellIs" dxfId="6011" priority="5849" stopIfTrue="1" operator="equal">
      <formula>"Pass"</formula>
    </cfRule>
    <cfRule type="cellIs" dxfId="6010" priority="5850" stopIfTrue="1" operator="equal">
      <formula>"Fail"</formula>
    </cfRule>
  </conditionalFormatting>
  <conditionalFormatting sqref="A1039">
    <cfRule type="cellIs" dxfId="6009" priority="5847" stopIfTrue="1" operator="equal">
      <formula>"Pass"</formula>
    </cfRule>
    <cfRule type="cellIs" dxfId="6008" priority="5848" stopIfTrue="1" operator="equal">
      <formula>"Fail"</formula>
    </cfRule>
  </conditionalFormatting>
  <conditionalFormatting sqref="A1039">
    <cfRule type="cellIs" dxfId="6007" priority="5845" stopIfTrue="1" operator="equal">
      <formula>"Pass"</formula>
    </cfRule>
    <cfRule type="cellIs" dxfId="6006" priority="5846" stopIfTrue="1" operator="equal">
      <formula>"Fail"</formula>
    </cfRule>
  </conditionalFormatting>
  <conditionalFormatting sqref="A1039">
    <cfRule type="cellIs" dxfId="6005" priority="5843" stopIfTrue="1" operator="equal">
      <formula>"Pass"</formula>
    </cfRule>
    <cfRule type="cellIs" dxfId="6004" priority="5844" stopIfTrue="1" operator="equal">
      <formula>"Fail"</formula>
    </cfRule>
  </conditionalFormatting>
  <conditionalFormatting sqref="A1039">
    <cfRule type="cellIs" dxfId="6003" priority="5841" stopIfTrue="1" operator="equal">
      <formula>"Pass"</formula>
    </cfRule>
    <cfRule type="cellIs" dxfId="6002" priority="5842" stopIfTrue="1" operator="equal">
      <formula>"Fail"</formula>
    </cfRule>
  </conditionalFormatting>
  <conditionalFormatting sqref="A1039">
    <cfRule type="cellIs" dxfId="6001" priority="5839" stopIfTrue="1" operator="equal">
      <formula>"Pass"</formula>
    </cfRule>
    <cfRule type="cellIs" dxfId="6000" priority="5840" stopIfTrue="1" operator="equal">
      <formula>"Fail"</formula>
    </cfRule>
  </conditionalFormatting>
  <conditionalFormatting sqref="A1039">
    <cfRule type="cellIs" dxfId="5999" priority="5837" stopIfTrue="1" operator="equal">
      <formula>"Pass"</formula>
    </cfRule>
    <cfRule type="cellIs" dxfId="5998" priority="5838" stopIfTrue="1" operator="equal">
      <formula>"Fail"</formula>
    </cfRule>
  </conditionalFormatting>
  <conditionalFormatting sqref="A1039">
    <cfRule type="cellIs" dxfId="5997" priority="5835" stopIfTrue="1" operator="equal">
      <formula>"Pass"</formula>
    </cfRule>
    <cfRule type="cellIs" dxfId="5996" priority="5836" stopIfTrue="1" operator="equal">
      <formula>"Fail"</formula>
    </cfRule>
  </conditionalFormatting>
  <conditionalFormatting sqref="A1039">
    <cfRule type="cellIs" dxfId="5995" priority="5833" stopIfTrue="1" operator="equal">
      <formula>"Pass"</formula>
    </cfRule>
    <cfRule type="cellIs" dxfId="5994" priority="5834" stopIfTrue="1" operator="equal">
      <formula>"Fail"</formula>
    </cfRule>
  </conditionalFormatting>
  <conditionalFormatting sqref="A1039">
    <cfRule type="cellIs" dxfId="5993" priority="5831" stopIfTrue="1" operator="equal">
      <formula>"Pass"</formula>
    </cfRule>
    <cfRule type="cellIs" dxfId="5992" priority="5832" stopIfTrue="1" operator="equal">
      <formula>"Fail"</formula>
    </cfRule>
  </conditionalFormatting>
  <conditionalFormatting sqref="A1039">
    <cfRule type="cellIs" dxfId="5991" priority="5829" stopIfTrue="1" operator="equal">
      <formula>"Pass"</formula>
    </cfRule>
    <cfRule type="cellIs" dxfId="5990" priority="5830" stopIfTrue="1" operator="equal">
      <formula>"Fail"</formula>
    </cfRule>
  </conditionalFormatting>
  <conditionalFormatting sqref="A1039">
    <cfRule type="cellIs" dxfId="5989" priority="5827" stopIfTrue="1" operator="equal">
      <formula>"Pass"</formula>
    </cfRule>
    <cfRule type="cellIs" dxfId="5988" priority="5828" stopIfTrue="1" operator="equal">
      <formula>"Fail"</formula>
    </cfRule>
  </conditionalFormatting>
  <conditionalFormatting sqref="A1039">
    <cfRule type="cellIs" dxfId="5987" priority="5825" stopIfTrue="1" operator="equal">
      <formula>"Pass"</formula>
    </cfRule>
    <cfRule type="cellIs" dxfId="5986" priority="5826" stopIfTrue="1" operator="equal">
      <formula>"Fail"</formula>
    </cfRule>
  </conditionalFormatting>
  <conditionalFormatting sqref="A1039">
    <cfRule type="cellIs" dxfId="5985" priority="5823" stopIfTrue="1" operator="equal">
      <formula>"Pass"</formula>
    </cfRule>
    <cfRule type="cellIs" dxfId="5984" priority="5824" stopIfTrue="1" operator="equal">
      <formula>"Fail"</formula>
    </cfRule>
  </conditionalFormatting>
  <conditionalFormatting sqref="A1039">
    <cfRule type="cellIs" dxfId="5983" priority="5821" stopIfTrue="1" operator="equal">
      <formula>"Pass"</formula>
    </cfRule>
    <cfRule type="cellIs" dxfId="5982" priority="5822" stopIfTrue="1" operator="equal">
      <formula>"Fail"</formula>
    </cfRule>
  </conditionalFormatting>
  <conditionalFormatting sqref="A1039">
    <cfRule type="cellIs" dxfId="5981" priority="5819" stopIfTrue="1" operator="equal">
      <formula>"Pass"</formula>
    </cfRule>
    <cfRule type="cellIs" dxfId="5980" priority="5820" stopIfTrue="1" operator="equal">
      <formula>"Fail"</formula>
    </cfRule>
  </conditionalFormatting>
  <conditionalFormatting sqref="A1039">
    <cfRule type="cellIs" dxfId="5979" priority="5817" stopIfTrue="1" operator="equal">
      <formula>"Pass"</formula>
    </cfRule>
    <cfRule type="cellIs" dxfId="5978" priority="5818" stopIfTrue="1" operator="equal">
      <formula>"Fail"</formula>
    </cfRule>
  </conditionalFormatting>
  <conditionalFormatting sqref="A1039">
    <cfRule type="cellIs" dxfId="5977" priority="5815" stopIfTrue="1" operator="equal">
      <formula>"Pass"</formula>
    </cfRule>
    <cfRule type="cellIs" dxfId="5976" priority="5816" stopIfTrue="1" operator="equal">
      <formula>"Fail"</formula>
    </cfRule>
  </conditionalFormatting>
  <conditionalFormatting sqref="A1039">
    <cfRule type="cellIs" dxfId="5975" priority="5813" stopIfTrue="1" operator="equal">
      <formula>"Pass"</formula>
    </cfRule>
    <cfRule type="cellIs" dxfId="5974" priority="5814" stopIfTrue="1" operator="equal">
      <formula>"Fail"</formula>
    </cfRule>
  </conditionalFormatting>
  <conditionalFormatting sqref="A1039">
    <cfRule type="cellIs" dxfId="5973" priority="5811" stopIfTrue="1" operator="equal">
      <formula>"Pass"</formula>
    </cfRule>
    <cfRule type="cellIs" dxfId="5972" priority="5812" stopIfTrue="1" operator="equal">
      <formula>"Fail"</formula>
    </cfRule>
  </conditionalFormatting>
  <conditionalFormatting sqref="A1039">
    <cfRule type="cellIs" dxfId="5971" priority="5809" stopIfTrue="1" operator="equal">
      <formula>"Pass"</formula>
    </cfRule>
    <cfRule type="cellIs" dxfId="5970" priority="5810" stopIfTrue="1" operator="equal">
      <formula>"Fail"</formula>
    </cfRule>
  </conditionalFormatting>
  <conditionalFormatting sqref="A1039">
    <cfRule type="cellIs" dxfId="5969" priority="5807" stopIfTrue="1" operator="equal">
      <formula>"Pass"</formula>
    </cfRule>
    <cfRule type="cellIs" dxfId="5968" priority="5808" stopIfTrue="1" operator="equal">
      <formula>"Fail"</formula>
    </cfRule>
  </conditionalFormatting>
  <conditionalFormatting sqref="A1039">
    <cfRule type="cellIs" dxfId="5967" priority="5805" stopIfTrue="1" operator="equal">
      <formula>"Pass"</formula>
    </cfRule>
    <cfRule type="cellIs" dxfId="5966" priority="5806" stopIfTrue="1" operator="equal">
      <formula>"Fail"</formula>
    </cfRule>
  </conditionalFormatting>
  <conditionalFormatting sqref="A1039">
    <cfRule type="cellIs" dxfId="5965" priority="5803" stopIfTrue="1" operator="equal">
      <formula>"Pass"</formula>
    </cfRule>
    <cfRule type="cellIs" dxfId="5964" priority="5804" stopIfTrue="1" operator="equal">
      <formula>"Fail"</formula>
    </cfRule>
  </conditionalFormatting>
  <conditionalFormatting sqref="A1039">
    <cfRule type="cellIs" dxfId="5963" priority="5801" stopIfTrue="1" operator="equal">
      <formula>"Pass"</formula>
    </cfRule>
    <cfRule type="cellIs" dxfId="5962" priority="5802" stopIfTrue="1" operator="equal">
      <formula>"Fail"</formula>
    </cfRule>
  </conditionalFormatting>
  <conditionalFormatting sqref="A1039">
    <cfRule type="cellIs" dxfId="5961" priority="5799" stopIfTrue="1" operator="equal">
      <formula>"Pass"</formula>
    </cfRule>
    <cfRule type="cellIs" dxfId="5960" priority="5800" stopIfTrue="1" operator="equal">
      <formula>"Fail"</formula>
    </cfRule>
  </conditionalFormatting>
  <conditionalFormatting sqref="A1039">
    <cfRule type="cellIs" dxfId="5959" priority="5797" stopIfTrue="1" operator="equal">
      <formula>"Pass"</formula>
    </cfRule>
    <cfRule type="cellIs" dxfId="5958" priority="5798" stopIfTrue="1" operator="equal">
      <formula>"Fail"</formula>
    </cfRule>
  </conditionalFormatting>
  <conditionalFormatting sqref="A1039">
    <cfRule type="cellIs" dxfId="5957" priority="5795" stopIfTrue="1" operator="equal">
      <formula>"Pass"</formula>
    </cfRule>
    <cfRule type="cellIs" dxfId="5956" priority="5796" stopIfTrue="1" operator="equal">
      <formula>"Fail"</formula>
    </cfRule>
  </conditionalFormatting>
  <conditionalFormatting sqref="A1039">
    <cfRule type="cellIs" dxfId="5955" priority="5793" stopIfTrue="1" operator="equal">
      <formula>"Pass"</formula>
    </cfRule>
    <cfRule type="cellIs" dxfId="5954" priority="5794" stopIfTrue="1" operator="equal">
      <formula>"Fail"</formula>
    </cfRule>
  </conditionalFormatting>
  <conditionalFormatting sqref="A1039">
    <cfRule type="cellIs" dxfId="5953" priority="5791" stopIfTrue="1" operator="equal">
      <formula>"Pass"</formula>
    </cfRule>
    <cfRule type="cellIs" dxfId="5952" priority="5792" stopIfTrue="1" operator="equal">
      <formula>"Fail"</formula>
    </cfRule>
  </conditionalFormatting>
  <conditionalFormatting sqref="A1039">
    <cfRule type="cellIs" dxfId="5951" priority="5789" stopIfTrue="1" operator="equal">
      <formula>"Pass"</formula>
    </cfRule>
    <cfRule type="cellIs" dxfId="5950" priority="5790" stopIfTrue="1" operator="equal">
      <formula>"Fail"</formula>
    </cfRule>
  </conditionalFormatting>
  <conditionalFormatting sqref="A1039">
    <cfRule type="cellIs" dxfId="5949" priority="5787" stopIfTrue="1" operator="equal">
      <formula>"Pass"</formula>
    </cfRule>
    <cfRule type="cellIs" dxfId="5948" priority="5788" stopIfTrue="1" operator="equal">
      <formula>"Fail"</formula>
    </cfRule>
  </conditionalFormatting>
  <conditionalFormatting sqref="A1039">
    <cfRule type="cellIs" dxfId="5947" priority="5785" stopIfTrue="1" operator="equal">
      <formula>"Pass"</formula>
    </cfRule>
    <cfRule type="cellIs" dxfId="5946" priority="5786" stopIfTrue="1" operator="equal">
      <formula>"Fail"</formula>
    </cfRule>
  </conditionalFormatting>
  <conditionalFormatting sqref="A1039">
    <cfRule type="cellIs" dxfId="5945" priority="5783" stopIfTrue="1" operator="equal">
      <formula>"Pass"</formula>
    </cfRule>
    <cfRule type="cellIs" dxfId="5944" priority="5784" stopIfTrue="1" operator="equal">
      <formula>"Fail"</formula>
    </cfRule>
  </conditionalFormatting>
  <conditionalFormatting sqref="A1039">
    <cfRule type="cellIs" dxfId="5943" priority="5781" stopIfTrue="1" operator="equal">
      <formula>"Pass"</formula>
    </cfRule>
    <cfRule type="cellIs" dxfId="5942" priority="5782" stopIfTrue="1" operator="equal">
      <formula>"Fail"</formula>
    </cfRule>
  </conditionalFormatting>
  <conditionalFormatting sqref="A1039">
    <cfRule type="cellIs" dxfId="5941" priority="5779" stopIfTrue="1" operator="equal">
      <formula>"Pass"</formula>
    </cfRule>
    <cfRule type="cellIs" dxfId="5940" priority="5780" stopIfTrue="1" operator="equal">
      <formula>"Fail"</formula>
    </cfRule>
  </conditionalFormatting>
  <conditionalFormatting sqref="A1039">
    <cfRule type="cellIs" dxfId="5939" priority="5777" stopIfTrue="1" operator="equal">
      <formula>"Pass"</formula>
    </cfRule>
    <cfRule type="cellIs" dxfId="5938" priority="5778" stopIfTrue="1" operator="equal">
      <formula>"Fail"</formula>
    </cfRule>
  </conditionalFormatting>
  <conditionalFormatting sqref="A1039">
    <cfRule type="cellIs" dxfId="5937" priority="5775" stopIfTrue="1" operator="equal">
      <formula>"Pass"</formula>
    </cfRule>
    <cfRule type="cellIs" dxfId="5936" priority="5776" stopIfTrue="1" operator="equal">
      <formula>"Fail"</formula>
    </cfRule>
  </conditionalFormatting>
  <conditionalFormatting sqref="A1039">
    <cfRule type="cellIs" dxfId="5935" priority="5773" stopIfTrue="1" operator="equal">
      <formula>"Pass"</formula>
    </cfRule>
    <cfRule type="cellIs" dxfId="5934" priority="5774" stopIfTrue="1" operator="equal">
      <formula>"Fail"</formula>
    </cfRule>
  </conditionalFormatting>
  <conditionalFormatting sqref="A1039">
    <cfRule type="cellIs" dxfId="5933" priority="5771" stopIfTrue="1" operator="equal">
      <formula>"Pass"</formula>
    </cfRule>
    <cfRule type="cellIs" dxfId="5932" priority="5772" stopIfTrue="1" operator="equal">
      <formula>"Fail"</formula>
    </cfRule>
  </conditionalFormatting>
  <conditionalFormatting sqref="A1039">
    <cfRule type="cellIs" dxfId="5931" priority="5769" stopIfTrue="1" operator="equal">
      <formula>"Pass"</formula>
    </cfRule>
    <cfRule type="cellIs" dxfId="5930" priority="5770" stopIfTrue="1" operator="equal">
      <formula>"Fail"</formula>
    </cfRule>
  </conditionalFormatting>
  <conditionalFormatting sqref="A1039">
    <cfRule type="cellIs" dxfId="5929" priority="5767" stopIfTrue="1" operator="equal">
      <formula>"Pass"</formula>
    </cfRule>
    <cfRule type="cellIs" dxfId="5928" priority="5768" stopIfTrue="1" operator="equal">
      <formula>"Fail"</formula>
    </cfRule>
  </conditionalFormatting>
  <conditionalFormatting sqref="A1039">
    <cfRule type="cellIs" dxfId="5927" priority="5765" stopIfTrue="1" operator="equal">
      <formula>"Pass"</formula>
    </cfRule>
    <cfRule type="cellIs" dxfId="5926" priority="5766" stopIfTrue="1" operator="equal">
      <formula>"Fail"</formula>
    </cfRule>
  </conditionalFormatting>
  <conditionalFormatting sqref="A1039">
    <cfRule type="cellIs" dxfId="5925" priority="5763" stopIfTrue="1" operator="equal">
      <formula>"Pass"</formula>
    </cfRule>
    <cfRule type="cellIs" dxfId="5924" priority="5764" stopIfTrue="1" operator="equal">
      <formula>"Fail"</formula>
    </cfRule>
  </conditionalFormatting>
  <conditionalFormatting sqref="A1039">
    <cfRule type="cellIs" dxfId="5923" priority="5761" stopIfTrue="1" operator="equal">
      <formula>"Pass"</formula>
    </cfRule>
    <cfRule type="cellIs" dxfId="5922" priority="5762" stopIfTrue="1" operator="equal">
      <formula>"Fail"</formula>
    </cfRule>
  </conditionalFormatting>
  <conditionalFormatting sqref="A1039">
    <cfRule type="cellIs" dxfId="5921" priority="5759" stopIfTrue="1" operator="equal">
      <formula>"Pass"</formula>
    </cfRule>
    <cfRule type="cellIs" dxfId="5920" priority="5760" stopIfTrue="1" operator="equal">
      <formula>"Fail"</formula>
    </cfRule>
  </conditionalFormatting>
  <conditionalFormatting sqref="A1039">
    <cfRule type="cellIs" dxfId="5919" priority="5757" stopIfTrue="1" operator="equal">
      <formula>"Pass"</formula>
    </cfRule>
    <cfRule type="cellIs" dxfId="5918" priority="5758" stopIfTrue="1" operator="equal">
      <formula>"Fail"</formula>
    </cfRule>
  </conditionalFormatting>
  <conditionalFormatting sqref="A1039">
    <cfRule type="cellIs" dxfId="5917" priority="5755" stopIfTrue="1" operator="equal">
      <formula>"Pass"</formula>
    </cfRule>
    <cfRule type="cellIs" dxfId="5916" priority="5756" stopIfTrue="1" operator="equal">
      <formula>"Fail"</formula>
    </cfRule>
  </conditionalFormatting>
  <conditionalFormatting sqref="A1039">
    <cfRule type="cellIs" dxfId="5915" priority="5753" stopIfTrue="1" operator="equal">
      <formula>"Pass"</formula>
    </cfRule>
    <cfRule type="cellIs" dxfId="5914" priority="5754" stopIfTrue="1" operator="equal">
      <formula>"Fail"</formula>
    </cfRule>
  </conditionalFormatting>
  <conditionalFormatting sqref="A1039">
    <cfRule type="cellIs" dxfId="5913" priority="5751" stopIfTrue="1" operator="equal">
      <formula>"Pass"</formula>
    </cfRule>
    <cfRule type="cellIs" dxfId="5912" priority="5752" stopIfTrue="1" operator="equal">
      <formula>"Fail"</formula>
    </cfRule>
  </conditionalFormatting>
  <conditionalFormatting sqref="A1039">
    <cfRule type="cellIs" dxfId="5911" priority="5749" stopIfTrue="1" operator="equal">
      <formula>"Pass"</formula>
    </cfRule>
    <cfRule type="cellIs" dxfId="5910" priority="5750" stopIfTrue="1" operator="equal">
      <formula>"Fail"</formula>
    </cfRule>
  </conditionalFormatting>
  <conditionalFormatting sqref="A1039:A1041">
    <cfRule type="cellIs" dxfId="5909" priority="5747" stopIfTrue="1" operator="equal">
      <formula>"Pass"</formula>
    </cfRule>
    <cfRule type="cellIs" dxfId="5908" priority="5748" stopIfTrue="1" operator="equal">
      <formula>"Fail"</formula>
    </cfRule>
  </conditionalFormatting>
  <conditionalFormatting sqref="A1039:A1041">
    <cfRule type="cellIs" dxfId="5907" priority="5745" stopIfTrue="1" operator="equal">
      <formula>"Pass"</formula>
    </cfRule>
    <cfRule type="cellIs" dxfId="5906" priority="5746" stopIfTrue="1" operator="equal">
      <formula>"Fail"</formula>
    </cfRule>
  </conditionalFormatting>
  <conditionalFormatting sqref="A1039:A1041">
    <cfRule type="cellIs" dxfId="5905" priority="5743" stopIfTrue="1" operator="equal">
      <formula>"Pass"</formula>
    </cfRule>
    <cfRule type="cellIs" dxfId="5904" priority="5744" stopIfTrue="1" operator="equal">
      <formula>"Fail"</formula>
    </cfRule>
  </conditionalFormatting>
  <conditionalFormatting sqref="A1039:A1041">
    <cfRule type="cellIs" dxfId="5903" priority="5741" stopIfTrue="1" operator="equal">
      <formula>"Pass"</formula>
    </cfRule>
    <cfRule type="cellIs" dxfId="5902" priority="5742" stopIfTrue="1" operator="equal">
      <formula>"Fail"</formula>
    </cfRule>
  </conditionalFormatting>
  <conditionalFormatting sqref="A1039:A1041">
    <cfRule type="cellIs" dxfId="5901" priority="5739" stopIfTrue="1" operator="equal">
      <formula>"Pass"</formula>
    </cfRule>
    <cfRule type="cellIs" dxfId="5900" priority="5740" stopIfTrue="1" operator="equal">
      <formula>"Fail"</formula>
    </cfRule>
  </conditionalFormatting>
  <conditionalFormatting sqref="A1041">
    <cfRule type="cellIs" dxfId="5899" priority="5737" stopIfTrue="1" operator="equal">
      <formula>"Pass"</formula>
    </cfRule>
    <cfRule type="cellIs" dxfId="5898" priority="5738" stopIfTrue="1" operator="equal">
      <formula>"Fail"</formula>
    </cfRule>
  </conditionalFormatting>
  <conditionalFormatting sqref="A1039:A1041">
    <cfRule type="cellIs" dxfId="5897" priority="5735" stopIfTrue="1" operator="equal">
      <formula>"Pass"</formula>
    </cfRule>
    <cfRule type="cellIs" dxfId="5896" priority="5736" stopIfTrue="1" operator="equal">
      <formula>"Fail"</formula>
    </cfRule>
  </conditionalFormatting>
  <conditionalFormatting sqref="A1039:A1041">
    <cfRule type="cellIs" dxfId="5895" priority="5733" stopIfTrue="1" operator="equal">
      <formula>"Pass"</formula>
    </cfRule>
    <cfRule type="cellIs" dxfId="5894" priority="5734" stopIfTrue="1" operator="equal">
      <formula>"Fail"</formula>
    </cfRule>
  </conditionalFormatting>
  <conditionalFormatting sqref="A1039:A1041">
    <cfRule type="cellIs" dxfId="5893" priority="5731" stopIfTrue="1" operator="equal">
      <formula>"Pass"</formula>
    </cfRule>
    <cfRule type="cellIs" dxfId="5892" priority="5732" stopIfTrue="1" operator="equal">
      <formula>"Fail"</formula>
    </cfRule>
  </conditionalFormatting>
  <conditionalFormatting sqref="A1039:A1041">
    <cfRule type="cellIs" dxfId="5891" priority="5729" stopIfTrue="1" operator="equal">
      <formula>"Pass"</formula>
    </cfRule>
    <cfRule type="cellIs" dxfId="5890" priority="5730" stopIfTrue="1" operator="equal">
      <formula>"Fail"</formula>
    </cfRule>
  </conditionalFormatting>
  <conditionalFormatting sqref="A1039:A1041">
    <cfRule type="cellIs" dxfId="5889" priority="5727" stopIfTrue="1" operator="equal">
      <formula>"Pass"</formula>
    </cfRule>
    <cfRule type="cellIs" dxfId="5888" priority="5728" stopIfTrue="1" operator="equal">
      <formula>"Fail"</formula>
    </cfRule>
  </conditionalFormatting>
  <conditionalFormatting sqref="A1039:A1041">
    <cfRule type="cellIs" dxfId="5887" priority="5725" stopIfTrue="1" operator="equal">
      <formula>"Pass"</formula>
    </cfRule>
    <cfRule type="cellIs" dxfId="5886" priority="5726" stopIfTrue="1" operator="equal">
      <formula>"Fail"</formula>
    </cfRule>
  </conditionalFormatting>
  <conditionalFormatting sqref="A1041">
    <cfRule type="cellIs" dxfId="5885" priority="5723" stopIfTrue="1" operator="equal">
      <formula>"Pass"</formula>
    </cfRule>
    <cfRule type="cellIs" dxfId="5884" priority="5724" stopIfTrue="1" operator="equal">
      <formula>"Fail"</formula>
    </cfRule>
  </conditionalFormatting>
  <conditionalFormatting sqref="A1039:A1041">
    <cfRule type="cellIs" dxfId="5883" priority="5721" stopIfTrue="1" operator="equal">
      <formula>"Pass"</formula>
    </cfRule>
    <cfRule type="cellIs" dxfId="5882" priority="5722" stopIfTrue="1" operator="equal">
      <formula>"Fail"</formula>
    </cfRule>
  </conditionalFormatting>
  <conditionalFormatting sqref="A1039:A1041">
    <cfRule type="cellIs" dxfId="5881" priority="5719" stopIfTrue="1" operator="equal">
      <formula>"Pass"</formula>
    </cfRule>
    <cfRule type="cellIs" dxfId="5880" priority="5720" stopIfTrue="1" operator="equal">
      <formula>"Fail"</formula>
    </cfRule>
  </conditionalFormatting>
  <conditionalFormatting sqref="A1039:A1041">
    <cfRule type="cellIs" dxfId="5879" priority="5717" stopIfTrue="1" operator="equal">
      <formula>"Pass"</formula>
    </cfRule>
    <cfRule type="cellIs" dxfId="5878" priority="5718" stopIfTrue="1" operator="equal">
      <formula>"Fail"</formula>
    </cfRule>
  </conditionalFormatting>
  <conditionalFormatting sqref="A1039:A1041">
    <cfRule type="cellIs" dxfId="5877" priority="5715" stopIfTrue="1" operator="equal">
      <formula>"Pass"</formula>
    </cfRule>
    <cfRule type="cellIs" dxfId="5876" priority="5716" stopIfTrue="1" operator="equal">
      <formula>"Fail"</formula>
    </cfRule>
  </conditionalFormatting>
  <conditionalFormatting sqref="A1039:A1041">
    <cfRule type="cellIs" dxfId="5875" priority="5713" stopIfTrue="1" operator="equal">
      <formula>"Pass"</formula>
    </cfRule>
    <cfRule type="cellIs" dxfId="5874" priority="5714" stopIfTrue="1" operator="equal">
      <formula>"Fail"</formula>
    </cfRule>
  </conditionalFormatting>
  <conditionalFormatting sqref="A1039:A1041">
    <cfRule type="cellIs" dxfId="5873" priority="5711" stopIfTrue="1" operator="equal">
      <formula>"Pass"</formula>
    </cfRule>
    <cfRule type="cellIs" dxfId="5872" priority="5712" stopIfTrue="1" operator="equal">
      <formula>"Fail"</formula>
    </cfRule>
  </conditionalFormatting>
  <conditionalFormatting sqref="A1041">
    <cfRule type="cellIs" dxfId="5871" priority="5709" stopIfTrue="1" operator="equal">
      <formula>"Pass"</formula>
    </cfRule>
    <cfRule type="cellIs" dxfId="5870" priority="5710" stopIfTrue="1" operator="equal">
      <formula>"Fail"</formula>
    </cfRule>
  </conditionalFormatting>
  <conditionalFormatting sqref="A1039:A1041">
    <cfRule type="cellIs" dxfId="5869" priority="5707" stopIfTrue="1" operator="equal">
      <formula>"Pass"</formula>
    </cfRule>
    <cfRule type="cellIs" dxfId="5868" priority="5708" stopIfTrue="1" operator="equal">
      <formula>"Fail"</formula>
    </cfRule>
  </conditionalFormatting>
  <conditionalFormatting sqref="A1039:A1041">
    <cfRule type="cellIs" dxfId="5867" priority="5705" stopIfTrue="1" operator="equal">
      <formula>"Pass"</formula>
    </cfRule>
    <cfRule type="cellIs" dxfId="5866" priority="5706" stopIfTrue="1" operator="equal">
      <formula>"Fail"</formula>
    </cfRule>
  </conditionalFormatting>
  <conditionalFormatting sqref="A1039:A1041">
    <cfRule type="cellIs" dxfId="5865" priority="5703" stopIfTrue="1" operator="equal">
      <formula>"Pass"</formula>
    </cfRule>
    <cfRule type="cellIs" dxfId="5864" priority="5704" stopIfTrue="1" operator="equal">
      <formula>"Fail"</formula>
    </cfRule>
  </conditionalFormatting>
  <conditionalFormatting sqref="A1039:A1041">
    <cfRule type="cellIs" dxfId="5863" priority="5701" stopIfTrue="1" operator="equal">
      <formula>"Pass"</formula>
    </cfRule>
    <cfRule type="cellIs" dxfId="5862" priority="5702" stopIfTrue="1" operator="equal">
      <formula>"Fail"</formula>
    </cfRule>
  </conditionalFormatting>
  <conditionalFormatting sqref="A1039:A1041">
    <cfRule type="cellIs" dxfId="5861" priority="5699" stopIfTrue="1" operator="equal">
      <formula>"Pass"</formula>
    </cfRule>
    <cfRule type="cellIs" dxfId="5860" priority="5700" stopIfTrue="1" operator="equal">
      <formula>"Fail"</formula>
    </cfRule>
  </conditionalFormatting>
  <conditionalFormatting sqref="A1039:A1041">
    <cfRule type="cellIs" dxfId="5859" priority="5697" stopIfTrue="1" operator="equal">
      <formula>"Pass"</formula>
    </cfRule>
    <cfRule type="cellIs" dxfId="5858" priority="5698" stopIfTrue="1" operator="equal">
      <formula>"Fail"</formula>
    </cfRule>
  </conditionalFormatting>
  <conditionalFormatting sqref="A1041">
    <cfRule type="cellIs" dxfId="5857" priority="5695" stopIfTrue="1" operator="equal">
      <formula>"Pass"</formula>
    </cfRule>
    <cfRule type="cellIs" dxfId="5856" priority="5696" stopIfTrue="1" operator="equal">
      <formula>"Fail"</formula>
    </cfRule>
  </conditionalFormatting>
  <conditionalFormatting sqref="A1039:A1041">
    <cfRule type="cellIs" dxfId="5855" priority="5693" stopIfTrue="1" operator="equal">
      <formula>"Pass"</formula>
    </cfRule>
    <cfRule type="cellIs" dxfId="5854" priority="5694" stopIfTrue="1" operator="equal">
      <formula>"Fail"</formula>
    </cfRule>
  </conditionalFormatting>
  <conditionalFormatting sqref="A1039:A1041">
    <cfRule type="cellIs" dxfId="5853" priority="5691" stopIfTrue="1" operator="equal">
      <formula>"Pass"</formula>
    </cfRule>
    <cfRule type="cellIs" dxfId="5852" priority="5692" stopIfTrue="1" operator="equal">
      <formula>"Fail"</formula>
    </cfRule>
  </conditionalFormatting>
  <conditionalFormatting sqref="A1039:A1041">
    <cfRule type="cellIs" dxfId="5851" priority="5689" stopIfTrue="1" operator="equal">
      <formula>"Pass"</formula>
    </cfRule>
    <cfRule type="cellIs" dxfId="5850" priority="5690" stopIfTrue="1" operator="equal">
      <formula>"Fail"</formula>
    </cfRule>
  </conditionalFormatting>
  <conditionalFormatting sqref="A1039:A1041">
    <cfRule type="cellIs" dxfId="5849" priority="5687" stopIfTrue="1" operator="equal">
      <formula>"Pass"</formula>
    </cfRule>
    <cfRule type="cellIs" dxfId="5848" priority="5688" stopIfTrue="1" operator="equal">
      <formula>"Fail"</formula>
    </cfRule>
  </conditionalFormatting>
  <conditionalFormatting sqref="A1039:A1041">
    <cfRule type="cellIs" dxfId="5847" priority="5685" stopIfTrue="1" operator="equal">
      <formula>"Pass"</formula>
    </cfRule>
    <cfRule type="cellIs" dxfId="5846" priority="5686" stopIfTrue="1" operator="equal">
      <formula>"Fail"</formula>
    </cfRule>
  </conditionalFormatting>
  <conditionalFormatting sqref="A1039:A1041">
    <cfRule type="cellIs" dxfId="5845" priority="5683" stopIfTrue="1" operator="equal">
      <formula>"Pass"</formula>
    </cfRule>
    <cfRule type="cellIs" dxfId="5844" priority="5684" stopIfTrue="1" operator="equal">
      <formula>"Fail"</formula>
    </cfRule>
  </conditionalFormatting>
  <conditionalFormatting sqref="A1041">
    <cfRule type="cellIs" dxfId="5843" priority="5681" stopIfTrue="1" operator="equal">
      <formula>"Pass"</formula>
    </cfRule>
    <cfRule type="cellIs" dxfId="5842" priority="5682" stopIfTrue="1" operator="equal">
      <formula>"Fail"</formula>
    </cfRule>
  </conditionalFormatting>
  <conditionalFormatting sqref="A1039:A1041">
    <cfRule type="cellIs" dxfId="5841" priority="5679" stopIfTrue="1" operator="equal">
      <formula>"Pass"</formula>
    </cfRule>
    <cfRule type="cellIs" dxfId="5840" priority="5680" stopIfTrue="1" operator="equal">
      <formula>"Fail"</formula>
    </cfRule>
  </conditionalFormatting>
  <conditionalFormatting sqref="A1039:A1041">
    <cfRule type="cellIs" dxfId="5839" priority="5677" stopIfTrue="1" operator="equal">
      <formula>"Pass"</formula>
    </cfRule>
    <cfRule type="cellIs" dxfId="5838" priority="5678" stopIfTrue="1" operator="equal">
      <formula>"Fail"</formula>
    </cfRule>
  </conditionalFormatting>
  <conditionalFormatting sqref="A1039:A1041">
    <cfRule type="cellIs" dxfId="5837" priority="5675" stopIfTrue="1" operator="equal">
      <formula>"Pass"</formula>
    </cfRule>
    <cfRule type="cellIs" dxfId="5836" priority="5676" stopIfTrue="1" operator="equal">
      <formula>"Fail"</formula>
    </cfRule>
  </conditionalFormatting>
  <conditionalFormatting sqref="A1039:A1041">
    <cfRule type="cellIs" dxfId="5835" priority="5673" stopIfTrue="1" operator="equal">
      <formula>"Pass"</formula>
    </cfRule>
    <cfRule type="cellIs" dxfId="5834" priority="5674" stopIfTrue="1" operator="equal">
      <formula>"Fail"</formula>
    </cfRule>
  </conditionalFormatting>
  <conditionalFormatting sqref="A1039:A1041">
    <cfRule type="cellIs" dxfId="5833" priority="5671" stopIfTrue="1" operator="equal">
      <formula>"Pass"</formula>
    </cfRule>
    <cfRule type="cellIs" dxfId="5832" priority="5672" stopIfTrue="1" operator="equal">
      <formula>"Fail"</formula>
    </cfRule>
  </conditionalFormatting>
  <conditionalFormatting sqref="A1039:A1041">
    <cfRule type="cellIs" dxfId="5831" priority="5669" stopIfTrue="1" operator="equal">
      <formula>"Pass"</formula>
    </cfRule>
    <cfRule type="cellIs" dxfId="5830" priority="5670" stopIfTrue="1" operator="equal">
      <formula>"Fail"</formula>
    </cfRule>
  </conditionalFormatting>
  <conditionalFormatting sqref="A1041">
    <cfRule type="cellIs" dxfId="5829" priority="5667" stopIfTrue="1" operator="equal">
      <formula>"Pass"</formula>
    </cfRule>
    <cfRule type="cellIs" dxfId="5828" priority="5668" stopIfTrue="1" operator="equal">
      <formula>"Fail"</formula>
    </cfRule>
  </conditionalFormatting>
  <conditionalFormatting sqref="A1039:A1041">
    <cfRule type="cellIs" dxfId="5827" priority="5665" stopIfTrue="1" operator="equal">
      <formula>"Pass"</formula>
    </cfRule>
    <cfRule type="cellIs" dxfId="5826" priority="5666" stopIfTrue="1" operator="equal">
      <formula>"Fail"</formula>
    </cfRule>
  </conditionalFormatting>
  <conditionalFormatting sqref="A1039">
    <cfRule type="cellIs" dxfId="5825" priority="5663" stopIfTrue="1" operator="equal">
      <formula>"Pass"</formula>
    </cfRule>
    <cfRule type="cellIs" dxfId="5824" priority="5664" stopIfTrue="1" operator="equal">
      <formula>"Fail"</formula>
    </cfRule>
  </conditionalFormatting>
  <conditionalFormatting sqref="A1039">
    <cfRule type="cellIs" dxfId="5823" priority="5661" stopIfTrue="1" operator="equal">
      <formula>"Pass"</formula>
    </cfRule>
    <cfRule type="cellIs" dxfId="5822" priority="5662" stopIfTrue="1" operator="equal">
      <formula>"Fail"</formula>
    </cfRule>
  </conditionalFormatting>
  <conditionalFormatting sqref="A1039">
    <cfRule type="cellIs" dxfId="5821" priority="5659" stopIfTrue="1" operator="equal">
      <formula>"Pass"</formula>
    </cfRule>
    <cfRule type="cellIs" dxfId="5820" priority="5660" stopIfTrue="1" operator="equal">
      <formula>"Fail"</formula>
    </cfRule>
  </conditionalFormatting>
  <conditionalFormatting sqref="A1039">
    <cfRule type="cellIs" dxfId="5819" priority="5657" stopIfTrue="1" operator="equal">
      <formula>"Pass"</formula>
    </cfRule>
    <cfRule type="cellIs" dxfId="5818" priority="5658" stopIfTrue="1" operator="equal">
      <formula>"Fail"</formula>
    </cfRule>
  </conditionalFormatting>
  <conditionalFormatting sqref="A1039">
    <cfRule type="cellIs" dxfId="5817" priority="5655" stopIfTrue="1" operator="equal">
      <formula>"Pass"</formula>
    </cfRule>
    <cfRule type="cellIs" dxfId="5816" priority="5656" stopIfTrue="1" operator="equal">
      <formula>"Fail"</formula>
    </cfRule>
  </conditionalFormatting>
  <conditionalFormatting sqref="A1039">
    <cfRule type="cellIs" dxfId="5815" priority="5653" stopIfTrue="1" operator="equal">
      <formula>"Pass"</formula>
    </cfRule>
    <cfRule type="cellIs" dxfId="5814" priority="5654" stopIfTrue="1" operator="equal">
      <formula>"Fail"</formula>
    </cfRule>
  </conditionalFormatting>
  <conditionalFormatting sqref="A1039">
    <cfRule type="cellIs" dxfId="5813" priority="5651" stopIfTrue="1" operator="equal">
      <formula>"Pass"</formula>
    </cfRule>
    <cfRule type="cellIs" dxfId="5812" priority="5652" stopIfTrue="1" operator="equal">
      <formula>"Fail"</formula>
    </cfRule>
  </conditionalFormatting>
  <conditionalFormatting sqref="A1039">
    <cfRule type="cellIs" dxfId="5811" priority="5649" stopIfTrue="1" operator="equal">
      <formula>"Pass"</formula>
    </cfRule>
    <cfRule type="cellIs" dxfId="5810" priority="5650" stopIfTrue="1" operator="equal">
      <formula>"Fail"</formula>
    </cfRule>
  </conditionalFormatting>
  <conditionalFormatting sqref="A1039">
    <cfRule type="cellIs" dxfId="5809" priority="5647" stopIfTrue="1" operator="equal">
      <formula>"Pass"</formula>
    </cfRule>
    <cfRule type="cellIs" dxfId="5808" priority="5648" stopIfTrue="1" operator="equal">
      <formula>"Fail"</formula>
    </cfRule>
  </conditionalFormatting>
  <conditionalFormatting sqref="A1039">
    <cfRule type="cellIs" dxfId="5807" priority="5645" stopIfTrue="1" operator="equal">
      <formula>"Pass"</formula>
    </cfRule>
    <cfRule type="cellIs" dxfId="5806" priority="5646" stopIfTrue="1" operator="equal">
      <formula>"Fail"</formula>
    </cfRule>
  </conditionalFormatting>
  <conditionalFormatting sqref="A1039">
    <cfRule type="cellIs" dxfId="5805" priority="5643" stopIfTrue="1" operator="equal">
      <formula>"Pass"</formula>
    </cfRule>
    <cfRule type="cellIs" dxfId="5804" priority="5644" stopIfTrue="1" operator="equal">
      <formula>"Fail"</formula>
    </cfRule>
  </conditionalFormatting>
  <conditionalFormatting sqref="A1039">
    <cfRule type="cellIs" dxfId="5803" priority="5641" stopIfTrue="1" operator="equal">
      <formula>"Pass"</formula>
    </cfRule>
    <cfRule type="cellIs" dxfId="5802" priority="5642" stopIfTrue="1" operator="equal">
      <formula>"Fail"</formula>
    </cfRule>
  </conditionalFormatting>
  <conditionalFormatting sqref="A1039">
    <cfRule type="cellIs" dxfId="5801" priority="5639" stopIfTrue="1" operator="equal">
      <formula>"Pass"</formula>
    </cfRule>
    <cfRule type="cellIs" dxfId="5800" priority="5640" stopIfTrue="1" operator="equal">
      <formula>"Fail"</formula>
    </cfRule>
  </conditionalFormatting>
  <conditionalFormatting sqref="A1039">
    <cfRule type="cellIs" dxfId="5799" priority="5637" stopIfTrue="1" operator="equal">
      <formula>"Pass"</formula>
    </cfRule>
    <cfRule type="cellIs" dxfId="5798" priority="5638" stopIfTrue="1" operator="equal">
      <formula>"Fail"</formula>
    </cfRule>
  </conditionalFormatting>
  <conditionalFormatting sqref="A1039">
    <cfRule type="cellIs" dxfId="5797" priority="5635" stopIfTrue="1" operator="equal">
      <formula>"Pass"</formula>
    </cfRule>
    <cfRule type="cellIs" dxfId="5796" priority="5636" stopIfTrue="1" operator="equal">
      <formula>"Fail"</formula>
    </cfRule>
  </conditionalFormatting>
  <conditionalFormatting sqref="A1039">
    <cfRule type="cellIs" dxfId="5795" priority="5633" stopIfTrue="1" operator="equal">
      <formula>"Pass"</formula>
    </cfRule>
    <cfRule type="cellIs" dxfId="5794" priority="5634" stopIfTrue="1" operator="equal">
      <formula>"Fail"</formula>
    </cfRule>
  </conditionalFormatting>
  <conditionalFormatting sqref="A1039">
    <cfRule type="cellIs" dxfId="5793" priority="5631" stopIfTrue="1" operator="equal">
      <formula>"Pass"</formula>
    </cfRule>
    <cfRule type="cellIs" dxfId="5792" priority="5632" stopIfTrue="1" operator="equal">
      <formula>"Fail"</formula>
    </cfRule>
  </conditionalFormatting>
  <conditionalFormatting sqref="A1039">
    <cfRule type="cellIs" dxfId="5791" priority="5629" stopIfTrue="1" operator="equal">
      <formula>"Pass"</formula>
    </cfRule>
    <cfRule type="cellIs" dxfId="5790" priority="5630" stopIfTrue="1" operator="equal">
      <formula>"Fail"</formula>
    </cfRule>
  </conditionalFormatting>
  <conditionalFormatting sqref="A1039">
    <cfRule type="cellIs" dxfId="5789" priority="5627" stopIfTrue="1" operator="equal">
      <formula>"Pass"</formula>
    </cfRule>
    <cfRule type="cellIs" dxfId="5788" priority="5628" stopIfTrue="1" operator="equal">
      <formula>"Fail"</formula>
    </cfRule>
  </conditionalFormatting>
  <conditionalFormatting sqref="A1039">
    <cfRule type="cellIs" dxfId="5787" priority="5625" stopIfTrue="1" operator="equal">
      <formula>"Pass"</formula>
    </cfRule>
    <cfRule type="cellIs" dxfId="5786" priority="5626" stopIfTrue="1" operator="equal">
      <formula>"Fail"</formula>
    </cfRule>
  </conditionalFormatting>
  <conditionalFormatting sqref="A1039">
    <cfRule type="cellIs" dxfId="5785" priority="5623" stopIfTrue="1" operator="equal">
      <formula>"Pass"</formula>
    </cfRule>
    <cfRule type="cellIs" dxfId="5784" priority="5624" stopIfTrue="1" operator="equal">
      <formula>"Fail"</formula>
    </cfRule>
  </conditionalFormatting>
  <conditionalFormatting sqref="A1039">
    <cfRule type="cellIs" dxfId="5783" priority="5621" stopIfTrue="1" operator="equal">
      <formula>"Pass"</formula>
    </cfRule>
    <cfRule type="cellIs" dxfId="5782" priority="5622" stopIfTrue="1" operator="equal">
      <formula>"Fail"</formula>
    </cfRule>
  </conditionalFormatting>
  <conditionalFormatting sqref="A1039">
    <cfRule type="cellIs" dxfId="5781" priority="5619" stopIfTrue="1" operator="equal">
      <formula>"Pass"</formula>
    </cfRule>
    <cfRule type="cellIs" dxfId="5780" priority="5620" stopIfTrue="1" operator="equal">
      <formula>"Fail"</formula>
    </cfRule>
  </conditionalFormatting>
  <conditionalFormatting sqref="A1039">
    <cfRule type="cellIs" dxfId="5779" priority="5617" stopIfTrue="1" operator="equal">
      <formula>"Pass"</formula>
    </cfRule>
    <cfRule type="cellIs" dxfId="5778" priority="5618" stopIfTrue="1" operator="equal">
      <formula>"Fail"</formula>
    </cfRule>
  </conditionalFormatting>
  <conditionalFormatting sqref="A1039">
    <cfRule type="cellIs" dxfId="5777" priority="5615" stopIfTrue="1" operator="equal">
      <formula>"Pass"</formula>
    </cfRule>
    <cfRule type="cellIs" dxfId="5776" priority="5616" stopIfTrue="1" operator="equal">
      <formula>"Fail"</formula>
    </cfRule>
  </conditionalFormatting>
  <conditionalFormatting sqref="A1039">
    <cfRule type="cellIs" dxfId="5775" priority="5613" stopIfTrue="1" operator="equal">
      <formula>"Pass"</formula>
    </cfRule>
    <cfRule type="cellIs" dxfId="5774" priority="5614" stopIfTrue="1" operator="equal">
      <formula>"Fail"</formula>
    </cfRule>
  </conditionalFormatting>
  <conditionalFormatting sqref="A1039">
    <cfRule type="cellIs" dxfId="5773" priority="5611" stopIfTrue="1" operator="equal">
      <formula>"Pass"</formula>
    </cfRule>
    <cfRule type="cellIs" dxfId="5772" priority="5612" stopIfTrue="1" operator="equal">
      <formula>"Fail"</formula>
    </cfRule>
  </conditionalFormatting>
  <conditionalFormatting sqref="A1039">
    <cfRule type="cellIs" dxfId="5771" priority="5609" stopIfTrue="1" operator="equal">
      <formula>"Pass"</formula>
    </cfRule>
    <cfRule type="cellIs" dxfId="5770" priority="5610" stopIfTrue="1" operator="equal">
      <formula>"Fail"</formula>
    </cfRule>
  </conditionalFormatting>
  <conditionalFormatting sqref="A1039">
    <cfRule type="cellIs" dxfId="5769" priority="5607" stopIfTrue="1" operator="equal">
      <formula>"Pass"</formula>
    </cfRule>
    <cfRule type="cellIs" dxfId="5768" priority="5608" stopIfTrue="1" operator="equal">
      <formula>"Fail"</formula>
    </cfRule>
  </conditionalFormatting>
  <conditionalFormatting sqref="A1039">
    <cfRule type="cellIs" dxfId="5767" priority="5605" stopIfTrue="1" operator="equal">
      <formula>"Pass"</formula>
    </cfRule>
    <cfRule type="cellIs" dxfId="5766" priority="5606" stopIfTrue="1" operator="equal">
      <formula>"Fail"</formula>
    </cfRule>
  </conditionalFormatting>
  <conditionalFormatting sqref="A1039">
    <cfRule type="cellIs" dxfId="5765" priority="5603" stopIfTrue="1" operator="equal">
      <formula>"Pass"</formula>
    </cfRule>
    <cfRule type="cellIs" dxfId="5764" priority="5604" stopIfTrue="1" operator="equal">
      <formula>"Fail"</formula>
    </cfRule>
  </conditionalFormatting>
  <conditionalFormatting sqref="A1039">
    <cfRule type="cellIs" dxfId="5763" priority="5601" stopIfTrue="1" operator="equal">
      <formula>"Pass"</formula>
    </cfRule>
    <cfRule type="cellIs" dxfId="5762" priority="5602" stopIfTrue="1" operator="equal">
      <formula>"Fail"</formula>
    </cfRule>
  </conditionalFormatting>
  <conditionalFormatting sqref="A1039">
    <cfRule type="cellIs" dxfId="5761" priority="5599" stopIfTrue="1" operator="equal">
      <formula>"Pass"</formula>
    </cfRule>
    <cfRule type="cellIs" dxfId="5760" priority="5600" stopIfTrue="1" operator="equal">
      <formula>"Fail"</formula>
    </cfRule>
  </conditionalFormatting>
  <conditionalFormatting sqref="A1039">
    <cfRule type="cellIs" dxfId="5759" priority="5597" stopIfTrue="1" operator="equal">
      <formula>"Pass"</formula>
    </cfRule>
    <cfRule type="cellIs" dxfId="5758" priority="5598" stopIfTrue="1" operator="equal">
      <formula>"Fail"</formula>
    </cfRule>
  </conditionalFormatting>
  <conditionalFormatting sqref="A1039">
    <cfRule type="cellIs" dxfId="5757" priority="5595" stopIfTrue="1" operator="equal">
      <formula>"Pass"</formula>
    </cfRule>
    <cfRule type="cellIs" dxfId="5756" priority="5596" stopIfTrue="1" operator="equal">
      <formula>"Fail"</formula>
    </cfRule>
  </conditionalFormatting>
  <conditionalFormatting sqref="A1039">
    <cfRule type="cellIs" dxfId="5755" priority="5593" stopIfTrue="1" operator="equal">
      <formula>"Pass"</formula>
    </cfRule>
    <cfRule type="cellIs" dxfId="5754" priority="5594" stopIfTrue="1" operator="equal">
      <formula>"Fail"</formula>
    </cfRule>
  </conditionalFormatting>
  <conditionalFormatting sqref="A1039">
    <cfRule type="cellIs" dxfId="5753" priority="5591" stopIfTrue="1" operator="equal">
      <formula>"Pass"</formula>
    </cfRule>
    <cfRule type="cellIs" dxfId="5752" priority="5592" stopIfTrue="1" operator="equal">
      <formula>"Fail"</formula>
    </cfRule>
  </conditionalFormatting>
  <conditionalFormatting sqref="A1039">
    <cfRule type="cellIs" dxfId="5751" priority="5589" stopIfTrue="1" operator="equal">
      <formula>"Pass"</formula>
    </cfRule>
    <cfRule type="cellIs" dxfId="5750" priority="5590" stopIfTrue="1" operator="equal">
      <formula>"Fail"</formula>
    </cfRule>
  </conditionalFormatting>
  <conditionalFormatting sqref="A1039">
    <cfRule type="cellIs" dxfId="5749" priority="5587" stopIfTrue="1" operator="equal">
      <formula>"Pass"</formula>
    </cfRule>
    <cfRule type="cellIs" dxfId="5748" priority="5588" stopIfTrue="1" operator="equal">
      <formula>"Fail"</formula>
    </cfRule>
  </conditionalFormatting>
  <conditionalFormatting sqref="A1039">
    <cfRule type="cellIs" dxfId="5747" priority="5585" stopIfTrue="1" operator="equal">
      <formula>"Pass"</formula>
    </cfRule>
    <cfRule type="cellIs" dxfId="5746" priority="5586" stopIfTrue="1" operator="equal">
      <formula>"Fail"</formula>
    </cfRule>
  </conditionalFormatting>
  <conditionalFormatting sqref="A1039">
    <cfRule type="cellIs" dxfId="5745" priority="5583" stopIfTrue="1" operator="equal">
      <formula>"Pass"</formula>
    </cfRule>
    <cfRule type="cellIs" dxfId="5744" priority="5584" stopIfTrue="1" operator="equal">
      <formula>"Fail"</formula>
    </cfRule>
  </conditionalFormatting>
  <conditionalFormatting sqref="A1039">
    <cfRule type="cellIs" dxfId="5743" priority="5581" stopIfTrue="1" operator="equal">
      <formula>"Pass"</formula>
    </cfRule>
    <cfRule type="cellIs" dxfId="5742" priority="5582" stopIfTrue="1" operator="equal">
      <formula>"Fail"</formula>
    </cfRule>
  </conditionalFormatting>
  <conditionalFormatting sqref="A1039">
    <cfRule type="cellIs" dxfId="5741" priority="5579" stopIfTrue="1" operator="equal">
      <formula>"Pass"</formula>
    </cfRule>
    <cfRule type="cellIs" dxfId="5740" priority="5580" stopIfTrue="1" operator="equal">
      <formula>"Fail"</formula>
    </cfRule>
  </conditionalFormatting>
  <conditionalFormatting sqref="A1039">
    <cfRule type="cellIs" dxfId="5739" priority="5577" stopIfTrue="1" operator="equal">
      <formula>"Pass"</formula>
    </cfRule>
    <cfRule type="cellIs" dxfId="5738" priority="5578" stopIfTrue="1" operator="equal">
      <formula>"Fail"</formula>
    </cfRule>
  </conditionalFormatting>
  <conditionalFormatting sqref="A1039">
    <cfRule type="cellIs" dxfId="5737" priority="5575" stopIfTrue="1" operator="equal">
      <formula>"Pass"</formula>
    </cfRule>
    <cfRule type="cellIs" dxfId="5736" priority="5576" stopIfTrue="1" operator="equal">
      <formula>"Fail"</formula>
    </cfRule>
  </conditionalFormatting>
  <conditionalFormatting sqref="A1039">
    <cfRule type="cellIs" dxfId="5735" priority="5573" stopIfTrue="1" operator="equal">
      <formula>"Pass"</formula>
    </cfRule>
    <cfRule type="cellIs" dxfId="5734" priority="5574" stopIfTrue="1" operator="equal">
      <formula>"Fail"</formula>
    </cfRule>
  </conditionalFormatting>
  <conditionalFormatting sqref="A1039">
    <cfRule type="cellIs" dxfId="5733" priority="5571" stopIfTrue="1" operator="equal">
      <formula>"Pass"</formula>
    </cfRule>
    <cfRule type="cellIs" dxfId="5732" priority="5572" stopIfTrue="1" operator="equal">
      <formula>"Fail"</formula>
    </cfRule>
  </conditionalFormatting>
  <conditionalFormatting sqref="A1039">
    <cfRule type="cellIs" dxfId="5731" priority="5569" stopIfTrue="1" operator="equal">
      <formula>"Pass"</formula>
    </cfRule>
    <cfRule type="cellIs" dxfId="5730" priority="5570" stopIfTrue="1" operator="equal">
      <formula>"Fail"</formula>
    </cfRule>
  </conditionalFormatting>
  <conditionalFormatting sqref="A1039:A1041">
    <cfRule type="cellIs" dxfId="5729" priority="5567" stopIfTrue="1" operator="equal">
      <formula>"Pass"</formula>
    </cfRule>
    <cfRule type="cellIs" dxfId="5728" priority="5568" stopIfTrue="1" operator="equal">
      <formula>"Fail"</formula>
    </cfRule>
  </conditionalFormatting>
  <conditionalFormatting sqref="A1039:A1041">
    <cfRule type="cellIs" dxfId="5727" priority="5565" stopIfTrue="1" operator="equal">
      <formula>"Pass"</formula>
    </cfRule>
    <cfRule type="cellIs" dxfId="5726" priority="5566" stopIfTrue="1" operator="equal">
      <formula>"Fail"</formula>
    </cfRule>
  </conditionalFormatting>
  <conditionalFormatting sqref="A1039:A1041">
    <cfRule type="cellIs" dxfId="5725" priority="5563" stopIfTrue="1" operator="equal">
      <formula>"Pass"</formula>
    </cfRule>
    <cfRule type="cellIs" dxfId="5724" priority="5564" stopIfTrue="1" operator="equal">
      <formula>"Fail"</formula>
    </cfRule>
  </conditionalFormatting>
  <conditionalFormatting sqref="A1039:A1041">
    <cfRule type="cellIs" dxfId="5723" priority="5561" stopIfTrue="1" operator="equal">
      <formula>"Pass"</formula>
    </cfRule>
    <cfRule type="cellIs" dxfId="5722" priority="5562" stopIfTrue="1" operator="equal">
      <formula>"Fail"</formula>
    </cfRule>
  </conditionalFormatting>
  <conditionalFormatting sqref="A1039:A1041">
    <cfRule type="cellIs" dxfId="5721" priority="5559" stopIfTrue="1" operator="equal">
      <formula>"Pass"</formula>
    </cfRule>
    <cfRule type="cellIs" dxfId="5720" priority="5560" stopIfTrue="1" operator="equal">
      <formula>"Fail"</formula>
    </cfRule>
  </conditionalFormatting>
  <conditionalFormatting sqref="A1041">
    <cfRule type="cellIs" dxfId="5719" priority="5557" stopIfTrue="1" operator="equal">
      <formula>"Pass"</formula>
    </cfRule>
    <cfRule type="cellIs" dxfId="5718" priority="5558" stopIfTrue="1" operator="equal">
      <formula>"Fail"</formula>
    </cfRule>
  </conditionalFormatting>
  <conditionalFormatting sqref="A1039:A1041">
    <cfRule type="cellIs" dxfId="5717" priority="5555" stopIfTrue="1" operator="equal">
      <formula>"Pass"</formula>
    </cfRule>
    <cfRule type="cellIs" dxfId="5716" priority="5556" stopIfTrue="1" operator="equal">
      <formula>"Fail"</formula>
    </cfRule>
  </conditionalFormatting>
  <conditionalFormatting sqref="A1039:A1041">
    <cfRule type="cellIs" dxfId="5715" priority="5553" stopIfTrue="1" operator="equal">
      <formula>"Pass"</formula>
    </cfRule>
    <cfRule type="cellIs" dxfId="5714" priority="5554" stopIfTrue="1" operator="equal">
      <formula>"Fail"</formula>
    </cfRule>
  </conditionalFormatting>
  <conditionalFormatting sqref="A1039:A1041">
    <cfRule type="cellIs" dxfId="5713" priority="5551" stopIfTrue="1" operator="equal">
      <formula>"Pass"</formula>
    </cfRule>
    <cfRule type="cellIs" dxfId="5712" priority="5552" stopIfTrue="1" operator="equal">
      <formula>"Fail"</formula>
    </cfRule>
  </conditionalFormatting>
  <conditionalFormatting sqref="A1039:A1041">
    <cfRule type="cellIs" dxfId="5711" priority="5549" stopIfTrue="1" operator="equal">
      <formula>"Pass"</formula>
    </cfRule>
    <cfRule type="cellIs" dxfId="5710" priority="5550" stopIfTrue="1" operator="equal">
      <formula>"Fail"</formula>
    </cfRule>
  </conditionalFormatting>
  <conditionalFormatting sqref="A1039:A1041">
    <cfRule type="cellIs" dxfId="5709" priority="5547" stopIfTrue="1" operator="equal">
      <formula>"Pass"</formula>
    </cfRule>
    <cfRule type="cellIs" dxfId="5708" priority="5548" stopIfTrue="1" operator="equal">
      <formula>"Fail"</formula>
    </cfRule>
  </conditionalFormatting>
  <conditionalFormatting sqref="A1039:A1041">
    <cfRule type="cellIs" dxfId="5707" priority="5545" stopIfTrue="1" operator="equal">
      <formula>"Pass"</formula>
    </cfRule>
    <cfRule type="cellIs" dxfId="5706" priority="5546" stopIfTrue="1" operator="equal">
      <formula>"Fail"</formula>
    </cfRule>
  </conditionalFormatting>
  <conditionalFormatting sqref="A1041">
    <cfRule type="cellIs" dxfId="5705" priority="5543" stopIfTrue="1" operator="equal">
      <formula>"Pass"</formula>
    </cfRule>
    <cfRule type="cellIs" dxfId="5704" priority="5544" stopIfTrue="1" operator="equal">
      <formula>"Fail"</formula>
    </cfRule>
  </conditionalFormatting>
  <conditionalFormatting sqref="A1039:A1041">
    <cfRule type="cellIs" dxfId="5703" priority="5541" stopIfTrue="1" operator="equal">
      <formula>"Pass"</formula>
    </cfRule>
    <cfRule type="cellIs" dxfId="5702" priority="5542" stopIfTrue="1" operator="equal">
      <formula>"Fail"</formula>
    </cfRule>
  </conditionalFormatting>
  <conditionalFormatting sqref="A1039:A1041">
    <cfRule type="cellIs" dxfId="5701" priority="5539" stopIfTrue="1" operator="equal">
      <formula>"Pass"</formula>
    </cfRule>
    <cfRule type="cellIs" dxfId="5700" priority="5540" stopIfTrue="1" operator="equal">
      <formula>"Fail"</formula>
    </cfRule>
  </conditionalFormatting>
  <conditionalFormatting sqref="A1039:A1041">
    <cfRule type="cellIs" dxfId="5699" priority="5537" stopIfTrue="1" operator="equal">
      <formula>"Pass"</formula>
    </cfRule>
    <cfRule type="cellIs" dxfId="5698" priority="5538" stopIfTrue="1" operator="equal">
      <formula>"Fail"</formula>
    </cfRule>
  </conditionalFormatting>
  <conditionalFormatting sqref="A1039:A1041">
    <cfRule type="cellIs" dxfId="5697" priority="5535" stopIfTrue="1" operator="equal">
      <formula>"Pass"</formula>
    </cfRule>
    <cfRule type="cellIs" dxfId="5696" priority="5536" stopIfTrue="1" operator="equal">
      <formula>"Fail"</formula>
    </cfRule>
  </conditionalFormatting>
  <conditionalFormatting sqref="A1039:A1041">
    <cfRule type="cellIs" dxfId="5695" priority="5533" stopIfTrue="1" operator="equal">
      <formula>"Pass"</formula>
    </cfRule>
    <cfRule type="cellIs" dxfId="5694" priority="5534" stopIfTrue="1" operator="equal">
      <formula>"Fail"</formula>
    </cfRule>
  </conditionalFormatting>
  <conditionalFormatting sqref="A1039:A1041">
    <cfRule type="cellIs" dxfId="5693" priority="5531" stopIfTrue="1" operator="equal">
      <formula>"Pass"</formula>
    </cfRule>
    <cfRule type="cellIs" dxfId="5692" priority="5532" stopIfTrue="1" operator="equal">
      <formula>"Fail"</formula>
    </cfRule>
  </conditionalFormatting>
  <conditionalFormatting sqref="A1041">
    <cfRule type="cellIs" dxfId="5691" priority="5529" stopIfTrue="1" operator="equal">
      <formula>"Pass"</formula>
    </cfRule>
    <cfRule type="cellIs" dxfId="5690" priority="5530" stopIfTrue="1" operator="equal">
      <formula>"Fail"</formula>
    </cfRule>
  </conditionalFormatting>
  <conditionalFormatting sqref="A1039:A1041">
    <cfRule type="cellIs" dxfId="5689" priority="5527" stopIfTrue="1" operator="equal">
      <formula>"Pass"</formula>
    </cfRule>
    <cfRule type="cellIs" dxfId="5688" priority="5528" stopIfTrue="1" operator="equal">
      <formula>"Fail"</formula>
    </cfRule>
  </conditionalFormatting>
  <conditionalFormatting sqref="A1039:A1041">
    <cfRule type="cellIs" dxfId="5687" priority="5525" stopIfTrue="1" operator="equal">
      <formula>"Pass"</formula>
    </cfRule>
    <cfRule type="cellIs" dxfId="5686" priority="5526" stopIfTrue="1" operator="equal">
      <formula>"Fail"</formula>
    </cfRule>
  </conditionalFormatting>
  <conditionalFormatting sqref="A1039:A1041">
    <cfRule type="cellIs" dxfId="5685" priority="5523" stopIfTrue="1" operator="equal">
      <formula>"Pass"</formula>
    </cfRule>
    <cfRule type="cellIs" dxfId="5684" priority="5524" stopIfTrue="1" operator="equal">
      <formula>"Fail"</formula>
    </cfRule>
  </conditionalFormatting>
  <conditionalFormatting sqref="A1039:A1041">
    <cfRule type="cellIs" dxfId="5683" priority="5521" stopIfTrue="1" operator="equal">
      <formula>"Pass"</formula>
    </cfRule>
    <cfRule type="cellIs" dxfId="5682" priority="5522" stopIfTrue="1" operator="equal">
      <formula>"Fail"</formula>
    </cfRule>
  </conditionalFormatting>
  <conditionalFormatting sqref="A1039:A1041">
    <cfRule type="cellIs" dxfId="5681" priority="5519" stopIfTrue="1" operator="equal">
      <formula>"Pass"</formula>
    </cfRule>
    <cfRule type="cellIs" dxfId="5680" priority="5520" stopIfTrue="1" operator="equal">
      <formula>"Fail"</formula>
    </cfRule>
  </conditionalFormatting>
  <conditionalFormatting sqref="A1039:A1041">
    <cfRule type="cellIs" dxfId="5679" priority="5517" stopIfTrue="1" operator="equal">
      <formula>"Pass"</formula>
    </cfRule>
    <cfRule type="cellIs" dxfId="5678" priority="5518" stopIfTrue="1" operator="equal">
      <formula>"Fail"</formula>
    </cfRule>
  </conditionalFormatting>
  <conditionalFormatting sqref="A1041">
    <cfRule type="cellIs" dxfId="5677" priority="5515" stopIfTrue="1" operator="equal">
      <formula>"Pass"</formula>
    </cfRule>
    <cfRule type="cellIs" dxfId="5676" priority="5516" stopIfTrue="1" operator="equal">
      <formula>"Fail"</formula>
    </cfRule>
  </conditionalFormatting>
  <conditionalFormatting sqref="A1039:A1041">
    <cfRule type="cellIs" dxfId="5675" priority="5513" stopIfTrue="1" operator="equal">
      <formula>"Pass"</formula>
    </cfRule>
    <cfRule type="cellIs" dxfId="5674" priority="5514" stopIfTrue="1" operator="equal">
      <formula>"Fail"</formula>
    </cfRule>
  </conditionalFormatting>
  <conditionalFormatting sqref="A1039:A1041">
    <cfRule type="cellIs" dxfId="5673" priority="5511" stopIfTrue="1" operator="equal">
      <formula>"Pass"</formula>
    </cfRule>
    <cfRule type="cellIs" dxfId="5672" priority="5512" stopIfTrue="1" operator="equal">
      <formula>"Fail"</formula>
    </cfRule>
  </conditionalFormatting>
  <conditionalFormatting sqref="A1039:A1041">
    <cfRule type="cellIs" dxfId="5671" priority="5509" stopIfTrue="1" operator="equal">
      <formula>"Pass"</formula>
    </cfRule>
    <cfRule type="cellIs" dxfId="5670" priority="5510" stopIfTrue="1" operator="equal">
      <formula>"Fail"</formula>
    </cfRule>
  </conditionalFormatting>
  <conditionalFormatting sqref="A1039:A1041">
    <cfRule type="cellIs" dxfId="5669" priority="5507" stopIfTrue="1" operator="equal">
      <formula>"Pass"</formula>
    </cfRule>
    <cfRule type="cellIs" dxfId="5668" priority="5508" stopIfTrue="1" operator="equal">
      <formula>"Fail"</formula>
    </cfRule>
  </conditionalFormatting>
  <conditionalFormatting sqref="A1039:A1041">
    <cfRule type="cellIs" dxfId="5667" priority="5505" stopIfTrue="1" operator="equal">
      <formula>"Pass"</formula>
    </cfRule>
    <cfRule type="cellIs" dxfId="5666" priority="5506" stopIfTrue="1" operator="equal">
      <formula>"Fail"</formula>
    </cfRule>
  </conditionalFormatting>
  <conditionalFormatting sqref="A1039:A1041">
    <cfRule type="cellIs" dxfId="5665" priority="5503" stopIfTrue="1" operator="equal">
      <formula>"Pass"</formula>
    </cfRule>
    <cfRule type="cellIs" dxfId="5664" priority="5504" stopIfTrue="1" operator="equal">
      <formula>"Fail"</formula>
    </cfRule>
  </conditionalFormatting>
  <conditionalFormatting sqref="A1041">
    <cfRule type="cellIs" dxfId="5663" priority="5501" stopIfTrue="1" operator="equal">
      <formula>"Pass"</formula>
    </cfRule>
    <cfRule type="cellIs" dxfId="5662" priority="5502" stopIfTrue="1" operator="equal">
      <formula>"Fail"</formula>
    </cfRule>
  </conditionalFormatting>
  <conditionalFormatting sqref="A1039:A1041">
    <cfRule type="cellIs" dxfId="5661" priority="5499" stopIfTrue="1" operator="equal">
      <formula>"Pass"</formula>
    </cfRule>
    <cfRule type="cellIs" dxfId="5660" priority="5500" stopIfTrue="1" operator="equal">
      <formula>"Fail"</formula>
    </cfRule>
  </conditionalFormatting>
  <conditionalFormatting sqref="A1039:A1041">
    <cfRule type="cellIs" dxfId="5659" priority="5497" stopIfTrue="1" operator="equal">
      <formula>"Pass"</formula>
    </cfRule>
    <cfRule type="cellIs" dxfId="5658" priority="5498" stopIfTrue="1" operator="equal">
      <formula>"Fail"</formula>
    </cfRule>
  </conditionalFormatting>
  <conditionalFormatting sqref="A1039:A1041">
    <cfRule type="cellIs" dxfId="5657" priority="5495" stopIfTrue="1" operator="equal">
      <formula>"Pass"</formula>
    </cfRule>
    <cfRule type="cellIs" dxfId="5656" priority="5496" stopIfTrue="1" operator="equal">
      <formula>"Fail"</formula>
    </cfRule>
  </conditionalFormatting>
  <conditionalFormatting sqref="A1039:A1041">
    <cfRule type="cellIs" dxfId="5655" priority="5493" stopIfTrue="1" operator="equal">
      <formula>"Pass"</formula>
    </cfRule>
    <cfRule type="cellIs" dxfId="5654" priority="5494" stopIfTrue="1" operator="equal">
      <formula>"Fail"</formula>
    </cfRule>
  </conditionalFormatting>
  <conditionalFormatting sqref="A1039:A1041">
    <cfRule type="cellIs" dxfId="5653" priority="5491" stopIfTrue="1" operator="equal">
      <formula>"Pass"</formula>
    </cfRule>
    <cfRule type="cellIs" dxfId="5652" priority="5492" stopIfTrue="1" operator="equal">
      <formula>"Fail"</formula>
    </cfRule>
  </conditionalFormatting>
  <conditionalFormatting sqref="A1039:A1041">
    <cfRule type="cellIs" dxfId="5651" priority="5489" stopIfTrue="1" operator="equal">
      <formula>"Pass"</formula>
    </cfRule>
    <cfRule type="cellIs" dxfId="5650" priority="5490" stopIfTrue="1" operator="equal">
      <formula>"Fail"</formula>
    </cfRule>
  </conditionalFormatting>
  <conditionalFormatting sqref="A1041">
    <cfRule type="cellIs" dxfId="5649" priority="5487" stopIfTrue="1" operator="equal">
      <formula>"Pass"</formula>
    </cfRule>
    <cfRule type="cellIs" dxfId="5648" priority="5488" stopIfTrue="1" operator="equal">
      <formula>"Fail"</formula>
    </cfRule>
  </conditionalFormatting>
  <conditionalFormatting sqref="A1039:A1041">
    <cfRule type="cellIs" dxfId="5647" priority="5485" stopIfTrue="1" operator="equal">
      <formula>"Pass"</formula>
    </cfRule>
    <cfRule type="cellIs" dxfId="5646" priority="5486" stopIfTrue="1" operator="equal">
      <formula>"Fail"</formula>
    </cfRule>
  </conditionalFormatting>
  <conditionalFormatting sqref="A1039">
    <cfRule type="cellIs" dxfId="5645" priority="5483" stopIfTrue="1" operator="equal">
      <formula>"Pass"</formula>
    </cfRule>
    <cfRule type="cellIs" dxfId="5644" priority="5484" stopIfTrue="1" operator="equal">
      <formula>"Fail"</formula>
    </cfRule>
  </conditionalFormatting>
  <conditionalFormatting sqref="A1039">
    <cfRule type="cellIs" dxfId="5643" priority="5481" stopIfTrue="1" operator="equal">
      <formula>"Pass"</formula>
    </cfRule>
    <cfRule type="cellIs" dxfId="5642" priority="5482" stopIfTrue="1" operator="equal">
      <formula>"Fail"</formula>
    </cfRule>
  </conditionalFormatting>
  <conditionalFormatting sqref="A1039">
    <cfRule type="cellIs" dxfId="5641" priority="5479" stopIfTrue="1" operator="equal">
      <formula>"Pass"</formula>
    </cfRule>
    <cfRule type="cellIs" dxfId="5640" priority="5480" stopIfTrue="1" operator="equal">
      <formula>"Fail"</formula>
    </cfRule>
  </conditionalFormatting>
  <conditionalFormatting sqref="A1039">
    <cfRule type="cellIs" dxfId="5639" priority="5477" stopIfTrue="1" operator="equal">
      <formula>"Pass"</formula>
    </cfRule>
    <cfRule type="cellIs" dxfId="5638" priority="5478" stopIfTrue="1" operator="equal">
      <formula>"Fail"</formula>
    </cfRule>
  </conditionalFormatting>
  <conditionalFormatting sqref="A1039">
    <cfRule type="cellIs" dxfId="5637" priority="5475" stopIfTrue="1" operator="equal">
      <formula>"Pass"</formula>
    </cfRule>
    <cfRule type="cellIs" dxfId="5636" priority="5476" stopIfTrue="1" operator="equal">
      <formula>"Fail"</formula>
    </cfRule>
  </conditionalFormatting>
  <conditionalFormatting sqref="A1039">
    <cfRule type="cellIs" dxfId="5635" priority="5473" stopIfTrue="1" operator="equal">
      <formula>"Pass"</formula>
    </cfRule>
    <cfRule type="cellIs" dxfId="5634" priority="5474" stopIfTrue="1" operator="equal">
      <formula>"Fail"</formula>
    </cfRule>
  </conditionalFormatting>
  <conditionalFormatting sqref="A1039">
    <cfRule type="cellIs" dxfId="5633" priority="5471" stopIfTrue="1" operator="equal">
      <formula>"Pass"</formula>
    </cfRule>
    <cfRule type="cellIs" dxfId="5632" priority="5472" stopIfTrue="1" operator="equal">
      <formula>"Fail"</formula>
    </cfRule>
  </conditionalFormatting>
  <conditionalFormatting sqref="A1039">
    <cfRule type="cellIs" dxfId="5631" priority="5469" stopIfTrue="1" operator="equal">
      <formula>"Pass"</formula>
    </cfRule>
    <cfRule type="cellIs" dxfId="5630" priority="5470" stopIfTrue="1" operator="equal">
      <formula>"Fail"</formula>
    </cfRule>
  </conditionalFormatting>
  <conditionalFormatting sqref="A1039">
    <cfRule type="cellIs" dxfId="5629" priority="5467" stopIfTrue="1" operator="equal">
      <formula>"Pass"</formula>
    </cfRule>
    <cfRule type="cellIs" dxfId="5628" priority="5468" stopIfTrue="1" operator="equal">
      <formula>"Fail"</formula>
    </cfRule>
  </conditionalFormatting>
  <conditionalFormatting sqref="A1039">
    <cfRule type="cellIs" dxfId="5627" priority="5465" stopIfTrue="1" operator="equal">
      <formula>"Pass"</formula>
    </cfRule>
    <cfRule type="cellIs" dxfId="5626" priority="5466" stopIfTrue="1" operator="equal">
      <formula>"Fail"</formula>
    </cfRule>
  </conditionalFormatting>
  <conditionalFormatting sqref="A1039">
    <cfRule type="cellIs" dxfId="5625" priority="5463" stopIfTrue="1" operator="equal">
      <formula>"Pass"</formula>
    </cfRule>
    <cfRule type="cellIs" dxfId="5624" priority="5464" stopIfTrue="1" operator="equal">
      <formula>"Fail"</formula>
    </cfRule>
  </conditionalFormatting>
  <conditionalFormatting sqref="A1039">
    <cfRule type="cellIs" dxfId="5623" priority="5461" stopIfTrue="1" operator="equal">
      <formula>"Pass"</formula>
    </cfRule>
    <cfRule type="cellIs" dxfId="5622" priority="5462" stopIfTrue="1" operator="equal">
      <formula>"Fail"</formula>
    </cfRule>
  </conditionalFormatting>
  <conditionalFormatting sqref="A1039">
    <cfRule type="cellIs" dxfId="5621" priority="5459" stopIfTrue="1" operator="equal">
      <formula>"Pass"</formula>
    </cfRule>
    <cfRule type="cellIs" dxfId="5620" priority="5460" stopIfTrue="1" operator="equal">
      <formula>"Fail"</formula>
    </cfRule>
  </conditionalFormatting>
  <conditionalFormatting sqref="A1039">
    <cfRule type="cellIs" dxfId="5619" priority="5457" stopIfTrue="1" operator="equal">
      <formula>"Pass"</formula>
    </cfRule>
    <cfRule type="cellIs" dxfId="5618" priority="5458" stopIfTrue="1" operator="equal">
      <formula>"Fail"</formula>
    </cfRule>
  </conditionalFormatting>
  <conditionalFormatting sqref="A1039">
    <cfRule type="cellIs" dxfId="5617" priority="5455" stopIfTrue="1" operator="equal">
      <formula>"Pass"</formula>
    </cfRule>
    <cfRule type="cellIs" dxfId="5616" priority="5456" stopIfTrue="1" operator="equal">
      <formula>"Fail"</formula>
    </cfRule>
  </conditionalFormatting>
  <conditionalFormatting sqref="A1039">
    <cfRule type="cellIs" dxfId="5615" priority="5453" stopIfTrue="1" operator="equal">
      <formula>"Pass"</formula>
    </cfRule>
    <cfRule type="cellIs" dxfId="5614" priority="5454" stopIfTrue="1" operator="equal">
      <formula>"Fail"</formula>
    </cfRule>
  </conditionalFormatting>
  <conditionalFormatting sqref="A1039">
    <cfRule type="cellIs" dxfId="5613" priority="5451" stopIfTrue="1" operator="equal">
      <formula>"Pass"</formula>
    </cfRule>
    <cfRule type="cellIs" dxfId="5612" priority="5452" stopIfTrue="1" operator="equal">
      <formula>"Fail"</formula>
    </cfRule>
  </conditionalFormatting>
  <conditionalFormatting sqref="A1039">
    <cfRule type="cellIs" dxfId="5611" priority="5449" stopIfTrue="1" operator="equal">
      <formula>"Pass"</formula>
    </cfRule>
    <cfRule type="cellIs" dxfId="5610" priority="5450" stopIfTrue="1" operator="equal">
      <formula>"Fail"</formula>
    </cfRule>
  </conditionalFormatting>
  <conditionalFormatting sqref="A1039">
    <cfRule type="cellIs" dxfId="5609" priority="5447" stopIfTrue="1" operator="equal">
      <formula>"Pass"</formula>
    </cfRule>
    <cfRule type="cellIs" dxfId="5608" priority="5448" stopIfTrue="1" operator="equal">
      <formula>"Fail"</formula>
    </cfRule>
  </conditionalFormatting>
  <conditionalFormatting sqref="A1039">
    <cfRule type="cellIs" dxfId="5607" priority="5445" stopIfTrue="1" operator="equal">
      <formula>"Pass"</formula>
    </cfRule>
    <cfRule type="cellIs" dxfId="5606" priority="5446" stopIfTrue="1" operator="equal">
      <formula>"Fail"</formula>
    </cfRule>
  </conditionalFormatting>
  <conditionalFormatting sqref="A1039">
    <cfRule type="cellIs" dxfId="5605" priority="5443" stopIfTrue="1" operator="equal">
      <formula>"Pass"</formula>
    </cfRule>
    <cfRule type="cellIs" dxfId="5604" priority="5444" stopIfTrue="1" operator="equal">
      <formula>"Fail"</formula>
    </cfRule>
  </conditionalFormatting>
  <conditionalFormatting sqref="A1039">
    <cfRule type="cellIs" dxfId="5603" priority="5441" stopIfTrue="1" operator="equal">
      <formula>"Pass"</formula>
    </cfRule>
    <cfRule type="cellIs" dxfId="5602" priority="5442" stopIfTrue="1" operator="equal">
      <formula>"Fail"</formula>
    </cfRule>
  </conditionalFormatting>
  <conditionalFormatting sqref="A1039">
    <cfRule type="cellIs" dxfId="5601" priority="5439" stopIfTrue="1" operator="equal">
      <formula>"Pass"</formula>
    </cfRule>
    <cfRule type="cellIs" dxfId="5600" priority="5440" stopIfTrue="1" operator="equal">
      <formula>"Fail"</formula>
    </cfRule>
  </conditionalFormatting>
  <conditionalFormatting sqref="A1039">
    <cfRule type="cellIs" dxfId="5599" priority="5437" stopIfTrue="1" operator="equal">
      <formula>"Pass"</formula>
    </cfRule>
    <cfRule type="cellIs" dxfId="5598" priority="5438" stopIfTrue="1" operator="equal">
      <formula>"Fail"</formula>
    </cfRule>
  </conditionalFormatting>
  <conditionalFormatting sqref="A1039">
    <cfRule type="cellIs" dxfId="5597" priority="5435" stopIfTrue="1" operator="equal">
      <formula>"Pass"</formula>
    </cfRule>
    <cfRule type="cellIs" dxfId="5596" priority="5436" stopIfTrue="1" operator="equal">
      <formula>"Fail"</formula>
    </cfRule>
  </conditionalFormatting>
  <conditionalFormatting sqref="A1039">
    <cfRule type="cellIs" dxfId="5595" priority="5433" stopIfTrue="1" operator="equal">
      <formula>"Pass"</formula>
    </cfRule>
    <cfRule type="cellIs" dxfId="5594" priority="5434" stopIfTrue="1" operator="equal">
      <formula>"Fail"</formula>
    </cfRule>
  </conditionalFormatting>
  <conditionalFormatting sqref="A1039">
    <cfRule type="cellIs" dxfId="5593" priority="5431" stopIfTrue="1" operator="equal">
      <formula>"Pass"</formula>
    </cfRule>
    <cfRule type="cellIs" dxfId="5592" priority="5432" stopIfTrue="1" operator="equal">
      <formula>"Fail"</formula>
    </cfRule>
  </conditionalFormatting>
  <conditionalFormatting sqref="A1039">
    <cfRule type="cellIs" dxfId="5591" priority="5429" stopIfTrue="1" operator="equal">
      <formula>"Pass"</formula>
    </cfRule>
    <cfRule type="cellIs" dxfId="5590" priority="5430" stopIfTrue="1" operator="equal">
      <formula>"Fail"</formula>
    </cfRule>
  </conditionalFormatting>
  <conditionalFormatting sqref="A1039">
    <cfRule type="cellIs" dxfId="5589" priority="5427" stopIfTrue="1" operator="equal">
      <formula>"Pass"</formula>
    </cfRule>
    <cfRule type="cellIs" dxfId="5588" priority="5428" stopIfTrue="1" operator="equal">
      <formula>"Fail"</formula>
    </cfRule>
  </conditionalFormatting>
  <conditionalFormatting sqref="A1039">
    <cfRule type="cellIs" dxfId="5587" priority="5425" stopIfTrue="1" operator="equal">
      <formula>"Pass"</formula>
    </cfRule>
    <cfRule type="cellIs" dxfId="5586" priority="5426" stopIfTrue="1" operator="equal">
      <formula>"Fail"</formula>
    </cfRule>
  </conditionalFormatting>
  <conditionalFormatting sqref="A1039">
    <cfRule type="cellIs" dxfId="5585" priority="5423" stopIfTrue="1" operator="equal">
      <formula>"Pass"</formula>
    </cfRule>
    <cfRule type="cellIs" dxfId="5584" priority="5424" stopIfTrue="1" operator="equal">
      <formula>"Fail"</formula>
    </cfRule>
  </conditionalFormatting>
  <conditionalFormatting sqref="A1039">
    <cfRule type="cellIs" dxfId="5583" priority="5421" stopIfTrue="1" operator="equal">
      <formula>"Pass"</formula>
    </cfRule>
    <cfRule type="cellIs" dxfId="5582" priority="5422" stopIfTrue="1" operator="equal">
      <formula>"Fail"</formula>
    </cfRule>
  </conditionalFormatting>
  <conditionalFormatting sqref="A1039">
    <cfRule type="cellIs" dxfId="5581" priority="5419" stopIfTrue="1" operator="equal">
      <formula>"Pass"</formula>
    </cfRule>
    <cfRule type="cellIs" dxfId="5580" priority="5420" stopIfTrue="1" operator="equal">
      <formula>"Fail"</formula>
    </cfRule>
  </conditionalFormatting>
  <conditionalFormatting sqref="A1039">
    <cfRule type="cellIs" dxfId="5579" priority="5417" stopIfTrue="1" operator="equal">
      <formula>"Pass"</formula>
    </cfRule>
    <cfRule type="cellIs" dxfId="5578" priority="5418" stopIfTrue="1" operator="equal">
      <formula>"Fail"</formula>
    </cfRule>
  </conditionalFormatting>
  <conditionalFormatting sqref="A1039">
    <cfRule type="cellIs" dxfId="5577" priority="5415" stopIfTrue="1" operator="equal">
      <formula>"Pass"</formula>
    </cfRule>
    <cfRule type="cellIs" dxfId="5576" priority="5416" stopIfTrue="1" operator="equal">
      <formula>"Fail"</formula>
    </cfRule>
  </conditionalFormatting>
  <conditionalFormatting sqref="A1039">
    <cfRule type="cellIs" dxfId="5575" priority="5413" stopIfTrue="1" operator="equal">
      <formula>"Pass"</formula>
    </cfRule>
    <cfRule type="cellIs" dxfId="5574" priority="5414" stopIfTrue="1" operator="equal">
      <formula>"Fail"</formula>
    </cfRule>
  </conditionalFormatting>
  <conditionalFormatting sqref="A1039">
    <cfRule type="cellIs" dxfId="5573" priority="5411" stopIfTrue="1" operator="equal">
      <formula>"Pass"</formula>
    </cfRule>
    <cfRule type="cellIs" dxfId="5572" priority="5412" stopIfTrue="1" operator="equal">
      <formula>"Fail"</formula>
    </cfRule>
  </conditionalFormatting>
  <conditionalFormatting sqref="A1039">
    <cfRule type="cellIs" dxfId="5571" priority="5409" stopIfTrue="1" operator="equal">
      <formula>"Pass"</formula>
    </cfRule>
    <cfRule type="cellIs" dxfId="5570" priority="5410" stopIfTrue="1" operator="equal">
      <formula>"Fail"</formula>
    </cfRule>
  </conditionalFormatting>
  <conditionalFormatting sqref="A1039">
    <cfRule type="cellIs" dxfId="5569" priority="5407" stopIfTrue="1" operator="equal">
      <formula>"Pass"</formula>
    </cfRule>
    <cfRule type="cellIs" dxfId="5568" priority="5408" stopIfTrue="1" operator="equal">
      <formula>"Fail"</formula>
    </cfRule>
  </conditionalFormatting>
  <conditionalFormatting sqref="A1039">
    <cfRule type="cellIs" dxfId="5567" priority="5405" stopIfTrue="1" operator="equal">
      <formula>"Pass"</formula>
    </cfRule>
    <cfRule type="cellIs" dxfId="5566" priority="5406" stopIfTrue="1" operator="equal">
      <formula>"Fail"</formula>
    </cfRule>
  </conditionalFormatting>
  <conditionalFormatting sqref="A1039">
    <cfRule type="cellIs" dxfId="5565" priority="5403" stopIfTrue="1" operator="equal">
      <formula>"Pass"</formula>
    </cfRule>
    <cfRule type="cellIs" dxfId="5564" priority="5404" stopIfTrue="1" operator="equal">
      <formula>"Fail"</formula>
    </cfRule>
  </conditionalFormatting>
  <conditionalFormatting sqref="A1039">
    <cfRule type="cellIs" dxfId="5563" priority="5401" stopIfTrue="1" operator="equal">
      <formula>"Pass"</formula>
    </cfRule>
    <cfRule type="cellIs" dxfId="5562" priority="5402" stopIfTrue="1" operator="equal">
      <formula>"Fail"</formula>
    </cfRule>
  </conditionalFormatting>
  <conditionalFormatting sqref="A1039">
    <cfRule type="cellIs" dxfId="5561" priority="5399" stopIfTrue="1" operator="equal">
      <formula>"Pass"</formula>
    </cfRule>
    <cfRule type="cellIs" dxfId="5560" priority="5400" stopIfTrue="1" operator="equal">
      <formula>"Fail"</formula>
    </cfRule>
  </conditionalFormatting>
  <conditionalFormatting sqref="A1039">
    <cfRule type="cellIs" dxfId="5559" priority="5397" stopIfTrue="1" operator="equal">
      <formula>"Pass"</formula>
    </cfRule>
    <cfRule type="cellIs" dxfId="5558" priority="5398" stopIfTrue="1" operator="equal">
      <formula>"Fail"</formula>
    </cfRule>
  </conditionalFormatting>
  <conditionalFormatting sqref="A1039">
    <cfRule type="cellIs" dxfId="5557" priority="5395" stopIfTrue="1" operator="equal">
      <formula>"Pass"</formula>
    </cfRule>
    <cfRule type="cellIs" dxfId="5556" priority="5396" stopIfTrue="1" operator="equal">
      <formula>"Fail"</formula>
    </cfRule>
  </conditionalFormatting>
  <conditionalFormatting sqref="A1039">
    <cfRule type="cellIs" dxfId="5555" priority="5393" stopIfTrue="1" operator="equal">
      <formula>"Pass"</formula>
    </cfRule>
    <cfRule type="cellIs" dxfId="5554" priority="5394" stopIfTrue="1" operator="equal">
      <formula>"Fail"</formula>
    </cfRule>
  </conditionalFormatting>
  <conditionalFormatting sqref="A1039">
    <cfRule type="cellIs" dxfId="5553" priority="5391" stopIfTrue="1" operator="equal">
      <formula>"Pass"</formula>
    </cfRule>
    <cfRule type="cellIs" dxfId="5552" priority="5392" stopIfTrue="1" operator="equal">
      <formula>"Fail"</formula>
    </cfRule>
  </conditionalFormatting>
  <conditionalFormatting sqref="A1039">
    <cfRule type="cellIs" dxfId="5551" priority="5389" stopIfTrue="1" operator="equal">
      <formula>"Pass"</formula>
    </cfRule>
    <cfRule type="cellIs" dxfId="5550" priority="5390" stopIfTrue="1" operator="equal">
      <formula>"Fail"</formula>
    </cfRule>
  </conditionalFormatting>
  <conditionalFormatting sqref="A1042:A1044">
    <cfRule type="cellIs" dxfId="5549" priority="5387" stopIfTrue="1" operator="equal">
      <formula>"Pass"</formula>
    </cfRule>
    <cfRule type="cellIs" dxfId="5548" priority="5388" stopIfTrue="1" operator="equal">
      <formula>"Fail"</formula>
    </cfRule>
  </conditionalFormatting>
  <conditionalFormatting sqref="A1042:A1044">
    <cfRule type="cellIs" dxfId="5547" priority="5385" stopIfTrue="1" operator="equal">
      <formula>"Pass"</formula>
    </cfRule>
    <cfRule type="cellIs" dxfId="5546" priority="5386" stopIfTrue="1" operator="equal">
      <formula>"Fail"</formula>
    </cfRule>
  </conditionalFormatting>
  <conditionalFormatting sqref="A1042:A1044">
    <cfRule type="cellIs" dxfId="5545" priority="5383" stopIfTrue="1" operator="equal">
      <formula>"Pass"</formula>
    </cfRule>
    <cfRule type="cellIs" dxfId="5544" priority="5384" stopIfTrue="1" operator="equal">
      <formula>"Fail"</formula>
    </cfRule>
  </conditionalFormatting>
  <conditionalFormatting sqref="A1042:A1044">
    <cfRule type="cellIs" dxfId="5543" priority="5381" stopIfTrue="1" operator="equal">
      <formula>"Pass"</formula>
    </cfRule>
    <cfRule type="cellIs" dxfId="5542" priority="5382" stopIfTrue="1" operator="equal">
      <formula>"Fail"</formula>
    </cfRule>
  </conditionalFormatting>
  <conditionalFormatting sqref="A1042:A1044">
    <cfRule type="cellIs" dxfId="5541" priority="5379" stopIfTrue="1" operator="equal">
      <formula>"Pass"</formula>
    </cfRule>
    <cfRule type="cellIs" dxfId="5540" priority="5380" stopIfTrue="1" operator="equal">
      <formula>"Fail"</formula>
    </cfRule>
  </conditionalFormatting>
  <conditionalFormatting sqref="A1044">
    <cfRule type="cellIs" dxfId="5539" priority="5377" stopIfTrue="1" operator="equal">
      <formula>"Pass"</formula>
    </cfRule>
    <cfRule type="cellIs" dxfId="5538" priority="5378" stopIfTrue="1" operator="equal">
      <formula>"Fail"</formula>
    </cfRule>
  </conditionalFormatting>
  <conditionalFormatting sqref="A1042:A1044">
    <cfRule type="cellIs" dxfId="5537" priority="5375" stopIfTrue="1" operator="equal">
      <formula>"Pass"</formula>
    </cfRule>
    <cfRule type="cellIs" dxfId="5536" priority="5376" stopIfTrue="1" operator="equal">
      <formula>"Fail"</formula>
    </cfRule>
  </conditionalFormatting>
  <conditionalFormatting sqref="A1042:A1044">
    <cfRule type="cellIs" dxfId="5535" priority="5373" stopIfTrue="1" operator="equal">
      <formula>"Pass"</formula>
    </cfRule>
    <cfRule type="cellIs" dxfId="5534" priority="5374" stopIfTrue="1" operator="equal">
      <formula>"Fail"</formula>
    </cfRule>
  </conditionalFormatting>
  <conditionalFormatting sqref="A1042:A1044">
    <cfRule type="cellIs" dxfId="5533" priority="5371" stopIfTrue="1" operator="equal">
      <formula>"Pass"</formula>
    </cfRule>
    <cfRule type="cellIs" dxfId="5532" priority="5372" stopIfTrue="1" operator="equal">
      <formula>"Fail"</formula>
    </cfRule>
  </conditionalFormatting>
  <conditionalFormatting sqref="A1042:A1044">
    <cfRule type="cellIs" dxfId="5531" priority="5369" stopIfTrue="1" operator="equal">
      <formula>"Pass"</formula>
    </cfRule>
    <cfRule type="cellIs" dxfId="5530" priority="5370" stopIfTrue="1" operator="equal">
      <formula>"Fail"</formula>
    </cfRule>
  </conditionalFormatting>
  <conditionalFormatting sqref="A1042:A1044">
    <cfRule type="cellIs" dxfId="5529" priority="5367" stopIfTrue="1" operator="equal">
      <formula>"Pass"</formula>
    </cfRule>
    <cfRule type="cellIs" dxfId="5528" priority="5368" stopIfTrue="1" operator="equal">
      <formula>"Fail"</formula>
    </cfRule>
  </conditionalFormatting>
  <conditionalFormatting sqref="A1042:A1044">
    <cfRule type="cellIs" dxfId="5527" priority="5365" stopIfTrue="1" operator="equal">
      <formula>"Pass"</formula>
    </cfRule>
    <cfRule type="cellIs" dxfId="5526" priority="5366" stopIfTrue="1" operator="equal">
      <formula>"Fail"</formula>
    </cfRule>
  </conditionalFormatting>
  <conditionalFormatting sqref="A1044">
    <cfRule type="cellIs" dxfId="5525" priority="5363" stopIfTrue="1" operator="equal">
      <formula>"Pass"</formula>
    </cfRule>
    <cfRule type="cellIs" dxfId="5524" priority="5364" stopIfTrue="1" operator="equal">
      <formula>"Fail"</formula>
    </cfRule>
  </conditionalFormatting>
  <conditionalFormatting sqref="A1042:A1044">
    <cfRule type="cellIs" dxfId="5523" priority="5361" stopIfTrue="1" operator="equal">
      <formula>"Pass"</formula>
    </cfRule>
    <cfRule type="cellIs" dxfId="5522" priority="5362" stopIfTrue="1" operator="equal">
      <formula>"Fail"</formula>
    </cfRule>
  </conditionalFormatting>
  <conditionalFormatting sqref="A1042:A1044">
    <cfRule type="cellIs" dxfId="5521" priority="5359" stopIfTrue="1" operator="equal">
      <formula>"Pass"</formula>
    </cfRule>
    <cfRule type="cellIs" dxfId="5520" priority="5360" stopIfTrue="1" operator="equal">
      <formula>"Fail"</formula>
    </cfRule>
  </conditionalFormatting>
  <conditionalFormatting sqref="A1042:A1044">
    <cfRule type="cellIs" dxfId="5519" priority="5357" stopIfTrue="1" operator="equal">
      <formula>"Pass"</formula>
    </cfRule>
    <cfRule type="cellIs" dxfId="5518" priority="5358" stopIfTrue="1" operator="equal">
      <formula>"Fail"</formula>
    </cfRule>
  </conditionalFormatting>
  <conditionalFormatting sqref="A1042:A1044">
    <cfRule type="cellIs" dxfId="5517" priority="5355" stopIfTrue="1" operator="equal">
      <formula>"Pass"</formula>
    </cfRule>
    <cfRule type="cellIs" dxfId="5516" priority="5356" stopIfTrue="1" operator="equal">
      <formula>"Fail"</formula>
    </cfRule>
  </conditionalFormatting>
  <conditionalFormatting sqref="A1042:A1044">
    <cfRule type="cellIs" dxfId="5515" priority="5353" stopIfTrue="1" operator="equal">
      <formula>"Pass"</formula>
    </cfRule>
    <cfRule type="cellIs" dxfId="5514" priority="5354" stopIfTrue="1" operator="equal">
      <formula>"Fail"</formula>
    </cfRule>
  </conditionalFormatting>
  <conditionalFormatting sqref="A1042:A1044">
    <cfRule type="cellIs" dxfId="5513" priority="5351" stopIfTrue="1" operator="equal">
      <formula>"Pass"</formula>
    </cfRule>
    <cfRule type="cellIs" dxfId="5512" priority="5352" stopIfTrue="1" operator="equal">
      <formula>"Fail"</formula>
    </cfRule>
  </conditionalFormatting>
  <conditionalFormatting sqref="A1044">
    <cfRule type="cellIs" dxfId="5511" priority="5349" stopIfTrue="1" operator="equal">
      <formula>"Pass"</formula>
    </cfRule>
    <cfRule type="cellIs" dxfId="5510" priority="5350" stopIfTrue="1" operator="equal">
      <formula>"Fail"</formula>
    </cfRule>
  </conditionalFormatting>
  <conditionalFormatting sqref="A1042:A1044">
    <cfRule type="cellIs" dxfId="5509" priority="5347" stopIfTrue="1" operator="equal">
      <formula>"Pass"</formula>
    </cfRule>
    <cfRule type="cellIs" dxfId="5508" priority="5348" stopIfTrue="1" operator="equal">
      <formula>"Fail"</formula>
    </cfRule>
  </conditionalFormatting>
  <conditionalFormatting sqref="A1042:A1044">
    <cfRule type="cellIs" dxfId="5507" priority="5345" stopIfTrue="1" operator="equal">
      <formula>"Pass"</formula>
    </cfRule>
    <cfRule type="cellIs" dxfId="5506" priority="5346" stopIfTrue="1" operator="equal">
      <formula>"Fail"</formula>
    </cfRule>
  </conditionalFormatting>
  <conditionalFormatting sqref="A1042:A1044">
    <cfRule type="cellIs" dxfId="5505" priority="5343" stopIfTrue="1" operator="equal">
      <formula>"Pass"</formula>
    </cfRule>
    <cfRule type="cellIs" dxfId="5504" priority="5344" stopIfTrue="1" operator="equal">
      <formula>"Fail"</formula>
    </cfRule>
  </conditionalFormatting>
  <conditionalFormatting sqref="A1042:A1044">
    <cfRule type="cellIs" dxfId="5503" priority="5341" stopIfTrue="1" operator="equal">
      <formula>"Pass"</formula>
    </cfRule>
    <cfRule type="cellIs" dxfId="5502" priority="5342" stopIfTrue="1" operator="equal">
      <formula>"Fail"</formula>
    </cfRule>
  </conditionalFormatting>
  <conditionalFormatting sqref="A1042:A1044">
    <cfRule type="cellIs" dxfId="5501" priority="5339" stopIfTrue="1" operator="equal">
      <formula>"Pass"</formula>
    </cfRule>
    <cfRule type="cellIs" dxfId="5500" priority="5340" stopIfTrue="1" operator="equal">
      <formula>"Fail"</formula>
    </cfRule>
  </conditionalFormatting>
  <conditionalFormatting sqref="A1042:A1044">
    <cfRule type="cellIs" dxfId="5499" priority="5337" stopIfTrue="1" operator="equal">
      <formula>"Pass"</formula>
    </cfRule>
    <cfRule type="cellIs" dxfId="5498" priority="5338" stopIfTrue="1" operator="equal">
      <formula>"Fail"</formula>
    </cfRule>
  </conditionalFormatting>
  <conditionalFormatting sqref="A1044">
    <cfRule type="cellIs" dxfId="5497" priority="5335" stopIfTrue="1" operator="equal">
      <formula>"Pass"</formula>
    </cfRule>
    <cfRule type="cellIs" dxfId="5496" priority="5336" stopIfTrue="1" operator="equal">
      <formula>"Fail"</formula>
    </cfRule>
  </conditionalFormatting>
  <conditionalFormatting sqref="A1042:A1044">
    <cfRule type="cellIs" dxfId="5495" priority="5333" stopIfTrue="1" operator="equal">
      <formula>"Pass"</formula>
    </cfRule>
    <cfRule type="cellIs" dxfId="5494" priority="5334" stopIfTrue="1" operator="equal">
      <formula>"Fail"</formula>
    </cfRule>
  </conditionalFormatting>
  <conditionalFormatting sqref="A1042:A1044">
    <cfRule type="cellIs" dxfId="5493" priority="5331" stopIfTrue="1" operator="equal">
      <formula>"Pass"</formula>
    </cfRule>
    <cfRule type="cellIs" dxfId="5492" priority="5332" stopIfTrue="1" operator="equal">
      <formula>"Fail"</formula>
    </cfRule>
  </conditionalFormatting>
  <conditionalFormatting sqref="A1042:A1044">
    <cfRule type="cellIs" dxfId="5491" priority="5329" stopIfTrue="1" operator="equal">
      <formula>"Pass"</formula>
    </cfRule>
    <cfRule type="cellIs" dxfId="5490" priority="5330" stopIfTrue="1" operator="equal">
      <formula>"Fail"</formula>
    </cfRule>
  </conditionalFormatting>
  <conditionalFormatting sqref="A1042:A1044">
    <cfRule type="cellIs" dxfId="5489" priority="5327" stopIfTrue="1" operator="equal">
      <formula>"Pass"</formula>
    </cfRule>
    <cfRule type="cellIs" dxfId="5488" priority="5328" stopIfTrue="1" operator="equal">
      <formula>"Fail"</formula>
    </cfRule>
  </conditionalFormatting>
  <conditionalFormatting sqref="A1042:A1044">
    <cfRule type="cellIs" dxfId="5487" priority="5325" stopIfTrue="1" operator="equal">
      <formula>"Pass"</formula>
    </cfRule>
    <cfRule type="cellIs" dxfId="5486" priority="5326" stopIfTrue="1" operator="equal">
      <formula>"Fail"</formula>
    </cfRule>
  </conditionalFormatting>
  <conditionalFormatting sqref="A1042:A1044">
    <cfRule type="cellIs" dxfId="5485" priority="5323" stopIfTrue="1" operator="equal">
      <formula>"Pass"</formula>
    </cfRule>
    <cfRule type="cellIs" dxfId="5484" priority="5324" stopIfTrue="1" operator="equal">
      <formula>"Fail"</formula>
    </cfRule>
  </conditionalFormatting>
  <conditionalFormatting sqref="A1044">
    <cfRule type="cellIs" dxfId="5483" priority="5321" stopIfTrue="1" operator="equal">
      <formula>"Pass"</formula>
    </cfRule>
    <cfRule type="cellIs" dxfId="5482" priority="5322" stopIfTrue="1" operator="equal">
      <formula>"Fail"</formula>
    </cfRule>
  </conditionalFormatting>
  <conditionalFormatting sqref="A1042:A1044">
    <cfRule type="cellIs" dxfId="5481" priority="5319" stopIfTrue="1" operator="equal">
      <formula>"Pass"</formula>
    </cfRule>
    <cfRule type="cellIs" dxfId="5480" priority="5320" stopIfTrue="1" operator="equal">
      <formula>"Fail"</formula>
    </cfRule>
  </conditionalFormatting>
  <conditionalFormatting sqref="A1042:A1044">
    <cfRule type="cellIs" dxfId="5479" priority="5317" stopIfTrue="1" operator="equal">
      <formula>"Pass"</formula>
    </cfRule>
    <cfRule type="cellIs" dxfId="5478" priority="5318" stopIfTrue="1" operator="equal">
      <formula>"Fail"</formula>
    </cfRule>
  </conditionalFormatting>
  <conditionalFormatting sqref="A1042:A1044">
    <cfRule type="cellIs" dxfId="5477" priority="5315" stopIfTrue="1" operator="equal">
      <formula>"Pass"</formula>
    </cfRule>
    <cfRule type="cellIs" dxfId="5476" priority="5316" stopIfTrue="1" operator="equal">
      <formula>"Fail"</formula>
    </cfRule>
  </conditionalFormatting>
  <conditionalFormatting sqref="A1042:A1044">
    <cfRule type="cellIs" dxfId="5475" priority="5313" stopIfTrue="1" operator="equal">
      <formula>"Pass"</formula>
    </cfRule>
    <cfRule type="cellIs" dxfId="5474" priority="5314" stopIfTrue="1" operator="equal">
      <formula>"Fail"</formula>
    </cfRule>
  </conditionalFormatting>
  <conditionalFormatting sqref="A1042:A1044">
    <cfRule type="cellIs" dxfId="5473" priority="5311" stopIfTrue="1" operator="equal">
      <formula>"Pass"</formula>
    </cfRule>
    <cfRule type="cellIs" dxfId="5472" priority="5312" stopIfTrue="1" operator="equal">
      <formula>"Fail"</formula>
    </cfRule>
  </conditionalFormatting>
  <conditionalFormatting sqref="A1042:A1044">
    <cfRule type="cellIs" dxfId="5471" priority="5309" stopIfTrue="1" operator="equal">
      <formula>"Pass"</formula>
    </cfRule>
    <cfRule type="cellIs" dxfId="5470" priority="5310" stopIfTrue="1" operator="equal">
      <formula>"Fail"</formula>
    </cfRule>
  </conditionalFormatting>
  <conditionalFormatting sqref="A1044">
    <cfRule type="cellIs" dxfId="5469" priority="5307" stopIfTrue="1" operator="equal">
      <formula>"Pass"</formula>
    </cfRule>
    <cfRule type="cellIs" dxfId="5468" priority="5308" stopIfTrue="1" operator="equal">
      <formula>"Fail"</formula>
    </cfRule>
  </conditionalFormatting>
  <conditionalFormatting sqref="A1042:A1044">
    <cfRule type="cellIs" dxfId="5467" priority="5305" stopIfTrue="1" operator="equal">
      <formula>"Pass"</formula>
    </cfRule>
    <cfRule type="cellIs" dxfId="5466" priority="5306" stopIfTrue="1" operator="equal">
      <formula>"Fail"</formula>
    </cfRule>
  </conditionalFormatting>
  <conditionalFormatting sqref="A1042">
    <cfRule type="cellIs" dxfId="5465" priority="5303" stopIfTrue="1" operator="equal">
      <formula>"Pass"</formula>
    </cfRule>
    <cfRule type="cellIs" dxfId="5464" priority="5304" stopIfTrue="1" operator="equal">
      <formula>"Fail"</formula>
    </cfRule>
  </conditionalFormatting>
  <conditionalFormatting sqref="A1042">
    <cfRule type="cellIs" dxfId="5463" priority="5301" stopIfTrue="1" operator="equal">
      <formula>"Pass"</formula>
    </cfRule>
    <cfRule type="cellIs" dxfId="5462" priority="5302" stopIfTrue="1" operator="equal">
      <formula>"Fail"</formula>
    </cfRule>
  </conditionalFormatting>
  <conditionalFormatting sqref="A1042">
    <cfRule type="cellIs" dxfId="5461" priority="5299" stopIfTrue="1" operator="equal">
      <formula>"Pass"</formula>
    </cfRule>
    <cfRule type="cellIs" dxfId="5460" priority="5300" stopIfTrue="1" operator="equal">
      <formula>"Fail"</formula>
    </cfRule>
  </conditionalFormatting>
  <conditionalFormatting sqref="A1042">
    <cfRule type="cellIs" dxfId="5459" priority="5297" stopIfTrue="1" operator="equal">
      <formula>"Pass"</formula>
    </cfRule>
    <cfRule type="cellIs" dxfId="5458" priority="5298" stopIfTrue="1" operator="equal">
      <formula>"Fail"</formula>
    </cfRule>
  </conditionalFormatting>
  <conditionalFormatting sqref="A1042">
    <cfRule type="cellIs" dxfId="5457" priority="5295" stopIfTrue="1" operator="equal">
      <formula>"Pass"</formula>
    </cfRule>
    <cfRule type="cellIs" dxfId="5456" priority="5296" stopIfTrue="1" operator="equal">
      <formula>"Fail"</formula>
    </cfRule>
  </conditionalFormatting>
  <conditionalFormatting sqref="A1042">
    <cfRule type="cellIs" dxfId="5455" priority="5293" stopIfTrue="1" operator="equal">
      <formula>"Pass"</formula>
    </cfRule>
    <cfRule type="cellIs" dxfId="5454" priority="5294" stopIfTrue="1" operator="equal">
      <formula>"Fail"</formula>
    </cfRule>
  </conditionalFormatting>
  <conditionalFormatting sqref="A1042">
    <cfRule type="cellIs" dxfId="5453" priority="5291" stopIfTrue="1" operator="equal">
      <formula>"Pass"</formula>
    </cfRule>
    <cfRule type="cellIs" dxfId="5452" priority="5292" stopIfTrue="1" operator="equal">
      <formula>"Fail"</formula>
    </cfRule>
  </conditionalFormatting>
  <conditionalFormatting sqref="A1042">
    <cfRule type="cellIs" dxfId="5451" priority="5289" stopIfTrue="1" operator="equal">
      <formula>"Pass"</formula>
    </cfRule>
    <cfRule type="cellIs" dxfId="5450" priority="5290" stopIfTrue="1" operator="equal">
      <formula>"Fail"</formula>
    </cfRule>
  </conditionalFormatting>
  <conditionalFormatting sqref="A1042">
    <cfRule type="cellIs" dxfId="5449" priority="5287" stopIfTrue="1" operator="equal">
      <formula>"Pass"</formula>
    </cfRule>
    <cfRule type="cellIs" dxfId="5448" priority="5288" stopIfTrue="1" operator="equal">
      <formula>"Fail"</formula>
    </cfRule>
  </conditionalFormatting>
  <conditionalFormatting sqref="A1042">
    <cfRule type="cellIs" dxfId="5447" priority="5285" stopIfTrue="1" operator="equal">
      <formula>"Pass"</formula>
    </cfRule>
    <cfRule type="cellIs" dxfId="5446" priority="5286" stopIfTrue="1" operator="equal">
      <formula>"Fail"</formula>
    </cfRule>
  </conditionalFormatting>
  <conditionalFormatting sqref="A1042">
    <cfRule type="cellIs" dxfId="5445" priority="5283" stopIfTrue="1" operator="equal">
      <formula>"Pass"</formula>
    </cfRule>
    <cfRule type="cellIs" dxfId="5444" priority="5284" stopIfTrue="1" operator="equal">
      <formula>"Fail"</formula>
    </cfRule>
  </conditionalFormatting>
  <conditionalFormatting sqref="A1042">
    <cfRule type="cellIs" dxfId="5443" priority="5281" stopIfTrue="1" operator="equal">
      <formula>"Pass"</formula>
    </cfRule>
    <cfRule type="cellIs" dxfId="5442" priority="5282" stopIfTrue="1" operator="equal">
      <formula>"Fail"</formula>
    </cfRule>
  </conditionalFormatting>
  <conditionalFormatting sqref="A1042">
    <cfRule type="cellIs" dxfId="5441" priority="5279" stopIfTrue="1" operator="equal">
      <formula>"Pass"</formula>
    </cfRule>
    <cfRule type="cellIs" dxfId="5440" priority="5280" stopIfTrue="1" operator="equal">
      <formula>"Fail"</formula>
    </cfRule>
  </conditionalFormatting>
  <conditionalFormatting sqref="A1042">
    <cfRule type="cellIs" dxfId="5439" priority="5277" stopIfTrue="1" operator="equal">
      <formula>"Pass"</formula>
    </cfRule>
    <cfRule type="cellIs" dxfId="5438" priority="5278" stopIfTrue="1" operator="equal">
      <formula>"Fail"</formula>
    </cfRule>
  </conditionalFormatting>
  <conditionalFormatting sqref="A1042">
    <cfRule type="cellIs" dxfId="5437" priority="5275" stopIfTrue="1" operator="equal">
      <formula>"Pass"</formula>
    </cfRule>
    <cfRule type="cellIs" dxfId="5436" priority="5276" stopIfTrue="1" operator="equal">
      <formula>"Fail"</formula>
    </cfRule>
  </conditionalFormatting>
  <conditionalFormatting sqref="A1042">
    <cfRule type="cellIs" dxfId="5435" priority="5273" stopIfTrue="1" operator="equal">
      <formula>"Pass"</formula>
    </cfRule>
    <cfRule type="cellIs" dxfId="5434" priority="5274" stopIfTrue="1" operator="equal">
      <formula>"Fail"</formula>
    </cfRule>
  </conditionalFormatting>
  <conditionalFormatting sqref="A1042">
    <cfRule type="cellIs" dxfId="5433" priority="5271" stopIfTrue="1" operator="equal">
      <formula>"Pass"</formula>
    </cfRule>
    <cfRule type="cellIs" dxfId="5432" priority="5272" stopIfTrue="1" operator="equal">
      <formula>"Fail"</formula>
    </cfRule>
  </conditionalFormatting>
  <conditionalFormatting sqref="A1042">
    <cfRule type="cellIs" dxfId="5431" priority="5269" stopIfTrue="1" operator="equal">
      <formula>"Pass"</formula>
    </cfRule>
    <cfRule type="cellIs" dxfId="5430" priority="5270" stopIfTrue="1" operator="equal">
      <formula>"Fail"</formula>
    </cfRule>
  </conditionalFormatting>
  <conditionalFormatting sqref="J1042:J1043">
    <cfRule type="cellIs" dxfId="5429" priority="5267" stopIfTrue="1" operator="equal">
      <formula>"Pass"</formula>
    </cfRule>
    <cfRule type="cellIs" dxfId="5428" priority="5268" stopIfTrue="1" operator="equal">
      <formula>"Fail"</formula>
    </cfRule>
  </conditionalFormatting>
  <conditionalFormatting sqref="H1042:H1043 I1043">
    <cfRule type="cellIs" dxfId="5427" priority="5265" stopIfTrue="1" operator="equal">
      <formula>"Pass"</formula>
    </cfRule>
    <cfRule type="cellIs" dxfId="5426" priority="5266" stopIfTrue="1" operator="equal">
      <formula>"Fail"</formula>
    </cfRule>
  </conditionalFormatting>
  <conditionalFormatting sqref="A1042 C1042 F1044 F1042:G1042 K1042:N1043">
    <cfRule type="cellIs" dxfId="5425" priority="5263" stopIfTrue="1" operator="equal">
      <formula>"Pass"</formula>
    </cfRule>
    <cfRule type="cellIs" dxfId="5424" priority="5264" stopIfTrue="1" operator="equal">
      <formula>"Fail"</formula>
    </cfRule>
  </conditionalFormatting>
  <conditionalFormatting sqref="T1042:T1044 U1043:V1044">
    <cfRule type="cellIs" dxfId="5423" priority="5261" stopIfTrue="1" operator="equal">
      <formula>"Fail"</formula>
    </cfRule>
    <cfRule type="cellIs" dxfId="5422" priority="5262" stopIfTrue="1" operator="equal">
      <formula>"Pass"</formula>
    </cfRule>
  </conditionalFormatting>
  <conditionalFormatting sqref="A1042">
    <cfRule type="cellIs" dxfId="5421" priority="5259" stopIfTrue="1" operator="equal">
      <formula>"Pass"</formula>
    </cfRule>
    <cfRule type="cellIs" dxfId="5420" priority="5260" stopIfTrue="1" operator="equal">
      <formula>"Fail"</formula>
    </cfRule>
  </conditionalFormatting>
  <conditionalFormatting sqref="A1042">
    <cfRule type="cellIs" dxfId="5419" priority="5257" stopIfTrue="1" operator="equal">
      <formula>"Pass"</formula>
    </cfRule>
    <cfRule type="cellIs" dxfId="5418" priority="5258" stopIfTrue="1" operator="equal">
      <formula>"Fail"</formula>
    </cfRule>
  </conditionalFormatting>
  <conditionalFormatting sqref="A1042">
    <cfRule type="cellIs" dxfId="5417" priority="5255" stopIfTrue="1" operator="equal">
      <formula>"Pass"</formula>
    </cfRule>
    <cfRule type="cellIs" dxfId="5416" priority="5256" stopIfTrue="1" operator="equal">
      <formula>"Fail"</formula>
    </cfRule>
  </conditionalFormatting>
  <conditionalFormatting sqref="A1042">
    <cfRule type="cellIs" dxfId="5415" priority="5253" stopIfTrue="1" operator="equal">
      <formula>"Pass"</formula>
    </cfRule>
    <cfRule type="cellIs" dxfId="5414" priority="5254" stopIfTrue="1" operator="equal">
      <formula>"Fail"</formula>
    </cfRule>
  </conditionalFormatting>
  <conditionalFormatting sqref="A1042">
    <cfRule type="cellIs" dxfId="5413" priority="5251" stopIfTrue="1" operator="equal">
      <formula>"Pass"</formula>
    </cfRule>
    <cfRule type="cellIs" dxfId="5412" priority="5252" stopIfTrue="1" operator="equal">
      <formula>"Fail"</formula>
    </cfRule>
  </conditionalFormatting>
  <conditionalFormatting sqref="A1042">
    <cfRule type="cellIs" dxfId="5411" priority="5249" stopIfTrue="1" operator="equal">
      <formula>"Pass"</formula>
    </cfRule>
    <cfRule type="cellIs" dxfId="5410" priority="5250" stopIfTrue="1" operator="equal">
      <formula>"Fail"</formula>
    </cfRule>
  </conditionalFormatting>
  <conditionalFormatting sqref="A1042">
    <cfRule type="cellIs" dxfId="5409" priority="5247" stopIfTrue="1" operator="equal">
      <formula>"Pass"</formula>
    </cfRule>
    <cfRule type="cellIs" dxfId="5408" priority="5248" stopIfTrue="1" operator="equal">
      <formula>"Fail"</formula>
    </cfRule>
  </conditionalFormatting>
  <conditionalFormatting sqref="A1042">
    <cfRule type="cellIs" dxfId="5407" priority="5245" stopIfTrue="1" operator="equal">
      <formula>"Pass"</formula>
    </cfRule>
    <cfRule type="cellIs" dxfId="5406" priority="5246" stopIfTrue="1" operator="equal">
      <formula>"Fail"</formula>
    </cfRule>
  </conditionalFormatting>
  <conditionalFormatting sqref="A1042">
    <cfRule type="cellIs" dxfId="5405" priority="5243" stopIfTrue="1" operator="equal">
      <formula>"Pass"</formula>
    </cfRule>
    <cfRule type="cellIs" dxfId="5404" priority="5244" stopIfTrue="1" operator="equal">
      <formula>"Fail"</formula>
    </cfRule>
  </conditionalFormatting>
  <conditionalFormatting sqref="A1042">
    <cfRule type="cellIs" dxfId="5403" priority="5241" stopIfTrue="1" operator="equal">
      <formula>"Pass"</formula>
    </cfRule>
    <cfRule type="cellIs" dxfId="5402" priority="5242" stopIfTrue="1" operator="equal">
      <formula>"Fail"</formula>
    </cfRule>
  </conditionalFormatting>
  <conditionalFormatting sqref="A1042">
    <cfRule type="cellIs" dxfId="5401" priority="5239" stopIfTrue="1" operator="equal">
      <formula>"Pass"</formula>
    </cfRule>
    <cfRule type="cellIs" dxfId="5400" priority="5240" stopIfTrue="1" operator="equal">
      <formula>"Fail"</formula>
    </cfRule>
  </conditionalFormatting>
  <conditionalFormatting sqref="A1042">
    <cfRule type="cellIs" dxfId="5399" priority="5237" stopIfTrue="1" operator="equal">
      <formula>"Pass"</formula>
    </cfRule>
    <cfRule type="cellIs" dxfId="5398" priority="5238" stopIfTrue="1" operator="equal">
      <formula>"Fail"</formula>
    </cfRule>
  </conditionalFormatting>
  <conditionalFormatting sqref="A1042">
    <cfRule type="cellIs" dxfId="5397" priority="5235" stopIfTrue="1" operator="equal">
      <formula>"Pass"</formula>
    </cfRule>
    <cfRule type="cellIs" dxfId="5396" priority="5236" stopIfTrue="1" operator="equal">
      <formula>"Fail"</formula>
    </cfRule>
  </conditionalFormatting>
  <conditionalFormatting sqref="A1042">
    <cfRule type="cellIs" dxfId="5395" priority="5233" stopIfTrue="1" operator="equal">
      <formula>"Pass"</formula>
    </cfRule>
    <cfRule type="cellIs" dxfId="5394" priority="5234" stopIfTrue="1" operator="equal">
      <formula>"Fail"</formula>
    </cfRule>
  </conditionalFormatting>
  <conditionalFormatting sqref="A1042">
    <cfRule type="cellIs" dxfId="5393" priority="5231" stopIfTrue="1" operator="equal">
      <formula>"Pass"</formula>
    </cfRule>
    <cfRule type="cellIs" dxfId="5392" priority="5232" stopIfTrue="1" operator="equal">
      <formula>"Fail"</formula>
    </cfRule>
  </conditionalFormatting>
  <conditionalFormatting sqref="A1042">
    <cfRule type="cellIs" dxfId="5391" priority="5229" stopIfTrue="1" operator="equal">
      <formula>"Pass"</formula>
    </cfRule>
    <cfRule type="cellIs" dxfId="5390" priority="5230" stopIfTrue="1" operator="equal">
      <formula>"Fail"</formula>
    </cfRule>
  </conditionalFormatting>
  <conditionalFormatting sqref="U1042:V1042">
    <cfRule type="cellIs" dxfId="5389" priority="5227" stopIfTrue="1" operator="equal">
      <formula>"Fail"</formula>
    </cfRule>
    <cfRule type="cellIs" dxfId="5388" priority="5228" stopIfTrue="1" operator="equal">
      <formula>"Pass"</formula>
    </cfRule>
  </conditionalFormatting>
  <conditionalFormatting sqref="U1042:V1042">
    <cfRule type="cellIs" dxfId="5387" priority="5225" stopIfTrue="1" operator="equal">
      <formula>"Fail"</formula>
    </cfRule>
    <cfRule type="cellIs" dxfId="5386" priority="5226" stopIfTrue="1" operator="equal">
      <formula>"Pass"</formula>
    </cfRule>
  </conditionalFormatting>
  <conditionalFormatting sqref="J1042:J1043">
    <cfRule type="cellIs" dxfId="5385" priority="5223" stopIfTrue="1" operator="equal">
      <formula>"Pass"</formula>
    </cfRule>
    <cfRule type="cellIs" dxfId="5384" priority="5224" stopIfTrue="1" operator="equal">
      <formula>"Fail"</formula>
    </cfRule>
  </conditionalFormatting>
  <conditionalFormatting sqref="H1042:H1043 I1043">
    <cfRule type="cellIs" dxfId="5383" priority="5221" stopIfTrue="1" operator="equal">
      <formula>"Pass"</formula>
    </cfRule>
    <cfRule type="cellIs" dxfId="5382" priority="5222" stopIfTrue="1" operator="equal">
      <formula>"Fail"</formula>
    </cfRule>
  </conditionalFormatting>
  <conditionalFormatting sqref="F1044 F1042:G1042 K1042:N1043">
    <cfRule type="cellIs" dxfId="5381" priority="5219" stopIfTrue="1" operator="equal">
      <formula>"Pass"</formula>
    </cfRule>
    <cfRule type="cellIs" dxfId="5380" priority="5220" stopIfTrue="1" operator="equal">
      <formula>"Fail"</formula>
    </cfRule>
  </conditionalFormatting>
  <conditionalFormatting sqref="T1042:T1044 U1043:V1044">
    <cfRule type="cellIs" dxfId="5379" priority="5217" stopIfTrue="1" operator="equal">
      <formula>"Fail"</formula>
    </cfRule>
    <cfRule type="cellIs" dxfId="5378" priority="5218" stopIfTrue="1" operator="equal">
      <formula>"Pass"</formula>
    </cfRule>
  </conditionalFormatting>
  <conditionalFormatting sqref="U1042:V1042">
    <cfRule type="cellIs" dxfId="5377" priority="5215" stopIfTrue="1" operator="equal">
      <formula>"Fail"</formula>
    </cfRule>
    <cfRule type="cellIs" dxfId="5376" priority="5216" stopIfTrue="1" operator="equal">
      <formula>"Pass"</formula>
    </cfRule>
  </conditionalFormatting>
  <conditionalFormatting sqref="U1042:V1042">
    <cfRule type="cellIs" dxfId="5375" priority="5213" stopIfTrue="1" operator="equal">
      <formula>"Fail"</formula>
    </cfRule>
    <cfRule type="cellIs" dxfId="5374" priority="5214" stopIfTrue="1" operator="equal">
      <formula>"Pass"</formula>
    </cfRule>
  </conditionalFormatting>
  <conditionalFormatting sqref="F1042:G1042 K1042:N1042">
    <cfRule type="cellIs" dxfId="5373" priority="5211" stopIfTrue="1" operator="equal">
      <formula>"Pass"</formula>
    </cfRule>
    <cfRule type="cellIs" dxfId="5372" priority="5212" stopIfTrue="1" operator="equal">
      <formula>"Fail"</formula>
    </cfRule>
  </conditionalFormatting>
  <conditionalFormatting sqref="K1043:N1043">
    <cfRule type="cellIs" dxfId="5371" priority="5209" stopIfTrue="1" operator="equal">
      <formula>"Pass"</formula>
    </cfRule>
    <cfRule type="cellIs" dxfId="5370" priority="5210" stopIfTrue="1" operator="equal">
      <formula>"Fail"</formula>
    </cfRule>
  </conditionalFormatting>
  <conditionalFormatting sqref="U1042:V1042">
    <cfRule type="cellIs" dxfId="5369" priority="5207" stopIfTrue="1" operator="equal">
      <formula>"Fail"</formula>
    </cfRule>
    <cfRule type="cellIs" dxfId="5368" priority="5208" stopIfTrue="1" operator="equal">
      <formula>"Pass"</formula>
    </cfRule>
  </conditionalFormatting>
  <conditionalFormatting sqref="A1042">
    <cfRule type="cellIs" dxfId="5367" priority="5205" stopIfTrue="1" operator="equal">
      <formula>"Pass"</formula>
    </cfRule>
    <cfRule type="cellIs" dxfId="5366" priority="5206" stopIfTrue="1" operator="equal">
      <formula>"Fail"</formula>
    </cfRule>
  </conditionalFormatting>
  <conditionalFormatting sqref="A1042">
    <cfRule type="cellIs" dxfId="5365" priority="5203" stopIfTrue="1" operator="equal">
      <formula>"Pass"</formula>
    </cfRule>
    <cfRule type="cellIs" dxfId="5364" priority="5204" stopIfTrue="1" operator="equal">
      <formula>"Fail"</formula>
    </cfRule>
  </conditionalFormatting>
  <conditionalFormatting sqref="A1042">
    <cfRule type="cellIs" dxfId="5363" priority="5201" stopIfTrue="1" operator="equal">
      <formula>"Pass"</formula>
    </cfRule>
    <cfRule type="cellIs" dxfId="5362" priority="5202" stopIfTrue="1" operator="equal">
      <formula>"Fail"</formula>
    </cfRule>
  </conditionalFormatting>
  <conditionalFormatting sqref="A1042">
    <cfRule type="cellIs" dxfId="5361" priority="5199" stopIfTrue="1" operator="equal">
      <formula>"Pass"</formula>
    </cfRule>
    <cfRule type="cellIs" dxfId="5360" priority="5200" stopIfTrue="1" operator="equal">
      <formula>"Fail"</formula>
    </cfRule>
  </conditionalFormatting>
  <conditionalFormatting sqref="A1042">
    <cfRule type="cellIs" dxfId="5359" priority="5197" stopIfTrue="1" operator="equal">
      <formula>"Pass"</formula>
    </cfRule>
    <cfRule type="cellIs" dxfId="5358" priority="5198" stopIfTrue="1" operator="equal">
      <formula>"Fail"</formula>
    </cfRule>
  </conditionalFormatting>
  <conditionalFormatting sqref="A1042">
    <cfRule type="cellIs" dxfId="5357" priority="5195" stopIfTrue="1" operator="equal">
      <formula>"Pass"</formula>
    </cfRule>
    <cfRule type="cellIs" dxfId="5356" priority="5196" stopIfTrue="1" operator="equal">
      <formula>"Fail"</formula>
    </cfRule>
  </conditionalFormatting>
  <conditionalFormatting sqref="A1042">
    <cfRule type="cellIs" dxfId="5355" priority="5193" stopIfTrue="1" operator="equal">
      <formula>"Pass"</formula>
    </cfRule>
    <cfRule type="cellIs" dxfId="5354" priority="5194" stopIfTrue="1" operator="equal">
      <formula>"Fail"</formula>
    </cfRule>
  </conditionalFormatting>
  <conditionalFormatting sqref="A1042">
    <cfRule type="cellIs" dxfId="5353" priority="5191" stopIfTrue="1" operator="equal">
      <formula>"Pass"</formula>
    </cfRule>
    <cfRule type="cellIs" dxfId="5352" priority="5192" stopIfTrue="1" operator="equal">
      <formula>"Fail"</formula>
    </cfRule>
  </conditionalFormatting>
  <conditionalFormatting sqref="A1042">
    <cfRule type="cellIs" dxfId="5351" priority="5189" stopIfTrue="1" operator="equal">
      <formula>"Pass"</formula>
    </cfRule>
    <cfRule type="cellIs" dxfId="5350" priority="5190" stopIfTrue="1" operator="equal">
      <formula>"Fail"</formula>
    </cfRule>
  </conditionalFormatting>
  <conditionalFormatting sqref="A1042">
    <cfRule type="cellIs" dxfId="5349" priority="5187" stopIfTrue="1" operator="equal">
      <formula>"Pass"</formula>
    </cfRule>
    <cfRule type="cellIs" dxfId="5348" priority="5188" stopIfTrue="1" operator="equal">
      <formula>"Fail"</formula>
    </cfRule>
  </conditionalFormatting>
  <conditionalFormatting sqref="A1042">
    <cfRule type="cellIs" dxfId="5347" priority="5185" stopIfTrue="1" operator="equal">
      <formula>"Pass"</formula>
    </cfRule>
    <cfRule type="cellIs" dxfId="5346" priority="5186" stopIfTrue="1" operator="equal">
      <formula>"Fail"</formula>
    </cfRule>
  </conditionalFormatting>
  <conditionalFormatting sqref="A1042">
    <cfRule type="cellIs" dxfId="5345" priority="5183" stopIfTrue="1" operator="equal">
      <formula>"Pass"</formula>
    </cfRule>
    <cfRule type="cellIs" dxfId="5344" priority="5184" stopIfTrue="1" operator="equal">
      <formula>"Fail"</formula>
    </cfRule>
  </conditionalFormatting>
  <conditionalFormatting sqref="J1042:J1043">
    <cfRule type="cellIs" dxfId="5343" priority="5181" stopIfTrue="1" operator="equal">
      <formula>"Pass"</formula>
    </cfRule>
    <cfRule type="cellIs" dxfId="5342" priority="5182" stopIfTrue="1" operator="equal">
      <formula>"Fail"</formula>
    </cfRule>
  </conditionalFormatting>
  <conditionalFormatting sqref="H1042:H1043 I1043">
    <cfRule type="cellIs" dxfId="5341" priority="5179" stopIfTrue="1" operator="equal">
      <formula>"Pass"</formula>
    </cfRule>
    <cfRule type="cellIs" dxfId="5340" priority="5180" stopIfTrue="1" operator="equal">
      <formula>"Fail"</formula>
    </cfRule>
  </conditionalFormatting>
  <conditionalFormatting sqref="F1044 F1042:G1042 K1042:N1043">
    <cfRule type="cellIs" dxfId="5339" priority="5177" stopIfTrue="1" operator="equal">
      <formula>"Pass"</formula>
    </cfRule>
    <cfRule type="cellIs" dxfId="5338" priority="5178" stopIfTrue="1" operator="equal">
      <formula>"Fail"</formula>
    </cfRule>
  </conditionalFormatting>
  <conditionalFormatting sqref="T1042:T1044 U1043:V1044">
    <cfRule type="cellIs" dxfId="5337" priority="5175" stopIfTrue="1" operator="equal">
      <formula>"Fail"</formula>
    </cfRule>
    <cfRule type="cellIs" dxfId="5336" priority="5176" stopIfTrue="1" operator="equal">
      <formula>"Pass"</formula>
    </cfRule>
  </conditionalFormatting>
  <conditionalFormatting sqref="U1042:V1042">
    <cfRule type="cellIs" dxfId="5335" priority="5173" stopIfTrue="1" operator="equal">
      <formula>"Fail"</formula>
    </cfRule>
    <cfRule type="cellIs" dxfId="5334" priority="5174" stopIfTrue="1" operator="equal">
      <formula>"Pass"</formula>
    </cfRule>
  </conditionalFormatting>
  <conditionalFormatting sqref="U1042:V1042">
    <cfRule type="cellIs" dxfId="5333" priority="5171" stopIfTrue="1" operator="equal">
      <formula>"Fail"</formula>
    </cfRule>
    <cfRule type="cellIs" dxfId="5332" priority="5172" stopIfTrue="1" operator="equal">
      <formula>"Pass"</formula>
    </cfRule>
  </conditionalFormatting>
  <conditionalFormatting sqref="J1042:J1043">
    <cfRule type="cellIs" dxfId="5331" priority="5169" stopIfTrue="1" operator="equal">
      <formula>"Pass"</formula>
    </cfRule>
    <cfRule type="cellIs" dxfId="5330" priority="5170" stopIfTrue="1" operator="equal">
      <formula>"Fail"</formula>
    </cfRule>
  </conditionalFormatting>
  <conditionalFormatting sqref="H1042:H1043 I1043">
    <cfRule type="cellIs" dxfId="5329" priority="5167" stopIfTrue="1" operator="equal">
      <formula>"Pass"</formula>
    </cfRule>
    <cfRule type="cellIs" dxfId="5328" priority="5168" stopIfTrue="1" operator="equal">
      <formula>"Fail"</formula>
    </cfRule>
  </conditionalFormatting>
  <conditionalFormatting sqref="F1044 F1042:G1042 K1042:N1043">
    <cfRule type="cellIs" dxfId="5327" priority="5165" stopIfTrue="1" operator="equal">
      <formula>"Pass"</formula>
    </cfRule>
    <cfRule type="cellIs" dxfId="5326" priority="5166" stopIfTrue="1" operator="equal">
      <formula>"Fail"</formula>
    </cfRule>
  </conditionalFormatting>
  <conditionalFormatting sqref="T1042:T1044 U1043:V1044">
    <cfRule type="cellIs" dxfId="5325" priority="5163" stopIfTrue="1" operator="equal">
      <formula>"Fail"</formula>
    </cfRule>
    <cfRule type="cellIs" dxfId="5324" priority="5164" stopIfTrue="1" operator="equal">
      <formula>"Pass"</formula>
    </cfRule>
  </conditionalFormatting>
  <conditionalFormatting sqref="U1042:V1042">
    <cfRule type="cellIs" dxfId="5323" priority="5161" stopIfTrue="1" operator="equal">
      <formula>"Fail"</formula>
    </cfRule>
    <cfRule type="cellIs" dxfId="5322" priority="5162" stopIfTrue="1" operator="equal">
      <formula>"Pass"</formula>
    </cfRule>
  </conditionalFormatting>
  <conditionalFormatting sqref="U1042:V1042">
    <cfRule type="cellIs" dxfId="5321" priority="5159" stopIfTrue="1" operator="equal">
      <formula>"Fail"</formula>
    </cfRule>
    <cfRule type="cellIs" dxfId="5320" priority="5160" stopIfTrue="1" operator="equal">
      <formula>"Pass"</formula>
    </cfRule>
  </conditionalFormatting>
  <conditionalFormatting sqref="F1042:G1042 K1042:N1042">
    <cfRule type="cellIs" dxfId="5319" priority="5157" stopIfTrue="1" operator="equal">
      <formula>"Pass"</formula>
    </cfRule>
    <cfRule type="cellIs" dxfId="5318" priority="5158" stopIfTrue="1" operator="equal">
      <formula>"Fail"</formula>
    </cfRule>
  </conditionalFormatting>
  <conditionalFormatting sqref="K1043:N1043">
    <cfRule type="cellIs" dxfId="5317" priority="5155" stopIfTrue="1" operator="equal">
      <formula>"Pass"</formula>
    </cfRule>
    <cfRule type="cellIs" dxfId="5316" priority="5156" stopIfTrue="1" operator="equal">
      <formula>"Fail"</formula>
    </cfRule>
  </conditionalFormatting>
  <conditionalFormatting sqref="U1042:V1042">
    <cfRule type="cellIs" dxfId="5315" priority="5153" stopIfTrue="1" operator="equal">
      <formula>"Fail"</formula>
    </cfRule>
    <cfRule type="cellIs" dxfId="5314" priority="5154" stopIfTrue="1" operator="equal">
      <formula>"Pass"</formula>
    </cfRule>
  </conditionalFormatting>
  <conditionalFormatting sqref="J1042:J1043">
    <cfRule type="cellIs" dxfId="5313" priority="5151" stopIfTrue="1" operator="equal">
      <formula>"Pass"</formula>
    </cfRule>
    <cfRule type="cellIs" dxfId="5312" priority="5152" stopIfTrue="1" operator="equal">
      <formula>"Fail"</formula>
    </cfRule>
  </conditionalFormatting>
  <conditionalFormatting sqref="H1042:H1043 I1043">
    <cfRule type="cellIs" dxfId="5311" priority="5149" stopIfTrue="1" operator="equal">
      <formula>"Pass"</formula>
    </cfRule>
    <cfRule type="cellIs" dxfId="5310" priority="5150" stopIfTrue="1" operator="equal">
      <formula>"Fail"</formula>
    </cfRule>
  </conditionalFormatting>
  <conditionalFormatting sqref="F1042:G1042 K1042:N1043">
    <cfRule type="cellIs" dxfId="5309" priority="5147" stopIfTrue="1" operator="equal">
      <formula>"Pass"</formula>
    </cfRule>
    <cfRule type="cellIs" dxfId="5308" priority="5148" stopIfTrue="1" operator="equal">
      <formula>"Fail"</formula>
    </cfRule>
  </conditionalFormatting>
  <conditionalFormatting sqref="T1042:T1043 U1043:V1043">
    <cfRule type="cellIs" dxfId="5307" priority="5145" stopIfTrue="1" operator="equal">
      <formula>"Fail"</formula>
    </cfRule>
    <cfRule type="cellIs" dxfId="5306" priority="5146" stopIfTrue="1" operator="equal">
      <formula>"Pass"</formula>
    </cfRule>
  </conditionalFormatting>
  <conditionalFormatting sqref="U1042:V1042">
    <cfRule type="cellIs" dxfId="5305" priority="5143" stopIfTrue="1" operator="equal">
      <formula>"Fail"</formula>
    </cfRule>
    <cfRule type="cellIs" dxfId="5304" priority="5144" stopIfTrue="1" operator="equal">
      <formula>"Pass"</formula>
    </cfRule>
  </conditionalFormatting>
  <conditionalFormatting sqref="U1042:V1042">
    <cfRule type="cellIs" dxfId="5303" priority="5141" stopIfTrue="1" operator="equal">
      <formula>"Fail"</formula>
    </cfRule>
    <cfRule type="cellIs" dxfId="5302" priority="5142" stopIfTrue="1" operator="equal">
      <formula>"Pass"</formula>
    </cfRule>
  </conditionalFormatting>
  <conditionalFormatting sqref="J1042:J1043">
    <cfRule type="cellIs" dxfId="5301" priority="5139" stopIfTrue="1" operator="equal">
      <formula>"Pass"</formula>
    </cfRule>
    <cfRule type="cellIs" dxfId="5300" priority="5140" stopIfTrue="1" operator="equal">
      <formula>"Fail"</formula>
    </cfRule>
  </conditionalFormatting>
  <conditionalFormatting sqref="H1042:H1043 I1043">
    <cfRule type="cellIs" dxfId="5299" priority="5137" stopIfTrue="1" operator="equal">
      <formula>"Pass"</formula>
    </cfRule>
    <cfRule type="cellIs" dxfId="5298" priority="5138" stopIfTrue="1" operator="equal">
      <formula>"Fail"</formula>
    </cfRule>
  </conditionalFormatting>
  <conditionalFormatting sqref="F1042:G1042 K1042:N1043">
    <cfRule type="cellIs" dxfId="5297" priority="5135" stopIfTrue="1" operator="equal">
      <formula>"Pass"</formula>
    </cfRule>
    <cfRule type="cellIs" dxfId="5296" priority="5136" stopIfTrue="1" operator="equal">
      <formula>"Fail"</formula>
    </cfRule>
  </conditionalFormatting>
  <conditionalFormatting sqref="T1042:T1043 U1043:V1043">
    <cfRule type="cellIs" dxfId="5295" priority="5133" stopIfTrue="1" operator="equal">
      <formula>"Fail"</formula>
    </cfRule>
    <cfRule type="cellIs" dxfId="5294" priority="5134" stopIfTrue="1" operator="equal">
      <formula>"Pass"</formula>
    </cfRule>
  </conditionalFormatting>
  <conditionalFormatting sqref="U1042:V1042">
    <cfRule type="cellIs" dxfId="5293" priority="5131" stopIfTrue="1" operator="equal">
      <formula>"Fail"</formula>
    </cfRule>
    <cfRule type="cellIs" dxfId="5292" priority="5132" stopIfTrue="1" operator="equal">
      <formula>"Pass"</formula>
    </cfRule>
  </conditionalFormatting>
  <conditionalFormatting sqref="U1042:V1042">
    <cfRule type="cellIs" dxfId="5291" priority="5129" stopIfTrue="1" operator="equal">
      <formula>"Fail"</formula>
    </cfRule>
    <cfRule type="cellIs" dxfId="5290" priority="5130" stopIfTrue="1" operator="equal">
      <formula>"Pass"</formula>
    </cfRule>
  </conditionalFormatting>
  <conditionalFormatting sqref="F1042:G1042 K1042:N1042">
    <cfRule type="cellIs" dxfId="5289" priority="5127" stopIfTrue="1" operator="equal">
      <formula>"Pass"</formula>
    </cfRule>
    <cfRule type="cellIs" dxfId="5288" priority="5128" stopIfTrue="1" operator="equal">
      <formula>"Fail"</formula>
    </cfRule>
  </conditionalFormatting>
  <conditionalFormatting sqref="K1043:N1043">
    <cfRule type="cellIs" dxfId="5287" priority="5125" stopIfTrue="1" operator="equal">
      <formula>"Pass"</formula>
    </cfRule>
    <cfRule type="cellIs" dxfId="5286" priority="5126" stopIfTrue="1" operator="equal">
      <formula>"Fail"</formula>
    </cfRule>
  </conditionalFormatting>
  <conditionalFormatting sqref="U1042:V1042">
    <cfRule type="cellIs" dxfId="5285" priority="5123" stopIfTrue="1" operator="equal">
      <formula>"Fail"</formula>
    </cfRule>
    <cfRule type="cellIs" dxfId="5284" priority="5124" stopIfTrue="1" operator="equal">
      <formula>"Pass"</formula>
    </cfRule>
  </conditionalFormatting>
  <conditionalFormatting sqref="U1042:V1042">
    <cfRule type="cellIs" dxfId="5283" priority="5121" stopIfTrue="1" operator="equal">
      <formula>"Fail"</formula>
    </cfRule>
    <cfRule type="cellIs" dxfId="5282" priority="5122" stopIfTrue="1" operator="equal">
      <formula>"Pass"</formula>
    </cfRule>
  </conditionalFormatting>
  <conditionalFormatting sqref="U1042:V1042">
    <cfRule type="cellIs" dxfId="5281" priority="5119" stopIfTrue="1" operator="equal">
      <formula>"Fail"</formula>
    </cfRule>
    <cfRule type="cellIs" dxfId="5280" priority="5120" stopIfTrue="1" operator="equal">
      <formula>"Pass"</formula>
    </cfRule>
  </conditionalFormatting>
  <conditionalFormatting sqref="U1042:V1042">
    <cfRule type="cellIs" dxfId="5279" priority="5117" stopIfTrue="1" operator="equal">
      <formula>"Fail"</formula>
    </cfRule>
    <cfRule type="cellIs" dxfId="5278" priority="5118" stopIfTrue="1" operator="equal">
      <formula>"Pass"</formula>
    </cfRule>
  </conditionalFormatting>
  <conditionalFormatting sqref="A1042">
    <cfRule type="cellIs" dxfId="5277" priority="5115" stopIfTrue="1" operator="equal">
      <formula>"Pass"</formula>
    </cfRule>
    <cfRule type="cellIs" dxfId="5276" priority="5116" stopIfTrue="1" operator="equal">
      <formula>"Fail"</formula>
    </cfRule>
  </conditionalFormatting>
  <conditionalFormatting sqref="A1042">
    <cfRule type="cellIs" dxfId="5275" priority="5113" stopIfTrue="1" operator="equal">
      <formula>"Pass"</formula>
    </cfRule>
    <cfRule type="cellIs" dxfId="5274" priority="5114" stopIfTrue="1" operator="equal">
      <formula>"Fail"</formula>
    </cfRule>
  </conditionalFormatting>
  <conditionalFormatting sqref="A1042">
    <cfRule type="cellIs" dxfId="5273" priority="5111" stopIfTrue="1" operator="equal">
      <formula>"Pass"</formula>
    </cfRule>
    <cfRule type="cellIs" dxfId="5272" priority="5112" stopIfTrue="1" operator="equal">
      <formula>"Fail"</formula>
    </cfRule>
  </conditionalFormatting>
  <conditionalFormatting sqref="A1042">
    <cfRule type="cellIs" dxfId="5271" priority="5109" stopIfTrue="1" operator="equal">
      <formula>"Pass"</formula>
    </cfRule>
    <cfRule type="cellIs" dxfId="5270" priority="5110" stopIfTrue="1" operator="equal">
      <formula>"Fail"</formula>
    </cfRule>
  </conditionalFormatting>
  <conditionalFormatting sqref="A1042">
    <cfRule type="cellIs" dxfId="5269" priority="5107" stopIfTrue="1" operator="equal">
      <formula>"Pass"</formula>
    </cfRule>
    <cfRule type="cellIs" dxfId="5268" priority="5108" stopIfTrue="1" operator="equal">
      <formula>"Fail"</formula>
    </cfRule>
  </conditionalFormatting>
  <conditionalFormatting sqref="A1042">
    <cfRule type="cellIs" dxfId="5267" priority="5105" stopIfTrue="1" operator="equal">
      <formula>"Pass"</formula>
    </cfRule>
    <cfRule type="cellIs" dxfId="5266" priority="5106" stopIfTrue="1" operator="equal">
      <formula>"Fail"</formula>
    </cfRule>
  </conditionalFormatting>
  <conditionalFormatting sqref="A1042">
    <cfRule type="cellIs" dxfId="5265" priority="5103" stopIfTrue="1" operator="equal">
      <formula>"Pass"</formula>
    </cfRule>
    <cfRule type="cellIs" dxfId="5264" priority="5104" stopIfTrue="1" operator="equal">
      <formula>"Fail"</formula>
    </cfRule>
  </conditionalFormatting>
  <conditionalFormatting sqref="A1042">
    <cfRule type="cellIs" dxfId="5263" priority="5101" stopIfTrue="1" operator="equal">
      <formula>"Pass"</formula>
    </cfRule>
    <cfRule type="cellIs" dxfId="5262" priority="5102" stopIfTrue="1" operator="equal">
      <formula>"Fail"</formula>
    </cfRule>
  </conditionalFormatting>
  <conditionalFormatting sqref="A1042">
    <cfRule type="cellIs" dxfId="5261" priority="5099" stopIfTrue="1" operator="equal">
      <formula>"Pass"</formula>
    </cfRule>
    <cfRule type="cellIs" dxfId="5260" priority="5100" stopIfTrue="1" operator="equal">
      <formula>"Fail"</formula>
    </cfRule>
  </conditionalFormatting>
  <conditionalFormatting sqref="A1042">
    <cfRule type="cellIs" dxfId="5259" priority="5097" stopIfTrue="1" operator="equal">
      <formula>"Pass"</formula>
    </cfRule>
    <cfRule type="cellIs" dxfId="5258" priority="5098" stopIfTrue="1" operator="equal">
      <formula>"Fail"</formula>
    </cfRule>
  </conditionalFormatting>
  <conditionalFormatting sqref="A1042">
    <cfRule type="cellIs" dxfId="5257" priority="5095" stopIfTrue="1" operator="equal">
      <formula>"Pass"</formula>
    </cfRule>
    <cfRule type="cellIs" dxfId="5256" priority="5096" stopIfTrue="1" operator="equal">
      <formula>"Fail"</formula>
    </cfRule>
  </conditionalFormatting>
  <conditionalFormatting sqref="A1042">
    <cfRule type="cellIs" dxfId="5255" priority="5093" stopIfTrue="1" operator="equal">
      <formula>"Pass"</formula>
    </cfRule>
    <cfRule type="cellIs" dxfId="5254" priority="5094" stopIfTrue="1" operator="equal">
      <formula>"Fail"</formula>
    </cfRule>
  </conditionalFormatting>
  <conditionalFormatting sqref="A1042">
    <cfRule type="cellIs" dxfId="5253" priority="5091" stopIfTrue="1" operator="equal">
      <formula>"Pass"</formula>
    </cfRule>
    <cfRule type="cellIs" dxfId="5252" priority="5092" stopIfTrue="1" operator="equal">
      <formula>"Fail"</formula>
    </cfRule>
  </conditionalFormatting>
  <conditionalFormatting sqref="A1042">
    <cfRule type="cellIs" dxfId="5251" priority="5089" stopIfTrue="1" operator="equal">
      <formula>"Pass"</formula>
    </cfRule>
    <cfRule type="cellIs" dxfId="5250" priority="5090" stopIfTrue="1" operator="equal">
      <formula>"Fail"</formula>
    </cfRule>
  </conditionalFormatting>
  <conditionalFormatting sqref="A1042">
    <cfRule type="cellIs" dxfId="5249" priority="5087" stopIfTrue="1" operator="equal">
      <formula>"Pass"</formula>
    </cfRule>
    <cfRule type="cellIs" dxfId="5248" priority="5088" stopIfTrue="1" operator="equal">
      <formula>"Fail"</formula>
    </cfRule>
  </conditionalFormatting>
  <conditionalFormatting sqref="A1042">
    <cfRule type="cellIs" dxfId="5247" priority="5085" stopIfTrue="1" operator="equal">
      <formula>"Pass"</formula>
    </cfRule>
    <cfRule type="cellIs" dxfId="5246" priority="5086" stopIfTrue="1" operator="equal">
      <formula>"Fail"</formula>
    </cfRule>
  </conditionalFormatting>
  <conditionalFormatting sqref="A1042">
    <cfRule type="cellIs" dxfId="5245" priority="5083" stopIfTrue="1" operator="equal">
      <formula>"Pass"</formula>
    </cfRule>
    <cfRule type="cellIs" dxfId="5244" priority="5084" stopIfTrue="1" operator="equal">
      <formula>"Fail"</formula>
    </cfRule>
  </conditionalFormatting>
  <conditionalFormatting sqref="A1042">
    <cfRule type="cellIs" dxfId="5243" priority="5081" stopIfTrue="1" operator="equal">
      <formula>"Pass"</formula>
    </cfRule>
    <cfRule type="cellIs" dxfId="5242" priority="5082" stopIfTrue="1" operator="equal">
      <formula>"Fail"</formula>
    </cfRule>
  </conditionalFormatting>
  <conditionalFormatting sqref="U1042:V1042">
    <cfRule type="cellIs" dxfId="5241" priority="5079" stopIfTrue="1" operator="equal">
      <formula>"Fail"</formula>
    </cfRule>
    <cfRule type="cellIs" dxfId="5240" priority="5080" stopIfTrue="1" operator="equal">
      <formula>"Pass"</formula>
    </cfRule>
  </conditionalFormatting>
  <conditionalFormatting sqref="U1042:V1042">
    <cfRule type="cellIs" dxfId="5239" priority="5077" stopIfTrue="1" operator="equal">
      <formula>"Fail"</formula>
    </cfRule>
    <cfRule type="cellIs" dxfId="5238" priority="5078" stopIfTrue="1" operator="equal">
      <formula>"Pass"</formula>
    </cfRule>
  </conditionalFormatting>
  <conditionalFormatting sqref="U1042:V1042">
    <cfRule type="cellIs" dxfId="5237" priority="5075" stopIfTrue="1" operator="equal">
      <formula>"Fail"</formula>
    </cfRule>
    <cfRule type="cellIs" dxfId="5236" priority="5076" stopIfTrue="1" operator="equal">
      <formula>"Pass"</formula>
    </cfRule>
  </conditionalFormatting>
  <conditionalFormatting sqref="U1042:V1042">
    <cfRule type="cellIs" dxfId="5235" priority="5073" stopIfTrue="1" operator="equal">
      <formula>"Fail"</formula>
    </cfRule>
    <cfRule type="cellIs" dxfId="5234" priority="5074" stopIfTrue="1" operator="equal">
      <formula>"Pass"</formula>
    </cfRule>
  </conditionalFormatting>
  <conditionalFormatting sqref="A1042:A1044">
    <cfRule type="cellIs" dxfId="5233" priority="5071" stopIfTrue="1" operator="equal">
      <formula>"Pass"</formula>
    </cfRule>
    <cfRule type="cellIs" dxfId="5232" priority="5072" stopIfTrue="1" operator="equal">
      <formula>"Fail"</formula>
    </cfRule>
  </conditionalFormatting>
  <conditionalFormatting sqref="A1042:A1044">
    <cfRule type="cellIs" dxfId="5231" priority="5069" stopIfTrue="1" operator="equal">
      <formula>"Pass"</formula>
    </cfRule>
    <cfRule type="cellIs" dxfId="5230" priority="5070" stopIfTrue="1" operator="equal">
      <formula>"Fail"</formula>
    </cfRule>
  </conditionalFormatting>
  <conditionalFormatting sqref="A1042:A1044">
    <cfRule type="cellIs" dxfId="5229" priority="5067" stopIfTrue="1" operator="equal">
      <formula>"Pass"</formula>
    </cfRule>
    <cfRule type="cellIs" dxfId="5228" priority="5068" stopIfTrue="1" operator="equal">
      <formula>"Fail"</formula>
    </cfRule>
  </conditionalFormatting>
  <conditionalFormatting sqref="A1042:A1044">
    <cfRule type="cellIs" dxfId="5227" priority="5065" stopIfTrue="1" operator="equal">
      <formula>"Pass"</formula>
    </cfRule>
    <cfRule type="cellIs" dxfId="5226" priority="5066" stopIfTrue="1" operator="equal">
      <formula>"Fail"</formula>
    </cfRule>
  </conditionalFormatting>
  <conditionalFormatting sqref="A1042:A1044">
    <cfRule type="cellIs" dxfId="5225" priority="5063" stopIfTrue="1" operator="equal">
      <formula>"Pass"</formula>
    </cfRule>
    <cfRule type="cellIs" dxfId="5224" priority="5064" stopIfTrue="1" operator="equal">
      <formula>"Fail"</formula>
    </cfRule>
  </conditionalFormatting>
  <conditionalFormatting sqref="A1044">
    <cfRule type="cellIs" dxfId="5223" priority="5061" stopIfTrue="1" operator="equal">
      <formula>"Pass"</formula>
    </cfRule>
    <cfRule type="cellIs" dxfId="5222" priority="5062" stopIfTrue="1" operator="equal">
      <formula>"Fail"</formula>
    </cfRule>
  </conditionalFormatting>
  <conditionalFormatting sqref="A1042:A1044">
    <cfRule type="cellIs" dxfId="5221" priority="5059" stopIfTrue="1" operator="equal">
      <formula>"Pass"</formula>
    </cfRule>
    <cfRule type="cellIs" dxfId="5220" priority="5060" stopIfTrue="1" operator="equal">
      <formula>"Fail"</formula>
    </cfRule>
  </conditionalFormatting>
  <conditionalFormatting sqref="A1042:A1044">
    <cfRule type="cellIs" dxfId="5219" priority="5057" stopIfTrue="1" operator="equal">
      <formula>"Pass"</formula>
    </cfRule>
    <cfRule type="cellIs" dxfId="5218" priority="5058" stopIfTrue="1" operator="equal">
      <formula>"Fail"</formula>
    </cfRule>
  </conditionalFormatting>
  <conditionalFormatting sqref="A1042:A1044">
    <cfRule type="cellIs" dxfId="5217" priority="5055" stopIfTrue="1" operator="equal">
      <formula>"Pass"</formula>
    </cfRule>
    <cfRule type="cellIs" dxfId="5216" priority="5056" stopIfTrue="1" operator="equal">
      <formula>"Fail"</formula>
    </cfRule>
  </conditionalFormatting>
  <conditionalFormatting sqref="A1042:A1044">
    <cfRule type="cellIs" dxfId="5215" priority="5053" stopIfTrue="1" operator="equal">
      <formula>"Pass"</formula>
    </cfRule>
    <cfRule type="cellIs" dxfId="5214" priority="5054" stopIfTrue="1" operator="equal">
      <formula>"Fail"</formula>
    </cfRule>
  </conditionalFormatting>
  <conditionalFormatting sqref="A1042:A1044">
    <cfRule type="cellIs" dxfId="5213" priority="5051" stopIfTrue="1" operator="equal">
      <formula>"Pass"</formula>
    </cfRule>
    <cfRule type="cellIs" dxfId="5212" priority="5052" stopIfTrue="1" operator="equal">
      <formula>"Fail"</formula>
    </cfRule>
  </conditionalFormatting>
  <conditionalFormatting sqref="A1042:A1044">
    <cfRule type="cellIs" dxfId="5211" priority="5049" stopIfTrue="1" operator="equal">
      <formula>"Pass"</formula>
    </cfRule>
    <cfRule type="cellIs" dxfId="5210" priority="5050" stopIfTrue="1" operator="equal">
      <formula>"Fail"</formula>
    </cfRule>
  </conditionalFormatting>
  <conditionalFormatting sqref="A1044">
    <cfRule type="cellIs" dxfId="5209" priority="5047" stopIfTrue="1" operator="equal">
      <formula>"Pass"</formula>
    </cfRule>
    <cfRule type="cellIs" dxfId="5208" priority="5048" stopIfTrue="1" operator="equal">
      <formula>"Fail"</formula>
    </cfRule>
  </conditionalFormatting>
  <conditionalFormatting sqref="A1042:A1044">
    <cfRule type="cellIs" dxfId="5207" priority="5045" stopIfTrue="1" operator="equal">
      <formula>"Pass"</formula>
    </cfRule>
    <cfRule type="cellIs" dxfId="5206" priority="5046" stopIfTrue="1" operator="equal">
      <formula>"Fail"</formula>
    </cfRule>
  </conditionalFormatting>
  <conditionalFormatting sqref="A1042:A1044">
    <cfRule type="cellIs" dxfId="5205" priority="5043" stopIfTrue="1" operator="equal">
      <formula>"Pass"</formula>
    </cfRule>
    <cfRule type="cellIs" dxfId="5204" priority="5044" stopIfTrue="1" operator="equal">
      <formula>"Fail"</formula>
    </cfRule>
  </conditionalFormatting>
  <conditionalFormatting sqref="A1042:A1044">
    <cfRule type="cellIs" dxfId="5203" priority="5041" stopIfTrue="1" operator="equal">
      <formula>"Pass"</formula>
    </cfRule>
    <cfRule type="cellIs" dxfId="5202" priority="5042" stopIfTrue="1" operator="equal">
      <formula>"Fail"</formula>
    </cfRule>
  </conditionalFormatting>
  <conditionalFormatting sqref="A1042:A1044">
    <cfRule type="cellIs" dxfId="5201" priority="5039" stopIfTrue="1" operator="equal">
      <formula>"Pass"</formula>
    </cfRule>
    <cfRule type="cellIs" dxfId="5200" priority="5040" stopIfTrue="1" operator="equal">
      <formula>"Fail"</formula>
    </cfRule>
  </conditionalFormatting>
  <conditionalFormatting sqref="A1042:A1044">
    <cfRule type="cellIs" dxfId="5199" priority="5037" stopIfTrue="1" operator="equal">
      <formula>"Pass"</formula>
    </cfRule>
    <cfRule type="cellIs" dxfId="5198" priority="5038" stopIfTrue="1" operator="equal">
      <formula>"Fail"</formula>
    </cfRule>
  </conditionalFormatting>
  <conditionalFormatting sqref="A1042:A1044">
    <cfRule type="cellIs" dxfId="5197" priority="5035" stopIfTrue="1" operator="equal">
      <formula>"Pass"</formula>
    </cfRule>
    <cfRule type="cellIs" dxfId="5196" priority="5036" stopIfTrue="1" operator="equal">
      <formula>"Fail"</formula>
    </cfRule>
  </conditionalFormatting>
  <conditionalFormatting sqref="A1044">
    <cfRule type="cellIs" dxfId="5195" priority="5033" stopIfTrue="1" operator="equal">
      <formula>"Pass"</formula>
    </cfRule>
    <cfRule type="cellIs" dxfId="5194" priority="5034" stopIfTrue="1" operator="equal">
      <formula>"Fail"</formula>
    </cfRule>
  </conditionalFormatting>
  <conditionalFormatting sqref="A1042:A1044">
    <cfRule type="cellIs" dxfId="5193" priority="5031" stopIfTrue="1" operator="equal">
      <formula>"Pass"</formula>
    </cfRule>
    <cfRule type="cellIs" dxfId="5192" priority="5032" stopIfTrue="1" operator="equal">
      <formula>"Fail"</formula>
    </cfRule>
  </conditionalFormatting>
  <conditionalFormatting sqref="A1042:A1044">
    <cfRule type="cellIs" dxfId="5191" priority="5029" stopIfTrue="1" operator="equal">
      <formula>"Pass"</formula>
    </cfRule>
    <cfRule type="cellIs" dxfId="5190" priority="5030" stopIfTrue="1" operator="equal">
      <formula>"Fail"</formula>
    </cfRule>
  </conditionalFormatting>
  <conditionalFormatting sqref="A1042:A1044">
    <cfRule type="cellIs" dxfId="5189" priority="5027" stopIfTrue="1" operator="equal">
      <formula>"Pass"</formula>
    </cfRule>
    <cfRule type="cellIs" dxfId="5188" priority="5028" stopIfTrue="1" operator="equal">
      <formula>"Fail"</formula>
    </cfRule>
  </conditionalFormatting>
  <conditionalFormatting sqref="A1042:A1044">
    <cfRule type="cellIs" dxfId="5187" priority="5025" stopIfTrue="1" operator="equal">
      <formula>"Pass"</formula>
    </cfRule>
    <cfRule type="cellIs" dxfId="5186" priority="5026" stopIfTrue="1" operator="equal">
      <formula>"Fail"</formula>
    </cfRule>
  </conditionalFormatting>
  <conditionalFormatting sqref="A1042:A1044">
    <cfRule type="cellIs" dxfId="5185" priority="5023" stopIfTrue="1" operator="equal">
      <formula>"Pass"</formula>
    </cfRule>
    <cfRule type="cellIs" dxfId="5184" priority="5024" stopIfTrue="1" operator="equal">
      <formula>"Fail"</formula>
    </cfRule>
  </conditionalFormatting>
  <conditionalFormatting sqref="A1042:A1044">
    <cfRule type="cellIs" dxfId="5183" priority="5021" stopIfTrue="1" operator="equal">
      <formula>"Pass"</formula>
    </cfRule>
    <cfRule type="cellIs" dxfId="5182" priority="5022" stopIfTrue="1" operator="equal">
      <formula>"Fail"</formula>
    </cfRule>
  </conditionalFormatting>
  <conditionalFormatting sqref="A1044">
    <cfRule type="cellIs" dxfId="5181" priority="5019" stopIfTrue="1" operator="equal">
      <formula>"Pass"</formula>
    </cfRule>
    <cfRule type="cellIs" dxfId="5180" priority="5020" stopIfTrue="1" operator="equal">
      <formula>"Fail"</formula>
    </cfRule>
  </conditionalFormatting>
  <conditionalFormatting sqref="A1042:A1044">
    <cfRule type="cellIs" dxfId="5179" priority="5017" stopIfTrue="1" operator="equal">
      <formula>"Pass"</formula>
    </cfRule>
    <cfRule type="cellIs" dxfId="5178" priority="5018" stopIfTrue="1" operator="equal">
      <formula>"Fail"</formula>
    </cfRule>
  </conditionalFormatting>
  <conditionalFormatting sqref="A1042:A1044">
    <cfRule type="cellIs" dxfId="5177" priority="5015" stopIfTrue="1" operator="equal">
      <formula>"Pass"</formula>
    </cfRule>
    <cfRule type="cellIs" dxfId="5176" priority="5016" stopIfTrue="1" operator="equal">
      <formula>"Fail"</formula>
    </cfRule>
  </conditionalFormatting>
  <conditionalFormatting sqref="A1042:A1044">
    <cfRule type="cellIs" dxfId="5175" priority="5013" stopIfTrue="1" operator="equal">
      <formula>"Pass"</formula>
    </cfRule>
    <cfRule type="cellIs" dxfId="5174" priority="5014" stopIfTrue="1" operator="equal">
      <formula>"Fail"</formula>
    </cfRule>
  </conditionalFormatting>
  <conditionalFormatting sqref="A1042:A1044">
    <cfRule type="cellIs" dxfId="5173" priority="5011" stopIfTrue="1" operator="equal">
      <formula>"Pass"</formula>
    </cfRule>
    <cfRule type="cellIs" dxfId="5172" priority="5012" stopIfTrue="1" operator="equal">
      <formula>"Fail"</formula>
    </cfRule>
  </conditionalFormatting>
  <conditionalFormatting sqref="A1042:A1044">
    <cfRule type="cellIs" dxfId="5171" priority="5009" stopIfTrue="1" operator="equal">
      <formula>"Pass"</formula>
    </cfRule>
    <cfRule type="cellIs" dxfId="5170" priority="5010" stopIfTrue="1" operator="equal">
      <formula>"Fail"</formula>
    </cfRule>
  </conditionalFormatting>
  <conditionalFormatting sqref="A1042:A1044">
    <cfRule type="cellIs" dxfId="5169" priority="5007" stopIfTrue="1" operator="equal">
      <formula>"Pass"</formula>
    </cfRule>
    <cfRule type="cellIs" dxfId="5168" priority="5008" stopIfTrue="1" operator="equal">
      <formula>"Fail"</formula>
    </cfRule>
  </conditionalFormatting>
  <conditionalFormatting sqref="A1044">
    <cfRule type="cellIs" dxfId="5167" priority="5005" stopIfTrue="1" operator="equal">
      <formula>"Pass"</formula>
    </cfRule>
    <cfRule type="cellIs" dxfId="5166" priority="5006" stopIfTrue="1" operator="equal">
      <formula>"Fail"</formula>
    </cfRule>
  </conditionalFormatting>
  <conditionalFormatting sqref="A1042:A1044">
    <cfRule type="cellIs" dxfId="5165" priority="5003" stopIfTrue="1" operator="equal">
      <formula>"Pass"</formula>
    </cfRule>
    <cfRule type="cellIs" dxfId="5164" priority="5004" stopIfTrue="1" operator="equal">
      <formula>"Fail"</formula>
    </cfRule>
  </conditionalFormatting>
  <conditionalFormatting sqref="A1042:A1044">
    <cfRule type="cellIs" dxfId="5163" priority="5001" stopIfTrue="1" operator="equal">
      <formula>"Pass"</formula>
    </cfRule>
    <cfRule type="cellIs" dxfId="5162" priority="5002" stopIfTrue="1" operator="equal">
      <formula>"Fail"</formula>
    </cfRule>
  </conditionalFormatting>
  <conditionalFormatting sqref="A1042:A1044">
    <cfRule type="cellIs" dxfId="5161" priority="4999" stopIfTrue="1" operator="equal">
      <formula>"Pass"</formula>
    </cfRule>
    <cfRule type="cellIs" dxfId="5160" priority="5000" stopIfTrue="1" operator="equal">
      <formula>"Fail"</formula>
    </cfRule>
  </conditionalFormatting>
  <conditionalFormatting sqref="A1042:A1044">
    <cfRule type="cellIs" dxfId="5159" priority="4997" stopIfTrue="1" operator="equal">
      <formula>"Pass"</formula>
    </cfRule>
    <cfRule type="cellIs" dxfId="5158" priority="4998" stopIfTrue="1" operator="equal">
      <formula>"Fail"</formula>
    </cfRule>
  </conditionalFormatting>
  <conditionalFormatting sqref="A1042:A1044">
    <cfRule type="cellIs" dxfId="5157" priority="4995" stopIfTrue="1" operator="equal">
      <formula>"Pass"</formula>
    </cfRule>
    <cfRule type="cellIs" dxfId="5156" priority="4996" stopIfTrue="1" operator="equal">
      <formula>"Fail"</formula>
    </cfRule>
  </conditionalFormatting>
  <conditionalFormatting sqref="A1042:A1044">
    <cfRule type="cellIs" dxfId="5155" priority="4993" stopIfTrue="1" operator="equal">
      <formula>"Pass"</formula>
    </cfRule>
    <cfRule type="cellIs" dxfId="5154" priority="4994" stopIfTrue="1" operator="equal">
      <formula>"Fail"</formula>
    </cfRule>
  </conditionalFormatting>
  <conditionalFormatting sqref="A1044">
    <cfRule type="cellIs" dxfId="5153" priority="4991" stopIfTrue="1" operator="equal">
      <formula>"Pass"</formula>
    </cfRule>
    <cfRule type="cellIs" dxfId="5152" priority="4992" stopIfTrue="1" operator="equal">
      <formula>"Fail"</formula>
    </cfRule>
  </conditionalFormatting>
  <conditionalFormatting sqref="A1042:A1044">
    <cfRule type="cellIs" dxfId="5151" priority="4989" stopIfTrue="1" operator="equal">
      <formula>"Pass"</formula>
    </cfRule>
    <cfRule type="cellIs" dxfId="5150" priority="4990" stopIfTrue="1" operator="equal">
      <formula>"Fail"</formula>
    </cfRule>
  </conditionalFormatting>
  <conditionalFormatting sqref="A1042">
    <cfRule type="cellIs" dxfId="5149" priority="4987" stopIfTrue="1" operator="equal">
      <formula>"Pass"</formula>
    </cfRule>
    <cfRule type="cellIs" dxfId="5148" priority="4988" stopIfTrue="1" operator="equal">
      <formula>"Fail"</formula>
    </cfRule>
  </conditionalFormatting>
  <conditionalFormatting sqref="A1042">
    <cfRule type="cellIs" dxfId="5147" priority="4985" stopIfTrue="1" operator="equal">
      <formula>"Pass"</formula>
    </cfRule>
    <cfRule type="cellIs" dxfId="5146" priority="4986" stopIfTrue="1" operator="equal">
      <formula>"Fail"</formula>
    </cfRule>
  </conditionalFormatting>
  <conditionalFormatting sqref="A1042">
    <cfRule type="cellIs" dxfId="5145" priority="4983" stopIfTrue="1" operator="equal">
      <formula>"Pass"</formula>
    </cfRule>
    <cfRule type="cellIs" dxfId="5144" priority="4984" stopIfTrue="1" operator="equal">
      <formula>"Fail"</formula>
    </cfRule>
  </conditionalFormatting>
  <conditionalFormatting sqref="A1042">
    <cfRule type="cellIs" dxfId="5143" priority="4981" stopIfTrue="1" operator="equal">
      <formula>"Pass"</formula>
    </cfRule>
    <cfRule type="cellIs" dxfId="5142" priority="4982" stopIfTrue="1" operator="equal">
      <formula>"Fail"</formula>
    </cfRule>
  </conditionalFormatting>
  <conditionalFormatting sqref="A1042">
    <cfRule type="cellIs" dxfId="5141" priority="4979" stopIfTrue="1" operator="equal">
      <formula>"Pass"</formula>
    </cfRule>
    <cfRule type="cellIs" dxfId="5140" priority="4980" stopIfTrue="1" operator="equal">
      <formula>"Fail"</formula>
    </cfRule>
  </conditionalFormatting>
  <conditionalFormatting sqref="A1042">
    <cfRule type="cellIs" dxfId="5139" priority="4977" stopIfTrue="1" operator="equal">
      <formula>"Pass"</formula>
    </cfRule>
    <cfRule type="cellIs" dxfId="5138" priority="4978" stopIfTrue="1" operator="equal">
      <formula>"Fail"</formula>
    </cfRule>
  </conditionalFormatting>
  <conditionalFormatting sqref="A1042">
    <cfRule type="cellIs" dxfId="5137" priority="4975" stopIfTrue="1" operator="equal">
      <formula>"Pass"</formula>
    </cfRule>
    <cfRule type="cellIs" dxfId="5136" priority="4976" stopIfTrue="1" operator="equal">
      <formula>"Fail"</formula>
    </cfRule>
  </conditionalFormatting>
  <conditionalFormatting sqref="A1042">
    <cfRule type="cellIs" dxfId="5135" priority="4973" stopIfTrue="1" operator="equal">
      <formula>"Pass"</formula>
    </cfRule>
    <cfRule type="cellIs" dxfId="5134" priority="4974" stopIfTrue="1" operator="equal">
      <formula>"Fail"</formula>
    </cfRule>
  </conditionalFormatting>
  <conditionalFormatting sqref="A1042">
    <cfRule type="cellIs" dxfId="5133" priority="4971" stopIfTrue="1" operator="equal">
      <formula>"Pass"</formula>
    </cfRule>
    <cfRule type="cellIs" dxfId="5132" priority="4972" stopIfTrue="1" operator="equal">
      <formula>"Fail"</formula>
    </cfRule>
  </conditionalFormatting>
  <conditionalFormatting sqref="A1042">
    <cfRule type="cellIs" dxfId="5131" priority="4969" stopIfTrue="1" operator="equal">
      <formula>"Pass"</formula>
    </cfRule>
    <cfRule type="cellIs" dxfId="5130" priority="4970" stopIfTrue="1" operator="equal">
      <formula>"Fail"</formula>
    </cfRule>
  </conditionalFormatting>
  <conditionalFormatting sqref="A1042">
    <cfRule type="cellIs" dxfId="5129" priority="4967" stopIfTrue="1" operator="equal">
      <formula>"Pass"</formula>
    </cfRule>
    <cfRule type="cellIs" dxfId="5128" priority="4968" stopIfTrue="1" operator="equal">
      <formula>"Fail"</formula>
    </cfRule>
  </conditionalFormatting>
  <conditionalFormatting sqref="A1042">
    <cfRule type="cellIs" dxfId="5127" priority="4965" stopIfTrue="1" operator="equal">
      <formula>"Pass"</formula>
    </cfRule>
    <cfRule type="cellIs" dxfId="5126" priority="4966" stopIfTrue="1" operator="equal">
      <formula>"Fail"</formula>
    </cfRule>
  </conditionalFormatting>
  <conditionalFormatting sqref="A1042">
    <cfRule type="cellIs" dxfId="5125" priority="4963" stopIfTrue="1" operator="equal">
      <formula>"Pass"</formula>
    </cfRule>
    <cfRule type="cellIs" dxfId="5124" priority="4964" stopIfTrue="1" operator="equal">
      <formula>"Fail"</formula>
    </cfRule>
  </conditionalFormatting>
  <conditionalFormatting sqref="A1042">
    <cfRule type="cellIs" dxfId="5123" priority="4961" stopIfTrue="1" operator="equal">
      <formula>"Pass"</formula>
    </cfRule>
    <cfRule type="cellIs" dxfId="5122" priority="4962" stopIfTrue="1" operator="equal">
      <formula>"Fail"</formula>
    </cfRule>
  </conditionalFormatting>
  <conditionalFormatting sqref="A1042">
    <cfRule type="cellIs" dxfId="5121" priority="4959" stopIfTrue="1" operator="equal">
      <formula>"Pass"</formula>
    </cfRule>
    <cfRule type="cellIs" dxfId="5120" priority="4960" stopIfTrue="1" operator="equal">
      <formula>"Fail"</formula>
    </cfRule>
  </conditionalFormatting>
  <conditionalFormatting sqref="A1042">
    <cfRule type="cellIs" dxfId="5119" priority="4957" stopIfTrue="1" operator="equal">
      <formula>"Pass"</formula>
    </cfRule>
    <cfRule type="cellIs" dxfId="5118" priority="4958" stopIfTrue="1" operator="equal">
      <formula>"Fail"</formula>
    </cfRule>
  </conditionalFormatting>
  <conditionalFormatting sqref="A1042">
    <cfRule type="cellIs" dxfId="5117" priority="4955" stopIfTrue="1" operator="equal">
      <formula>"Pass"</formula>
    </cfRule>
    <cfRule type="cellIs" dxfId="5116" priority="4956" stopIfTrue="1" operator="equal">
      <formula>"Fail"</formula>
    </cfRule>
  </conditionalFormatting>
  <conditionalFormatting sqref="A1042">
    <cfRule type="cellIs" dxfId="5115" priority="4953" stopIfTrue="1" operator="equal">
      <formula>"Pass"</formula>
    </cfRule>
    <cfRule type="cellIs" dxfId="5114" priority="4954" stopIfTrue="1" operator="equal">
      <formula>"Fail"</formula>
    </cfRule>
  </conditionalFormatting>
  <conditionalFormatting sqref="A1042">
    <cfRule type="cellIs" dxfId="5113" priority="4951" stopIfTrue="1" operator="equal">
      <formula>"Pass"</formula>
    </cfRule>
    <cfRule type="cellIs" dxfId="5112" priority="4952" stopIfTrue="1" operator="equal">
      <formula>"Fail"</formula>
    </cfRule>
  </conditionalFormatting>
  <conditionalFormatting sqref="A1042">
    <cfRule type="cellIs" dxfId="5111" priority="4949" stopIfTrue="1" operator="equal">
      <formula>"Pass"</formula>
    </cfRule>
    <cfRule type="cellIs" dxfId="5110" priority="4950" stopIfTrue="1" operator="equal">
      <formula>"Fail"</formula>
    </cfRule>
  </conditionalFormatting>
  <conditionalFormatting sqref="A1042">
    <cfRule type="cellIs" dxfId="5109" priority="4947" stopIfTrue="1" operator="equal">
      <formula>"Pass"</formula>
    </cfRule>
    <cfRule type="cellIs" dxfId="5108" priority="4948" stopIfTrue="1" operator="equal">
      <formula>"Fail"</formula>
    </cfRule>
  </conditionalFormatting>
  <conditionalFormatting sqref="A1042">
    <cfRule type="cellIs" dxfId="5107" priority="4945" stopIfTrue="1" operator="equal">
      <formula>"Pass"</formula>
    </cfRule>
    <cfRule type="cellIs" dxfId="5106" priority="4946" stopIfTrue="1" operator="equal">
      <formula>"Fail"</formula>
    </cfRule>
  </conditionalFormatting>
  <conditionalFormatting sqref="A1042">
    <cfRule type="cellIs" dxfId="5105" priority="4943" stopIfTrue="1" operator="equal">
      <formula>"Pass"</formula>
    </cfRule>
    <cfRule type="cellIs" dxfId="5104" priority="4944" stopIfTrue="1" operator="equal">
      <formula>"Fail"</formula>
    </cfRule>
  </conditionalFormatting>
  <conditionalFormatting sqref="A1042">
    <cfRule type="cellIs" dxfId="5103" priority="4941" stopIfTrue="1" operator="equal">
      <formula>"Pass"</formula>
    </cfRule>
    <cfRule type="cellIs" dxfId="5102" priority="4942" stopIfTrue="1" operator="equal">
      <formula>"Fail"</formula>
    </cfRule>
  </conditionalFormatting>
  <conditionalFormatting sqref="A1042">
    <cfRule type="cellIs" dxfId="5101" priority="4939" stopIfTrue="1" operator="equal">
      <formula>"Pass"</formula>
    </cfRule>
    <cfRule type="cellIs" dxfId="5100" priority="4940" stopIfTrue="1" operator="equal">
      <formula>"Fail"</formula>
    </cfRule>
  </conditionalFormatting>
  <conditionalFormatting sqref="A1042">
    <cfRule type="cellIs" dxfId="5099" priority="4937" stopIfTrue="1" operator="equal">
      <formula>"Pass"</formula>
    </cfRule>
    <cfRule type="cellIs" dxfId="5098" priority="4938" stopIfTrue="1" operator="equal">
      <formula>"Fail"</formula>
    </cfRule>
  </conditionalFormatting>
  <conditionalFormatting sqref="A1042">
    <cfRule type="cellIs" dxfId="5097" priority="4935" stopIfTrue="1" operator="equal">
      <formula>"Pass"</formula>
    </cfRule>
    <cfRule type="cellIs" dxfId="5096" priority="4936" stopIfTrue="1" operator="equal">
      <formula>"Fail"</formula>
    </cfRule>
  </conditionalFormatting>
  <conditionalFormatting sqref="A1042">
    <cfRule type="cellIs" dxfId="5095" priority="4933" stopIfTrue="1" operator="equal">
      <formula>"Pass"</formula>
    </cfRule>
    <cfRule type="cellIs" dxfId="5094" priority="4934" stopIfTrue="1" operator="equal">
      <formula>"Fail"</formula>
    </cfRule>
  </conditionalFormatting>
  <conditionalFormatting sqref="A1042">
    <cfRule type="cellIs" dxfId="5093" priority="4931" stopIfTrue="1" operator="equal">
      <formula>"Pass"</formula>
    </cfRule>
    <cfRule type="cellIs" dxfId="5092" priority="4932" stopIfTrue="1" operator="equal">
      <formula>"Fail"</formula>
    </cfRule>
  </conditionalFormatting>
  <conditionalFormatting sqref="A1042">
    <cfRule type="cellIs" dxfId="5091" priority="4929" stopIfTrue="1" operator="equal">
      <formula>"Pass"</formula>
    </cfRule>
    <cfRule type="cellIs" dxfId="5090" priority="4930" stopIfTrue="1" operator="equal">
      <formula>"Fail"</formula>
    </cfRule>
  </conditionalFormatting>
  <conditionalFormatting sqref="A1042">
    <cfRule type="cellIs" dxfId="5089" priority="4927" stopIfTrue="1" operator="equal">
      <formula>"Pass"</formula>
    </cfRule>
    <cfRule type="cellIs" dxfId="5088" priority="4928" stopIfTrue="1" operator="equal">
      <formula>"Fail"</formula>
    </cfRule>
  </conditionalFormatting>
  <conditionalFormatting sqref="A1042">
    <cfRule type="cellIs" dxfId="5087" priority="4925" stopIfTrue="1" operator="equal">
      <formula>"Pass"</formula>
    </cfRule>
    <cfRule type="cellIs" dxfId="5086" priority="4926" stopIfTrue="1" operator="equal">
      <formula>"Fail"</formula>
    </cfRule>
  </conditionalFormatting>
  <conditionalFormatting sqref="A1042">
    <cfRule type="cellIs" dxfId="5085" priority="4923" stopIfTrue="1" operator="equal">
      <formula>"Pass"</formula>
    </cfRule>
    <cfRule type="cellIs" dxfId="5084" priority="4924" stopIfTrue="1" operator="equal">
      <formula>"Fail"</formula>
    </cfRule>
  </conditionalFormatting>
  <conditionalFormatting sqref="A1042">
    <cfRule type="cellIs" dxfId="5083" priority="4921" stopIfTrue="1" operator="equal">
      <formula>"Pass"</formula>
    </cfRule>
    <cfRule type="cellIs" dxfId="5082" priority="4922" stopIfTrue="1" operator="equal">
      <formula>"Fail"</formula>
    </cfRule>
  </conditionalFormatting>
  <conditionalFormatting sqref="A1042">
    <cfRule type="cellIs" dxfId="5081" priority="4919" stopIfTrue="1" operator="equal">
      <formula>"Pass"</formula>
    </cfRule>
    <cfRule type="cellIs" dxfId="5080" priority="4920" stopIfTrue="1" operator="equal">
      <formula>"Fail"</formula>
    </cfRule>
  </conditionalFormatting>
  <conditionalFormatting sqref="A1042">
    <cfRule type="cellIs" dxfId="5079" priority="4917" stopIfTrue="1" operator="equal">
      <formula>"Pass"</formula>
    </cfRule>
    <cfRule type="cellIs" dxfId="5078" priority="4918" stopIfTrue="1" operator="equal">
      <formula>"Fail"</formula>
    </cfRule>
  </conditionalFormatting>
  <conditionalFormatting sqref="A1042">
    <cfRule type="cellIs" dxfId="5077" priority="4915" stopIfTrue="1" operator="equal">
      <formula>"Pass"</formula>
    </cfRule>
    <cfRule type="cellIs" dxfId="5076" priority="4916" stopIfTrue="1" operator="equal">
      <formula>"Fail"</formula>
    </cfRule>
  </conditionalFormatting>
  <conditionalFormatting sqref="A1042">
    <cfRule type="cellIs" dxfId="5075" priority="4913" stopIfTrue="1" operator="equal">
      <formula>"Pass"</formula>
    </cfRule>
    <cfRule type="cellIs" dxfId="5074" priority="4914" stopIfTrue="1" operator="equal">
      <formula>"Fail"</formula>
    </cfRule>
  </conditionalFormatting>
  <conditionalFormatting sqref="A1042">
    <cfRule type="cellIs" dxfId="5073" priority="4911" stopIfTrue="1" operator="equal">
      <formula>"Pass"</formula>
    </cfRule>
    <cfRule type="cellIs" dxfId="5072" priority="4912" stopIfTrue="1" operator="equal">
      <formula>"Fail"</formula>
    </cfRule>
  </conditionalFormatting>
  <conditionalFormatting sqref="A1042">
    <cfRule type="cellIs" dxfId="5071" priority="4909" stopIfTrue="1" operator="equal">
      <formula>"Pass"</formula>
    </cfRule>
    <cfRule type="cellIs" dxfId="5070" priority="4910" stopIfTrue="1" operator="equal">
      <formula>"Fail"</formula>
    </cfRule>
  </conditionalFormatting>
  <conditionalFormatting sqref="A1042">
    <cfRule type="cellIs" dxfId="5069" priority="4907" stopIfTrue="1" operator="equal">
      <formula>"Pass"</formula>
    </cfRule>
    <cfRule type="cellIs" dxfId="5068" priority="4908" stopIfTrue="1" operator="equal">
      <formula>"Fail"</formula>
    </cfRule>
  </conditionalFormatting>
  <conditionalFormatting sqref="A1042">
    <cfRule type="cellIs" dxfId="5067" priority="4905" stopIfTrue="1" operator="equal">
      <formula>"Pass"</formula>
    </cfRule>
    <cfRule type="cellIs" dxfId="5066" priority="4906" stopIfTrue="1" operator="equal">
      <formula>"Fail"</formula>
    </cfRule>
  </conditionalFormatting>
  <conditionalFormatting sqref="A1042">
    <cfRule type="cellIs" dxfId="5065" priority="4903" stopIfTrue="1" operator="equal">
      <formula>"Pass"</formula>
    </cfRule>
    <cfRule type="cellIs" dxfId="5064" priority="4904" stopIfTrue="1" operator="equal">
      <formula>"Fail"</formula>
    </cfRule>
  </conditionalFormatting>
  <conditionalFormatting sqref="A1042">
    <cfRule type="cellIs" dxfId="5063" priority="4901" stopIfTrue="1" operator="equal">
      <formula>"Pass"</formula>
    </cfRule>
    <cfRule type="cellIs" dxfId="5062" priority="4902" stopIfTrue="1" operator="equal">
      <formula>"Fail"</formula>
    </cfRule>
  </conditionalFormatting>
  <conditionalFormatting sqref="A1042">
    <cfRule type="cellIs" dxfId="5061" priority="4899" stopIfTrue="1" operator="equal">
      <formula>"Pass"</formula>
    </cfRule>
    <cfRule type="cellIs" dxfId="5060" priority="4900" stopIfTrue="1" operator="equal">
      <formula>"Fail"</formula>
    </cfRule>
  </conditionalFormatting>
  <conditionalFormatting sqref="A1042">
    <cfRule type="cellIs" dxfId="5059" priority="4897" stopIfTrue="1" operator="equal">
      <formula>"Pass"</formula>
    </cfRule>
    <cfRule type="cellIs" dxfId="5058" priority="4898" stopIfTrue="1" operator="equal">
      <formula>"Fail"</formula>
    </cfRule>
  </conditionalFormatting>
  <conditionalFormatting sqref="A1042">
    <cfRule type="cellIs" dxfId="5057" priority="4895" stopIfTrue="1" operator="equal">
      <formula>"Pass"</formula>
    </cfRule>
    <cfRule type="cellIs" dxfId="5056" priority="4896" stopIfTrue="1" operator="equal">
      <formula>"Fail"</formula>
    </cfRule>
  </conditionalFormatting>
  <conditionalFormatting sqref="A1042">
    <cfRule type="cellIs" dxfId="5055" priority="4893" stopIfTrue="1" operator="equal">
      <formula>"Pass"</formula>
    </cfRule>
    <cfRule type="cellIs" dxfId="5054" priority="4894" stopIfTrue="1" operator="equal">
      <formula>"Fail"</formula>
    </cfRule>
  </conditionalFormatting>
  <conditionalFormatting sqref="A1042:A1044">
    <cfRule type="cellIs" dxfId="5053" priority="4891" stopIfTrue="1" operator="equal">
      <formula>"Pass"</formula>
    </cfRule>
    <cfRule type="cellIs" dxfId="5052" priority="4892" stopIfTrue="1" operator="equal">
      <formula>"Fail"</formula>
    </cfRule>
  </conditionalFormatting>
  <conditionalFormatting sqref="A1042:A1044">
    <cfRule type="cellIs" dxfId="5051" priority="4889" stopIfTrue="1" operator="equal">
      <formula>"Pass"</formula>
    </cfRule>
    <cfRule type="cellIs" dxfId="5050" priority="4890" stopIfTrue="1" operator="equal">
      <formula>"Fail"</formula>
    </cfRule>
  </conditionalFormatting>
  <conditionalFormatting sqref="A1042:A1044">
    <cfRule type="cellIs" dxfId="5049" priority="4887" stopIfTrue="1" operator="equal">
      <formula>"Pass"</formula>
    </cfRule>
    <cfRule type="cellIs" dxfId="5048" priority="4888" stopIfTrue="1" operator="equal">
      <formula>"Fail"</formula>
    </cfRule>
  </conditionalFormatting>
  <conditionalFormatting sqref="A1042:A1044">
    <cfRule type="cellIs" dxfId="5047" priority="4885" stopIfTrue="1" operator="equal">
      <formula>"Pass"</formula>
    </cfRule>
    <cfRule type="cellIs" dxfId="5046" priority="4886" stopIfTrue="1" operator="equal">
      <formula>"Fail"</formula>
    </cfRule>
  </conditionalFormatting>
  <conditionalFormatting sqref="A1042:A1044">
    <cfRule type="cellIs" dxfId="5045" priority="4883" stopIfTrue="1" operator="equal">
      <formula>"Pass"</formula>
    </cfRule>
    <cfRule type="cellIs" dxfId="5044" priority="4884" stopIfTrue="1" operator="equal">
      <formula>"Fail"</formula>
    </cfRule>
  </conditionalFormatting>
  <conditionalFormatting sqref="A1044">
    <cfRule type="cellIs" dxfId="5043" priority="4881" stopIfTrue="1" operator="equal">
      <formula>"Pass"</formula>
    </cfRule>
    <cfRule type="cellIs" dxfId="5042" priority="4882" stopIfTrue="1" operator="equal">
      <formula>"Fail"</formula>
    </cfRule>
  </conditionalFormatting>
  <conditionalFormatting sqref="A1042:A1044">
    <cfRule type="cellIs" dxfId="5041" priority="4879" stopIfTrue="1" operator="equal">
      <formula>"Pass"</formula>
    </cfRule>
    <cfRule type="cellIs" dxfId="5040" priority="4880" stopIfTrue="1" operator="equal">
      <formula>"Fail"</formula>
    </cfRule>
  </conditionalFormatting>
  <conditionalFormatting sqref="A1042:A1044">
    <cfRule type="cellIs" dxfId="5039" priority="4877" stopIfTrue="1" operator="equal">
      <formula>"Pass"</formula>
    </cfRule>
    <cfRule type="cellIs" dxfId="5038" priority="4878" stopIfTrue="1" operator="equal">
      <formula>"Fail"</formula>
    </cfRule>
  </conditionalFormatting>
  <conditionalFormatting sqref="A1042:A1044">
    <cfRule type="cellIs" dxfId="5037" priority="4875" stopIfTrue="1" operator="equal">
      <formula>"Pass"</formula>
    </cfRule>
    <cfRule type="cellIs" dxfId="5036" priority="4876" stopIfTrue="1" operator="equal">
      <formula>"Fail"</formula>
    </cfRule>
  </conditionalFormatting>
  <conditionalFormatting sqref="A1042:A1044">
    <cfRule type="cellIs" dxfId="5035" priority="4873" stopIfTrue="1" operator="equal">
      <formula>"Pass"</formula>
    </cfRule>
    <cfRule type="cellIs" dxfId="5034" priority="4874" stopIfTrue="1" operator="equal">
      <formula>"Fail"</formula>
    </cfRule>
  </conditionalFormatting>
  <conditionalFormatting sqref="A1042:A1044">
    <cfRule type="cellIs" dxfId="5033" priority="4871" stopIfTrue="1" operator="equal">
      <formula>"Pass"</formula>
    </cfRule>
    <cfRule type="cellIs" dxfId="5032" priority="4872" stopIfTrue="1" operator="equal">
      <formula>"Fail"</formula>
    </cfRule>
  </conditionalFormatting>
  <conditionalFormatting sqref="A1042:A1044">
    <cfRule type="cellIs" dxfId="5031" priority="4869" stopIfTrue="1" operator="equal">
      <formula>"Pass"</formula>
    </cfRule>
    <cfRule type="cellIs" dxfId="5030" priority="4870" stopIfTrue="1" operator="equal">
      <formula>"Fail"</formula>
    </cfRule>
  </conditionalFormatting>
  <conditionalFormatting sqref="A1044">
    <cfRule type="cellIs" dxfId="5029" priority="4867" stopIfTrue="1" operator="equal">
      <formula>"Pass"</formula>
    </cfRule>
    <cfRule type="cellIs" dxfId="5028" priority="4868" stopIfTrue="1" operator="equal">
      <formula>"Fail"</formula>
    </cfRule>
  </conditionalFormatting>
  <conditionalFormatting sqref="A1042:A1044">
    <cfRule type="cellIs" dxfId="5027" priority="4865" stopIfTrue="1" operator="equal">
      <formula>"Pass"</formula>
    </cfRule>
    <cfRule type="cellIs" dxfId="5026" priority="4866" stopIfTrue="1" operator="equal">
      <formula>"Fail"</formula>
    </cfRule>
  </conditionalFormatting>
  <conditionalFormatting sqref="A1042:A1044">
    <cfRule type="cellIs" dxfId="5025" priority="4863" stopIfTrue="1" operator="equal">
      <formula>"Pass"</formula>
    </cfRule>
    <cfRule type="cellIs" dxfId="5024" priority="4864" stopIfTrue="1" operator="equal">
      <formula>"Fail"</formula>
    </cfRule>
  </conditionalFormatting>
  <conditionalFormatting sqref="A1042:A1044">
    <cfRule type="cellIs" dxfId="5023" priority="4861" stopIfTrue="1" operator="equal">
      <formula>"Pass"</formula>
    </cfRule>
    <cfRule type="cellIs" dxfId="5022" priority="4862" stopIfTrue="1" operator="equal">
      <formula>"Fail"</formula>
    </cfRule>
  </conditionalFormatting>
  <conditionalFormatting sqref="A1042:A1044">
    <cfRule type="cellIs" dxfId="5021" priority="4859" stopIfTrue="1" operator="equal">
      <formula>"Pass"</formula>
    </cfRule>
    <cfRule type="cellIs" dxfId="5020" priority="4860" stopIfTrue="1" operator="equal">
      <formula>"Fail"</formula>
    </cfRule>
  </conditionalFormatting>
  <conditionalFormatting sqref="A1042:A1044">
    <cfRule type="cellIs" dxfId="5019" priority="4857" stopIfTrue="1" operator="equal">
      <formula>"Pass"</formula>
    </cfRule>
    <cfRule type="cellIs" dxfId="5018" priority="4858" stopIfTrue="1" operator="equal">
      <formula>"Fail"</formula>
    </cfRule>
  </conditionalFormatting>
  <conditionalFormatting sqref="A1042:A1044">
    <cfRule type="cellIs" dxfId="5017" priority="4855" stopIfTrue="1" operator="equal">
      <formula>"Pass"</formula>
    </cfRule>
    <cfRule type="cellIs" dxfId="5016" priority="4856" stopIfTrue="1" operator="equal">
      <formula>"Fail"</formula>
    </cfRule>
  </conditionalFormatting>
  <conditionalFormatting sqref="A1044">
    <cfRule type="cellIs" dxfId="5015" priority="4853" stopIfTrue="1" operator="equal">
      <formula>"Pass"</formula>
    </cfRule>
    <cfRule type="cellIs" dxfId="5014" priority="4854" stopIfTrue="1" operator="equal">
      <formula>"Fail"</formula>
    </cfRule>
  </conditionalFormatting>
  <conditionalFormatting sqref="A1042:A1044">
    <cfRule type="cellIs" dxfId="5013" priority="4851" stopIfTrue="1" operator="equal">
      <formula>"Pass"</formula>
    </cfRule>
    <cfRule type="cellIs" dxfId="5012" priority="4852" stopIfTrue="1" operator="equal">
      <formula>"Fail"</formula>
    </cfRule>
  </conditionalFormatting>
  <conditionalFormatting sqref="A1042:A1044">
    <cfRule type="cellIs" dxfId="5011" priority="4849" stopIfTrue="1" operator="equal">
      <formula>"Pass"</formula>
    </cfRule>
    <cfRule type="cellIs" dxfId="5010" priority="4850" stopIfTrue="1" operator="equal">
      <formula>"Fail"</formula>
    </cfRule>
  </conditionalFormatting>
  <conditionalFormatting sqref="A1042:A1044">
    <cfRule type="cellIs" dxfId="5009" priority="4847" stopIfTrue="1" operator="equal">
      <formula>"Pass"</formula>
    </cfRule>
    <cfRule type="cellIs" dxfId="5008" priority="4848" stopIfTrue="1" operator="equal">
      <formula>"Fail"</formula>
    </cfRule>
  </conditionalFormatting>
  <conditionalFormatting sqref="A1042:A1044">
    <cfRule type="cellIs" dxfId="5007" priority="4845" stopIfTrue="1" operator="equal">
      <formula>"Pass"</formula>
    </cfRule>
    <cfRule type="cellIs" dxfId="5006" priority="4846" stopIfTrue="1" operator="equal">
      <formula>"Fail"</formula>
    </cfRule>
  </conditionalFormatting>
  <conditionalFormatting sqref="A1042:A1044">
    <cfRule type="cellIs" dxfId="5005" priority="4843" stopIfTrue="1" operator="equal">
      <formula>"Pass"</formula>
    </cfRule>
    <cfRule type="cellIs" dxfId="5004" priority="4844" stopIfTrue="1" operator="equal">
      <formula>"Fail"</formula>
    </cfRule>
  </conditionalFormatting>
  <conditionalFormatting sqref="A1042:A1044">
    <cfRule type="cellIs" dxfId="5003" priority="4841" stopIfTrue="1" operator="equal">
      <formula>"Pass"</formula>
    </cfRule>
    <cfRule type="cellIs" dxfId="5002" priority="4842" stopIfTrue="1" operator="equal">
      <formula>"Fail"</formula>
    </cfRule>
  </conditionalFormatting>
  <conditionalFormatting sqref="A1044">
    <cfRule type="cellIs" dxfId="5001" priority="4839" stopIfTrue="1" operator="equal">
      <formula>"Pass"</formula>
    </cfRule>
    <cfRule type="cellIs" dxfId="5000" priority="4840" stopIfTrue="1" operator="equal">
      <formula>"Fail"</formula>
    </cfRule>
  </conditionalFormatting>
  <conditionalFormatting sqref="A1042:A1044">
    <cfRule type="cellIs" dxfId="4999" priority="4837" stopIfTrue="1" operator="equal">
      <formula>"Pass"</formula>
    </cfRule>
    <cfRule type="cellIs" dxfId="4998" priority="4838" stopIfTrue="1" operator="equal">
      <formula>"Fail"</formula>
    </cfRule>
  </conditionalFormatting>
  <conditionalFormatting sqref="A1042:A1044">
    <cfRule type="cellIs" dxfId="4997" priority="4835" stopIfTrue="1" operator="equal">
      <formula>"Pass"</formula>
    </cfRule>
    <cfRule type="cellIs" dxfId="4996" priority="4836" stopIfTrue="1" operator="equal">
      <formula>"Fail"</formula>
    </cfRule>
  </conditionalFormatting>
  <conditionalFormatting sqref="A1042:A1044">
    <cfRule type="cellIs" dxfId="4995" priority="4833" stopIfTrue="1" operator="equal">
      <formula>"Pass"</formula>
    </cfRule>
    <cfRule type="cellIs" dxfId="4994" priority="4834" stopIfTrue="1" operator="equal">
      <formula>"Fail"</formula>
    </cfRule>
  </conditionalFormatting>
  <conditionalFormatting sqref="A1042:A1044">
    <cfRule type="cellIs" dxfId="4993" priority="4831" stopIfTrue="1" operator="equal">
      <formula>"Pass"</formula>
    </cfRule>
    <cfRule type="cellIs" dxfId="4992" priority="4832" stopIfTrue="1" operator="equal">
      <formula>"Fail"</formula>
    </cfRule>
  </conditionalFormatting>
  <conditionalFormatting sqref="A1042:A1044">
    <cfRule type="cellIs" dxfId="4991" priority="4829" stopIfTrue="1" operator="equal">
      <formula>"Pass"</formula>
    </cfRule>
    <cfRule type="cellIs" dxfId="4990" priority="4830" stopIfTrue="1" operator="equal">
      <formula>"Fail"</formula>
    </cfRule>
  </conditionalFormatting>
  <conditionalFormatting sqref="A1042:A1044">
    <cfRule type="cellIs" dxfId="4989" priority="4827" stopIfTrue="1" operator="equal">
      <formula>"Pass"</formula>
    </cfRule>
    <cfRule type="cellIs" dxfId="4988" priority="4828" stopIfTrue="1" operator="equal">
      <formula>"Fail"</formula>
    </cfRule>
  </conditionalFormatting>
  <conditionalFormatting sqref="A1044">
    <cfRule type="cellIs" dxfId="4987" priority="4825" stopIfTrue="1" operator="equal">
      <formula>"Pass"</formula>
    </cfRule>
    <cfRule type="cellIs" dxfId="4986" priority="4826" stopIfTrue="1" operator="equal">
      <formula>"Fail"</formula>
    </cfRule>
  </conditionalFormatting>
  <conditionalFormatting sqref="A1042:A1044">
    <cfRule type="cellIs" dxfId="4985" priority="4823" stopIfTrue="1" operator="equal">
      <formula>"Pass"</formula>
    </cfRule>
    <cfRule type="cellIs" dxfId="4984" priority="4824" stopIfTrue="1" operator="equal">
      <formula>"Fail"</formula>
    </cfRule>
  </conditionalFormatting>
  <conditionalFormatting sqref="A1042:A1044">
    <cfRule type="cellIs" dxfId="4983" priority="4821" stopIfTrue="1" operator="equal">
      <formula>"Pass"</formula>
    </cfRule>
    <cfRule type="cellIs" dxfId="4982" priority="4822" stopIfTrue="1" operator="equal">
      <formula>"Fail"</formula>
    </cfRule>
  </conditionalFormatting>
  <conditionalFormatting sqref="A1042:A1044">
    <cfRule type="cellIs" dxfId="4981" priority="4819" stopIfTrue="1" operator="equal">
      <formula>"Pass"</formula>
    </cfRule>
    <cfRule type="cellIs" dxfId="4980" priority="4820" stopIfTrue="1" operator="equal">
      <formula>"Fail"</formula>
    </cfRule>
  </conditionalFormatting>
  <conditionalFormatting sqref="A1042:A1044">
    <cfRule type="cellIs" dxfId="4979" priority="4817" stopIfTrue="1" operator="equal">
      <formula>"Pass"</formula>
    </cfRule>
    <cfRule type="cellIs" dxfId="4978" priority="4818" stopIfTrue="1" operator="equal">
      <formula>"Fail"</formula>
    </cfRule>
  </conditionalFormatting>
  <conditionalFormatting sqref="A1042:A1044">
    <cfRule type="cellIs" dxfId="4977" priority="4815" stopIfTrue="1" operator="equal">
      <formula>"Pass"</formula>
    </cfRule>
    <cfRule type="cellIs" dxfId="4976" priority="4816" stopIfTrue="1" operator="equal">
      <formula>"Fail"</formula>
    </cfRule>
  </conditionalFormatting>
  <conditionalFormatting sqref="A1042:A1044">
    <cfRule type="cellIs" dxfId="4975" priority="4813" stopIfTrue="1" operator="equal">
      <formula>"Pass"</formula>
    </cfRule>
    <cfRule type="cellIs" dxfId="4974" priority="4814" stopIfTrue="1" operator="equal">
      <formula>"Fail"</formula>
    </cfRule>
  </conditionalFormatting>
  <conditionalFormatting sqref="A1044">
    <cfRule type="cellIs" dxfId="4973" priority="4811" stopIfTrue="1" operator="equal">
      <formula>"Pass"</formula>
    </cfRule>
    <cfRule type="cellIs" dxfId="4972" priority="4812" stopIfTrue="1" operator="equal">
      <formula>"Fail"</formula>
    </cfRule>
  </conditionalFormatting>
  <conditionalFormatting sqref="A1042:A1044">
    <cfRule type="cellIs" dxfId="4971" priority="4809" stopIfTrue="1" operator="equal">
      <formula>"Pass"</formula>
    </cfRule>
    <cfRule type="cellIs" dxfId="4970" priority="4810" stopIfTrue="1" operator="equal">
      <formula>"Fail"</formula>
    </cfRule>
  </conditionalFormatting>
  <conditionalFormatting sqref="A1042">
    <cfRule type="cellIs" dxfId="4969" priority="4807" stopIfTrue="1" operator="equal">
      <formula>"Pass"</formula>
    </cfRule>
    <cfRule type="cellIs" dxfId="4968" priority="4808" stopIfTrue="1" operator="equal">
      <formula>"Fail"</formula>
    </cfRule>
  </conditionalFormatting>
  <conditionalFormatting sqref="A1042">
    <cfRule type="cellIs" dxfId="4967" priority="4805" stopIfTrue="1" operator="equal">
      <formula>"Pass"</formula>
    </cfRule>
    <cfRule type="cellIs" dxfId="4966" priority="4806" stopIfTrue="1" operator="equal">
      <formula>"Fail"</formula>
    </cfRule>
  </conditionalFormatting>
  <conditionalFormatting sqref="A1042">
    <cfRule type="cellIs" dxfId="4965" priority="4803" stopIfTrue="1" operator="equal">
      <formula>"Pass"</formula>
    </cfRule>
    <cfRule type="cellIs" dxfId="4964" priority="4804" stopIfTrue="1" operator="equal">
      <formula>"Fail"</formula>
    </cfRule>
  </conditionalFormatting>
  <conditionalFormatting sqref="A1042">
    <cfRule type="cellIs" dxfId="4963" priority="4801" stopIfTrue="1" operator="equal">
      <formula>"Pass"</formula>
    </cfRule>
    <cfRule type="cellIs" dxfId="4962" priority="4802" stopIfTrue="1" operator="equal">
      <formula>"Fail"</formula>
    </cfRule>
  </conditionalFormatting>
  <conditionalFormatting sqref="A1042">
    <cfRule type="cellIs" dxfId="4961" priority="4799" stopIfTrue="1" operator="equal">
      <formula>"Pass"</formula>
    </cfRule>
    <cfRule type="cellIs" dxfId="4960" priority="4800" stopIfTrue="1" operator="equal">
      <formula>"Fail"</formula>
    </cfRule>
  </conditionalFormatting>
  <conditionalFormatting sqref="A1042">
    <cfRule type="cellIs" dxfId="4959" priority="4797" stopIfTrue="1" operator="equal">
      <formula>"Pass"</formula>
    </cfRule>
    <cfRule type="cellIs" dxfId="4958" priority="4798" stopIfTrue="1" operator="equal">
      <formula>"Fail"</formula>
    </cfRule>
  </conditionalFormatting>
  <conditionalFormatting sqref="A1042">
    <cfRule type="cellIs" dxfId="4957" priority="4795" stopIfTrue="1" operator="equal">
      <formula>"Pass"</formula>
    </cfRule>
    <cfRule type="cellIs" dxfId="4956" priority="4796" stopIfTrue="1" operator="equal">
      <formula>"Fail"</formula>
    </cfRule>
  </conditionalFormatting>
  <conditionalFormatting sqref="A1042">
    <cfRule type="cellIs" dxfId="4955" priority="4793" stopIfTrue="1" operator="equal">
      <formula>"Pass"</formula>
    </cfRule>
    <cfRule type="cellIs" dxfId="4954" priority="4794" stopIfTrue="1" operator="equal">
      <formula>"Fail"</formula>
    </cfRule>
  </conditionalFormatting>
  <conditionalFormatting sqref="A1042">
    <cfRule type="cellIs" dxfId="4953" priority="4791" stopIfTrue="1" operator="equal">
      <formula>"Pass"</formula>
    </cfRule>
    <cfRule type="cellIs" dxfId="4952" priority="4792" stopIfTrue="1" operator="equal">
      <formula>"Fail"</formula>
    </cfRule>
  </conditionalFormatting>
  <conditionalFormatting sqref="A1042">
    <cfRule type="cellIs" dxfId="4951" priority="4789" stopIfTrue="1" operator="equal">
      <formula>"Pass"</formula>
    </cfRule>
    <cfRule type="cellIs" dxfId="4950" priority="4790" stopIfTrue="1" operator="equal">
      <formula>"Fail"</formula>
    </cfRule>
  </conditionalFormatting>
  <conditionalFormatting sqref="A1042">
    <cfRule type="cellIs" dxfId="4949" priority="4787" stopIfTrue="1" operator="equal">
      <formula>"Pass"</formula>
    </cfRule>
    <cfRule type="cellIs" dxfId="4948" priority="4788" stopIfTrue="1" operator="equal">
      <formula>"Fail"</formula>
    </cfRule>
  </conditionalFormatting>
  <conditionalFormatting sqref="A1042">
    <cfRule type="cellIs" dxfId="4947" priority="4785" stopIfTrue="1" operator="equal">
      <formula>"Pass"</formula>
    </cfRule>
    <cfRule type="cellIs" dxfId="4946" priority="4786" stopIfTrue="1" operator="equal">
      <formula>"Fail"</formula>
    </cfRule>
  </conditionalFormatting>
  <conditionalFormatting sqref="A1042">
    <cfRule type="cellIs" dxfId="4945" priority="4783" stopIfTrue="1" operator="equal">
      <formula>"Pass"</formula>
    </cfRule>
    <cfRule type="cellIs" dxfId="4944" priority="4784" stopIfTrue="1" operator="equal">
      <formula>"Fail"</formula>
    </cfRule>
  </conditionalFormatting>
  <conditionalFormatting sqref="A1042">
    <cfRule type="cellIs" dxfId="4943" priority="4781" stopIfTrue="1" operator="equal">
      <formula>"Pass"</formula>
    </cfRule>
    <cfRule type="cellIs" dxfId="4942" priority="4782" stopIfTrue="1" operator="equal">
      <formula>"Fail"</formula>
    </cfRule>
  </conditionalFormatting>
  <conditionalFormatting sqref="A1042">
    <cfRule type="cellIs" dxfId="4941" priority="4779" stopIfTrue="1" operator="equal">
      <formula>"Pass"</formula>
    </cfRule>
    <cfRule type="cellIs" dxfId="4940" priority="4780" stopIfTrue="1" operator="equal">
      <formula>"Fail"</formula>
    </cfRule>
  </conditionalFormatting>
  <conditionalFormatting sqref="A1042">
    <cfRule type="cellIs" dxfId="4939" priority="4777" stopIfTrue="1" operator="equal">
      <formula>"Pass"</formula>
    </cfRule>
    <cfRule type="cellIs" dxfId="4938" priority="4778" stopIfTrue="1" operator="equal">
      <formula>"Fail"</formula>
    </cfRule>
  </conditionalFormatting>
  <conditionalFormatting sqref="A1042">
    <cfRule type="cellIs" dxfId="4937" priority="4775" stopIfTrue="1" operator="equal">
      <formula>"Pass"</formula>
    </cfRule>
    <cfRule type="cellIs" dxfId="4936" priority="4776" stopIfTrue="1" operator="equal">
      <formula>"Fail"</formula>
    </cfRule>
  </conditionalFormatting>
  <conditionalFormatting sqref="A1042">
    <cfRule type="cellIs" dxfId="4935" priority="4773" stopIfTrue="1" operator="equal">
      <formula>"Pass"</formula>
    </cfRule>
    <cfRule type="cellIs" dxfId="4934" priority="4774" stopIfTrue="1" operator="equal">
      <formula>"Fail"</formula>
    </cfRule>
  </conditionalFormatting>
  <conditionalFormatting sqref="A1042">
    <cfRule type="cellIs" dxfId="4933" priority="4771" stopIfTrue="1" operator="equal">
      <formula>"Pass"</formula>
    </cfRule>
    <cfRule type="cellIs" dxfId="4932" priority="4772" stopIfTrue="1" operator="equal">
      <formula>"Fail"</formula>
    </cfRule>
  </conditionalFormatting>
  <conditionalFormatting sqref="A1042">
    <cfRule type="cellIs" dxfId="4931" priority="4769" stopIfTrue="1" operator="equal">
      <formula>"Pass"</formula>
    </cfRule>
    <cfRule type="cellIs" dxfId="4930" priority="4770" stopIfTrue="1" operator="equal">
      <formula>"Fail"</formula>
    </cfRule>
  </conditionalFormatting>
  <conditionalFormatting sqref="A1042">
    <cfRule type="cellIs" dxfId="4929" priority="4767" stopIfTrue="1" operator="equal">
      <formula>"Pass"</formula>
    </cfRule>
    <cfRule type="cellIs" dxfId="4928" priority="4768" stopIfTrue="1" operator="equal">
      <formula>"Fail"</formula>
    </cfRule>
  </conditionalFormatting>
  <conditionalFormatting sqref="A1042">
    <cfRule type="cellIs" dxfId="4927" priority="4765" stopIfTrue="1" operator="equal">
      <formula>"Pass"</formula>
    </cfRule>
    <cfRule type="cellIs" dxfId="4926" priority="4766" stopIfTrue="1" operator="equal">
      <formula>"Fail"</formula>
    </cfRule>
  </conditionalFormatting>
  <conditionalFormatting sqref="A1042">
    <cfRule type="cellIs" dxfId="4925" priority="4763" stopIfTrue="1" operator="equal">
      <formula>"Pass"</formula>
    </cfRule>
    <cfRule type="cellIs" dxfId="4924" priority="4764" stopIfTrue="1" operator="equal">
      <formula>"Fail"</formula>
    </cfRule>
  </conditionalFormatting>
  <conditionalFormatting sqref="A1042">
    <cfRule type="cellIs" dxfId="4923" priority="4761" stopIfTrue="1" operator="equal">
      <formula>"Pass"</formula>
    </cfRule>
    <cfRule type="cellIs" dxfId="4922" priority="4762" stopIfTrue="1" operator="equal">
      <formula>"Fail"</formula>
    </cfRule>
  </conditionalFormatting>
  <conditionalFormatting sqref="A1042">
    <cfRule type="cellIs" dxfId="4921" priority="4759" stopIfTrue="1" operator="equal">
      <formula>"Pass"</formula>
    </cfRule>
    <cfRule type="cellIs" dxfId="4920" priority="4760" stopIfTrue="1" operator="equal">
      <formula>"Fail"</formula>
    </cfRule>
  </conditionalFormatting>
  <conditionalFormatting sqref="A1042">
    <cfRule type="cellIs" dxfId="4919" priority="4757" stopIfTrue="1" operator="equal">
      <formula>"Pass"</formula>
    </cfRule>
    <cfRule type="cellIs" dxfId="4918" priority="4758" stopIfTrue="1" operator="equal">
      <formula>"Fail"</formula>
    </cfRule>
  </conditionalFormatting>
  <conditionalFormatting sqref="A1042">
    <cfRule type="cellIs" dxfId="4917" priority="4755" stopIfTrue="1" operator="equal">
      <formula>"Pass"</formula>
    </cfRule>
    <cfRule type="cellIs" dxfId="4916" priority="4756" stopIfTrue="1" operator="equal">
      <formula>"Fail"</formula>
    </cfRule>
  </conditionalFormatting>
  <conditionalFormatting sqref="A1042">
    <cfRule type="cellIs" dxfId="4915" priority="4753" stopIfTrue="1" operator="equal">
      <formula>"Pass"</formula>
    </cfRule>
    <cfRule type="cellIs" dxfId="4914" priority="4754" stopIfTrue="1" operator="equal">
      <formula>"Fail"</formula>
    </cfRule>
  </conditionalFormatting>
  <conditionalFormatting sqref="A1042">
    <cfRule type="cellIs" dxfId="4913" priority="4751" stopIfTrue="1" operator="equal">
      <formula>"Pass"</formula>
    </cfRule>
    <cfRule type="cellIs" dxfId="4912" priority="4752" stopIfTrue="1" operator="equal">
      <formula>"Fail"</formula>
    </cfRule>
  </conditionalFormatting>
  <conditionalFormatting sqref="A1042">
    <cfRule type="cellIs" dxfId="4911" priority="4749" stopIfTrue="1" operator="equal">
      <formula>"Pass"</formula>
    </cfRule>
    <cfRule type="cellIs" dxfId="4910" priority="4750" stopIfTrue="1" operator="equal">
      <formula>"Fail"</formula>
    </cfRule>
  </conditionalFormatting>
  <conditionalFormatting sqref="A1042">
    <cfRule type="cellIs" dxfId="4909" priority="4747" stopIfTrue="1" operator="equal">
      <formula>"Pass"</formula>
    </cfRule>
    <cfRule type="cellIs" dxfId="4908" priority="4748" stopIfTrue="1" operator="equal">
      <formula>"Fail"</formula>
    </cfRule>
  </conditionalFormatting>
  <conditionalFormatting sqref="A1042">
    <cfRule type="cellIs" dxfId="4907" priority="4745" stopIfTrue="1" operator="equal">
      <formula>"Pass"</formula>
    </cfRule>
    <cfRule type="cellIs" dxfId="4906" priority="4746" stopIfTrue="1" operator="equal">
      <formula>"Fail"</formula>
    </cfRule>
  </conditionalFormatting>
  <conditionalFormatting sqref="A1042">
    <cfRule type="cellIs" dxfId="4905" priority="4743" stopIfTrue="1" operator="equal">
      <formula>"Pass"</formula>
    </cfRule>
    <cfRule type="cellIs" dxfId="4904" priority="4744" stopIfTrue="1" operator="equal">
      <formula>"Fail"</formula>
    </cfRule>
  </conditionalFormatting>
  <conditionalFormatting sqref="A1042">
    <cfRule type="cellIs" dxfId="4903" priority="4741" stopIfTrue="1" operator="equal">
      <formula>"Pass"</formula>
    </cfRule>
    <cfRule type="cellIs" dxfId="4902" priority="4742" stopIfTrue="1" operator="equal">
      <formula>"Fail"</formula>
    </cfRule>
  </conditionalFormatting>
  <conditionalFormatting sqref="A1042">
    <cfRule type="cellIs" dxfId="4901" priority="4739" stopIfTrue="1" operator="equal">
      <formula>"Pass"</formula>
    </cfRule>
    <cfRule type="cellIs" dxfId="4900" priority="4740" stopIfTrue="1" operator="equal">
      <formula>"Fail"</formula>
    </cfRule>
  </conditionalFormatting>
  <conditionalFormatting sqref="A1042">
    <cfRule type="cellIs" dxfId="4899" priority="4737" stopIfTrue="1" operator="equal">
      <formula>"Pass"</formula>
    </cfRule>
    <cfRule type="cellIs" dxfId="4898" priority="4738" stopIfTrue="1" operator="equal">
      <formula>"Fail"</formula>
    </cfRule>
  </conditionalFormatting>
  <conditionalFormatting sqref="A1042">
    <cfRule type="cellIs" dxfId="4897" priority="4735" stopIfTrue="1" operator="equal">
      <formula>"Pass"</formula>
    </cfRule>
    <cfRule type="cellIs" dxfId="4896" priority="4736" stopIfTrue="1" operator="equal">
      <formula>"Fail"</formula>
    </cfRule>
  </conditionalFormatting>
  <conditionalFormatting sqref="A1042">
    <cfRule type="cellIs" dxfId="4895" priority="4733" stopIfTrue="1" operator="equal">
      <formula>"Pass"</formula>
    </cfRule>
    <cfRule type="cellIs" dxfId="4894" priority="4734" stopIfTrue="1" operator="equal">
      <formula>"Fail"</formula>
    </cfRule>
  </conditionalFormatting>
  <conditionalFormatting sqref="A1042">
    <cfRule type="cellIs" dxfId="4893" priority="4731" stopIfTrue="1" operator="equal">
      <formula>"Pass"</formula>
    </cfRule>
    <cfRule type="cellIs" dxfId="4892" priority="4732" stopIfTrue="1" operator="equal">
      <formula>"Fail"</formula>
    </cfRule>
  </conditionalFormatting>
  <conditionalFormatting sqref="A1042">
    <cfRule type="cellIs" dxfId="4891" priority="4729" stopIfTrue="1" operator="equal">
      <formula>"Pass"</formula>
    </cfRule>
    <cfRule type="cellIs" dxfId="4890" priority="4730" stopIfTrue="1" operator="equal">
      <formula>"Fail"</formula>
    </cfRule>
  </conditionalFormatting>
  <conditionalFormatting sqref="A1042">
    <cfRule type="cellIs" dxfId="4889" priority="4727" stopIfTrue="1" operator="equal">
      <formula>"Pass"</formula>
    </cfRule>
    <cfRule type="cellIs" dxfId="4888" priority="4728" stopIfTrue="1" operator="equal">
      <formula>"Fail"</formula>
    </cfRule>
  </conditionalFormatting>
  <conditionalFormatting sqref="A1042">
    <cfRule type="cellIs" dxfId="4887" priority="4725" stopIfTrue="1" operator="equal">
      <formula>"Pass"</formula>
    </cfRule>
    <cfRule type="cellIs" dxfId="4886" priority="4726" stopIfTrue="1" operator="equal">
      <formula>"Fail"</formula>
    </cfRule>
  </conditionalFormatting>
  <conditionalFormatting sqref="A1042">
    <cfRule type="cellIs" dxfId="4885" priority="4723" stopIfTrue="1" operator="equal">
      <formula>"Pass"</formula>
    </cfRule>
    <cfRule type="cellIs" dxfId="4884" priority="4724" stopIfTrue="1" operator="equal">
      <formula>"Fail"</formula>
    </cfRule>
  </conditionalFormatting>
  <conditionalFormatting sqref="A1042">
    <cfRule type="cellIs" dxfId="4883" priority="4721" stopIfTrue="1" operator="equal">
      <formula>"Pass"</formula>
    </cfRule>
    <cfRule type="cellIs" dxfId="4882" priority="4722" stopIfTrue="1" operator="equal">
      <formula>"Fail"</formula>
    </cfRule>
  </conditionalFormatting>
  <conditionalFormatting sqref="A1042">
    <cfRule type="cellIs" dxfId="4881" priority="4719" stopIfTrue="1" operator="equal">
      <formula>"Pass"</formula>
    </cfRule>
    <cfRule type="cellIs" dxfId="4880" priority="4720" stopIfTrue="1" operator="equal">
      <formula>"Fail"</formula>
    </cfRule>
  </conditionalFormatting>
  <conditionalFormatting sqref="A1042">
    <cfRule type="cellIs" dxfId="4879" priority="4717" stopIfTrue="1" operator="equal">
      <formula>"Pass"</formula>
    </cfRule>
    <cfRule type="cellIs" dxfId="4878" priority="4718" stopIfTrue="1" operator="equal">
      <formula>"Fail"</formula>
    </cfRule>
  </conditionalFormatting>
  <conditionalFormatting sqref="A1042">
    <cfRule type="cellIs" dxfId="4877" priority="4715" stopIfTrue="1" operator="equal">
      <formula>"Pass"</formula>
    </cfRule>
    <cfRule type="cellIs" dxfId="4876" priority="4716" stopIfTrue="1" operator="equal">
      <formula>"Fail"</formula>
    </cfRule>
  </conditionalFormatting>
  <conditionalFormatting sqref="A1042">
    <cfRule type="cellIs" dxfId="4875" priority="4713" stopIfTrue="1" operator="equal">
      <formula>"Pass"</formula>
    </cfRule>
    <cfRule type="cellIs" dxfId="4874" priority="4714" stopIfTrue="1" operator="equal">
      <formula>"Fail"</formula>
    </cfRule>
  </conditionalFormatting>
  <conditionalFormatting sqref="A1045:A1047">
    <cfRule type="cellIs" dxfId="4873" priority="4711" stopIfTrue="1" operator="equal">
      <formula>"Pass"</formula>
    </cfRule>
    <cfRule type="cellIs" dxfId="4872" priority="4712" stopIfTrue="1" operator="equal">
      <formula>"Fail"</formula>
    </cfRule>
  </conditionalFormatting>
  <conditionalFormatting sqref="A1045:A1047">
    <cfRule type="cellIs" dxfId="4871" priority="4709" stopIfTrue="1" operator="equal">
      <formula>"Pass"</formula>
    </cfRule>
    <cfRule type="cellIs" dxfId="4870" priority="4710" stopIfTrue="1" operator="equal">
      <formula>"Fail"</formula>
    </cfRule>
  </conditionalFormatting>
  <conditionalFormatting sqref="A1045:A1047">
    <cfRule type="cellIs" dxfId="4869" priority="4707" stopIfTrue="1" operator="equal">
      <formula>"Pass"</formula>
    </cfRule>
    <cfRule type="cellIs" dxfId="4868" priority="4708" stopIfTrue="1" operator="equal">
      <formula>"Fail"</formula>
    </cfRule>
  </conditionalFormatting>
  <conditionalFormatting sqref="A1045:A1047">
    <cfRule type="cellIs" dxfId="4867" priority="4705" stopIfTrue="1" operator="equal">
      <formula>"Pass"</formula>
    </cfRule>
    <cfRule type="cellIs" dxfId="4866" priority="4706" stopIfTrue="1" operator="equal">
      <formula>"Fail"</formula>
    </cfRule>
  </conditionalFormatting>
  <conditionalFormatting sqref="A1045:A1047">
    <cfRule type="cellIs" dxfId="4865" priority="4703" stopIfTrue="1" operator="equal">
      <formula>"Pass"</formula>
    </cfRule>
    <cfRule type="cellIs" dxfId="4864" priority="4704" stopIfTrue="1" operator="equal">
      <formula>"Fail"</formula>
    </cfRule>
  </conditionalFormatting>
  <conditionalFormatting sqref="A1047">
    <cfRule type="cellIs" dxfId="4863" priority="4701" stopIfTrue="1" operator="equal">
      <formula>"Pass"</formula>
    </cfRule>
    <cfRule type="cellIs" dxfId="4862" priority="4702" stopIfTrue="1" operator="equal">
      <formula>"Fail"</formula>
    </cfRule>
  </conditionalFormatting>
  <conditionalFormatting sqref="A1045:A1047">
    <cfRule type="cellIs" dxfId="4861" priority="4699" stopIfTrue="1" operator="equal">
      <formula>"Pass"</formula>
    </cfRule>
    <cfRule type="cellIs" dxfId="4860" priority="4700" stopIfTrue="1" operator="equal">
      <formula>"Fail"</formula>
    </cfRule>
  </conditionalFormatting>
  <conditionalFormatting sqref="A1045:A1047">
    <cfRule type="cellIs" dxfId="4859" priority="4697" stopIfTrue="1" operator="equal">
      <formula>"Pass"</formula>
    </cfRule>
    <cfRule type="cellIs" dxfId="4858" priority="4698" stopIfTrue="1" operator="equal">
      <formula>"Fail"</formula>
    </cfRule>
  </conditionalFormatting>
  <conditionalFormatting sqref="A1045:A1047">
    <cfRule type="cellIs" dxfId="4857" priority="4695" stopIfTrue="1" operator="equal">
      <formula>"Pass"</formula>
    </cfRule>
    <cfRule type="cellIs" dxfId="4856" priority="4696" stopIfTrue="1" operator="equal">
      <formula>"Fail"</formula>
    </cfRule>
  </conditionalFormatting>
  <conditionalFormatting sqref="A1045:A1047">
    <cfRule type="cellIs" dxfId="4855" priority="4693" stopIfTrue="1" operator="equal">
      <formula>"Pass"</formula>
    </cfRule>
    <cfRule type="cellIs" dxfId="4854" priority="4694" stopIfTrue="1" operator="equal">
      <formula>"Fail"</formula>
    </cfRule>
  </conditionalFormatting>
  <conditionalFormatting sqref="A1045:A1047">
    <cfRule type="cellIs" dxfId="4853" priority="4691" stopIfTrue="1" operator="equal">
      <formula>"Pass"</formula>
    </cfRule>
    <cfRule type="cellIs" dxfId="4852" priority="4692" stopIfTrue="1" operator="equal">
      <formula>"Fail"</formula>
    </cfRule>
  </conditionalFormatting>
  <conditionalFormatting sqref="A1045:A1047">
    <cfRule type="cellIs" dxfId="4851" priority="4689" stopIfTrue="1" operator="equal">
      <formula>"Pass"</formula>
    </cfRule>
    <cfRule type="cellIs" dxfId="4850" priority="4690" stopIfTrue="1" operator="equal">
      <formula>"Fail"</formula>
    </cfRule>
  </conditionalFormatting>
  <conditionalFormatting sqref="A1047">
    <cfRule type="cellIs" dxfId="4849" priority="4687" stopIfTrue="1" operator="equal">
      <formula>"Pass"</formula>
    </cfRule>
    <cfRule type="cellIs" dxfId="4848" priority="4688" stopIfTrue="1" operator="equal">
      <formula>"Fail"</formula>
    </cfRule>
  </conditionalFormatting>
  <conditionalFormatting sqref="A1045:A1047">
    <cfRule type="cellIs" dxfId="4847" priority="4685" stopIfTrue="1" operator="equal">
      <formula>"Pass"</formula>
    </cfRule>
    <cfRule type="cellIs" dxfId="4846" priority="4686" stopIfTrue="1" operator="equal">
      <formula>"Fail"</formula>
    </cfRule>
  </conditionalFormatting>
  <conditionalFormatting sqref="A1045:A1047">
    <cfRule type="cellIs" dxfId="4845" priority="4683" stopIfTrue="1" operator="equal">
      <formula>"Pass"</formula>
    </cfRule>
    <cfRule type="cellIs" dxfId="4844" priority="4684" stopIfTrue="1" operator="equal">
      <formula>"Fail"</formula>
    </cfRule>
  </conditionalFormatting>
  <conditionalFormatting sqref="A1045:A1047">
    <cfRule type="cellIs" dxfId="4843" priority="4681" stopIfTrue="1" operator="equal">
      <formula>"Pass"</formula>
    </cfRule>
    <cfRule type="cellIs" dxfId="4842" priority="4682" stopIfTrue="1" operator="equal">
      <formula>"Fail"</formula>
    </cfRule>
  </conditionalFormatting>
  <conditionalFormatting sqref="A1045:A1047">
    <cfRule type="cellIs" dxfId="4841" priority="4679" stopIfTrue="1" operator="equal">
      <formula>"Pass"</formula>
    </cfRule>
    <cfRule type="cellIs" dxfId="4840" priority="4680" stopIfTrue="1" operator="equal">
      <formula>"Fail"</formula>
    </cfRule>
  </conditionalFormatting>
  <conditionalFormatting sqref="A1045:A1047">
    <cfRule type="cellIs" dxfId="4839" priority="4677" stopIfTrue="1" operator="equal">
      <formula>"Pass"</formula>
    </cfRule>
    <cfRule type="cellIs" dxfId="4838" priority="4678" stopIfTrue="1" operator="equal">
      <formula>"Fail"</formula>
    </cfRule>
  </conditionalFormatting>
  <conditionalFormatting sqref="A1045:A1047">
    <cfRule type="cellIs" dxfId="4837" priority="4675" stopIfTrue="1" operator="equal">
      <formula>"Pass"</formula>
    </cfRule>
    <cfRule type="cellIs" dxfId="4836" priority="4676" stopIfTrue="1" operator="equal">
      <formula>"Fail"</formula>
    </cfRule>
  </conditionalFormatting>
  <conditionalFormatting sqref="A1047">
    <cfRule type="cellIs" dxfId="4835" priority="4673" stopIfTrue="1" operator="equal">
      <formula>"Pass"</formula>
    </cfRule>
    <cfRule type="cellIs" dxfId="4834" priority="4674" stopIfTrue="1" operator="equal">
      <formula>"Fail"</formula>
    </cfRule>
  </conditionalFormatting>
  <conditionalFormatting sqref="A1045:A1047">
    <cfRule type="cellIs" dxfId="4833" priority="4671" stopIfTrue="1" operator="equal">
      <formula>"Pass"</formula>
    </cfRule>
    <cfRule type="cellIs" dxfId="4832" priority="4672" stopIfTrue="1" operator="equal">
      <formula>"Fail"</formula>
    </cfRule>
  </conditionalFormatting>
  <conditionalFormatting sqref="A1045:A1047">
    <cfRule type="cellIs" dxfId="4831" priority="4669" stopIfTrue="1" operator="equal">
      <formula>"Pass"</formula>
    </cfRule>
    <cfRule type="cellIs" dxfId="4830" priority="4670" stopIfTrue="1" operator="equal">
      <formula>"Fail"</formula>
    </cfRule>
  </conditionalFormatting>
  <conditionalFormatting sqref="A1045:A1047">
    <cfRule type="cellIs" dxfId="4829" priority="4667" stopIfTrue="1" operator="equal">
      <formula>"Pass"</formula>
    </cfRule>
    <cfRule type="cellIs" dxfId="4828" priority="4668" stopIfTrue="1" operator="equal">
      <formula>"Fail"</formula>
    </cfRule>
  </conditionalFormatting>
  <conditionalFormatting sqref="A1045:A1047">
    <cfRule type="cellIs" dxfId="4827" priority="4665" stopIfTrue="1" operator="equal">
      <formula>"Pass"</formula>
    </cfRule>
    <cfRule type="cellIs" dxfId="4826" priority="4666" stopIfTrue="1" operator="equal">
      <formula>"Fail"</formula>
    </cfRule>
  </conditionalFormatting>
  <conditionalFormatting sqref="A1045:A1047">
    <cfRule type="cellIs" dxfId="4825" priority="4663" stopIfTrue="1" operator="equal">
      <formula>"Pass"</formula>
    </cfRule>
    <cfRule type="cellIs" dxfId="4824" priority="4664" stopIfTrue="1" operator="equal">
      <formula>"Fail"</formula>
    </cfRule>
  </conditionalFormatting>
  <conditionalFormatting sqref="A1045:A1047">
    <cfRule type="cellIs" dxfId="4823" priority="4661" stopIfTrue="1" operator="equal">
      <formula>"Pass"</formula>
    </cfRule>
    <cfRule type="cellIs" dxfId="4822" priority="4662" stopIfTrue="1" operator="equal">
      <formula>"Fail"</formula>
    </cfRule>
  </conditionalFormatting>
  <conditionalFormatting sqref="A1047">
    <cfRule type="cellIs" dxfId="4821" priority="4659" stopIfTrue="1" operator="equal">
      <formula>"Pass"</formula>
    </cfRule>
    <cfRule type="cellIs" dxfId="4820" priority="4660" stopIfTrue="1" operator="equal">
      <formula>"Fail"</formula>
    </cfRule>
  </conditionalFormatting>
  <conditionalFormatting sqref="A1045:A1047">
    <cfRule type="cellIs" dxfId="4819" priority="4657" stopIfTrue="1" operator="equal">
      <formula>"Pass"</formula>
    </cfRule>
    <cfRule type="cellIs" dxfId="4818" priority="4658" stopIfTrue="1" operator="equal">
      <formula>"Fail"</formula>
    </cfRule>
  </conditionalFormatting>
  <conditionalFormatting sqref="A1045:A1047">
    <cfRule type="cellIs" dxfId="4817" priority="4655" stopIfTrue="1" operator="equal">
      <formula>"Pass"</formula>
    </cfRule>
    <cfRule type="cellIs" dxfId="4816" priority="4656" stopIfTrue="1" operator="equal">
      <formula>"Fail"</formula>
    </cfRule>
  </conditionalFormatting>
  <conditionalFormatting sqref="A1045:A1047">
    <cfRule type="cellIs" dxfId="4815" priority="4653" stopIfTrue="1" operator="equal">
      <formula>"Pass"</formula>
    </cfRule>
    <cfRule type="cellIs" dxfId="4814" priority="4654" stopIfTrue="1" operator="equal">
      <formula>"Fail"</formula>
    </cfRule>
  </conditionalFormatting>
  <conditionalFormatting sqref="A1045:A1047">
    <cfRule type="cellIs" dxfId="4813" priority="4651" stopIfTrue="1" operator="equal">
      <formula>"Pass"</formula>
    </cfRule>
    <cfRule type="cellIs" dxfId="4812" priority="4652" stopIfTrue="1" operator="equal">
      <formula>"Fail"</formula>
    </cfRule>
  </conditionalFormatting>
  <conditionalFormatting sqref="A1045:A1047">
    <cfRule type="cellIs" dxfId="4811" priority="4649" stopIfTrue="1" operator="equal">
      <formula>"Pass"</formula>
    </cfRule>
    <cfRule type="cellIs" dxfId="4810" priority="4650" stopIfTrue="1" operator="equal">
      <formula>"Fail"</formula>
    </cfRule>
  </conditionalFormatting>
  <conditionalFormatting sqref="A1045:A1047">
    <cfRule type="cellIs" dxfId="4809" priority="4647" stopIfTrue="1" operator="equal">
      <formula>"Pass"</formula>
    </cfRule>
    <cfRule type="cellIs" dxfId="4808" priority="4648" stopIfTrue="1" operator="equal">
      <formula>"Fail"</formula>
    </cfRule>
  </conditionalFormatting>
  <conditionalFormatting sqref="A1047">
    <cfRule type="cellIs" dxfId="4807" priority="4645" stopIfTrue="1" operator="equal">
      <formula>"Pass"</formula>
    </cfRule>
    <cfRule type="cellIs" dxfId="4806" priority="4646" stopIfTrue="1" operator="equal">
      <formula>"Fail"</formula>
    </cfRule>
  </conditionalFormatting>
  <conditionalFormatting sqref="A1045:A1047">
    <cfRule type="cellIs" dxfId="4805" priority="4643" stopIfTrue="1" operator="equal">
      <formula>"Pass"</formula>
    </cfRule>
    <cfRule type="cellIs" dxfId="4804" priority="4644" stopIfTrue="1" operator="equal">
      <formula>"Fail"</formula>
    </cfRule>
  </conditionalFormatting>
  <conditionalFormatting sqref="A1045:A1047">
    <cfRule type="cellIs" dxfId="4803" priority="4641" stopIfTrue="1" operator="equal">
      <formula>"Pass"</formula>
    </cfRule>
    <cfRule type="cellIs" dxfId="4802" priority="4642" stopIfTrue="1" operator="equal">
      <formula>"Fail"</formula>
    </cfRule>
  </conditionalFormatting>
  <conditionalFormatting sqref="A1045:A1047">
    <cfRule type="cellIs" dxfId="4801" priority="4639" stopIfTrue="1" operator="equal">
      <formula>"Pass"</formula>
    </cfRule>
    <cfRule type="cellIs" dxfId="4800" priority="4640" stopIfTrue="1" operator="equal">
      <formula>"Fail"</formula>
    </cfRule>
  </conditionalFormatting>
  <conditionalFormatting sqref="A1045:A1047">
    <cfRule type="cellIs" dxfId="4799" priority="4637" stopIfTrue="1" operator="equal">
      <formula>"Pass"</formula>
    </cfRule>
    <cfRule type="cellIs" dxfId="4798" priority="4638" stopIfTrue="1" operator="equal">
      <formula>"Fail"</formula>
    </cfRule>
  </conditionalFormatting>
  <conditionalFormatting sqref="A1045:A1047">
    <cfRule type="cellIs" dxfId="4797" priority="4635" stopIfTrue="1" operator="equal">
      <formula>"Pass"</formula>
    </cfRule>
    <cfRule type="cellIs" dxfId="4796" priority="4636" stopIfTrue="1" operator="equal">
      <formula>"Fail"</formula>
    </cfRule>
  </conditionalFormatting>
  <conditionalFormatting sqref="A1045:A1047">
    <cfRule type="cellIs" dxfId="4795" priority="4633" stopIfTrue="1" operator="equal">
      <formula>"Pass"</formula>
    </cfRule>
    <cfRule type="cellIs" dxfId="4794" priority="4634" stopIfTrue="1" operator="equal">
      <formula>"Fail"</formula>
    </cfRule>
  </conditionalFormatting>
  <conditionalFormatting sqref="A1047">
    <cfRule type="cellIs" dxfId="4793" priority="4631" stopIfTrue="1" operator="equal">
      <formula>"Pass"</formula>
    </cfRule>
    <cfRule type="cellIs" dxfId="4792" priority="4632" stopIfTrue="1" operator="equal">
      <formula>"Fail"</formula>
    </cfRule>
  </conditionalFormatting>
  <conditionalFormatting sqref="A1045:A1047">
    <cfRule type="cellIs" dxfId="4791" priority="4629" stopIfTrue="1" operator="equal">
      <formula>"Pass"</formula>
    </cfRule>
    <cfRule type="cellIs" dxfId="4790" priority="4630" stopIfTrue="1" operator="equal">
      <formula>"Fail"</formula>
    </cfRule>
  </conditionalFormatting>
  <conditionalFormatting sqref="A1045">
    <cfRule type="cellIs" dxfId="4789" priority="4627" stopIfTrue="1" operator="equal">
      <formula>"Pass"</formula>
    </cfRule>
    <cfRule type="cellIs" dxfId="4788" priority="4628" stopIfTrue="1" operator="equal">
      <formula>"Fail"</formula>
    </cfRule>
  </conditionalFormatting>
  <conditionalFormatting sqref="A1045">
    <cfRule type="cellIs" dxfId="4787" priority="4625" stopIfTrue="1" operator="equal">
      <formula>"Pass"</formula>
    </cfRule>
    <cfRule type="cellIs" dxfId="4786" priority="4626" stopIfTrue="1" operator="equal">
      <formula>"Fail"</formula>
    </cfRule>
  </conditionalFormatting>
  <conditionalFormatting sqref="A1045">
    <cfRule type="cellIs" dxfId="4785" priority="4623" stopIfTrue="1" operator="equal">
      <formula>"Pass"</formula>
    </cfRule>
    <cfRule type="cellIs" dxfId="4784" priority="4624" stopIfTrue="1" operator="equal">
      <formula>"Fail"</formula>
    </cfRule>
  </conditionalFormatting>
  <conditionalFormatting sqref="A1045">
    <cfRule type="cellIs" dxfId="4783" priority="4621" stopIfTrue="1" operator="equal">
      <formula>"Pass"</formula>
    </cfRule>
    <cfRule type="cellIs" dxfId="4782" priority="4622" stopIfTrue="1" operator="equal">
      <formula>"Fail"</formula>
    </cfRule>
  </conditionalFormatting>
  <conditionalFormatting sqref="A1045">
    <cfRule type="cellIs" dxfId="4781" priority="4619" stopIfTrue="1" operator="equal">
      <formula>"Pass"</formula>
    </cfRule>
    <cfRule type="cellIs" dxfId="4780" priority="4620" stopIfTrue="1" operator="equal">
      <formula>"Fail"</formula>
    </cfRule>
  </conditionalFormatting>
  <conditionalFormatting sqref="A1045">
    <cfRule type="cellIs" dxfId="4779" priority="4617" stopIfTrue="1" operator="equal">
      <formula>"Pass"</formula>
    </cfRule>
    <cfRule type="cellIs" dxfId="4778" priority="4618" stopIfTrue="1" operator="equal">
      <formula>"Fail"</formula>
    </cfRule>
  </conditionalFormatting>
  <conditionalFormatting sqref="H1045:H1046">
    <cfRule type="cellIs" dxfId="4777" priority="4615" stopIfTrue="1" operator="equal">
      <formula>"Pass"</formula>
    </cfRule>
    <cfRule type="cellIs" dxfId="4776" priority="4616" stopIfTrue="1" operator="equal">
      <formula>"Fail"</formula>
    </cfRule>
  </conditionalFormatting>
  <conditionalFormatting sqref="E1045:F1045 E1047:F1047 A1045 I1045:M1046">
    <cfRule type="cellIs" dxfId="4775" priority="4613" stopIfTrue="1" operator="equal">
      <formula>"Pass"</formula>
    </cfRule>
    <cfRule type="cellIs" dxfId="4774" priority="4614" stopIfTrue="1" operator="equal">
      <formula>"Fail"</formula>
    </cfRule>
  </conditionalFormatting>
  <conditionalFormatting sqref="T1047 T1045 R1045:R1047 S1046:S1047">
    <cfRule type="cellIs" dxfId="4773" priority="4611" stopIfTrue="1" operator="equal">
      <formula>"Fail"</formula>
    </cfRule>
    <cfRule type="cellIs" dxfId="4772" priority="4612" stopIfTrue="1" operator="equal">
      <formula>"Pass"</formula>
    </cfRule>
  </conditionalFormatting>
  <conditionalFormatting sqref="F1045:G1045 F1047:G1047 B1045:B1047 A1045 J1045:N1046">
    <cfRule type="cellIs" dxfId="4771" priority="4609" stopIfTrue="1" operator="equal">
      <formula>"Pass"</formula>
    </cfRule>
    <cfRule type="cellIs" dxfId="4770" priority="4610" stopIfTrue="1" operator="equal">
      <formula>"Fail"</formula>
    </cfRule>
  </conditionalFormatting>
  <conditionalFormatting sqref="U1047:V1047 T1045:T1047 S1046:S1047">
    <cfRule type="cellIs" dxfId="4769" priority="4607" stopIfTrue="1" operator="equal">
      <formula>"Fail"</formula>
    </cfRule>
    <cfRule type="cellIs" dxfId="4768" priority="4608" stopIfTrue="1" operator="equal">
      <formula>"Pass"</formula>
    </cfRule>
  </conditionalFormatting>
  <conditionalFormatting sqref="A1045">
    <cfRule type="cellIs" dxfId="4767" priority="4605" stopIfTrue="1" operator="equal">
      <formula>"Pass"</formula>
    </cfRule>
    <cfRule type="cellIs" dxfId="4766" priority="4606" stopIfTrue="1" operator="equal">
      <formula>"Fail"</formula>
    </cfRule>
  </conditionalFormatting>
  <conditionalFormatting sqref="A1045">
    <cfRule type="cellIs" dxfId="4765" priority="4603" stopIfTrue="1" operator="equal">
      <formula>"Pass"</formula>
    </cfRule>
    <cfRule type="cellIs" dxfId="4764" priority="4604" stopIfTrue="1" operator="equal">
      <formula>"Fail"</formula>
    </cfRule>
  </conditionalFormatting>
  <conditionalFormatting sqref="A1045">
    <cfRule type="cellIs" dxfId="4763" priority="4601" stopIfTrue="1" operator="equal">
      <formula>"Pass"</formula>
    </cfRule>
    <cfRule type="cellIs" dxfId="4762" priority="4602" stopIfTrue="1" operator="equal">
      <formula>"Fail"</formula>
    </cfRule>
  </conditionalFormatting>
  <conditionalFormatting sqref="A1045">
    <cfRule type="cellIs" dxfId="4761" priority="4599" stopIfTrue="1" operator="equal">
      <formula>"Pass"</formula>
    </cfRule>
    <cfRule type="cellIs" dxfId="4760" priority="4600" stopIfTrue="1" operator="equal">
      <formula>"Fail"</formula>
    </cfRule>
  </conditionalFormatting>
  <conditionalFormatting sqref="A1045">
    <cfRule type="cellIs" dxfId="4759" priority="4597" stopIfTrue="1" operator="equal">
      <formula>"Pass"</formula>
    </cfRule>
    <cfRule type="cellIs" dxfId="4758" priority="4598" stopIfTrue="1" operator="equal">
      <formula>"Fail"</formula>
    </cfRule>
  </conditionalFormatting>
  <conditionalFormatting sqref="A1045">
    <cfRule type="cellIs" dxfId="4757" priority="4595" stopIfTrue="1" operator="equal">
      <formula>"Pass"</formula>
    </cfRule>
    <cfRule type="cellIs" dxfId="4756" priority="4596" stopIfTrue="1" operator="equal">
      <formula>"Fail"</formula>
    </cfRule>
  </conditionalFormatting>
  <conditionalFormatting sqref="A1045">
    <cfRule type="cellIs" dxfId="4755" priority="4593" stopIfTrue="1" operator="equal">
      <formula>"Pass"</formula>
    </cfRule>
    <cfRule type="cellIs" dxfId="4754" priority="4594" stopIfTrue="1" operator="equal">
      <formula>"Fail"</formula>
    </cfRule>
  </conditionalFormatting>
  <conditionalFormatting sqref="A1045">
    <cfRule type="cellIs" dxfId="4753" priority="4591" stopIfTrue="1" operator="equal">
      <formula>"Pass"</formula>
    </cfRule>
    <cfRule type="cellIs" dxfId="4752" priority="4592" stopIfTrue="1" operator="equal">
      <formula>"Fail"</formula>
    </cfRule>
  </conditionalFormatting>
  <conditionalFormatting sqref="A1045">
    <cfRule type="cellIs" dxfId="4751" priority="4589" stopIfTrue="1" operator="equal">
      <formula>"Pass"</formula>
    </cfRule>
    <cfRule type="cellIs" dxfId="4750" priority="4590" stopIfTrue="1" operator="equal">
      <formula>"Fail"</formula>
    </cfRule>
  </conditionalFormatting>
  <conditionalFormatting sqref="A1045">
    <cfRule type="cellIs" dxfId="4749" priority="4587" stopIfTrue="1" operator="equal">
      <formula>"Pass"</formula>
    </cfRule>
    <cfRule type="cellIs" dxfId="4748" priority="4588" stopIfTrue="1" operator="equal">
      <formula>"Fail"</formula>
    </cfRule>
  </conditionalFormatting>
  <conditionalFormatting sqref="U1045:V1045">
    <cfRule type="cellIs" dxfId="4747" priority="4585" stopIfTrue="1" operator="equal">
      <formula>"Fail"</formula>
    </cfRule>
    <cfRule type="cellIs" dxfId="4746" priority="4586" stopIfTrue="1" operator="equal">
      <formula>"Pass"</formula>
    </cfRule>
  </conditionalFormatting>
  <conditionalFormatting sqref="F1045:G1045 J1045:N1045">
    <cfRule type="cellIs" dxfId="4745" priority="4583" stopIfTrue="1" operator="equal">
      <formula>"Pass"</formula>
    </cfRule>
    <cfRule type="cellIs" dxfId="4744" priority="4584" stopIfTrue="1" operator="equal">
      <formula>"Fail"</formula>
    </cfRule>
  </conditionalFormatting>
  <conditionalFormatting sqref="J1046:N1046">
    <cfRule type="cellIs" dxfId="4743" priority="4581" stopIfTrue="1" operator="equal">
      <formula>"Pass"</formula>
    </cfRule>
    <cfRule type="cellIs" dxfId="4742" priority="4582" stopIfTrue="1" operator="equal">
      <formula>"Fail"</formula>
    </cfRule>
  </conditionalFormatting>
  <conditionalFormatting sqref="A1045">
    <cfRule type="cellIs" dxfId="4741" priority="4579" stopIfTrue="1" operator="equal">
      <formula>"Pass"</formula>
    </cfRule>
    <cfRule type="cellIs" dxfId="4740" priority="4580" stopIfTrue="1" operator="equal">
      <formula>"Fail"</formula>
    </cfRule>
  </conditionalFormatting>
  <conditionalFormatting sqref="A1045">
    <cfRule type="cellIs" dxfId="4739" priority="4577" stopIfTrue="1" operator="equal">
      <formula>"Pass"</formula>
    </cfRule>
    <cfRule type="cellIs" dxfId="4738" priority="4578" stopIfTrue="1" operator="equal">
      <formula>"Fail"</formula>
    </cfRule>
  </conditionalFormatting>
  <conditionalFormatting sqref="A1045">
    <cfRule type="cellIs" dxfId="4737" priority="4575" stopIfTrue="1" operator="equal">
      <formula>"Pass"</formula>
    </cfRule>
    <cfRule type="cellIs" dxfId="4736" priority="4576" stopIfTrue="1" operator="equal">
      <formula>"Fail"</formula>
    </cfRule>
  </conditionalFormatting>
  <conditionalFormatting sqref="A1045">
    <cfRule type="cellIs" dxfId="4735" priority="4573" stopIfTrue="1" operator="equal">
      <formula>"Pass"</formula>
    </cfRule>
    <cfRule type="cellIs" dxfId="4734" priority="4574" stopIfTrue="1" operator="equal">
      <formula>"Fail"</formula>
    </cfRule>
  </conditionalFormatting>
  <conditionalFormatting sqref="A1045">
    <cfRule type="cellIs" dxfId="4733" priority="4571" stopIfTrue="1" operator="equal">
      <formula>"Pass"</formula>
    </cfRule>
    <cfRule type="cellIs" dxfId="4732" priority="4572" stopIfTrue="1" operator="equal">
      <formula>"Fail"</formula>
    </cfRule>
  </conditionalFormatting>
  <conditionalFormatting sqref="A1045">
    <cfRule type="cellIs" dxfId="4731" priority="4569" stopIfTrue="1" operator="equal">
      <formula>"Pass"</formula>
    </cfRule>
    <cfRule type="cellIs" dxfId="4730" priority="4570" stopIfTrue="1" operator="equal">
      <formula>"Fail"</formula>
    </cfRule>
  </conditionalFormatting>
  <conditionalFormatting sqref="A1045">
    <cfRule type="cellIs" dxfId="4729" priority="4567" stopIfTrue="1" operator="equal">
      <formula>"Pass"</formula>
    </cfRule>
    <cfRule type="cellIs" dxfId="4728" priority="4568" stopIfTrue="1" operator="equal">
      <formula>"Fail"</formula>
    </cfRule>
  </conditionalFormatting>
  <conditionalFormatting sqref="A1045">
    <cfRule type="cellIs" dxfId="4727" priority="4565" stopIfTrue="1" operator="equal">
      <formula>"Pass"</formula>
    </cfRule>
    <cfRule type="cellIs" dxfId="4726" priority="4566" stopIfTrue="1" operator="equal">
      <formula>"Fail"</formula>
    </cfRule>
  </conditionalFormatting>
  <conditionalFormatting sqref="A1045">
    <cfRule type="cellIs" dxfId="4725" priority="4563" stopIfTrue="1" operator="equal">
      <formula>"Pass"</formula>
    </cfRule>
    <cfRule type="cellIs" dxfId="4724" priority="4564" stopIfTrue="1" operator="equal">
      <formula>"Fail"</formula>
    </cfRule>
  </conditionalFormatting>
  <conditionalFormatting sqref="A1045">
    <cfRule type="cellIs" dxfId="4723" priority="4561" stopIfTrue="1" operator="equal">
      <formula>"Pass"</formula>
    </cfRule>
    <cfRule type="cellIs" dxfId="4722" priority="4562" stopIfTrue="1" operator="equal">
      <formula>"Fail"</formula>
    </cfRule>
  </conditionalFormatting>
  <conditionalFormatting sqref="A1045">
    <cfRule type="cellIs" dxfId="4721" priority="4559" stopIfTrue="1" operator="equal">
      <formula>"Pass"</formula>
    </cfRule>
    <cfRule type="cellIs" dxfId="4720" priority="4560" stopIfTrue="1" operator="equal">
      <formula>"Fail"</formula>
    </cfRule>
  </conditionalFormatting>
  <conditionalFormatting sqref="A1045">
    <cfRule type="cellIs" dxfId="4719" priority="4557" stopIfTrue="1" operator="equal">
      <formula>"Pass"</formula>
    </cfRule>
    <cfRule type="cellIs" dxfId="4718" priority="4558" stopIfTrue="1" operator="equal">
      <formula>"Fail"</formula>
    </cfRule>
  </conditionalFormatting>
  <conditionalFormatting sqref="H1045:H1046">
    <cfRule type="cellIs" dxfId="4717" priority="4555" stopIfTrue="1" operator="equal">
      <formula>"Pass"</formula>
    </cfRule>
    <cfRule type="cellIs" dxfId="4716" priority="4556" stopIfTrue="1" operator="equal">
      <formula>"Fail"</formula>
    </cfRule>
  </conditionalFormatting>
  <conditionalFormatting sqref="F1045 F1047 I1045:M1046">
    <cfRule type="cellIs" dxfId="4715" priority="4553" stopIfTrue="1" operator="equal">
      <formula>"Pass"</formula>
    </cfRule>
    <cfRule type="cellIs" dxfId="4714" priority="4554" stopIfTrue="1" operator="equal">
      <formula>"Fail"</formula>
    </cfRule>
  </conditionalFormatting>
  <conditionalFormatting sqref="T1047 T1045 R1045:R1047 S1046:S1047">
    <cfRule type="cellIs" dxfId="4713" priority="4551" stopIfTrue="1" operator="equal">
      <formula>"Fail"</formula>
    </cfRule>
    <cfRule type="cellIs" dxfId="4712" priority="4552" stopIfTrue="1" operator="equal">
      <formula>"Pass"</formula>
    </cfRule>
  </conditionalFormatting>
  <conditionalFormatting sqref="F1045:G1045 F1047:G1047 J1045:N1046">
    <cfRule type="cellIs" dxfId="4711" priority="4549" stopIfTrue="1" operator="equal">
      <formula>"Pass"</formula>
    </cfRule>
    <cfRule type="cellIs" dxfId="4710" priority="4550" stopIfTrue="1" operator="equal">
      <formula>"Fail"</formula>
    </cfRule>
  </conditionalFormatting>
  <conditionalFormatting sqref="U1047:V1047 T1045:T1047 S1046:S1047">
    <cfRule type="cellIs" dxfId="4709" priority="4547" stopIfTrue="1" operator="equal">
      <formula>"Fail"</formula>
    </cfRule>
    <cfRule type="cellIs" dxfId="4708" priority="4548" stopIfTrue="1" operator="equal">
      <formula>"Pass"</formula>
    </cfRule>
  </conditionalFormatting>
  <conditionalFormatting sqref="U1045:V1045">
    <cfRule type="cellIs" dxfId="4707" priority="4545" stopIfTrue="1" operator="equal">
      <formula>"Fail"</formula>
    </cfRule>
    <cfRule type="cellIs" dxfId="4706" priority="4546" stopIfTrue="1" operator="equal">
      <formula>"Pass"</formula>
    </cfRule>
  </conditionalFormatting>
  <conditionalFormatting sqref="F1045:G1045 J1045:N1045">
    <cfRule type="cellIs" dxfId="4705" priority="4543" stopIfTrue="1" operator="equal">
      <formula>"Pass"</formula>
    </cfRule>
    <cfRule type="cellIs" dxfId="4704" priority="4544" stopIfTrue="1" operator="equal">
      <formula>"Fail"</formula>
    </cfRule>
  </conditionalFormatting>
  <conditionalFormatting sqref="J1046:N1046">
    <cfRule type="cellIs" dxfId="4703" priority="4541" stopIfTrue="1" operator="equal">
      <formula>"Pass"</formula>
    </cfRule>
    <cfRule type="cellIs" dxfId="4702" priority="4542" stopIfTrue="1" operator="equal">
      <formula>"Fail"</formula>
    </cfRule>
  </conditionalFormatting>
  <conditionalFormatting sqref="H1045:H1046">
    <cfRule type="cellIs" dxfId="4701" priority="4539" stopIfTrue="1" operator="equal">
      <formula>"Pass"</formula>
    </cfRule>
    <cfRule type="cellIs" dxfId="4700" priority="4540" stopIfTrue="1" operator="equal">
      <formula>"Fail"</formula>
    </cfRule>
  </conditionalFormatting>
  <conditionalFormatting sqref="F1045 F1047 I1045:M1046">
    <cfRule type="cellIs" dxfId="4699" priority="4537" stopIfTrue="1" operator="equal">
      <formula>"Pass"</formula>
    </cfRule>
    <cfRule type="cellIs" dxfId="4698" priority="4538" stopIfTrue="1" operator="equal">
      <formula>"Fail"</formula>
    </cfRule>
  </conditionalFormatting>
  <conditionalFormatting sqref="T1047 T1045 R1045:R1047 S1046:S1047">
    <cfRule type="cellIs" dxfId="4697" priority="4535" stopIfTrue="1" operator="equal">
      <formula>"Fail"</formula>
    </cfRule>
    <cfRule type="cellIs" dxfId="4696" priority="4536" stopIfTrue="1" operator="equal">
      <formula>"Pass"</formula>
    </cfRule>
  </conditionalFormatting>
  <conditionalFormatting sqref="F1045:G1045 F1047:G1047 J1045:N1046">
    <cfRule type="cellIs" dxfId="4695" priority="4533" stopIfTrue="1" operator="equal">
      <formula>"Pass"</formula>
    </cfRule>
    <cfRule type="cellIs" dxfId="4694" priority="4534" stopIfTrue="1" operator="equal">
      <formula>"Fail"</formula>
    </cfRule>
  </conditionalFormatting>
  <conditionalFormatting sqref="U1047:V1047 T1045:T1047 S1046:S1047">
    <cfRule type="cellIs" dxfId="4693" priority="4531" stopIfTrue="1" operator="equal">
      <formula>"Fail"</formula>
    </cfRule>
    <cfRule type="cellIs" dxfId="4692" priority="4532" stopIfTrue="1" operator="equal">
      <formula>"Pass"</formula>
    </cfRule>
  </conditionalFormatting>
  <conditionalFormatting sqref="U1045:V1045">
    <cfRule type="cellIs" dxfId="4691" priority="4529" stopIfTrue="1" operator="equal">
      <formula>"Fail"</formula>
    </cfRule>
    <cfRule type="cellIs" dxfId="4690" priority="4530" stopIfTrue="1" operator="equal">
      <formula>"Pass"</formula>
    </cfRule>
  </conditionalFormatting>
  <conditionalFormatting sqref="F1045:G1045 J1045:N1045">
    <cfRule type="cellIs" dxfId="4689" priority="4527" stopIfTrue="1" operator="equal">
      <formula>"Pass"</formula>
    </cfRule>
    <cfRule type="cellIs" dxfId="4688" priority="4528" stopIfTrue="1" operator="equal">
      <formula>"Fail"</formula>
    </cfRule>
  </conditionalFormatting>
  <conditionalFormatting sqref="J1046:N1046">
    <cfRule type="cellIs" dxfId="4687" priority="4525" stopIfTrue="1" operator="equal">
      <formula>"Pass"</formula>
    </cfRule>
    <cfRule type="cellIs" dxfId="4686" priority="4526" stopIfTrue="1" operator="equal">
      <formula>"Fail"</formula>
    </cfRule>
  </conditionalFormatting>
  <conditionalFormatting sqref="U1045:V1045">
    <cfRule type="cellIs" dxfId="4685" priority="4523" stopIfTrue="1" operator="equal">
      <formula>"Fail"</formula>
    </cfRule>
    <cfRule type="cellIs" dxfId="4684" priority="4524" stopIfTrue="1" operator="equal">
      <formula>"Pass"</formula>
    </cfRule>
  </conditionalFormatting>
  <conditionalFormatting sqref="U1045:V1045">
    <cfRule type="cellIs" dxfId="4683" priority="4521" stopIfTrue="1" operator="equal">
      <formula>"Fail"</formula>
    </cfRule>
    <cfRule type="cellIs" dxfId="4682" priority="4522" stopIfTrue="1" operator="equal">
      <formula>"Pass"</formula>
    </cfRule>
  </conditionalFormatting>
  <conditionalFormatting sqref="U1045:V1045">
    <cfRule type="cellIs" dxfId="4681" priority="4519" stopIfTrue="1" operator="equal">
      <formula>"Fail"</formula>
    </cfRule>
    <cfRule type="cellIs" dxfId="4680" priority="4520" stopIfTrue="1" operator="equal">
      <formula>"Pass"</formula>
    </cfRule>
  </conditionalFormatting>
  <conditionalFormatting sqref="N1045">
    <cfRule type="cellIs" dxfId="4679" priority="4517" stopIfTrue="1" operator="equal">
      <formula>"Pass"</formula>
    </cfRule>
    <cfRule type="cellIs" dxfId="4678" priority="4518" stopIfTrue="1" operator="equal">
      <formula>"Fail"</formula>
    </cfRule>
  </conditionalFormatting>
  <conditionalFormatting sqref="N1045">
    <cfRule type="cellIs" dxfId="4677" priority="4515" stopIfTrue="1" operator="equal">
      <formula>"Pass"</formula>
    </cfRule>
    <cfRule type="cellIs" dxfId="4676" priority="4516" stopIfTrue="1" operator="equal">
      <formula>"Fail"</formula>
    </cfRule>
  </conditionalFormatting>
  <conditionalFormatting sqref="N1045">
    <cfRule type="cellIs" dxfId="4675" priority="4513" stopIfTrue="1" operator="equal">
      <formula>"Pass"</formula>
    </cfRule>
    <cfRule type="cellIs" dxfId="4674" priority="4514" stopIfTrue="1" operator="equal">
      <formula>"Fail"</formula>
    </cfRule>
  </conditionalFormatting>
  <conditionalFormatting sqref="A1045">
    <cfRule type="cellIs" dxfId="4673" priority="4511" stopIfTrue="1" operator="equal">
      <formula>"Pass"</formula>
    </cfRule>
    <cfRule type="cellIs" dxfId="4672" priority="4512" stopIfTrue="1" operator="equal">
      <formula>"Fail"</formula>
    </cfRule>
  </conditionalFormatting>
  <conditionalFormatting sqref="A1045">
    <cfRule type="cellIs" dxfId="4671" priority="4509" stopIfTrue="1" operator="equal">
      <formula>"Pass"</formula>
    </cfRule>
    <cfRule type="cellIs" dxfId="4670" priority="4510" stopIfTrue="1" operator="equal">
      <formula>"Fail"</formula>
    </cfRule>
  </conditionalFormatting>
  <conditionalFormatting sqref="A1045">
    <cfRule type="cellIs" dxfId="4669" priority="4507" stopIfTrue="1" operator="equal">
      <formula>"Pass"</formula>
    </cfRule>
    <cfRule type="cellIs" dxfId="4668" priority="4508" stopIfTrue="1" operator="equal">
      <formula>"Fail"</formula>
    </cfRule>
  </conditionalFormatting>
  <conditionalFormatting sqref="A1045">
    <cfRule type="cellIs" dxfId="4667" priority="4505" stopIfTrue="1" operator="equal">
      <formula>"Pass"</formula>
    </cfRule>
    <cfRule type="cellIs" dxfId="4666" priority="4506" stopIfTrue="1" operator="equal">
      <formula>"Fail"</formula>
    </cfRule>
  </conditionalFormatting>
  <conditionalFormatting sqref="A1045">
    <cfRule type="cellIs" dxfId="4665" priority="4503" stopIfTrue="1" operator="equal">
      <formula>"Pass"</formula>
    </cfRule>
    <cfRule type="cellIs" dxfId="4664" priority="4504" stopIfTrue="1" operator="equal">
      <formula>"Fail"</formula>
    </cfRule>
  </conditionalFormatting>
  <conditionalFormatting sqref="A1045">
    <cfRule type="cellIs" dxfId="4663" priority="4501" stopIfTrue="1" operator="equal">
      <formula>"Pass"</formula>
    </cfRule>
    <cfRule type="cellIs" dxfId="4662" priority="4502" stopIfTrue="1" operator="equal">
      <formula>"Fail"</formula>
    </cfRule>
  </conditionalFormatting>
  <conditionalFormatting sqref="A1045">
    <cfRule type="cellIs" dxfId="4661" priority="4499" stopIfTrue="1" operator="equal">
      <formula>"Pass"</formula>
    </cfRule>
    <cfRule type="cellIs" dxfId="4660" priority="4500" stopIfTrue="1" operator="equal">
      <formula>"Fail"</formula>
    </cfRule>
  </conditionalFormatting>
  <conditionalFormatting sqref="A1045">
    <cfRule type="cellIs" dxfId="4659" priority="4497" stopIfTrue="1" operator="equal">
      <formula>"Pass"</formula>
    </cfRule>
    <cfRule type="cellIs" dxfId="4658" priority="4498" stopIfTrue="1" operator="equal">
      <formula>"Fail"</formula>
    </cfRule>
  </conditionalFormatting>
  <conditionalFormatting sqref="A1045">
    <cfRule type="cellIs" dxfId="4657" priority="4495" stopIfTrue="1" operator="equal">
      <formula>"Pass"</formula>
    </cfRule>
    <cfRule type="cellIs" dxfId="4656" priority="4496" stopIfTrue="1" operator="equal">
      <formula>"Fail"</formula>
    </cfRule>
  </conditionalFormatting>
  <conditionalFormatting sqref="A1045">
    <cfRule type="cellIs" dxfId="4655" priority="4493" stopIfTrue="1" operator="equal">
      <formula>"Pass"</formula>
    </cfRule>
    <cfRule type="cellIs" dxfId="4654" priority="4494" stopIfTrue="1" operator="equal">
      <formula>"Fail"</formula>
    </cfRule>
  </conditionalFormatting>
  <conditionalFormatting sqref="A1045">
    <cfRule type="cellIs" dxfId="4653" priority="4491" stopIfTrue="1" operator="equal">
      <formula>"Pass"</formula>
    </cfRule>
    <cfRule type="cellIs" dxfId="4652" priority="4492" stopIfTrue="1" operator="equal">
      <formula>"Fail"</formula>
    </cfRule>
  </conditionalFormatting>
  <conditionalFormatting sqref="A1045">
    <cfRule type="cellIs" dxfId="4651" priority="4489" stopIfTrue="1" operator="equal">
      <formula>"Pass"</formula>
    </cfRule>
    <cfRule type="cellIs" dxfId="4650" priority="4490" stopIfTrue="1" operator="equal">
      <formula>"Fail"</formula>
    </cfRule>
  </conditionalFormatting>
  <conditionalFormatting sqref="A1045">
    <cfRule type="cellIs" dxfId="4649" priority="4487" stopIfTrue="1" operator="equal">
      <formula>"Pass"</formula>
    </cfRule>
    <cfRule type="cellIs" dxfId="4648" priority="4488" stopIfTrue="1" operator="equal">
      <formula>"Fail"</formula>
    </cfRule>
  </conditionalFormatting>
  <conditionalFormatting sqref="A1045">
    <cfRule type="cellIs" dxfId="4647" priority="4485" stopIfTrue="1" operator="equal">
      <formula>"Pass"</formula>
    </cfRule>
    <cfRule type="cellIs" dxfId="4646" priority="4486" stopIfTrue="1" operator="equal">
      <formula>"Fail"</formula>
    </cfRule>
  </conditionalFormatting>
  <conditionalFormatting sqref="A1045">
    <cfRule type="cellIs" dxfId="4645" priority="4483" stopIfTrue="1" operator="equal">
      <formula>"Pass"</formula>
    </cfRule>
    <cfRule type="cellIs" dxfId="4644" priority="4484" stopIfTrue="1" operator="equal">
      <formula>"Fail"</formula>
    </cfRule>
  </conditionalFormatting>
  <conditionalFormatting sqref="A1045">
    <cfRule type="cellIs" dxfId="4643" priority="4481" stopIfTrue="1" operator="equal">
      <formula>"Pass"</formula>
    </cfRule>
    <cfRule type="cellIs" dxfId="4642" priority="4482" stopIfTrue="1" operator="equal">
      <formula>"Fail"</formula>
    </cfRule>
  </conditionalFormatting>
  <conditionalFormatting sqref="A1045">
    <cfRule type="cellIs" dxfId="4641" priority="4479" stopIfTrue="1" operator="equal">
      <formula>"Pass"</formula>
    </cfRule>
    <cfRule type="cellIs" dxfId="4640" priority="4480" stopIfTrue="1" operator="equal">
      <formula>"Fail"</formula>
    </cfRule>
  </conditionalFormatting>
  <conditionalFormatting sqref="A1045">
    <cfRule type="cellIs" dxfId="4639" priority="4477" stopIfTrue="1" operator="equal">
      <formula>"Pass"</formula>
    </cfRule>
    <cfRule type="cellIs" dxfId="4638" priority="4478" stopIfTrue="1" operator="equal">
      <formula>"Fail"</formula>
    </cfRule>
  </conditionalFormatting>
  <conditionalFormatting sqref="H1045:H1046">
    <cfRule type="cellIs" dxfId="4637" priority="4475" stopIfTrue="1" operator="equal">
      <formula>"Pass"</formula>
    </cfRule>
    <cfRule type="cellIs" dxfId="4636" priority="4476" stopIfTrue="1" operator="equal">
      <formula>"Fail"</formula>
    </cfRule>
  </conditionalFormatting>
  <conditionalFormatting sqref="F1045 F1047 I1045:M1046">
    <cfRule type="cellIs" dxfId="4635" priority="4473" stopIfTrue="1" operator="equal">
      <formula>"Pass"</formula>
    </cfRule>
    <cfRule type="cellIs" dxfId="4634" priority="4474" stopIfTrue="1" operator="equal">
      <formula>"Fail"</formula>
    </cfRule>
  </conditionalFormatting>
  <conditionalFormatting sqref="T1047 T1045 R1045:R1047 S1046:S1047">
    <cfRule type="cellIs" dxfId="4633" priority="4471" stopIfTrue="1" operator="equal">
      <formula>"Fail"</formula>
    </cfRule>
    <cfRule type="cellIs" dxfId="4632" priority="4472" stopIfTrue="1" operator="equal">
      <formula>"Pass"</formula>
    </cfRule>
  </conditionalFormatting>
  <conditionalFormatting sqref="F1045:G1045 F1047:G1047 J1045:N1046">
    <cfRule type="cellIs" dxfId="4631" priority="4469" stopIfTrue="1" operator="equal">
      <formula>"Pass"</formula>
    </cfRule>
    <cfRule type="cellIs" dxfId="4630" priority="4470" stopIfTrue="1" operator="equal">
      <formula>"Fail"</formula>
    </cfRule>
  </conditionalFormatting>
  <conditionalFormatting sqref="U1047:V1047 T1045:T1047 S1046:S1047">
    <cfRule type="cellIs" dxfId="4629" priority="4467" stopIfTrue="1" operator="equal">
      <formula>"Fail"</formula>
    </cfRule>
    <cfRule type="cellIs" dxfId="4628" priority="4468" stopIfTrue="1" operator="equal">
      <formula>"Pass"</formula>
    </cfRule>
  </conditionalFormatting>
  <conditionalFormatting sqref="U1045:V1045">
    <cfRule type="cellIs" dxfId="4627" priority="4465" stopIfTrue="1" operator="equal">
      <formula>"Fail"</formula>
    </cfRule>
    <cfRule type="cellIs" dxfId="4626" priority="4466" stopIfTrue="1" operator="equal">
      <formula>"Pass"</formula>
    </cfRule>
  </conditionalFormatting>
  <conditionalFormatting sqref="F1045:G1045 J1045:N1045">
    <cfRule type="cellIs" dxfId="4625" priority="4463" stopIfTrue="1" operator="equal">
      <formula>"Pass"</formula>
    </cfRule>
    <cfRule type="cellIs" dxfId="4624" priority="4464" stopIfTrue="1" operator="equal">
      <formula>"Fail"</formula>
    </cfRule>
  </conditionalFormatting>
  <conditionalFormatting sqref="J1046:N1046">
    <cfRule type="cellIs" dxfId="4623" priority="4461" stopIfTrue="1" operator="equal">
      <formula>"Pass"</formula>
    </cfRule>
    <cfRule type="cellIs" dxfId="4622" priority="4462" stopIfTrue="1" operator="equal">
      <formula>"Fail"</formula>
    </cfRule>
  </conditionalFormatting>
  <conditionalFormatting sqref="H1045:H1046">
    <cfRule type="cellIs" dxfId="4621" priority="4459" stopIfTrue="1" operator="equal">
      <formula>"Pass"</formula>
    </cfRule>
    <cfRule type="cellIs" dxfId="4620" priority="4460" stopIfTrue="1" operator="equal">
      <formula>"Fail"</formula>
    </cfRule>
  </conditionalFormatting>
  <conditionalFormatting sqref="F1045 F1047 I1045:M1046">
    <cfRule type="cellIs" dxfId="4619" priority="4457" stopIfTrue="1" operator="equal">
      <formula>"Pass"</formula>
    </cfRule>
    <cfRule type="cellIs" dxfId="4618" priority="4458" stopIfTrue="1" operator="equal">
      <formula>"Fail"</formula>
    </cfRule>
  </conditionalFormatting>
  <conditionalFormatting sqref="T1047 T1045 R1045:R1047 S1046:S1047">
    <cfRule type="cellIs" dxfId="4617" priority="4455" stopIfTrue="1" operator="equal">
      <formula>"Fail"</formula>
    </cfRule>
    <cfRule type="cellIs" dxfId="4616" priority="4456" stopIfTrue="1" operator="equal">
      <formula>"Pass"</formula>
    </cfRule>
  </conditionalFormatting>
  <conditionalFormatting sqref="F1045:G1045 F1047:G1047 J1045:N1046">
    <cfRule type="cellIs" dxfId="4615" priority="4453" stopIfTrue="1" operator="equal">
      <formula>"Pass"</formula>
    </cfRule>
    <cfRule type="cellIs" dxfId="4614" priority="4454" stopIfTrue="1" operator="equal">
      <formula>"Fail"</formula>
    </cfRule>
  </conditionalFormatting>
  <conditionalFormatting sqref="U1047:V1047 T1045:T1047 S1046:S1047">
    <cfRule type="cellIs" dxfId="4613" priority="4451" stopIfTrue="1" operator="equal">
      <formula>"Fail"</formula>
    </cfRule>
    <cfRule type="cellIs" dxfId="4612" priority="4452" stopIfTrue="1" operator="equal">
      <formula>"Pass"</formula>
    </cfRule>
  </conditionalFormatting>
  <conditionalFormatting sqref="U1045:V1045">
    <cfRule type="cellIs" dxfId="4611" priority="4449" stopIfTrue="1" operator="equal">
      <formula>"Fail"</formula>
    </cfRule>
    <cfRule type="cellIs" dxfId="4610" priority="4450" stopIfTrue="1" operator="equal">
      <formula>"Pass"</formula>
    </cfRule>
  </conditionalFormatting>
  <conditionalFormatting sqref="F1045:G1045 J1045:N1045">
    <cfRule type="cellIs" dxfId="4609" priority="4447" stopIfTrue="1" operator="equal">
      <formula>"Pass"</formula>
    </cfRule>
    <cfRule type="cellIs" dxfId="4608" priority="4448" stopIfTrue="1" operator="equal">
      <formula>"Fail"</formula>
    </cfRule>
  </conditionalFormatting>
  <conditionalFormatting sqref="J1046:N1046">
    <cfRule type="cellIs" dxfId="4607" priority="4445" stopIfTrue="1" operator="equal">
      <formula>"Pass"</formula>
    </cfRule>
    <cfRule type="cellIs" dxfId="4606" priority="4446" stopIfTrue="1" operator="equal">
      <formula>"Fail"</formula>
    </cfRule>
  </conditionalFormatting>
  <conditionalFormatting sqref="H1045:H1046">
    <cfRule type="cellIs" dxfId="4605" priority="4443" stopIfTrue="1" operator="equal">
      <formula>"Pass"</formula>
    </cfRule>
    <cfRule type="cellIs" dxfId="4604" priority="4444" stopIfTrue="1" operator="equal">
      <formula>"Fail"</formula>
    </cfRule>
  </conditionalFormatting>
  <conditionalFormatting sqref="F1045 F1047 I1045:M1046">
    <cfRule type="cellIs" dxfId="4603" priority="4441" stopIfTrue="1" operator="equal">
      <formula>"Pass"</formula>
    </cfRule>
    <cfRule type="cellIs" dxfId="4602" priority="4442" stopIfTrue="1" operator="equal">
      <formula>"Fail"</formula>
    </cfRule>
  </conditionalFormatting>
  <conditionalFormatting sqref="T1047 T1045 R1045:R1047 S1046:S1047">
    <cfRule type="cellIs" dxfId="4601" priority="4439" stopIfTrue="1" operator="equal">
      <formula>"Fail"</formula>
    </cfRule>
    <cfRule type="cellIs" dxfId="4600" priority="4440" stopIfTrue="1" operator="equal">
      <formula>"Pass"</formula>
    </cfRule>
  </conditionalFormatting>
  <conditionalFormatting sqref="F1045:G1045 F1047:G1047 J1045:N1046">
    <cfRule type="cellIs" dxfId="4599" priority="4437" stopIfTrue="1" operator="equal">
      <formula>"Pass"</formula>
    </cfRule>
    <cfRule type="cellIs" dxfId="4598" priority="4438" stopIfTrue="1" operator="equal">
      <formula>"Fail"</formula>
    </cfRule>
  </conditionalFormatting>
  <conditionalFormatting sqref="U1047:V1047 T1045:T1047 S1046:S1047">
    <cfRule type="cellIs" dxfId="4597" priority="4435" stopIfTrue="1" operator="equal">
      <formula>"Fail"</formula>
    </cfRule>
    <cfRule type="cellIs" dxfId="4596" priority="4436" stopIfTrue="1" operator="equal">
      <formula>"Pass"</formula>
    </cfRule>
  </conditionalFormatting>
  <conditionalFormatting sqref="U1045:V1045">
    <cfRule type="cellIs" dxfId="4595" priority="4433" stopIfTrue="1" operator="equal">
      <formula>"Fail"</formula>
    </cfRule>
    <cfRule type="cellIs" dxfId="4594" priority="4434" stopIfTrue="1" operator="equal">
      <formula>"Pass"</formula>
    </cfRule>
  </conditionalFormatting>
  <conditionalFormatting sqref="F1045:G1045 J1045:N1045">
    <cfRule type="cellIs" dxfId="4593" priority="4431" stopIfTrue="1" operator="equal">
      <formula>"Pass"</formula>
    </cfRule>
    <cfRule type="cellIs" dxfId="4592" priority="4432" stopIfTrue="1" operator="equal">
      <formula>"Fail"</formula>
    </cfRule>
  </conditionalFormatting>
  <conditionalFormatting sqref="J1046:N1046">
    <cfRule type="cellIs" dxfId="4591" priority="4429" stopIfTrue="1" operator="equal">
      <formula>"Pass"</formula>
    </cfRule>
    <cfRule type="cellIs" dxfId="4590" priority="4430" stopIfTrue="1" operator="equal">
      <formula>"Fail"</formula>
    </cfRule>
  </conditionalFormatting>
  <conditionalFormatting sqref="U1045:V1045">
    <cfRule type="cellIs" dxfId="4589" priority="4427" stopIfTrue="1" operator="equal">
      <formula>"Fail"</formula>
    </cfRule>
    <cfRule type="cellIs" dxfId="4588" priority="4428" stopIfTrue="1" operator="equal">
      <formula>"Pass"</formula>
    </cfRule>
  </conditionalFormatting>
  <conditionalFormatting sqref="U1045:V1045">
    <cfRule type="cellIs" dxfId="4587" priority="4425" stopIfTrue="1" operator="equal">
      <formula>"Fail"</formula>
    </cfRule>
    <cfRule type="cellIs" dxfId="4586" priority="4426" stopIfTrue="1" operator="equal">
      <formula>"Pass"</formula>
    </cfRule>
  </conditionalFormatting>
  <conditionalFormatting sqref="U1045:V1045">
    <cfRule type="cellIs" dxfId="4585" priority="4423" stopIfTrue="1" operator="equal">
      <formula>"Fail"</formula>
    </cfRule>
    <cfRule type="cellIs" dxfId="4584" priority="4424" stopIfTrue="1" operator="equal">
      <formula>"Pass"</formula>
    </cfRule>
  </conditionalFormatting>
  <conditionalFormatting sqref="N1045">
    <cfRule type="cellIs" dxfId="4583" priority="4421" stopIfTrue="1" operator="equal">
      <formula>"Pass"</formula>
    </cfRule>
    <cfRule type="cellIs" dxfId="4582" priority="4422" stopIfTrue="1" operator="equal">
      <formula>"Fail"</formula>
    </cfRule>
  </conditionalFormatting>
  <conditionalFormatting sqref="N1045">
    <cfRule type="cellIs" dxfId="4581" priority="4419" stopIfTrue="1" operator="equal">
      <formula>"Pass"</formula>
    </cfRule>
    <cfRule type="cellIs" dxfId="4580" priority="4420" stopIfTrue="1" operator="equal">
      <formula>"Fail"</formula>
    </cfRule>
  </conditionalFormatting>
  <conditionalFormatting sqref="N1045">
    <cfRule type="cellIs" dxfId="4579" priority="4417" stopIfTrue="1" operator="equal">
      <formula>"Pass"</formula>
    </cfRule>
    <cfRule type="cellIs" dxfId="4578" priority="4418" stopIfTrue="1" operator="equal">
      <formula>"Fail"</formula>
    </cfRule>
  </conditionalFormatting>
  <conditionalFormatting sqref="U1045:V1045">
    <cfRule type="cellIs" dxfId="4577" priority="4415" stopIfTrue="1" operator="equal">
      <formula>"Fail"</formula>
    </cfRule>
    <cfRule type="cellIs" dxfId="4576" priority="4416" stopIfTrue="1" operator="equal">
      <formula>"Pass"</formula>
    </cfRule>
  </conditionalFormatting>
  <conditionalFormatting sqref="U1045:V1045">
    <cfRule type="cellIs" dxfId="4575" priority="4413" stopIfTrue="1" operator="equal">
      <formula>"Fail"</formula>
    </cfRule>
    <cfRule type="cellIs" dxfId="4574" priority="4414" stopIfTrue="1" operator="equal">
      <formula>"Pass"</formula>
    </cfRule>
  </conditionalFormatting>
  <conditionalFormatting sqref="U1045:V1045">
    <cfRule type="cellIs" dxfId="4573" priority="4411" stopIfTrue="1" operator="equal">
      <formula>"Fail"</formula>
    </cfRule>
    <cfRule type="cellIs" dxfId="4572" priority="4412" stopIfTrue="1" operator="equal">
      <formula>"Pass"</formula>
    </cfRule>
  </conditionalFormatting>
  <conditionalFormatting sqref="U1045:V1045">
    <cfRule type="cellIs" dxfId="4571" priority="4409" stopIfTrue="1" operator="equal">
      <formula>"Fail"</formula>
    </cfRule>
    <cfRule type="cellIs" dxfId="4570" priority="4410" stopIfTrue="1" operator="equal">
      <formula>"Pass"</formula>
    </cfRule>
  </conditionalFormatting>
  <conditionalFormatting sqref="T1045">
    <cfRule type="cellIs" dxfId="4569" priority="4407" stopIfTrue="1" operator="equal">
      <formula>"Fail"</formula>
    </cfRule>
    <cfRule type="cellIs" dxfId="4568" priority="4408" stopIfTrue="1" operator="equal">
      <formula>"Pass"</formula>
    </cfRule>
  </conditionalFormatting>
  <conditionalFormatting sqref="T1045">
    <cfRule type="cellIs" dxfId="4567" priority="4405" stopIfTrue="1" operator="equal">
      <formula>"Fail"</formula>
    </cfRule>
    <cfRule type="cellIs" dxfId="4566" priority="4406" stopIfTrue="1" operator="equal">
      <formula>"Pass"</formula>
    </cfRule>
  </conditionalFormatting>
  <conditionalFormatting sqref="T1045">
    <cfRule type="cellIs" dxfId="4565" priority="4403" stopIfTrue="1" operator="equal">
      <formula>"Fail"</formula>
    </cfRule>
    <cfRule type="cellIs" dxfId="4564" priority="4404" stopIfTrue="1" operator="equal">
      <formula>"Pass"</formula>
    </cfRule>
  </conditionalFormatting>
  <conditionalFormatting sqref="T1045">
    <cfRule type="cellIs" dxfId="4563" priority="4401" stopIfTrue="1" operator="equal">
      <formula>"Fail"</formula>
    </cfRule>
    <cfRule type="cellIs" dxfId="4562" priority="4402" stopIfTrue="1" operator="equal">
      <formula>"Pass"</formula>
    </cfRule>
  </conditionalFormatting>
  <conditionalFormatting sqref="T1045">
    <cfRule type="cellIs" dxfId="4561" priority="4399" stopIfTrue="1" operator="equal">
      <formula>"Fail"</formula>
    </cfRule>
    <cfRule type="cellIs" dxfId="4560" priority="4400" stopIfTrue="1" operator="equal">
      <formula>"Pass"</formula>
    </cfRule>
  </conditionalFormatting>
  <conditionalFormatting sqref="T1045">
    <cfRule type="cellIs" dxfId="4559" priority="4397" stopIfTrue="1" operator="equal">
      <formula>"Fail"</formula>
    </cfRule>
    <cfRule type="cellIs" dxfId="4558" priority="4398" stopIfTrue="1" operator="equal">
      <formula>"Pass"</formula>
    </cfRule>
  </conditionalFormatting>
  <conditionalFormatting sqref="T1045">
    <cfRule type="cellIs" dxfId="4557" priority="4395" stopIfTrue="1" operator="equal">
      <formula>"Fail"</formula>
    </cfRule>
    <cfRule type="cellIs" dxfId="4556" priority="4396" stopIfTrue="1" operator="equal">
      <formula>"Pass"</formula>
    </cfRule>
  </conditionalFormatting>
  <conditionalFormatting sqref="T1045">
    <cfRule type="cellIs" dxfId="4555" priority="4393" stopIfTrue="1" operator="equal">
      <formula>"Fail"</formula>
    </cfRule>
    <cfRule type="cellIs" dxfId="4554" priority="4394" stopIfTrue="1" operator="equal">
      <formula>"Pass"</formula>
    </cfRule>
  </conditionalFormatting>
  <conditionalFormatting sqref="T1045">
    <cfRule type="cellIs" dxfId="4553" priority="4391" stopIfTrue="1" operator="equal">
      <formula>"Fail"</formula>
    </cfRule>
    <cfRule type="cellIs" dxfId="4552" priority="4392" stopIfTrue="1" operator="equal">
      <formula>"Pass"</formula>
    </cfRule>
  </conditionalFormatting>
  <conditionalFormatting sqref="T1045">
    <cfRule type="cellIs" dxfId="4551" priority="4389" stopIfTrue="1" operator="equal">
      <formula>"Fail"</formula>
    </cfRule>
    <cfRule type="cellIs" dxfId="4550" priority="4390" stopIfTrue="1" operator="equal">
      <formula>"Pass"</formula>
    </cfRule>
  </conditionalFormatting>
  <conditionalFormatting sqref="T1045">
    <cfRule type="cellIs" dxfId="4549" priority="4387" stopIfTrue="1" operator="equal">
      <formula>"Fail"</formula>
    </cfRule>
    <cfRule type="cellIs" dxfId="4548" priority="4388" stopIfTrue="1" operator="equal">
      <formula>"Pass"</formula>
    </cfRule>
  </conditionalFormatting>
  <conditionalFormatting sqref="T1045">
    <cfRule type="cellIs" dxfId="4547" priority="4385" stopIfTrue="1" operator="equal">
      <formula>"Fail"</formula>
    </cfRule>
    <cfRule type="cellIs" dxfId="4546" priority="4386" stopIfTrue="1" operator="equal">
      <formula>"Pass"</formula>
    </cfRule>
  </conditionalFormatting>
  <conditionalFormatting sqref="T1045">
    <cfRule type="cellIs" dxfId="4545" priority="4383" stopIfTrue="1" operator="equal">
      <formula>"Fail"</formula>
    </cfRule>
    <cfRule type="cellIs" dxfId="4544" priority="4384" stopIfTrue="1" operator="equal">
      <formula>"Pass"</formula>
    </cfRule>
  </conditionalFormatting>
  <conditionalFormatting sqref="T1045">
    <cfRule type="cellIs" dxfId="4543" priority="4381" stopIfTrue="1" operator="equal">
      <formula>"Fail"</formula>
    </cfRule>
    <cfRule type="cellIs" dxfId="4542" priority="4382" stopIfTrue="1" operator="equal">
      <formula>"Pass"</formula>
    </cfRule>
  </conditionalFormatting>
  <conditionalFormatting sqref="T1045">
    <cfRule type="cellIs" dxfId="4541" priority="4379" stopIfTrue="1" operator="equal">
      <formula>"Fail"</formula>
    </cfRule>
    <cfRule type="cellIs" dxfId="4540" priority="4380" stopIfTrue="1" operator="equal">
      <formula>"Pass"</formula>
    </cfRule>
  </conditionalFormatting>
  <conditionalFormatting sqref="T1045">
    <cfRule type="cellIs" dxfId="4539" priority="4377" stopIfTrue="1" operator="equal">
      <formula>"Fail"</formula>
    </cfRule>
    <cfRule type="cellIs" dxfId="4538" priority="4378" stopIfTrue="1" operator="equal">
      <formula>"Pass"</formula>
    </cfRule>
  </conditionalFormatting>
  <conditionalFormatting sqref="T1045">
    <cfRule type="cellIs" dxfId="4537" priority="4375" stopIfTrue="1" operator="equal">
      <formula>"Fail"</formula>
    </cfRule>
    <cfRule type="cellIs" dxfId="4536" priority="4376" stopIfTrue="1" operator="equal">
      <formula>"Pass"</formula>
    </cfRule>
  </conditionalFormatting>
  <conditionalFormatting sqref="T1045">
    <cfRule type="cellIs" dxfId="4535" priority="4373" stopIfTrue="1" operator="equal">
      <formula>"Fail"</formula>
    </cfRule>
    <cfRule type="cellIs" dxfId="4534" priority="4374" stopIfTrue="1" operator="equal">
      <formula>"Pass"</formula>
    </cfRule>
  </conditionalFormatting>
  <conditionalFormatting sqref="T1045">
    <cfRule type="cellIs" dxfId="4533" priority="4371" stopIfTrue="1" operator="equal">
      <formula>"Fail"</formula>
    </cfRule>
    <cfRule type="cellIs" dxfId="4532" priority="4372" stopIfTrue="1" operator="equal">
      <formula>"Pass"</formula>
    </cfRule>
  </conditionalFormatting>
  <conditionalFormatting sqref="T1045">
    <cfRule type="cellIs" dxfId="4531" priority="4369" stopIfTrue="1" operator="equal">
      <formula>"Fail"</formula>
    </cfRule>
    <cfRule type="cellIs" dxfId="4530" priority="4370" stopIfTrue="1" operator="equal">
      <formula>"Pass"</formula>
    </cfRule>
  </conditionalFormatting>
  <conditionalFormatting sqref="T1045">
    <cfRule type="cellIs" dxfId="4529" priority="4367" stopIfTrue="1" operator="equal">
      <formula>"Fail"</formula>
    </cfRule>
    <cfRule type="cellIs" dxfId="4528" priority="4368" stopIfTrue="1" operator="equal">
      <formula>"Pass"</formula>
    </cfRule>
  </conditionalFormatting>
  <conditionalFormatting sqref="T1045">
    <cfRule type="cellIs" dxfId="4527" priority="4365" stopIfTrue="1" operator="equal">
      <formula>"Fail"</formula>
    </cfRule>
    <cfRule type="cellIs" dxfId="4526" priority="4366" stopIfTrue="1" operator="equal">
      <formula>"Pass"</formula>
    </cfRule>
  </conditionalFormatting>
  <conditionalFormatting sqref="T1045">
    <cfRule type="cellIs" dxfId="4525" priority="4363" stopIfTrue="1" operator="equal">
      <formula>"Fail"</formula>
    </cfRule>
    <cfRule type="cellIs" dxfId="4524" priority="4364" stopIfTrue="1" operator="equal">
      <formula>"Pass"</formula>
    </cfRule>
  </conditionalFormatting>
  <conditionalFormatting sqref="T1045">
    <cfRule type="cellIs" dxfId="4523" priority="4361" stopIfTrue="1" operator="equal">
      <formula>"Fail"</formula>
    </cfRule>
    <cfRule type="cellIs" dxfId="4522" priority="4362" stopIfTrue="1" operator="equal">
      <formula>"Pass"</formula>
    </cfRule>
  </conditionalFormatting>
  <conditionalFormatting sqref="A1045:A1047">
    <cfRule type="cellIs" dxfId="4521" priority="4359" stopIfTrue="1" operator="equal">
      <formula>"Pass"</formula>
    </cfRule>
    <cfRule type="cellIs" dxfId="4520" priority="4360" stopIfTrue="1" operator="equal">
      <formula>"Fail"</formula>
    </cfRule>
  </conditionalFormatting>
  <conditionalFormatting sqref="A1045:A1047">
    <cfRule type="cellIs" dxfId="4519" priority="4357" stopIfTrue="1" operator="equal">
      <formula>"Pass"</formula>
    </cfRule>
    <cfRule type="cellIs" dxfId="4518" priority="4358" stopIfTrue="1" operator="equal">
      <formula>"Fail"</formula>
    </cfRule>
  </conditionalFormatting>
  <conditionalFormatting sqref="A1045:A1047">
    <cfRule type="cellIs" dxfId="4517" priority="4355" stopIfTrue="1" operator="equal">
      <formula>"Pass"</formula>
    </cfRule>
    <cfRule type="cellIs" dxfId="4516" priority="4356" stopIfTrue="1" operator="equal">
      <formula>"Fail"</formula>
    </cfRule>
  </conditionalFormatting>
  <conditionalFormatting sqref="A1045:A1047">
    <cfRule type="cellIs" dxfId="4515" priority="4353" stopIfTrue="1" operator="equal">
      <formula>"Pass"</formula>
    </cfRule>
    <cfRule type="cellIs" dxfId="4514" priority="4354" stopIfTrue="1" operator="equal">
      <formula>"Fail"</formula>
    </cfRule>
  </conditionalFormatting>
  <conditionalFormatting sqref="A1045:A1047">
    <cfRule type="cellIs" dxfId="4513" priority="4351" stopIfTrue="1" operator="equal">
      <formula>"Pass"</formula>
    </cfRule>
    <cfRule type="cellIs" dxfId="4512" priority="4352" stopIfTrue="1" operator="equal">
      <formula>"Fail"</formula>
    </cfRule>
  </conditionalFormatting>
  <conditionalFormatting sqref="A1047">
    <cfRule type="cellIs" dxfId="4511" priority="4349" stopIfTrue="1" operator="equal">
      <formula>"Pass"</formula>
    </cfRule>
    <cfRule type="cellIs" dxfId="4510" priority="4350" stopIfTrue="1" operator="equal">
      <formula>"Fail"</formula>
    </cfRule>
  </conditionalFormatting>
  <conditionalFormatting sqref="A1045:A1047">
    <cfRule type="cellIs" dxfId="4509" priority="4347" stopIfTrue="1" operator="equal">
      <formula>"Pass"</formula>
    </cfRule>
    <cfRule type="cellIs" dxfId="4508" priority="4348" stopIfTrue="1" operator="equal">
      <formula>"Fail"</formula>
    </cfRule>
  </conditionalFormatting>
  <conditionalFormatting sqref="A1045:A1047">
    <cfRule type="cellIs" dxfId="4507" priority="4345" stopIfTrue="1" operator="equal">
      <formula>"Pass"</formula>
    </cfRule>
    <cfRule type="cellIs" dxfId="4506" priority="4346" stopIfTrue="1" operator="equal">
      <formula>"Fail"</formula>
    </cfRule>
  </conditionalFormatting>
  <conditionalFormatting sqref="A1045:A1047">
    <cfRule type="cellIs" dxfId="4505" priority="4343" stopIfTrue="1" operator="equal">
      <formula>"Pass"</formula>
    </cfRule>
    <cfRule type="cellIs" dxfId="4504" priority="4344" stopIfTrue="1" operator="equal">
      <formula>"Fail"</formula>
    </cfRule>
  </conditionalFormatting>
  <conditionalFormatting sqref="A1045:A1047">
    <cfRule type="cellIs" dxfId="4503" priority="4341" stopIfTrue="1" operator="equal">
      <formula>"Pass"</formula>
    </cfRule>
    <cfRule type="cellIs" dxfId="4502" priority="4342" stopIfTrue="1" operator="equal">
      <formula>"Fail"</formula>
    </cfRule>
  </conditionalFormatting>
  <conditionalFormatting sqref="A1045:A1047">
    <cfRule type="cellIs" dxfId="4501" priority="4339" stopIfTrue="1" operator="equal">
      <formula>"Pass"</formula>
    </cfRule>
    <cfRule type="cellIs" dxfId="4500" priority="4340" stopIfTrue="1" operator="equal">
      <formula>"Fail"</formula>
    </cfRule>
  </conditionalFormatting>
  <conditionalFormatting sqref="A1045:A1047">
    <cfRule type="cellIs" dxfId="4499" priority="4337" stopIfTrue="1" operator="equal">
      <formula>"Pass"</formula>
    </cfRule>
    <cfRule type="cellIs" dxfId="4498" priority="4338" stopIfTrue="1" operator="equal">
      <formula>"Fail"</formula>
    </cfRule>
  </conditionalFormatting>
  <conditionalFormatting sqref="A1047">
    <cfRule type="cellIs" dxfId="4497" priority="4335" stopIfTrue="1" operator="equal">
      <formula>"Pass"</formula>
    </cfRule>
    <cfRule type="cellIs" dxfId="4496" priority="4336" stopIfTrue="1" operator="equal">
      <formula>"Fail"</formula>
    </cfRule>
  </conditionalFormatting>
  <conditionalFormatting sqref="A1045:A1047">
    <cfRule type="cellIs" dxfId="4495" priority="4333" stopIfTrue="1" operator="equal">
      <formula>"Pass"</formula>
    </cfRule>
    <cfRule type="cellIs" dxfId="4494" priority="4334" stopIfTrue="1" operator="equal">
      <formula>"Fail"</formula>
    </cfRule>
  </conditionalFormatting>
  <conditionalFormatting sqref="A1045:A1047">
    <cfRule type="cellIs" dxfId="4493" priority="4331" stopIfTrue="1" operator="equal">
      <formula>"Pass"</formula>
    </cfRule>
    <cfRule type="cellIs" dxfId="4492" priority="4332" stopIfTrue="1" operator="equal">
      <formula>"Fail"</formula>
    </cfRule>
  </conditionalFormatting>
  <conditionalFormatting sqref="A1045:A1047">
    <cfRule type="cellIs" dxfId="4491" priority="4329" stopIfTrue="1" operator="equal">
      <formula>"Pass"</formula>
    </cfRule>
    <cfRule type="cellIs" dxfId="4490" priority="4330" stopIfTrue="1" operator="equal">
      <formula>"Fail"</formula>
    </cfRule>
  </conditionalFormatting>
  <conditionalFormatting sqref="A1045:A1047">
    <cfRule type="cellIs" dxfId="4489" priority="4327" stopIfTrue="1" operator="equal">
      <formula>"Pass"</formula>
    </cfRule>
    <cfRule type="cellIs" dxfId="4488" priority="4328" stopIfTrue="1" operator="equal">
      <formula>"Fail"</formula>
    </cfRule>
  </conditionalFormatting>
  <conditionalFormatting sqref="A1045:A1047">
    <cfRule type="cellIs" dxfId="4487" priority="4325" stopIfTrue="1" operator="equal">
      <formula>"Pass"</formula>
    </cfRule>
    <cfRule type="cellIs" dxfId="4486" priority="4326" stopIfTrue="1" operator="equal">
      <formula>"Fail"</formula>
    </cfRule>
  </conditionalFormatting>
  <conditionalFormatting sqref="A1045:A1047">
    <cfRule type="cellIs" dxfId="4485" priority="4323" stopIfTrue="1" operator="equal">
      <formula>"Pass"</formula>
    </cfRule>
    <cfRule type="cellIs" dxfId="4484" priority="4324" stopIfTrue="1" operator="equal">
      <formula>"Fail"</formula>
    </cfRule>
  </conditionalFormatting>
  <conditionalFormatting sqref="A1047">
    <cfRule type="cellIs" dxfId="4483" priority="4321" stopIfTrue="1" operator="equal">
      <formula>"Pass"</formula>
    </cfRule>
    <cfRule type="cellIs" dxfId="4482" priority="4322" stopIfTrue="1" operator="equal">
      <formula>"Fail"</formula>
    </cfRule>
  </conditionalFormatting>
  <conditionalFormatting sqref="A1045:A1047">
    <cfRule type="cellIs" dxfId="4481" priority="4319" stopIfTrue="1" operator="equal">
      <formula>"Pass"</formula>
    </cfRule>
    <cfRule type="cellIs" dxfId="4480" priority="4320" stopIfTrue="1" operator="equal">
      <formula>"Fail"</formula>
    </cfRule>
  </conditionalFormatting>
  <conditionalFormatting sqref="A1045:A1047">
    <cfRule type="cellIs" dxfId="4479" priority="4317" stopIfTrue="1" operator="equal">
      <formula>"Pass"</formula>
    </cfRule>
    <cfRule type="cellIs" dxfId="4478" priority="4318" stopIfTrue="1" operator="equal">
      <formula>"Fail"</formula>
    </cfRule>
  </conditionalFormatting>
  <conditionalFormatting sqref="A1045:A1047">
    <cfRule type="cellIs" dxfId="4477" priority="4315" stopIfTrue="1" operator="equal">
      <formula>"Pass"</formula>
    </cfRule>
    <cfRule type="cellIs" dxfId="4476" priority="4316" stopIfTrue="1" operator="equal">
      <formula>"Fail"</formula>
    </cfRule>
  </conditionalFormatting>
  <conditionalFormatting sqref="A1045:A1047">
    <cfRule type="cellIs" dxfId="4475" priority="4313" stopIfTrue="1" operator="equal">
      <formula>"Pass"</formula>
    </cfRule>
    <cfRule type="cellIs" dxfId="4474" priority="4314" stopIfTrue="1" operator="equal">
      <formula>"Fail"</formula>
    </cfRule>
  </conditionalFormatting>
  <conditionalFormatting sqref="A1045:A1047">
    <cfRule type="cellIs" dxfId="4473" priority="4311" stopIfTrue="1" operator="equal">
      <formula>"Pass"</formula>
    </cfRule>
    <cfRule type="cellIs" dxfId="4472" priority="4312" stopIfTrue="1" operator="equal">
      <formula>"Fail"</formula>
    </cfRule>
  </conditionalFormatting>
  <conditionalFormatting sqref="A1045:A1047">
    <cfRule type="cellIs" dxfId="4471" priority="4309" stopIfTrue="1" operator="equal">
      <formula>"Pass"</formula>
    </cfRule>
    <cfRule type="cellIs" dxfId="4470" priority="4310" stopIfTrue="1" operator="equal">
      <formula>"Fail"</formula>
    </cfRule>
  </conditionalFormatting>
  <conditionalFormatting sqref="A1047">
    <cfRule type="cellIs" dxfId="4469" priority="4307" stopIfTrue="1" operator="equal">
      <formula>"Pass"</formula>
    </cfRule>
    <cfRule type="cellIs" dxfId="4468" priority="4308" stopIfTrue="1" operator="equal">
      <formula>"Fail"</formula>
    </cfRule>
  </conditionalFormatting>
  <conditionalFormatting sqref="A1045:A1047">
    <cfRule type="cellIs" dxfId="4467" priority="4305" stopIfTrue="1" operator="equal">
      <formula>"Pass"</formula>
    </cfRule>
    <cfRule type="cellIs" dxfId="4466" priority="4306" stopIfTrue="1" operator="equal">
      <formula>"Fail"</formula>
    </cfRule>
  </conditionalFormatting>
  <conditionalFormatting sqref="A1045:A1047">
    <cfRule type="cellIs" dxfId="4465" priority="4303" stopIfTrue="1" operator="equal">
      <formula>"Pass"</formula>
    </cfRule>
    <cfRule type="cellIs" dxfId="4464" priority="4304" stopIfTrue="1" operator="equal">
      <formula>"Fail"</formula>
    </cfRule>
  </conditionalFormatting>
  <conditionalFormatting sqref="A1045:A1047">
    <cfRule type="cellIs" dxfId="4463" priority="4301" stopIfTrue="1" operator="equal">
      <formula>"Pass"</formula>
    </cfRule>
    <cfRule type="cellIs" dxfId="4462" priority="4302" stopIfTrue="1" operator="equal">
      <formula>"Fail"</formula>
    </cfRule>
  </conditionalFormatting>
  <conditionalFormatting sqref="A1045:A1047">
    <cfRule type="cellIs" dxfId="4461" priority="4299" stopIfTrue="1" operator="equal">
      <formula>"Pass"</formula>
    </cfRule>
    <cfRule type="cellIs" dxfId="4460" priority="4300" stopIfTrue="1" operator="equal">
      <formula>"Fail"</formula>
    </cfRule>
  </conditionalFormatting>
  <conditionalFormatting sqref="A1045:A1047">
    <cfRule type="cellIs" dxfId="4459" priority="4297" stopIfTrue="1" operator="equal">
      <formula>"Pass"</formula>
    </cfRule>
    <cfRule type="cellIs" dxfId="4458" priority="4298" stopIfTrue="1" operator="equal">
      <formula>"Fail"</formula>
    </cfRule>
  </conditionalFormatting>
  <conditionalFormatting sqref="A1045:A1047">
    <cfRule type="cellIs" dxfId="4457" priority="4295" stopIfTrue="1" operator="equal">
      <formula>"Pass"</formula>
    </cfRule>
    <cfRule type="cellIs" dxfId="4456" priority="4296" stopIfTrue="1" operator="equal">
      <formula>"Fail"</formula>
    </cfRule>
  </conditionalFormatting>
  <conditionalFormatting sqref="A1047">
    <cfRule type="cellIs" dxfId="4455" priority="4293" stopIfTrue="1" operator="equal">
      <formula>"Pass"</formula>
    </cfRule>
    <cfRule type="cellIs" dxfId="4454" priority="4294" stopIfTrue="1" operator="equal">
      <formula>"Fail"</formula>
    </cfRule>
  </conditionalFormatting>
  <conditionalFormatting sqref="A1045:A1047">
    <cfRule type="cellIs" dxfId="4453" priority="4291" stopIfTrue="1" operator="equal">
      <formula>"Pass"</formula>
    </cfRule>
    <cfRule type="cellIs" dxfId="4452" priority="4292" stopIfTrue="1" operator="equal">
      <formula>"Fail"</formula>
    </cfRule>
  </conditionalFormatting>
  <conditionalFormatting sqref="A1045:A1047">
    <cfRule type="cellIs" dxfId="4451" priority="4289" stopIfTrue="1" operator="equal">
      <formula>"Pass"</formula>
    </cfRule>
    <cfRule type="cellIs" dxfId="4450" priority="4290" stopIfTrue="1" operator="equal">
      <formula>"Fail"</formula>
    </cfRule>
  </conditionalFormatting>
  <conditionalFormatting sqref="A1045:A1047">
    <cfRule type="cellIs" dxfId="4449" priority="4287" stopIfTrue="1" operator="equal">
      <formula>"Pass"</formula>
    </cfRule>
    <cfRule type="cellIs" dxfId="4448" priority="4288" stopIfTrue="1" operator="equal">
      <formula>"Fail"</formula>
    </cfRule>
  </conditionalFormatting>
  <conditionalFormatting sqref="A1045:A1047">
    <cfRule type="cellIs" dxfId="4447" priority="4285" stopIfTrue="1" operator="equal">
      <formula>"Pass"</formula>
    </cfRule>
    <cfRule type="cellIs" dxfId="4446" priority="4286" stopIfTrue="1" operator="equal">
      <formula>"Fail"</formula>
    </cfRule>
  </conditionalFormatting>
  <conditionalFormatting sqref="A1045:A1047">
    <cfRule type="cellIs" dxfId="4445" priority="4283" stopIfTrue="1" operator="equal">
      <formula>"Pass"</formula>
    </cfRule>
    <cfRule type="cellIs" dxfId="4444" priority="4284" stopIfTrue="1" operator="equal">
      <formula>"Fail"</formula>
    </cfRule>
  </conditionalFormatting>
  <conditionalFormatting sqref="A1045:A1047">
    <cfRule type="cellIs" dxfId="4443" priority="4281" stopIfTrue="1" operator="equal">
      <formula>"Pass"</formula>
    </cfRule>
    <cfRule type="cellIs" dxfId="4442" priority="4282" stopIfTrue="1" operator="equal">
      <formula>"Fail"</formula>
    </cfRule>
  </conditionalFormatting>
  <conditionalFormatting sqref="A1047">
    <cfRule type="cellIs" dxfId="4441" priority="4279" stopIfTrue="1" operator="equal">
      <formula>"Pass"</formula>
    </cfRule>
    <cfRule type="cellIs" dxfId="4440" priority="4280" stopIfTrue="1" operator="equal">
      <formula>"Fail"</formula>
    </cfRule>
  </conditionalFormatting>
  <conditionalFormatting sqref="A1045:A1047">
    <cfRule type="cellIs" dxfId="4439" priority="4277" stopIfTrue="1" operator="equal">
      <formula>"Pass"</formula>
    </cfRule>
    <cfRule type="cellIs" dxfId="4438" priority="4278" stopIfTrue="1" operator="equal">
      <formula>"Fail"</formula>
    </cfRule>
  </conditionalFormatting>
  <conditionalFormatting sqref="A1045">
    <cfRule type="cellIs" dxfId="4437" priority="4275" stopIfTrue="1" operator="equal">
      <formula>"Pass"</formula>
    </cfRule>
    <cfRule type="cellIs" dxfId="4436" priority="4276" stopIfTrue="1" operator="equal">
      <formula>"Fail"</formula>
    </cfRule>
  </conditionalFormatting>
  <conditionalFormatting sqref="A1045">
    <cfRule type="cellIs" dxfId="4435" priority="4273" stopIfTrue="1" operator="equal">
      <formula>"Pass"</formula>
    </cfRule>
    <cfRule type="cellIs" dxfId="4434" priority="4274" stopIfTrue="1" operator="equal">
      <formula>"Fail"</formula>
    </cfRule>
  </conditionalFormatting>
  <conditionalFormatting sqref="A1045">
    <cfRule type="cellIs" dxfId="4433" priority="4271" stopIfTrue="1" operator="equal">
      <formula>"Pass"</formula>
    </cfRule>
    <cfRule type="cellIs" dxfId="4432" priority="4272" stopIfTrue="1" operator="equal">
      <formula>"Fail"</formula>
    </cfRule>
  </conditionalFormatting>
  <conditionalFormatting sqref="A1045">
    <cfRule type="cellIs" dxfId="4431" priority="4269" stopIfTrue="1" operator="equal">
      <formula>"Pass"</formula>
    </cfRule>
    <cfRule type="cellIs" dxfId="4430" priority="4270" stopIfTrue="1" operator="equal">
      <formula>"Fail"</formula>
    </cfRule>
  </conditionalFormatting>
  <conditionalFormatting sqref="A1045">
    <cfRule type="cellIs" dxfId="4429" priority="4267" stopIfTrue="1" operator="equal">
      <formula>"Pass"</formula>
    </cfRule>
    <cfRule type="cellIs" dxfId="4428" priority="4268" stopIfTrue="1" operator="equal">
      <formula>"Fail"</formula>
    </cfRule>
  </conditionalFormatting>
  <conditionalFormatting sqref="A1045">
    <cfRule type="cellIs" dxfId="4427" priority="4265" stopIfTrue="1" operator="equal">
      <formula>"Pass"</formula>
    </cfRule>
    <cfRule type="cellIs" dxfId="4426" priority="4266" stopIfTrue="1" operator="equal">
      <formula>"Fail"</formula>
    </cfRule>
  </conditionalFormatting>
  <conditionalFormatting sqref="H1045:H1046">
    <cfRule type="cellIs" dxfId="4425" priority="4263" stopIfTrue="1" operator="equal">
      <formula>"Pass"</formula>
    </cfRule>
    <cfRule type="cellIs" dxfId="4424" priority="4264" stopIfTrue="1" operator="equal">
      <formula>"Fail"</formula>
    </cfRule>
  </conditionalFormatting>
  <conditionalFormatting sqref="E1045:F1045 E1047:F1047 A1045 I1045:M1046">
    <cfRule type="cellIs" dxfId="4423" priority="4261" stopIfTrue="1" operator="equal">
      <formula>"Pass"</formula>
    </cfRule>
    <cfRule type="cellIs" dxfId="4422" priority="4262" stopIfTrue="1" operator="equal">
      <formula>"Fail"</formula>
    </cfRule>
  </conditionalFormatting>
  <conditionalFormatting sqref="T1047 T1045 R1045:R1047 S1046:S1047">
    <cfRule type="cellIs" dxfId="4421" priority="4259" stopIfTrue="1" operator="equal">
      <formula>"Fail"</formula>
    </cfRule>
    <cfRule type="cellIs" dxfId="4420" priority="4260" stopIfTrue="1" operator="equal">
      <formula>"Pass"</formula>
    </cfRule>
  </conditionalFormatting>
  <conditionalFormatting sqref="F1045:G1045 F1047:G1047 B1045:B1047 A1045 J1045:N1046">
    <cfRule type="cellIs" dxfId="4419" priority="4257" stopIfTrue="1" operator="equal">
      <formula>"Pass"</formula>
    </cfRule>
    <cfRule type="cellIs" dxfId="4418" priority="4258" stopIfTrue="1" operator="equal">
      <formula>"Fail"</formula>
    </cfRule>
  </conditionalFormatting>
  <conditionalFormatting sqref="U1047:V1047 T1045:T1047 S1046:S1047">
    <cfRule type="cellIs" dxfId="4417" priority="4255" stopIfTrue="1" operator="equal">
      <formula>"Fail"</formula>
    </cfRule>
    <cfRule type="cellIs" dxfId="4416" priority="4256" stopIfTrue="1" operator="equal">
      <formula>"Pass"</formula>
    </cfRule>
  </conditionalFormatting>
  <conditionalFormatting sqref="A1045">
    <cfRule type="cellIs" dxfId="4415" priority="4253" stopIfTrue="1" operator="equal">
      <formula>"Pass"</formula>
    </cfRule>
    <cfRule type="cellIs" dxfId="4414" priority="4254" stopIfTrue="1" operator="equal">
      <formula>"Fail"</formula>
    </cfRule>
  </conditionalFormatting>
  <conditionalFormatting sqref="A1045">
    <cfRule type="cellIs" dxfId="4413" priority="4251" stopIfTrue="1" operator="equal">
      <formula>"Pass"</formula>
    </cfRule>
    <cfRule type="cellIs" dxfId="4412" priority="4252" stopIfTrue="1" operator="equal">
      <formula>"Fail"</formula>
    </cfRule>
  </conditionalFormatting>
  <conditionalFormatting sqref="A1045">
    <cfRule type="cellIs" dxfId="4411" priority="4249" stopIfTrue="1" operator="equal">
      <formula>"Pass"</formula>
    </cfRule>
    <cfRule type="cellIs" dxfId="4410" priority="4250" stopIfTrue="1" operator="equal">
      <formula>"Fail"</formula>
    </cfRule>
  </conditionalFormatting>
  <conditionalFormatting sqref="A1045">
    <cfRule type="cellIs" dxfId="4409" priority="4247" stopIfTrue="1" operator="equal">
      <formula>"Pass"</formula>
    </cfRule>
    <cfRule type="cellIs" dxfId="4408" priority="4248" stopIfTrue="1" operator="equal">
      <formula>"Fail"</formula>
    </cfRule>
  </conditionalFormatting>
  <conditionalFormatting sqref="A1045">
    <cfRule type="cellIs" dxfId="4407" priority="4245" stopIfTrue="1" operator="equal">
      <formula>"Pass"</formula>
    </cfRule>
    <cfRule type="cellIs" dxfId="4406" priority="4246" stopIfTrue="1" operator="equal">
      <formula>"Fail"</formula>
    </cfRule>
  </conditionalFormatting>
  <conditionalFormatting sqref="A1045">
    <cfRule type="cellIs" dxfId="4405" priority="4243" stopIfTrue="1" operator="equal">
      <formula>"Pass"</formula>
    </cfRule>
    <cfRule type="cellIs" dxfId="4404" priority="4244" stopIfTrue="1" operator="equal">
      <formula>"Fail"</formula>
    </cfRule>
  </conditionalFormatting>
  <conditionalFormatting sqref="A1045">
    <cfRule type="cellIs" dxfId="4403" priority="4241" stopIfTrue="1" operator="equal">
      <formula>"Pass"</formula>
    </cfRule>
    <cfRule type="cellIs" dxfId="4402" priority="4242" stopIfTrue="1" operator="equal">
      <formula>"Fail"</formula>
    </cfRule>
  </conditionalFormatting>
  <conditionalFormatting sqref="A1045">
    <cfRule type="cellIs" dxfId="4401" priority="4239" stopIfTrue="1" operator="equal">
      <formula>"Pass"</formula>
    </cfRule>
    <cfRule type="cellIs" dxfId="4400" priority="4240" stopIfTrue="1" operator="equal">
      <formula>"Fail"</formula>
    </cfRule>
  </conditionalFormatting>
  <conditionalFormatting sqref="A1045">
    <cfRule type="cellIs" dxfId="4399" priority="4237" stopIfTrue="1" operator="equal">
      <formula>"Pass"</formula>
    </cfRule>
    <cfRule type="cellIs" dxfId="4398" priority="4238" stopIfTrue="1" operator="equal">
      <formula>"Fail"</formula>
    </cfRule>
  </conditionalFormatting>
  <conditionalFormatting sqref="A1045">
    <cfRule type="cellIs" dxfId="4397" priority="4235" stopIfTrue="1" operator="equal">
      <formula>"Pass"</formula>
    </cfRule>
    <cfRule type="cellIs" dxfId="4396" priority="4236" stopIfTrue="1" operator="equal">
      <formula>"Fail"</formula>
    </cfRule>
  </conditionalFormatting>
  <conditionalFormatting sqref="U1045:V1045">
    <cfRule type="cellIs" dxfId="4395" priority="4233" stopIfTrue="1" operator="equal">
      <formula>"Fail"</formula>
    </cfRule>
    <cfRule type="cellIs" dxfId="4394" priority="4234" stopIfTrue="1" operator="equal">
      <formula>"Pass"</formula>
    </cfRule>
  </conditionalFormatting>
  <conditionalFormatting sqref="F1045:G1045 J1045:N1045">
    <cfRule type="cellIs" dxfId="4393" priority="4231" stopIfTrue="1" operator="equal">
      <formula>"Pass"</formula>
    </cfRule>
    <cfRule type="cellIs" dxfId="4392" priority="4232" stopIfTrue="1" operator="equal">
      <formula>"Fail"</formula>
    </cfRule>
  </conditionalFormatting>
  <conditionalFormatting sqref="J1046:N1046">
    <cfRule type="cellIs" dxfId="4391" priority="4229" stopIfTrue="1" operator="equal">
      <formula>"Pass"</formula>
    </cfRule>
    <cfRule type="cellIs" dxfId="4390" priority="4230" stopIfTrue="1" operator="equal">
      <formula>"Fail"</formula>
    </cfRule>
  </conditionalFormatting>
  <conditionalFormatting sqref="A1045">
    <cfRule type="cellIs" dxfId="4389" priority="4227" stopIfTrue="1" operator="equal">
      <formula>"Pass"</formula>
    </cfRule>
    <cfRule type="cellIs" dxfId="4388" priority="4228" stopIfTrue="1" operator="equal">
      <formula>"Fail"</formula>
    </cfRule>
  </conditionalFormatting>
  <conditionalFormatting sqref="A1045">
    <cfRule type="cellIs" dxfId="4387" priority="4225" stopIfTrue="1" operator="equal">
      <formula>"Pass"</formula>
    </cfRule>
    <cfRule type="cellIs" dxfId="4386" priority="4226" stopIfTrue="1" operator="equal">
      <formula>"Fail"</formula>
    </cfRule>
  </conditionalFormatting>
  <conditionalFormatting sqref="A1045">
    <cfRule type="cellIs" dxfId="4385" priority="4223" stopIfTrue="1" operator="equal">
      <formula>"Pass"</formula>
    </cfRule>
    <cfRule type="cellIs" dxfId="4384" priority="4224" stopIfTrue="1" operator="equal">
      <formula>"Fail"</formula>
    </cfRule>
  </conditionalFormatting>
  <conditionalFormatting sqref="A1045">
    <cfRule type="cellIs" dxfId="4383" priority="4221" stopIfTrue="1" operator="equal">
      <formula>"Pass"</formula>
    </cfRule>
    <cfRule type="cellIs" dxfId="4382" priority="4222" stopIfTrue="1" operator="equal">
      <formula>"Fail"</formula>
    </cfRule>
  </conditionalFormatting>
  <conditionalFormatting sqref="A1045">
    <cfRule type="cellIs" dxfId="4381" priority="4219" stopIfTrue="1" operator="equal">
      <formula>"Pass"</formula>
    </cfRule>
    <cfRule type="cellIs" dxfId="4380" priority="4220" stopIfTrue="1" operator="equal">
      <formula>"Fail"</formula>
    </cfRule>
  </conditionalFormatting>
  <conditionalFormatting sqref="A1045">
    <cfRule type="cellIs" dxfId="4379" priority="4217" stopIfTrue="1" operator="equal">
      <formula>"Pass"</formula>
    </cfRule>
    <cfRule type="cellIs" dxfId="4378" priority="4218" stopIfTrue="1" operator="equal">
      <formula>"Fail"</formula>
    </cfRule>
  </conditionalFormatting>
  <conditionalFormatting sqref="A1045">
    <cfRule type="cellIs" dxfId="4377" priority="4215" stopIfTrue="1" operator="equal">
      <formula>"Pass"</formula>
    </cfRule>
    <cfRule type="cellIs" dxfId="4376" priority="4216" stopIfTrue="1" operator="equal">
      <formula>"Fail"</formula>
    </cfRule>
  </conditionalFormatting>
  <conditionalFormatting sqref="A1045">
    <cfRule type="cellIs" dxfId="4375" priority="4213" stopIfTrue="1" operator="equal">
      <formula>"Pass"</formula>
    </cfRule>
    <cfRule type="cellIs" dxfId="4374" priority="4214" stopIfTrue="1" operator="equal">
      <formula>"Fail"</formula>
    </cfRule>
  </conditionalFormatting>
  <conditionalFormatting sqref="A1045">
    <cfRule type="cellIs" dxfId="4373" priority="4211" stopIfTrue="1" operator="equal">
      <formula>"Pass"</formula>
    </cfRule>
    <cfRule type="cellIs" dxfId="4372" priority="4212" stopIfTrue="1" operator="equal">
      <formula>"Fail"</formula>
    </cfRule>
  </conditionalFormatting>
  <conditionalFormatting sqref="A1045">
    <cfRule type="cellIs" dxfId="4371" priority="4209" stopIfTrue="1" operator="equal">
      <formula>"Pass"</formula>
    </cfRule>
    <cfRule type="cellIs" dxfId="4370" priority="4210" stopIfTrue="1" operator="equal">
      <formula>"Fail"</formula>
    </cfRule>
  </conditionalFormatting>
  <conditionalFormatting sqref="A1045">
    <cfRule type="cellIs" dxfId="4369" priority="4207" stopIfTrue="1" operator="equal">
      <formula>"Pass"</formula>
    </cfRule>
    <cfRule type="cellIs" dxfId="4368" priority="4208" stopIfTrue="1" operator="equal">
      <formula>"Fail"</formula>
    </cfRule>
  </conditionalFormatting>
  <conditionalFormatting sqref="A1045">
    <cfRule type="cellIs" dxfId="4367" priority="4205" stopIfTrue="1" operator="equal">
      <formula>"Pass"</formula>
    </cfRule>
    <cfRule type="cellIs" dxfId="4366" priority="4206" stopIfTrue="1" operator="equal">
      <formula>"Fail"</formula>
    </cfRule>
  </conditionalFormatting>
  <conditionalFormatting sqref="H1045:H1046">
    <cfRule type="cellIs" dxfId="4365" priority="4203" stopIfTrue="1" operator="equal">
      <formula>"Pass"</formula>
    </cfRule>
    <cfRule type="cellIs" dxfId="4364" priority="4204" stopIfTrue="1" operator="equal">
      <formula>"Fail"</formula>
    </cfRule>
  </conditionalFormatting>
  <conditionalFormatting sqref="F1045 F1047 I1045:M1046">
    <cfRule type="cellIs" dxfId="4363" priority="4201" stopIfTrue="1" operator="equal">
      <formula>"Pass"</formula>
    </cfRule>
    <cfRule type="cellIs" dxfId="4362" priority="4202" stopIfTrue="1" operator="equal">
      <formula>"Fail"</formula>
    </cfRule>
  </conditionalFormatting>
  <conditionalFormatting sqref="T1047 T1045 R1045:R1047 S1046:S1047">
    <cfRule type="cellIs" dxfId="4361" priority="4199" stopIfTrue="1" operator="equal">
      <formula>"Fail"</formula>
    </cfRule>
    <cfRule type="cellIs" dxfId="4360" priority="4200" stopIfTrue="1" operator="equal">
      <formula>"Pass"</formula>
    </cfRule>
  </conditionalFormatting>
  <conditionalFormatting sqref="F1045:G1045 F1047:G1047 J1045:N1046">
    <cfRule type="cellIs" dxfId="4359" priority="4197" stopIfTrue="1" operator="equal">
      <formula>"Pass"</formula>
    </cfRule>
    <cfRule type="cellIs" dxfId="4358" priority="4198" stopIfTrue="1" operator="equal">
      <formula>"Fail"</formula>
    </cfRule>
  </conditionalFormatting>
  <conditionalFormatting sqref="U1047:V1047 T1045:T1047 S1046:S1047">
    <cfRule type="cellIs" dxfId="4357" priority="4195" stopIfTrue="1" operator="equal">
      <formula>"Fail"</formula>
    </cfRule>
    <cfRule type="cellIs" dxfId="4356" priority="4196" stopIfTrue="1" operator="equal">
      <formula>"Pass"</formula>
    </cfRule>
  </conditionalFormatting>
  <conditionalFormatting sqref="U1045:V1045">
    <cfRule type="cellIs" dxfId="4355" priority="4193" stopIfTrue="1" operator="equal">
      <formula>"Fail"</formula>
    </cfRule>
    <cfRule type="cellIs" dxfId="4354" priority="4194" stopIfTrue="1" operator="equal">
      <formula>"Pass"</formula>
    </cfRule>
  </conditionalFormatting>
  <conditionalFormatting sqref="F1045:G1045 J1045:N1045">
    <cfRule type="cellIs" dxfId="4353" priority="4191" stopIfTrue="1" operator="equal">
      <formula>"Pass"</formula>
    </cfRule>
    <cfRule type="cellIs" dxfId="4352" priority="4192" stopIfTrue="1" operator="equal">
      <formula>"Fail"</formula>
    </cfRule>
  </conditionalFormatting>
  <conditionalFormatting sqref="J1046:N1046">
    <cfRule type="cellIs" dxfId="4351" priority="4189" stopIfTrue="1" operator="equal">
      <formula>"Pass"</formula>
    </cfRule>
    <cfRule type="cellIs" dxfId="4350" priority="4190" stopIfTrue="1" operator="equal">
      <formula>"Fail"</formula>
    </cfRule>
  </conditionalFormatting>
  <conditionalFormatting sqref="H1045:H1046">
    <cfRule type="cellIs" dxfId="4349" priority="4187" stopIfTrue="1" operator="equal">
      <formula>"Pass"</formula>
    </cfRule>
    <cfRule type="cellIs" dxfId="4348" priority="4188" stopIfTrue="1" operator="equal">
      <formula>"Fail"</formula>
    </cfRule>
  </conditionalFormatting>
  <conditionalFormatting sqref="F1045 F1047 I1045:M1046">
    <cfRule type="cellIs" dxfId="4347" priority="4185" stopIfTrue="1" operator="equal">
      <formula>"Pass"</formula>
    </cfRule>
    <cfRule type="cellIs" dxfId="4346" priority="4186" stopIfTrue="1" operator="equal">
      <formula>"Fail"</formula>
    </cfRule>
  </conditionalFormatting>
  <conditionalFormatting sqref="T1047 T1045 R1045:R1047 S1046:S1047">
    <cfRule type="cellIs" dxfId="4345" priority="4183" stopIfTrue="1" operator="equal">
      <formula>"Fail"</formula>
    </cfRule>
    <cfRule type="cellIs" dxfId="4344" priority="4184" stopIfTrue="1" operator="equal">
      <formula>"Pass"</formula>
    </cfRule>
  </conditionalFormatting>
  <conditionalFormatting sqref="F1045:G1045 F1047:G1047 J1045:N1046">
    <cfRule type="cellIs" dxfId="4343" priority="4181" stopIfTrue="1" operator="equal">
      <formula>"Pass"</formula>
    </cfRule>
    <cfRule type="cellIs" dxfId="4342" priority="4182" stopIfTrue="1" operator="equal">
      <formula>"Fail"</formula>
    </cfRule>
  </conditionalFormatting>
  <conditionalFormatting sqref="U1047:V1047 T1045:T1047 S1046:S1047">
    <cfRule type="cellIs" dxfId="4341" priority="4179" stopIfTrue="1" operator="equal">
      <formula>"Fail"</formula>
    </cfRule>
    <cfRule type="cellIs" dxfId="4340" priority="4180" stopIfTrue="1" operator="equal">
      <formula>"Pass"</formula>
    </cfRule>
  </conditionalFormatting>
  <conditionalFormatting sqref="U1045:V1045">
    <cfRule type="cellIs" dxfId="4339" priority="4177" stopIfTrue="1" operator="equal">
      <formula>"Fail"</formula>
    </cfRule>
    <cfRule type="cellIs" dxfId="4338" priority="4178" stopIfTrue="1" operator="equal">
      <formula>"Pass"</formula>
    </cfRule>
  </conditionalFormatting>
  <conditionalFormatting sqref="F1045:G1045 J1045:N1045">
    <cfRule type="cellIs" dxfId="4337" priority="4175" stopIfTrue="1" operator="equal">
      <formula>"Pass"</formula>
    </cfRule>
    <cfRule type="cellIs" dxfId="4336" priority="4176" stopIfTrue="1" operator="equal">
      <formula>"Fail"</formula>
    </cfRule>
  </conditionalFormatting>
  <conditionalFormatting sqref="J1046:N1046">
    <cfRule type="cellIs" dxfId="4335" priority="4173" stopIfTrue="1" operator="equal">
      <formula>"Pass"</formula>
    </cfRule>
    <cfRule type="cellIs" dxfId="4334" priority="4174" stopIfTrue="1" operator="equal">
      <formula>"Fail"</formula>
    </cfRule>
  </conditionalFormatting>
  <conditionalFormatting sqref="U1045:V1045">
    <cfRule type="cellIs" dxfId="4333" priority="4171" stopIfTrue="1" operator="equal">
      <formula>"Fail"</formula>
    </cfRule>
    <cfRule type="cellIs" dxfId="4332" priority="4172" stopIfTrue="1" operator="equal">
      <formula>"Pass"</formula>
    </cfRule>
  </conditionalFormatting>
  <conditionalFormatting sqref="U1045:V1045">
    <cfRule type="cellIs" dxfId="4331" priority="4169" stopIfTrue="1" operator="equal">
      <formula>"Fail"</formula>
    </cfRule>
    <cfRule type="cellIs" dxfId="4330" priority="4170" stopIfTrue="1" operator="equal">
      <formula>"Pass"</formula>
    </cfRule>
  </conditionalFormatting>
  <conditionalFormatting sqref="U1045:V1045">
    <cfRule type="cellIs" dxfId="4329" priority="4167" stopIfTrue="1" operator="equal">
      <formula>"Fail"</formula>
    </cfRule>
    <cfRule type="cellIs" dxfId="4328" priority="4168" stopIfTrue="1" operator="equal">
      <formula>"Pass"</formula>
    </cfRule>
  </conditionalFormatting>
  <conditionalFormatting sqref="N1045">
    <cfRule type="cellIs" dxfId="4327" priority="4165" stopIfTrue="1" operator="equal">
      <formula>"Pass"</formula>
    </cfRule>
    <cfRule type="cellIs" dxfId="4326" priority="4166" stopIfTrue="1" operator="equal">
      <formula>"Fail"</formula>
    </cfRule>
  </conditionalFormatting>
  <conditionalFormatting sqref="N1045">
    <cfRule type="cellIs" dxfId="4325" priority="4163" stopIfTrue="1" operator="equal">
      <formula>"Pass"</formula>
    </cfRule>
    <cfRule type="cellIs" dxfId="4324" priority="4164" stopIfTrue="1" operator="equal">
      <formula>"Fail"</formula>
    </cfRule>
  </conditionalFormatting>
  <conditionalFormatting sqref="N1045">
    <cfRule type="cellIs" dxfId="4323" priority="4161" stopIfTrue="1" operator="equal">
      <formula>"Pass"</formula>
    </cfRule>
    <cfRule type="cellIs" dxfId="4322" priority="4162" stopIfTrue="1" operator="equal">
      <formula>"Fail"</formula>
    </cfRule>
  </conditionalFormatting>
  <conditionalFormatting sqref="A1045">
    <cfRule type="cellIs" dxfId="4321" priority="4159" stopIfTrue="1" operator="equal">
      <formula>"Pass"</formula>
    </cfRule>
    <cfRule type="cellIs" dxfId="4320" priority="4160" stopIfTrue="1" operator="equal">
      <formula>"Fail"</formula>
    </cfRule>
  </conditionalFormatting>
  <conditionalFormatting sqref="A1045">
    <cfRule type="cellIs" dxfId="4319" priority="4157" stopIfTrue="1" operator="equal">
      <formula>"Pass"</formula>
    </cfRule>
    <cfRule type="cellIs" dxfId="4318" priority="4158" stopIfTrue="1" operator="equal">
      <formula>"Fail"</formula>
    </cfRule>
  </conditionalFormatting>
  <conditionalFormatting sqref="A1045">
    <cfRule type="cellIs" dxfId="4317" priority="4155" stopIfTrue="1" operator="equal">
      <formula>"Pass"</formula>
    </cfRule>
    <cfRule type="cellIs" dxfId="4316" priority="4156" stopIfTrue="1" operator="equal">
      <formula>"Fail"</formula>
    </cfRule>
  </conditionalFormatting>
  <conditionalFormatting sqref="A1045">
    <cfRule type="cellIs" dxfId="4315" priority="4153" stopIfTrue="1" operator="equal">
      <formula>"Pass"</formula>
    </cfRule>
    <cfRule type="cellIs" dxfId="4314" priority="4154" stopIfTrue="1" operator="equal">
      <formula>"Fail"</formula>
    </cfRule>
  </conditionalFormatting>
  <conditionalFormatting sqref="A1045">
    <cfRule type="cellIs" dxfId="4313" priority="4151" stopIfTrue="1" operator="equal">
      <formula>"Pass"</formula>
    </cfRule>
    <cfRule type="cellIs" dxfId="4312" priority="4152" stopIfTrue="1" operator="equal">
      <formula>"Fail"</formula>
    </cfRule>
  </conditionalFormatting>
  <conditionalFormatting sqref="A1045">
    <cfRule type="cellIs" dxfId="4311" priority="4149" stopIfTrue="1" operator="equal">
      <formula>"Pass"</formula>
    </cfRule>
    <cfRule type="cellIs" dxfId="4310" priority="4150" stopIfTrue="1" operator="equal">
      <formula>"Fail"</formula>
    </cfRule>
  </conditionalFormatting>
  <conditionalFormatting sqref="A1045">
    <cfRule type="cellIs" dxfId="4309" priority="4147" stopIfTrue="1" operator="equal">
      <formula>"Pass"</formula>
    </cfRule>
    <cfRule type="cellIs" dxfId="4308" priority="4148" stopIfTrue="1" operator="equal">
      <formula>"Fail"</formula>
    </cfRule>
  </conditionalFormatting>
  <conditionalFormatting sqref="A1045">
    <cfRule type="cellIs" dxfId="4307" priority="4145" stopIfTrue="1" operator="equal">
      <formula>"Pass"</formula>
    </cfRule>
    <cfRule type="cellIs" dxfId="4306" priority="4146" stopIfTrue="1" operator="equal">
      <formula>"Fail"</formula>
    </cfRule>
  </conditionalFormatting>
  <conditionalFormatting sqref="A1045">
    <cfRule type="cellIs" dxfId="4305" priority="4143" stopIfTrue="1" operator="equal">
      <formula>"Pass"</formula>
    </cfRule>
    <cfRule type="cellIs" dxfId="4304" priority="4144" stopIfTrue="1" operator="equal">
      <formula>"Fail"</formula>
    </cfRule>
  </conditionalFormatting>
  <conditionalFormatting sqref="A1045">
    <cfRule type="cellIs" dxfId="4303" priority="4141" stopIfTrue="1" operator="equal">
      <formula>"Pass"</formula>
    </cfRule>
    <cfRule type="cellIs" dxfId="4302" priority="4142" stopIfTrue="1" operator="equal">
      <formula>"Fail"</formula>
    </cfRule>
  </conditionalFormatting>
  <conditionalFormatting sqref="A1045">
    <cfRule type="cellIs" dxfId="4301" priority="4139" stopIfTrue="1" operator="equal">
      <formula>"Pass"</formula>
    </cfRule>
    <cfRule type="cellIs" dxfId="4300" priority="4140" stopIfTrue="1" operator="equal">
      <formula>"Fail"</formula>
    </cfRule>
  </conditionalFormatting>
  <conditionalFormatting sqref="A1045">
    <cfRule type="cellIs" dxfId="4299" priority="4137" stopIfTrue="1" operator="equal">
      <formula>"Pass"</formula>
    </cfRule>
    <cfRule type="cellIs" dxfId="4298" priority="4138" stopIfTrue="1" operator="equal">
      <formula>"Fail"</formula>
    </cfRule>
  </conditionalFormatting>
  <conditionalFormatting sqref="A1045">
    <cfRule type="cellIs" dxfId="4297" priority="4135" stopIfTrue="1" operator="equal">
      <formula>"Pass"</formula>
    </cfRule>
    <cfRule type="cellIs" dxfId="4296" priority="4136" stopIfTrue="1" operator="equal">
      <formula>"Fail"</formula>
    </cfRule>
  </conditionalFormatting>
  <conditionalFormatting sqref="A1045">
    <cfRule type="cellIs" dxfId="4295" priority="4133" stopIfTrue="1" operator="equal">
      <formula>"Pass"</formula>
    </cfRule>
    <cfRule type="cellIs" dxfId="4294" priority="4134" stopIfTrue="1" operator="equal">
      <formula>"Fail"</formula>
    </cfRule>
  </conditionalFormatting>
  <conditionalFormatting sqref="A1045">
    <cfRule type="cellIs" dxfId="4293" priority="4131" stopIfTrue="1" operator="equal">
      <formula>"Pass"</formula>
    </cfRule>
    <cfRule type="cellIs" dxfId="4292" priority="4132" stopIfTrue="1" operator="equal">
      <formula>"Fail"</formula>
    </cfRule>
  </conditionalFormatting>
  <conditionalFormatting sqref="A1045">
    <cfRule type="cellIs" dxfId="4291" priority="4129" stopIfTrue="1" operator="equal">
      <formula>"Pass"</formula>
    </cfRule>
    <cfRule type="cellIs" dxfId="4290" priority="4130" stopIfTrue="1" operator="equal">
      <formula>"Fail"</formula>
    </cfRule>
  </conditionalFormatting>
  <conditionalFormatting sqref="A1045">
    <cfRule type="cellIs" dxfId="4289" priority="4127" stopIfTrue="1" operator="equal">
      <formula>"Pass"</formula>
    </cfRule>
    <cfRule type="cellIs" dxfId="4288" priority="4128" stopIfTrue="1" operator="equal">
      <formula>"Fail"</formula>
    </cfRule>
  </conditionalFormatting>
  <conditionalFormatting sqref="A1045">
    <cfRule type="cellIs" dxfId="4287" priority="4125" stopIfTrue="1" operator="equal">
      <formula>"Pass"</formula>
    </cfRule>
    <cfRule type="cellIs" dxfId="4286" priority="4126" stopIfTrue="1" operator="equal">
      <formula>"Fail"</formula>
    </cfRule>
  </conditionalFormatting>
  <conditionalFormatting sqref="H1045:H1046">
    <cfRule type="cellIs" dxfId="4285" priority="4123" stopIfTrue="1" operator="equal">
      <formula>"Pass"</formula>
    </cfRule>
    <cfRule type="cellIs" dxfId="4284" priority="4124" stopIfTrue="1" operator="equal">
      <formula>"Fail"</formula>
    </cfRule>
  </conditionalFormatting>
  <conditionalFormatting sqref="F1045 F1047 I1045:M1046">
    <cfRule type="cellIs" dxfId="4283" priority="4121" stopIfTrue="1" operator="equal">
      <formula>"Pass"</formula>
    </cfRule>
    <cfRule type="cellIs" dxfId="4282" priority="4122" stopIfTrue="1" operator="equal">
      <formula>"Fail"</formula>
    </cfRule>
  </conditionalFormatting>
  <conditionalFormatting sqref="T1047 T1045 R1045:R1047 S1046:S1047">
    <cfRule type="cellIs" dxfId="4281" priority="4119" stopIfTrue="1" operator="equal">
      <formula>"Fail"</formula>
    </cfRule>
    <cfRule type="cellIs" dxfId="4280" priority="4120" stopIfTrue="1" operator="equal">
      <formula>"Pass"</formula>
    </cfRule>
  </conditionalFormatting>
  <conditionalFormatting sqref="F1045:G1045 F1047:G1047 J1045:N1046">
    <cfRule type="cellIs" dxfId="4279" priority="4117" stopIfTrue="1" operator="equal">
      <formula>"Pass"</formula>
    </cfRule>
    <cfRule type="cellIs" dxfId="4278" priority="4118" stopIfTrue="1" operator="equal">
      <formula>"Fail"</formula>
    </cfRule>
  </conditionalFormatting>
  <conditionalFormatting sqref="U1047:V1047 T1045:T1047 S1046:S1047">
    <cfRule type="cellIs" dxfId="4277" priority="4115" stopIfTrue="1" operator="equal">
      <formula>"Fail"</formula>
    </cfRule>
    <cfRule type="cellIs" dxfId="4276" priority="4116" stopIfTrue="1" operator="equal">
      <formula>"Pass"</formula>
    </cfRule>
  </conditionalFormatting>
  <conditionalFormatting sqref="U1045:V1045">
    <cfRule type="cellIs" dxfId="4275" priority="4113" stopIfTrue="1" operator="equal">
      <formula>"Fail"</formula>
    </cfRule>
    <cfRule type="cellIs" dxfId="4274" priority="4114" stopIfTrue="1" operator="equal">
      <formula>"Pass"</formula>
    </cfRule>
  </conditionalFormatting>
  <conditionalFormatting sqref="F1045:G1045 J1045:N1045">
    <cfRule type="cellIs" dxfId="4273" priority="4111" stopIfTrue="1" operator="equal">
      <formula>"Pass"</formula>
    </cfRule>
    <cfRule type="cellIs" dxfId="4272" priority="4112" stopIfTrue="1" operator="equal">
      <formula>"Fail"</formula>
    </cfRule>
  </conditionalFormatting>
  <conditionalFormatting sqref="J1046:N1046">
    <cfRule type="cellIs" dxfId="4271" priority="4109" stopIfTrue="1" operator="equal">
      <formula>"Pass"</formula>
    </cfRule>
    <cfRule type="cellIs" dxfId="4270" priority="4110" stopIfTrue="1" operator="equal">
      <formula>"Fail"</formula>
    </cfRule>
  </conditionalFormatting>
  <conditionalFormatting sqref="H1045:H1046">
    <cfRule type="cellIs" dxfId="4269" priority="4107" stopIfTrue="1" operator="equal">
      <formula>"Pass"</formula>
    </cfRule>
    <cfRule type="cellIs" dxfId="4268" priority="4108" stopIfTrue="1" operator="equal">
      <formula>"Fail"</formula>
    </cfRule>
  </conditionalFormatting>
  <conditionalFormatting sqref="F1045 F1047 I1045:M1046">
    <cfRule type="cellIs" dxfId="4267" priority="4105" stopIfTrue="1" operator="equal">
      <formula>"Pass"</formula>
    </cfRule>
    <cfRule type="cellIs" dxfId="4266" priority="4106" stopIfTrue="1" operator="equal">
      <formula>"Fail"</formula>
    </cfRule>
  </conditionalFormatting>
  <conditionalFormatting sqref="T1047 T1045 R1045:R1047 S1046:S1047">
    <cfRule type="cellIs" dxfId="4265" priority="4103" stopIfTrue="1" operator="equal">
      <formula>"Fail"</formula>
    </cfRule>
    <cfRule type="cellIs" dxfId="4264" priority="4104" stopIfTrue="1" operator="equal">
      <formula>"Pass"</formula>
    </cfRule>
  </conditionalFormatting>
  <conditionalFormatting sqref="F1045:G1045 F1047:G1047 J1045:N1046">
    <cfRule type="cellIs" dxfId="4263" priority="4101" stopIfTrue="1" operator="equal">
      <formula>"Pass"</formula>
    </cfRule>
    <cfRule type="cellIs" dxfId="4262" priority="4102" stopIfTrue="1" operator="equal">
      <formula>"Fail"</formula>
    </cfRule>
  </conditionalFormatting>
  <conditionalFormatting sqref="U1047:V1047 T1045:T1047 S1046:S1047">
    <cfRule type="cellIs" dxfId="4261" priority="4099" stopIfTrue="1" operator="equal">
      <formula>"Fail"</formula>
    </cfRule>
    <cfRule type="cellIs" dxfId="4260" priority="4100" stopIfTrue="1" operator="equal">
      <formula>"Pass"</formula>
    </cfRule>
  </conditionalFormatting>
  <conditionalFormatting sqref="U1045:V1045">
    <cfRule type="cellIs" dxfId="4259" priority="4097" stopIfTrue="1" operator="equal">
      <formula>"Fail"</formula>
    </cfRule>
    <cfRule type="cellIs" dxfId="4258" priority="4098" stopIfTrue="1" operator="equal">
      <formula>"Pass"</formula>
    </cfRule>
  </conditionalFormatting>
  <conditionalFormatting sqref="F1045:G1045 J1045:N1045">
    <cfRule type="cellIs" dxfId="4257" priority="4095" stopIfTrue="1" operator="equal">
      <formula>"Pass"</formula>
    </cfRule>
    <cfRule type="cellIs" dxfId="4256" priority="4096" stopIfTrue="1" operator="equal">
      <formula>"Fail"</formula>
    </cfRule>
  </conditionalFormatting>
  <conditionalFormatting sqref="J1046:N1046">
    <cfRule type="cellIs" dxfId="4255" priority="4093" stopIfTrue="1" operator="equal">
      <formula>"Pass"</formula>
    </cfRule>
    <cfRule type="cellIs" dxfId="4254" priority="4094" stopIfTrue="1" operator="equal">
      <formula>"Fail"</formula>
    </cfRule>
  </conditionalFormatting>
  <conditionalFormatting sqref="H1045:H1046">
    <cfRule type="cellIs" dxfId="4253" priority="4091" stopIfTrue="1" operator="equal">
      <formula>"Pass"</formula>
    </cfRule>
    <cfRule type="cellIs" dxfId="4252" priority="4092" stopIfTrue="1" operator="equal">
      <formula>"Fail"</formula>
    </cfRule>
  </conditionalFormatting>
  <conditionalFormatting sqref="F1045 F1047 I1045:M1046">
    <cfRule type="cellIs" dxfId="4251" priority="4089" stopIfTrue="1" operator="equal">
      <formula>"Pass"</formula>
    </cfRule>
    <cfRule type="cellIs" dxfId="4250" priority="4090" stopIfTrue="1" operator="equal">
      <formula>"Fail"</formula>
    </cfRule>
  </conditionalFormatting>
  <conditionalFormatting sqref="T1047 T1045 R1045:R1047 S1046:S1047">
    <cfRule type="cellIs" dxfId="4249" priority="4087" stopIfTrue="1" operator="equal">
      <formula>"Fail"</formula>
    </cfRule>
    <cfRule type="cellIs" dxfId="4248" priority="4088" stopIfTrue="1" operator="equal">
      <formula>"Pass"</formula>
    </cfRule>
  </conditionalFormatting>
  <conditionalFormatting sqref="F1045:G1045 F1047:G1047 J1045:N1046">
    <cfRule type="cellIs" dxfId="4247" priority="4085" stopIfTrue="1" operator="equal">
      <formula>"Pass"</formula>
    </cfRule>
    <cfRule type="cellIs" dxfId="4246" priority="4086" stopIfTrue="1" operator="equal">
      <formula>"Fail"</formula>
    </cfRule>
  </conditionalFormatting>
  <conditionalFormatting sqref="U1047:V1047 T1045:T1047 S1046:S1047">
    <cfRule type="cellIs" dxfId="4245" priority="4083" stopIfTrue="1" operator="equal">
      <formula>"Fail"</formula>
    </cfRule>
    <cfRule type="cellIs" dxfId="4244" priority="4084" stopIfTrue="1" operator="equal">
      <formula>"Pass"</formula>
    </cfRule>
  </conditionalFormatting>
  <conditionalFormatting sqref="U1045:V1045">
    <cfRule type="cellIs" dxfId="4243" priority="4081" stopIfTrue="1" operator="equal">
      <formula>"Fail"</formula>
    </cfRule>
    <cfRule type="cellIs" dxfId="4242" priority="4082" stopIfTrue="1" operator="equal">
      <formula>"Pass"</formula>
    </cfRule>
  </conditionalFormatting>
  <conditionalFormatting sqref="F1045:G1045 J1045:N1045">
    <cfRule type="cellIs" dxfId="4241" priority="4079" stopIfTrue="1" operator="equal">
      <formula>"Pass"</formula>
    </cfRule>
    <cfRule type="cellIs" dxfId="4240" priority="4080" stopIfTrue="1" operator="equal">
      <formula>"Fail"</formula>
    </cfRule>
  </conditionalFormatting>
  <conditionalFormatting sqref="J1046:N1046">
    <cfRule type="cellIs" dxfId="4239" priority="4077" stopIfTrue="1" operator="equal">
      <formula>"Pass"</formula>
    </cfRule>
    <cfRule type="cellIs" dxfId="4238" priority="4078" stopIfTrue="1" operator="equal">
      <formula>"Fail"</formula>
    </cfRule>
  </conditionalFormatting>
  <conditionalFormatting sqref="U1045:V1045">
    <cfRule type="cellIs" dxfId="4237" priority="4075" stopIfTrue="1" operator="equal">
      <formula>"Fail"</formula>
    </cfRule>
    <cfRule type="cellIs" dxfId="4236" priority="4076" stopIfTrue="1" operator="equal">
      <formula>"Pass"</formula>
    </cfRule>
  </conditionalFormatting>
  <conditionalFormatting sqref="U1045:V1045">
    <cfRule type="cellIs" dxfId="4235" priority="4073" stopIfTrue="1" operator="equal">
      <formula>"Fail"</formula>
    </cfRule>
    <cfRule type="cellIs" dxfId="4234" priority="4074" stopIfTrue="1" operator="equal">
      <formula>"Pass"</formula>
    </cfRule>
  </conditionalFormatting>
  <conditionalFormatting sqref="U1045:V1045">
    <cfRule type="cellIs" dxfId="4233" priority="4071" stopIfTrue="1" operator="equal">
      <formula>"Fail"</formula>
    </cfRule>
    <cfRule type="cellIs" dxfId="4232" priority="4072" stopIfTrue="1" operator="equal">
      <formula>"Pass"</formula>
    </cfRule>
  </conditionalFormatting>
  <conditionalFormatting sqref="N1045">
    <cfRule type="cellIs" dxfId="4231" priority="4069" stopIfTrue="1" operator="equal">
      <formula>"Pass"</formula>
    </cfRule>
    <cfRule type="cellIs" dxfId="4230" priority="4070" stopIfTrue="1" operator="equal">
      <formula>"Fail"</formula>
    </cfRule>
  </conditionalFormatting>
  <conditionalFormatting sqref="N1045">
    <cfRule type="cellIs" dxfId="4229" priority="4067" stopIfTrue="1" operator="equal">
      <formula>"Pass"</formula>
    </cfRule>
    <cfRule type="cellIs" dxfId="4228" priority="4068" stopIfTrue="1" operator="equal">
      <formula>"Fail"</formula>
    </cfRule>
  </conditionalFormatting>
  <conditionalFormatting sqref="N1045">
    <cfRule type="cellIs" dxfId="4227" priority="4065" stopIfTrue="1" operator="equal">
      <formula>"Pass"</formula>
    </cfRule>
    <cfRule type="cellIs" dxfId="4226" priority="4066" stopIfTrue="1" operator="equal">
      <formula>"Fail"</formula>
    </cfRule>
  </conditionalFormatting>
  <conditionalFormatting sqref="U1045:V1045">
    <cfRule type="cellIs" dxfId="4225" priority="4063" stopIfTrue="1" operator="equal">
      <formula>"Fail"</formula>
    </cfRule>
    <cfRule type="cellIs" dxfId="4224" priority="4064" stopIfTrue="1" operator="equal">
      <formula>"Pass"</formula>
    </cfRule>
  </conditionalFormatting>
  <conditionalFormatting sqref="U1045:V1045">
    <cfRule type="cellIs" dxfId="4223" priority="4061" stopIfTrue="1" operator="equal">
      <formula>"Fail"</formula>
    </cfRule>
    <cfRule type="cellIs" dxfId="4222" priority="4062" stopIfTrue="1" operator="equal">
      <formula>"Pass"</formula>
    </cfRule>
  </conditionalFormatting>
  <conditionalFormatting sqref="U1045:V1045">
    <cfRule type="cellIs" dxfId="4221" priority="4059" stopIfTrue="1" operator="equal">
      <formula>"Fail"</formula>
    </cfRule>
    <cfRule type="cellIs" dxfId="4220" priority="4060" stopIfTrue="1" operator="equal">
      <formula>"Pass"</formula>
    </cfRule>
  </conditionalFormatting>
  <conditionalFormatting sqref="U1045:V1045">
    <cfRule type="cellIs" dxfId="4219" priority="4057" stopIfTrue="1" operator="equal">
      <formula>"Fail"</formula>
    </cfRule>
    <cfRule type="cellIs" dxfId="4218" priority="4058" stopIfTrue="1" operator="equal">
      <formula>"Pass"</formula>
    </cfRule>
  </conditionalFormatting>
  <conditionalFormatting sqref="T1045">
    <cfRule type="cellIs" dxfId="4217" priority="4055" stopIfTrue="1" operator="equal">
      <formula>"Fail"</formula>
    </cfRule>
    <cfRule type="cellIs" dxfId="4216" priority="4056" stopIfTrue="1" operator="equal">
      <formula>"Pass"</formula>
    </cfRule>
  </conditionalFormatting>
  <conditionalFormatting sqref="T1045">
    <cfRule type="cellIs" dxfId="4215" priority="4053" stopIfTrue="1" operator="equal">
      <formula>"Fail"</formula>
    </cfRule>
    <cfRule type="cellIs" dxfId="4214" priority="4054" stopIfTrue="1" operator="equal">
      <formula>"Pass"</formula>
    </cfRule>
  </conditionalFormatting>
  <conditionalFormatting sqref="T1045">
    <cfRule type="cellIs" dxfId="4213" priority="4051" stopIfTrue="1" operator="equal">
      <formula>"Fail"</formula>
    </cfRule>
    <cfRule type="cellIs" dxfId="4212" priority="4052" stopIfTrue="1" operator="equal">
      <formula>"Pass"</formula>
    </cfRule>
  </conditionalFormatting>
  <conditionalFormatting sqref="T1045">
    <cfRule type="cellIs" dxfId="4211" priority="4049" stopIfTrue="1" operator="equal">
      <formula>"Fail"</formula>
    </cfRule>
    <cfRule type="cellIs" dxfId="4210" priority="4050" stopIfTrue="1" operator="equal">
      <formula>"Pass"</formula>
    </cfRule>
  </conditionalFormatting>
  <conditionalFormatting sqref="T1045">
    <cfRule type="cellIs" dxfId="4209" priority="4047" stopIfTrue="1" operator="equal">
      <formula>"Fail"</formula>
    </cfRule>
    <cfRule type="cellIs" dxfId="4208" priority="4048" stopIfTrue="1" operator="equal">
      <formula>"Pass"</formula>
    </cfRule>
  </conditionalFormatting>
  <conditionalFormatting sqref="T1045">
    <cfRule type="cellIs" dxfId="4207" priority="4045" stopIfTrue="1" operator="equal">
      <formula>"Fail"</formula>
    </cfRule>
    <cfRule type="cellIs" dxfId="4206" priority="4046" stopIfTrue="1" operator="equal">
      <formula>"Pass"</formula>
    </cfRule>
  </conditionalFormatting>
  <conditionalFormatting sqref="T1045">
    <cfRule type="cellIs" dxfId="4205" priority="4043" stopIfTrue="1" operator="equal">
      <formula>"Fail"</formula>
    </cfRule>
    <cfRule type="cellIs" dxfId="4204" priority="4044" stopIfTrue="1" operator="equal">
      <formula>"Pass"</formula>
    </cfRule>
  </conditionalFormatting>
  <conditionalFormatting sqref="T1045">
    <cfRule type="cellIs" dxfId="4203" priority="4041" stopIfTrue="1" operator="equal">
      <formula>"Fail"</formula>
    </cfRule>
    <cfRule type="cellIs" dxfId="4202" priority="4042" stopIfTrue="1" operator="equal">
      <formula>"Pass"</formula>
    </cfRule>
  </conditionalFormatting>
  <conditionalFormatting sqref="T1045">
    <cfRule type="cellIs" dxfId="4201" priority="4039" stopIfTrue="1" operator="equal">
      <formula>"Fail"</formula>
    </cfRule>
    <cfRule type="cellIs" dxfId="4200" priority="4040" stopIfTrue="1" operator="equal">
      <formula>"Pass"</formula>
    </cfRule>
  </conditionalFormatting>
  <conditionalFormatting sqref="T1045">
    <cfRule type="cellIs" dxfId="4199" priority="4037" stopIfTrue="1" operator="equal">
      <formula>"Fail"</formula>
    </cfRule>
    <cfRule type="cellIs" dxfId="4198" priority="4038" stopIfTrue="1" operator="equal">
      <formula>"Pass"</formula>
    </cfRule>
  </conditionalFormatting>
  <conditionalFormatting sqref="T1045">
    <cfRule type="cellIs" dxfId="4197" priority="4035" stopIfTrue="1" operator="equal">
      <formula>"Fail"</formula>
    </cfRule>
    <cfRule type="cellIs" dxfId="4196" priority="4036" stopIfTrue="1" operator="equal">
      <formula>"Pass"</formula>
    </cfRule>
  </conditionalFormatting>
  <conditionalFormatting sqref="T1045">
    <cfRule type="cellIs" dxfId="4195" priority="4033" stopIfTrue="1" operator="equal">
      <formula>"Fail"</formula>
    </cfRule>
    <cfRule type="cellIs" dxfId="4194" priority="4034" stopIfTrue="1" operator="equal">
      <formula>"Pass"</formula>
    </cfRule>
  </conditionalFormatting>
  <conditionalFormatting sqref="T1045">
    <cfRule type="cellIs" dxfId="4193" priority="4031" stopIfTrue="1" operator="equal">
      <formula>"Fail"</formula>
    </cfRule>
    <cfRule type="cellIs" dxfId="4192" priority="4032" stopIfTrue="1" operator="equal">
      <formula>"Pass"</formula>
    </cfRule>
  </conditionalFormatting>
  <conditionalFormatting sqref="T1045">
    <cfRule type="cellIs" dxfId="4191" priority="4029" stopIfTrue="1" operator="equal">
      <formula>"Fail"</formula>
    </cfRule>
    <cfRule type="cellIs" dxfId="4190" priority="4030" stopIfTrue="1" operator="equal">
      <formula>"Pass"</formula>
    </cfRule>
  </conditionalFormatting>
  <conditionalFormatting sqref="T1045">
    <cfRule type="cellIs" dxfId="4189" priority="4027" stopIfTrue="1" operator="equal">
      <formula>"Fail"</formula>
    </cfRule>
    <cfRule type="cellIs" dxfId="4188" priority="4028" stopIfTrue="1" operator="equal">
      <formula>"Pass"</formula>
    </cfRule>
  </conditionalFormatting>
  <conditionalFormatting sqref="T1045">
    <cfRule type="cellIs" dxfId="4187" priority="4025" stopIfTrue="1" operator="equal">
      <formula>"Fail"</formula>
    </cfRule>
    <cfRule type="cellIs" dxfId="4186" priority="4026" stopIfTrue="1" operator="equal">
      <formula>"Pass"</formula>
    </cfRule>
  </conditionalFormatting>
  <conditionalFormatting sqref="T1045">
    <cfRule type="cellIs" dxfId="4185" priority="4023" stopIfTrue="1" operator="equal">
      <formula>"Fail"</formula>
    </cfRule>
    <cfRule type="cellIs" dxfId="4184" priority="4024" stopIfTrue="1" operator="equal">
      <formula>"Pass"</formula>
    </cfRule>
  </conditionalFormatting>
  <conditionalFormatting sqref="T1045">
    <cfRule type="cellIs" dxfId="4183" priority="4021" stopIfTrue="1" operator="equal">
      <formula>"Fail"</formula>
    </cfRule>
    <cfRule type="cellIs" dxfId="4182" priority="4022" stopIfTrue="1" operator="equal">
      <formula>"Pass"</formula>
    </cfRule>
  </conditionalFormatting>
  <conditionalFormatting sqref="T1045">
    <cfRule type="cellIs" dxfId="4181" priority="4019" stopIfTrue="1" operator="equal">
      <formula>"Fail"</formula>
    </cfRule>
    <cfRule type="cellIs" dxfId="4180" priority="4020" stopIfTrue="1" operator="equal">
      <formula>"Pass"</formula>
    </cfRule>
  </conditionalFormatting>
  <conditionalFormatting sqref="T1045">
    <cfRule type="cellIs" dxfId="4179" priority="4017" stopIfTrue="1" operator="equal">
      <formula>"Fail"</formula>
    </cfRule>
    <cfRule type="cellIs" dxfId="4178" priority="4018" stopIfTrue="1" operator="equal">
      <formula>"Pass"</formula>
    </cfRule>
  </conditionalFormatting>
  <conditionalFormatting sqref="T1045">
    <cfRule type="cellIs" dxfId="4177" priority="4015" stopIfTrue="1" operator="equal">
      <formula>"Fail"</formula>
    </cfRule>
    <cfRule type="cellIs" dxfId="4176" priority="4016" stopIfTrue="1" operator="equal">
      <formula>"Pass"</formula>
    </cfRule>
  </conditionalFormatting>
  <conditionalFormatting sqref="T1045">
    <cfRule type="cellIs" dxfId="4175" priority="4013" stopIfTrue="1" operator="equal">
      <formula>"Fail"</formula>
    </cfRule>
    <cfRule type="cellIs" dxfId="4174" priority="4014" stopIfTrue="1" operator="equal">
      <formula>"Pass"</formula>
    </cfRule>
  </conditionalFormatting>
  <conditionalFormatting sqref="T1045">
    <cfRule type="cellIs" dxfId="4173" priority="4011" stopIfTrue="1" operator="equal">
      <formula>"Fail"</formula>
    </cfRule>
    <cfRule type="cellIs" dxfId="4172" priority="4012" stopIfTrue="1" operator="equal">
      <formula>"Pass"</formula>
    </cfRule>
  </conditionalFormatting>
  <conditionalFormatting sqref="T1045">
    <cfRule type="cellIs" dxfId="4171" priority="4009" stopIfTrue="1" operator="equal">
      <formula>"Fail"</formula>
    </cfRule>
    <cfRule type="cellIs" dxfId="4170" priority="4010" stopIfTrue="1" operator="equal">
      <formula>"Pass"</formula>
    </cfRule>
  </conditionalFormatting>
  <conditionalFormatting sqref="H1048:H1049">
    <cfRule type="cellIs" dxfId="4169" priority="4007" stopIfTrue="1" operator="equal">
      <formula>"Pass"</formula>
    </cfRule>
    <cfRule type="cellIs" dxfId="4168" priority="4008" stopIfTrue="1" operator="equal">
      <formula>"Fail"</formula>
    </cfRule>
  </conditionalFormatting>
  <conditionalFormatting sqref="E1048:F1048 E1050:F1050 A1048:A1050 I1048:M1049">
    <cfRule type="cellIs" dxfId="4167" priority="4005" stopIfTrue="1" operator="equal">
      <formula>"Pass"</formula>
    </cfRule>
    <cfRule type="cellIs" dxfId="4166" priority="4006" stopIfTrue="1" operator="equal">
      <formula>"Fail"</formula>
    </cfRule>
  </conditionalFormatting>
  <conditionalFormatting sqref="T1050 T1048 R1048:R1050 S1049:S1050">
    <cfRule type="cellIs" dxfId="4165" priority="4003" stopIfTrue="1" operator="equal">
      <formula>"Fail"</formula>
    </cfRule>
    <cfRule type="cellIs" dxfId="4164" priority="4004" stopIfTrue="1" operator="equal">
      <formula>"Pass"</formula>
    </cfRule>
  </conditionalFormatting>
  <conditionalFormatting sqref="F1048:G1048 F1050:G1050 A1048:B1050 J1048:N1049">
    <cfRule type="cellIs" dxfId="4163" priority="4001" stopIfTrue="1" operator="equal">
      <formula>"Pass"</formula>
    </cfRule>
    <cfRule type="cellIs" dxfId="4162" priority="4002" stopIfTrue="1" operator="equal">
      <formula>"Fail"</formula>
    </cfRule>
  </conditionalFormatting>
  <conditionalFormatting sqref="U1050:V1050 U1048:V1048 T1048:T1050 S1049:S1050">
    <cfRule type="cellIs" dxfId="4161" priority="3999" stopIfTrue="1" operator="equal">
      <formula>"Fail"</formula>
    </cfRule>
    <cfRule type="cellIs" dxfId="4160" priority="4000" stopIfTrue="1" operator="equal">
      <formula>"Pass"</formula>
    </cfRule>
  </conditionalFormatting>
  <conditionalFormatting sqref="A1048:A1050">
    <cfRule type="cellIs" dxfId="4159" priority="3997" stopIfTrue="1" operator="equal">
      <formula>"Pass"</formula>
    </cfRule>
    <cfRule type="cellIs" dxfId="4158" priority="3998" stopIfTrue="1" operator="equal">
      <formula>"Fail"</formula>
    </cfRule>
  </conditionalFormatting>
  <conditionalFormatting sqref="A1048:A1050">
    <cfRule type="cellIs" dxfId="4157" priority="3995" stopIfTrue="1" operator="equal">
      <formula>"Pass"</formula>
    </cfRule>
    <cfRule type="cellIs" dxfId="4156" priority="3996" stopIfTrue="1" operator="equal">
      <formula>"Fail"</formula>
    </cfRule>
  </conditionalFormatting>
  <conditionalFormatting sqref="A1048:A1050">
    <cfRule type="cellIs" dxfId="4155" priority="3993" stopIfTrue="1" operator="equal">
      <formula>"Pass"</formula>
    </cfRule>
    <cfRule type="cellIs" dxfId="4154" priority="3994" stopIfTrue="1" operator="equal">
      <formula>"Fail"</formula>
    </cfRule>
  </conditionalFormatting>
  <conditionalFormatting sqref="J1048:N1049 E1048:G1050">
    <cfRule type="cellIs" dxfId="4153" priority="3991" stopIfTrue="1" operator="equal">
      <formula>"Pass"</formula>
    </cfRule>
    <cfRule type="cellIs" dxfId="4152" priority="3992" stopIfTrue="1" operator="equal">
      <formula>"Fail"</formula>
    </cfRule>
  </conditionalFormatting>
  <conditionalFormatting sqref="A1050 C1050 K1048:O1049 F1048:H1050">
    <cfRule type="cellIs" dxfId="4151" priority="3989" stopIfTrue="1" operator="equal">
      <formula>"Pass"</formula>
    </cfRule>
    <cfRule type="cellIs" dxfId="4150" priority="3990" stopIfTrue="1" operator="equal">
      <formula>"Fail"</formula>
    </cfRule>
  </conditionalFormatting>
  <conditionalFormatting sqref="T1048">
    <cfRule type="cellIs" dxfId="4149" priority="3987" stopIfTrue="1" operator="equal">
      <formula>"Fail"</formula>
    </cfRule>
    <cfRule type="cellIs" dxfId="4148" priority="3988" stopIfTrue="1" operator="equal">
      <formula>"Pass"</formula>
    </cfRule>
  </conditionalFormatting>
  <conditionalFormatting sqref="A1048:A1050">
    <cfRule type="cellIs" dxfId="4147" priority="3985" stopIfTrue="1" operator="equal">
      <formula>"Pass"</formula>
    </cfRule>
    <cfRule type="cellIs" dxfId="4146" priority="3986" stopIfTrue="1" operator="equal">
      <formula>"Fail"</formula>
    </cfRule>
  </conditionalFormatting>
  <conditionalFormatting sqref="A1048:A1050">
    <cfRule type="cellIs" dxfId="4145" priority="3983" stopIfTrue="1" operator="equal">
      <formula>"Pass"</formula>
    </cfRule>
    <cfRule type="cellIs" dxfId="4144" priority="3984" stopIfTrue="1" operator="equal">
      <formula>"Fail"</formula>
    </cfRule>
  </conditionalFormatting>
  <conditionalFormatting sqref="A1048:A1050">
    <cfRule type="cellIs" dxfId="4143" priority="3981" stopIfTrue="1" operator="equal">
      <formula>"Pass"</formula>
    </cfRule>
    <cfRule type="cellIs" dxfId="4142" priority="3982" stopIfTrue="1" operator="equal">
      <formula>"Fail"</formula>
    </cfRule>
  </conditionalFormatting>
  <conditionalFormatting sqref="A1048:A1050">
    <cfRule type="cellIs" dxfId="4141" priority="3979" stopIfTrue="1" operator="equal">
      <formula>"Pass"</formula>
    </cfRule>
    <cfRule type="cellIs" dxfId="4140" priority="3980" stopIfTrue="1" operator="equal">
      <formula>"Fail"</formula>
    </cfRule>
  </conditionalFormatting>
  <conditionalFormatting sqref="A1048:A1050">
    <cfRule type="cellIs" dxfId="4139" priority="3977" stopIfTrue="1" operator="equal">
      <formula>"Pass"</formula>
    </cfRule>
    <cfRule type="cellIs" dxfId="4138" priority="3978" stopIfTrue="1" operator="equal">
      <formula>"Fail"</formula>
    </cfRule>
  </conditionalFormatting>
  <conditionalFormatting sqref="A1048:A1050">
    <cfRule type="cellIs" dxfId="4137" priority="3975" stopIfTrue="1" operator="equal">
      <formula>"Pass"</formula>
    </cfRule>
    <cfRule type="cellIs" dxfId="4136" priority="3976" stopIfTrue="1" operator="equal">
      <formula>"Fail"</formula>
    </cfRule>
  </conditionalFormatting>
  <conditionalFormatting sqref="A1050">
    <cfRule type="cellIs" dxfId="4135" priority="3973" stopIfTrue="1" operator="equal">
      <formula>"Pass"</formula>
    </cfRule>
    <cfRule type="cellIs" dxfId="4134" priority="3974" stopIfTrue="1" operator="equal">
      <formula>"Fail"</formula>
    </cfRule>
  </conditionalFormatting>
  <conditionalFormatting sqref="A1048:A1050">
    <cfRule type="cellIs" dxfId="4133" priority="3971" stopIfTrue="1" operator="equal">
      <formula>"Pass"</formula>
    </cfRule>
    <cfRule type="cellIs" dxfId="4132" priority="3972" stopIfTrue="1" operator="equal">
      <formula>"Fail"</formula>
    </cfRule>
  </conditionalFormatting>
  <conditionalFormatting sqref="A1048:A1050">
    <cfRule type="cellIs" dxfId="4131" priority="3969" stopIfTrue="1" operator="equal">
      <formula>"Pass"</formula>
    </cfRule>
    <cfRule type="cellIs" dxfId="4130" priority="3970" stopIfTrue="1" operator="equal">
      <formula>"Fail"</formula>
    </cfRule>
  </conditionalFormatting>
  <conditionalFormatting sqref="A1048:A1050">
    <cfRule type="cellIs" dxfId="4129" priority="3967" stopIfTrue="1" operator="equal">
      <formula>"Pass"</formula>
    </cfRule>
    <cfRule type="cellIs" dxfId="4128" priority="3968" stopIfTrue="1" operator="equal">
      <formula>"Fail"</formula>
    </cfRule>
  </conditionalFormatting>
  <conditionalFormatting sqref="A1048:A1050">
    <cfRule type="cellIs" dxfId="4127" priority="3965" stopIfTrue="1" operator="equal">
      <formula>"Pass"</formula>
    </cfRule>
    <cfRule type="cellIs" dxfId="4126" priority="3966" stopIfTrue="1" operator="equal">
      <formula>"Fail"</formula>
    </cfRule>
  </conditionalFormatting>
  <conditionalFormatting sqref="A1048:A1050">
    <cfRule type="cellIs" dxfId="4125" priority="3963" stopIfTrue="1" operator="equal">
      <formula>"Pass"</formula>
    </cfRule>
    <cfRule type="cellIs" dxfId="4124" priority="3964" stopIfTrue="1" operator="equal">
      <formula>"Fail"</formula>
    </cfRule>
  </conditionalFormatting>
  <conditionalFormatting sqref="A1048:A1050">
    <cfRule type="cellIs" dxfId="4123" priority="3961" stopIfTrue="1" operator="equal">
      <formula>"Pass"</formula>
    </cfRule>
    <cfRule type="cellIs" dxfId="4122" priority="3962" stopIfTrue="1" operator="equal">
      <formula>"Fail"</formula>
    </cfRule>
  </conditionalFormatting>
  <conditionalFormatting sqref="A1050">
    <cfRule type="cellIs" dxfId="4121" priority="3959" stopIfTrue="1" operator="equal">
      <formula>"Pass"</formula>
    </cfRule>
    <cfRule type="cellIs" dxfId="4120" priority="3960" stopIfTrue="1" operator="equal">
      <formula>"Fail"</formula>
    </cfRule>
  </conditionalFormatting>
  <conditionalFormatting sqref="A1048:A1050">
    <cfRule type="cellIs" dxfId="4119" priority="3957" stopIfTrue="1" operator="equal">
      <formula>"Pass"</formula>
    </cfRule>
    <cfRule type="cellIs" dxfId="4118" priority="3958" stopIfTrue="1" operator="equal">
      <formula>"Fail"</formula>
    </cfRule>
  </conditionalFormatting>
  <conditionalFormatting sqref="H1048:H1049">
    <cfRule type="cellIs" dxfId="4117" priority="3955" stopIfTrue="1" operator="equal">
      <formula>"Pass"</formula>
    </cfRule>
    <cfRule type="cellIs" dxfId="4116" priority="3956" stopIfTrue="1" operator="equal">
      <formula>"Fail"</formula>
    </cfRule>
  </conditionalFormatting>
  <conditionalFormatting sqref="F1048 F1050 I1048:M1049">
    <cfRule type="cellIs" dxfId="4115" priority="3953" stopIfTrue="1" operator="equal">
      <formula>"Pass"</formula>
    </cfRule>
    <cfRule type="cellIs" dxfId="4114" priority="3954" stopIfTrue="1" operator="equal">
      <formula>"Fail"</formula>
    </cfRule>
  </conditionalFormatting>
  <conditionalFormatting sqref="T1050 T1048 R1048:R1050 S1049:S1050">
    <cfRule type="cellIs" dxfId="4113" priority="3951" stopIfTrue="1" operator="equal">
      <formula>"Fail"</formula>
    </cfRule>
    <cfRule type="cellIs" dxfId="4112" priority="3952" stopIfTrue="1" operator="equal">
      <formula>"Pass"</formula>
    </cfRule>
  </conditionalFormatting>
  <conditionalFormatting sqref="F1048:G1048 F1050:G1050 J1048:N1049">
    <cfRule type="cellIs" dxfId="4111" priority="3949" stopIfTrue="1" operator="equal">
      <formula>"Pass"</formula>
    </cfRule>
    <cfRule type="cellIs" dxfId="4110" priority="3950" stopIfTrue="1" operator="equal">
      <formula>"Fail"</formula>
    </cfRule>
  </conditionalFormatting>
  <conditionalFormatting sqref="U1050:V1050 U1048:V1048 T1048:T1050 S1049:S1050">
    <cfRule type="cellIs" dxfId="4109" priority="3947" stopIfTrue="1" operator="equal">
      <formula>"Fail"</formula>
    </cfRule>
    <cfRule type="cellIs" dxfId="4108" priority="3948" stopIfTrue="1" operator="equal">
      <formula>"Pass"</formula>
    </cfRule>
  </conditionalFormatting>
  <conditionalFormatting sqref="J1048:N1049 F1048:G1050">
    <cfRule type="cellIs" dxfId="4107" priority="3945" stopIfTrue="1" operator="equal">
      <formula>"Pass"</formula>
    </cfRule>
    <cfRule type="cellIs" dxfId="4106" priority="3946" stopIfTrue="1" operator="equal">
      <formula>"Fail"</formula>
    </cfRule>
  </conditionalFormatting>
  <conditionalFormatting sqref="K1048:O1049 F1048:H1050">
    <cfRule type="cellIs" dxfId="4105" priority="3943" stopIfTrue="1" operator="equal">
      <formula>"Pass"</formula>
    </cfRule>
    <cfRule type="cellIs" dxfId="4104" priority="3944" stopIfTrue="1" operator="equal">
      <formula>"Fail"</formula>
    </cfRule>
  </conditionalFormatting>
  <conditionalFormatting sqref="T1048">
    <cfRule type="cellIs" dxfId="4103" priority="3941" stopIfTrue="1" operator="equal">
      <formula>"Fail"</formula>
    </cfRule>
    <cfRule type="cellIs" dxfId="4102" priority="3942" stopIfTrue="1" operator="equal">
      <formula>"Pass"</formula>
    </cfRule>
  </conditionalFormatting>
  <conditionalFormatting sqref="K1048:O1049 F1048:H1050">
    <cfRule type="cellIs" dxfId="4101" priority="3939" stopIfTrue="1" operator="equal">
      <formula>"Pass"</formula>
    </cfRule>
    <cfRule type="cellIs" dxfId="4100" priority="3940" stopIfTrue="1" operator="equal">
      <formula>"Fail"</formula>
    </cfRule>
  </conditionalFormatting>
  <conditionalFormatting sqref="T1048">
    <cfRule type="cellIs" dxfId="4099" priority="3937" stopIfTrue="1" operator="equal">
      <formula>"Fail"</formula>
    </cfRule>
    <cfRule type="cellIs" dxfId="4098" priority="3938" stopIfTrue="1" operator="equal">
      <formula>"Pass"</formula>
    </cfRule>
  </conditionalFormatting>
  <conditionalFormatting sqref="H1048:H1049">
    <cfRule type="cellIs" dxfId="4097" priority="3935" stopIfTrue="1" operator="equal">
      <formula>"Pass"</formula>
    </cfRule>
    <cfRule type="cellIs" dxfId="4096" priority="3936" stopIfTrue="1" operator="equal">
      <formula>"Fail"</formula>
    </cfRule>
  </conditionalFormatting>
  <conditionalFormatting sqref="E1048:F1048 E1050:F1050 A1048:A1050 I1048:M1049">
    <cfRule type="cellIs" dxfId="4095" priority="3933" stopIfTrue="1" operator="equal">
      <formula>"Pass"</formula>
    </cfRule>
    <cfRule type="cellIs" dxfId="4094" priority="3934" stopIfTrue="1" operator="equal">
      <formula>"Fail"</formula>
    </cfRule>
  </conditionalFormatting>
  <conditionalFormatting sqref="T1050 T1048 R1048:R1050 S1049:S1050">
    <cfRule type="cellIs" dxfId="4093" priority="3931" stopIfTrue="1" operator="equal">
      <formula>"Fail"</formula>
    </cfRule>
    <cfRule type="cellIs" dxfId="4092" priority="3932" stopIfTrue="1" operator="equal">
      <formula>"Pass"</formula>
    </cfRule>
  </conditionalFormatting>
  <conditionalFormatting sqref="F1048:G1048 F1050:G1050 A1048:B1050 J1048:N1049">
    <cfRule type="cellIs" dxfId="4091" priority="3929" stopIfTrue="1" operator="equal">
      <formula>"Pass"</formula>
    </cfRule>
    <cfRule type="cellIs" dxfId="4090" priority="3930" stopIfTrue="1" operator="equal">
      <formula>"Fail"</formula>
    </cfRule>
  </conditionalFormatting>
  <conditionalFormatting sqref="U1050:V1050 U1048:V1048 T1048:T1050 S1049:S1050">
    <cfRule type="cellIs" dxfId="4089" priority="3927" stopIfTrue="1" operator="equal">
      <formula>"Fail"</formula>
    </cfRule>
    <cfRule type="cellIs" dxfId="4088" priority="3928" stopIfTrue="1" operator="equal">
      <formula>"Pass"</formula>
    </cfRule>
  </conditionalFormatting>
  <conditionalFormatting sqref="A1048:A1050">
    <cfRule type="cellIs" dxfId="4087" priority="3925" stopIfTrue="1" operator="equal">
      <formula>"Pass"</formula>
    </cfRule>
    <cfRule type="cellIs" dxfId="4086" priority="3926" stopIfTrue="1" operator="equal">
      <formula>"Fail"</formula>
    </cfRule>
  </conditionalFormatting>
  <conditionalFormatting sqref="A1048:A1050">
    <cfRule type="cellIs" dxfId="4085" priority="3923" stopIfTrue="1" operator="equal">
      <formula>"Pass"</formula>
    </cfRule>
    <cfRule type="cellIs" dxfId="4084" priority="3924" stopIfTrue="1" operator="equal">
      <formula>"Fail"</formula>
    </cfRule>
  </conditionalFormatting>
  <conditionalFormatting sqref="A1048:A1050">
    <cfRule type="cellIs" dxfId="4083" priority="3921" stopIfTrue="1" operator="equal">
      <formula>"Pass"</formula>
    </cfRule>
    <cfRule type="cellIs" dxfId="4082" priority="3922" stopIfTrue="1" operator="equal">
      <formula>"Fail"</formula>
    </cfRule>
  </conditionalFormatting>
  <conditionalFormatting sqref="J1048:N1049 E1048:G1050">
    <cfRule type="cellIs" dxfId="4081" priority="3919" stopIfTrue="1" operator="equal">
      <formula>"Pass"</formula>
    </cfRule>
    <cfRule type="cellIs" dxfId="4080" priority="3920" stopIfTrue="1" operator="equal">
      <formula>"Fail"</formula>
    </cfRule>
  </conditionalFormatting>
  <conditionalFormatting sqref="A1050 C1050 K1048:O1049 F1048:H1050">
    <cfRule type="cellIs" dxfId="4079" priority="3917" stopIfTrue="1" operator="equal">
      <formula>"Pass"</formula>
    </cfRule>
    <cfRule type="cellIs" dxfId="4078" priority="3918" stopIfTrue="1" operator="equal">
      <formula>"Fail"</formula>
    </cfRule>
  </conditionalFormatting>
  <conditionalFormatting sqref="T1048">
    <cfRule type="cellIs" dxfId="4077" priority="3915" stopIfTrue="1" operator="equal">
      <formula>"Fail"</formula>
    </cfRule>
    <cfRule type="cellIs" dxfId="4076" priority="3916" stopIfTrue="1" operator="equal">
      <formula>"Pass"</formula>
    </cfRule>
  </conditionalFormatting>
  <conditionalFormatting sqref="A1048:A1050">
    <cfRule type="cellIs" dxfId="4075" priority="3913" stopIfTrue="1" operator="equal">
      <formula>"Pass"</formula>
    </cfRule>
    <cfRule type="cellIs" dxfId="4074" priority="3914" stopIfTrue="1" operator="equal">
      <formula>"Fail"</formula>
    </cfRule>
  </conditionalFormatting>
  <conditionalFormatting sqref="A1048:A1050">
    <cfRule type="cellIs" dxfId="4073" priority="3911" stopIfTrue="1" operator="equal">
      <formula>"Pass"</formula>
    </cfRule>
    <cfRule type="cellIs" dxfId="4072" priority="3912" stopIfTrue="1" operator="equal">
      <formula>"Fail"</formula>
    </cfRule>
  </conditionalFormatting>
  <conditionalFormatting sqref="A1048:A1050">
    <cfRule type="cellIs" dxfId="4071" priority="3909" stopIfTrue="1" operator="equal">
      <formula>"Pass"</formula>
    </cfRule>
    <cfRule type="cellIs" dxfId="4070" priority="3910" stopIfTrue="1" operator="equal">
      <formula>"Fail"</formula>
    </cfRule>
  </conditionalFormatting>
  <conditionalFormatting sqref="A1048:A1050">
    <cfRule type="cellIs" dxfId="4069" priority="3907" stopIfTrue="1" operator="equal">
      <formula>"Pass"</formula>
    </cfRule>
    <cfRule type="cellIs" dxfId="4068" priority="3908" stopIfTrue="1" operator="equal">
      <formula>"Fail"</formula>
    </cfRule>
  </conditionalFormatting>
  <conditionalFormatting sqref="A1048:A1050">
    <cfRule type="cellIs" dxfId="4067" priority="3905" stopIfTrue="1" operator="equal">
      <formula>"Pass"</formula>
    </cfRule>
    <cfRule type="cellIs" dxfId="4066" priority="3906" stopIfTrue="1" operator="equal">
      <formula>"Fail"</formula>
    </cfRule>
  </conditionalFormatting>
  <conditionalFormatting sqref="A1048:A1050">
    <cfRule type="cellIs" dxfId="4065" priority="3903" stopIfTrue="1" operator="equal">
      <formula>"Pass"</formula>
    </cfRule>
    <cfRule type="cellIs" dxfId="4064" priority="3904" stopIfTrue="1" operator="equal">
      <formula>"Fail"</formula>
    </cfRule>
  </conditionalFormatting>
  <conditionalFormatting sqref="A1050">
    <cfRule type="cellIs" dxfId="4063" priority="3901" stopIfTrue="1" operator="equal">
      <formula>"Pass"</formula>
    </cfRule>
    <cfRule type="cellIs" dxfId="4062" priority="3902" stopIfTrue="1" operator="equal">
      <formula>"Fail"</formula>
    </cfRule>
  </conditionalFormatting>
  <conditionalFormatting sqref="A1048:A1050">
    <cfRule type="cellIs" dxfId="4061" priority="3899" stopIfTrue="1" operator="equal">
      <formula>"Pass"</formula>
    </cfRule>
    <cfRule type="cellIs" dxfId="4060" priority="3900" stopIfTrue="1" operator="equal">
      <formula>"Fail"</formula>
    </cfRule>
  </conditionalFormatting>
  <conditionalFormatting sqref="A1048:A1050">
    <cfRule type="cellIs" dxfId="4059" priority="3897" stopIfTrue="1" operator="equal">
      <formula>"Pass"</formula>
    </cfRule>
    <cfRule type="cellIs" dxfId="4058" priority="3898" stopIfTrue="1" operator="equal">
      <formula>"Fail"</formula>
    </cfRule>
  </conditionalFormatting>
  <conditionalFormatting sqref="A1048:A1050">
    <cfRule type="cellIs" dxfId="4057" priority="3895" stopIfTrue="1" operator="equal">
      <formula>"Pass"</formula>
    </cfRule>
    <cfRule type="cellIs" dxfId="4056" priority="3896" stopIfTrue="1" operator="equal">
      <formula>"Fail"</formula>
    </cfRule>
  </conditionalFormatting>
  <conditionalFormatting sqref="A1048:A1050">
    <cfRule type="cellIs" dxfId="4055" priority="3893" stopIfTrue="1" operator="equal">
      <formula>"Pass"</formula>
    </cfRule>
    <cfRule type="cellIs" dxfId="4054" priority="3894" stopIfTrue="1" operator="equal">
      <formula>"Fail"</formula>
    </cfRule>
  </conditionalFormatting>
  <conditionalFormatting sqref="A1048:A1050">
    <cfRule type="cellIs" dxfId="4053" priority="3891" stopIfTrue="1" operator="equal">
      <formula>"Pass"</formula>
    </cfRule>
    <cfRule type="cellIs" dxfId="4052" priority="3892" stopIfTrue="1" operator="equal">
      <formula>"Fail"</formula>
    </cfRule>
  </conditionalFormatting>
  <conditionalFormatting sqref="A1048:A1050">
    <cfRule type="cellIs" dxfId="4051" priority="3889" stopIfTrue="1" operator="equal">
      <formula>"Pass"</formula>
    </cfRule>
    <cfRule type="cellIs" dxfId="4050" priority="3890" stopIfTrue="1" operator="equal">
      <formula>"Fail"</formula>
    </cfRule>
  </conditionalFormatting>
  <conditionalFormatting sqref="A1050">
    <cfRule type="cellIs" dxfId="4049" priority="3887" stopIfTrue="1" operator="equal">
      <formula>"Pass"</formula>
    </cfRule>
    <cfRule type="cellIs" dxfId="4048" priority="3888" stopIfTrue="1" operator="equal">
      <formula>"Fail"</formula>
    </cfRule>
  </conditionalFormatting>
  <conditionalFormatting sqref="A1048:A1050">
    <cfRule type="cellIs" dxfId="4047" priority="3885" stopIfTrue="1" operator="equal">
      <formula>"Pass"</formula>
    </cfRule>
    <cfRule type="cellIs" dxfId="4046" priority="3886" stopIfTrue="1" operator="equal">
      <formula>"Fail"</formula>
    </cfRule>
  </conditionalFormatting>
  <conditionalFormatting sqref="H1048:H1049">
    <cfRule type="cellIs" dxfId="4045" priority="3883" stopIfTrue="1" operator="equal">
      <formula>"Pass"</formula>
    </cfRule>
    <cfRule type="cellIs" dxfId="4044" priority="3884" stopIfTrue="1" operator="equal">
      <formula>"Fail"</formula>
    </cfRule>
  </conditionalFormatting>
  <conditionalFormatting sqref="F1048 F1050 I1048:M1049">
    <cfRule type="cellIs" dxfId="4043" priority="3881" stopIfTrue="1" operator="equal">
      <formula>"Pass"</formula>
    </cfRule>
    <cfRule type="cellIs" dxfId="4042" priority="3882" stopIfTrue="1" operator="equal">
      <formula>"Fail"</formula>
    </cfRule>
  </conditionalFormatting>
  <conditionalFormatting sqref="T1050 T1048 R1048:R1050 S1049:S1050">
    <cfRule type="cellIs" dxfId="4041" priority="3879" stopIfTrue="1" operator="equal">
      <formula>"Fail"</formula>
    </cfRule>
    <cfRule type="cellIs" dxfId="4040" priority="3880" stopIfTrue="1" operator="equal">
      <formula>"Pass"</formula>
    </cfRule>
  </conditionalFormatting>
  <conditionalFormatting sqref="F1048:G1048 F1050:G1050 J1048:N1049">
    <cfRule type="cellIs" dxfId="4039" priority="3877" stopIfTrue="1" operator="equal">
      <formula>"Pass"</formula>
    </cfRule>
    <cfRule type="cellIs" dxfId="4038" priority="3878" stopIfTrue="1" operator="equal">
      <formula>"Fail"</formula>
    </cfRule>
  </conditionalFormatting>
  <conditionalFormatting sqref="U1050:V1050 U1048:V1048 T1048:T1050 S1049:S1050">
    <cfRule type="cellIs" dxfId="4037" priority="3875" stopIfTrue="1" operator="equal">
      <formula>"Fail"</formula>
    </cfRule>
    <cfRule type="cellIs" dxfId="4036" priority="3876" stopIfTrue="1" operator="equal">
      <formula>"Pass"</formula>
    </cfRule>
  </conditionalFormatting>
  <conditionalFormatting sqref="J1048:N1049 F1048:G1050">
    <cfRule type="cellIs" dxfId="4035" priority="3873" stopIfTrue="1" operator="equal">
      <formula>"Pass"</formula>
    </cfRule>
    <cfRule type="cellIs" dxfId="4034" priority="3874" stopIfTrue="1" operator="equal">
      <formula>"Fail"</formula>
    </cfRule>
  </conditionalFormatting>
  <conditionalFormatting sqref="K1048:O1049 F1048:H1050">
    <cfRule type="cellIs" dxfId="4033" priority="3871" stopIfTrue="1" operator="equal">
      <formula>"Pass"</formula>
    </cfRule>
    <cfRule type="cellIs" dxfId="4032" priority="3872" stopIfTrue="1" operator="equal">
      <formula>"Fail"</formula>
    </cfRule>
  </conditionalFormatting>
  <conditionalFormatting sqref="T1048">
    <cfRule type="cellIs" dxfId="4031" priority="3869" stopIfTrue="1" operator="equal">
      <formula>"Fail"</formula>
    </cfRule>
    <cfRule type="cellIs" dxfId="4030" priority="3870" stopIfTrue="1" operator="equal">
      <formula>"Pass"</formula>
    </cfRule>
  </conditionalFormatting>
  <conditionalFormatting sqref="K1048:O1049 F1048:H1050">
    <cfRule type="cellIs" dxfId="4029" priority="3867" stopIfTrue="1" operator="equal">
      <formula>"Pass"</formula>
    </cfRule>
    <cfRule type="cellIs" dxfId="4028" priority="3868" stopIfTrue="1" operator="equal">
      <formula>"Fail"</formula>
    </cfRule>
  </conditionalFormatting>
  <conditionalFormatting sqref="T1048">
    <cfRule type="cellIs" dxfId="4027" priority="3865" stopIfTrue="1" operator="equal">
      <formula>"Fail"</formula>
    </cfRule>
    <cfRule type="cellIs" dxfId="4026" priority="3866" stopIfTrue="1" operator="equal">
      <formula>"Pass"</formula>
    </cfRule>
  </conditionalFormatting>
  <conditionalFormatting sqref="H1048">
    <cfRule type="cellIs" dxfId="4025" priority="3863" stopIfTrue="1" operator="equal">
      <formula>"Pass"</formula>
    </cfRule>
    <cfRule type="cellIs" dxfId="4024" priority="3864" stopIfTrue="1" operator="equal">
      <formula>"Fail"</formula>
    </cfRule>
  </conditionalFormatting>
  <conditionalFormatting sqref="I1048:M1048">
    <cfRule type="cellIs" dxfId="4023" priority="3861" stopIfTrue="1" operator="equal">
      <formula>"Pass"</formula>
    </cfRule>
    <cfRule type="cellIs" dxfId="4022" priority="3862" stopIfTrue="1" operator="equal">
      <formula>"Fail"</formula>
    </cfRule>
  </conditionalFormatting>
  <conditionalFormatting sqref="J1048:N1048">
    <cfRule type="cellIs" dxfId="4021" priority="3859" stopIfTrue="1" operator="equal">
      <formula>"Pass"</formula>
    </cfRule>
    <cfRule type="cellIs" dxfId="4020" priority="3860" stopIfTrue="1" operator="equal">
      <formula>"Fail"</formula>
    </cfRule>
  </conditionalFormatting>
  <conditionalFormatting sqref="J1048:N1048">
    <cfRule type="cellIs" dxfId="4019" priority="3857" stopIfTrue="1" operator="equal">
      <formula>"Pass"</formula>
    </cfRule>
    <cfRule type="cellIs" dxfId="4018" priority="3858" stopIfTrue="1" operator="equal">
      <formula>"Fail"</formula>
    </cfRule>
  </conditionalFormatting>
  <conditionalFormatting sqref="H1048">
    <cfRule type="cellIs" dxfId="4017" priority="3855" stopIfTrue="1" operator="equal">
      <formula>"Pass"</formula>
    </cfRule>
    <cfRule type="cellIs" dxfId="4016" priority="3856" stopIfTrue="1" operator="equal">
      <formula>"Fail"</formula>
    </cfRule>
  </conditionalFormatting>
  <conditionalFormatting sqref="I1048:M1048">
    <cfRule type="cellIs" dxfId="4015" priority="3853" stopIfTrue="1" operator="equal">
      <formula>"Pass"</formula>
    </cfRule>
    <cfRule type="cellIs" dxfId="4014" priority="3854" stopIfTrue="1" operator="equal">
      <formula>"Fail"</formula>
    </cfRule>
  </conditionalFormatting>
  <conditionalFormatting sqref="J1048:N1048">
    <cfRule type="cellIs" dxfId="4013" priority="3851" stopIfTrue="1" operator="equal">
      <formula>"Pass"</formula>
    </cfRule>
    <cfRule type="cellIs" dxfId="4012" priority="3852" stopIfTrue="1" operator="equal">
      <formula>"Fail"</formula>
    </cfRule>
  </conditionalFormatting>
  <conditionalFormatting sqref="J1048:N1048">
    <cfRule type="cellIs" dxfId="4011" priority="3849" stopIfTrue="1" operator="equal">
      <formula>"Pass"</formula>
    </cfRule>
    <cfRule type="cellIs" dxfId="4010" priority="3850" stopIfTrue="1" operator="equal">
      <formula>"Fail"</formula>
    </cfRule>
  </conditionalFormatting>
  <conditionalFormatting sqref="H1048">
    <cfRule type="cellIs" dxfId="4009" priority="3847" stopIfTrue="1" operator="equal">
      <formula>"Pass"</formula>
    </cfRule>
    <cfRule type="cellIs" dxfId="4008" priority="3848" stopIfTrue="1" operator="equal">
      <formula>"Fail"</formula>
    </cfRule>
  </conditionalFormatting>
  <conditionalFormatting sqref="I1048:M1048">
    <cfRule type="cellIs" dxfId="4007" priority="3845" stopIfTrue="1" operator="equal">
      <formula>"Pass"</formula>
    </cfRule>
    <cfRule type="cellIs" dxfId="4006" priority="3846" stopIfTrue="1" operator="equal">
      <formula>"Fail"</formula>
    </cfRule>
  </conditionalFormatting>
  <conditionalFormatting sqref="J1048:N1048">
    <cfRule type="cellIs" dxfId="4005" priority="3843" stopIfTrue="1" operator="equal">
      <formula>"Pass"</formula>
    </cfRule>
    <cfRule type="cellIs" dxfId="4004" priority="3844" stopIfTrue="1" operator="equal">
      <formula>"Fail"</formula>
    </cfRule>
  </conditionalFormatting>
  <conditionalFormatting sqref="J1048:N1048">
    <cfRule type="cellIs" dxfId="4003" priority="3841" stopIfTrue="1" operator="equal">
      <formula>"Pass"</formula>
    </cfRule>
    <cfRule type="cellIs" dxfId="4002" priority="3842" stopIfTrue="1" operator="equal">
      <formula>"Fail"</formula>
    </cfRule>
  </conditionalFormatting>
  <conditionalFormatting sqref="H1048">
    <cfRule type="cellIs" dxfId="4001" priority="3839" stopIfTrue="1" operator="equal">
      <formula>"Pass"</formula>
    </cfRule>
    <cfRule type="cellIs" dxfId="4000" priority="3840" stopIfTrue="1" operator="equal">
      <formula>"Fail"</formula>
    </cfRule>
  </conditionalFormatting>
  <conditionalFormatting sqref="I1048:M1048">
    <cfRule type="cellIs" dxfId="3999" priority="3837" stopIfTrue="1" operator="equal">
      <formula>"Pass"</formula>
    </cfRule>
    <cfRule type="cellIs" dxfId="3998" priority="3838" stopIfTrue="1" operator="equal">
      <formula>"Fail"</formula>
    </cfRule>
  </conditionalFormatting>
  <conditionalFormatting sqref="J1048:N1048">
    <cfRule type="cellIs" dxfId="3997" priority="3835" stopIfTrue="1" operator="equal">
      <formula>"Pass"</formula>
    </cfRule>
    <cfRule type="cellIs" dxfId="3996" priority="3836" stopIfTrue="1" operator="equal">
      <formula>"Fail"</formula>
    </cfRule>
  </conditionalFormatting>
  <conditionalFormatting sqref="J1048:N1048">
    <cfRule type="cellIs" dxfId="3995" priority="3833" stopIfTrue="1" operator="equal">
      <formula>"Pass"</formula>
    </cfRule>
    <cfRule type="cellIs" dxfId="3994" priority="3834" stopIfTrue="1" operator="equal">
      <formula>"Fail"</formula>
    </cfRule>
  </conditionalFormatting>
  <conditionalFormatting sqref="H1048">
    <cfRule type="cellIs" dxfId="3993" priority="3831" stopIfTrue="1" operator="equal">
      <formula>"Pass"</formula>
    </cfRule>
    <cfRule type="cellIs" dxfId="3992" priority="3832" stopIfTrue="1" operator="equal">
      <formula>"Fail"</formula>
    </cfRule>
  </conditionalFormatting>
  <conditionalFormatting sqref="I1048:M1048">
    <cfRule type="cellIs" dxfId="3991" priority="3829" stopIfTrue="1" operator="equal">
      <formula>"Pass"</formula>
    </cfRule>
    <cfRule type="cellIs" dxfId="3990" priority="3830" stopIfTrue="1" operator="equal">
      <formula>"Fail"</formula>
    </cfRule>
  </conditionalFormatting>
  <conditionalFormatting sqref="J1048:N1048">
    <cfRule type="cellIs" dxfId="3989" priority="3827" stopIfTrue="1" operator="equal">
      <formula>"Pass"</formula>
    </cfRule>
    <cfRule type="cellIs" dxfId="3988" priority="3828" stopIfTrue="1" operator="equal">
      <formula>"Fail"</formula>
    </cfRule>
  </conditionalFormatting>
  <conditionalFormatting sqref="J1048:N1048">
    <cfRule type="cellIs" dxfId="3987" priority="3825" stopIfTrue="1" operator="equal">
      <formula>"Pass"</formula>
    </cfRule>
    <cfRule type="cellIs" dxfId="3986" priority="3826" stopIfTrue="1" operator="equal">
      <formula>"Fail"</formula>
    </cfRule>
  </conditionalFormatting>
  <conditionalFormatting sqref="H1048">
    <cfRule type="cellIs" dxfId="3985" priority="3823" stopIfTrue="1" operator="equal">
      <formula>"Pass"</formula>
    </cfRule>
    <cfRule type="cellIs" dxfId="3984" priority="3824" stopIfTrue="1" operator="equal">
      <formula>"Fail"</formula>
    </cfRule>
  </conditionalFormatting>
  <conditionalFormatting sqref="I1048:M1048">
    <cfRule type="cellIs" dxfId="3983" priority="3821" stopIfTrue="1" operator="equal">
      <formula>"Pass"</formula>
    </cfRule>
    <cfRule type="cellIs" dxfId="3982" priority="3822" stopIfTrue="1" operator="equal">
      <formula>"Fail"</formula>
    </cfRule>
  </conditionalFormatting>
  <conditionalFormatting sqref="J1048:N1048">
    <cfRule type="cellIs" dxfId="3981" priority="3819" stopIfTrue="1" operator="equal">
      <formula>"Pass"</formula>
    </cfRule>
    <cfRule type="cellIs" dxfId="3980" priority="3820" stopIfTrue="1" operator="equal">
      <formula>"Fail"</formula>
    </cfRule>
  </conditionalFormatting>
  <conditionalFormatting sqref="J1048:N1048">
    <cfRule type="cellIs" dxfId="3979" priority="3817" stopIfTrue="1" operator="equal">
      <formula>"Pass"</formula>
    </cfRule>
    <cfRule type="cellIs" dxfId="3978" priority="3818" stopIfTrue="1" operator="equal">
      <formula>"Fail"</formula>
    </cfRule>
  </conditionalFormatting>
  <conditionalFormatting sqref="H1048">
    <cfRule type="cellIs" dxfId="3977" priority="3815" stopIfTrue="1" operator="equal">
      <formula>"Pass"</formula>
    </cfRule>
    <cfRule type="cellIs" dxfId="3976" priority="3816" stopIfTrue="1" operator="equal">
      <formula>"Fail"</formula>
    </cfRule>
  </conditionalFormatting>
  <conditionalFormatting sqref="I1048:M1048">
    <cfRule type="cellIs" dxfId="3975" priority="3813" stopIfTrue="1" operator="equal">
      <formula>"Pass"</formula>
    </cfRule>
    <cfRule type="cellIs" dxfId="3974" priority="3814" stopIfTrue="1" operator="equal">
      <formula>"Fail"</formula>
    </cfRule>
  </conditionalFormatting>
  <conditionalFormatting sqref="J1048:N1048">
    <cfRule type="cellIs" dxfId="3973" priority="3811" stopIfTrue="1" operator="equal">
      <formula>"Pass"</formula>
    </cfRule>
    <cfRule type="cellIs" dxfId="3972" priority="3812" stopIfTrue="1" operator="equal">
      <formula>"Fail"</formula>
    </cfRule>
  </conditionalFormatting>
  <conditionalFormatting sqref="F1048:G1048 J1048:N1048">
    <cfRule type="cellIs" dxfId="3971" priority="3809" stopIfTrue="1" operator="equal">
      <formula>"Pass"</formula>
    </cfRule>
    <cfRule type="cellIs" dxfId="3970" priority="3810" stopIfTrue="1" operator="equal">
      <formula>"Fail"</formula>
    </cfRule>
  </conditionalFormatting>
  <conditionalFormatting sqref="F1048:H1048 K1048:N1048">
    <cfRule type="cellIs" dxfId="3969" priority="3807" stopIfTrue="1" operator="equal">
      <formula>"Pass"</formula>
    </cfRule>
    <cfRule type="cellIs" dxfId="3968" priority="3808" stopIfTrue="1" operator="equal">
      <formula>"Fail"</formula>
    </cfRule>
  </conditionalFormatting>
  <conditionalFormatting sqref="H1048">
    <cfRule type="cellIs" dxfId="3967" priority="3805" stopIfTrue="1" operator="equal">
      <formula>"Pass"</formula>
    </cfRule>
    <cfRule type="cellIs" dxfId="3966" priority="3806" stopIfTrue="1" operator="equal">
      <formula>"Fail"</formula>
    </cfRule>
  </conditionalFormatting>
  <conditionalFormatting sqref="I1048:M1048">
    <cfRule type="cellIs" dxfId="3965" priority="3803" stopIfTrue="1" operator="equal">
      <formula>"Pass"</formula>
    </cfRule>
    <cfRule type="cellIs" dxfId="3964" priority="3804" stopIfTrue="1" operator="equal">
      <formula>"Fail"</formula>
    </cfRule>
  </conditionalFormatting>
  <conditionalFormatting sqref="J1048:N1048">
    <cfRule type="cellIs" dxfId="3963" priority="3801" stopIfTrue="1" operator="equal">
      <formula>"Pass"</formula>
    </cfRule>
    <cfRule type="cellIs" dxfId="3962" priority="3802" stopIfTrue="1" operator="equal">
      <formula>"Fail"</formula>
    </cfRule>
  </conditionalFormatting>
  <conditionalFormatting sqref="F1048:G1048 J1048:N1048">
    <cfRule type="cellIs" dxfId="3961" priority="3799" stopIfTrue="1" operator="equal">
      <formula>"Pass"</formula>
    </cfRule>
    <cfRule type="cellIs" dxfId="3960" priority="3800" stopIfTrue="1" operator="equal">
      <formula>"Fail"</formula>
    </cfRule>
  </conditionalFormatting>
  <conditionalFormatting sqref="K1048:N1048 F1048:H1048">
    <cfRule type="cellIs" dxfId="3959" priority="3797" stopIfTrue="1" operator="equal">
      <formula>"Pass"</formula>
    </cfRule>
    <cfRule type="cellIs" dxfId="3958" priority="3798" stopIfTrue="1" operator="equal">
      <formula>"Fail"</formula>
    </cfRule>
  </conditionalFormatting>
  <conditionalFormatting sqref="K1048:N1048 F1048:H1048">
    <cfRule type="cellIs" dxfId="3957" priority="3795" stopIfTrue="1" operator="equal">
      <formula>"Pass"</formula>
    </cfRule>
    <cfRule type="cellIs" dxfId="3956" priority="3796" stopIfTrue="1" operator="equal">
      <formula>"Fail"</formula>
    </cfRule>
  </conditionalFormatting>
  <conditionalFormatting sqref="H1048">
    <cfRule type="cellIs" dxfId="3955" priority="3793" stopIfTrue="1" operator="equal">
      <formula>"Pass"</formula>
    </cfRule>
    <cfRule type="cellIs" dxfId="3954" priority="3794" stopIfTrue="1" operator="equal">
      <formula>"Fail"</formula>
    </cfRule>
  </conditionalFormatting>
  <conditionalFormatting sqref="I1048:M1048">
    <cfRule type="cellIs" dxfId="3953" priority="3791" stopIfTrue="1" operator="equal">
      <formula>"Pass"</formula>
    </cfRule>
    <cfRule type="cellIs" dxfId="3952" priority="3792" stopIfTrue="1" operator="equal">
      <formula>"Fail"</formula>
    </cfRule>
  </conditionalFormatting>
  <conditionalFormatting sqref="J1048:N1048">
    <cfRule type="cellIs" dxfId="3951" priority="3789" stopIfTrue="1" operator="equal">
      <formula>"Pass"</formula>
    </cfRule>
    <cfRule type="cellIs" dxfId="3950" priority="3790" stopIfTrue="1" operator="equal">
      <formula>"Fail"</formula>
    </cfRule>
  </conditionalFormatting>
  <conditionalFormatting sqref="F1048:G1048 J1048:N1048">
    <cfRule type="cellIs" dxfId="3949" priority="3787" stopIfTrue="1" operator="equal">
      <formula>"Pass"</formula>
    </cfRule>
    <cfRule type="cellIs" dxfId="3948" priority="3788" stopIfTrue="1" operator="equal">
      <formula>"Fail"</formula>
    </cfRule>
  </conditionalFormatting>
  <conditionalFormatting sqref="F1048:H1048 K1048:N1048">
    <cfRule type="cellIs" dxfId="3947" priority="3785" stopIfTrue="1" operator="equal">
      <formula>"Pass"</formula>
    </cfRule>
    <cfRule type="cellIs" dxfId="3946" priority="3786" stopIfTrue="1" operator="equal">
      <formula>"Fail"</formula>
    </cfRule>
  </conditionalFormatting>
  <conditionalFormatting sqref="H1048">
    <cfRule type="cellIs" dxfId="3945" priority="3783" stopIfTrue="1" operator="equal">
      <formula>"Pass"</formula>
    </cfRule>
    <cfRule type="cellIs" dxfId="3944" priority="3784" stopIfTrue="1" operator="equal">
      <formula>"Fail"</formula>
    </cfRule>
  </conditionalFormatting>
  <conditionalFormatting sqref="I1048:M1048">
    <cfRule type="cellIs" dxfId="3943" priority="3781" stopIfTrue="1" operator="equal">
      <formula>"Pass"</formula>
    </cfRule>
    <cfRule type="cellIs" dxfId="3942" priority="3782" stopIfTrue="1" operator="equal">
      <formula>"Fail"</formula>
    </cfRule>
  </conditionalFormatting>
  <conditionalFormatting sqref="J1048:N1048">
    <cfRule type="cellIs" dxfId="3941" priority="3779" stopIfTrue="1" operator="equal">
      <formula>"Pass"</formula>
    </cfRule>
    <cfRule type="cellIs" dxfId="3940" priority="3780" stopIfTrue="1" operator="equal">
      <formula>"Fail"</formula>
    </cfRule>
  </conditionalFormatting>
  <conditionalFormatting sqref="F1048:G1048 J1048:N1048">
    <cfRule type="cellIs" dxfId="3939" priority="3777" stopIfTrue="1" operator="equal">
      <formula>"Pass"</formula>
    </cfRule>
    <cfRule type="cellIs" dxfId="3938" priority="3778" stopIfTrue="1" operator="equal">
      <formula>"Fail"</formula>
    </cfRule>
  </conditionalFormatting>
  <conditionalFormatting sqref="K1048:N1048 F1048:H1048">
    <cfRule type="cellIs" dxfId="3937" priority="3775" stopIfTrue="1" operator="equal">
      <formula>"Pass"</formula>
    </cfRule>
    <cfRule type="cellIs" dxfId="3936" priority="3776" stopIfTrue="1" operator="equal">
      <formula>"Fail"</formula>
    </cfRule>
  </conditionalFormatting>
  <conditionalFormatting sqref="K1048:N1048 F1048:H1048">
    <cfRule type="cellIs" dxfId="3935" priority="3773" stopIfTrue="1" operator="equal">
      <formula>"Pass"</formula>
    </cfRule>
    <cfRule type="cellIs" dxfId="3934" priority="3774" stopIfTrue="1" operator="equal">
      <formula>"Fail"</formula>
    </cfRule>
  </conditionalFormatting>
  <conditionalFormatting sqref="A1051:A1053">
    <cfRule type="cellIs" dxfId="3933" priority="3771" stopIfTrue="1" operator="equal">
      <formula>"Pass"</formula>
    </cfRule>
    <cfRule type="cellIs" dxfId="3932" priority="3772" stopIfTrue="1" operator="equal">
      <formula>"Fail"</formula>
    </cfRule>
  </conditionalFormatting>
  <conditionalFormatting sqref="A1051:A1053">
    <cfRule type="cellIs" dxfId="3931" priority="3769" stopIfTrue="1" operator="equal">
      <formula>"Pass"</formula>
    </cfRule>
    <cfRule type="cellIs" dxfId="3930" priority="3770" stopIfTrue="1" operator="equal">
      <formula>"Fail"</formula>
    </cfRule>
  </conditionalFormatting>
  <conditionalFormatting sqref="A1051:A1053">
    <cfRule type="cellIs" dxfId="3929" priority="3767" stopIfTrue="1" operator="equal">
      <formula>"Pass"</formula>
    </cfRule>
    <cfRule type="cellIs" dxfId="3928" priority="3768" stopIfTrue="1" operator="equal">
      <formula>"Fail"</formula>
    </cfRule>
  </conditionalFormatting>
  <conditionalFormatting sqref="A1051:A1053">
    <cfRule type="cellIs" dxfId="3927" priority="3765" stopIfTrue="1" operator="equal">
      <formula>"Pass"</formula>
    </cfRule>
    <cfRule type="cellIs" dxfId="3926" priority="3766" stopIfTrue="1" operator="equal">
      <formula>"Fail"</formula>
    </cfRule>
  </conditionalFormatting>
  <conditionalFormatting sqref="A1051:A1053">
    <cfRule type="cellIs" dxfId="3925" priority="3763" stopIfTrue="1" operator="equal">
      <formula>"Pass"</formula>
    </cfRule>
    <cfRule type="cellIs" dxfId="3924" priority="3764" stopIfTrue="1" operator="equal">
      <formula>"Fail"</formula>
    </cfRule>
  </conditionalFormatting>
  <conditionalFormatting sqref="A1053">
    <cfRule type="cellIs" dxfId="3923" priority="3761" stopIfTrue="1" operator="equal">
      <formula>"Pass"</formula>
    </cfRule>
    <cfRule type="cellIs" dxfId="3922" priority="3762" stopIfTrue="1" operator="equal">
      <formula>"Fail"</formula>
    </cfRule>
  </conditionalFormatting>
  <conditionalFormatting sqref="A1051:A1053">
    <cfRule type="cellIs" dxfId="3921" priority="3759" stopIfTrue="1" operator="equal">
      <formula>"Pass"</formula>
    </cfRule>
    <cfRule type="cellIs" dxfId="3920" priority="3760" stopIfTrue="1" operator="equal">
      <formula>"Fail"</formula>
    </cfRule>
  </conditionalFormatting>
  <conditionalFormatting sqref="A1051:A1053">
    <cfRule type="cellIs" dxfId="3919" priority="3757" stopIfTrue="1" operator="equal">
      <formula>"Pass"</formula>
    </cfRule>
    <cfRule type="cellIs" dxfId="3918" priority="3758" stopIfTrue="1" operator="equal">
      <formula>"Fail"</formula>
    </cfRule>
  </conditionalFormatting>
  <conditionalFormatting sqref="A1051:A1053">
    <cfRule type="cellIs" dxfId="3917" priority="3755" stopIfTrue="1" operator="equal">
      <formula>"Pass"</formula>
    </cfRule>
    <cfRule type="cellIs" dxfId="3916" priority="3756" stopIfTrue="1" operator="equal">
      <formula>"Fail"</formula>
    </cfRule>
  </conditionalFormatting>
  <conditionalFormatting sqref="A1051:A1053">
    <cfRule type="cellIs" dxfId="3915" priority="3753" stopIfTrue="1" operator="equal">
      <formula>"Pass"</formula>
    </cfRule>
    <cfRule type="cellIs" dxfId="3914" priority="3754" stopIfTrue="1" operator="equal">
      <formula>"Fail"</formula>
    </cfRule>
  </conditionalFormatting>
  <conditionalFormatting sqref="A1051:A1053">
    <cfRule type="cellIs" dxfId="3913" priority="3751" stopIfTrue="1" operator="equal">
      <formula>"Pass"</formula>
    </cfRule>
    <cfRule type="cellIs" dxfId="3912" priority="3752" stopIfTrue="1" operator="equal">
      <formula>"Fail"</formula>
    </cfRule>
  </conditionalFormatting>
  <conditionalFormatting sqref="A1051:A1053">
    <cfRule type="cellIs" dxfId="3911" priority="3749" stopIfTrue="1" operator="equal">
      <formula>"Pass"</formula>
    </cfRule>
    <cfRule type="cellIs" dxfId="3910" priority="3750" stopIfTrue="1" operator="equal">
      <formula>"Fail"</formula>
    </cfRule>
  </conditionalFormatting>
  <conditionalFormatting sqref="A1053">
    <cfRule type="cellIs" dxfId="3909" priority="3747" stopIfTrue="1" operator="equal">
      <formula>"Pass"</formula>
    </cfRule>
    <cfRule type="cellIs" dxfId="3908" priority="3748" stopIfTrue="1" operator="equal">
      <formula>"Fail"</formula>
    </cfRule>
  </conditionalFormatting>
  <conditionalFormatting sqref="A1051:A1053">
    <cfRule type="cellIs" dxfId="3907" priority="3745" stopIfTrue="1" operator="equal">
      <formula>"Pass"</formula>
    </cfRule>
    <cfRule type="cellIs" dxfId="3906" priority="3746" stopIfTrue="1" operator="equal">
      <formula>"Fail"</formula>
    </cfRule>
  </conditionalFormatting>
  <conditionalFormatting sqref="A1051:A1053">
    <cfRule type="cellIs" dxfId="3905" priority="3743" stopIfTrue="1" operator="equal">
      <formula>"Pass"</formula>
    </cfRule>
    <cfRule type="cellIs" dxfId="3904" priority="3744" stopIfTrue="1" operator="equal">
      <formula>"Fail"</formula>
    </cfRule>
  </conditionalFormatting>
  <conditionalFormatting sqref="A1051:A1053">
    <cfRule type="cellIs" dxfId="3903" priority="3741" stopIfTrue="1" operator="equal">
      <formula>"Pass"</formula>
    </cfRule>
    <cfRule type="cellIs" dxfId="3902" priority="3742" stopIfTrue="1" operator="equal">
      <formula>"Fail"</formula>
    </cfRule>
  </conditionalFormatting>
  <conditionalFormatting sqref="A1051:A1053">
    <cfRule type="cellIs" dxfId="3901" priority="3739" stopIfTrue="1" operator="equal">
      <formula>"Pass"</formula>
    </cfRule>
    <cfRule type="cellIs" dxfId="3900" priority="3740" stopIfTrue="1" operator="equal">
      <formula>"Fail"</formula>
    </cfRule>
  </conditionalFormatting>
  <conditionalFormatting sqref="A1051:A1053">
    <cfRule type="cellIs" dxfId="3899" priority="3737" stopIfTrue="1" operator="equal">
      <formula>"Pass"</formula>
    </cfRule>
    <cfRule type="cellIs" dxfId="3898" priority="3738" stopIfTrue="1" operator="equal">
      <formula>"Fail"</formula>
    </cfRule>
  </conditionalFormatting>
  <conditionalFormatting sqref="A1051:A1053">
    <cfRule type="cellIs" dxfId="3897" priority="3735" stopIfTrue="1" operator="equal">
      <formula>"Pass"</formula>
    </cfRule>
    <cfRule type="cellIs" dxfId="3896" priority="3736" stopIfTrue="1" operator="equal">
      <formula>"Fail"</formula>
    </cfRule>
  </conditionalFormatting>
  <conditionalFormatting sqref="A1053">
    <cfRule type="cellIs" dxfId="3895" priority="3733" stopIfTrue="1" operator="equal">
      <formula>"Pass"</formula>
    </cfRule>
    <cfRule type="cellIs" dxfId="3894" priority="3734" stopIfTrue="1" operator="equal">
      <formula>"Fail"</formula>
    </cfRule>
  </conditionalFormatting>
  <conditionalFormatting sqref="A1051:A1053">
    <cfRule type="cellIs" dxfId="3893" priority="3731" stopIfTrue="1" operator="equal">
      <formula>"Pass"</formula>
    </cfRule>
    <cfRule type="cellIs" dxfId="3892" priority="3732" stopIfTrue="1" operator="equal">
      <formula>"Fail"</formula>
    </cfRule>
  </conditionalFormatting>
  <conditionalFormatting sqref="A1051:A1053">
    <cfRule type="cellIs" dxfId="3891" priority="3729" stopIfTrue="1" operator="equal">
      <formula>"Pass"</formula>
    </cfRule>
    <cfRule type="cellIs" dxfId="3890" priority="3730" stopIfTrue="1" operator="equal">
      <formula>"Fail"</formula>
    </cfRule>
  </conditionalFormatting>
  <conditionalFormatting sqref="A1051:A1053">
    <cfRule type="cellIs" dxfId="3889" priority="3727" stopIfTrue="1" operator="equal">
      <formula>"Pass"</formula>
    </cfRule>
    <cfRule type="cellIs" dxfId="3888" priority="3728" stopIfTrue="1" operator="equal">
      <formula>"Fail"</formula>
    </cfRule>
  </conditionalFormatting>
  <conditionalFormatting sqref="A1051:A1053">
    <cfRule type="cellIs" dxfId="3887" priority="3725" stopIfTrue="1" operator="equal">
      <formula>"Pass"</formula>
    </cfRule>
    <cfRule type="cellIs" dxfId="3886" priority="3726" stopIfTrue="1" operator="equal">
      <formula>"Fail"</formula>
    </cfRule>
  </conditionalFormatting>
  <conditionalFormatting sqref="A1051:A1053">
    <cfRule type="cellIs" dxfId="3885" priority="3723" stopIfTrue="1" operator="equal">
      <formula>"Pass"</formula>
    </cfRule>
    <cfRule type="cellIs" dxfId="3884" priority="3724" stopIfTrue="1" operator="equal">
      <formula>"Fail"</formula>
    </cfRule>
  </conditionalFormatting>
  <conditionalFormatting sqref="A1051:A1053">
    <cfRule type="cellIs" dxfId="3883" priority="3721" stopIfTrue="1" operator="equal">
      <formula>"Pass"</formula>
    </cfRule>
    <cfRule type="cellIs" dxfId="3882" priority="3722" stopIfTrue="1" operator="equal">
      <formula>"Fail"</formula>
    </cfRule>
  </conditionalFormatting>
  <conditionalFormatting sqref="A1053">
    <cfRule type="cellIs" dxfId="3881" priority="3719" stopIfTrue="1" operator="equal">
      <formula>"Pass"</formula>
    </cfRule>
    <cfRule type="cellIs" dxfId="3880" priority="3720" stopIfTrue="1" operator="equal">
      <formula>"Fail"</formula>
    </cfRule>
  </conditionalFormatting>
  <conditionalFormatting sqref="A1051:A1053">
    <cfRule type="cellIs" dxfId="3879" priority="3717" stopIfTrue="1" operator="equal">
      <formula>"Pass"</formula>
    </cfRule>
    <cfRule type="cellIs" dxfId="3878" priority="3718" stopIfTrue="1" operator="equal">
      <formula>"Fail"</formula>
    </cfRule>
  </conditionalFormatting>
  <conditionalFormatting sqref="A1051:A1053">
    <cfRule type="cellIs" dxfId="3877" priority="3715" stopIfTrue="1" operator="equal">
      <formula>"Pass"</formula>
    </cfRule>
    <cfRule type="cellIs" dxfId="3876" priority="3716" stopIfTrue="1" operator="equal">
      <formula>"Fail"</formula>
    </cfRule>
  </conditionalFormatting>
  <conditionalFormatting sqref="A1051:A1053">
    <cfRule type="cellIs" dxfId="3875" priority="3713" stopIfTrue="1" operator="equal">
      <formula>"Pass"</formula>
    </cfRule>
    <cfRule type="cellIs" dxfId="3874" priority="3714" stopIfTrue="1" operator="equal">
      <formula>"Fail"</formula>
    </cfRule>
  </conditionalFormatting>
  <conditionalFormatting sqref="A1051:A1053">
    <cfRule type="cellIs" dxfId="3873" priority="3711" stopIfTrue="1" operator="equal">
      <formula>"Pass"</formula>
    </cfRule>
    <cfRule type="cellIs" dxfId="3872" priority="3712" stopIfTrue="1" operator="equal">
      <formula>"Fail"</formula>
    </cfRule>
  </conditionalFormatting>
  <conditionalFormatting sqref="A1051:A1053">
    <cfRule type="cellIs" dxfId="3871" priority="3709" stopIfTrue="1" operator="equal">
      <formula>"Pass"</formula>
    </cfRule>
    <cfRule type="cellIs" dxfId="3870" priority="3710" stopIfTrue="1" operator="equal">
      <formula>"Fail"</formula>
    </cfRule>
  </conditionalFormatting>
  <conditionalFormatting sqref="A1051:A1053">
    <cfRule type="cellIs" dxfId="3869" priority="3707" stopIfTrue="1" operator="equal">
      <formula>"Pass"</formula>
    </cfRule>
    <cfRule type="cellIs" dxfId="3868" priority="3708" stopIfTrue="1" operator="equal">
      <formula>"Fail"</formula>
    </cfRule>
  </conditionalFormatting>
  <conditionalFormatting sqref="A1053">
    <cfRule type="cellIs" dxfId="3867" priority="3705" stopIfTrue="1" operator="equal">
      <formula>"Pass"</formula>
    </cfRule>
    <cfRule type="cellIs" dxfId="3866" priority="3706" stopIfTrue="1" operator="equal">
      <formula>"Fail"</formula>
    </cfRule>
  </conditionalFormatting>
  <conditionalFormatting sqref="A1051:A1053">
    <cfRule type="cellIs" dxfId="3865" priority="3703" stopIfTrue="1" operator="equal">
      <formula>"Pass"</formula>
    </cfRule>
    <cfRule type="cellIs" dxfId="3864" priority="3704" stopIfTrue="1" operator="equal">
      <formula>"Fail"</formula>
    </cfRule>
  </conditionalFormatting>
  <conditionalFormatting sqref="A1051:A1053">
    <cfRule type="cellIs" dxfId="3863" priority="3701" stopIfTrue="1" operator="equal">
      <formula>"Pass"</formula>
    </cfRule>
    <cfRule type="cellIs" dxfId="3862" priority="3702" stopIfTrue="1" operator="equal">
      <formula>"Fail"</formula>
    </cfRule>
  </conditionalFormatting>
  <conditionalFormatting sqref="A1051:A1053">
    <cfRule type="cellIs" dxfId="3861" priority="3699" stopIfTrue="1" operator="equal">
      <formula>"Pass"</formula>
    </cfRule>
    <cfRule type="cellIs" dxfId="3860" priority="3700" stopIfTrue="1" operator="equal">
      <formula>"Fail"</formula>
    </cfRule>
  </conditionalFormatting>
  <conditionalFormatting sqref="A1051:A1053">
    <cfRule type="cellIs" dxfId="3859" priority="3697" stopIfTrue="1" operator="equal">
      <formula>"Pass"</formula>
    </cfRule>
    <cfRule type="cellIs" dxfId="3858" priority="3698" stopIfTrue="1" operator="equal">
      <formula>"Fail"</formula>
    </cfRule>
  </conditionalFormatting>
  <conditionalFormatting sqref="A1051:A1053">
    <cfRule type="cellIs" dxfId="3857" priority="3695" stopIfTrue="1" operator="equal">
      <formula>"Pass"</formula>
    </cfRule>
    <cfRule type="cellIs" dxfId="3856" priority="3696" stopIfTrue="1" operator="equal">
      <formula>"Fail"</formula>
    </cfRule>
  </conditionalFormatting>
  <conditionalFormatting sqref="A1051:A1053">
    <cfRule type="cellIs" dxfId="3855" priority="3693" stopIfTrue="1" operator="equal">
      <formula>"Pass"</formula>
    </cfRule>
    <cfRule type="cellIs" dxfId="3854" priority="3694" stopIfTrue="1" operator="equal">
      <formula>"Fail"</formula>
    </cfRule>
  </conditionalFormatting>
  <conditionalFormatting sqref="A1053">
    <cfRule type="cellIs" dxfId="3853" priority="3691" stopIfTrue="1" operator="equal">
      <formula>"Pass"</formula>
    </cfRule>
    <cfRule type="cellIs" dxfId="3852" priority="3692" stopIfTrue="1" operator="equal">
      <formula>"Fail"</formula>
    </cfRule>
  </conditionalFormatting>
  <conditionalFormatting sqref="A1051:A1053">
    <cfRule type="cellIs" dxfId="3851" priority="3689" stopIfTrue="1" operator="equal">
      <formula>"Pass"</formula>
    </cfRule>
    <cfRule type="cellIs" dxfId="3850" priority="3690" stopIfTrue="1" operator="equal">
      <formula>"Fail"</formula>
    </cfRule>
  </conditionalFormatting>
  <conditionalFormatting sqref="A1051">
    <cfRule type="cellIs" dxfId="3849" priority="3687" stopIfTrue="1" operator="equal">
      <formula>"Pass"</formula>
    </cfRule>
    <cfRule type="cellIs" dxfId="3848" priority="3688" stopIfTrue="1" operator="equal">
      <formula>"Fail"</formula>
    </cfRule>
  </conditionalFormatting>
  <conditionalFormatting sqref="A1051">
    <cfRule type="cellIs" dxfId="3847" priority="3685" stopIfTrue="1" operator="equal">
      <formula>"Pass"</formula>
    </cfRule>
    <cfRule type="cellIs" dxfId="3846" priority="3686" stopIfTrue="1" operator="equal">
      <formula>"Fail"</formula>
    </cfRule>
  </conditionalFormatting>
  <conditionalFormatting sqref="A1051">
    <cfRule type="cellIs" dxfId="3845" priority="3683" stopIfTrue="1" operator="equal">
      <formula>"Pass"</formula>
    </cfRule>
    <cfRule type="cellIs" dxfId="3844" priority="3684" stopIfTrue="1" operator="equal">
      <formula>"Fail"</formula>
    </cfRule>
  </conditionalFormatting>
  <conditionalFormatting sqref="A1051">
    <cfRule type="cellIs" dxfId="3843" priority="3681" stopIfTrue="1" operator="equal">
      <formula>"Pass"</formula>
    </cfRule>
    <cfRule type="cellIs" dxfId="3842" priority="3682" stopIfTrue="1" operator="equal">
      <formula>"Fail"</formula>
    </cfRule>
  </conditionalFormatting>
  <conditionalFormatting sqref="A1051">
    <cfRule type="cellIs" dxfId="3841" priority="3679" stopIfTrue="1" operator="equal">
      <formula>"Pass"</formula>
    </cfRule>
    <cfRule type="cellIs" dxfId="3840" priority="3680" stopIfTrue="1" operator="equal">
      <formula>"Fail"</formula>
    </cfRule>
  </conditionalFormatting>
  <conditionalFormatting sqref="A1051">
    <cfRule type="cellIs" dxfId="3839" priority="3677" stopIfTrue="1" operator="equal">
      <formula>"Pass"</formula>
    </cfRule>
    <cfRule type="cellIs" dxfId="3838" priority="3678" stopIfTrue="1" operator="equal">
      <formula>"Fail"</formula>
    </cfRule>
  </conditionalFormatting>
  <conditionalFormatting sqref="A1051">
    <cfRule type="cellIs" dxfId="3837" priority="3675" stopIfTrue="1" operator="equal">
      <formula>"Pass"</formula>
    </cfRule>
    <cfRule type="cellIs" dxfId="3836" priority="3676" stopIfTrue="1" operator="equal">
      <formula>"Fail"</formula>
    </cfRule>
  </conditionalFormatting>
  <conditionalFormatting sqref="A1051">
    <cfRule type="cellIs" dxfId="3835" priority="3673" stopIfTrue="1" operator="equal">
      <formula>"Pass"</formula>
    </cfRule>
    <cfRule type="cellIs" dxfId="3834" priority="3674" stopIfTrue="1" operator="equal">
      <formula>"Fail"</formula>
    </cfRule>
  </conditionalFormatting>
  <conditionalFormatting sqref="A1051">
    <cfRule type="cellIs" dxfId="3833" priority="3671" stopIfTrue="1" operator="equal">
      <formula>"Pass"</formula>
    </cfRule>
    <cfRule type="cellIs" dxfId="3832" priority="3672" stopIfTrue="1" operator="equal">
      <formula>"Fail"</formula>
    </cfRule>
  </conditionalFormatting>
  <conditionalFormatting sqref="A1051">
    <cfRule type="cellIs" dxfId="3831" priority="3669" stopIfTrue="1" operator="equal">
      <formula>"Pass"</formula>
    </cfRule>
    <cfRule type="cellIs" dxfId="3830" priority="3670" stopIfTrue="1" operator="equal">
      <formula>"Fail"</formula>
    </cfRule>
  </conditionalFormatting>
  <conditionalFormatting sqref="A1051">
    <cfRule type="cellIs" dxfId="3829" priority="3667" stopIfTrue="1" operator="equal">
      <formula>"Pass"</formula>
    </cfRule>
    <cfRule type="cellIs" dxfId="3828" priority="3668" stopIfTrue="1" operator="equal">
      <formula>"Fail"</formula>
    </cfRule>
  </conditionalFormatting>
  <conditionalFormatting sqref="A1051">
    <cfRule type="cellIs" dxfId="3827" priority="3665" stopIfTrue="1" operator="equal">
      <formula>"Pass"</formula>
    </cfRule>
    <cfRule type="cellIs" dxfId="3826" priority="3666" stopIfTrue="1" operator="equal">
      <formula>"Fail"</formula>
    </cfRule>
  </conditionalFormatting>
  <conditionalFormatting sqref="A1051">
    <cfRule type="cellIs" dxfId="3825" priority="3663" stopIfTrue="1" operator="equal">
      <formula>"Pass"</formula>
    </cfRule>
    <cfRule type="cellIs" dxfId="3824" priority="3664" stopIfTrue="1" operator="equal">
      <formula>"Fail"</formula>
    </cfRule>
  </conditionalFormatting>
  <conditionalFormatting sqref="A1051">
    <cfRule type="cellIs" dxfId="3823" priority="3661" stopIfTrue="1" operator="equal">
      <formula>"Pass"</formula>
    </cfRule>
    <cfRule type="cellIs" dxfId="3822" priority="3662" stopIfTrue="1" operator="equal">
      <formula>"Fail"</formula>
    </cfRule>
  </conditionalFormatting>
  <conditionalFormatting sqref="A1051">
    <cfRule type="cellIs" dxfId="3821" priority="3659" stopIfTrue="1" operator="equal">
      <formula>"Pass"</formula>
    </cfRule>
    <cfRule type="cellIs" dxfId="3820" priority="3660" stopIfTrue="1" operator="equal">
      <formula>"Fail"</formula>
    </cfRule>
  </conditionalFormatting>
  <conditionalFormatting sqref="A1051">
    <cfRule type="cellIs" dxfId="3819" priority="3657" stopIfTrue="1" operator="equal">
      <formula>"Pass"</formula>
    </cfRule>
    <cfRule type="cellIs" dxfId="3818" priority="3658" stopIfTrue="1" operator="equal">
      <formula>"Fail"</formula>
    </cfRule>
  </conditionalFormatting>
  <conditionalFormatting sqref="A1051">
    <cfRule type="cellIs" dxfId="3817" priority="3655" stopIfTrue="1" operator="equal">
      <formula>"Pass"</formula>
    </cfRule>
    <cfRule type="cellIs" dxfId="3816" priority="3656" stopIfTrue="1" operator="equal">
      <formula>"Fail"</formula>
    </cfRule>
  </conditionalFormatting>
  <conditionalFormatting sqref="A1051">
    <cfRule type="cellIs" dxfId="3815" priority="3653" stopIfTrue="1" operator="equal">
      <formula>"Pass"</formula>
    </cfRule>
    <cfRule type="cellIs" dxfId="3814" priority="3654" stopIfTrue="1" operator="equal">
      <formula>"Fail"</formula>
    </cfRule>
  </conditionalFormatting>
  <conditionalFormatting sqref="J1051:J1052">
    <cfRule type="cellIs" dxfId="3813" priority="3651" stopIfTrue="1" operator="equal">
      <formula>"Pass"</formula>
    </cfRule>
    <cfRule type="cellIs" dxfId="3812" priority="3652" stopIfTrue="1" operator="equal">
      <formula>"Fail"</formula>
    </cfRule>
  </conditionalFormatting>
  <conditionalFormatting sqref="H1051:H1052 I1052">
    <cfRule type="cellIs" dxfId="3811" priority="3649" stopIfTrue="1" operator="equal">
      <formula>"Pass"</formula>
    </cfRule>
    <cfRule type="cellIs" dxfId="3810" priority="3650" stopIfTrue="1" operator="equal">
      <formula>"Fail"</formula>
    </cfRule>
  </conditionalFormatting>
  <conditionalFormatting sqref="A1051 C1051 F1053 F1051:G1051 K1051:N1052">
    <cfRule type="cellIs" dxfId="3809" priority="3647" stopIfTrue="1" operator="equal">
      <formula>"Pass"</formula>
    </cfRule>
    <cfRule type="cellIs" dxfId="3808" priority="3648" stopIfTrue="1" operator="equal">
      <formula>"Fail"</formula>
    </cfRule>
  </conditionalFormatting>
  <conditionalFormatting sqref="T1051:T1053 U1052:V1053">
    <cfRule type="cellIs" dxfId="3807" priority="3645" stopIfTrue="1" operator="equal">
      <formula>"Fail"</formula>
    </cfRule>
    <cfRule type="cellIs" dxfId="3806" priority="3646" stopIfTrue="1" operator="equal">
      <formula>"Pass"</formula>
    </cfRule>
  </conditionalFormatting>
  <conditionalFormatting sqref="A1051">
    <cfRule type="cellIs" dxfId="3805" priority="3643" stopIfTrue="1" operator="equal">
      <formula>"Pass"</formula>
    </cfRule>
    <cfRule type="cellIs" dxfId="3804" priority="3644" stopIfTrue="1" operator="equal">
      <formula>"Fail"</formula>
    </cfRule>
  </conditionalFormatting>
  <conditionalFormatting sqref="A1051">
    <cfRule type="cellIs" dxfId="3803" priority="3641" stopIfTrue="1" operator="equal">
      <formula>"Pass"</formula>
    </cfRule>
    <cfRule type="cellIs" dxfId="3802" priority="3642" stopIfTrue="1" operator="equal">
      <formula>"Fail"</formula>
    </cfRule>
  </conditionalFormatting>
  <conditionalFormatting sqref="A1051">
    <cfRule type="cellIs" dxfId="3801" priority="3639" stopIfTrue="1" operator="equal">
      <formula>"Pass"</formula>
    </cfRule>
    <cfRule type="cellIs" dxfId="3800" priority="3640" stopIfTrue="1" operator="equal">
      <formula>"Fail"</formula>
    </cfRule>
  </conditionalFormatting>
  <conditionalFormatting sqref="A1051">
    <cfRule type="cellIs" dxfId="3799" priority="3637" stopIfTrue="1" operator="equal">
      <formula>"Pass"</formula>
    </cfRule>
    <cfRule type="cellIs" dxfId="3798" priority="3638" stopIfTrue="1" operator="equal">
      <formula>"Fail"</formula>
    </cfRule>
  </conditionalFormatting>
  <conditionalFormatting sqref="A1051">
    <cfRule type="cellIs" dxfId="3797" priority="3635" stopIfTrue="1" operator="equal">
      <formula>"Pass"</formula>
    </cfRule>
    <cfRule type="cellIs" dxfId="3796" priority="3636" stopIfTrue="1" operator="equal">
      <formula>"Fail"</formula>
    </cfRule>
  </conditionalFormatting>
  <conditionalFormatting sqref="A1051">
    <cfRule type="cellIs" dxfId="3795" priority="3633" stopIfTrue="1" operator="equal">
      <formula>"Pass"</formula>
    </cfRule>
    <cfRule type="cellIs" dxfId="3794" priority="3634" stopIfTrue="1" operator="equal">
      <formula>"Fail"</formula>
    </cfRule>
  </conditionalFormatting>
  <conditionalFormatting sqref="A1051">
    <cfRule type="cellIs" dxfId="3793" priority="3631" stopIfTrue="1" operator="equal">
      <formula>"Pass"</formula>
    </cfRule>
    <cfRule type="cellIs" dxfId="3792" priority="3632" stopIfTrue="1" operator="equal">
      <formula>"Fail"</formula>
    </cfRule>
  </conditionalFormatting>
  <conditionalFormatting sqref="A1051">
    <cfRule type="cellIs" dxfId="3791" priority="3629" stopIfTrue="1" operator="equal">
      <formula>"Pass"</formula>
    </cfRule>
    <cfRule type="cellIs" dxfId="3790" priority="3630" stopIfTrue="1" operator="equal">
      <formula>"Fail"</formula>
    </cfRule>
  </conditionalFormatting>
  <conditionalFormatting sqref="A1051">
    <cfRule type="cellIs" dxfId="3789" priority="3627" stopIfTrue="1" operator="equal">
      <formula>"Pass"</formula>
    </cfRule>
    <cfRule type="cellIs" dxfId="3788" priority="3628" stopIfTrue="1" operator="equal">
      <formula>"Fail"</formula>
    </cfRule>
  </conditionalFormatting>
  <conditionalFormatting sqref="A1051">
    <cfRule type="cellIs" dxfId="3787" priority="3625" stopIfTrue="1" operator="equal">
      <formula>"Pass"</formula>
    </cfRule>
    <cfRule type="cellIs" dxfId="3786" priority="3626" stopIfTrue="1" operator="equal">
      <formula>"Fail"</formula>
    </cfRule>
  </conditionalFormatting>
  <conditionalFormatting sqref="A1051">
    <cfRule type="cellIs" dxfId="3785" priority="3623" stopIfTrue="1" operator="equal">
      <formula>"Pass"</formula>
    </cfRule>
    <cfRule type="cellIs" dxfId="3784" priority="3624" stopIfTrue="1" operator="equal">
      <formula>"Fail"</formula>
    </cfRule>
  </conditionalFormatting>
  <conditionalFormatting sqref="A1051">
    <cfRule type="cellIs" dxfId="3783" priority="3621" stopIfTrue="1" operator="equal">
      <formula>"Pass"</formula>
    </cfRule>
    <cfRule type="cellIs" dxfId="3782" priority="3622" stopIfTrue="1" operator="equal">
      <formula>"Fail"</formula>
    </cfRule>
  </conditionalFormatting>
  <conditionalFormatting sqref="A1051">
    <cfRule type="cellIs" dxfId="3781" priority="3619" stopIfTrue="1" operator="equal">
      <formula>"Pass"</formula>
    </cfRule>
    <cfRule type="cellIs" dxfId="3780" priority="3620" stopIfTrue="1" operator="equal">
      <formula>"Fail"</formula>
    </cfRule>
  </conditionalFormatting>
  <conditionalFormatting sqref="A1051">
    <cfRule type="cellIs" dxfId="3779" priority="3617" stopIfTrue="1" operator="equal">
      <formula>"Pass"</formula>
    </cfRule>
    <cfRule type="cellIs" dxfId="3778" priority="3618" stopIfTrue="1" operator="equal">
      <formula>"Fail"</formula>
    </cfRule>
  </conditionalFormatting>
  <conditionalFormatting sqref="A1051">
    <cfRule type="cellIs" dxfId="3777" priority="3615" stopIfTrue="1" operator="equal">
      <formula>"Pass"</formula>
    </cfRule>
    <cfRule type="cellIs" dxfId="3776" priority="3616" stopIfTrue="1" operator="equal">
      <formula>"Fail"</formula>
    </cfRule>
  </conditionalFormatting>
  <conditionalFormatting sqref="A1051">
    <cfRule type="cellIs" dxfId="3775" priority="3613" stopIfTrue="1" operator="equal">
      <formula>"Pass"</formula>
    </cfRule>
    <cfRule type="cellIs" dxfId="3774" priority="3614" stopIfTrue="1" operator="equal">
      <formula>"Fail"</formula>
    </cfRule>
  </conditionalFormatting>
  <conditionalFormatting sqref="U1051:V1051">
    <cfRule type="cellIs" dxfId="3773" priority="3611" stopIfTrue="1" operator="equal">
      <formula>"Fail"</formula>
    </cfRule>
    <cfRule type="cellIs" dxfId="3772" priority="3612" stopIfTrue="1" operator="equal">
      <formula>"Pass"</formula>
    </cfRule>
  </conditionalFormatting>
  <conditionalFormatting sqref="U1051:V1051">
    <cfRule type="cellIs" dxfId="3771" priority="3609" stopIfTrue="1" operator="equal">
      <formula>"Fail"</formula>
    </cfRule>
    <cfRule type="cellIs" dxfId="3770" priority="3610" stopIfTrue="1" operator="equal">
      <formula>"Pass"</formula>
    </cfRule>
  </conditionalFormatting>
  <conditionalFormatting sqref="J1051:J1052">
    <cfRule type="cellIs" dxfId="3769" priority="3607" stopIfTrue="1" operator="equal">
      <formula>"Pass"</formula>
    </cfRule>
    <cfRule type="cellIs" dxfId="3768" priority="3608" stopIfTrue="1" operator="equal">
      <formula>"Fail"</formula>
    </cfRule>
  </conditionalFormatting>
  <conditionalFormatting sqref="H1051:H1052 I1052">
    <cfRule type="cellIs" dxfId="3767" priority="3605" stopIfTrue="1" operator="equal">
      <formula>"Pass"</formula>
    </cfRule>
    <cfRule type="cellIs" dxfId="3766" priority="3606" stopIfTrue="1" operator="equal">
      <formula>"Fail"</formula>
    </cfRule>
  </conditionalFormatting>
  <conditionalFormatting sqref="F1053 F1051:G1051 K1051:N1052">
    <cfRule type="cellIs" dxfId="3765" priority="3603" stopIfTrue="1" operator="equal">
      <formula>"Pass"</formula>
    </cfRule>
    <cfRule type="cellIs" dxfId="3764" priority="3604" stopIfTrue="1" operator="equal">
      <formula>"Fail"</formula>
    </cfRule>
  </conditionalFormatting>
  <conditionalFormatting sqref="T1051:T1053 U1052:V1053">
    <cfRule type="cellIs" dxfId="3763" priority="3601" stopIfTrue="1" operator="equal">
      <formula>"Fail"</formula>
    </cfRule>
    <cfRule type="cellIs" dxfId="3762" priority="3602" stopIfTrue="1" operator="equal">
      <formula>"Pass"</formula>
    </cfRule>
  </conditionalFormatting>
  <conditionalFormatting sqref="U1051:V1051">
    <cfRule type="cellIs" dxfId="3761" priority="3599" stopIfTrue="1" operator="equal">
      <formula>"Fail"</formula>
    </cfRule>
    <cfRule type="cellIs" dxfId="3760" priority="3600" stopIfTrue="1" operator="equal">
      <formula>"Pass"</formula>
    </cfRule>
  </conditionalFormatting>
  <conditionalFormatting sqref="U1051:V1051">
    <cfRule type="cellIs" dxfId="3759" priority="3597" stopIfTrue="1" operator="equal">
      <formula>"Fail"</formula>
    </cfRule>
    <cfRule type="cellIs" dxfId="3758" priority="3598" stopIfTrue="1" operator="equal">
      <formula>"Pass"</formula>
    </cfRule>
  </conditionalFormatting>
  <conditionalFormatting sqref="F1051:G1051 K1051:N1051">
    <cfRule type="cellIs" dxfId="3757" priority="3595" stopIfTrue="1" operator="equal">
      <formula>"Pass"</formula>
    </cfRule>
    <cfRule type="cellIs" dxfId="3756" priority="3596" stopIfTrue="1" operator="equal">
      <formula>"Fail"</formula>
    </cfRule>
  </conditionalFormatting>
  <conditionalFormatting sqref="K1052:N1052">
    <cfRule type="cellIs" dxfId="3755" priority="3593" stopIfTrue="1" operator="equal">
      <formula>"Pass"</formula>
    </cfRule>
    <cfRule type="cellIs" dxfId="3754" priority="3594" stopIfTrue="1" operator="equal">
      <formula>"Fail"</formula>
    </cfRule>
  </conditionalFormatting>
  <conditionalFormatting sqref="U1051:V1051">
    <cfRule type="cellIs" dxfId="3753" priority="3591" stopIfTrue="1" operator="equal">
      <formula>"Fail"</formula>
    </cfRule>
    <cfRule type="cellIs" dxfId="3752" priority="3592" stopIfTrue="1" operator="equal">
      <formula>"Pass"</formula>
    </cfRule>
  </conditionalFormatting>
  <conditionalFormatting sqref="A1051">
    <cfRule type="cellIs" dxfId="3751" priority="3589" stopIfTrue="1" operator="equal">
      <formula>"Pass"</formula>
    </cfRule>
    <cfRule type="cellIs" dxfId="3750" priority="3590" stopIfTrue="1" operator="equal">
      <formula>"Fail"</formula>
    </cfRule>
  </conditionalFormatting>
  <conditionalFormatting sqref="A1051">
    <cfRule type="cellIs" dxfId="3749" priority="3587" stopIfTrue="1" operator="equal">
      <formula>"Pass"</formula>
    </cfRule>
    <cfRule type="cellIs" dxfId="3748" priority="3588" stopIfTrue="1" operator="equal">
      <formula>"Fail"</formula>
    </cfRule>
  </conditionalFormatting>
  <conditionalFormatting sqref="A1051">
    <cfRule type="cellIs" dxfId="3747" priority="3585" stopIfTrue="1" operator="equal">
      <formula>"Pass"</formula>
    </cfRule>
    <cfRule type="cellIs" dxfId="3746" priority="3586" stopIfTrue="1" operator="equal">
      <formula>"Fail"</formula>
    </cfRule>
  </conditionalFormatting>
  <conditionalFormatting sqref="A1051">
    <cfRule type="cellIs" dxfId="3745" priority="3583" stopIfTrue="1" operator="equal">
      <formula>"Pass"</formula>
    </cfRule>
    <cfRule type="cellIs" dxfId="3744" priority="3584" stopIfTrue="1" operator="equal">
      <formula>"Fail"</formula>
    </cfRule>
  </conditionalFormatting>
  <conditionalFormatting sqref="A1051">
    <cfRule type="cellIs" dxfId="3743" priority="3581" stopIfTrue="1" operator="equal">
      <formula>"Pass"</formula>
    </cfRule>
    <cfRule type="cellIs" dxfId="3742" priority="3582" stopIfTrue="1" operator="equal">
      <formula>"Fail"</formula>
    </cfRule>
  </conditionalFormatting>
  <conditionalFormatting sqref="A1051">
    <cfRule type="cellIs" dxfId="3741" priority="3579" stopIfTrue="1" operator="equal">
      <formula>"Pass"</formula>
    </cfRule>
    <cfRule type="cellIs" dxfId="3740" priority="3580" stopIfTrue="1" operator="equal">
      <formula>"Fail"</formula>
    </cfRule>
  </conditionalFormatting>
  <conditionalFormatting sqref="A1051">
    <cfRule type="cellIs" dxfId="3739" priority="3577" stopIfTrue="1" operator="equal">
      <formula>"Pass"</formula>
    </cfRule>
    <cfRule type="cellIs" dxfId="3738" priority="3578" stopIfTrue="1" operator="equal">
      <formula>"Fail"</formula>
    </cfRule>
  </conditionalFormatting>
  <conditionalFormatting sqref="A1051">
    <cfRule type="cellIs" dxfId="3737" priority="3575" stopIfTrue="1" operator="equal">
      <formula>"Pass"</formula>
    </cfRule>
    <cfRule type="cellIs" dxfId="3736" priority="3576" stopIfTrue="1" operator="equal">
      <formula>"Fail"</formula>
    </cfRule>
  </conditionalFormatting>
  <conditionalFormatting sqref="A1051">
    <cfRule type="cellIs" dxfId="3735" priority="3573" stopIfTrue="1" operator="equal">
      <formula>"Pass"</formula>
    </cfRule>
    <cfRule type="cellIs" dxfId="3734" priority="3574" stopIfTrue="1" operator="equal">
      <formula>"Fail"</formula>
    </cfRule>
  </conditionalFormatting>
  <conditionalFormatting sqref="A1051">
    <cfRule type="cellIs" dxfId="3733" priority="3571" stopIfTrue="1" operator="equal">
      <formula>"Pass"</formula>
    </cfRule>
    <cfRule type="cellIs" dxfId="3732" priority="3572" stopIfTrue="1" operator="equal">
      <formula>"Fail"</formula>
    </cfRule>
  </conditionalFormatting>
  <conditionalFormatting sqref="A1051">
    <cfRule type="cellIs" dxfId="3731" priority="3569" stopIfTrue="1" operator="equal">
      <formula>"Pass"</formula>
    </cfRule>
    <cfRule type="cellIs" dxfId="3730" priority="3570" stopIfTrue="1" operator="equal">
      <formula>"Fail"</formula>
    </cfRule>
  </conditionalFormatting>
  <conditionalFormatting sqref="A1051">
    <cfRule type="cellIs" dxfId="3729" priority="3567" stopIfTrue="1" operator="equal">
      <formula>"Pass"</formula>
    </cfRule>
    <cfRule type="cellIs" dxfId="3728" priority="3568" stopIfTrue="1" operator="equal">
      <formula>"Fail"</formula>
    </cfRule>
  </conditionalFormatting>
  <conditionalFormatting sqref="J1051:J1052">
    <cfRule type="cellIs" dxfId="3727" priority="3565" stopIfTrue="1" operator="equal">
      <formula>"Pass"</formula>
    </cfRule>
    <cfRule type="cellIs" dxfId="3726" priority="3566" stopIfTrue="1" operator="equal">
      <formula>"Fail"</formula>
    </cfRule>
  </conditionalFormatting>
  <conditionalFormatting sqref="H1051:H1052 I1052">
    <cfRule type="cellIs" dxfId="3725" priority="3563" stopIfTrue="1" operator="equal">
      <formula>"Pass"</formula>
    </cfRule>
    <cfRule type="cellIs" dxfId="3724" priority="3564" stopIfTrue="1" operator="equal">
      <formula>"Fail"</formula>
    </cfRule>
  </conditionalFormatting>
  <conditionalFormatting sqref="F1053 F1051:G1051 K1051:N1052">
    <cfRule type="cellIs" dxfId="3723" priority="3561" stopIfTrue="1" operator="equal">
      <formula>"Pass"</formula>
    </cfRule>
    <cfRule type="cellIs" dxfId="3722" priority="3562" stopIfTrue="1" operator="equal">
      <formula>"Fail"</formula>
    </cfRule>
  </conditionalFormatting>
  <conditionalFormatting sqref="T1051:T1053 U1052:V1053">
    <cfRule type="cellIs" dxfId="3721" priority="3559" stopIfTrue="1" operator="equal">
      <formula>"Fail"</formula>
    </cfRule>
    <cfRule type="cellIs" dxfId="3720" priority="3560" stopIfTrue="1" operator="equal">
      <formula>"Pass"</formula>
    </cfRule>
  </conditionalFormatting>
  <conditionalFormatting sqref="U1051:V1051">
    <cfRule type="cellIs" dxfId="3719" priority="3557" stopIfTrue="1" operator="equal">
      <formula>"Fail"</formula>
    </cfRule>
    <cfRule type="cellIs" dxfId="3718" priority="3558" stopIfTrue="1" operator="equal">
      <formula>"Pass"</formula>
    </cfRule>
  </conditionalFormatting>
  <conditionalFormatting sqref="U1051:V1051">
    <cfRule type="cellIs" dxfId="3717" priority="3555" stopIfTrue="1" operator="equal">
      <formula>"Fail"</formula>
    </cfRule>
    <cfRule type="cellIs" dxfId="3716" priority="3556" stopIfTrue="1" operator="equal">
      <formula>"Pass"</formula>
    </cfRule>
  </conditionalFormatting>
  <conditionalFormatting sqref="J1051:J1052">
    <cfRule type="cellIs" dxfId="3715" priority="3553" stopIfTrue="1" operator="equal">
      <formula>"Pass"</formula>
    </cfRule>
    <cfRule type="cellIs" dxfId="3714" priority="3554" stopIfTrue="1" operator="equal">
      <formula>"Fail"</formula>
    </cfRule>
  </conditionalFormatting>
  <conditionalFormatting sqref="H1051:H1052 I1052">
    <cfRule type="cellIs" dxfId="3713" priority="3551" stopIfTrue="1" operator="equal">
      <formula>"Pass"</formula>
    </cfRule>
    <cfRule type="cellIs" dxfId="3712" priority="3552" stopIfTrue="1" operator="equal">
      <formula>"Fail"</formula>
    </cfRule>
  </conditionalFormatting>
  <conditionalFormatting sqref="F1053 F1051:G1051 K1051:N1052">
    <cfRule type="cellIs" dxfId="3711" priority="3549" stopIfTrue="1" operator="equal">
      <formula>"Pass"</formula>
    </cfRule>
    <cfRule type="cellIs" dxfId="3710" priority="3550" stopIfTrue="1" operator="equal">
      <formula>"Fail"</formula>
    </cfRule>
  </conditionalFormatting>
  <conditionalFormatting sqref="T1051:T1053 U1052:V1053">
    <cfRule type="cellIs" dxfId="3709" priority="3547" stopIfTrue="1" operator="equal">
      <formula>"Fail"</formula>
    </cfRule>
    <cfRule type="cellIs" dxfId="3708" priority="3548" stopIfTrue="1" operator="equal">
      <formula>"Pass"</formula>
    </cfRule>
  </conditionalFormatting>
  <conditionalFormatting sqref="U1051:V1051">
    <cfRule type="cellIs" dxfId="3707" priority="3545" stopIfTrue="1" operator="equal">
      <formula>"Fail"</formula>
    </cfRule>
    <cfRule type="cellIs" dxfId="3706" priority="3546" stopIfTrue="1" operator="equal">
      <formula>"Pass"</formula>
    </cfRule>
  </conditionalFormatting>
  <conditionalFormatting sqref="U1051:V1051">
    <cfRule type="cellIs" dxfId="3705" priority="3543" stopIfTrue="1" operator="equal">
      <formula>"Fail"</formula>
    </cfRule>
    <cfRule type="cellIs" dxfId="3704" priority="3544" stopIfTrue="1" operator="equal">
      <formula>"Pass"</formula>
    </cfRule>
  </conditionalFormatting>
  <conditionalFormatting sqref="F1051:G1051 K1051:N1051">
    <cfRule type="cellIs" dxfId="3703" priority="3541" stopIfTrue="1" operator="equal">
      <formula>"Pass"</formula>
    </cfRule>
    <cfRule type="cellIs" dxfId="3702" priority="3542" stopIfTrue="1" operator="equal">
      <formula>"Fail"</formula>
    </cfRule>
  </conditionalFormatting>
  <conditionalFormatting sqref="K1052:N1052">
    <cfRule type="cellIs" dxfId="3701" priority="3539" stopIfTrue="1" operator="equal">
      <formula>"Pass"</formula>
    </cfRule>
    <cfRule type="cellIs" dxfId="3700" priority="3540" stopIfTrue="1" operator="equal">
      <formula>"Fail"</formula>
    </cfRule>
  </conditionalFormatting>
  <conditionalFormatting sqref="U1051:V1051">
    <cfRule type="cellIs" dxfId="3699" priority="3537" stopIfTrue="1" operator="equal">
      <formula>"Fail"</formula>
    </cfRule>
    <cfRule type="cellIs" dxfId="3698" priority="3538" stopIfTrue="1" operator="equal">
      <formula>"Pass"</formula>
    </cfRule>
  </conditionalFormatting>
  <conditionalFormatting sqref="J1051:J1052">
    <cfRule type="cellIs" dxfId="3697" priority="3535" stopIfTrue="1" operator="equal">
      <formula>"Pass"</formula>
    </cfRule>
    <cfRule type="cellIs" dxfId="3696" priority="3536" stopIfTrue="1" operator="equal">
      <formula>"Fail"</formula>
    </cfRule>
  </conditionalFormatting>
  <conditionalFormatting sqref="H1051:H1052 I1052">
    <cfRule type="cellIs" dxfId="3695" priority="3533" stopIfTrue="1" operator="equal">
      <formula>"Pass"</formula>
    </cfRule>
    <cfRule type="cellIs" dxfId="3694" priority="3534" stopIfTrue="1" operator="equal">
      <formula>"Fail"</formula>
    </cfRule>
  </conditionalFormatting>
  <conditionalFormatting sqref="F1051:G1051 K1051:N1052">
    <cfRule type="cellIs" dxfId="3693" priority="3531" stopIfTrue="1" operator="equal">
      <formula>"Pass"</formula>
    </cfRule>
    <cfRule type="cellIs" dxfId="3692" priority="3532" stopIfTrue="1" operator="equal">
      <formula>"Fail"</formula>
    </cfRule>
  </conditionalFormatting>
  <conditionalFormatting sqref="T1051:T1052 U1052:V1052">
    <cfRule type="cellIs" dxfId="3691" priority="3529" stopIfTrue="1" operator="equal">
      <formula>"Fail"</formula>
    </cfRule>
    <cfRule type="cellIs" dxfId="3690" priority="3530" stopIfTrue="1" operator="equal">
      <formula>"Pass"</formula>
    </cfRule>
  </conditionalFormatting>
  <conditionalFormatting sqref="U1051:V1051">
    <cfRule type="cellIs" dxfId="3689" priority="3527" stopIfTrue="1" operator="equal">
      <formula>"Fail"</formula>
    </cfRule>
    <cfRule type="cellIs" dxfId="3688" priority="3528" stopIfTrue="1" operator="equal">
      <formula>"Pass"</formula>
    </cfRule>
  </conditionalFormatting>
  <conditionalFormatting sqref="U1051:V1051">
    <cfRule type="cellIs" dxfId="3687" priority="3525" stopIfTrue="1" operator="equal">
      <formula>"Fail"</formula>
    </cfRule>
    <cfRule type="cellIs" dxfId="3686" priority="3526" stopIfTrue="1" operator="equal">
      <formula>"Pass"</formula>
    </cfRule>
  </conditionalFormatting>
  <conditionalFormatting sqref="J1051:J1052">
    <cfRule type="cellIs" dxfId="3685" priority="3523" stopIfTrue="1" operator="equal">
      <formula>"Pass"</formula>
    </cfRule>
    <cfRule type="cellIs" dxfId="3684" priority="3524" stopIfTrue="1" operator="equal">
      <formula>"Fail"</formula>
    </cfRule>
  </conditionalFormatting>
  <conditionalFormatting sqref="H1051:H1052 I1052">
    <cfRule type="cellIs" dxfId="3683" priority="3521" stopIfTrue="1" operator="equal">
      <formula>"Pass"</formula>
    </cfRule>
    <cfRule type="cellIs" dxfId="3682" priority="3522" stopIfTrue="1" operator="equal">
      <formula>"Fail"</formula>
    </cfRule>
  </conditionalFormatting>
  <conditionalFormatting sqref="F1051:G1051 K1051:N1052">
    <cfRule type="cellIs" dxfId="3681" priority="3519" stopIfTrue="1" operator="equal">
      <formula>"Pass"</formula>
    </cfRule>
    <cfRule type="cellIs" dxfId="3680" priority="3520" stopIfTrue="1" operator="equal">
      <formula>"Fail"</formula>
    </cfRule>
  </conditionalFormatting>
  <conditionalFormatting sqref="T1051:T1052 U1052:V1052">
    <cfRule type="cellIs" dxfId="3679" priority="3517" stopIfTrue="1" operator="equal">
      <formula>"Fail"</formula>
    </cfRule>
    <cfRule type="cellIs" dxfId="3678" priority="3518" stopIfTrue="1" operator="equal">
      <formula>"Pass"</formula>
    </cfRule>
  </conditionalFormatting>
  <conditionalFormatting sqref="U1051:V1051">
    <cfRule type="cellIs" dxfId="3677" priority="3515" stopIfTrue="1" operator="equal">
      <formula>"Fail"</formula>
    </cfRule>
    <cfRule type="cellIs" dxfId="3676" priority="3516" stopIfTrue="1" operator="equal">
      <formula>"Pass"</formula>
    </cfRule>
  </conditionalFormatting>
  <conditionalFormatting sqref="U1051:V1051">
    <cfRule type="cellIs" dxfId="3675" priority="3513" stopIfTrue="1" operator="equal">
      <formula>"Fail"</formula>
    </cfRule>
    <cfRule type="cellIs" dxfId="3674" priority="3514" stopIfTrue="1" operator="equal">
      <formula>"Pass"</formula>
    </cfRule>
  </conditionalFormatting>
  <conditionalFormatting sqref="F1051:G1051 K1051:N1051">
    <cfRule type="cellIs" dxfId="3673" priority="3511" stopIfTrue="1" operator="equal">
      <formula>"Pass"</formula>
    </cfRule>
    <cfRule type="cellIs" dxfId="3672" priority="3512" stopIfTrue="1" operator="equal">
      <formula>"Fail"</formula>
    </cfRule>
  </conditionalFormatting>
  <conditionalFormatting sqref="K1052:N1052">
    <cfRule type="cellIs" dxfId="3671" priority="3509" stopIfTrue="1" operator="equal">
      <formula>"Pass"</formula>
    </cfRule>
    <cfRule type="cellIs" dxfId="3670" priority="3510" stopIfTrue="1" operator="equal">
      <formula>"Fail"</formula>
    </cfRule>
  </conditionalFormatting>
  <conditionalFormatting sqref="U1051:V1051">
    <cfRule type="cellIs" dxfId="3669" priority="3507" stopIfTrue="1" operator="equal">
      <formula>"Fail"</formula>
    </cfRule>
    <cfRule type="cellIs" dxfId="3668" priority="3508" stopIfTrue="1" operator="equal">
      <formula>"Pass"</formula>
    </cfRule>
  </conditionalFormatting>
  <conditionalFormatting sqref="U1051:V1051">
    <cfRule type="cellIs" dxfId="3667" priority="3505" stopIfTrue="1" operator="equal">
      <formula>"Fail"</formula>
    </cfRule>
    <cfRule type="cellIs" dxfId="3666" priority="3506" stopIfTrue="1" operator="equal">
      <formula>"Pass"</formula>
    </cfRule>
  </conditionalFormatting>
  <conditionalFormatting sqref="U1051:V1051">
    <cfRule type="cellIs" dxfId="3665" priority="3503" stopIfTrue="1" operator="equal">
      <formula>"Fail"</formula>
    </cfRule>
    <cfRule type="cellIs" dxfId="3664" priority="3504" stopIfTrue="1" operator="equal">
      <formula>"Pass"</formula>
    </cfRule>
  </conditionalFormatting>
  <conditionalFormatting sqref="U1051:V1051">
    <cfRule type="cellIs" dxfId="3663" priority="3501" stopIfTrue="1" operator="equal">
      <formula>"Fail"</formula>
    </cfRule>
    <cfRule type="cellIs" dxfId="3662" priority="3502" stopIfTrue="1" operator="equal">
      <formula>"Pass"</formula>
    </cfRule>
  </conditionalFormatting>
  <conditionalFormatting sqref="A1051">
    <cfRule type="cellIs" dxfId="3661" priority="3499" stopIfTrue="1" operator="equal">
      <formula>"Pass"</formula>
    </cfRule>
    <cfRule type="cellIs" dxfId="3660" priority="3500" stopIfTrue="1" operator="equal">
      <formula>"Fail"</formula>
    </cfRule>
  </conditionalFormatting>
  <conditionalFormatting sqref="A1051">
    <cfRule type="cellIs" dxfId="3659" priority="3497" stopIfTrue="1" operator="equal">
      <formula>"Pass"</formula>
    </cfRule>
    <cfRule type="cellIs" dxfId="3658" priority="3498" stopIfTrue="1" operator="equal">
      <formula>"Fail"</formula>
    </cfRule>
  </conditionalFormatting>
  <conditionalFormatting sqref="A1051">
    <cfRule type="cellIs" dxfId="3657" priority="3495" stopIfTrue="1" operator="equal">
      <formula>"Pass"</formula>
    </cfRule>
    <cfRule type="cellIs" dxfId="3656" priority="3496" stopIfTrue="1" operator="equal">
      <formula>"Fail"</formula>
    </cfRule>
  </conditionalFormatting>
  <conditionalFormatting sqref="A1051">
    <cfRule type="cellIs" dxfId="3655" priority="3493" stopIfTrue="1" operator="equal">
      <formula>"Pass"</formula>
    </cfRule>
    <cfRule type="cellIs" dxfId="3654" priority="3494" stopIfTrue="1" operator="equal">
      <formula>"Fail"</formula>
    </cfRule>
  </conditionalFormatting>
  <conditionalFormatting sqref="A1051">
    <cfRule type="cellIs" dxfId="3653" priority="3491" stopIfTrue="1" operator="equal">
      <formula>"Pass"</formula>
    </cfRule>
    <cfRule type="cellIs" dxfId="3652" priority="3492" stopIfTrue="1" operator="equal">
      <formula>"Fail"</formula>
    </cfRule>
  </conditionalFormatting>
  <conditionalFormatting sqref="A1051">
    <cfRule type="cellIs" dxfId="3651" priority="3489" stopIfTrue="1" operator="equal">
      <formula>"Pass"</formula>
    </cfRule>
    <cfRule type="cellIs" dxfId="3650" priority="3490" stopIfTrue="1" operator="equal">
      <formula>"Fail"</formula>
    </cfRule>
  </conditionalFormatting>
  <conditionalFormatting sqref="A1051">
    <cfRule type="cellIs" dxfId="3649" priority="3487" stopIfTrue="1" operator="equal">
      <formula>"Pass"</formula>
    </cfRule>
    <cfRule type="cellIs" dxfId="3648" priority="3488" stopIfTrue="1" operator="equal">
      <formula>"Fail"</formula>
    </cfRule>
  </conditionalFormatting>
  <conditionalFormatting sqref="A1051">
    <cfRule type="cellIs" dxfId="3647" priority="3485" stopIfTrue="1" operator="equal">
      <formula>"Pass"</formula>
    </cfRule>
    <cfRule type="cellIs" dxfId="3646" priority="3486" stopIfTrue="1" operator="equal">
      <formula>"Fail"</formula>
    </cfRule>
  </conditionalFormatting>
  <conditionalFormatting sqref="A1051">
    <cfRule type="cellIs" dxfId="3645" priority="3483" stopIfTrue="1" operator="equal">
      <formula>"Pass"</formula>
    </cfRule>
    <cfRule type="cellIs" dxfId="3644" priority="3484" stopIfTrue="1" operator="equal">
      <formula>"Fail"</formula>
    </cfRule>
  </conditionalFormatting>
  <conditionalFormatting sqref="A1051">
    <cfRule type="cellIs" dxfId="3643" priority="3481" stopIfTrue="1" operator="equal">
      <formula>"Pass"</formula>
    </cfRule>
    <cfRule type="cellIs" dxfId="3642" priority="3482" stopIfTrue="1" operator="equal">
      <formula>"Fail"</formula>
    </cfRule>
  </conditionalFormatting>
  <conditionalFormatting sqref="A1051">
    <cfRule type="cellIs" dxfId="3641" priority="3479" stopIfTrue="1" operator="equal">
      <formula>"Pass"</formula>
    </cfRule>
    <cfRule type="cellIs" dxfId="3640" priority="3480" stopIfTrue="1" operator="equal">
      <formula>"Fail"</formula>
    </cfRule>
  </conditionalFormatting>
  <conditionalFormatting sqref="A1051">
    <cfRule type="cellIs" dxfId="3639" priority="3477" stopIfTrue="1" operator="equal">
      <formula>"Pass"</formula>
    </cfRule>
    <cfRule type="cellIs" dxfId="3638" priority="3478" stopIfTrue="1" operator="equal">
      <formula>"Fail"</formula>
    </cfRule>
  </conditionalFormatting>
  <conditionalFormatting sqref="A1051">
    <cfRule type="cellIs" dxfId="3637" priority="3475" stopIfTrue="1" operator="equal">
      <formula>"Pass"</formula>
    </cfRule>
    <cfRule type="cellIs" dxfId="3636" priority="3476" stopIfTrue="1" operator="equal">
      <formula>"Fail"</formula>
    </cfRule>
  </conditionalFormatting>
  <conditionalFormatting sqref="A1051">
    <cfRule type="cellIs" dxfId="3635" priority="3473" stopIfTrue="1" operator="equal">
      <formula>"Pass"</formula>
    </cfRule>
    <cfRule type="cellIs" dxfId="3634" priority="3474" stopIfTrue="1" operator="equal">
      <formula>"Fail"</formula>
    </cfRule>
  </conditionalFormatting>
  <conditionalFormatting sqref="A1051">
    <cfRule type="cellIs" dxfId="3633" priority="3471" stopIfTrue="1" operator="equal">
      <formula>"Pass"</formula>
    </cfRule>
    <cfRule type="cellIs" dxfId="3632" priority="3472" stopIfTrue="1" operator="equal">
      <formula>"Fail"</formula>
    </cfRule>
  </conditionalFormatting>
  <conditionalFormatting sqref="A1051">
    <cfRule type="cellIs" dxfId="3631" priority="3469" stopIfTrue="1" operator="equal">
      <formula>"Pass"</formula>
    </cfRule>
    <cfRule type="cellIs" dxfId="3630" priority="3470" stopIfTrue="1" operator="equal">
      <formula>"Fail"</formula>
    </cfRule>
  </conditionalFormatting>
  <conditionalFormatting sqref="A1051">
    <cfRule type="cellIs" dxfId="3629" priority="3467" stopIfTrue="1" operator="equal">
      <formula>"Pass"</formula>
    </cfRule>
    <cfRule type="cellIs" dxfId="3628" priority="3468" stopIfTrue="1" operator="equal">
      <formula>"Fail"</formula>
    </cfRule>
  </conditionalFormatting>
  <conditionalFormatting sqref="A1051">
    <cfRule type="cellIs" dxfId="3627" priority="3465" stopIfTrue="1" operator="equal">
      <formula>"Pass"</formula>
    </cfRule>
    <cfRule type="cellIs" dxfId="3626" priority="3466" stopIfTrue="1" operator="equal">
      <formula>"Fail"</formula>
    </cfRule>
  </conditionalFormatting>
  <conditionalFormatting sqref="U1051:V1051">
    <cfRule type="cellIs" dxfId="3625" priority="3463" stopIfTrue="1" operator="equal">
      <formula>"Fail"</formula>
    </cfRule>
    <cfRule type="cellIs" dxfId="3624" priority="3464" stopIfTrue="1" operator="equal">
      <formula>"Pass"</formula>
    </cfRule>
  </conditionalFormatting>
  <conditionalFormatting sqref="U1051:V1051">
    <cfRule type="cellIs" dxfId="3623" priority="3461" stopIfTrue="1" operator="equal">
      <formula>"Fail"</formula>
    </cfRule>
    <cfRule type="cellIs" dxfId="3622" priority="3462" stopIfTrue="1" operator="equal">
      <formula>"Pass"</formula>
    </cfRule>
  </conditionalFormatting>
  <conditionalFormatting sqref="U1051:V1051">
    <cfRule type="cellIs" dxfId="3621" priority="3459" stopIfTrue="1" operator="equal">
      <formula>"Fail"</formula>
    </cfRule>
    <cfRule type="cellIs" dxfId="3620" priority="3460" stopIfTrue="1" operator="equal">
      <formula>"Pass"</formula>
    </cfRule>
  </conditionalFormatting>
  <conditionalFormatting sqref="U1051:V1051">
    <cfRule type="cellIs" dxfId="3619" priority="3457" stopIfTrue="1" operator="equal">
      <formula>"Fail"</formula>
    </cfRule>
    <cfRule type="cellIs" dxfId="3618" priority="3458" stopIfTrue="1" operator="equal">
      <formula>"Pass"</formula>
    </cfRule>
  </conditionalFormatting>
  <conditionalFormatting sqref="A1051:A1053">
    <cfRule type="cellIs" dxfId="3617" priority="3455" stopIfTrue="1" operator="equal">
      <formula>"Pass"</formula>
    </cfRule>
    <cfRule type="cellIs" dxfId="3616" priority="3456" stopIfTrue="1" operator="equal">
      <formula>"Fail"</formula>
    </cfRule>
  </conditionalFormatting>
  <conditionalFormatting sqref="A1051:A1053">
    <cfRule type="cellIs" dxfId="3615" priority="3453" stopIfTrue="1" operator="equal">
      <formula>"Pass"</formula>
    </cfRule>
    <cfRule type="cellIs" dxfId="3614" priority="3454" stopIfTrue="1" operator="equal">
      <formula>"Fail"</formula>
    </cfRule>
  </conditionalFormatting>
  <conditionalFormatting sqref="A1051:A1053">
    <cfRule type="cellIs" dxfId="3613" priority="3451" stopIfTrue="1" operator="equal">
      <formula>"Pass"</formula>
    </cfRule>
    <cfRule type="cellIs" dxfId="3612" priority="3452" stopIfTrue="1" operator="equal">
      <formula>"Fail"</formula>
    </cfRule>
  </conditionalFormatting>
  <conditionalFormatting sqref="A1051:A1053">
    <cfRule type="cellIs" dxfId="3611" priority="3449" stopIfTrue="1" operator="equal">
      <formula>"Pass"</formula>
    </cfRule>
    <cfRule type="cellIs" dxfId="3610" priority="3450" stopIfTrue="1" operator="equal">
      <formula>"Fail"</formula>
    </cfRule>
  </conditionalFormatting>
  <conditionalFormatting sqref="A1051:A1053">
    <cfRule type="cellIs" dxfId="3609" priority="3447" stopIfTrue="1" operator="equal">
      <formula>"Pass"</formula>
    </cfRule>
    <cfRule type="cellIs" dxfId="3608" priority="3448" stopIfTrue="1" operator="equal">
      <formula>"Fail"</formula>
    </cfRule>
  </conditionalFormatting>
  <conditionalFormatting sqref="A1053">
    <cfRule type="cellIs" dxfId="3607" priority="3445" stopIfTrue="1" operator="equal">
      <formula>"Pass"</formula>
    </cfRule>
    <cfRule type="cellIs" dxfId="3606" priority="3446" stopIfTrue="1" operator="equal">
      <formula>"Fail"</formula>
    </cfRule>
  </conditionalFormatting>
  <conditionalFormatting sqref="A1051:A1053">
    <cfRule type="cellIs" dxfId="3605" priority="3443" stopIfTrue="1" operator="equal">
      <formula>"Pass"</formula>
    </cfRule>
    <cfRule type="cellIs" dxfId="3604" priority="3444" stopIfTrue="1" operator="equal">
      <formula>"Fail"</formula>
    </cfRule>
  </conditionalFormatting>
  <conditionalFormatting sqref="A1051:A1053">
    <cfRule type="cellIs" dxfId="3603" priority="3441" stopIfTrue="1" operator="equal">
      <formula>"Pass"</formula>
    </cfRule>
    <cfRule type="cellIs" dxfId="3602" priority="3442" stopIfTrue="1" operator="equal">
      <formula>"Fail"</formula>
    </cfRule>
  </conditionalFormatting>
  <conditionalFormatting sqref="A1051:A1053">
    <cfRule type="cellIs" dxfId="3601" priority="3439" stopIfTrue="1" operator="equal">
      <formula>"Pass"</formula>
    </cfRule>
    <cfRule type="cellIs" dxfId="3600" priority="3440" stopIfTrue="1" operator="equal">
      <formula>"Fail"</formula>
    </cfRule>
  </conditionalFormatting>
  <conditionalFormatting sqref="A1051:A1053">
    <cfRule type="cellIs" dxfId="3599" priority="3437" stopIfTrue="1" operator="equal">
      <formula>"Pass"</formula>
    </cfRule>
    <cfRule type="cellIs" dxfId="3598" priority="3438" stopIfTrue="1" operator="equal">
      <formula>"Fail"</formula>
    </cfRule>
  </conditionalFormatting>
  <conditionalFormatting sqref="A1051:A1053">
    <cfRule type="cellIs" dxfId="3597" priority="3435" stopIfTrue="1" operator="equal">
      <formula>"Pass"</formula>
    </cfRule>
    <cfRule type="cellIs" dxfId="3596" priority="3436" stopIfTrue="1" operator="equal">
      <formula>"Fail"</formula>
    </cfRule>
  </conditionalFormatting>
  <conditionalFormatting sqref="A1051:A1053">
    <cfRule type="cellIs" dxfId="3595" priority="3433" stopIfTrue="1" operator="equal">
      <formula>"Pass"</formula>
    </cfRule>
    <cfRule type="cellIs" dxfId="3594" priority="3434" stopIfTrue="1" operator="equal">
      <formula>"Fail"</formula>
    </cfRule>
  </conditionalFormatting>
  <conditionalFormatting sqref="A1053">
    <cfRule type="cellIs" dxfId="3593" priority="3431" stopIfTrue="1" operator="equal">
      <formula>"Pass"</formula>
    </cfRule>
    <cfRule type="cellIs" dxfId="3592" priority="3432" stopIfTrue="1" operator="equal">
      <formula>"Fail"</formula>
    </cfRule>
  </conditionalFormatting>
  <conditionalFormatting sqref="A1051:A1053">
    <cfRule type="cellIs" dxfId="3591" priority="3429" stopIfTrue="1" operator="equal">
      <formula>"Pass"</formula>
    </cfRule>
    <cfRule type="cellIs" dxfId="3590" priority="3430" stopIfTrue="1" operator="equal">
      <formula>"Fail"</formula>
    </cfRule>
  </conditionalFormatting>
  <conditionalFormatting sqref="A1051:A1053">
    <cfRule type="cellIs" dxfId="3589" priority="3427" stopIfTrue="1" operator="equal">
      <formula>"Pass"</formula>
    </cfRule>
    <cfRule type="cellIs" dxfId="3588" priority="3428" stopIfTrue="1" operator="equal">
      <formula>"Fail"</formula>
    </cfRule>
  </conditionalFormatting>
  <conditionalFormatting sqref="A1051:A1053">
    <cfRule type="cellIs" dxfId="3587" priority="3425" stopIfTrue="1" operator="equal">
      <formula>"Pass"</formula>
    </cfRule>
    <cfRule type="cellIs" dxfId="3586" priority="3426" stopIfTrue="1" operator="equal">
      <formula>"Fail"</formula>
    </cfRule>
  </conditionalFormatting>
  <conditionalFormatting sqref="A1051:A1053">
    <cfRule type="cellIs" dxfId="3585" priority="3423" stopIfTrue="1" operator="equal">
      <formula>"Pass"</formula>
    </cfRule>
    <cfRule type="cellIs" dxfId="3584" priority="3424" stopIfTrue="1" operator="equal">
      <formula>"Fail"</formula>
    </cfRule>
  </conditionalFormatting>
  <conditionalFormatting sqref="A1051:A1053">
    <cfRule type="cellIs" dxfId="3583" priority="3421" stopIfTrue="1" operator="equal">
      <formula>"Pass"</formula>
    </cfRule>
    <cfRule type="cellIs" dxfId="3582" priority="3422" stopIfTrue="1" operator="equal">
      <formula>"Fail"</formula>
    </cfRule>
  </conditionalFormatting>
  <conditionalFormatting sqref="A1051:A1053">
    <cfRule type="cellIs" dxfId="3581" priority="3419" stopIfTrue="1" operator="equal">
      <formula>"Pass"</formula>
    </cfRule>
    <cfRule type="cellIs" dxfId="3580" priority="3420" stopIfTrue="1" operator="equal">
      <formula>"Fail"</formula>
    </cfRule>
  </conditionalFormatting>
  <conditionalFormatting sqref="A1053">
    <cfRule type="cellIs" dxfId="3579" priority="3417" stopIfTrue="1" operator="equal">
      <formula>"Pass"</formula>
    </cfRule>
    <cfRule type="cellIs" dxfId="3578" priority="3418" stopIfTrue="1" operator="equal">
      <formula>"Fail"</formula>
    </cfRule>
  </conditionalFormatting>
  <conditionalFormatting sqref="A1051:A1053">
    <cfRule type="cellIs" dxfId="3577" priority="3415" stopIfTrue="1" operator="equal">
      <formula>"Pass"</formula>
    </cfRule>
    <cfRule type="cellIs" dxfId="3576" priority="3416" stopIfTrue="1" operator="equal">
      <formula>"Fail"</formula>
    </cfRule>
  </conditionalFormatting>
  <conditionalFormatting sqref="A1051:A1053">
    <cfRule type="cellIs" dxfId="3575" priority="3413" stopIfTrue="1" operator="equal">
      <formula>"Pass"</formula>
    </cfRule>
    <cfRule type="cellIs" dxfId="3574" priority="3414" stopIfTrue="1" operator="equal">
      <formula>"Fail"</formula>
    </cfRule>
  </conditionalFormatting>
  <conditionalFormatting sqref="A1051:A1053">
    <cfRule type="cellIs" dxfId="3573" priority="3411" stopIfTrue="1" operator="equal">
      <formula>"Pass"</formula>
    </cfRule>
    <cfRule type="cellIs" dxfId="3572" priority="3412" stopIfTrue="1" operator="equal">
      <formula>"Fail"</formula>
    </cfRule>
  </conditionalFormatting>
  <conditionalFormatting sqref="A1051:A1053">
    <cfRule type="cellIs" dxfId="3571" priority="3409" stopIfTrue="1" operator="equal">
      <formula>"Pass"</formula>
    </cfRule>
    <cfRule type="cellIs" dxfId="3570" priority="3410" stopIfTrue="1" operator="equal">
      <formula>"Fail"</formula>
    </cfRule>
  </conditionalFormatting>
  <conditionalFormatting sqref="A1051:A1053">
    <cfRule type="cellIs" dxfId="3569" priority="3407" stopIfTrue="1" operator="equal">
      <formula>"Pass"</formula>
    </cfRule>
    <cfRule type="cellIs" dxfId="3568" priority="3408" stopIfTrue="1" operator="equal">
      <formula>"Fail"</formula>
    </cfRule>
  </conditionalFormatting>
  <conditionalFormatting sqref="A1051:A1053">
    <cfRule type="cellIs" dxfId="3567" priority="3405" stopIfTrue="1" operator="equal">
      <formula>"Pass"</formula>
    </cfRule>
    <cfRule type="cellIs" dxfId="3566" priority="3406" stopIfTrue="1" operator="equal">
      <formula>"Fail"</formula>
    </cfRule>
  </conditionalFormatting>
  <conditionalFormatting sqref="A1053">
    <cfRule type="cellIs" dxfId="3565" priority="3403" stopIfTrue="1" operator="equal">
      <formula>"Pass"</formula>
    </cfRule>
    <cfRule type="cellIs" dxfId="3564" priority="3404" stopIfTrue="1" operator="equal">
      <formula>"Fail"</formula>
    </cfRule>
  </conditionalFormatting>
  <conditionalFormatting sqref="A1051:A1053">
    <cfRule type="cellIs" dxfId="3563" priority="3401" stopIfTrue="1" operator="equal">
      <formula>"Pass"</formula>
    </cfRule>
    <cfRule type="cellIs" dxfId="3562" priority="3402" stopIfTrue="1" operator="equal">
      <formula>"Fail"</formula>
    </cfRule>
  </conditionalFormatting>
  <conditionalFormatting sqref="A1051:A1053">
    <cfRule type="cellIs" dxfId="3561" priority="3399" stopIfTrue="1" operator="equal">
      <formula>"Pass"</formula>
    </cfRule>
    <cfRule type="cellIs" dxfId="3560" priority="3400" stopIfTrue="1" operator="equal">
      <formula>"Fail"</formula>
    </cfRule>
  </conditionalFormatting>
  <conditionalFormatting sqref="A1051:A1053">
    <cfRule type="cellIs" dxfId="3559" priority="3397" stopIfTrue="1" operator="equal">
      <formula>"Pass"</formula>
    </cfRule>
    <cfRule type="cellIs" dxfId="3558" priority="3398" stopIfTrue="1" operator="equal">
      <formula>"Fail"</formula>
    </cfRule>
  </conditionalFormatting>
  <conditionalFormatting sqref="A1051:A1053">
    <cfRule type="cellIs" dxfId="3557" priority="3395" stopIfTrue="1" operator="equal">
      <formula>"Pass"</formula>
    </cfRule>
    <cfRule type="cellIs" dxfId="3556" priority="3396" stopIfTrue="1" operator="equal">
      <formula>"Fail"</formula>
    </cfRule>
  </conditionalFormatting>
  <conditionalFormatting sqref="A1051:A1053">
    <cfRule type="cellIs" dxfId="3555" priority="3393" stopIfTrue="1" operator="equal">
      <formula>"Pass"</formula>
    </cfRule>
    <cfRule type="cellIs" dxfId="3554" priority="3394" stopIfTrue="1" operator="equal">
      <formula>"Fail"</formula>
    </cfRule>
  </conditionalFormatting>
  <conditionalFormatting sqref="A1051:A1053">
    <cfRule type="cellIs" dxfId="3553" priority="3391" stopIfTrue="1" operator="equal">
      <formula>"Pass"</formula>
    </cfRule>
    <cfRule type="cellIs" dxfId="3552" priority="3392" stopIfTrue="1" operator="equal">
      <formula>"Fail"</formula>
    </cfRule>
  </conditionalFormatting>
  <conditionalFormatting sqref="A1053">
    <cfRule type="cellIs" dxfId="3551" priority="3389" stopIfTrue="1" operator="equal">
      <formula>"Pass"</formula>
    </cfRule>
    <cfRule type="cellIs" dxfId="3550" priority="3390" stopIfTrue="1" operator="equal">
      <formula>"Fail"</formula>
    </cfRule>
  </conditionalFormatting>
  <conditionalFormatting sqref="A1051:A1053">
    <cfRule type="cellIs" dxfId="3549" priority="3387" stopIfTrue="1" operator="equal">
      <formula>"Pass"</formula>
    </cfRule>
    <cfRule type="cellIs" dxfId="3548" priority="3388" stopIfTrue="1" operator="equal">
      <formula>"Fail"</formula>
    </cfRule>
  </conditionalFormatting>
  <conditionalFormatting sqref="A1051:A1053">
    <cfRule type="cellIs" dxfId="3547" priority="3385" stopIfTrue="1" operator="equal">
      <formula>"Pass"</formula>
    </cfRule>
    <cfRule type="cellIs" dxfId="3546" priority="3386" stopIfTrue="1" operator="equal">
      <formula>"Fail"</formula>
    </cfRule>
  </conditionalFormatting>
  <conditionalFormatting sqref="A1051:A1053">
    <cfRule type="cellIs" dxfId="3545" priority="3383" stopIfTrue="1" operator="equal">
      <formula>"Pass"</formula>
    </cfRule>
    <cfRule type="cellIs" dxfId="3544" priority="3384" stopIfTrue="1" operator="equal">
      <formula>"Fail"</formula>
    </cfRule>
  </conditionalFormatting>
  <conditionalFormatting sqref="A1051:A1053">
    <cfRule type="cellIs" dxfId="3543" priority="3381" stopIfTrue="1" operator="equal">
      <formula>"Pass"</formula>
    </cfRule>
    <cfRule type="cellIs" dxfId="3542" priority="3382" stopIfTrue="1" operator="equal">
      <formula>"Fail"</formula>
    </cfRule>
  </conditionalFormatting>
  <conditionalFormatting sqref="A1051:A1053">
    <cfRule type="cellIs" dxfId="3541" priority="3379" stopIfTrue="1" operator="equal">
      <formula>"Pass"</formula>
    </cfRule>
    <cfRule type="cellIs" dxfId="3540" priority="3380" stopIfTrue="1" operator="equal">
      <formula>"Fail"</formula>
    </cfRule>
  </conditionalFormatting>
  <conditionalFormatting sqref="A1051:A1053">
    <cfRule type="cellIs" dxfId="3539" priority="3377" stopIfTrue="1" operator="equal">
      <formula>"Pass"</formula>
    </cfRule>
    <cfRule type="cellIs" dxfId="3538" priority="3378" stopIfTrue="1" operator="equal">
      <formula>"Fail"</formula>
    </cfRule>
  </conditionalFormatting>
  <conditionalFormatting sqref="A1053">
    <cfRule type="cellIs" dxfId="3537" priority="3375" stopIfTrue="1" operator="equal">
      <formula>"Pass"</formula>
    </cfRule>
    <cfRule type="cellIs" dxfId="3536" priority="3376" stopIfTrue="1" operator="equal">
      <formula>"Fail"</formula>
    </cfRule>
  </conditionalFormatting>
  <conditionalFormatting sqref="A1051:A1053">
    <cfRule type="cellIs" dxfId="3535" priority="3373" stopIfTrue="1" operator="equal">
      <formula>"Pass"</formula>
    </cfRule>
    <cfRule type="cellIs" dxfId="3534" priority="3374" stopIfTrue="1" operator="equal">
      <formula>"Fail"</formula>
    </cfRule>
  </conditionalFormatting>
  <conditionalFormatting sqref="A1051">
    <cfRule type="cellIs" dxfId="3533" priority="3371" stopIfTrue="1" operator="equal">
      <formula>"Pass"</formula>
    </cfRule>
    <cfRule type="cellIs" dxfId="3532" priority="3372" stopIfTrue="1" operator="equal">
      <formula>"Fail"</formula>
    </cfRule>
  </conditionalFormatting>
  <conditionalFormatting sqref="A1051">
    <cfRule type="cellIs" dxfId="3531" priority="3369" stopIfTrue="1" operator="equal">
      <formula>"Pass"</formula>
    </cfRule>
    <cfRule type="cellIs" dxfId="3530" priority="3370" stopIfTrue="1" operator="equal">
      <formula>"Fail"</formula>
    </cfRule>
  </conditionalFormatting>
  <conditionalFormatting sqref="A1051">
    <cfRule type="cellIs" dxfId="3529" priority="3367" stopIfTrue="1" operator="equal">
      <formula>"Pass"</formula>
    </cfRule>
    <cfRule type="cellIs" dxfId="3528" priority="3368" stopIfTrue="1" operator="equal">
      <formula>"Fail"</formula>
    </cfRule>
  </conditionalFormatting>
  <conditionalFormatting sqref="A1051">
    <cfRule type="cellIs" dxfId="3527" priority="3365" stopIfTrue="1" operator="equal">
      <formula>"Pass"</formula>
    </cfRule>
    <cfRule type="cellIs" dxfId="3526" priority="3366" stopIfTrue="1" operator="equal">
      <formula>"Fail"</formula>
    </cfRule>
  </conditionalFormatting>
  <conditionalFormatting sqref="A1051">
    <cfRule type="cellIs" dxfId="3525" priority="3363" stopIfTrue="1" operator="equal">
      <formula>"Pass"</formula>
    </cfRule>
    <cfRule type="cellIs" dxfId="3524" priority="3364" stopIfTrue="1" operator="equal">
      <formula>"Fail"</formula>
    </cfRule>
  </conditionalFormatting>
  <conditionalFormatting sqref="A1051">
    <cfRule type="cellIs" dxfId="3523" priority="3361" stopIfTrue="1" operator="equal">
      <formula>"Pass"</formula>
    </cfRule>
    <cfRule type="cellIs" dxfId="3522" priority="3362" stopIfTrue="1" operator="equal">
      <formula>"Fail"</formula>
    </cfRule>
  </conditionalFormatting>
  <conditionalFormatting sqref="A1051">
    <cfRule type="cellIs" dxfId="3521" priority="3359" stopIfTrue="1" operator="equal">
      <formula>"Pass"</formula>
    </cfRule>
    <cfRule type="cellIs" dxfId="3520" priority="3360" stopIfTrue="1" operator="equal">
      <formula>"Fail"</formula>
    </cfRule>
  </conditionalFormatting>
  <conditionalFormatting sqref="A1051">
    <cfRule type="cellIs" dxfId="3519" priority="3357" stopIfTrue="1" operator="equal">
      <formula>"Pass"</formula>
    </cfRule>
    <cfRule type="cellIs" dxfId="3518" priority="3358" stopIfTrue="1" operator="equal">
      <formula>"Fail"</formula>
    </cfRule>
  </conditionalFormatting>
  <conditionalFormatting sqref="A1051">
    <cfRule type="cellIs" dxfId="3517" priority="3355" stopIfTrue="1" operator="equal">
      <formula>"Pass"</formula>
    </cfRule>
    <cfRule type="cellIs" dxfId="3516" priority="3356" stopIfTrue="1" operator="equal">
      <formula>"Fail"</formula>
    </cfRule>
  </conditionalFormatting>
  <conditionalFormatting sqref="A1051">
    <cfRule type="cellIs" dxfId="3515" priority="3353" stopIfTrue="1" operator="equal">
      <formula>"Pass"</formula>
    </cfRule>
    <cfRule type="cellIs" dxfId="3514" priority="3354" stopIfTrue="1" operator="equal">
      <formula>"Fail"</formula>
    </cfRule>
  </conditionalFormatting>
  <conditionalFormatting sqref="A1051">
    <cfRule type="cellIs" dxfId="3513" priority="3351" stopIfTrue="1" operator="equal">
      <formula>"Pass"</formula>
    </cfRule>
    <cfRule type="cellIs" dxfId="3512" priority="3352" stopIfTrue="1" operator="equal">
      <formula>"Fail"</formula>
    </cfRule>
  </conditionalFormatting>
  <conditionalFormatting sqref="A1051">
    <cfRule type="cellIs" dxfId="3511" priority="3349" stopIfTrue="1" operator="equal">
      <formula>"Pass"</formula>
    </cfRule>
    <cfRule type="cellIs" dxfId="3510" priority="3350" stopIfTrue="1" operator="equal">
      <formula>"Fail"</formula>
    </cfRule>
  </conditionalFormatting>
  <conditionalFormatting sqref="A1051">
    <cfRule type="cellIs" dxfId="3509" priority="3347" stopIfTrue="1" operator="equal">
      <formula>"Pass"</formula>
    </cfRule>
    <cfRule type="cellIs" dxfId="3508" priority="3348" stopIfTrue="1" operator="equal">
      <formula>"Fail"</formula>
    </cfRule>
  </conditionalFormatting>
  <conditionalFormatting sqref="A1051">
    <cfRule type="cellIs" dxfId="3507" priority="3345" stopIfTrue="1" operator="equal">
      <formula>"Pass"</formula>
    </cfRule>
    <cfRule type="cellIs" dxfId="3506" priority="3346" stopIfTrue="1" operator="equal">
      <formula>"Fail"</formula>
    </cfRule>
  </conditionalFormatting>
  <conditionalFormatting sqref="A1051">
    <cfRule type="cellIs" dxfId="3505" priority="3343" stopIfTrue="1" operator="equal">
      <formula>"Pass"</formula>
    </cfRule>
    <cfRule type="cellIs" dxfId="3504" priority="3344" stopIfTrue="1" operator="equal">
      <formula>"Fail"</formula>
    </cfRule>
  </conditionalFormatting>
  <conditionalFormatting sqref="A1051">
    <cfRule type="cellIs" dxfId="3503" priority="3341" stopIfTrue="1" operator="equal">
      <formula>"Pass"</formula>
    </cfRule>
    <cfRule type="cellIs" dxfId="3502" priority="3342" stopIfTrue="1" operator="equal">
      <formula>"Fail"</formula>
    </cfRule>
  </conditionalFormatting>
  <conditionalFormatting sqref="A1051">
    <cfRule type="cellIs" dxfId="3501" priority="3339" stopIfTrue="1" operator="equal">
      <formula>"Pass"</formula>
    </cfRule>
    <cfRule type="cellIs" dxfId="3500" priority="3340" stopIfTrue="1" operator="equal">
      <formula>"Fail"</formula>
    </cfRule>
  </conditionalFormatting>
  <conditionalFormatting sqref="A1051">
    <cfRule type="cellIs" dxfId="3499" priority="3337" stopIfTrue="1" operator="equal">
      <formula>"Pass"</formula>
    </cfRule>
    <cfRule type="cellIs" dxfId="3498" priority="3338" stopIfTrue="1" operator="equal">
      <formula>"Fail"</formula>
    </cfRule>
  </conditionalFormatting>
  <conditionalFormatting sqref="A1051">
    <cfRule type="cellIs" dxfId="3497" priority="3335" stopIfTrue="1" operator="equal">
      <formula>"Pass"</formula>
    </cfRule>
    <cfRule type="cellIs" dxfId="3496" priority="3336" stopIfTrue="1" operator="equal">
      <formula>"Fail"</formula>
    </cfRule>
  </conditionalFormatting>
  <conditionalFormatting sqref="A1051">
    <cfRule type="cellIs" dxfId="3495" priority="3333" stopIfTrue="1" operator="equal">
      <formula>"Pass"</formula>
    </cfRule>
    <cfRule type="cellIs" dxfId="3494" priority="3334" stopIfTrue="1" operator="equal">
      <formula>"Fail"</formula>
    </cfRule>
  </conditionalFormatting>
  <conditionalFormatting sqref="A1051">
    <cfRule type="cellIs" dxfId="3493" priority="3331" stopIfTrue="1" operator="equal">
      <formula>"Pass"</formula>
    </cfRule>
    <cfRule type="cellIs" dxfId="3492" priority="3332" stopIfTrue="1" operator="equal">
      <formula>"Fail"</formula>
    </cfRule>
  </conditionalFormatting>
  <conditionalFormatting sqref="A1051">
    <cfRule type="cellIs" dxfId="3491" priority="3329" stopIfTrue="1" operator="equal">
      <formula>"Pass"</formula>
    </cfRule>
    <cfRule type="cellIs" dxfId="3490" priority="3330" stopIfTrue="1" operator="equal">
      <formula>"Fail"</formula>
    </cfRule>
  </conditionalFormatting>
  <conditionalFormatting sqref="A1051">
    <cfRule type="cellIs" dxfId="3489" priority="3327" stopIfTrue="1" operator="equal">
      <formula>"Pass"</formula>
    </cfRule>
    <cfRule type="cellIs" dxfId="3488" priority="3328" stopIfTrue="1" operator="equal">
      <formula>"Fail"</formula>
    </cfRule>
  </conditionalFormatting>
  <conditionalFormatting sqref="A1051">
    <cfRule type="cellIs" dxfId="3487" priority="3325" stopIfTrue="1" operator="equal">
      <formula>"Pass"</formula>
    </cfRule>
    <cfRule type="cellIs" dxfId="3486" priority="3326" stopIfTrue="1" operator="equal">
      <formula>"Fail"</formula>
    </cfRule>
  </conditionalFormatting>
  <conditionalFormatting sqref="A1051">
    <cfRule type="cellIs" dxfId="3485" priority="3323" stopIfTrue="1" operator="equal">
      <formula>"Pass"</formula>
    </cfRule>
    <cfRule type="cellIs" dxfId="3484" priority="3324" stopIfTrue="1" operator="equal">
      <formula>"Fail"</formula>
    </cfRule>
  </conditionalFormatting>
  <conditionalFormatting sqref="A1051">
    <cfRule type="cellIs" dxfId="3483" priority="3321" stopIfTrue="1" operator="equal">
      <formula>"Pass"</formula>
    </cfRule>
    <cfRule type="cellIs" dxfId="3482" priority="3322" stopIfTrue="1" operator="equal">
      <formula>"Fail"</formula>
    </cfRule>
  </conditionalFormatting>
  <conditionalFormatting sqref="A1051">
    <cfRule type="cellIs" dxfId="3481" priority="3319" stopIfTrue="1" operator="equal">
      <formula>"Pass"</formula>
    </cfRule>
    <cfRule type="cellIs" dxfId="3480" priority="3320" stopIfTrue="1" operator="equal">
      <formula>"Fail"</formula>
    </cfRule>
  </conditionalFormatting>
  <conditionalFormatting sqref="A1051">
    <cfRule type="cellIs" dxfId="3479" priority="3317" stopIfTrue="1" operator="equal">
      <formula>"Pass"</formula>
    </cfRule>
    <cfRule type="cellIs" dxfId="3478" priority="3318" stopIfTrue="1" operator="equal">
      <formula>"Fail"</formula>
    </cfRule>
  </conditionalFormatting>
  <conditionalFormatting sqref="A1051">
    <cfRule type="cellIs" dxfId="3477" priority="3315" stopIfTrue="1" operator="equal">
      <formula>"Pass"</formula>
    </cfRule>
    <cfRule type="cellIs" dxfId="3476" priority="3316" stopIfTrue="1" operator="equal">
      <formula>"Fail"</formula>
    </cfRule>
  </conditionalFormatting>
  <conditionalFormatting sqref="A1051">
    <cfRule type="cellIs" dxfId="3475" priority="3313" stopIfTrue="1" operator="equal">
      <formula>"Pass"</formula>
    </cfRule>
    <cfRule type="cellIs" dxfId="3474" priority="3314" stopIfTrue="1" operator="equal">
      <formula>"Fail"</formula>
    </cfRule>
  </conditionalFormatting>
  <conditionalFormatting sqref="A1051">
    <cfRule type="cellIs" dxfId="3473" priority="3311" stopIfTrue="1" operator="equal">
      <formula>"Pass"</formula>
    </cfRule>
    <cfRule type="cellIs" dxfId="3472" priority="3312" stopIfTrue="1" operator="equal">
      <formula>"Fail"</formula>
    </cfRule>
  </conditionalFormatting>
  <conditionalFormatting sqref="A1051">
    <cfRule type="cellIs" dxfId="3471" priority="3309" stopIfTrue="1" operator="equal">
      <formula>"Pass"</formula>
    </cfRule>
    <cfRule type="cellIs" dxfId="3470" priority="3310" stopIfTrue="1" operator="equal">
      <formula>"Fail"</formula>
    </cfRule>
  </conditionalFormatting>
  <conditionalFormatting sqref="A1051">
    <cfRule type="cellIs" dxfId="3469" priority="3307" stopIfTrue="1" operator="equal">
      <formula>"Pass"</formula>
    </cfRule>
    <cfRule type="cellIs" dxfId="3468" priority="3308" stopIfTrue="1" operator="equal">
      <formula>"Fail"</formula>
    </cfRule>
  </conditionalFormatting>
  <conditionalFormatting sqref="A1051">
    <cfRule type="cellIs" dxfId="3467" priority="3305" stopIfTrue="1" operator="equal">
      <formula>"Pass"</formula>
    </cfRule>
    <cfRule type="cellIs" dxfId="3466" priority="3306" stopIfTrue="1" operator="equal">
      <formula>"Fail"</formula>
    </cfRule>
  </conditionalFormatting>
  <conditionalFormatting sqref="A1051">
    <cfRule type="cellIs" dxfId="3465" priority="3303" stopIfTrue="1" operator="equal">
      <formula>"Pass"</formula>
    </cfRule>
    <cfRule type="cellIs" dxfId="3464" priority="3304" stopIfTrue="1" operator="equal">
      <formula>"Fail"</formula>
    </cfRule>
  </conditionalFormatting>
  <conditionalFormatting sqref="A1051">
    <cfRule type="cellIs" dxfId="3463" priority="3301" stopIfTrue="1" operator="equal">
      <formula>"Pass"</formula>
    </cfRule>
    <cfRule type="cellIs" dxfId="3462" priority="3302" stopIfTrue="1" operator="equal">
      <formula>"Fail"</formula>
    </cfRule>
  </conditionalFormatting>
  <conditionalFormatting sqref="A1051">
    <cfRule type="cellIs" dxfId="3461" priority="3299" stopIfTrue="1" operator="equal">
      <formula>"Pass"</formula>
    </cfRule>
    <cfRule type="cellIs" dxfId="3460" priority="3300" stopIfTrue="1" operator="equal">
      <formula>"Fail"</formula>
    </cfRule>
  </conditionalFormatting>
  <conditionalFormatting sqref="A1051">
    <cfRule type="cellIs" dxfId="3459" priority="3297" stopIfTrue="1" operator="equal">
      <formula>"Pass"</formula>
    </cfRule>
    <cfRule type="cellIs" dxfId="3458" priority="3298" stopIfTrue="1" operator="equal">
      <formula>"Fail"</formula>
    </cfRule>
  </conditionalFormatting>
  <conditionalFormatting sqref="A1051">
    <cfRule type="cellIs" dxfId="3457" priority="3295" stopIfTrue="1" operator="equal">
      <formula>"Pass"</formula>
    </cfRule>
    <cfRule type="cellIs" dxfId="3456" priority="3296" stopIfTrue="1" operator="equal">
      <formula>"Fail"</formula>
    </cfRule>
  </conditionalFormatting>
  <conditionalFormatting sqref="A1051">
    <cfRule type="cellIs" dxfId="3455" priority="3293" stopIfTrue="1" operator="equal">
      <formula>"Pass"</formula>
    </cfRule>
    <cfRule type="cellIs" dxfId="3454" priority="3294" stopIfTrue="1" operator="equal">
      <formula>"Fail"</formula>
    </cfRule>
  </conditionalFormatting>
  <conditionalFormatting sqref="A1051">
    <cfRule type="cellIs" dxfId="3453" priority="3291" stopIfTrue="1" operator="equal">
      <formula>"Pass"</formula>
    </cfRule>
    <cfRule type="cellIs" dxfId="3452" priority="3292" stopIfTrue="1" operator="equal">
      <formula>"Fail"</formula>
    </cfRule>
  </conditionalFormatting>
  <conditionalFormatting sqref="A1051">
    <cfRule type="cellIs" dxfId="3451" priority="3289" stopIfTrue="1" operator="equal">
      <formula>"Pass"</formula>
    </cfRule>
    <cfRule type="cellIs" dxfId="3450" priority="3290" stopIfTrue="1" operator="equal">
      <formula>"Fail"</formula>
    </cfRule>
  </conditionalFormatting>
  <conditionalFormatting sqref="A1051">
    <cfRule type="cellIs" dxfId="3449" priority="3287" stopIfTrue="1" operator="equal">
      <formula>"Pass"</formula>
    </cfRule>
    <cfRule type="cellIs" dxfId="3448" priority="3288" stopIfTrue="1" operator="equal">
      <formula>"Fail"</formula>
    </cfRule>
  </conditionalFormatting>
  <conditionalFormatting sqref="A1051">
    <cfRule type="cellIs" dxfId="3447" priority="3285" stopIfTrue="1" operator="equal">
      <formula>"Pass"</formula>
    </cfRule>
    <cfRule type="cellIs" dxfId="3446" priority="3286" stopIfTrue="1" operator="equal">
      <formula>"Fail"</formula>
    </cfRule>
  </conditionalFormatting>
  <conditionalFormatting sqref="A1051">
    <cfRule type="cellIs" dxfId="3445" priority="3283" stopIfTrue="1" operator="equal">
      <formula>"Pass"</formula>
    </cfRule>
    <cfRule type="cellIs" dxfId="3444" priority="3284" stopIfTrue="1" operator="equal">
      <formula>"Fail"</formula>
    </cfRule>
  </conditionalFormatting>
  <conditionalFormatting sqref="A1051">
    <cfRule type="cellIs" dxfId="3443" priority="3281" stopIfTrue="1" operator="equal">
      <formula>"Pass"</formula>
    </cfRule>
    <cfRule type="cellIs" dxfId="3442" priority="3282" stopIfTrue="1" operator="equal">
      <formula>"Fail"</formula>
    </cfRule>
  </conditionalFormatting>
  <conditionalFormatting sqref="A1051">
    <cfRule type="cellIs" dxfId="3441" priority="3279" stopIfTrue="1" operator="equal">
      <formula>"Pass"</formula>
    </cfRule>
    <cfRule type="cellIs" dxfId="3440" priority="3280" stopIfTrue="1" operator="equal">
      <formula>"Fail"</formula>
    </cfRule>
  </conditionalFormatting>
  <conditionalFormatting sqref="A1051">
    <cfRule type="cellIs" dxfId="3439" priority="3277" stopIfTrue="1" operator="equal">
      <formula>"Pass"</formula>
    </cfRule>
    <cfRule type="cellIs" dxfId="3438" priority="3278" stopIfTrue="1" operator="equal">
      <formula>"Fail"</formula>
    </cfRule>
  </conditionalFormatting>
  <conditionalFormatting sqref="A1051:A1053">
    <cfRule type="cellIs" dxfId="3437" priority="3275" stopIfTrue="1" operator="equal">
      <formula>"Pass"</formula>
    </cfRule>
    <cfRule type="cellIs" dxfId="3436" priority="3276" stopIfTrue="1" operator="equal">
      <formula>"Fail"</formula>
    </cfRule>
  </conditionalFormatting>
  <conditionalFormatting sqref="A1051:A1053">
    <cfRule type="cellIs" dxfId="3435" priority="3273" stopIfTrue="1" operator="equal">
      <formula>"Pass"</formula>
    </cfRule>
    <cfRule type="cellIs" dxfId="3434" priority="3274" stopIfTrue="1" operator="equal">
      <formula>"Fail"</formula>
    </cfRule>
  </conditionalFormatting>
  <conditionalFormatting sqref="A1051:A1053">
    <cfRule type="cellIs" dxfId="3433" priority="3271" stopIfTrue="1" operator="equal">
      <formula>"Pass"</formula>
    </cfRule>
    <cfRule type="cellIs" dxfId="3432" priority="3272" stopIfTrue="1" operator="equal">
      <formula>"Fail"</formula>
    </cfRule>
  </conditionalFormatting>
  <conditionalFormatting sqref="A1051:A1053">
    <cfRule type="cellIs" dxfId="3431" priority="3269" stopIfTrue="1" operator="equal">
      <formula>"Pass"</formula>
    </cfRule>
    <cfRule type="cellIs" dxfId="3430" priority="3270" stopIfTrue="1" operator="equal">
      <formula>"Fail"</formula>
    </cfRule>
  </conditionalFormatting>
  <conditionalFormatting sqref="A1051:A1053">
    <cfRule type="cellIs" dxfId="3429" priority="3267" stopIfTrue="1" operator="equal">
      <formula>"Pass"</formula>
    </cfRule>
    <cfRule type="cellIs" dxfId="3428" priority="3268" stopIfTrue="1" operator="equal">
      <formula>"Fail"</formula>
    </cfRule>
  </conditionalFormatting>
  <conditionalFormatting sqref="A1053">
    <cfRule type="cellIs" dxfId="3427" priority="3265" stopIfTrue="1" operator="equal">
      <formula>"Pass"</formula>
    </cfRule>
    <cfRule type="cellIs" dxfId="3426" priority="3266" stopIfTrue="1" operator="equal">
      <formula>"Fail"</formula>
    </cfRule>
  </conditionalFormatting>
  <conditionalFormatting sqref="A1051:A1053">
    <cfRule type="cellIs" dxfId="3425" priority="3263" stopIfTrue="1" operator="equal">
      <formula>"Pass"</formula>
    </cfRule>
    <cfRule type="cellIs" dxfId="3424" priority="3264" stopIfTrue="1" operator="equal">
      <formula>"Fail"</formula>
    </cfRule>
  </conditionalFormatting>
  <conditionalFormatting sqref="A1051:A1053">
    <cfRule type="cellIs" dxfId="3423" priority="3261" stopIfTrue="1" operator="equal">
      <formula>"Pass"</formula>
    </cfRule>
    <cfRule type="cellIs" dxfId="3422" priority="3262" stopIfTrue="1" operator="equal">
      <formula>"Fail"</formula>
    </cfRule>
  </conditionalFormatting>
  <conditionalFormatting sqref="A1051:A1053">
    <cfRule type="cellIs" dxfId="3421" priority="3259" stopIfTrue="1" operator="equal">
      <formula>"Pass"</formula>
    </cfRule>
    <cfRule type="cellIs" dxfId="3420" priority="3260" stopIfTrue="1" operator="equal">
      <formula>"Fail"</formula>
    </cfRule>
  </conditionalFormatting>
  <conditionalFormatting sqref="A1051:A1053">
    <cfRule type="cellIs" dxfId="3419" priority="3257" stopIfTrue="1" operator="equal">
      <formula>"Pass"</formula>
    </cfRule>
    <cfRule type="cellIs" dxfId="3418" priority="3258" stopIfTrue="1" operator="equal">
      <formula>"Fail"</formula>
    </cfRule>
  </conditionalFormatting>
  <conditionalFormatting sqref="A1051:A1053">
    <cfRule type="cellIs" dxfId="3417" priority="3255" stopIfTrue="1" operator="equal">
      <formula>"Pass"</formula>
    </cfRule>
    <cfRule type="cellIs" dxfId="3416" priority="3256" stopIfTrue="1" operator="equal">
      <formula>"Fail"</formula>
    </cfRule>
  </conditionalFormatting>
  <conditionalFormatting sqref="A1051:A1053">
    <cfRule type="cellIs" dxfId="3415" priority="3253" stopIfTrue="1" operator="equal">
      <formula>"Pass"</formula>
    </cfRule>
    <cfRule type="cellIs" dxfId="3414" priority="3254" stopIfTrue="1" operator="equal">
      <formula>"Fail"</formula>
    </cfRule>
  </conditionalFormatting>
  <conditionalFormatting sqref="A1053">
    <cfRule type="cellIs" dxfId="3413" priority="3251" stopIfTrue="1" operator="equal">
      <formula>"Pass"</formula>
    </cfRule>
    <cfRule type="cellIs" dxfId="3412" priority="3252" stopIfTrue="1" operator="equal">
      <formula>"Fail"</formula>
    </cfRule>
  </conditionalFormatting>
  <conditionalFormatting sqref="A1051:A1053">
    <cfRule type="cellIs" dxfId="3411" priority="3249" stopIfTrue="1" operator="equal">
      <formula>"Pass"</formula>
    </cfRule>
    <cfRule type="cellIs" dxfId="3410" priority="3250" stopIfTrue="1" operator="equal">
      <formula>"Fail"</formula>
    </cfRule>
  </conditionalFormatting>
  <conditionalFormatting sqref="A1051:A1053">
    <cfRule type="cellIs" dxfId="3409" priority="3247" stopIfTrue="1" operator="equal">
      <formula>"Pass"</formula>
    </cfRule>
    <cfRule type="cellIs" dxfId="3408" priority="3248" stopIfTrue="1" operator="equal">
      <formula>"Fail"</formula>
    </cfRule>
  </conditionalFormatting>
  <conditionalFormatting sqref="A1051:A1053">
    <cfRule type="cellIs" dxfId="3407" priority="3245" stopIfTrue="1" operator="equal">
      <formula>"Pass"</formula>
    </cfRule>
    <cfRule type="cellIs" dxfId="3406" priority="3246" stopIfTrue="1" operator="equal">
      <formula>"Fail"</formula>
    </cfRule>
  </conditionalFormatting>
  <conditionalFormatting sqref="A1051:A1053">
    <cfRule type="cellIs" dxfId="3405" priority="3243" stopIfTrue="1" operator="equal">
      <formula>"Pass"</formula>
    </cfRule>
    <cfRule type="cellIs" dxfId="3404" priority="3244" stopIfTrue="1" operator="equal">
      <formula>"Fail"</formula>
    </cfRule>
  </conditionalFormatting>
  <conditionalFormatting sqref="A1051:A1053">
    <cfRule type="cellIs" dxfId="3403" priority="3241" stopIfTrue="1" operator="equal">
      <formula>"Pass"</formula>
    </cfRule>
    <cfRule type="cellIs" dxfId="3402" priority="3242" stopIfTrue="1" operator="equal">
      <formula>"Fail"</formula>
    </cfRule>
  </conditionalFormatting>
  <conditionalFormatting sqref="A1051:A1053">
    <cfRule type="cellIs" dxfId="3401" priority="3239" stopIfTrue="1" operator="equal">
      <formula>"Pass"</formula>
    </cfRule>
    <cfRule type="cellIs" dxfId="3400" priority="3240" stopIfTrue="1" operator="equal">
      <formula>"Fail"</formula>
    </cfRule>
  </conditionalFormatting>
  <conditionalFormatting sqref="A1053">
    <cfRule type="cellIs" dxfId="3399" priority="3237" stopIfTrue="1" operator="equal">
      <formula>"Pass"</formula>
    </cfRule>
    <cfRule type="cellIs" dxfId="3398" priority="3238" stopIfTrue="1" operator="equal">
      <formula>"Fail"</formula>
    </cfRule>
  </conditionalFormatting>
  <conditionalFormatting sqref="A1051:A1053">
    <cfRule type="cellIs" dxfId="3397" priority="3235" stopIfTrue="1" operator="equal">
      <formula>"Pass"</formula>
    </cfRule>
    <cfRule type="cellIs" dxfId="3396" priority="3236" stopIfTrue="1" operator="equal">
      <formula>"Fail"</formula>
    </cfRule>
  </conditionalFormatting>
  <conditionalFormatting sqref="A1051:A1053">
    <cfRule type="cellIs" dxfId="3395" priority="3233" stopIfTrue="1" operator="equal">
      <formula>"Pass"</formula>
    </cfRule>
    <cfRule type="cellIs" dxfId="3394" priority="3234" stopIfTrue="1" operator="equal">
      <formula>"Fail"</formula>
    </cfRule>
  </conditionalFormatting>
  <conditionalFormatting sqref="A1051:A1053">
    <cfRule type="cellIs" dxfId="3393" priority="3231" stopIfTrue="1" operator="equal">
      <formula>"Pass"</formula>
    </cfRule>
    <cfRule type="cellIs" dxfId="3392" priority="3232" stopIfTrue="1" operator="equal">
      <formula>"Fail"</formula>
    </cfRule>
  </conditionalFormatting>
  <conditionalFormatting sqref="A1051:A1053">
    <cfRule type="cellIs" dxfId="3391" priority="3229" stopIfTrue="1" operator="equal">
      <formula>"Pass"</formula>
    </cfRule>
    <cfRule type="cellIs" dxfId="3390" priority="3230" stopIfTrue="1" operator="equal">
      <formula>"Fail"</formula>
    </cfRule>
  </conditionalFormatting>
  <conditionalFormatting sqref="A1051:A1053">
    <cfRule type="cellIs" dxfId="3389" priority="3227" stopIfTrue="1" operator="equal">
      <formula>"Pass"</formula>
    </cfRule>
    <cfRule type="cellIs" dxfId="3388" priority="3228" stopIfTrue="1" operator="equal">
      <formula>"Fail"</formula>
    </cfRule>
  </conditionalFormatting>
  <conditionalFormatting sqref="A1051:A1053">
    <cfRule type="cellIs" dxfId="3387" priority="3225" stopIfTrue="1" operator="equal">
      <formula>"Pass"</formula>
    </cfRule>
    <cfRule type="cellIs" dxfId="3386" priority="3226" stopIfTrue="1" operator="equal">
      <formula>"Fail"</formula>
    </cfRule>
  </conditionalFormatting>
  <conditionalFormatting sqref="A1053">
    <cfRule type="cellIs" dxfId="3385" priority="3223" stopIfTrue="1" operator="equal">
      <formula>"Pass"</formula>
    </cfRule>
    <cfRule type="cellIs" dxfId="3384" priority="3224" stopIfTrue="1" operator="equal">
      <formula>"Fail"</formula>
    </cfRule>
  </conditionalFormatting>
  <conditionalFormatting sqref="A1051:A1053">
    <cfRule type="cellIs" dxfId="3383" priority="3221" stopIfTrue="1" operator="equal">
      <formula>"Pass"</formula>
    </cfRule>
    <cfRule type="cellIs" dxfId="3382" priority="3222" stopIfTrue="1" operator="equal">
      <formula>"Fail"</formula>
    </cfRule>
  </conditionalFormatting>
  <conditionalFormatting sqref="A1051:A1053">
    <cfRule type="cellIs" dxfId="3381" priority="3219" stopIfTrue="1" operator="equal">
      <formula>"Pass"</formula>
    </cfRule>
    <cfRule type="cellIs" dxfId="3380" priority="3220" stopIfTrue="1" operator="equal">
      <formula>"Fail"</formula>
    </cfRule>
  </conditionalFormatting>
  <conditionalFormatting sqref="A1051:A1053">
    <cfRule type="cellIs" dxfId="3379" priority="3217" stopIfTrue="1" operator="equal">
      <formula>"Pass"</formula>
    </cfRule>
    <cfRule type="cellIs" dxfId="3378" priority="3218" stopIfTrue="1" operator="equal">
      <formula>"Fail"</formula>
    </cfRule>
  </conditionalFormatting>
  <conditionalFormatting sqref="A1051:A1053">
    <cfRule type="cellIs" dxfId="3377" priority="3215" stopIfTrue="1" operator="equal">
      <formula>"Pass"</formula>
    </cfRule>
    <cfRule type="cellIs" dxfId="3376" priority="3216" stopIfTrue="1" operator="equal">
      <formula>"Fail"</formula>
    </cfRule>
  </conditionalFormatting>
  <conditionalFormatting sqref="A1051:A1053">
    <cfRule type="cellIs" dxfId="3375" priority="3213" stopIfTrue="1" operator="equal">
      <formula>"Pass"</formula>
    </cfRule>
    <cfRule type="cellIs" dxfId="3374" priority="3214" stopIfTrue="1" operator="equal">
      <formula>"Fail"</formula>
    </cfRule>
  </conditionalFormatting>
  <conditionalFormatting sqref="A1051:A1053">
    <cfRule type="cellIs" dxfId="3373" priority="3211" stopIfTrue="1" operator="equal">
      <formula>"Pass"</formula>
    </cfRule>
    <cfRule type="cellIs" dxfId="3372" priority="3212" stopIfTrue="1" operator="equal">
      <formula>"Fail"</formula>
    </cfRule>
  </conditionalFormatting>
  <conditionalFormatting sqref="A1053">
    <cfRule type="cellIs" dxfId="3371" priority="3209" stopIfTrue="1" operator="equal">
      <formula>"Pass"</formula>
    </cfRule>
    <cfRule type="cellIs" dxfId="3370" priority="3210" stopIfTrue="1" operator="equal">
      <formula>"Fail"</formula>
    </cfRule>
  </conditionalFormatting>
  <conditionalFormatting sqref="A1051:A1053">
    <cfRule type="cellIs" dxfId="3369" priority="3207" stopIfTrue="1" operator="equal">
      <formula>"Pass"</formula>
    </cfRule>
    <cfRule type="cellIs" dxfId="3368" priority="3208" stopIfTrue="1" operator="equal">
      <formula>"Fail"</formula>
    </cfRule>
  </conditionalFormatting>
  <conditionalFormatting sqref="A1051:A1053">
    <cfRule type="cellIs" dxfId="3367" priority="3205" stopIfTrue="1" operator="equal">
      <formula>"Pass"</formula>
    </cfRule>
    <cfRule type="cellIs" dxfId="3366" priority="3206" stopIfTrue="1" operator="equal">
      <formula>"Fail"</formula>
    </cfRule>
  </conditionalFormatting>
  <conditionalFormatting sqref="A1051:A1053">
    <cfRule type="cellIs" dxfId="3365" priority="3203" stopIfTrue="1" operator="equal">
      <formula>"Pass"</formula>
    </cfRule>
    <cfRule type="cellIs" dxfId="3364" priority="3204" stopIfTrue="1" operator="equal">
      <formula>"Fail"</formula>
    </cfRule>
  </conditionalFormatting>
  <conditionalFormatting sqref="A1051:A1053">
    <cfRule type="cellIs" dxfId="3363" priority="3201" stopIfTrue="1" operator="equal">
      <formula>"Pass"</formula>
    </cfRule>
    <cfRule type="cellIs" dxfId="3362" priority="3202" stopIfTrue="1" operator="equal">
      <formula>"Fail"</formula>
    </cfRule>
  </conditionalFormatting>
  <conditionalFormatting sqref="A1051:A1053">
    <cfRule type="cellIs" dxfId="3361" priority="3199" stopIfTrue="1" operator="equal">
      <formula>"Pass"</formula>
    </cfRule>
    <cfRule type="cellIs" dxfId="3360" priority="3200" stopIfTrue="1" operator="equal">
      <formula>"Fail"</formula>
    </cfRule>
  </conditionalFormatting>
  <conditionalFormatting sqref="A1051:A1053">
    <cfRule type="cellIs" dxfId="3359" priority="3197" stopIfTrue="1" operator="equal">
      <formula>"Pass"</formula>
    </cfRule>
    <cfRule type="cellIs" dxfId="3358" priority="3198" stopIfTrue="1" operator="equal">
      <formula>"Fail"</formula>
    </cfRule>
  </conditionalFormatting>
  <conditionalFormatting sqref="A1053">
    <cfRule type="cellIs" dxfId="3357" priority="3195" stopIfTrue="1" operator="equal">
      <formula>"Pass"</formula>
    </cfRule>
    <cfRule type="cellIs" dxfId="3356" priority="3196" stopIfTrue="1" operator="equal">
      <formula>"Fail"</formula>
    </cfRule>
  </conditionalFormatting>
  <conditionalFormatting sqref="A1051:A1053">
    <cfRule type="cellIs" dxfId="3355" priority="3193" stopIfTrue="1" operator="equal">
      <formula>"Pass"</formula>
    </cfRule>
    <cfRule type="cellIs" dxfId="3354" priority="3194" stopIfTrue="1" operator="equal">
      <formula>"Fail"</formula>
    </cfRule>
  </conditionalFormatting>
  <conditionalFormatting sqref="A1051">
    <cfRule type="cellIs" dxfId="3353" priority="3191" stopIfTrue="1" operator="equal">
      <formula>"Pass"</formula>
    </cfRule>
    <cfRule type="cellIs" dxfId="3352" priority="3192" stopIfTrue="1" operator="equal">
      <formula>"Fail"</formula>
    </cfRule>
  </conditionalFormatting>
  <conditionalFormatting sqref="A1051">
    <cfRule type="cellIs" dxfId="3351" priority="3189" stopIfTrue="1" operator="equal">
      <formula>"Pass"</formula>
    </cfRule>
    <cfRule type="cellIs" dxfId="3350" priority="3190" stopIfTrue="1" operator="equal">
      <formula>"Fail"</formula>
    </cfRule>
  </conditionalFormatting>
  <conditionalFormatting sqref="A1051">
    <cfRule type="cellIs" dxfId="3349" priority="3187" stopIfTrue="1" operator="equal">
      <formula>"Pass"</formula>
    </cfRule>
    <cfRule type="cellIs" dxfId="3348" priority="3188" stopIfTrue="1" operator="equal">
      <formula>"Fail"</formula>
    </cfRule>
  </conditionalFormatting>
  <conditionalFormatting sqref="A1051">
    <cfRule type="cellIs" dxfId="3347" priority="3185" stopIfTrue="1" operator="equal">
      <formula>"Pass"</formula>
    </cfRule>
    <cfRule type="cellIs" dxfId="3346" priority="3186" stopIfTrue="1" operator="equal">
      <formula>"Fail"</formula>
    </cfRule>
  </conditionalFormatting>
  <conditionalFormatting sqref="A1051">
    <cfRule type="cellIs" dxfId="3345" priority="3183" stopIfTrue="1" operator="equal">
      <formula>"Pass"</formula>
    </cfRule>
    <cfRule type="cellIs" dxfId="3344" priority="3184" stopIfTrue="1" operator="equal">
      <formula>"Fail"</formula>
    </cfRule>
  </conditionalFormatting>
  <conditionalFormatting sqref="A1051">
    <cfRule type="cellIs" dxfId="3343" priority="3181" stopIfTrue="1" operator="equal">
      <formula>"Pass"</formula>
    </cfRule>
    <cfRule type="cellIs" dxfId="3342" priority="3182" stopIfTrue="1" operator="equal">
      <formula>"Fail"</formula>
    </cfRule>
  </conditionalFormatting>
  <conditionalFormatting sqref="A1051">
    <cfRule type="cellIs" dxfId="3341" priority="3179" stopIfTrue="1" operator="equal">
      <formula>"Pass"</formula>
    </cfRule>
    <cfRule type="cellIs" dxfId="3340" priority="3180" stopIfTrue="1" operator="equal">
      <formula>"Fail"</formula>
    </cfRule>
  </conditionalFormatting>
  <conditionalFormatting sqref="A1051">
    <cfRule type="cellIs" dxfId="3339" priority="3177" stopIfTrue="1" operator="equal">
      <formula>"Pass"</formula>
    </cfRule>
    <cfRule type="cellIs" dxfId="3338" priority="3178" stopIfTrue="1" operator="equal">
      <formula>"Fail"</formula>
    </cfRule>
  </conditionalFormatting>
  <conditionalFormatting sqref="A1051">
    <cfRule type="cellIs" dxfId="3337" priority="3175" stopIfTrue="1" operator="equal">
      <formula>"Pass"</formula>
    </cfRule>
    <cfRule type="cellIs" dxfId="3336" priority="3176" stopIfTrue="1" operator="equal">
      <formula>"Fail"</formula>
    </cfRule>
  </conditionalFormatting>
  <conditionalFormatting sqref="A1051">
    <cfRule type="cellIs" dxfId="3335" priority="3173" stopIfTrue="1" operator="equal">
      <formula>"Pass"</formula>
    </cfRule>
    <cfRule type="cellIs" dxfId="3334" priority="3174" stopIfTrue="1" operator="equal">
      <formula>"Fail"</formula>
    </cfRule>
  </conditionalFormatting>
  <conditionalFormatting sqref="A1051">
    <cfRule type="cellIs" dxfId="3333" priority="3171" stopIfTrue="1" operator="equal">
      <formula>"Pass"</formula>
    </cfRule>
    <cfRule type="cellIs" dxfId="3332" priority="3172" stopIfTrue="1" operator="equal">
      <formula>"Fail"</formula>
    </cfRule>
  </conditionalFormatting>
  <conditionalFormatting sqref="A1051">
    <cfRule type="cellIs" dxfId="3331" priority="3169" stopIfTrue="1" operator="equal">
      <formula>"Pass"</formula>
    </cfRule>
    <cfRule type="cellIs" dxfId="3330" priority="3170" stopIfTrue="1" operator="equal">
      <formula>"Fail"</formula>
    </cfRule>
  </conditionalFormatting>
  <conditionalFormatting sqref="A1051">
    <cfRule type="cellIs" dxfId="3329" priority="3167" stopIfTrue="1" operator="equal">
      <formula>"Pass"</formula>
    </cfRule>
    <cfRule type="cellIs" dxfId="3328" priority="3168" stopIfTrue="1" operator="equal">
      <formula>"Fail"</formula>
    </cfRule>
  </conditionalFormatting>
  <conditionalFormatting sqref="A1051">
    <cfRule type="cellIs" dxfId="3327" priority="3165" stopIfTrue="1" operator="equal">
      <formula>"Pass"</formula>
    </cfRule>
    <cfRule type="cellIs" dxfId="3326" priority="3166" stopIfTrue="1" operator="equal">
      <formula>"Fail"</formula>
    </cfRule>
  </conditionalFormatting>
  <conditionalFormatting sqref="A1051">
    <cfRule type="cellIs" dxfId="3325" priority="3163" stopIfTrue="1" operator="equal">
      <formula>"Pass"</formula>
    </cfRule>
    <cfRule type="cellIs" dxfId="3324" priority="3164" stopIfTrue="1" operator="equal">
      <formula>"Fail"</formula>
    </cfRule>
  </conditionalFormatting>
  <conditionalFormatting sqref="A1051">
    <cfRule type="cellIs" dxfId="3323" priority="3161" stopIfTrue="1" operator="equal">
      <formula>"Pass"</formula>
    </cfRule>
    <cfRule type="cellIs" dxfId="3322" priority="3162" stopIfTrue="1" operator="equal">
      <formula>"Fail"</formula>
    </cfRule>
  </conditionalFormatting>
  <conditionalFormatting sqref="A1051">
    <cfRule type="cellIs" dxfId="3321" priority="3159" stopIfTrue="1" operator="equal">
      <formula>"Pass"</formula>
    </cfRule>
    <cfRule type="cellIs" dxfId="3320" priority="3160" stopIfTrue="1" operator="equal">
      <formula>"Fail"</formula>
    </cfRule>
  </conditionalFormatting>
  <conditionalFormatting sqref="A1051">
    <cfRule type="cellIs" dxfId="3319" priority="3157" stopIfTrue="1" operator="equal">
      <formula>"Pass"</formula>
    </cfRule>
    <cfRule type="cellIs" dxfId="3318" priority="3158" stopIfTrue="1" operator="equal">
      <formula>"Fail"</formula>
    </cfRule>
  </conditionalFormatting>
  <conditionalFormatting sqref="A1051">
    <cfRule type="cellIs" dxfId="3317" priority="3155" stopIfTrue="1" operator="equal">
      <formula>"Pass"</formula>
    </cfRule>
    <cfRule type="cellIs" dxfId="3316" priority="3156" stopIfTrue="1" operator="equal">
      <formula>"Fail"</formula>
    </cfRule>
  </conditionalFormatting>
  <conditionalFormatting sqref="A1051">
    <cfRule type="cellIs" dxfId="3315" priority="3153" stopIfTrue="1" operator="equal">
      <formula>"Pass"</formula>
    </cfRule>
    <cfRule type="cellIs" dxfId="3314" priority="3154" stopIfTrue="1" operator="equal">
      <formula>"Fail"</formula>
    </cfRule>
  </conditionalFormatting>
  <conditionalFormatting sqref="A1051">
    <cfRule type="cellIs" dxfId="3313" priority="3151" stopIfTrue="1" operator="equal">
      <formula>"Pass"</formula>
    </cfRule>
    <cfRule type="cellIs" dxfId="3312" priority="3152" stopIfTrue="1" operator="equal">
      <formula>"Fail"</formula>
    </cfRule>
  </conditionalFormatting>
  <conditionalFormatting sqref="A1051">
    <cfRule type="cellIs" dxfId="3311" priority="3149" stopIfTrue="1" operator="equal">
      <formula>"Pass"</formula>
    </cfRule>
    <cfRule type="cellIs" dxfId="3310" priority="3150" stopIfTrue="1" operator="equal">
      <formula>"Fail"</formula>
    </cfRule>
  </conditionalFormatting>
  <conditionalFormatting sqref="A1051">
    <cfRule type="cellIs" dxfId="3309" priority="3147" stopIfTrue="1" operator="equal">
      <formula>"Pass"</formula>
    </cfRule>
    <cfRule type="cellIs" dxfId="3308" priority="3148" stopIfTrue="1" operator="equal">
      <formula>"Fail"</formula>
    </cfRule>
  </conditionalFormatting>
  <conditionalFormatting sqref="A1051">
    <cfRule type="cellIs" dxfId="3307" priority="3145" stopIfTrue="1" operator="equal">
      <formula>"Pass"</formula>
    </cfRule>
    <cfRule type="cellIs" dxfId="3306" priority="3146" stopIfTrue="1" operator="equal">
      <formula>"Fail"</formula>
    </cfRule>
  </conditionalFormatting>
  <conditionalFormatting sqref="A1051">
    <cfRule type="cellIs" dxfId="3305" priority="3143" stopIfTrue="1" operator="equal">
      <formula>"Pass"</formula>
    </cfRule>
    <cfRule type="cellIs" dxfId="3304" priority="3144" stopIfTrue="1" operator="equal">
      <formula>"Fail"</formula>
    </cfRule>
  </conditionalFormatting>
  <conditionalFormatting sqref="A1051">
    <cfRule type="cellIs" dxfId="3303" priority="3141" stopIfTrue="1" operator="equal">
      <formula>"Pass"</formula>
    </cfRule>
    <cfRule type="cellIs" dxfId="3302" priority="3142" stopIfTrue="1" operator="equal">
      <formula>"Fail"</formula>
    </cfRule>
  </conditionalFormatting>
  <conditionalFormatting sqref="A1051">
    <cfRule type="cellIs" dxfId="3301" priority="3139" stopIfTrue="1" operator="equal">
      <formula>"Pass"</formula>
    </cfRule>
    <cfRule type="cellIs" dxfId="3300" priority="3140" stopIfTrue="1" operator="equal">
      <formula>"Fail"</formula>
    </cfRule>
  </conditionalFormatting>
  <conditionalFormatting sqref="A1051">
    <cfRule type="cellIs" dxfId="3299" priority="3137" stopIfTrue="1" operator="equal">
      <formula>"Pass"</formula>
    </cfRule>
    <cfRule type="cellIs" dxfId="3298" priority="3138" stopIfTrue="1" operator="equal">
      <formula>"Fail"</formula>
    </cfRule>
  </conditionalFormatting>
  <conditionalFormatting sqref="A1051">
    <cfRule type="cellIs" dxfId="3297" priority="3135" stopIfTrue="1" operator="equal">
      <formula>"Pass"</formula>
    </cfRule>
    <cfRule type="cellIs" dxfId="3296" priority="3136" stopIfTrue="1" operator="equal">
      <formula>"Fail"</formula>
    </cfRule>
  </conditionalFormatting>
  <conditionalFormatting sqref="A1051">
    <cfRule type="cellIs" dxfId="3295" priority="3133" stopIfTrue="1" operator="equal">
      <formula>"Pass"</formula>
    </cfRule>
    <cfRule type="cellIs" dxfId="3294" priority="3134" stopIfTrue="1" operator="equal">
      <formula>"Fail"</formula>
    </cfRule>
  </conditionalFormatting>
  <conditionalFormatting sqref="A1051">
    <cfRule type="cellIs" dxfId="3293" priority="3131" stopIfTrue="1" operator="equal">
      <formula>"Pass"</formula>
    </cfRule>
    <cfRule type="cellIs" dxfId="3292" priority="3132" stopIfTrue="1" operator="equal">
      <formula>"Fail"</formula>
    </cfRule>
  </conditionalFormatting>
  <conditionalFormatting sqref="A1051">
    <cfRule type="cellIs" dxfId="3291" priority="3129" stopIfTrue="1" operator="equal">
      <formula>"Pass"</formula>
    </cfRule>
    <cfRule type="cellIs" dxfId="3290" priority="3130" stopIfTrue="1" operator="equal">
      <formula>"Fail"</formula>
    </cfRule>
  </conditionalFormatting>
  <conditionalFormatting sqref="A1051">
    <cfRule type="cellIs" dxfId="3289" priority="3127" stopIfTrue="1" operator="equal">
      <formula>"Pass"</formula>
    </cfRule>
    <cfRule type="cellIs" dxfId="3288" priority="3128" stopIfTrue="1" operator="equal">
      <formula>"Fail"</formula>
    </cfRule>
  </conditionalFormatting>
  <conditionalFormatting sqref="A1051">
    <cfRule type="cellIs" dxfId="3287" priority="3125" stopIfTrue="1" operator="equal">
      <formula>"Pass"</formula>
    </cfRule>
    <cfRule type="cellIs" dxfId="3286" priority="3126" stopIfTrue="1" operator="equal">
      <formula>"Fail"</formula>
    </cfRule>
  </conditionalFormatting>
  <conditionalFormatting sqref="A1051">
    <cfRule type="cellIs" dxfId="3285" priority="3123" stopIfTrue="1" operator="equal">
      <formula>"Pass"</formula>
    </cfRule>
    <cfRule type="cellIs" dxfId="3284" priority="3124" stopIfTrue="1" operator="equal">
      <formula>"Fail"</formula>
    </cfRule>
  </conditionalFormatting>
  <conditionalFormatting sqref="A1051">
    <cfRule type="cellIs" dxfId="3283" priority="3121" stopIfTrue="1" operator="equal">
      <formula>"Pass"</formula>
    </cfRule>
    <cfRule type="cellIs" dxfId="3282" priority="3122" stopIfTrue="1" operator="equal">
      <formula>"Fail"</formula>
    </cfRule>
  </conditionalFormatting>
  <conditionalFormatting sqref="A1051">
    <cfRule type="cellIs" dxfId="3281" priority="3119" stopIfTrue="1" operator="equal">
      <formula>"Pass"</formula>
    </cfRule>
    <cfRule type="cellIs" dxfId="3280" priority="3120" stopIfTrue="1" operator="equal">
      <formula>"Fail"</formula>
    </cfRule>
  </conditionalFormatting>
  <conditionalFormatting sqref="A1051">
    <cfRule type="cellIs" dxfId="3279" priority="3117" stopIfTrue="1" operator="equal">
      <formula>"Pass"</formula>
    </cfRule>
    <cfRule type="cellIs" dxfId="3278" priority="3118" stopIfTrue="1" operator="equal">
      <formula>"Fail"</formula>
    </cfRule>
  </conditionalFormatting>
  <conditionalFormatting sqref="A1051">
    <cfRule type="cellIs" dxfId="3277" priority="3115" stopIfTrue="1" operator="equal">
      <formula>"Pass"</formula>
    </cfRule>
    <cfRule type="cellIs" dxfId="3276" priority="3116" stopIfTrue="1" operator="equal">
      <formula>"Fail"</formula>
    </cfRule>
  </conditionalFormatting>
  <conditionalFormatting sqref="A1051">
    <cfRule type="cellIs" dxfId="3275" priority="3113" stopIfTrue="1" operator="equal">
      <formula>"Pass"</formula>
    </cfRule>
    <cfRule type="cellIs" dxfId="3274" priority="3114" stopIfTrue="1" operator="equal">
      <formula>"Fail"</formula>
    </cfRule>
  </conditionalFormatting>
  <conditionalFormatting sqref="A1051">
    <cfRule type="cellIs" dxfId="3273" priority="3111" stopIfTrue="1" operator="equal">
      <formula>"Pass"</formula>
    </cfRule>
    <cfRule type="cellIs" dxfId="3272" priority="3112" stopIfTrue="1" operator="equal">
      <formula>"Fail"</formula>
    </cfRule>
  </conditionalFormatting>
  <conditionalFormatting sqref="A1051">
    <cfRule type="cellIs" dxfId="3271" priority="3109" stopIfTrue="1" operator="equal">
      <formula>"Pass"</formula>
    </cfRule>
    <cfRule type="cellIs" dxfId="3270" priority="3110" stopIfTrue="1" operator="equal">
      <formula>"Fail"</formula>
    </cfRule>
  </conditionalFormatting>
  <conditionalFormatting sqref="A1051">
    <cfRule type="cellIs" dxfId="3269" priority="3107" stopIfTrue="1" operator="equal">
      <formula>"Pass"</formula>
    </cfRule>
    <cfRule type="cellIs" dxfId="3268" priority="3108" stopIfTrue="1" operator="equal">
      <formula>"Fail"</formula>
    </cfRule>
  </conditionalFormatting>
  <conditionalFormatting sqref="A1051">
    <cfRule type="cellIs" dxfId="3267" priority="3105" stopIfTrue="1" operator="equal">
      <formula>"Pass"</formula>
    </cfRule>
    <cfRule type="cellIs" dxfId="3266" priority="3106" stopIfTrue="1" operator="equal">
      <formula>"Fail"</formula>
    </cfRule>
  </conditionalFormatting>
  <conditionalFormatting sqref="A1051">
    <cfRule type="cellIs" dxfId="3265" priority="3103" stopIfTrue="1" operator="equal">
      <formula>"Pass"</formula>
    </cfRule>
    <cfRule type="cellIs" dxfId="3264" priority="3104" stopIfTrue="1" operator="equal">
      <formula>"Fail"</formula>
    </cfRule>
  </conditionalFormatting>
  <conditionalFormatting sqref="A1051">
    <cfRule type="cellIs" dxfId="3263" priority="3101" stopIfTrue="1" operator="equal">
      <formula>"Pass"</formula>
    </cfRule>
    <cfRule type="cellIs" dxfId="3262" priority="3102" stopIfTrue="1" operator="equal">
      <formula>"Fail"</formula>
    </cfRule>
  </conditionalFormatting>
  <conditionalFormatting sqref="A1051">
    <cfRule type="cellIs" dxfId="3261" priority="3099" stopIfTrue="1" operator="equal">
      <formula>"Pass"</formula>
    </cfRule>
    <cfRule type="cellIs" dxfId="3260" priority="3100" stopIfTrue="1" operator="equal">
      <formula>"Fail"</formula>
    </cfRule>
  </conditionalFormatting>
  <conditionalFormatting sqref="A1051">
    <cfRule type="cellIs" dxfId="3259" priority="3097" stopIfTrue="1" operator="equal">
      <formula>"Pass"</formula>
    </cfRule>
    <cfRule type="cellIs" dxfId="3258" priority="3098" stopIfTrue="1" operator="equal">
      <formula>"Fail"</formula>
    </cfRule>
  </conditionalFormatting>
  <conditionalFormatting sqref="A1054:A1056">
    <cfRule type="cellIs" dxfId="3257" priority="3095" stopIfTrue="1" operator="equal">
      <formula>"Pass"</formula>
    </cfRule>
    <cfRule type="cellIs" dxfId="3256" priority="3096" stopIfTrue="1" operator="equal">
      <formula>"Fail"</formula>
    </cfRule>
  </conditionalFormatting>
  <conditionalFormatting sqref="A1054:A1056">
    <cfRule type="cellIs" dxfId="3255" priority="3093" stopIfTrue="1" operator="equal">
      <formula>"Pass"</formula>
    </cfRule>
    <cfRule type="cellIs" dxfId="3254" priority="3094" stopIfTrue="1" operator="equal">
      <formula>"Fail"</formula>
    </cfRule>
  </conditionalFormatting>
  <conditionalFormatting sqref="A1054:A1056">
    <cfRule type="cellIs" dxfId="3253" priority="3091" stopIfTrue="1" operator="equal">
      <formula>"Pass"</formula>
    </cfRule>
    <cfRule type="cellIs" dxfId="3252" priority="3092" stopIfTrue="1" operator="equal">
      <formula>"Fail"</formula>
    </cfRule>
  </conditionalFormatting>
  <conditionalFormatting sqref="A1054:A1056">
    <cfRule type="cellIs" dxfId="3251" priority="3089" stopIfTrue="1" operator="equal">
      <formula>"Pass"</formula>
    </cfRule>
    <cfRule type="cellIs" dxfId="3250" priority="3090" stopIfTrue="1" operator="equal">
      <formula>"Fail"</formula>
    </cfRule>
  </conditionalFormatting>
  <conditionalFormatting sqref="A1054:A1056">
    <cfRule type="cellIs" dxfId="3249" priority="3087" stopIfTrue="1" operator="equal">
      <formula>"Pass"</formula>
    </cfRule>
    <cfRule type="cellIs" dxfId="3248" priority="3088" stopIfTrue="1" operator="equal">
      <formula>"Fail"</formula>
    </cfRule>
  </conditionalFormatting>
  <conditionalFormatting sqref="A1056">
    <cfRule type="cellIs" dxfId="3247" priority="3085" stopIfTrue="1" operator="equal">
      <formula>"Pass"</formula>
    </cfRule>
    <cfRule type="cellIs" dxfId="3246" priority="3086" stopIfTrue="1" operator="equal">
      <formula>"Fail"</formula>
    </cfRule>
  </conditionalFormatting>
  <conditionalFormatting sqref="A1054:A1056">
    <cfRule type="cellIs" dxfId="3245" priority="3083" stopIfTrue="1" operator="equal">
      <formula>"Pass"</formula>
    </cfRule>
    <cfRule type="cellIs" dxfId="3244" priority="3084" stopIfTrue="1" operator="equal">
      <formula>"Fail"</formula>
    </cfRule>
  </conditionalFormatting>
  <conditionalFormatting sqref="A1054:A1056">
    <cfRule type="cellIs" dxfId="3243" priority="3081" stopIfTrue="1" operator="equal">
      <formula>"Pass"</formula>
    </cfRule>
    <cfRule type="cellIs" dxfId="3242" priority="3082" stopIfTrue="1" operator="equal">
      <formula>"Fail"</formula>
    </cfRule>
  </conditionalFormatting>
  <conditionalFormatting sqref="A1054:A1056">
    <cfRule type="cellIs" dxfId="3241" priority="3079" stopIfTrue="1" operator="equal">
      <formula>"Pass"</formula>
    </cfRule>
    <cfRule type="cellIs" dxfId="3240" priority="3080" stopIfTrue="1" operator="equal">
      <formula>"Fail"</formula>
    </cfRule>
  </conditionalFormatting>
  <conditionalFormatting sqref="A1054:A1056">
    <cfRule type="cellIs" dxfId="3239" priority="3077" stopIfTrue="1" operator="equal">
      <formula>"Pass"</formula>
    </cfRule>
    <cfRule type="cellIs" dxfId="3238" priority="3078" stopIfTrue="1" operator="equal">
      <formula>"Fail"</formula>
    </cfRule>
  </conditionalFormatting>
  <conditionalFormatting sqref="A1054:A1056">
    <cfRule type="cellIs" dxfId="3237" priority="3075" stopIfTrue="1" operator="equal">
      <formula>"Pass"</formula>
    </cfRule>
    <cfRule type="cellIs" dxfId="3236" priority="3076" stopIfTrue="1" operator="equal">
      <formula>"Fail"</formula>
    </cfRule>
  </conditionalFormatting>
  <conditionalFormatting sqref="A1054:A1056">
    <cfRule type="cellIs" dxfId="3235" priority="3073" stopIfTrue="1" operator="equal">
      <formula>"Pass"</formula>
    </cfRule>
    <cfRule type="cellIs" dxfId="3234" priority="3074" stopIfTrue="1" operator="equal">
      <formula>"Fail"</formula>
    </cfRule>
  </conditionalFormatting>
  <conditionalFormatting sqref="A1056">
    <cfRule type="cellIs" dxfId="3233" priority="3071" stopIfTrue="1" operator="equal">
      <formula>"Pass"</formula>
    </cfRule>
    <cfRule type="cellIs" dxfId="3232" priority="3072" stopIfTrue="1" operator="equal">
      <formula>"Fail"</formula>
    </cfRule>
  </conditionalFormatting>
  <conditionalFormatting sqref="A1054:A1056">
    <cfRule type="cellIs" dxfId="3231" priority="3069" stopIfTrue="1" operator="equal">
      <formula>"Pass"</formula>
    </cfRule>
    <cfRule type="cellIs" dxfId="3230" priority="3070" stopIfTrue="1" operator="equal">
      <formula>"Fail"</formula>
    </cfRule>
  </conditionalFormatting>
  <conditionalFormatting sqref="A1054:A1056">
    <cfRule type="cellIs" dxfId="3229" priority="3067" stopIfTrue="1" operator="equal">
      <formula>"Pass"</formula>
    </cfRule>
    <cfRule type="cellIs" dxfId="3228" priority="3068" stopIfTrue="1" operator="equal">
      <formula>"Fail"</formula>
    </cfRule>
  </conditionalFormatting>
  <conditionalFormatting sqref="A1054:A1056">
    <cfRule type="cellIs" dxfId="3227" priority="3065" stopIfTrue="1" operator="equal">
      <formula>"Pass"</formula>
    </cfRule>
    <cfRule type="cellIs" dxfId="3226" priority="3066" stopIfTrue="1" operator="equal">
      <formula>"Fail"</formula>
    </cfRule>
  </conditionalFormatting>
  <conditionalFormatting sqref="A1054:A1056">
    <cfRule type="cellIs" dxfId="3225" priority="3063" stopIfTrue="1" operator="equal">
      <formula>"Pass"</formula>
    </cfRule>
    <cfRule type="cellIs" dxfId="3224" priority="3064" stopIfTrue="1" operator="equal">
      <formula>"Fail"</formula>
    </cfRule>
  </conditionalFormatting>
  <conditionalFormatting sqref="A1054:A1056">
    <cfRule type="cellIs" dxfId="3223" priority="3061" stopIfTrue="1" operator="equal">
      <formula>"Pass"</formula>
    </cfRule>
    <cfRule type="cellIs" dxfId="3222" priority="3062" stopIfTrue="1" operator="equal">
      <formula>"Fail"</formula>
    </cfRule>
  </conditionalFormatting>
  <conditionalFormatting sqref="A1054:A1056">
    <cfRule type="cellIs" dxfId="3221" priority="3059" stopIfTrue="1" operator="equal">
      <formula>"Pass"</formula>
    </cfRule>
    <cfRule type="cellIs" dxfId="3220" priority="3060" stopIfTrue="1" operator="equal">
      <formula>"Fail"</formula>
    </cfRule>
  </conditionalFormatting>
  <conditionalFormatting sqref="A1056">
    <cfRule type="cellIs" dxfId="3219" priority="3057" stopIfTrue="1" operator="equal">
      <formula>"Pass"</formula>
    </cfRule>
    <cfRule type="cellIs" dxfId="3218" priority="3058" stopIfTrue="1" operator="equal">
      <formula>"Fail"</formula>
    </cfRule>
  </conditionalFormatting>
  <conditionalFormatting sqref="A1054:A1056">
    <cfRule type="cellIs" dxfId="3217" priority="3055" stopIfTrue="1" operator="equal">
      <formula>"Pass"</formula>
    </cfRule>
    <cfRule type="cellIs" dxfId="3216" priority="3056" stopIfTrue="1" operator="equal">
      <formula>"Fail"</formula>
    </cfRule>
  </conditionalFormatting>
  <conditionalFormatting sqref="A1054:A1056">
    <cfRule type="cellIs" dxfId="3215" priority="3053" stopIfTrue="1" operator="equal">
      <formula>"Pass"</formula>
    </cfRule>
    <cfRule type="cellIs" dxfId="3214" priority="3054" stopIfTrue="1" operator="equal">
      <formula>"Fail"</formula>
    </cfRule>
  </conditionalFormatting>
  <conditionalFormatting sqref="A1054:A1056">
    <cfRule type="cellIs" dxfId="3213" priority="3051" stopIfTrue="1" operator="equal">
      <formula>"Pass"</formula>
    </cfRule>
    <cfRule type="cellIs" dxfId="3212" priority="3052" stopIfTrue="1" operator="equal">
      <formula>"Fail"</formula>
    </cfRule>
  </conditionalFormatting>
  <conditionalFormatting sqref="A1054:A1056">
    <cfRule type="cellIs" dxfId="3211" priority="3049" stopIfTrue="1" operator="equal">
      <formula>"Pass"</formula>
    </cfRule>
    <cfRule type="cellIs" dxfId="3210" priority="3050" stopIfTrue="1" operator="equal">
      <formula>"Fail"</formula>
    </cfRule>
  </conditionalFormatting>
  <conditionalFormatting sqref="A1054:A1056">
    <cfRule type="cellIs" dxfId="3209" priority="3047" stopIfTrue="1" operator="equal">
      <formula>"Pass"</formula>
    </cfRule>
    <cfRule type="cellIs" dxfId="3208" priority="3048" stopIfTrue="1" operator="equal">
      <formula>"Fail"</formula>
    </cfRule>
  </conditionalFormatting>
  <conditionalFormatting sqref="A1054:A1056">
    <cfRule type="cellIs" dxfId="3207" priority="3045" stopIfTrue="1" operator="equal">
      <formula>"Pass"</formula>
    </cfRule>
    <cfRule type="cellIs" dxfId="3206" priority="3046" stopIfTrue="1" operator="equal">
      <formula>"Fail"</formula>
    </cfRule>
  </conditionalFormatting>
  <conditionalFormatting sqref="A1056">
    <cfRule type="cellIs" dxfId="3205" priority="3043" stopIfTrue="1" operator="equal">
      <formula>"Pass"</formula>
    </cfRule>
    <cfRule type="cellIs" dxfId="3204" priority="3044" stopIfTrue="1" operator="equal">
      <formula>"Fail"</formula>
    </cfRule>
  </conditionalFormatting>
  <conditionalFormatting sqref="A1054:A1056">
    <cfRule type="cellIs" dxfId="3203" priority="3041" stopIfTrue="1" operator="equal">
      <formula>"Pass"</formula>
    </cfRule>
    <cfRule type="cellIs" dxfId="3202" priority="3042" stopIfTrue="1" operator="equal">
      <formula>"Fail"</formula>
    </cfRule>
  </conditionalFormatting>
  <conditionalFormatting sqref="A1054:A1056">
    <cfRule type="cellIs" dxfId="3201" priority="3039" stopIfTrue="1" operator="equal">
      <formula>"Pass"</formula>
    </cfRule>
    <cfRule type="cellIs" dxfId="3200" priority="3040" stopIfTrue="1" operator="equal">
      <formula>"Fail"</formula>
    </cfRule>
  </conditionalFormatting>
  <conditionalFormatting sqref="A1054:A1056">
    <cfRule type="cellIs" dxfId="3199" priority="3037" stopIfTrue="1" operator="equal">
      <formula>"Pass"</formula>
    </cfRule>
    <cfRule type="cellIs" dxfId="3198" priority="3038" stopIfTrue="1" operator="equal">
      <formula>"Fail"</formula>
    </cfRule>
  </conditionalFormatting>
  <conditionalFormatting sqref="A1054:A1056">
    <cfRule type="cellIs" dxfId="3197" priority="3035" stopIfTrue="1" operator="equal">
      <formula>"Pass"</formula>
    </cfRule>
    <cfRule type="cellIs" dxfId="3196" priority="3036" stopIfTrue="1" operator="equal">
      <formula>"Fail"</formula>
    </cfRule>
  </conditionalFormatting>
  <conditionalFormatting sqref="A1054:A1056">
    <cfRule type="cellIs" dxfId="3195" priority="3033" stopIfTrue="1" operator="equal">
      <formula>"Pass"</formula>
    </cfRule>
    <cfRule type="cellIs" dxfId="3194" priority="3034" stopIfTrue="1" operator="equal">
      <formula>"Fail"</formula>
    </cfRule>
  </conditionalFormatting>
  <conditionalFormatting sqref="A1054:A1056">
    <cfRule type="cellIs" dxfId="3193" priority="3031" stopIfTrue="1" operator="equal">
      <formula>"Pass"</formula>
    </cfRule>
    <cfRule type="cellIs" dxfId="3192" priority="3032" stopIfTrue="1" operator="equal">
      <formula>"Fail"</formula>
    </cfRule>
  </conditionalFormatting>
  <conditionalFormatting sqref="A1056">
    <cfRule type="cellIs" dxfId="3191" priority="3029" stopIfTrue="1" operator="equal">
      <formula>"Pass"</formula>
    </cfRule>
    <cfRule type="cellIs" dxfId="3190" priority="3030" stopIfTrue="1" operator="equal">
      <formula>"Fail"</formula>
    </cfRule>
  </conditionalFormatting>
  <conditionalFormatting sqref="A1054:A1056">
    <cfRule type="cellIs" dxfId="3189" priority="3027" stopIfTrue="1" operator="equal">
      <formula>"Pass"</formula>
    </cfRule>
    <cfRule type="cellIs" dxfId="3188" priority="3028" stopIfTrue="1" operator="equal">
      <formula>"Fail"</formula>
    </cfRule>
  </conditionalFormatting>
  <conditionalFormatting sqref="A1054:A1056">
    <cfRule type="cellIs" dxfId="3187" priority="3025" stopIfTrue="1" operator="equal">
      <formula>"Pass"</formula>
    </cfRule>
    <cfRule type="cellIs" dxfId="3186" priority="3026" stopIfTrue="1" operator="equal">
      <formula>"Fail"</formula>
    </cfRule>
  </conditionalFormatting>
  <conditionalFormatting sqref="A1054:A1056">
    <cfRule type="cellIs" dxfId="3185" priority="3023" stopIfTrue="1" operator="equal">
      <formula>"Pass"</formula>
    </cfRule>
    <cfRule type="cellIs" dxfId="3184" priority="3024" stopIfTrue="1" operator="equal">
      <formula>"Fail"</formula>
    </cfRule>
  </conditionalFormatting>
  <conditionalFormatting sqref="A1054:A1056">
    <cfRule type="cellIs" dxfId="3183" priority="3021" stopIfTrue="1" operator="equal">
      <formula>"Pass"</formula>
    </cfRule>
    <cfRule type="cellIs" dxfId="3182" priority="3022" stopIfTrue="1" operator="equal">
      <formula>"Fail"</formula>
    </cfRule>
  </conditionalFormatting>
  <conditionalFormatting sqref="A1054:A1056">
    <cfRule type="cellIs" dxfId="3181" priority="3019" stopIfTrue="1" operator="equal">
      <formula>"Pass"</formula>
    </cfRule>
    <cfRule type="cellIs" dxfId="3180" priority="3020" stopIfTrue="1" operator="equal">
      <formula>"Fail"</formula>
    </cfRule>
  </conditionalFormatting>
  <conditionalFormatting sqref="A1054:A1056">
    <cfRule type="cellIs" dxfId="3179" priority="3017" stopIfTrue="1" operator="equal">
      <formula>"Pass"</formula>
    </cfRule>
    <cfRule type="cellIs" dxfId="3178" priority="3018" stopIfTrue="1" operator="equal">
      <formula>"Fail"</formula>
    </cfRule>
  </conditionalFormatting>
  <conditionalFormatting sqref="A1056">
    <cfRule type="cellIs" dxfId="3177" priority="3015" stopIfTrue="1" operator="equal">
      <formula>"Pass"</formula>
    </cfRule>
    <cfRule type="cellIs" dxfId="3176" priority="3016" stopIfTrue="1" operator="equal">
      <formula>"Fail"</formula>
    </cfRule>
  </conditionalFormatting>
  <conditionalFormatting sqref="A1054:A1056">
    <cfRule type="cellIs" dxfId="3175" priority="3013" stopIfTrue="1" operator="equal">
      <formula>"Pass"</formula>
    </cfRule>
    <cfRule type="cellIs" dxfId="3174" priority="3014" stopIfTrue="1" operator="equal">
      <formula>"Fail"</formula>
    </cfRule>
  </conditionalFormatting>
  <conditionalFormatting sqref="A1054">
    <cfRule type="cellIs" dxfId="3173" priority="3011" stopIfTrue="1" operator="equal">
      <formula>"Pass"</formula>
    </cfRule>
    <cfRule type="cellIs" dxfId="3172" priority="3012" stopIfTrue="1" operator="equal">
      <formula>"Fail"</formula>
    </cfRule>
  </conditionalFormatting>
  <conditionalFormatting sqref="A1054">
    <cfRule type="cellIs" dxfId="3171" priority="3009" stopIfTrue="1" operator="equal">
      <formula>"Pass"</formula>
    </cfRule>
    <cfRule type="cellIs" dxfId="3170" priority="3010" stopIfTrue="1" operator="equal">
      <formula>"Fail"</formula>
    </cfRule>
  </conditionalFormatting>
  <conditionalFormatting sqref="A1054">
    <cfRule type="cellIs" dxfId="3169" priority="3007" stopIfTrue="1" operator="equal">
      <formula>"Pass"</formula>
    </cfRule>
    <cfRule type="cellIs" dxfId="3168" priority="3008" stopIfTrue="1" operator="equal">
      <formula>"Fail"</formula>
    </cfRule>
  </conditionalFormatting>
  <conditionalFormatting sqref="A1054">
    <cfRule type="cellIs" dxfId="3167" priority="3005" stopIfTrue="1" operator="equal">
      <formula>"Pass"</formula>
    </cfRule>
    <cfRule type="cellIs" dxfId="3166" priority="3006" stopIfTrue="1" operator="equal">
      <formula>"Fail"</formula>
    </cfRule>
  </conditionalFormatting>
  <conditionalFormatting sqref="A1054">
    <cfRule type="cellIs" dxfId="3165" priority="3003" stopIfTrue="1" operator="equal">
      <formula>"Pass"</formula>
    </cfRule>
    <cfRule type="cellIs" dxfId="3164" priority="3004" stopIfTrue="1" operator="equal">
      <formula>"Fail"</formula>
    </cfRule>
  </conditionalFormatting>
  <conditionalFormatting sqref="A1054">
    <cfRule type="cellIs" dxfId="3163" priority="3001" stopIfTrue="1" operator="equal">
      <formula>"Pass"</formula>
    </cfRule>
    <cfRule type="cellIs" dxfId="3162" priority="3002" stopIfTrue="1" operator="equal">
      <formula>"Fail"</formula>
    </cfRule>
  </conditionalFormatting>
  <conditionalFormatting sqref="H1054:H1055">
    <cfRule type="cellIs" dxfId="3161" priority="2999" stopIfTrue="1" operator="equal">
      <formula>"Pass"</formula>
    </cfRule>
    <cfRule type="cellIs" dxfId="3160" priority="3000" stopIfTrue="1" operator="equal">
      <formula>"Fail"</formula>
    </cfRule>
  </conditionalFormatting>
  <conditionalFormatting sqref="E1054:F1054 E1056:F1056 A1054 I1054:M1055">
    <cfRule type="cellIs" dxfId="3159" priority="2997" stopIfTrue="1" operator="equal">
      <formula>"Pass"</formula>
    </cfRule>
    <cfRule type="cellIs" dxfId="3158" priority="2998" stopIfTrue="1" operator="equal">
      <formula>"Fail"</formula>
    </cfRule>
  </conditionalFormatting>
  <conditionalFormatting sqref="T1056 T1054 R1054:R1056 S1055:S1056">
    <cfRule type="cellIs" dxfId="3157" priority="2995" stopIfTrue="1" operator="equal">
      <formula>"Fail"</formula>
    </cfRule>
    <cfRule type="cellIs" dxfId="3156" priority="2996" stopIfTrue="1" operator="equal">
      <formula>"Pass"</formula>
    </cfRule>
  </conditionalFormatting>
  <conditionalFormatting sqref="F1054:G1054 F1056:G1056 B1054:B1056 A1054 J1054:N1055">
    <cfRule type="cellIs" dxfId="3155" priority="2993" stopIfTrue="1" operator="equal">
      <formula>"Pass"</formula>
    </cfRule>
    <cfRule type="cellIs" dxfId="3154" priority="2994" stopIfTrue="1" operator="equal">
      <formula>"Fail"</formula>
    </cfRule>
  </conditionalFormatting>
  <conditionalFormatting sqref="U1056:V1056 T1054:T1056 S1055:S1056">
    <cfRule type="cellIs" dxfId="3153" priority="2991" stopIfTrue="1" operator="equal">
      <formula>"Fail"</formula>
    </cfRule>
    <cfRule type="cellIs" dxfId="3152" priority="2992" stopIfTrue="1" operator="equal">
      <formula>"Pass"</formula>
    </cfRule>
  </conditionalFormatting>
  <conditionalFormatting sqref="A1054">
    <cfRule type="cellIs" dxfId="3151" priority="2989" stopIfTrue="1" operator="equal">
      <formula>"Pass"</formula>
    </cfRule>
    <cfRule type="cellIs" dxfId="3150" priority="2990" stopIfTrue="1" operator="equal">
      <formula>"Fail"</formula>
    </cfRule>
  </conditionalFormatting>
  <conditionalFormatting sqref="A1054">
    <cfRule type="cellIs" dxfId="3149" priority="2987" stopIfTrue="1" operator="equal">
      <formula>"Pass"</formula>
    </cfRule>
    <cfRule type="cellIs" dxfId="3148" priority="2988" stopIfTrue="1" operator="equal">
      <formula>"Fail"</formula>
    </cfRule>
  </conditionalFormatting>
  <conditionalFormatting sqref="A1054">
    <cfRule type="cellIs" dxfId="3147" priority="2985" stopIfTrue="1" operator="equal">
      <formula>"Pass"</formula>
    </cfRule>
    <cfRule type="cellIs" dxfId="3146" priority="2986" stopIfTrue="1" operator="equal">
      <formula>"Fail"</formula>
    </cfRule>
  </conditionalFormatting>
  <conditionalFormatting sqref="A1054">
    <cfRule type="cellIs" dxfId="3145" priority="2983" stopIfTrue="1" operator="equal">
      <formula>"Pass"</formula>
    </cfRule>
    <cfRule type="cellIs" dxfId="3144" priority="2984" stopIfTrue="1" operator="equal">
      <formula>"Fail"</formula>
    </cfRule>
  </conditionalFormatting>
  <conditionalFormatting sqref="A1054">
    <cfRule type="cellIs" dxfId="3143" priority="2981" stopIfTrue="1" operator="equal">
      <formula>"Pass"</formula>
    </cfRule>
    <cfRule type="cellIs" dxfId="3142" priority="2982" stopIfTrue="1" operator="equal">
      <formula>"Fail"</formula>
    </cfRule>
  </conditionalFormatting>
  <conditionalFormatting sqref="A1054">
    <cfRule type="cellIs" dxfId="3141" priority="2979" stopIfTrue="1" operator="equal">
      <formula>"Pass"</formula>
    </cfRule>
    <cfRule type="cellIs" dxfId="3140" priority="2980" stopIfTrue="1" operator="equal">
      <formula>"Fail"</formula>
    </cfRule>
  </conditionalFormatting>
  <conditionalFormatting sqref="A1054">
    <cfRule type="cellIs" dxfId="3139" priority="2977" stopIfTrue="1" operator="equal">
      <formula>"Pass"</formula>
    </cfRule>
    <cfRule type="cellIs" dxfId="3138" priority="2978" stopIfTrue="1" operator="equal">
      <formula>"Fail"</formula>
    </cfRule>
  </conditionalFormatting>
  <conditionalFormatting sqref="A1054">
    <cfRule type="cellIs" dxfId="3137" priority="2975" stopIfTrue="1" operator="equal">
      <formula>"Pass"</formula>
    </cfRule>
    <cfRule type="cellIs" dxfId="3136" priority="2976" stopIfTrue="1" operator="equal">
      <formula>"Fail"</formula>
    </cfRule>
  </conditionalFormatting>
  <conditionalFormatting sqref="A1054">
    <cfRule type="cellIs" dxfId="3135" priority="2973" stopIfTrue="1" operator="equal">
      <formula>"Pass"</formula>
    </cfRule>
    <cfRule type="cellIs" dxfId="3134" priority="2974" stopIfTrue="1" operator="equal">
      <formula>"Fail"</formula>
    </cfRule>
  </conditionalFormatting>
  <conditionalFormatting sqref="A1054">
    <cfRule type="cellIs" dxfId="3133" priority="2971" stopIfTrue="1" operator="equal">
      <formula>"Pass"</formula>
    </cfRule>
    <cfRule type="cellIs" dxfId="3132" priority="2972" stopIfTrue="1" operator="equal">
      <formula>"Fail"</formula>
    </cfRule>
  </conditionalFormatting>
  <conditionalFormatting sqref="U1054:V1054">
    <cfRule type="cellIs" dxfId="3131" priority="2969" stopIfTrue="1" operator="equal">
      <formula>"Fail"</formula>
    </cfRule>
    <cfRule type="cellIs" dxfId="3130" priority="2970" stopIfTrue="1" operator="equal">
      <formula>"Pass"</formula>
    </cfRule>
  </conditionalFormatting>
  <conditionalFormatting sqref="F1054:G1054 J1054:N1054">
    <cfRule type="cellIs" dxfId="3129" priority="2967" stopIfTrue="1" operator="equal">
      <formula>"Pass"</formula>
    </cfRule>
    <cfRule type="cellIs" dxfId="3128" priority="2968" stopIfTrue="1" operator="equal">
      <formula>"Fail"</formula>
    </cfRule>
  </conditionalFormatting>
  <conditionalFormatting sqref="J1055:N1055">
    <cfRule type="cellIs" dxfId="3127" priority="2965" stopIfTrue="1" operator="equal">
      <formula>"Pass"</formula>
    </cfRule>
    <cfRule type="cellIs" dxfId="3126" priority="2966" stopIfTrue="1" operator="equal">
      <formula>"Fail"</formula>
    </cfRule>
  </conditionalFormatting>
  <conditionalFormatting sqref="A1054">
    <cfRule type="cellIs" dxfId="3125" priority="2963" stopIfTrue="1" operator="equal">
      <formula>"Pass"</formula>
    </cfRule>
    <cfRule type="cellIs" dxfId="3124" priority="2964" stopIfTrue="1" operator="equal">
      <formula>"Fail"</formula>
    </cfRule>
  </conditionalFormatting>
  <conditionalFormatting sqref="A1054">
    <cfRule type="cellIs" dxfId="3123" priority="2961" stopIfTrue="1" operator="equal">
      <formula>"Pass"</formula>
    </cfRule>
    <cfRule type="cellIs" dxfId="3122" priority="2962" stopIfTrue="1" operator="equal">
      <formula>"Fail"</formula>
    </cfRule>
  </conditionalFormatting>
  <conditionalFormatting sqref="A1054">
    <cfRule type="cellIs" dxfId="3121" priority="2959" stopIfTrue="1" operator="equal">
      <formula>"Pass"</formula>
    </cfRule>
    <cfRule type="cellIs" dxfId="3120" priority="2960" stopIfTrue="1" operator="equal">
      <formula>"Fail"</formula>
    </cfRule>
  </conditionalFormatting>
  <conditionalFormatting sqref="A1054">
    <cfRule type="cellIs" dxfId="3119" priority="2957" stopIfTrue="1" operator="equal">
      <formula>"Pass"</formula>
    </cfRule>
    <cfRule type="cellIs" dxfId="3118" priority="2958" stopIfTrue="1" operator="equal">
      <formula>"Fail"</formula>
    </cfRule>
  </conditionalFormatting>
  <conditionalFormatting sqref="A1054">
    <cfRule type="cellIs" dxfId="3117" priority="2955" stopIfTrue="1" operator="equal">
      <formula>"Pass"</formula>
    </cfRule>
    <cfRule type="cellIs" dxfId="3116" priority="2956" stopIfTrue="1" operator="equal">
      <formula>"Fail"</formula>
    </cfRule>
  </conditionalFormatting>
  <conditionalFormatting sqref="A1054">
    <cfRule type="cellIs" dxfId="3115" priority="2953" stopIfTrue="1" operator="equal">
      <formula>"Pass"</formula>
    </cfRule>
    <cfRule type="cellIs" dxfId="3114" priority="2954" stopIfTrue="1" operator="equal">
      <formula>"Fail"</formula>
    </cfRule>
  </conditionalFormatting>
  <conditionalFormatting sqref="A1054">
    <cfRule type="cellIs" dxfId="3113" priority="2951" stopIfTrue="1" operator="equal">
      <formula>"Pass"</formula>
    </cfRule>
    <cfRule type="cellIs" dxfId="3112" priority="2952" stopIfTrue="1" operator="equal">
      <formula>"Fail"</formula>
    </cfRule>
  </conditionalFormatting>
  <conditionalFormatting sqref="A1054">
    <cfRule type="cellIs" dxfId="3111" priority="2949" stopIfTrue="1" operator="equal">
      <formula>"Pass"</formula>
    </cfRule>
    <cfRule type="cellIs" dxfId="3110" priority="2950" stopIfTrue="1" operator="equal">
      <formula>"Fail"</formula>
    </cfRule>
  </conditionalFormatting>
  <conditionalFormatting sqref="A1054">
    <cfRule type="cellIs" dxfId="3109" priority="2947" stopIfTrue="1" operator="equal">
      <formula>"Pass"</formula>
    </cfRule>
    <cfRule type="cellIs" dxfId="3108" priority="2948" stopIfTrue="1" operator="equal">
      <formula>"Fail"</formula>
    </cfRule>
  </conditionalFormatting>
  <conditionalFormatting sqref="A1054">
    <cfRule type="cellIs" dxfId="3107" priority="2945" stopIfTrue="1" operator="equal">
      <formula>"Pass"</formula>
    </cfRule>
    <cfRule type="cellIs" dxfId="3106" priority="2946" stopIfTrue="1" operator="equal">
      <formula>"Fail"</formula>
    </cfRule>
  </conditionalFormatting>
  <conditionalFormatting sqref="A1054">
    <cfRule type="cellIs" dxfId="3105" priority="2943" stopIfTrue="1" operator="equal">
      <formula>"Pass"</formula>
    </cfRule>
    <cfRule type="cellIs" dxfId="3104" priority="2944" stopIfTrue="1" operator="equal">
      <formula>"Fail"</formula>
    </cfRule>
  </conditionalFormatting>
  <conditionalFormatting sqref="A1054">
    <cfRule type="cellIs" dxfId="3103" priority="2941" stopIfTrue="1" operator="equal">
      <formula>"Pass"</formula>
    </cfRule>
    <cfRule type="cellIs" dxfId="3102" priority="2942" stopIfTrue="1" operator="equal">
      <formula>"Fail"</formula>
    </cfRule>
  </conditionalFormatting>
  <conditionalFormatting sqref="H1054:H1055">
    <cfRule type="cellIs" dxfId="3101" priority="2939" stopIfTrue="1" operator="equal">
      <formula>"Pass"</formula>
    </cfRule>
    <cfRule type="cellIs" dxfId="3100" priority="2940" stopIfTrue="1" operator="equal">
      <formula>"Fail"</formula>
    </cfRule>
  </conditionalFormatting>
  <conditionalFormatting sqref="F1054 F1056 I1054:M1055">
    <cfRule type="cellIs" dxfId="3099" priority="2937" stopIfTrue="1" operator="equal">
      <formula>"Pass"</formula>
    </cfRule>
    <cfRule type="cellIs" dxfId="3098" priority="2938" stopIfTrue="1" operator="equal">
      <formula>"Fail"</formula>
    </cfRule>
  </conditionalFormatting>
  <conditionalFormatting sqref="T1056 T1054 R1054:R1056 S1055:S1056">
    <cfRule type="cellIs" dxfId="3097" priority="2935" stopIfTrue="1" operator="equal">
      <formula>"Fail"</formula>
    </cfRule>
    <cfRule type="cellIs" dxfId="3096" priority="2936" stopIfTrue="1" operator="equal">
      <formula>"Pass"</formula>
    </cfRule>
  </conditionalFormatting>
  <conditionalFormatting sqref="F1054:G1054 F1056:G1056 J1054:N1055">
    <cfRule type="cellIs" dxfId="3095" priority="2933" stopIfTrue="1" operator="equal">
      <formula>"Pass"</formula>
    </cfRule>
    <cfRule type="cellIs" dxfId="3094" priority="2934" stopIfTrue="1" operator="equal">
      <formula>"Fail"</formula>
    </cfRule>
  </conditionalFormatting>
  <conditionalFormatting sqref="U1056:V1056 T1054:T1056 S1055:S1056">
    <cfRule type="cellIs" dxfId="3093" priority="2931" stopIfTrue="1" operator="equal">
      <formula>"Fail"</formula>
    </cfRule>
    <cfRule type="cellIs" dxfId="3092" priority="2932" stopIfTrue="1" operator="equal">
      <formula>"Pass"</formula>
    </cfRule>
  </conditionalFormatting>
  <conditionalFormatting sqref="U1054:V1054">
    <cfRule type="cellIs" dxfId="3091" priority="2929" stopIfTrue="1" operator="equal">
      <formula>"Fail"</formula>
    </cfRule>
    <cfRule type="cellIs" dxfId="3090" priority="2930" stopIfTrue="1" operator="equal">
      <formula>"Pass"</formula>
    </cfRule>
  </conditionalFormatting>
  <conditionalFormatting sqref="F1054:G1054 J1054:N1054">
    <cfRule type="cellIs" dxfId="3089" priority="2927" stopIfTrue="1" operator="equal">
      <formula>"Pass"</formula>
    </cfRule>
    <cfRule type="cellIs" dxfId="3088" priority="2928" stopIfTrue="1" operator="equal">
      <formula>"Fail"</formula>
    </cfRule>
  </conditionalFormatting>
  <conditionalFormatting sqref="J1055:N1055">
    <cfRule type="cellIs" dxfId="3087" priority="2925" stopIfTrue="1" operator="equal">
      <formula>"Pass"</formula>
    </cfRule>
    <cfRule type="cellIs" dxfId="3086" priority="2926" stopIfTrue="1" operator="equal">
      <formula>"Fail"</formula>
    </cfRule>
  </conditionalFormatting>
  <conditionalFormatting sqref="H1054:H1055">
    <cfRule type="cellIs" dxfId="3085" priority="2923" stopIfTrue="1" operator="equal">
      <formula>"Pass"</formula>
    </cfRule>
    <cfRule type="cellIs" dxfId="3084" priority="2924" stopIfTrue="1" operator="equal">
      <formula>"Fail"</formula>
    </cfRule>
  </conditionalFormatting>
  <conditionalFormatting sqref="F1054 F1056 I1054:M1055">
    <cfRule type="cellIs" dxfId="3083" priority="2921" stopIfTrue="1" operator="equal">
      <formula>"Pass"</formula>
    </cfRule>
    <cfRule type="cellIs" dxfId="3082" priority="2922" stopIfTrue="1" operator="equal">
      <formula>"Fail"</formula>
    </cfRule>
  </conditionalFormatting>
  <conditionalFormatting sqref="T1056 T1054 R1054:R1056 S1055:S1056">
    <cfRule type="cellIs" dxfId="3081" priority="2919" stopIfTrue="1" operator="equal">
      <formula>"Fail"</formula>
    </cfRule>
    <cfRule type="cellIs" dxfId="3080" priority="2920" stopIfTrue="1" operator="equal">
      <formula>"Pass"</formula>
    </cfRule>
  </conditionalFormatting>
  <conditionalFormatting sqref="F1054:G1054 F1056:G1056 J1054:N1055">
    <cfRule type="cellIs" dxfId="3079" priority="2917" stopIfTrue="1" operator="equal">
      <formula>"Pass"</formula>
    </cfRule>
    <cfRule type="cellIs" dxfId="3078" priority="2918" stopIfTrue="1" operator="equal">
      <formula>"Fail"</formula>
    </cfRule>
  </conditionalFormatting>
  <conditionalFormatting sqref="U1056:V1056 T1054:T1056 S1055:S1056">
    <cfRule type="cellIs" dxfId="3077" priority="2915" stopIfTrue="1" operator="equal">
      <formula>"Fail"</formula>
    </cfRule>
    <cfRule type="cellIs" dxfId="3076" priority="2916" stopIfTrue="1" operator="equal">
      <formula>"Pass"</formula>
    </cfRule>
  </conditionalFormatting>
  <conditionalFormatting sqref="U1054:V1054">
    <cfRule type="cellIs" dxfId="3075" priority="2913" stopIfTrue="1" operator="equal">
      <formula>"Fail"</formula>
    </cfRule>
    <cfRule type="cellIs" dxfId="3074" priority="2914" stopIfTrue="1" operator="equal">
      <formula>"Pass"</formula>
    </cfRule>
  </conditionalFormatting>
  <conditionalFormatting sqref="F1054:G1054 J1054:N1054">
    <cfRule type="cellIs" dxfId="3073" priority="2911" stopIfTrue="1" operator="equal">
      <formula>"Pass"</formula>
    </cfRule>
    <cfRule type="cellIs" dxfId="3072" priority="2912" stopIfTrue="1" operator="equal">
      <formula>"Fail"</formula>
    </cfRule>
  </conditionalFormatting>
  <conditionalFormatting sqref="J1055:N1055">
    <cfRule type="cellIs" dxfId="3071" priority="2909" stopIfTrue="1" operator="equal">
      <formula>"Pass"</formula>
    </cfRule>
    <cfRule type="cellIs" dxfId="3070" priority="2910" stopIfTrue="1" operator="equal">
      <formula>"Fail"</formula>
    </cfRule>
  </conditionalFormatting>
  <conditionalFormatting sqref="U1054:V1054">
    <cfRule type="cellIs" dxfId="3069" priority="2907" stopIfTrue="1" operator="equal">
      <formula>"Fail"</formula>
    </cfRule>
    <cfRule type="cellIs" dxfId="3068" priority="2908" stopIfTrue="1" operator="equal">
      <formula>"Pass"</formula>
    </cfRule>
  </conditionalFormatting>
  <conditionalFormatting sqref="U1054:V1054">
    <cfRule type="cellIs" dxfId="3067" priority="2905" stopIfTrue="1" operator="equal">
      <formula>"Fail"</formula>
    </cfRule>
    <cfRule type="cellIs" dxfId="3066" priority="2906" stopIfTrue="1" operator="equal">
      <formula>"Pass"</formula>
    </cfRule>
  </conditionalFormatting>
  <conditionalFormatting sqref="U1054:V1054">
    <cfRule type="cellIs" dxfId="3065" priority="2903" stopIfTrue="1" operator="equal">
      <formula>"Fail"</formula>
    </cfRule>
    <cfRule type="cellIs" dxfId="3064" priority="2904" stopIfTrue="1" operator="equal">
      <formula>"Pass"</formula>
    </cfRule>
  </conditionalFormatting>
  <conditionalFormatting sqref="N1054">
    <cfRule type="cellIs" dxfId="3063" priority="2901" stopIfTrue="1" operator="equal">
      <formula>"Pass"</formula>
    </cfRule>
    <cfRule type="cellIs" dxfId="3062" priority="2902" stopIfTrue="1" operator="equal">
      <formula>"Fail"</formula>
    </cfRule>
  </conditionalFormatting>
  <conditionalFormatting sqref="N1054">
    <cfRule type="cellIs" dxfId="3061" priority="2899" stopIfTrue="1" operator="equal">
      <formula>"Pass"</formula>
    </cfRule>
    <cfRule type="cellIs" dxfId="3060" priority="2900" stopIfTrue="1" operator="equal">
      <formula>"Fail"</formula>
    </cfRule>
  </conditionalFormatting>
  <conditionalFormatting sqref="N1054">
    <cfRule type="cellIs" dxfId="3059" priority="2897" stopIfTrue="1" operator="equal">
      <formula>"Pass"</formula>
    </cfRule>
    <cfRule type="cellIs" dxfId="3058" priority="2898" stopIfTrue="1" operator="equal">
      <formula>"Fail"</formula>
    </cfRule>
  </conditionalFormatting>
  <conditionalFormatting sqref="A1054">
    <cfRule type="cellIs" dxfId="3057" priority="2895" stopIfTrue="1" operator="equal">
      <formula>"Pass"</formula>
    </cfRule>
    <cfRule type="cellIs" dxfId="3056" priority="2896" stopIfTrue="1" operator="equal">
      <formula>"Fail"</formula>
    </cfRule>
  </conditionalFormatting>
  <conditionalFormatting sqref="A1054">
    <cfRule type="cellIs" dxfId="3055" priority="2893" stopIfTrue="1" operator="equal">
      <formula>"Pass"</formula>
    </cfRule>
    <cfRule type="cellIs" dxfId="3054" priority="2894" stopIfTrue="1" operator="equal">
      <formula>"Fail"</formula>
    </cfRule>
  </conditionalFormatting>
  <conditionalFormatting sqref="A1054">
    <cfRule type="cellIs" dxfId="3053" priority="2891" stopIfTrue="1" operator="equal">
      <formula>"Pass"</formula>
    </cfRule>
    <cfRule type="cellIs" dxfId="3052" priority="2892" stopIfTrue="1" operator="equal">
      <formula>"Fail"</formula>
    </cfRule>
  </conditionalFormatting>
  <conditionalFormatting sqref="A1054">
    <cfRule type="cellIs" dxfId="3051" priority="2889" stopIfTrue="1" operator="equal">
      <formula>"Pass"</formula>
    </cfRule>
    <cfRule type="cellIs" dxfId="3050" priority="2890" stopIfTrue="1" operator="equal">
      <formula>"Fail"</formula>
    </cfRule>
  </conditionalFormatting>
  <conditionalFormatting sqref="A1054">
    <cfRule type="cellIs" dxfId="3049" priority="2887" stopIfTrue="1" operator="equal">
      <formula>"Pass"</formula>
    </cfRule>
    <cfRule type="cellIs" dxfId="3048" priority="2888" stopIfTrue="1" operator="equal">
      <formula>"Fail"</formula>
    </cfRule>
  </conditionalFormatting>
  <conditionalFormatting sqref="A1054">
    <cfRule type="cellIs" dxfId="3047" priority="2885" stopIfTrue="1" operator="equal">
      <formula>"Pass"</formula>
    </cfRule>
    <cfRule type="cellIs" dxfId="3046" priority="2886" stopIfTrue="1" operator="equal">
      <formula>"Fail"</formula>
    </cfRule>
  </conditionalFormatting>
  <conditionalFormatting sqref="A1054">
    <cfRule type="cellIs" dxfId="3045" priority="2883" stopIfTrue="1" operator="equal">
      <formula>"Pass"</formula>
    </cfRule>
    <cfRule type="cellIs" dxfId="3044" priority="2884" stopIfTrue="1" operator="equal">
      <formula>"Fail"</formula>
    </cfRule>
  </conditionalFormatting>
  <conditionalFormatting sqref="A1054">
    <cfRule type="cellIs" dxfId="3043" priority="2881" stopIfTrue="1" operator="equal">
      <formula>"Pass"</formula>
    </cfRule>
    <cfRule type="cellIs" dxfId="3042" priority="2882" stopIfTrue="1" operator="equal">
      <formula>"Fail"</formula>
    </cfRule>
  </conditionalFormatting>
  <conditionalFormatting sqref="A1054">
    <cfRule type="cellIs" dxfId="3041" priority="2879" stopIfTrue="1" operator="equal">
      <formula>"Pass"</formula>
    </cfRule>
    <cfRule type="cellIs" dxfId="3040" priority="2880" stopIfTrue="1" operator="equal">
      <formula>"Fail"</formula>
    </cfRule>
  </conditionalFormatting>
  <conditionalFormatting sqref="A1054">
    <cfRule type="cellIs" dxfId="3039" priority="2877" stopIfTrue="1" operator="equal">
      <formula>"Pass"</formula>
    </cfRule>
    <cfRule type="cellIs" dxfId="3038" priority="2878" stopIfTrue="1" operator="equal">
      <formula>"Fail"</formula>
    </cfRule>
  </conditionalFormatting>
  <conditionalFormatting sqref="A1054">
    <cfRule type="cellIs" dxfId="3037" priority="2875" stopIfTrue="1" operator="equal">
      <formula>"Pass"</formula>
    </cfRule>
    <cfRule type="cellIs" dxfId="3036" priority="2876" stopIfTrue="1" operator="equal">
      <formula>"Fail"</formula>
    </cfRule>
  </conditionalFormatting>
  <conditionalFormatting sqref="A1054">
    <cfRule type="cellIs" dxfId="3035" priority="2873" stopIfTrue="1" operator="equal">
      <formula>"Pass"</formula>
    </cfRule>
    <cfRule type="cellIs" dxfId="3034" priority="2874" stopIfTrue="1" operator="equal">
      <formula>"Fail"</formula>
    </cfRule>
  </conditionalFormatting>
  <conditionalFormatting sqref="A1054">
    <cfRule type="cellIs" dxfId="3033" priority="2871" stopIfTrue="1" operator="equal">
      <formula>"Pass"</formula>
    </cfRule>
    <cfRule type="cellIs" dxfId="3032" priority="2872" stopIfTrue="1" operator="equal">
      <formula>"Fail"</formula>
    </cfRule>
  </conditionalFormatting>
  <conditionalFormatting sqref="A1054">
    <cfRule type="cellIs" dxfId="3031" priority="2869" stopIfTrue="1" operator="equal">
      <formula>"Pass"</formula>
    </cfRule>
    <cfRule type="cellIs" dxfId="3030" priority="2870" stopIfTrue="1" operator="equal">
      <formula>"Fail"</formula>
    </cfRule>
  </conditionalFormatting>
  <conditionalFormatting sqref="A1054">
    <cfRule type="cellIs" dxfId="3029" priority="2867" stopIfTrue="1" operator="equal">
      <formula>"Pass"</formula>
    </cfRule>
    <cfRule type="cellIs" dxfId="3028" priority="2868" stopIfTrue="1" operator="equal">
      <formula>"Fail"</formula>
    </cfRule>
  </conditionalFormatting>
  <conditionalFormatting sqref="A1054">
    <cfRule type="cellIs" dxfId="3027" priority="2865" stopIfTrue="1" operator="equal">
      <formula>"Pass"</formula>
    </cfRule>
    <cfRule type="cellIs" dxfId="3026" priority="2866" stopIfTrue="1" operator="equal">
      <formula>"Fail"</formula>
    </cfRule>
  </conditionalFormatting>
  <conditionalFormatting sqref="A1054">
    <cfRule type="cellIs" dxfId="3025" priority="2863" stopIfTrue="1" operator="equal">
      <formula>"Pass"</formula>
    </cfRule>
    <cfRule type="cellIs" dxfId="3024" priority="2864" stopIfTrue="1" operator="equal">
      <formula>"Fail"</formula>
    </cfRule>
  </conditionalFormatting>
  <conditionalFormatting sqref="A1054">
    <cfRule type="cellIs" dxfId="3023" priority="2861" stopIfTrue="1" operator="equal">
      <formula>"Pass"</formula>
    </cfRule>
    <cfRule type="cellIs" dxfId="3022" priority="2862" stopIfTrue="1" operator="equal">
      <formula>"Fail"</formula>
    </cfRule>
  </conditionalFormatting>
  <conditionalFormatting sqref="H1054:H1055">
    <cfRule type="cellIs" dxfId="3021" priority="2859" stopIfTrue="1" operator="equal">
      <formula>"Pass"</formula>
    </cfRule>
    <cfRule type="cellIs" dxfId="3020" priority="2860" stopIfTrue="1" operator="equal">
      <formula>"Fail"</formula>
    </cfRule>
  </conditionalFormatting>
  <conditionalFormatting sqref="F1054 F1056 I1054:M1055">
    <cfRule type="cellIs" dxfId="3019" priority="2857" stopIfTrue="1" operator="equal">
      <formula>"Pass"</formula>
    </cfRule>
    <cfRule type="cellIs" dxfId="3018" priority="2858" stopIfTrue="1" operator="equal">
      <formula>"Fail"</formula>
    </cfRule>
  </conditionalFormatting>
  <conditionalFormatting sqref="T1056 T1054 R1054:R1056 S1055:S1056">
    <cfRule type="cellIs" dxfId="3017" priority="2855" stopIfTrue="1" operator="equal">
      <formula>"Fail"</formula>
    </cfRule>
    <cfRule type="cellIs" dxfId="3016" priority="2856" stopIfTrue="1" operator="equal">
      <formula>"Pass"</formula>
    </cfRule>
  </conditionalFormatting>
  <conditionalFormatting sqref="F1054:G1054 F1056:G1056 J1054:N1055">
    <cfRule type="cellIs" dxfId="3015" priority="2853" stopIfTrue="1" operator="equal">
      <formula>"Pass"</formula>
    </cfRule>
    <cfRule type="cellIs" dxfId="3014" priority="2854" stopIfTrue="1" operator="equal">
      <formula>"Fail"</formula>
    </cfRule>
  </conditionalFormatting>
  <conditionalFormatting sqref="U1056:V1056 T1054:T1056 S1055:S1056">
    <cfRule type="cellIs" dxfId="3013" priority="2851" stopIfTrue="1" operator="equal">
      <formula>"Fail"</formula>
    </cfRule>
    <cfRule type="cellIs" dxfId="3012" priority="2852" stopIfTrue="1" operator="equal">
      <formula>"Pass"</formula>
    </cfRule>
  </conditionalFormatting>
  <conditionalFormatting sqref="U1054:V1054">
    <cfRule type="cellIs" dxfId="3011" priority="2849" stopIfTrue="1" operator="equal">
      <formula>"Fail"</formula>
    </cfRule>
    <cfRule type="cellIs" dxfId="3010" priority="2850" stopIfTrue="1" operator="equal">
      <formula>"Pass"</formula>
    </cfRule>
  </conditionalFormatting>
  <conditionalFormatting sqref="F1054:G1054 J1054:N1054">
    <cfRule type="cellIs" dxfId="3009" priority="2847" stopIfTrue="1" operator="equal">
      <formula>"Pass"</formula>
    </cfRule>
    <cfRule type="cellIs" dxfId="3008" priority="2848" stopIfTrue="1" operator="equal">
      <formula>"Fail"</formula>
    </cfRule>
  </conditionalFormatting>
  <conditionalFormatting sqref="J1055:N1055">
    <cfRule type="cellIs" dxfId="3007" priority="2845" stopIfTrue="1" operator="equal">
      <formula>"Pass"</formula>
    </cfRule>
    <cfRule type="cellIs" dxfId="3006" priority="2846" stopIfTrue="1" operator="equal">
      <formula>"Fail"</formula>
    </cfRule>
  </conditionalFormatting>
  <conditionalFormatting sqref="H1054:H1055">
    <cfRule type="cellIs" dxfId="3005" priority="2843" stopIfTrue="1" operator="equal">
      <formula>"Pass"</formula>
    </cfRule>
    <cfRule type="cellIs" dxfId="3004" priority="2844" stopIfTrue="1" operator="equal">
      <formula>"Fail"</formula>
    </cfRule>
  </conditionalFormatting>
  <conditionalFormatting sqref="F1054 F1056 I1054:M1055">
    <cfRule type="cellIs" dxfId="3003" priority="2841" stopIfTrue="1" operator="equal">
      <formula>"Pass"</formula>
    </cfRule>
    <cfRule type="cellIs" dxfId="3002" priority="2842" stopIfTrue="1" operator="equal">
      <formula>"Fail"</formula>
    </cfRule>
  </conditionalFormatting>
  <conditionalFormatting sqref="T1056 T1054 R1054:R1056 S1055:S1056">
    <cfRule type="cellIs" dxfId="3001" priority="2839" stopIfTrue="1" operator="equal">
      <formula>"Fail"</formula>
    </cfRule>
    <cfRule type="cellIs" dxfId="3000" priority="2840" stopIfTrue="1" operator="equal">
      <formula>"Pass"</formula>
    </cfRule>
  </conditionalFormatting>
  <conditionalFormatting sqref="F1054:G1054 F1056:G1056 J1054:N1055">
    <cfRule type="cellIs" dxfId="2999" priority="2837" stopIfTrue="1" operator="equal">
      <formula>"Pass"</formula>
    </cfRule>
    <cfRule type="cellIs" dxfId="2998" priority="2838" stopIfTrue="1" operator="equal">
      <formula>"Fail"</formula>
    </cfRule>
  </conditionalFormatting>
  <conditionalFormatting sqref="U1056:V1056 T1054:T1056 S1055:S1056">
    <cfRule type="cellIs" dxfId="2997" priority="2835" stopIfTrue="1" operator="equal">
      <formula>"Fail"</formula>
    </cfRule>
    <cfRule type="cellIs" dxfId="2996" priority="2836" stopIfTrue="1" operator="equal">
      <formula>"Pass"</formula>
    </cfRule>
  </conditionalFormatting>
  <conditionalFormatting sqref="U1054:V1054">
    <cfRule type="cellIs" dxfId="2995" priority="2833" stopIfTrue="1" operator="equal">
      <formula>"Fail"</formula>
    </cfRule>
    <cfRule type="cellIs" dxfId="2994" priority="2834" stopIfTrue="1" operator="equal">
      <formula>"Pass"</formula>
    </cfRule>
  </conditionalFormatting>
  <conditionalFormatting sqref="F1054:G1054 J1054:N1054">
    <cfRule type="cellIs" dxfId="2993" priority="2831" stopIfTrue="1" operator="equal">
      <formula>"Pass"</formula>
    </cfRule>
    <cfRule type="cellIs" dxfId="2992" priority="2832" stopIfTrue="1" operator="equal">
      <formula>"Fail"</formula>
    </cfRule>
  </conditionalFormatting>
  <conditionalFormatting sqref="J1055:N1055">
    <cfRule type="cellIs" dxfId="2991" priority="2829" stopIfTrue="1" operator="equal">
      <formula>"Pass"</formula>
    </cfRule>
    <cfRule type="cellIs" dxfId="2990" priority="2830" stopIfTrue="1" operator="equal">
      <formula>"Fail"</formula>
    </cfRule>
  </conditionalFormatting>
  <conditionalFormatting sqref="H1054:H1055">
    <cfRule type="cellIs" dxfId="2989" priority="2827" stopIfTrue="1" operator="equal">
      <formula>"Pass"</formula>
    </cfRule>
    <cfRule type="cellIs" dxfId="2988" priority="2828" stopIfTrue="1" operator="equal">
      <formula>"Fail"</formula>
    </cfRule>
  </conditionalFormatting>
  <conditionalFormatting sqref="F1054 F1056 I1054:M1055">
    <cfRule type="cellIs" dxfId="2987" priority="2825" stopIfTrue="1" operator="equal">
      <formula>"Pass"</formula>
    </cfRule>
    <cfRule type="cellIs" dxfId="2986" priority="2826" stopIfTrue="1" operator="equal">
      <formula>"Fail"</formula>
    </cfRule>
  </conditionalFormatting>
  <conditionalFormatting sqref="T1056 T1054 R1054:R1056 S1055:S1056">
    <cfRule type="cellIs" dxfId="2985" priority="2823" stopIfTrue="1" operator="equal">
      <formula>"Fail"</formula>
    </cfRule>
    <cfRule type="cellIs" dxfId="2984" priority="2824" stopIfTrue="1" operator="equal">
      <formula>"Pass"</formula>
    </cfRule>
  </conditionalFormatting>
  <conditionalFormatting sqref="F1054:G1054 F1056:G1056 J1054:N1055">
    <cfRule type="cellIs" dxfId="2983" priority="2821" stopIfTrue="1" operator="equal">
      <formula>"Pass"</formula>
    </cfRule>
    <cfRule type="cellIs" dxfId="2982" priority="2822" stopIfTrue="1" operator="equal">
      <formula>"Fail"</formula>
    </cfRule>
  </conditionalFormatting>
  <conditionalFormatting sqref="U1056:V1056 T1054:T1056 S1055:S1056">
    <cfRule type="cellIs" dxfId="2981" priority="2819" stopIfTrue="1" operator="equal">
      <formula>"Fail"</formula>
    </cfRule>
    <cfRule type="cellIs" dxfId="2980" priority="2820" stopIfTrue="1" operator="equal">
      <formula>"Pass"</formula>
    </cfRule>
  </conditionalFormatting>
  <conditionalFormatting sqref="U1054:V1054">
    <cfRule type="cellIs" dxfId="2979" priority="2817" stopIfTrue="1" operator="equal">
      <formula>"Fail"</formula>
    </cfRule>
    <cfRule type="cellIs" dxfId="2978" priority="2818" stopIfTrue="1" operator="equal">
      <formula>"Pass"</formula>
    </cfRule>
  </conditionalFormatting>
  <conditionalFormatting sqref="F1054:G1054 J1054:N1054">
    <cfRule type="cellIs" dxfId="2977" priority="2815" stopIfTrue="1" operator="equal">
      <formula>"Pass"</formula>
    </cfRule>
    <cfRule type="cellIs" dxfId="2976" priority="2816" stopIfTrue="1" operator="equal">
      <formula>"Fail"</formula>
    </cfRule>
  </conditionalFormatting>
  <conditionalFormatting sqref="J1055:N1055">
    <cfRule type="cellIs" dxfId="2975" priority="2813" stopIfTrue="1" operator="equal">
      <formula>"Pass"</formula>
    </cfRule>
    <cfRule type="cellIs" dxfId="2974" priority="2814" stopIfTrue="1" operator="equal">
      <formula>"Fail"</formula>
    </cfRule>
  </conditionalFormatting>
  <conditionalFormatting sqref="U1054:V1054">
    <cfRule type="cellIs" dxfId="2973" priority="2811" stopIfTrue="1" operator="equal">
      <formula>"Fail"</formula>
    </cfRule>
    <cfRule type="cellIs" dxfId="2972" priority="2812" stopIfTrue="1" operator="equal">
      <formula>"Pass"</formula>
    </cfRule>
  </conditionalFormatting>
  <conditionalFormatting sqref="U1054:V1054">
    <cfRule type="cellIs" dxfId="2971" priority="2809" stopIfTrue="1" operator="equal">
      <formula>"Fail"</formula>
    </cfRule>
    <cfRule type="cellIs" dxfId="2970" priority="2810" stopIfTrue="1" operator="equal">
      <formula>"Pass"</formula>
    </cfRule>
  </conditionalFormatting>
  <conditionalFormatting sqref="U1054:V1054">
    <cfRule type="cellIs" dxfId="2969" priority="2807" stopIfTrue="1" operator="equal">
      <formula>"Fail"</formula>
    </cfRule>
    <cfRule type="cellIs" dxfId="2968" priority="2808" stopIfTrue="1" operator="equal">
      <formula>"Pass"</formula>
    </cfRule>
  </conditionalFormatting>
  <conditionalFormatting sqref="N1054">
    <cfRule type="cellIs" dxfId="2967" priority="2805" stopIfTrue="1" operator="equal">
      <formula>"Pass"</formula>
    </cfRule>
    <cfRule type="cellIs" dxfId="2966" priority="2806" stopIfTrue="1" operator="equal">
      <formula>"Fail"</formula>
    </cfRule>
  </conditionalFormatting>
  <conditionalFormatting sqref="N1054">
    <cfRule type="cellIs" dxfId="2965" priority="2803" stopIfTrue="1" operator="equal">
      <formula>"Pass"</formula>
    </cfRule>
    <cfRule type="cellIs" dxfId="2964" priority="2804" stopIfTrue="1" operator="equal">
      <formula>"Fail"</formula>
    </cfRule>
  </conditionalFormatting>
  <conditionalFormatting sqref="N1054">
    <cfRule type="cellIs" dxfId="2963" priority="2801" stopIfTrue="1" operator="equal">
      <formula>"Pass"</formula>
    </cfRule>
    <cfRule type="cellIs" dxfId="2962" priority="2802" stopIfTrue="1" operator="equal">
      <formula>"Fail"</formula>
    </cfRule>
  </conditionalFormatting>
  <conditionalFormatting sqref="U1054:V1054">
    <cfRule type="cellIs" dxfId="2961" priority="2799" stopIfTrue="1" operator="equal">
      <formula>"Fail"</formula>
    </cfRule>
    <cfRule type="cellIs" dxfId="2960" priority="2800" stopIfTrue="1" operator="equal">
      <formula>"Pass"</formula>
    </cfRule>
  </conditionalFormatting>
  <conditionalFormatting sqref="U1054:V1054">
    <cfRule type="cellIs" dxfId="2959" priority="2797" stopIfTrue="1" operator="equal">
      <formula>"Fail"</formula>
    </cfRule>
    <cfRule type="cellIs" dxfId="2958" priority="2798" stopIfTrue="1" operator="equal">
      <formula>"Pass"</formula>
    </cfRule>
  </conditionalFormatting>
  <conditionalFormatting sqref="U1054:V1054">
    <cfRule type="cellIs" dxfId="2957" priority="2795" stopIfTrue="1" operator="equal">
      <formula>"Fail"</formula>
    </cfRule>
    <cfRule type="cellIs" dxfId="2956" priority="2796" stopIfTrue="1" operator="equal">
      <formula>"Pass"</formula>
    </cfRule>
  </conditionalFormatting>
  <conditionalFormatting sqref="U1054:V1054">
    <cfRule type="cellIs" dxfId="2955" priority="2793" stopIfTrue="1" operator="equal">
      <formula>"Fail"</formula>
    </cfRule>
    <cfRule type="cellIs" dxfId="2954" priority="2794" stopIfTrue="1" operator="equal">
      <formula>"Pass"</formula>
    </cfRule>
  </conditionalFormatting>
  <conditionalFormatting sqref="T1054">
    <cfRule type="cellIs" dxfId="2953" priority="2791" stopIfTrue="1" operator="equal">
      <formula>"Fail"</formula>
    </cfRule>
    <cfRule type="cellIs" dxfId="2952" priority="2792" stopIfTrue="1" operator="equal">
      <formula>"Pass"</formula>
    </cfRule>
  </conditionalFormatting>
  <conditionalFormatting sqref="T1054">
    <cfRule type="cellIs" dxfId="2951" priority="2789" stopIfTrue="1" operator="equal">
      <formula>"Fail"</formula>
    </cfRule>
    <cfRule type="cellIs" dxfId="2950" priority="2790" stopIfTrue="1" operator="equal">
      <formula>"Pass"</formula>
    </cfRule>
  </conditionalFormatting>
  <conditionalFormatting sqref="T1054">
    <cfRule type="cellIs" dxfId="2949" priority="2787" stopIfTrue="1" operator="equal">
      <formula>"Fail"</formula>
    </cfRule>
    <cfRule type="cellIs" dxfId="2948" priority="2788" stopIfTrue="1" operator="equal">
      <formula>"Pass"</formula>
    </cfRule>
  </conditionalFormatting>
  <conditionalFormatting sqref="T1054">
    <cfRule type="cellIs" dxfId="2947" priority="2785" stopIfTrue="1" operator="equal">
      <formula>"Fail"</formula>
    </cfRule>
    <cfRule type="cellIs" dxfId="2946" priority="2786" stopIfTrue="1" operator="equal">
      <formula>"Pass"</formula>
    </cfRule>
  </conditionalFormatting>
  <conditionalFormatting sqref="T1054">
    <cfRule type="cellIs" dxfId="2945" priority="2783" stopIfTrue="1" operator="equal">
      <formula>"Fail"</formula>
    </cfRule>
    <cfRule type="cellIs" dxfId="2944" priority="2784" stopIfTrue="1" operator="equal">
      <formula>"Pass"</formula>
    </cfRule>
  </conditionalFormatting>
  <conditionalFormatting sqref="T1054">
    <cfRule type="cellIs" dxfId="2943" priority="2781" stopIfTrue="1" operator="equal">
      <formula>"Fail"</formula>
    </cfRule>
    <cfRule type="cellIs" dxfId="2942" priority="2782" stopIfTrue="1" operator="equal">
      <formula>"Pass"</formula>
    </cfRule>
  </conditionalFormatting>
  <conditionalFormatting sqref="T1054">
    <cfRule type="cellIs" dxfId="2941" priority="2779" stopIfTrue="1" operator="equal">
      <formula>"Fail"</formula>
    </cfRule>
    <cfRule type="cellIs" dxfId="2940" priority="2780" stopIfTrue="1" operator="equal">
      <formula>"Pass"</formula>
    </cfRule>
  </conditionalFormatting>
  <conditionalFormatting sqref="T1054">
    <cfRule type="cellIs" dxfId="2939" priority="2777" stopIfTrue="1" operator="equal">
      <formula>"Fail"</formula>
    </cfRule>
    <cfRule type="cellIs" dxfId="2938" priority="2778" stopIfTrue="1" operator="equal">
      <formula>"Pass"</formula>
    </cfRule>
  </conditionalFormatting>
  <conditionalFormatting sqref="T1054">
    <cfRule type="cellIs" dxfId="2937" priority="2775" stopIfTrue="1" operator="equal">
      <formula>"Fail"</formula>
    </cfRule>
    <cfRule type="cellIs" dxfId="2936" priority="2776" stopIfTrue="1" operator="equal">
      <formula>"Pass"</formula>
    </cfRule>
  </conditionalFormatting>
  <conditionalFormatting sqref="T1054">
    <cfRule type="cellIs" dxfId="2935" priority="2773" stopIfTrue="1" operator="equal">
      <formula>"Fail"</formula>
    </cfRule>
    <cfRule type="cellIs" dxfId="2934" priority="2774" stopIfTrue="1" operator="equal">
      <formula>"Pass"</formula>
    </cfRule>
  </conditionalFormatting>
  <conditionalFormatting sqref="T1054">
    <cfRule type="cellIs" dxfId="2933" priority="2771" stopIfTrue="1" operator="equal">
      <formula>"Fail"</formula>
    </cfRule>
    <cfRule type="cellIs" dxfId="2932" priority="2772" stopIfTrue="1" operator="equal">
      <formula>"Pass"</formula>
    </cfRule>
  </conditionalFormatting>
  <conditionalFormatting sqref="T1054">
    <cfRule type="cellIs" dxfId="2931" priority="2769" stopIfTrue="1" operator="equal">
      <formula>"Fail"</formula>
    </cfRule>
    <cfRule type="cellIs" dxfId="2930" priority="2770" stopIfTrue="1" operator="equal">
      <formula>"Pass"</formula>
    </cfRule>
  </conditionalFormatting>
  <conditionalFormatting sqref="T1054">
    <cfRule type="cellIs" dxfId="2929" priority="2767" stopIfTrue="1" operator="equal">
      <formula>"Fail"</formula>
    </cfRule>
    <cfRule type="cellIs" dxfId="2928" priority="2768" stopIfTrue="1" operator="equal">
      <formula>"Pass"</formula>
    </cfRule>
  </conditionalFormatting>
  <conditionalFormatting sqref="T1054">
    <cfRule type="cellIs" dxfId="2927" priority="2765" stopIfTrue="1" operator="equal">
      <formula>"Fail"</formula>
    </cfRule>
    <cfRule type="cellIs" dxfId="2926" priority="2766" stopIfTrue="1" operator="equal">
      <formula>"Pass"</formula>
    </cfRule>
  </conditionalFormatting>
  <conditionalFormatting sqref="T1054">
    <cfRule type="cellIs" dxfId="2925" priority="2763" stopIfTrue="1" operator="equal">
      <formula>"Fail"</formula>
    </cfRule>
    <cfRule type="cellIs" dxfId="2924" priority="2764" stopIfTrue="1" operator="equal">
      <formula>"Pass"</formula>
    </cfRule>
  </conditionalFormatting>
  <conditionalFormatting sqref="T1054">
    <cfRule type="cellIs" dxfId="2923" priority="2761" stopIfTrue="1" operator="equal">
      <formula>"Fail"</formula>
    </cfRule>
    <cfRule type="cellIs" dxfId="2922" priority="2762" stopIfTrue="1" operator="equal">
      <formula>"Pass"</formula>
    </cfRule>
  </conditionalFormatting>
  <conditionalFormatting sqref="T1054">
    <cfRule type="cellIs" dxfId="2921" priority="2759" stopIfTrue="1" operator="equal">
      <formula>"Fail"</formula>
    </cfRule>
    <cfRule type="cellIs" dxfId="2920" priority="2760" stopIfTrue="1" operator="equal">
      <formula>"Pass"</formula>
    </cfRule>
  </conditionalFormatting>
  <conditionalFormatting sqref="T1054">
    <cfRule type="cellIs" dxfId="2919" priority="2757" stopIfTrue="1" operator="equal">
      <formula>"Fail"</formula>
    </cfRule>
    <cfRule type="cellIs" dxfId="2918" priority="2758" stopIfTrue="1" operator="equal">
      <formula>"Pass"</formula>
    </cfRule>
  </conditionalFormatting>
  <conditionalFormatting sqref="T1054">
    <cfRule type="cellIs" dxfId="2917" priority="2755" stopIfTrue="1" operator="equal">
      <formula>"Fail"</formula>
    </cfRule>
    <cfRule type="cellIs" dxfId="2916" priority="2756" stopIfTrue="1" operator="equal">
      <formula>"Pass"</formula>
    </cfRule>
  </conditionalFormatting>
  <conditionalFormatting sqref="T1054">
    <cfRule type="cellIs" dxfId="2915" priority="2753" stopIfTrue="1" operator="equal">
      <formula>"Fail"</formula>
    </cfRule>
    <cfRule type="cellIs" dxfId="2914" priority="2754" stopIfTrue="1" operator="equal">
      <formula>"Pass"</formula>
    </cfRule>
  </conditionalFormatting>
  <conditionalFormatting sqref="T1054">
    <cfRule type="cellIs" dxfId="2913" priority="2751" stopIfTrue="1" operator="equal">
      <formula>"Fail"</formula>
    </cfRule>
    <cfRule type="cellIs" dxfId="2912" priority="2752" stopIfTrue="1" operator="equal">
      <formula>"Pass"</formula>
    </cfRule>
  </conditionalFormatting>
  <conditionalFormatting sqref="T1054">
    <cfRule type="cellIs" dxfId="2911" priority="2749" stopIfTrue="1" operator="equal">
      <formula>"Fail"</formula>
    </cfRule>
    <cfRule type="cellIs" dxfId="2910" priority="2750" stopIfTrue="1" operator="equal">
      <formula>"Pass"</formula>
    </cfRule>
  </conditionalFormatting>
  <conditionalFormatting sqref="T1054">
    <cfRule type="cellIs" dxfId="2909" priority="2747" stopIfTrue="1" operator="equal">
      <formula>"Fail"</formula>
    </cfRule>
    <cfRule type="cellIs" dxfId="2908" priority="2748" stopIfTrue="1" operator="equal">
      <formula>"Pass"</formula>
    </cfRule>
  </conditionalFormatting>
  <conditionalFormatting sqref="T1054">
    <cfRule type="cellIs" dxfId="2907" priority="2745" stopIfTrue="1" operator="equal">
      <formula>"Fail"</formula>
    </cfRule>
    <cfRule type="cellIs" dxfId="2906" priority="2746" stopIfTrue="1" operator="equal">
      <formula>"Pass"</formula>
    </cfRule>
  </conditionalFormatting>
  <conditionalFormatting sqref="A1054:A1056">
    <cfRule type="cellIs" dxfId="2905" priority="2743" stopIfTrue="1" operator="equal">
      <formula>"Pass"</formula>
    </cfRule>
    <cfRule type="cellIs" dxfId="2904" priority="2744" stopIfTrue="1" operator="equal">
      <formula>"Fail"</formula>
    </cfRule>
  </conditionalFormatting>
  <conditionalFormatting sqref="A1054:A1056">
    <cfRule type="cellIs" dxfId="2903" priority="2741" stopIfTrue="1" operator="equal">
      <formula>"Pass"</formula>
    </cfRule>
    <cfRule type="cellIs" dxfId="2902" priority="2742" stopIfTrue="1" operator="equal">
      <formula>"Fail"</formula>
    </cfRule>
  </conditionalFormatting>
  <conditionalFormatting sqref="A1054:A1056">
    <cfRule type="cellIs" dxfId="2901" priority="2739" stopIfTrue="1" operator="equal">
      <formula>"Pass"</formula>
    </cfRule>
    <cfRule type="cellIs" dxfId="2900" priority="2740" stopIfTrue="1" operator="equal">
      <formula>"Fail"</formula>
    </cfRule>
  </conditionalFormatting>
  <conditionalFormatting sqref="A1054:A1056">
    <cfRule type="cellIs" dxfId="2899" priority="2737" stopIfTrue="1" operator="equal">
      <formula>"Pass"</formula>
    </cfRule>
    <cfRule type="cellIs" dxfId="2898" priority="2738" stopIfTrue="1" operator="equal">
      <formula>"Fail"</formula>
    </cfRule>
  </conditionalFormatting>
  <conditionalFormatting sqref="A1054:A1056">
    <cfRule type="cellIs" dxfId="2897" priority="2735" stopIfTrue="1" operator="equal">
      <formula>"Pass"</formula>
    </cfRule>
    <cfRule type="cellIs" dxfId="2896" priority="2736" stopIfTrue="1" operator="equal">
      <formula>"Fail"</formula>
    </cfRule>
  </conditionalFormatting>
  <conditionalFormatting sqref="A1056">
    <cfRule type="cellIs" dxfId="2895" priority="2733" stopIfTrue="1" operator="equal">
      <formula>"Pass"</formula>
    </cfRule>
    <cfRule type="cellIs" dxfId="2894" priority="2734" stopIfTrue="1" operator="equal">
      <formula>"Fail"</formula>
    </cfRule>
  </conditionalFormatting>
  <conditionalFormatting sqref="A1054:A1056">
    <cfRule type="cellIs" dxfId="2893" priority="2731" stopIfTrue="1" operator="equal">
      <formula>"Pass"</formula>
    </cfRule>
    <cfRule type="cellIs" dxfId="2892" priority="2732" stopIfTrue="1" operator="equal">
      <formula>"Fail"</formula>
    </cfRule>
  </conditionalFormatting>
  <conditionalFormatting sqref="A1054:A1056">
    <cfRule type="cellIs" dxfId="2891" priority="2729" stopIfTrue="1" operator="equal">
      <formula>"Pass"</formula>
    </cfRule>
    <cfRule type="cellIs" dxfId="2890" priority="2730" stopIfTrue="1" operator="equal">
      <formula>"Fail"</formula>
    </cfRule>
  </conditionalFormatting>
  <conditionalFormatting sqref="A1054:A1056">
    <cfRule type="cellIs" dxfId="2889" priority="2727" stopIfTrue="1" operator="equal">
      <formula>"Pass"</formula>
    </cfRule>
    <cfRule type="cellIs" dxfId="2888" priority="2728" stopIfTrue="1" operator="equal">
      <formula>"Fail"</formula>
    </cfRule>
  </conditionalFormatting>
  <conditionalFormatting sqref="A1054:A1056">
    <cfRule type="cellIs" dxfId="2887" priority="2725" stopIfTrue="1" operator="equal">
      <formula>"Pass"</formula>
    </cfRule>
    <cfRule type="cellIs" dxfId="2886" priority="2726" stopIfTrue="1" operator="equal">
      <formula>"Fail"</formula>
    </cfRule>
  </conditionalFormatting>
  <conditionalFormatting sqref="A1054:A1056">
    <cfRule type="cellIs" dxfId="2885" priority="2723" stopIfTrue="1" operator="equal">
      <formula>"Pass"</formula>
    </cfRule>
    <cfRule type="cellIs" dxfId="2884" priority="2724" stopIfTrue="1" operator="equal">
      <formula>"Fail"</formula>
    </cfRule>
  </conditionalFormatting>
  <conditionalFormatting sqref="A1054:A1056">
    <cfRule type="cellIs" dxfId="2883" priority="2721" stopIfTrue="1" operator="equal">
      <formula>"Pass"</formula>
    </cfRule>
    <cfRule type="cellIs" dxfId="2882" priority="2722" stopIfTrue="1" operator="equal">
      <formula>"Fail"</formula>
    </cfRule>
  </conditionalFormatting>
  <conditionalFormatting sqref="A1056">
    <cfRule type="cellIs" dxfId="2881" priority="2719" stopIfTrue="1" operator="equal">
      <formula>"Pass"</formula>
    </cfRule>
    <cfRule type="cellIs" dxfId="2880" priority="2720" stopIfTrue="1" operator="equal">
      <formula>"Fail"</formula>
    </cfRule>
  </conditionalFormatting>
  <conditionalFormatting sqref="A1054:A1056">
    <cfRule type="cellIs" dxfId="2879" priority="2717" stopIfTrue="1" operator="equal">
      <formula>"Pass"</formula>
    </cfRule>
    <cfRule type="cellIs" dxfId="2878" priority="2718" stopIfTrue="1" operator="equal">
      <formula>"Fail"</formula>
    </cfRule>
  </conditionalFormatting>
  <conditionalFormatting sqref="A1054:A1056">
    <cfRule type="cellIs" dxfId="2877" priority="2715" stopIfTrue="1" operator="equal">
      <formula>"Pass"</formula>
    </cfRule>
    <cfRule type="cellIs" dxfId="2876" priority="2716" stopIfTrue="1" operator="equal">
      <formula>"Fail"</formula>
    </cfRule>
  </conditionalFormatting>
  <conditionalFormatting sqref="A1054:A1056">
    <cfRule type="cellIs" dxfId="2875" priority="2713" stopIfTrue="1" operator="equal">
      <formula>"Pass"</formula>
    </cfRule>
    <cfRule type="cellIs" dxfId="2874" priority="2714" stopIfTrue="1" operator="equal">
      <formula>"Fail"</formula>
    </cfRule>
  </conditionalFormatting>
  <conditionalFormatting sqref="A1054:A1056">
    <cfRule type="cellIs" dxfId="2873" priority="2711" stopIfTrue="1" operator="equal">
      <formula>"Pass"</formula>
    </cfRule>
    <cfRule type="cellIs" dxfId="2872" priority="2712" stopIfTrue="1" operator="equal">
      <formula>"Fail"</formula>
    </cfRule>
  </conditionalFormatting>
  <conditionalFormatting sqref="A1054:A1056">
    <cfRule type="cellIs" dxfId="2871" priority="2709" stopIfTrue="1" operator="equal">
      <formula>"Pass"</formula>
    </cfRule>
    <cfRule type="cellIs" dxfId="2870" priority="2710" stopIfTrue="1" operator="equal">
      <formula>"Fail"</formula>
    </cfRule>
  </conditionalFormatting>
  <conditionalFormatting sqref="A1054:A1056">
    <cfRule type="cellIs" dxfId="2869" priority="2707" stopIfTrue="1" operator="equal">
      <formula>"Pass"</formula>
    </cfRule>
    <cfRule type="cellIs" dxfId="2868" priority="2708" stopIfTrue="1" operator="equal">
      <formula>"Fail"</formula>
    </cfRule>
  </conditionalFormatting>
  <conditionalFormatting sqref="A1056">
    <cfRule type="cellIs" dxfId="2867" priority="2705" stopIfTrue="1" operator="equal">
      <formula>"Pass"</formula>
    </cfRule>
    <cfRule type="cellIs" dxfId="2866" priority="2706" stopIfTrue="1" operator="equal">
      <formula>"Fail"</formula>
    </cfRule>
  </conditionalFormatting>
  <conditionalFormatting sqref="A1054:A1056">
    <cfRule type="cellIs" dxfId="2865" priority="2703" stopIfTrue="1" operator="equal">
      <formula>"Pass"</formula>
    </cfRule>
    <cfRule type="cellIs" dxfId="2864" priority="2704" stopIfTrue="1" operator="equal">
      <formula>"Fail"</formula>
    </cfRule>
  </conditionalFormatting>
  <conditionalFormatting sqref="A1054:A1056">
    <cfRule type="cellIs" dxfId="2863" priority="2701" stopIfTrue="1" operator="equal">
      <formula>"Pass"</formula>
    </cfRule>
    <cfRule type="cellIs" dxfId="2862" priority="2702" stopIfTrue="1" operator="equal">
      <formula>"Fail"</formula>
    </cfRule>
  </conditionalFormatting>
  <conditionalFormatting sqref="A1054:A1056">
    <cfRule type="cellIs" dxfId="2861" priority="2699" stopIfTrue="1" operator="equal">
      <formula>"Pass"</formula>
    </cfRule>
    <cfRule type="cellIs" dxfId="2860" priority="2700" stopIfTrue="1" operator="equal">
      <formula>"Fail"</formula>
    </cfRule>
  </conditionalFormatting>
  <conditionalFormatting sqref="A1054:A1056">
    <cfRule type="cellIs" dxfId="2859" priority="2697" stopIfTrue="1" operator="equal">
      <formula>"Pass"</formula>
    </cfRule>
    <cfRule type="cellIs" dxfId="2858" priority="2698" stopIfTrue="1" operator="equal">
      <formula>"Fail"</formula>
    </cfRule>
  </conditionalFormatting>
  <conditionalFormatting sqref="A1054:A1056">
    <cfRule type="cellIs" dxfId="2857" priority="2695" stopIfTrue="1" operator="equal">
      <formula>"Pass"</formula>
    </cfRule>
    <cfRule type="cellIs" dxfId="2856" priority="2696" stopIfTrue="1" operator="equal">
      <formula>"Fail"</formula>
    </cfRule>
  </conditionalFormatting>
  <conditionalFormatting sqref="A1054:A1056">
    <cfRule type="cellIs" dxfId="2855" priority="2693" stopIfTrue="1" operator="equal">
      <formula>"Pass"</formula>
    </cfRule>
    <cfRule type="cellIs" dxfId="2854" priority="2694" stopIfTrue="1" operator="equal">
      <formula>"Fail"</formula>
    </cfRule>
  </conditionalFormatting>
  <conditionalFormatting sqref="A1056">
    <cfRule type="cellIs" dxfId="2853" priority="2691" stopIfTrue="1" operator="equal">
      <formula>"Pass"</formula>
    </cfRule>
    <cfRule type="cellIs" dxfId="2852" priority="2692" stopIfTrue="1" operator="equal">
      <formula>"Fail"</formula>
    </cfRule>
  </conditionalFormatting>
  <conditionalFormatting sqref="A1054:A1056">
    <cfRule type="cellIs" dxfId="2851" priority="2689" stopIfTrue="1" operator="equal">
      <formula>"Pass"</formula>
    </cfRule>
    <cfRule type="cellIs" dxfId="2850" priority="2690" stopIfTrue="1" operator="equal">
      <formula>"Fail"</formula>
    </cfRule>
  </conditionalFormatting>
  <conditionalFormatting sqref="A1054:A1056">
    <cfRule type="cellIs" dxfId="2849" priority="2687" stopIfTrue="1" operator="equal">
      <formula>"Pass"</formula>
    </cfRule>
    <cfRule type="cellIs" dxfId="2848" priority="2688" stopIfTrue="1" operator="equal">
      <formula>"Fail"</formula>
    </cfRule>
  </conditionalFormatting>
  <conditionalFormatting sqref="A1054:A1056">
    <cfRule type="cellIs" dxfId="2847" priority="2685" stopIfTrue="1" operator="equal">
      <formula>"Pass"</formula>
    </cfRule>
    <cfRule type="cellIs" dxfId="2846" priority="2686" stopIfTrue="1" operator="equal">
      <formula>"Fail"</formula>
    </cfRule>
  </conditionalFormatting>
  <conditionalFormatting sqref="A1054:A1056">
    <cfRule type="cellIs" dxfId="2845" priority="2683" stopIfTrue="1" operator="equal">
      <formula>"Pass"</formula>
    </cfRule>
    <cfRule type="cellIs" dxfId="2844" priority="2684" stopIfTrue="1" operator="equal">
      <formula>"Fail"</formula>
    </cfRule>
  </conditionalFormatting>
  <conditionalFormatting sqref="A1054:A1056">
    <cfRule type="cellIs" dxfId="2843" priority="2681" stopIfTrue="1" operator="equal">
      <formula>"Pass"</formula>
    </cfRule>
    <cfRule type="cellIs" dxfId="2842" priority="2682" stopIfTrue="1" operator="equal">
      <formula>"Fail"</formula>
    </cfRule>
  </conditionalFormatting>
  <conditionalFormatting sqref="A1054:A1056">
    <cfRule type="cellIs" dxfId="2841" priority="2679" stopIfTrue="1" operator="equal">
      <formula>"Pass"</formula>
    </cfRule>
    <cfRule type="cellIs" dxfId="2840" priority="2680" stopIfTrue="1" operator="equal">
      <formula>"Fail"</formula>
    </cfRule>
  </conditionalFormatting>
  <conditionalFormatting sqref="A1056">
    <cfRule type="cellIs" dxfId="2839" priority="2677" stopIfTrue="1" operator="equal">
      <formula>"Pass"</formula>
    </cfRule>
    <cfRule type="cellIs" dxfId="2838" priority="2678" stopIfTrue="1" operator="equal">
      <formula>"Fail"</formula>
    </cfRule>
  </conditionalFormatting>
  <conditionalFormatting sqref="A1054:A1056">
    <cfRule type="cellIs" dxfId="2837" priority="2675" stopIfTrue="1" operator="equal">
      <formula>"Pass"</formula>
    </cfRule>
    <cfRule type="cellIs" dxfId="2836" priority="2676" stopIfTrue="1" operator="equal">
      <formula>"Fail"</formula>
    </cfRule>
  </conditionalFormatting>
  <conditionalFormatting sqref="A1054:A1056">
    <cfRule type="cellIs" dxfId="2835" priority="2673" stopIfTrue="1" operator="equal">
      <formula>"Pass"</formula>
    </cfRule>
    <cfRule type="cellIs" dxfId="2834" priority="2674" stopIfTrue="1" operator="equal">
      <formula>"Fail"</formula>
    </cfRule>
  </conditionalFormatting>
  <conditionalFormatting sqref="A1054:A1056">
    <cfRule type="cellIs" dxfId="2833" priority="2671" stopIfTrue="1" operator="equal">
      <formula>"Pass"</formula>
    </cfRule>
    <cfRule type="cellIs" dxfId="2832" priority="2672" stopIfTrue="1" operator="equal">
      <formula>"Fail"</formula>
    </cfRule>
  </conditionalFormatting>
  <conditionalFormatting sqref="A1054:A1056">
    <cfRule type="cellIs" dxfId="2831" priority="2669" stopIfTrue="1" operator="equal">
      <formula>"Pass"</formula>
    </cfRule>
    <cfRule type="cellIs" dxfId="2830" priority="2670" stopIfTrue="1" operator="equal">
      <formula>"Fail"</formula>
    </cfRule>
  </conditionalFormatting>
  <conditionalFormatting sqref="A1054:A1056">
    <cfRule type="cellIs" dxfId="2829" priority="2667" stopIfTrue="1" operator="equal">
      <formula>"Pass"</formula>
    </cfRule>
    <cfRule type="cellIs" dxfId="2828" priority="2668" stopIfTrue="1" operator="equal">
      <formula>"Fail"</formula>
    </cfRule>
  </conditionalFormatting>
  <conditionalFormatting sqref="A1054:A1056">
    <cfRule type="cellIs" dxfId="2827" priority="2665" stopIfTrue="1" operator="equal">
      <formula>"Pass"</formula>
    </cfRule>
    <cfRule type="cellIs" dxfId="2826" priority="2666" stopIfTrue="1" operator="equal">
      <formula>"Fail"</formula>
    </cfRule>
  </conditionalFormatting>
  <conditionalFormatting sqref="A1056">
    <cfRule type="cellIs" dxfId="2825" priority="2663" stopIfTrue="1" operator="equal">
      <formula>"Pass"</formula>
    </cfRule>
    <cfRule type="cellIs" dxfId="2824" priority="2664" stopIfTrue="1" operator="equal">
      <formula>"Fail"</formula>
    </cfRule>
  </conditionalFormatting>
  <conditionalFormatting sqref="A1054:A1056">
    <cfRule type="cellIs" dxfId="2823" priority="2661" stopIfTrue="1" operator="equal">
      <formula>"Pass"</formula>
    </cfRule>
    <cfRule type="cellIs" dxfId="2822" priority="2662" stopIfTrue="1" operator="equal">
      <formula>"Fail"</formula>
    </cfRule>
  </conditionalFormatting>
  <conditionalFormatting sqref="A1054">
    <cfRule type="cellIs" dxfId="2821" priority="2659" stopIfTrue="1" operator="equal">
      <formula>"Pass"</formula>
    </cfRule>
    <cfRule type="cellIs" dxfId="2820" priority="2660" stopIfTrue="1" operator="equal">
      <formula>"Fail"</formula>
    </cfRule>
  </conditionalFormatting>
  <conditionalFormatting sqref="A1054">
    <cfRule type="cellIs" dxfId="2819" priority="2657" stopIfTrue="1" operator="equal">
      <formula>"Pass"</formula>
    </cfRule>
    <cfRule type="cellIs" dxfId="2818" priority="2658" stopIfTrue="1" operator="equal">
      <formula>"Fail"</formula>
    </cfRule>
  </conditionalFormatting>
  <conditionalFormatting sqref="A1054">
    <cfRule type="cellIs" dxfId="2817" priority="2655" stopIfTrue="1" operator="equal">
      <formula>"Pass"</formula>
    </cfRule>
    <cfRule type="cellIs" dxfId="2816" priority="2656" stopIfTrue="1" operator="equal">
      <formula>"Fail"</formula>
    </cfRule>
  </conditionalFormatting>
  <conditionalFormatting sqref="A1054">
    <cfRule type="cellIs" dxfId="2815" priority="2653" stopIfTrue="1" operator="equal">
      <formula>"Pass"</formula>
    </cfRule>
    <cfRule type="cellIs" dxfId="2814" priority="2654" stopIfTrue="1" operator="equal">
      <formula>"Fail"</formula>
    </cfRule>
  </conditionalFormatting>
  <conditionalFormatting sqref="A1054">
    <cfRule type="cellIs" dxfId="2813" priority="2651" stopIfTrue="1" operator="equal">
      <formula>"Pass"</formula>
    </cfRule>
    <cfRule type="cellIs" dxfId="2812" priority="2652" stopIfTrue="1" operator="equal">
      <formula>"Fail"</formula>
    </cfRule>
  </conditionalFormatting>
  <conditionalFormatting sqref="A1054">
    <cfRule type="cellIs" dxfId="2811" priority="2649" stopIfTrue="1" operator="equal">
      <formula>"Pass"</formula>
    </cfRule>
    <cfRule type="cellIs" dxfId="2810" priority="2650" stopIfTrue="1" operator="equal">
      <formula>"Fail"</formula>
    </cfRule>
  </conditionalFormatting>
  <conditionalFormatting sqref="H1054:H1055">
    <cfRule type="cellIs" dxfId="2809" priority="2647" stopIfTrue="1" operator="equal">
      <formula>"Pass"</formula>
    </cfRule>
    <cfRule type="cellIs" dxfId="2808" priority="2648" stopIfTrue="1" operator="equal">
      <formula>"Fail"</formula>
    </cfRule>
  </conditionalFormatting>
  <conditionalFormatting sqref="E1054:F1054 E1056:F1056 A1054 I1054:M1055">
    <cfRule type="cellIs" dxfId="2807" priority="2645" stopIfTrue="1" operator="equal">
      <formula>"Pass"</formula>
    </cfRule>
    <cfRule type="cellIs" dxfId="2806" priority="2646" stopIfTrue="1" operator="equal">
      <formula>"Fail"</formula>
    </cfRule>
  </conditionalFormatting>
  <conditionalFormatting sqref="T1056 T1054 R1054:R1056 S1055:S1056">
    <cfRule type="cellIs" dxfId="2805" priority="2643" stopIfTrue="1" operator="equal">
      <formula>"Fail"</formula>
    </cfRule>
    <cfRule type="cellIs" dxfId="2804" priority="2644" stopIfTrue="1" operator="equal">
      <formula>"Pass"</formula>
    </cfRule>
  </conditionalFormatting>
  <conditionalFormatting sqref="F1054:G1054 F1056:G1056 B1054:B1056 A1054 J1054:N1055">
    <cfRule type="cellIs" dxfId="2803" priority="2641" stopIfTrue="1" operator="equal">
      <formula>"Pass"</formula>
    </cfRule>
    <cfRule type="cellIs" dxfId="2802" priority="2642" stopIfTrue="1" operator="equal">
      <formula>"Fail"</formula>
    </cfRule>
  </conditionalFormatting>
  <conditionalFormatting sqref="U1056:V1056 T1054:T1056 S1055:S1056">
    <cfRule type="cellIs" dxfId="2801" priority="2639" stopIfTrue="1" operator="equal">
      <formula>"Fail"</formula>
    </cfRule>
    <cfRule type="cellIs" dxfId="2800" priority="2640" stopIfTrue="1" operator="equal">
      <formula>"Pass"</formula>
    </cfRule>
  </conditionalFormatting>
  <conditionalFormatting sqref="A1054">
    <cfRule type="cellIs" dxfId="2799" priority="2637" stopIfTrue="1" operator="equal">
      <formula>"Pass"</formula>
    </cfRule>
    <cfRule type="cellIs" dxfId="2798" priority="2638" stopIfTrue="1" operator="equal">
      <formula>"Fail"</formula>
    </cfRule>
  </conditionalFormatting>
  <conditionalFormatting sqref="A1054">
    <cfRule type="cellIs" dxfId="2797" priority="2635" stopIfTrue="1" operator="equal">
      <formula>"Pass"</formula>
    </cfRule>
    <cfRule type="cellIs" dxfId="2796" priority="2636" stopIfTrue="1" operator="equal">
      <formula>"Fail"</formula>
    </cfRule>
  </conditionalFormatting>
  <conditionalFormatting sqref="A1054">
    <cfRule type="cellIs" dxfId="2795" priority="2633" stopIfTrue="1" operator="equal">
      <formula>"Pass"</formula>
    </cfRule>
    <cfRule type="cellIs" dxfId="2794" priority="2634" stopIfTrue="1" operator="equal">
      <formula>"Fail"</formula>
    </cfRule>
  </conditionalFormatting>
  <conditionalFormatting sqref="A1054">
    <cfRule type="cellIs" dxfId="2793" priority="2631" stopIfTrue="1" operator="equal">
      <formula>"Pass"</formula>
    </cfRule>
    <cfRule type="cellIs" dxfId="2792" priority="2632" stopIfTrue="1" operator="equal">
      <formula>"Fail"</formula>
    </cfRule>
  </conditionalFormatting>
  <conditionalFormatting sqref="A1054">
    <cfRule type="cellIs" dxfId="2791" priority="2629" stopIfTrue="1" operator="equal">
      <formula>"Pass"</formula>
    </cfRule>
    <cfRule type="cellIs" dxfId="2790" priority="2630" stopIfTrue="1" operator="equal">
      <formula>"Fail"</formula>
    </cfRule>
  </conditionalFormatting>
  <conditionalFormatting sqref="A1054">
    <cfRule type="cellIs" dxfId="2789" priority="2627" stopIfTrue="1" operator="equal">
      <formula>"Pass"</formula>
    </cfRule>
    <cfRule type="cellIs" dxfId="2788" priority="2628" stopIfTrue="1" operator="equal">
      <formula>"Fail"</formula>
    </cfRule>
  </conditionalFormatting>
  <conditionalFormatting sqref="A1054">
    <cfRule type="cellIs" dxfId="2787" priority="2625" stopIfTrue="1" operator="equal">
      <formula>"Pass"</formula>
    </cfRule>
    <cfRule type="cellIs" dxfId="2786" priority="2626" stopIfTrue="1" operator="equal">
      <formula>"Fail"</formula>
    </cfRule>
  </conditionalFormatting>
  <conditionalFormatting sqref="A1054">
    <cfRule type="cellIs" dxfId="2785" priority="2623" stopIfTrue="1" operator="equal">
      <formula>"Pass"</formula>
    </cfRule>
    <cfRule type="cellIs" dxfId="2784" priority="2624" stopIfTrue="1" operator="equal">
      <formula>"Fail"</formula>
    </cfRule>
  </conditionalFormatting>
  <conditionalFormatting sqref="A1054">
    <cfRule type="cellIs" dxfId="2783" priority="2621" stopIfTrue="1" operator="equal">
      <formula>"Pass"</formula>
    </cfRule>
    <cfRule type="cellIs" dxfId="2782" priority="2622" stopIfTrue="1" operator="equal">
      <formula>"Fail"</formula>
    </cfRule>
  </conditionalFormatting>
  <conditionalFormatting sqref="A1054">
    <cfRule type="cellIs" dxfId="2781" priority="2619" stopIfTrue="1" operator="equal">
      <formula>"Pass"</formula>
    </cfRule>
    <cfRule type="cellIs" dxfId="2780" priority="2620" stopIfTrue="1" operator="equal">
      <formula>"Fail"</formula>
    </cfRule>
  </conditionalFormatting>
  <conditionalFormatting sqref="U1054:V1054">
    <cfRule type="cellIs" dxfId="2779" priority="2617" stopIfTrue="1" operator="equal">
      <formula>"Fail"</formula>
    </cfRule>
    <cfRule type="cellIs" dxfId="2778" priority="2618" stopIfTrue="1" operator="equal">
      <formula>"Pass"</formula>
    </cfRule>
  </conditionalFormatting>
  <conditionalFormatting sqref="F1054:G1054 J1054:N1054">
    <cfRule type="cellIs" dxfId="2777" priority="2615" stopIfTrue="1" operator="equal">
      <formula>"Pass"</formula>
    </cfRule>
    <cfRule type="cellIs" dxfId="2776" priority="2616" stopIfTrue="1" operator="equal">
      <formula>"Fail"</formula>
    </cfRule>
  </conditionalFormatting>
  <conditionalFormatting sqref="J1055:N1055">
    <cfRule type="cellIs" dxfId="2775" priority="2613" stopIfTrue="1" operator="equal">
      <formula>"Pass"</formula>
    </cfRule>
    <cfRule type="cellIs" dxfId="2774" priority="2614" stopIfTrue="1" operator="equal">
      <formula>"Fail"</formula>
    </cfRule>
  </conditionalFormatting>
  <conditionalFormatting sqref="A1054">
    <cfRule type="cellIs" dxfId="2773" priority="2611" stopIfTrue="1" operator="equal">
      <formula>"Pass"</formula>
    </cfRule>
    <cfRule type="cellIs" dxfId="2772" priority="2612" stopIfTrue="1" operator="equal">
      <formula>"Fail"</formula>
    </cfRule>
  </conditionalFormatting>
  <conditionalFormatting sqref="A1054">
    <cfRule type="cellIs" dxfId="2771" priority="2609" stopIfTrue="1" operator="equal">
      <formula>"Pass"</formula>
    </cfRule>
    <cfRule type="cellIs" dxfId="2770" priority="2610" stopIfTrue="1" operator="equal">
      <formula>"Fail"</formula>
    </cfRule>
  </conditionalFormatting>
  <conditionalFormatting sqref="A1054">
    <cfRule type="cellIs" dxfId="2769" priority="2607" stopIfTrue="1" operator="equal">
      <formula>"Pass"</formula>
    </cfRule>
    <cfRule type="cellIs" dxfId="2768" priority="2608" stopIfTrue="1" operator="equal">
      <formula>"Fail"</formula>
    </cfRule>
  </conditionalFormatting>
  <conditionalFormatting sqref="A1054">
    <cfRule type="cellIs" dxfId="2767" priority="2605" stopIfTrue="1" operator="equal">
      <formula>"Pass"</formula>
    </cfRule>
    <cfRule type="cellIs" dxfId="2766" priority="2606" stopIfTrue="1" operator="equal">
      <formula>"Fail"</formula>
    </cfRule>
  </conditionalFormatting>
  <conditionalFormatting sqref="A1054">
    <cfRule type="cellIs" dxfId="2765" priority="2603" stopIfTrue="1" operator="equal">
      <formula>"Pass"</formula>
    </cfRule>
    <cfRule type="cellIs" dxfId="2764" priority="2604" stopIfTrue="1" operator="equal">
      <formula>"Fail"</formula>
    </cfRule>
  </conditionalFormatting>
  <conditionalFormatting sqref="A1054">
    <cfRule type="cellIs" dxfId="2763" priority="2601" stopIfTrue="1" operator="equal">
      <formula>"Pass"</formula>
    </cfRule>
    <cfRule type="cellIs" dxfId="2762" priority="2602" stopIfTrue="1" operator="equal">
      <formula>"Fail"</formula>
    </cfRule>
  </conditionalFormatting>
  <conditionalFormatting sqref="A1054">
    <cfRule type="cellIs" dxfId="2761" priority="2599" stopIfTrue="1" operator="equal">
      <formula>"Pass"</formula>
    </cfRule>
    <cfRule type="cellIs" dxfId="2760" priority="2600" stopIfTrue="1" operator="equal">
      <formula>"Fail"</formula>
    </cfRule>
  </conditionalFormatting>
  <conditionalFormatting sqref="A1054">
    <cfRule type="cellIs" dxfId="2759" priority="2597" stopIfTrue="1" operator="equal">
      <formula>"Pass"</formula>
    </cfRule>
    <cfRule type="cellIs" dxfId="2758" priority="2598" stopIfTrue="1" operator="equal">
      <formula>"Fail"</formula>
    </cfRule>
  </conditionalFormatting>
  <conditionalFormatting sqref="A1054">
    <cfRule type="cellIs" dxfId="2757" priority="2595" stopIfTrue="1" operator="equal">
      <formula>"Pass"</formula>
    </cfRule>
    <cfRule type="cellIs" dxfId="2756" priority="2596" stopIfTrue="1" operator="equal">
      <formula>"Fail"</formula>
    </cfRule>
  </conditionalFormatting>
  <conditionalFormatting sqref="A1054">
    <cfRule type="cellIs" dxfId="2755" priority="2593" stopIfTrue="1" operator="equal">
      <formula>"Pass"</formula>
    </cfRule>
    <cfRule type="cellIs" dxfId="2754" priority="2594" stopIfTrue="1" operator="equal">
      <formula>"Fail"</formula>
    </cfRule>
  </conditionalFormatting>
  <conditionalFormatting sqref="A1054">
    <cfRule type="cellIs" dxfId="2753" priority="2591" stopIfTrue="1" operator="equal">
      <formula>"Pass"</formula>
    </cfRule>
    <cfRule type="cellIs" dxfId="2752" priority="2592" stopIfTrue="1" operator="equal">
      <formula>"Fail"</formula>
    </cfRule>
  </conditionalFormatting>
  <conditionalFormatting sqref="A1054">
    <cfRule type="cellIs" dxfId="2751" priority="2589" stopIfTrue="1" operator="equal">
      <formula>"Pass"</formula>
    </cfRule>
    <cfRule type="cellIs" dxfId="2750" priority="2590" stopIfTrue="1" operator="equal">
      <formula>"Fail"</formula>
    </cfRule>
  </conditionalFormatting>
  <conditionalFormatting sqref="H1054:H1055">
    <cfRule type="cellIs" dxfId="2749" priority="2587" stopIfTrue="1" operator="equal">
      <formula>"Pass"</formula>
    </cfRule>
    <cfRule type="cellIs" dxfId="2748" priority="2588" stopIfTrue="1" operator="equal">
      <formula>"Fail"</formula>
    </cfRule>
  </conditionalFormatting>
  <conditionalFormatting sqref="F1054 F1056 I1054:M1055">
    <cfRule type="cellIs" dxfId="2747" priority="2585" stopIfTrue="1" operator="equal">
      <formula>"Pass"</formula>
    </cfRule>
    <cfRule type="cellIs" dxfId="2746" priority="2586" stopIfTrue="1" operator="equal">
      <formula>"Fail"</formula>
    </cfRule>
  </conditionalFormatting>
  <conditionalFormatting sqref="T1056 T1054 R1054:R1056 S1055:S1056">
    <cfRule type="cellIs" dxfId="2745" priority="2583" stopIfTrue="1" operator="equal">
      <formula>"Fail"</formula>
    </cfRule>
    <cfRule type="cellIs" dxfId="2744" priority="2584" stopIfTrue="1" operator="equal">
      <formula>"Pass"</formula>
    </cfRule>
  </conditionalFormatting>
  <conditionalFormatting sqref="F1054:G1054 F1056:G1056 J1054:N1055">
    <cfRule type="cellIs" dxfId="2743" priority="2581" stopIfTrue="1" operator="equal">
      <formula>"Pass"</formula>
    </cfRule>
    <cfRule type="cellIs" dxfId="2742" priority="2582" stopIfTrue="1" operator="equal">
      <formula>"Fail"</formula>
    </cfRule>
  </conditionalFormatting>
  <conditionalFormatting sqref="U1056:V1056 T1054:T1056 S1055:S1056">
    <cfRule type="cellIs" dxfId="2741" priority="2579" stopIfTrue="1" operator="equal">
      <formula>"Fail"</formula>
    </cfRule>
    <cfRule type="cellIs" dxfId="2740" priority="2580" stopIfTrue="1" operator="equal">
      <formula>"Pass"</formula>
    </cfRule>
  </conditionalFormatting>
  <conditionalFormatting sqref="U1054:V1054">
    <cfRule type="cellIs" dxfId="2739" priority="2577" stopIfTrue="1" operator="equal">
      <formula>"Fail"</formula>
    </cfRule>
    <cfRule type="cellIs" dxfId="2738" priority="2578" stopIfTrue="1" operator="equal">
      <formula>"Pass"</formula>
    </cfRule>
  </conditionalFormatting>
  <conditionalFormatting sqref="F1054:G1054 J1054:N1054">
    <cfRule type="cellIs" dxfId="2737" priority="2575" stopIfTrue="1" operator="equal">
      <formula>"Pass"</formula>
    </cfRule>
    <cfRule type="cellIs" dxfId="2736" priority="2576" stopIfTrue="1" operator="equal">
      <formula>"Fail"</formula>
    </cfRule>
  </conditionalFormatting>
  <conditionalFormatting sqref="J1055:N1055">
    <cfRule type="cellIs" dxfId="2735" priority="2573" stopIfTrue="1" operator="equal">
      <formula>"Pass"</formula>
    </cfRule>
    <cfRule type="cellIs" dxfId="2734" priority="2574" stopIfTrue="1" operator="equal">
      <formula>"Fail"</formula>
    </cfRule>
  </conditionalFormatting>
  <conditionalFormatting sqref="H1054:H1055">
    <cfRule type="cellIs" dxfId="2733" priority="2571" stopIfTrue="1" operator="equal">
      <formula>"Pass"</formula>
    </cfRule>
    <cfRule type="cellIs" dxfId="2732" priority="2572" stopIfTrue="1" operator="equal">
      <formula>"Fail"</formula>
    </cfRule>
  </conditionalFormatting>
  <conditionalFormatting sqref="F1054 F1056 I1054:M1055">
    <cfRule type="cellIs" dxfId="2731" priority="2569" stopIfTrue="1" operator="equal">
      <formula>"Pass"</formula>
    </cfRule>
    <cfRule type="cellIs" dxfId="2730" priority="2570" stopIfTrue="1" operator="equal">
      <formula>"Fail"</formula>
    </cfRule>
  </conditionalFormatting>
  <conditionalFormatting sqref="T1056 T1054 R1054:R1056 S1055:S1056">
    <cfRule type="cellIs" dxfId="2729" priority="2567" stopIfTrue="1" operator="equal">
      <formula>"Fail"</formula>
    </cfRule>
    <cfRule type="cellIs" dxfId="2728" priority="2568" stopIfTrue="1" operator="equal">
      <formula>"Pass"</formula>
    </cfRule>
  </conditionalFormatting>
  <conditionalFormatting sqref="F1054:G1054 F1056:G1056 J1054:N1055">
    <cfRule type="cellIs" dxfId="2727" priority="2565" stopIfTrue="1" operator="equal">
      <formula>"Pass"</formula>
    </cfRule>
    <cfRule type="cellIs" dxfId="2726" priority="2566" stopIfTrue="1" operator="equal">
      <formula>"Fail"</formula>
    </cfRule>
  </conditionalFormatting>
  <conditionalFormatting sqref="U1056:V1056 T1054:T1056 S1055:S1056">
    <cfRule type="cellIs" dxfId="2725" priority="2563" stopIfTrue="1" operator="equal">
      <formula>"Fail"</formula>
    </cfRule>
    <cfRule type="cellIs" dxfId="2724" priority="2564" stopIfTrue="1" operator="equal">
      <formula>"Pass"</formula>
    </cfRule>
  </conditionalFormatting>
  <conditionalFormatting sqref="U1054:V1054">
    <cfRule type="cellIs" dxfId="2723" priority="2561" stopIfTrue="1" operator="equal">
      <formula>"Fail"</formula>
    </cfRule>
    <cfRule type="cellIs" dxfId="2722" priority="2562" stopIfTrue="1" operator="equal">
      <formula>"Pass"</formula>
    </cfRule>
  </conditionalFormatting>
  <conditionalFormatting sqref="F1054:G1054 J1054:N1054">
    <cfRule type="cellIs" dxfId="2721" priority="2559" stopIfTrue="1" operator="equal">
      <formula>"Pass"</formula>
    </cfRule>
    <cfRule type="cellIs" dxfId="2720" priority="2560" stopIfTrue="1" operator="equal">
      <formula>"Fail"</formula>
    </cfRule>
  </conditionalFormatting>
  <conditionalFormatting sqref="J1055:N1055">
    <cfRule type="cellIs" dxfId="2719" priority="2557" stopIfTrue="1" operator="equal">
      <formula>"Pass"</formula>
    </cfRule>
    <cfRule type="cellIs" dxfId="2718" priority="2558" stopIfTrue="1" operator="equal">
      <formula>"Fail"</formula>
    </cfRule>
  </conditionalFormatting>
  <conditionalFormatting sqref="U1054:V1054">
    <cfRule type="cellIs" dxfId="2717" priority="2555" stopIfTrue="1" operator="equal">
      <formula>"Fail"</formula>
    </cfRule>
    <cfRule type="cellIs" dxfId="2716" priority="2556" stopIfTrue="1" operator="equal">
      <formula>"Pass"</formula>
    </cfRule>
  </conditionalFormatting>
  <conditionalFormatting sqref="U1054:V1054">
    <cfRule type="cellIs" dxfId="2715" priority="2553" stopIfTrue="1" operator="equal">
      <formula>"Fail"</formula>
    </cfRule>
    <cfRule type="cellIs" dxfId="2714" priority="2554" stopIfTrue="1" operator="equal">
      <formula>"Pass"</formula>
    </cfRule>
  </conditionalFormatting>
  <conditionalFormatting sqref="U1054:V1054">
    <cfRule type="cellIs" dxfId="2713" priority="2551" stopIfTrue="1" operator="equal">
      <formula>"Fail"</formula>
    </cfRule>
    <cfRule type="cellIs" dxfId="2712" priority="2552" stopIfTrue="1" operator="equal">
      <formula>"Pass"</formula>
    </cfRule>
  </conditionalFormatting>
  <conditionalFormatting sqref="N1054">
    <cfRule type="cellIs" dxfId="2711" priority="2549" stopIfTrue="1" operator="equal">
      <formula>"Pass"</formula>
    </cfRule>
    <cfRule type="cellIs" dxfId="2710" priority="2550" stopIfTrue="1" operator="equal">
      <formula>"Fail"</formula>
    </cfRule>
  </conditionalFormatting>
  <conditionalFormatting sqref="N1054">
    <cfRule type="cellIs" dxfId="2709" priority="2547" stopIfTrue="1" operator="equal">
      <formula>"Pass"</formula>
    </cfRule>
    <cfRule type="cellIs" dxfId="2708" priority="2548" stopIfTrue="1" operator="equal">
      <formula>"Fail"</formula>
    </cfRule>
  </conditionalFormatting>
  <conditionalFormatting sqref="N1054">
    <cfRule type="cellIs" dxfId="2707" priority="2545" stopIfTrue="1" operator="equal">
      <formula>"Pass"</formula>
    </cfRule>
    <cfRule type="cellIs" dxfId="2706" priority="2546" stopIfTrue="1" operator="equal">
      <formula>"Fail"</formula>
    </cfRule>
  </conditionalFormatting>
  <conditionalFormatting sqref="A1054">
    <cfRule type="cellIs" dxfId="2705" priority="2543" stopIfTrue="1" operator="equal">
      <formula>"Pass"</formula>
    </cfRule>
    <cfRule type="cellIs" dxfId="2704" priority="2544" stopIfTrue="1" operator="equal">
      <formula>"Fail"</formula>
    </cfRule>
  </conditionalFormatting>
  <conditionalFormatting sqref="A1054">
    <cfRule type="cellIs" dxfId="2703" priority="2541" stopIfTrue="1" operator="equal">
      <formula>"Pass"</formula>
    </cfRule>
    <cfRule type="cellIs" dxfId="2702" priority="2542" stopIfTrue="1" operator="equal">
      <formula>"Fail"</formula>
    </cfRule>
  </conditionalFormatting>
  <conditionalFormatting sqref="A1054">
    <cfRule type="cellIs" dxfId="2701" priority="2539" stopIfTrue="1" operator="equal">
      <formula>"Pass"</formula>
    </cfRule>
    <cfRule type="cellIs" dxfId="2700" priority="2540" stopIfTrue="1" operator="equal">
      <formula>"Fail"</formula>
    </cfRule>
  </conditionalFormatting>
  <conditionalFormatting sqref="A1054">
    <cfRule type="cellIs" dxfId="2699" priority="2537" stopIfTrue="1" operator="equal">
      <formula>"Pass"</formula>
    </cfRule>
    <cfRule type="cellIs" dxfId="2698" priority="2538" stopIfTrue="1" operator="equal">
      <formula>"Fail"</formula>
    </cfRule>
  </conditionalFormatting>
  <conditionalFormatting sqref="A1054">
    <cfRule type="cellIs" dxfId="2697" priority="2535" stopIfTrue="1" operator="equal">
      <formula>"Pass"</formula>
    </cfRule>
    <cfRule type="cellIs" dxfId="2696" priority="2536" stopIfTrue="1" operator="equal">
      <formula>"Fail"</formula>
    </cfRule>
  </conditionalFormatting>
  <conditionalFormatting sqref="A1054">
    <cfRule type="cellIs" dxfId="2695" priority="2533" stopIfTrue="1" operator="equal">
      <formula>"Pass"</formula>
    </cfRule>
    <cfRule type="cellIs" dxfId="2694" priority="2534" stopIfTrue="1" operator="equal">
      <formula>"Fail"</formula>
    </cfRule>
  </conditionalFormatting>
  <conditionalFormatting sqref="A1054">
    <cfRule type="cellIs" dxfId="2693" priority="2531" stopIfTrue="1" operator="equal">
      <formula>"Pass"</formula>
    </cfRule>
    <cfRule type="cellIs" dxfId="2692" priority="2532" stopIfTrue="1" operator="equal">
      <formula>"Fail"</formula>
    </cfRule>
  </conditionalFormatting>
  <conditionalFormatting sqref="A1054">
    <cfRule type="cellIs" dxfId="2691" priority="2529" stopIfTrue="1" operator="equal">
      <formula>"Pass"</formula>
    </cfRule>
    <cfRule type="cellIs" dxfId="2690" priority="2530" stopIfTrue="1" operator="equal">
      <formula>"Fail"</formula>
    </cfRule>
  </conditionalFormatting>
  <conditionalFormatting sqref="A1054">
    <cfRule type="cellIs" dxfId="2689" priority="2527" stopIfTrue="1" operator="equal">
      <formula>"Pass"</formula>
    </cfRule>
    <cfRule type="cellIs" dxfId="2688" priority="2528" stopIfTrue="1" operator="equal">
      <formula>"Fail"</formula>
    </cfRule>
  </conditionalFormatting>
  <conditionalFormatting sqref="A1054">
    <cfRule type="cellIs" dxfId="2687" priority="2525" stopIfTrue="1" operator="equal">
      <formula>"Pass"</formula>
    </cfRule>
    <cfRule type="cellIs" dxfId="2686" priority="2526" stopIfTrue="1" operator="equal">
      <formula>"Fail"</formula>
    </cfRule>
  </conditionalFormatting>
  <conditionalFormatting sqref="A1054">
    <cfRule type="cellIs" dxfId="2685" priority="2523" stopIfTrue="1" operator="equal">
      <formula>"Pass"</formula>
    </cfRule>
    <cfRule type="cellIs" dxfId="2684" priority="2524" stopIfTrue="1" operator="equal">
      <formula>"Fail"</formula>
    </cfRule>
  </conditionalFormatting>
  <conditionalFormatting sqref="A1054">
    <cfRule type="cellIs" dxfId="2683" priority="2521" stopIfTrue="1" operator="equal">
      <formula>"Pass"</formula>
    </cfRule>
    <cfRule type="cellIs" dxfId="2682" priority="2522" stopIfTrue="1" operator="equal">
      <formula>"Fail"</formula>
    </cfRule>
  </conditionalFormatting>
  <conditionalFormatting sqref="A1054">
    <cfRule type="cellIs" dxfId="2681" priority="2519" stopIfTrue="1" operator="equal">
      <formula>"Pass"</formula>
    </cfRule>
    <cfRule type="cellIs" dxfId="2680" priority="2520" stopIfTrue="1" operator="equal">
      <formula>"Fail"</formula>
    </cfRule>
  </conditionalFormatting>
  <conditionalFormatting sqref="A1054">
    <cfRule type="cellIs" dxfId="2679" priority="2517" stopIfTrue="1" operator="equal">
      <formula>"Pass"</formula>
    </cfRule>
    <cfRule type="cellIs" dxfId="2678" priority="2518" stopIfTrue="1" operator="equal">
      <formula>"Fail"</formula>
    </cfRule>
  </conditionalFormatting>
  <conditionalFormatting sqref="A1054">
    <cfRule type="cellIs" dxfId="2677" priority="2515" stopIfTrue="1" operator="equal">
      <formula>"Pass"</formula>
    </cfRule>
    <cfRule type="cellIs" dxfId="2676" priority="2516" stopIfTrue="1" operator="equal">
      <formula>"Fail"</formula>
    </cfRule>
  </conditionalFormatting>
  <conditionalFormatting sqref="A1054">
    <cfRule type="cellIs" dxfId="2675" priority="2513" stopIfTrue="1" operator="equal">
      <formula>"Pass"</formula>
    </cfRule>
    <cfRule type="cellIs" dxfId="2674" priority="2514" stopIfTrue="1" operator="equal">
      <formula>"Fail"</formula>
    </cfRule>
  </conditionalFormatting>
  <conditionalFormatting sqref="A1054">
    <cfRule type="cellIs" dxfId="2673" priority="2511" stopIfTrue="1" operator="equal">
      <formula>"Pass"</formula>
    </cfRule>
    <cfRule type="cellIs" dxfId="2672" priority="2512" stopIfTrue="1" operator="equal">
      <formula>"Fail"</formula>
    </cfRule>
  </conditionalFormatting>
  <conditionalFormatting sqref="A1054">
    <cfRule type="cellIs" dxfId="2671" priority="2509" stopIfTrue="1" operator="equal">
      <formula>"Pass"</formula>
    </cfRule>
    <cfRule type="cellIs" dxfId="2670" priority="2510" stopIfTrue="1" operator="equal">
      <formula>"Fail"</formula>
    </cfRule>
  </conditionalFormatting>
  <conditionalFormatting sqref="H1054:H1055">
    <cfRule type="cellIs" dxfId="2669" priority="2507" stopIfTrue="1" operator="equal">
      <formula>"Pass"</formula>
    </cfRule>
    <cfRule type="cellIs" dxfId="2668" priority="2508" stopIfTrue="1" operator="equal">
      <formula>"Fail"</formula>
    </cfRule>
  </conditionalFormatting>
  <conditionalFormatting sqref="F1054 F1056 I1054:M1055">
    <cfRule type="cellIs" dxfId="2667" priority="2505" stopIfTrue="1" operator="equal">
      <formula>"Pass"</formula>
    </cfRule>
    <cfRule type="cellIs" dxfId="2666" priority="2506" stopIfTrue="1" operator="equal">
      <formula>"Fail"</formula>
    </cfRule>
  </conditionalFormatting>
  <conditionalFormatting sqref="T1056 T1054 R1054:R1056 S1055:S1056">
    <cfRule type="cellIs" dxfId="2665" priority="2503" stopIfTrue="1" operator="equal">
      <formula>"Fail"</formula>
    </cfRule>
    <cfRule type="cellIs" dxfId="2664" priority="2504" stopIfTrue="1" operator="equal">
      <formula>"Pass"</formula>
    </cfRule>
  </conditionalFormatting>
  <conditionalFormatting sqref="F1054:G1054 F1056:G1056 J1054:N1055">
    <cfRule type="cellIs" dxfId="2663" priority="2501" stopIfTrue="1" operator="equal">
      <formula>"Pass"</formula>
    </cfRule>
    <cfRule type="cellIs" dxfId="2662" priority="2502" stopIfTrue="1" operator="equal">
      <formula>"Fail"</formula>
    </cfRule>
  </conditionalFormatting>
  <conditionalFormatting sqref="U1056:V1056 T1054:T1056 S1055:S1056">
    <cfRule type="cellIs" dxfId="2661" priority="2499" stopIfTrue="1" operator="equal">
      <formula>"Fail"</formula>
    </cfRule>
    <cfRule type="cellIs" dxfId="2660" priority="2500" stopIfTrue="1" operator="equal">
      <formula>"Pass"</formula>
    </cfRule>
  </conditionalFormatting>
  <conditionalFormatting sqref="U1054:V1054">
    <cfRule type="cellIs" dxfId="2659" priority="2497" stopIfTrue="1" operator="equal">
      <formula>"Fail"</formula>
    </cfRule>
    <cfRule type="cellIs" dxfId="2658" priority="2498" stopIfTrue="1" operator="equal">
      <formula>"Pass"</formula>
    </cfRule>
  </conditionalFormatting>
  <conditionalFormatting sqref="F1054:G1054 J1054:N1054">
    <cfRule type="cellIs" dxfId="2657" priority="2495" stopIfTrue="1" operator="equal">
      <formula>"Pass"</formula>
    </cfRule>
    <cfRule type="cellIs" dxfId="2656" priority="2496" stopIfTrue="1" operator="equal">
      <formula>"Fail"</formula>
    </cfRule>
  </conditionalFormatting>
  <conditionalFormatting sqref="J1055:N1055">
    <cfRule type="cellIs" dxfId="2655" priority="2493" stopIfTrue="1" operator="equal">
      <formula>"Pass"</formula>
    </cfRule>
    <cfRule type="cellIs" dxfId="2654" priority="2494" stopIfTrue="1" operator="equal">
      <formula>"Fail"</formula>
    </cfRule>
  </conditionalFormatting>
  <conditionalFormatting sqref="H1054:H1055">
    <cfRule type="cellIs" dxfId="2653" priority="2491" stopIfTrue="1" operator="equal">
      <formula>"Pass"</formula>
    </cfRule>
    <cfRule type="cellIs" dxfId="2652" priority="2492" stopIfTrue="1" operator="equal">
      <formula>"Fail"</formula>
    </cfRule>
  </conditionalFormatting>
  <conditionalFormatting sqref="F1054 F1056 I1054:M1055">
    <cfRule type="cellIs" dxfId="2651" priority="2489" stopIfTrue="1" operator="equal">
      <formula>"Pass"</formula>
    </cfRule>
    <cfRule type="cellIs" dxfId="2650" priority="2490" stopIfTrue="1" operator="equal">
      <formula>"Fail"</formula>
    </cfRule>
  </conditionalFormatting>
  <conditionalFormatting sqref="T1056 T1054 R1054:R1056 S1055:S1056">
    <cfRule type="cellIs" dxfId="2649" priority="2487" stopIfTrue="1" operator="equal">
      <formula>"Fail"</formula>
    </cfRule>
    <cfRule type="cellIs" dxfId="2648" priority="2488" stopIfTrue="1" operator="equal">
      <formula>"Pass"</formula>
    </cfRule>
  </conditionalFormatting>
  <conditionalFormatting sqref="F1054:G1054 F1056:G1056 J1054:N1055">
    <cfRule type="cellIs" dxfId="2647" priority="2485" stopIfTrue="1" operator="equal">
      <formula>"Pass"</formula>
    </cfRule>
    <cfRule type="cellIs" dxfId="2646" priority="2486" stopIfTrue="1" operator="equal">
      <formula>"Fail"</formula>
    </cfRule>
  </conditionalFormatting>
  <conditionalFormatting sqref="U1056:V1056 T1054:T1056 S1055:S1056">
    <cfRule type="cellIs" dxfId="2645" priority="2483" stopIfTrue="1" operator="equal">
      <formula>"Fail"</formula>
    </cfRule>
    <cfRule type="cellIs" dxfId="2644" priority="2484" stopIfTrue="1" operator="equal">
      <formula>"Pass"</formula>
    </cfRule>
  </conditionalFormatting>
  <conditionalFormatting sqref="U1054:V1054">
    <cfRule type="cellIs" dxfId="2643" priority="2481" stopIfTrue="1" operator="equal">
      <formula>"Fail"</formula>
    </cfRule>
    <cfRule type="cellIs" dxfId="2642" priority="2482" stopIfTrue="1" operator="equal">
      <formula>"Pass"</formula>
    </cfRule>
  </conditionalFormatting>
  <conditionalFormatting sqref="F1054:G1054 J1054:N1054">
    <cfRule type="cellIs" dxfId="2641" priority="2479" stopIfTrue="1" operator="equal">
      <formula>"Pass"</formula>
    </cfRule>
    <cfRule type="cellIs" dxfId="2640" priority="2480" stopIfTrue="1" operator="equal">
      <formula>"Fail"</formula>
    </cfRule>
  </conditionalFormatting>
  <conditionalFormatting sqref="J1055:N1055">
    <cfRule type="cellIs" dxfId="2639" priority="2477" stopIfTrue="1" operator="equal">
      <formula>"Pass"</formula>
    </cfRule>
    <cfRule type="cellIs" dxfId="2638" priority="2478" stopIfTrue="1" operator="equal">
      <formula>"Fail"</formula>
    </cfRule>
  </conditionalFormatting>
  <conditionalFormatting sqref="H1054:H1055">
    <cfRule type="cellIs" dxfId="2637" priority="2475" stopIfTrue="1" operator="equal">
      <formula>"Pass"</formula>
    </cfRule>
    <cfRule type="cellIs" dxfId="2636" priority="2476" stopIfTrue="1" operator="equal">
      <formula>"Fail"</formula>
    </cfRule>
  </conditionalFormatting>
  <conditionalFormatting sqref="F1054 F1056 I1054:M1055">
    <cfRule type="cellIs" dxfId="2635" priority="2473" stopIfTrue="1" operator="equal">
      <formula>"Pass"</formula>
    </cfRule>
    <cfRule type="cellIs" dxfId="2634" priority="2474" stopIfTrue="1" operator="equal">
      <formula>"Fail"</formula>
    </cfRule>
  </conditionalFormatting>
  <conditionalFormatting sqref="T1056 T1054 R1054:R1056 S1055:S1056">
    <cfRule type="cellIs" dxfId="2633" priority="2471" stopIfTrue="1" operator="equal">
      <formula>"Fail"</formula>
    </cfRule>
    <cfRule type="cellIs" dxfId="2632" priority="2472" stopIfTrue="1" operator="equal">
      <formula>"Pass"</formula>
    </cfRule>
  </conditionalFormatting>
  <conditionalFormatting sqref="F1054:G1054 F1056:G1056 J1054:N1055">
    <cfRule type="cellIs" dxfId="2631" priority="2469" stopIfTrue="1" operator="equal">
      <formula>"Pass"</formula>
    </cfRule>
    <cfRule type="cellIs" dxfId="2630" priority="2470" stopIfTrue="1" operator="equal">
      <formula>"Fail"</formula>
    </cfRule>
  </conditionalFormatting>
  <conditionalFormatting sqref="U1056:V1056 T1054:T1056 S1055:S1056">
    <cfRule type="cellIs" dxfId="2629" priority="2467" stopIfTrue="1" operator="equal">
      <formula>"Fail"</formula>
    </cfRule>
    <cfRule type="cellIs" dxfId="2628" priority="2468" stopIfTrue="1" operator="equal">
      <formula>"Pass"</formula>
    </cfRule>
  </conditionalFormatting>
  <conditionalFormatting sqref="U1054:V1054">
    <cfRule type="cellIs" dxfId="2627" priority="2465" stopIfTrue="1" operator="equal">
      <formula>"Fail"</formula>
    </cfRule>
    <cfRule type="cellIs" dxfId="2626" priority="2466" stopIfTrue="1" operator="equal">
      <formula>"Pass"</formula>
    </cfRule>
  </conditionalFormatting>
  <conditionalFormatting sqref="F1054:G1054 J1054:N1054">
    <cfRule type="cellIs" dxfId="2625" priority="2463" stopIfTrue="1" operator="equal">
      <formula>"Pass"</formula>
    </cfRule>
    <cfRule type="cellIs" dxfId="2624" priority="2464" stopIfTrue="1" operator="equal">
      <formula>"Fail"</formula>
    </cfRule>
  </conditionalFormatting>
  <conditionalFormatting sqref="J1055:N1055">
    <cfRule type="cellIs" dxfId="2623" priority="2461" stopIfTrue="1" operator="equal">
      <formula>"Pass"</formula>
    </cfRule>
    <cfRule type="cellIs" dxfId="2622" priority="2462" stopIfTrue="1" operator="equal">
      <formula>"Fail"</formula>
    </cfRule>
  </conditionalFormatting>
  <conditionalFormatting sqref="U1054:V1054">
    <cfRule type="cellIs" dxfId="2621" priority="2459" stopIfTrue="1" operator="equal">
      <formula>"Fail"</formula>
    </cfRule>
    <cfRule type="cellIs" dxfId="2620" priority="2460" stopIfTrue="1" operator="equal">
      <formula>"Pass"</formula>
    </cfRule>
  </conditionalFormatting>
  <conditionalFormatting sqref="U1054:V1054">
    <cfRule type="cellIs" dxfId="2619" priority="2457" stopIfTrue="1" operator="equal">
      <formula>"Fail"</formula>
    </cfRule>
    <cfRule type="cellIs" dxfId="2618" priority="2458" stopIfTrue="1" operator="equal">
      <formula>"Pass"</formula>
    </cfRule>
  </conditionalFormatting>
  <conditionalFormatting sqref="U1054:V1054">
    <cfRule type="cellIs" dxfId="2617" priority="2455" stopIfTrue="1" operator="equal">
      <formula>"Fail"</formula>
    </cfRule>
    <cfRule type="cellIs" dxfId="2616" priority="2456" stopIfTrue="1" operator="equal">
      <formula>"Pass"</formula>
    </cfRule>
  </conditionalFormatting>
  <conditionalFormatting sqref="N1054">
    <cfRule type="cellIs" dxfId="2615" priority="2453" stopIfTrue="1" operator="equal">
      <formula>"Pass"</formula>
    </cfRule>
    <cfRule type="cellIs" dxfId="2614" priority="2454" stopIfTrue="1" operator="equal">
      <formula>"Fail"</formula>
    </cfRule>
  </conditionalFormatting>
  <conditionalFormatting sqref="N1054">
    <cfRule type="cellIs" dxfId="2613" priority="2451" stopIfTrue="1" operator="equal">
      <formula>"Pass"</formula>
    </cfRule>
    <cfRule type="cellIs" dxfId="2612" priority="2452" stopIfTrue="1" operator="equal">
      <formula>"Fail"</formula>
    </cfRule>
  </conditionalFormatting>
  <conditionalFormatting sqref="N1054">
    <cfRule type="cellIs" dxfId="2611" priority="2449" stopIfTrue="1" operator="equal">
      <formula>"Pass"</formula>
    </cfRule>
    <cfRule type="cellIs" dxfId="2610" priority="2450" stopIfTrue="1" operator="equal">
      <formula>"Fail"</formula>
    </cfRule>
  </conditionalFormatting>
  <conditionalFormatting sqref="U1054:V1054">
    <cfRule type="cellIs" dxfId="2609" priority="2447" stopIfTrue="1" operator="equal">
      <formula>"Fail"</formula>
    </cfRule>
    <cfRule type="cellIs" dxfId="2608" priority="2448" stopIfTrue="1" operator="equal">
      <formula>"Pass"</formula>
    </cfRule>
  </conditionalFormatting>
  <conditionalFormatting sqref="U1054:V1054">
    <cfRule type="cellIs" dxfId="2607" priority="2445" stopIfTrue="1" operator="equal">
      <formula>"Fail"</formula>
    </cfRule>
    <cfRule type="cellIs" dxfId="2606" priority="2446" stopIfTrue="1" operator="equal">
      <formula>"Pass"</formula>
    </cfRule>
  </conditionalFormatting>
  <conditionalFormatting sqref="U1054:V1054">
    <cfRule type="cellIs" dxfId="2605" priority="2443" stopIfTrue="1" operator="equal">
      <formula>"Fail"</formula>
    </cfRule>
    <cfRule type="cellIs" dxfId="2604" priority="2444" stopIfTrue="1" operator="equal">
      <formula>"Pass"</formula>
    </cfRule>
  </conditionalFormatting>
  <conditionalFormatting sqref="U1054:V1054">
    <cfRule type="cellIs" dxfId="2603" priority="2441" stopIfTrue="1" operator="equal">
      <formula>"Fail"</formula>
    </cfRule>
    <cfRule type="cellIs" dxfId="2602" priority="2442" stopIfTrue="1" operator="equal">
      <formula>"Pass"</formula>
    </cfRule>
  </conditionalFormatting>
  <conditionalFormatting sqref="T1054">
    <cfRule type="cellIs" dxfId="2601" priority="2439" stopIfTrue="1" operator="equal">
      <formula>"Fail"</formula>
    </cfRule>
    <cfRule type="cellIs" dxfId="2600" priority="2440" stopIfTrue="1" operator="equal">
      <formula>"Pass"</formula>
    </cfRule>
  </conditionalFormatting>
  <conditionalFormatting sqref="T1054">
    <cfRule type="cellIs" dxfId="2599" priority="2437" stopIfTrue="1" operator="equal">
      <formula>"Fail"</formula>
    </cfRule>
    <cfRule type="cellIs" dxfId="2598" priority="2438" stopIfTrue="1" operator="equal">
      <formula>"Pass"</formula>
    </cfRule>
  </conditionalFormatting>
  <conditionalFormatting sqref="T1054">
    <cfRule type="cellIs" dxfId="2597" priority="2435" stopIfTrue="1" operator="equal">
      <formula>"Fail"</formula>
    </cfRule>
    <cfRule type="cellIs" dxfId="2596" priority="2436" stopIfTrue="1" operator="equal">
      <formula>"Pass"</formula>
    </cfRule>
  </conditionalFormatting>
  <conditionalFormatting sqref="T1054">
    <cfRule type="cellIs" dxfId="2595" priority="2433" stopIfTrue="1" operator="equal">
      <formula>"Fail"</formula>
    </cfRule>
    <cfRule type="cellIs" dxfId="2594" priority="2434" stopIfTrue="1" operator="equal">
      <formula>"Pass"</formula>
    </cfRule>
  </conditionalFormatting>
  <conditionalFormatting sqref="T1054">
    <cfRule type="cellIs" dxfId="2593" priority="2431" stopIfTrue="1" operator="equal">
      <formula>"Fail"</formula>
    </cfRule>
    <cfRule type="cellIs" dxfId="2592" priority="2432" stopIfTrue="1" operator="equal">
      <formula>"Pass"</formula>
    </cfRule>
  </conditionalFormatting>
  <conditionalFormatting sqref="T1054">
    <cfRule type="cellIs" dxfId="2591" priority="2429" stopIfTrue="1" operator="equal">
      <formula>"Fail"</formula>
    </cfRule>
    <cfRule type="cellIs" dxfId="2590" priority="2430" stopIfTrue="1" operator="equal">
      <formula>"Pass"</formula>
    </cfRule>
  </conditionalFormatting>
  <conditionalFormatting sqref="T1054">
    <cfRule type="cellIs" dxfId="2589" priority="2427" stopIfTrue="1" operator="equal">
      <formula>"Fail"</formula>
    </cfRule>
    <cfRule type="cellIs" dxfId="2588" priority="2428" stopIfTrue="1" operator="equal">
      <formula>"Pass"</formula>
    </cfRule>
  </conditionalFormatting>
  <conditionalFormatting sqref="T1054">
    <cfRule type="cellIs" dxfId="2587" priority="2425" stopIfTrue="1" operator="equal">
      <formula>"Fail"</formula>
    </cfRule>
    <cfRule type="cellIs" dxfId="2586" priority="2426" stopIfTrue="1" operator="equal">
      <formula>"Pass"</formula>
    </cfRule>
  </conditionalFormatting>
  <conditionalFormatting sqref="T1054">
    <cfRule type="cellIs" dxfId="2585" priority="2423" stopIfTrue="1" operator="equal">
      <formula>"Fail"</formula>
    </cfRule>
    <cfRule type="cellIs" dxfId="2584" priority="2424" stopIfTrue="1" operator="equal">
      <formula>"Pass"</formula>
    </cfRule>
  </conditionalFormatting>
  <conditionalFormatting sqref="T1054">
    <cfRule type="cellIs" dxfId="2583" priority="2421" stopIfTrue="1" operator="equal">
      <formula>"Fail"</formula>
    </cfRule>
    <cfRule type="cellIs" dxfId="2582" priority="2422" stopIfTrue="1" operator="equal">
      <formula>"Pass"</formula>
    </cfRule>
  </conditionalFormatting>
  <conditionalFormatting sqref="T1054">
    <cfRule type="cellIs" dxfId="2581" priority="2419" stopIfTrue="1" operator="equal">
      <formula>"Fail"</formula>
    </cfRule>
    <cfRule type="cellIs" dxfId="2580" priority="2420" stopIfTrue="1" operator="equal">
      <formula>"Pass"</formula>
    </cfRule>
  </conditionalFormatting>
  <conditionalFormatting sqref="T1054">
    <cfRule type="cellIs" dxfId="2579" priority="2417" stopIfTrue="1" operator="equal">
      <formula>"Fail"</formula>
    </cfRule>
    <cfRule type="cellIs" dxfId="2578" priority="2418" stopIfTrue="1" operator="equal">
      <formula>"Pass"</formula>
    </cfRule>
  </conditionalFormatting>
  <conditionalFormatting sqref="T1054">
    <cfRule type="cellIs" dxfId="2577" priority="2415" stopIfTrue="1" operator="equal">
      <formula>"Fail"</formula>
    </cfRule>
    <cfRule type="cellIs" dxfId="2576" priority="2416" stopIfTrue="1" operator="equal">
      <formula>"Pass"</formula>
    </cfRule>
  </conditionalFormatting>
  <conditionalFormatting sqref="T1054">
    <cfRule type="cellIs" dxfId="2575" priority="2413" stopIfTrue="1" operator="equal">
      <formula>"Fail"</formula>
    </cfRule>
    <cfRule type="cellIs" dxfId="2574" priority="2414" stopIfTrue="1" operator="equal">
      <formula>"Pass"</formula>
    </cfRule>
  </conditionalFormatting>
  <conditionalFormatting sqref="T1054">
    <cfRule type="cellIs" dxfId="2573" priority="2411" stopIfTrue="1" operator="equal">
      <formula>"Fail"</formula>
    </cfRule>
    <cfRule type="cellIs" dxfId="2572" priority="2412" stopIfTrue="1" operator="equal">
      <formula>"Pass"</formula>
    </cfRule>
  </conditionalFormatting>
  <conditionalFormatting sqref="T1054">
    <cfRule type="cellIs" dxfId="2571" priority="2409" stopIfTrue="1" operator="equal">
      <formula>"Fail"</formula>
    </cfRule>
    <cfRule type="cellIs" dxfId="2570" priority="2410" stopIfTrue="1" operator="equal">
      <formula>"Pass"</formula>
    </cfRule>
  </conditionalFormatting>
  <conditionalFormatting sqref="T1054">
    <cfRule type="cellIs" dxfId="2569" priority="2407" stopIfTrue="1" operator="equal">
      <formula>"Fail"</formula>
    </cfRule>
    <cfRule type="cellIs" dxfId="2568" priority="2408" stopIfTrue="1" operator="equal">
      <formula>"Pass"</formula>
    </cfRule>
  </conditionalFormatting>
  <conditionalFormatting sqref="T1054">
    <cfRule type="cellIs" dxfId="2567" priority="2405" stopIfTrue="1" operator="equal">
      <formula>"Fail"</formula>
    </cfRule>
    <cfRule type="cellIs" dxfId="2566" priority="2406" stopIfTrue="1" operator="equal">
      <formula>"Pass"</formula>
    </cfRule>
  </conditionalFormatting>
  <conditionalFormatting sqref="T1054">
    <cfRule type="cellIs" dxfId="2565" priority="2403" stopIfTrue="1" operator="equal">
      <formula>"Fail"</formula>
    </cfRule>
    <cfRule type="cellIs" dxfId="2564" priority="2404" stopIfTrue="1" operator="equal">
      <formula>"Pass"</formula>
    </cfRule>
  </conditionalFormatting>
  <conditionalFormatting sqref="T1054">
    <cfRule type="cellIs" dxfId="2563" priority="2401" stopIfTrue="1" operator="equal">
      <formula>"Fail"</formula>
    </cfRule>
    <cfRule type="cellIs" dxfId="2562" priority="2402" stopIfTrue="1" operator="equal">
      <formula>"Pass"</formula>
    </cfRule>
  </conditionalFormatting>
  <conditionalFormatting sqref="T1054">
    <cfRule type="cellIs" dxfId="2561" priority="2399" stopIfTrue="1" operator="equal">
      <formula>"Fail"</formula>
    </cfRule>
    <cfRule type="cellIs" dxfId="2560" priority="2400" stopIfTrue="1" operator="equal">
      <formula>"Pass"</formula>
    </cfRule>
  </conditionalFormatting>
  <conditionalFormatting sqref="T1054">
    <cfRule type="cellIs" dxfId="2559" priority="2397" stopIfTrue="1" operator="equal">
      <formula>"Fail"</formula>
    </cfRule>
    <cfRule type="cellIs" dxfId="2558" priority="2398" stopIfTrue="1" operator="equal">
      <formula>"Pass"</formula>
    </cfRule>
  </conditionalFormatting>
  <conditionalFormatting sqref="T1054">
    <cfRule type="cellIs" dxfId="2557" priority="2395" stopIfTrue="1" operator="equal">
      <formula>"Fail"</formula>
    </cfRule>
    <cfRule type="cellIs" dxfId="2556" priority="2396" stopIfTrue="1" operator="equal">
      <formula>"Pass"</formula>
    </cfRule>
  </conditionalFormatting>
  <conditionalFormatting sqref="T1054">
    <cfRule type="cellIs" dxfId="2555" priority="2393" stopIfTrue="1" operator="equal">
      <formula>"Fail"</formula>
    </cfRule>
    <cfRule type="cellIs" dxfId="2554" priority="2394" stopIfTrue="1" operator="equal">
      <formula>"Pass"</formula>
    </cfRule>
  </conditionalFormatting>
  <conditionalFormatting sqref="H1057:H1058">
    <cfRule type="cellIs" dxfId="2553" priority="2391" stopIfTrue="1" operator="equal">
      <formula>"Pass"</formula>
    </cfRule>
    <cfRule type="cellIs" dxfId="2552" priority="2392" stopIfTrue="1" operator="equal">
      <formula>"Fail"</formula>
    </cfRule>
  </conditionalFormatting>
  <conditionalFormatting sqref="E1057:F1057 E1059:F1059 A1057:A1059 I1057:M1058">
    <cfRule type="cellIs" dxfId="2551" priority="2389" stopIfTrue="1" operator="equal">
      <formula>"Pass"</formula>
    </cfRule>
    <cfRule type="cellIs" dxfId="2550" priority="2390" stopIfTrue="1" operator="equal">
      <formula>"Fail"</formula>
    </cfRule>
  </conditionalFormatting>
  <conditionalFormatting sqref="T1059 T1057 R1057:R1059 S1058:S1059">
    <cfRule type="cellIs" dxfId="2549" priority="2387" stopIfTrue="1" operator="equal">
      <formula>"Fail"</formula>
    </cfRule>
    <cfRule type="cellIs" dxfId="2548" priority="2388" stopIfTrue="1" operator="equal">
      <formula>"Pass"</formula>
    </cfRule>
  </conditionalFormatting>
  <conditionalFormatting sqref="F1057:G1057 F1059:G1059 A1057:B1059 J1057:N1058">
    <cfRule type="cellIs" dxfId="2547" priority="2385" stopIfTrue="1" operator="equal">
      <formula>"Pass"</formula>
    </cfRule>
    <cfRule type="cellIs" dxfId="2546" priority="2386" stopIfTrue="1" operator="equal">
      <formula>"Fail"</formula>
    </cfRule>
  </conditionalFormatting>
  <conditionalFormatting sqref="U1059:V1059 U1057:V1057 T1057:T1059 S1058:S1059">
    <cfRule type="cellIs" dxfId="2545" priority="2383" stopIfTrue="1" operator="equal">
      <formula>"Fail"</formula>
    </cfRule>
    <cfRule type="cellIs" dxfId="2544" priority="2384" stopIfTrue="1" operator="equal">
      <formula>"Pass"</formula>
    </cfRule>
  </conditionalFormatting>
  <conditionalFormatting sqref="A1057:A1059">
    <cfRule type="cellIs" dxfId="2543" priority="2381" stopIfTrue="1" operator="equal">
      <formula>"Pass"</formula>
    </cfRule>
    <cfRule type="cellIs" dxfId="2542" priority="2382" stopIfTrue="1" operator="equal">
      <formula>"Fail"</formula>
    </cfRule>
  </conditionalFormatting>
  <conditionalFormatting sqref="A1057:A1059">
    <cfRule type="cellIs" dxfId="2541" priority="2379" stopIfTrue="1" operator="equal">
      <formula>"Pass"</formula>
    </cfRule>
    <cfRule type="cellIs" dxfId="2540" priority="2380" stopIfTrue="1" operator="equal">
      <formula>"Fail"</formula>
    </cfRule>
  </conditionalFormatting>
  <conditionalFormatting sqref="A1057:A1059">
    <cfRule type="cellIs" dxfId="2539" priority="2377" stopIfTrue="1" operator="equal">
      <formula>"Pass"</formula>
    </cfRule>
    <cfRule type="cellIs" dxfId="2538" priority="2378" stopIfTrue="1" operator="equal">
      <formula>"Fail"</formula>
    </cfRule>
  </conditionalFormatting>
  <conditionalFormatting sqref="J1057:N1058 E1057:G1059">
    <cfRule type="cellIs" dxfId="2537" priority="2375" stopIfTrue="1" operator="equal">
      <formula>"Pass"</formula>
    </cfRule>
    <cfRule type="cellIs" dxfId="2536" priority="2376" stopIfTrue="1" operator="equal">
      <formula>"Fail"</formula>
    </cfRule>
  </conditionalFormatting>
  <conditionalFormatting sqref="A1059 C1059 K1057:O1058 F1057:H1059">
    <cfRule type="cellIs" dxfId="2535" priority="2373" stopIfTrue="1" operator="equal">
      <formula>"Pass"</formula>
    </cfRule>
    <cfRule type="cellIs" dxfId="2534" priority="2374" stopIfTrue="1" operator="equal">
      <formula>"Fail"</formula>
    </cfRule>
  </conditionalFormatting>
  <conditionalFormatting sqref="T1057">
    <cfRule type="cellIs" dxfId="2533" priority="2371" stopIfTrue="1" operator="equal">
      <formula>"Fail"</formula>
    </cfRule>
    <cfRule type="cellIs" dxfId="2532" priority="2372" stopIfTrue="1" operator="equal">
      <formula>"Pass"</formula>
    </cfRule>
  </conditionalFormatting>
  <conditionalFormatting sqref="A1057:A1059">
    <cfRule type="cellIs" dxfId="2531" priority="2369" stopIfTrue="1" operator="equal">
      <formula>"Pass"</formula>
    </cfRule>
    <cfRule type="cellIs" dxfId="2530" priority="2370" stopIfTrue="1" operator="equal">
      <formula>"Fail"</formula>
    </cfRule>
  </conditionalFormatting>
  <conditionalFormatting sqref="A1057:A1059">
    <cfRule type="cellIs" dxfId="2529" priority="2367" stopIfTrue="1" operator="equal">
      <formula>"Pass"</formula>
    </cfRule>
    <cfRule type="cellIs" dxfId="2528" priority="2368" stopIfTrue="1" operator="equal">
      <formula>"Fail"</formula>
    </cfRule>
  </conditionalFormatting>
  <conditionalFormatting sqref="A1057:A1059">
    <cfRule type="cellIs" dxfId="2527" priority="2365" stopIfTrue="1" operator="equal">
      <formula>"Pass"</formula>
    </cfRule>
    <cfRule type="cellIs" dxfId="2526" priority="2366" stopIfTrue="1" operator="equal">
      <formula>"Fail"</formula>
    </cfRule>
  </conditionalFormatting>
  <conditionalFormatting sqref="A1057:A1059">
    <cfRule type="cellIs" dxfId="2525" priority="2363" stopIfTrue="1" operator="equal">
      <formula>"Pass"</formula>
    </cfRule>
    <cfRule type="cellIs" dxfId="2524" priority="2364" stopIfTrue="1" operator="equal">
      <formula>"Fail"</formula>
    </cfRule>
  </conditionalFormatting>
  <conditionalFormatting sqref="A1057:A1059">
    <cfRule type="cellIs" dxfId="2523" priority="2361" stopIfTrue="1" operator="equal">
      <formula>"Pass"</formula>
    </cfRule>
    <cfRule type="cellIs" dxfId="2522" priority="2362" stopIfTrue="1" operator="equal">
      <formula>"Fail"</formula>
    </cfRule>
  </conditionalFormatting>
  <conditionalFormatting sqref="A1057:A1059">
    <cfRule type="cellIs" dxfId="2521" priority="2359" stopIfTrue="1" operator="equal">
      <formula>"Pass"</formula>
    </cfRule>
    <cfRule type="cellIs" dxfId="2520" priority="2360" stopIfTrue="1" operator="equal">
      <formula>"Fail"</formula>
    </cfRule>
  </conditionalFormatting>
  <conditionalFormatting sqref="A1059">
    <cfRule type="cellIs" dxfId="2519" priority="2357" stopIfTrue="1" operator="equal">
      <formula>"Pass"</formula>
    </cfRule>
    <cfRule type="cellIs" dxfId="2518" priority="2358" stopIfTrue="1" operator="equal">
      <formula>"Fail"</formula>
    </cfRule>
  </conditionalFormatting>
  <conditionalFormatting sqref="A1057:A1059">
    <cfRule type="cellIs" dxfId="2517" priority="2355" stopIfTrue="1" operator="equal">
      <formula>"Pass"</formula>
    </cfRule>
    <cfRule type="cellIs" dxfId="2516" priority="2356" stopIfTrue="1" operator="equal">
      <formula>"Fail"</formula>
    </cfRule>
  </conditionalFormatting>
  <conditionalFormatting sqref="A1057:A1059">
    <cfRule type="cellIs" dxfId="2515" priority="2353" stopIfTrue="1" operator="equal">
      <formula>"Pass"</formula>
    </cfRule>
    <cfRule type="cellIs" dxfId="2514" priority="2354" stopIfTrue="1" operator="equal">
      <formula>"Fail"</formula>
    </cfRule>
  </conditionalFormatting>
  <conditionalFormatting sqref="A1057:A1059">
    <cfRule type="cellIs" dxfId="2513" priority="2351" stopIfTrue="1" operator="equal">
      <formula>"Pass"</formula>
    </cfRule>
    <cfRule type="cellIs" dxfId="2512" priority="2352" stopIfTrue="1" operator="equal">
      <formula>"Fail"</formula>
    </cfRule>
  </conditionalFormatting>
  <conditionalFormatting sqref="A1057:A1059">
    <cfRule type="cellIs" dxfId="2511" priority="2349" stopIfTrue="1" operator="equal">
      <formula>"Pass"</formula>
    </cfRule>
    <cfRule type="cellIs" dxfId="2510" priority="2350" stopIfTrue="1" operator="equal">
      <formula>"Fail"</formula>
    </cfRule>
  </conditionalFormatting>
  <conditionalFormatting sqref="A1057:A1059">
    <cfRule type="cellIs" dxfId="2509" priority="2347" stopIfTrue="1" operator="equal">
      <formula>"Pass"</formula>
    </cfRule>
    <cfRule type="cellIs" dxfId="2508" priority="2348" stopIfTrue="1" operator="equal">
      <formula>"Fail"</formula>
    </cfRule>
  </conditionalFormatting>
  <conditionalFormatting sqref="A1057:A1059">
    <cfRule type="cellIs" dxfId="2507" priority="2345" stopIfTrue="1" operator="equal">
      <formula>"Pass"</formula>
    </cfRule>
    <cfRule type="cellIs" dxfId="2506" priority="2346" stopIfTrue="1" operator="equal">
      <formula>"Fail"</formula>
    </cfRule>
  </conditionalFormatting>
  <conditionalFormatting sqref="A1059">
    <cfRule type="cellIs" dxfId="2505" priority="2343" stopIfTrue="1" operator="equal">
      <formula>"Pass"</formula>
    </cfRule>
    <cfRule type="cellIs" dxfId="2504" priority="2344" stopIfTrue="1" operator="equal">
      <formula>"Fail"</formula>
    </cfRule>
  </conditionalFormatting>
  <conditionalFormatting sqref="A1057:A1059">
    <cfRule type="cellIs" dxfId="2503" priority="2341" stopIfTrue="1" operator="equal">
      <formula>"Pass"</formula>
    </cfRule>
    <cfRule type="cellIs" dxfId="2502" priority="2342" stopIfTrue="1" operator="equal">
      <formula>"Fail"</formula>
    </cfRule>
  </conditionalFormatting>
  <conditionalFormatting sqref="H1057:H1058">
    <cfRule type="cellIs" dxfId="2501" priority="2339" stopIfTrue="1" operator="equal">
      <formula>"Pass"</formula>
    </cfRule>
    <cfRule type="cellIs" dxfId="2500" priority="2340" stopIfTrue="1" operator="equal">
      <formula>"Fail"</formula>
    </cfRule>
  </conditionalFormatting>
  <conditionalFormatting sqref="F1057 F1059 I1057:M1058">
    <cfRule type="cellIs" dxfId="2499" priority="2337" stopIfTrue="1" operator="equal">
      <formula>"Pass"</formula>
    </cfRule>
    <cfRule type="cellIs" dxfId="2498" priority="2338" stopIfTrue="1" operator="equal">
      <formula>"Fail"</formula>
    </cfRule>
  </conditionalFormatting>
  <conditionalFormatting sqref="T1059 T1057 R1057:R1059 S1058:S1059">
    <cfRule type="cellIs" dxfId="2497" priority="2335" stopIfTrue="1" operator="equal">
      <formula>"Fail"</formula>
    </cfRule>
    <cfRule type="cellIs" dxfId="2496" priority="2336" stopIfTrue="1" operator="equal">
      <formula>"Pass"</formula>
    </cfRule>
  </conditionalFormatting>
  <conditionalFormatting sqref="F1057:G1057 F1059:G1059 J1057:N1058">
    <cfRule type="cellIs" dxfId="2495" priority="2333" stopIfTrue="1" operator="equal">
      <formula>"Pass"</formula>
    </cfRule>
    <cfRule type="cellIs" dxfId="2494" priority="2334" stopIfTrue="1" operator="equal">
      <formula>"Fail"</formula>
    </cfRule>
  </conditionalFormatting>
  <conditionalFormatting sqref="U1059:V1059 U1057:V1057 T1057:T1059 S1058:S1059">
    <cfRule type="cellIs" dxfId="2493" priority="2331" stopIfTrue="1" operator="equal">
      <formula>"Fail"</formula>
    </cfRule>
    <cfRule type="cellIs" dxfId="2492" priority="2332" stopIfTrue="1" operator="equal">
      <formula>"Pass"</formula>
    </cfRule>
  </conditionalFormatting>
  <conditionalFormatting sqref="J1057:N1058 F1057:G1059">
    <cfRule type="cellIs" dxfId="2491" priority="2329" stopIfTrue="1" operator="equal">
      <formula>"Pass"</formula>
    </cfRule>
    <cfRule type="cellIs" dxfId="2490" priority="2330" stopIfTrue="1" operator="equal">
      <formula>"Fail"</formula>
    </cfRule>
  </conditionalFormatting>
  <conditionalFormatting sqref="K1057:O1058 F1057:H1059">
    <cfRule type="cellIs" dxfId="2489" priority="2327" stopIfTrue="1" operator="equal">
      <formula>"Pass"</formula>
    </cfRule>
    <cfRule type="cellIs" dxfId="2488" priority="2328" stopIfTrue="1" operator="equal">
      <formula>"Fail"</formula>
    </cfRule>
  </conditionalFormatting>
  <conditionalFormatting sqref="T1057">
    <cfRule type="cellIs" dxfId="2487" priority="2325" stopIfTrue="1" operator="equal">
      <formula>"Fail"</formula>
    </cfRule>
    <cfRule type="cellIs" dxfId="2486" priority="2326" stopIfTrue="1" operator="equal">
      <formula>"Pass"</formula>
    </cfRule>
  </conditionalFormatting>
  <conditionalFormatting sqref="K1057:O1058 F1057:H1059">
    <cfRule type="cellIs" dxfId="2485" priority="2323" stopIfTrue="1" operator="equal">
      <formula>"Pass"</formula>
    </cfRule>
    <cfRule type="cellIs" dxfId="2484" priority="2324" stopIfTrue="1" operator="equal">
      <formula>"Fail"</formula>
    </cfRule>
  </conditionalFormatting>
  <conditionalFormatting sqref="T1057">
    <cfRule type="cellIs" dxfId="2483" priority="2321" stopIfTrue="1" operator="equal">
      <formula>"Fail"</formula>
    </cfRule>
    <cfRule type="cellIs" dxfId="2482" priority="2322" stopIfTrue="1" operator="equal">
      <formula>"Pass"</formula>
    </cfRule>
  </conditionalFormatting>
  <conditionalFormatting sqref="H1057:H1058">
    <cfRule type="cellIs" dxfId="2481" priority="2319" stopIfTrue="1" operator="equal">
      <formula>"Pass"</formula>
    </cfRule>
    <cfRule type="cellIs" dxfId="2480" priority="2320" stopIfTrue="1" operator="equal">
      <formula>"Fail"</formula>
    </cfRule>
  </conditionalFormatting>
  <conditionalFormatting sqref="E1057:F1057 E1059:F1059 A1057:A1059 I1057:M1058">
    <cfRule type="cellIs" dxfId="2479" priority="2317" stopIfTrue="1" operator="equal">
      <formula>"Pass"</formula>
    </cfRule>
    <cfRule type="cellIs" dxfId="2478" priority="2318" stopIfTrue="1" operator="equal">
      <formula>"Fail"</formula>
    </cfRule>
  </conditionalFormatting>
  <conditionalFormatting sqref="T1059 T1057 R1057:R1059 S1058:S1059">
    <cfRule type="cellIs" dxfId="2477" priority="2315" stopIfTrue="1" operator="equal">
      <formula>"Fail"</formula>
    </cfRule>
    <cfRule type="cellIs" dxfId="2476" priority="2316" stopIfTrue="1" operator="equal">
      <formula>"Pass"</formula>
    </cfRule>
  </conditionalFormatting>
  <conditionalFormatting sqref="F1057:G1057 F1059:G1059 A1057:B1059 J1057:N1058">
    <cfRule type="cellIs" dxfId="2475" priority="2313" stopIfTrue="1" operator="equal">
      <formula>"Pass"</formula>
    </cfRule>
    <cfRule type="cellIs" dxfId="2474" priority="2314" stopIfTrue="1" operator="equal">
      <formula>"Fail"</formula>
    </cfRule>
  </conditionalFormatting>
  <conditionalFormatting sqref="U1059:V1059 U1057:V1057 T1057:T1059 S1058:S1059">
    <cfRule type="cellIs" dxfId="2473" priority="2311" stopIfTrue="1" operator="equal">
      <formula>"Fail"</formula>
    </cfRule>
    <cfRule type="cellIs" dxfId="2472" priority="2312" stopIfTrue="1" operator="equal">
      <formula>"Pass"</formula>
    </cfRule>
  </conditionalFormatting>
  <conditionalFormatting sqref="A1057:A1059">
    <cfRule type="cellIs" dxfId="2471" priority="2309" stopIfTrue="1" operator="equal">
      <formula>"Pass"</formula>
    </cfRule>
    <cfRule type="cellIs" dxfId="2470" priority="2310" stopIfTrue="1" operator="equal">
      <formula>"Fail"</formula>
    </cfRule>
  </conditionalFormatting>
  <conditionalFormatting sqref="A1057:A1059">
    <cfRule type="cellIs" dxfId="2469" priority="2307" stopIfTrue="1" operator="equal">
      <formula>"Pass"</formula>
    </cfRule>
    <cfRule type="cellIs" dxfId="2468" priority="2308" stopIfTrue="1" operator="equal">
      <formula>"Fail"</formula>
    </cfRule>
  </conditionalFormatting>
  <conditionalFormatting sqref="A1057:A1059">
    <cfRule type="cellIs" dxfId="2467" priority="2305" stopIfTrue="1" operator="equal">
      <formula>"Pass"</formula>
    </cfRule>
    <cfRule type="cellIs" dxfId="2466" priority="2306" stopIfTrue="1" operator="equal">
      <formula>"Fail"</formula>
    </cfRule>
  </conditionalFormatting>
  <conditionalFormatting sqref="J1057:N1058 E1057:G1059">
    <cfRule type="cellIs" dxfId="2465" priority="2303" stopIfTrue="1" operator="equal">
      <formula>"Pass"</formula>
    </cfRule>
    <cfRule type="cellIs" dxfId="2464" priority="2304" stopIfTrue="1" operator="equal">
      <formula>"Fail"</formula>
    </cfRule>
  </conditionalFormatting>
  <conditionalFormatting sqref="A1059 C1059 K1057:O1058 F1057:H1059">
    <cfRule type="cellIs" dxfId="2463" priority="2301" stopIfTrue="1" operator="equal">
      <formula>"Pass"</formula>
    </cfRule>
    <cfRule type="cellIs" dxfId="2462" priority="2302" stopIfTrue="1" operator="equal">
      <formula>"Fail"</formula>
    </cfRule>
  </conditionalFormatting>
  <conditionalFormatting sqref="T1057">
    <cfRule type="cellIs" dxfId="2461" priority="2299" stopIfTrue="1" operator="equal">
      <formula>"Fail"</formula>
    </cfRule>
    <cfRule type="cellIs" dxfId="2460" priority="2300" stopIfTrue="1" operator="equal">
      <formula>"Pass"</formula>
    </cfRule>
  </conditionalFormatting>
  <conditionalFormatting sqref="A1057:A1059">
    <cfRule type="cellIs" dxfId="2459" priority="2297" stopIfTrue="1" operator="equal">
      <formula>"Pass"</formula>
    </cfRule>
    <cfRule type="cellIs" dxfId="2458" priority="2298" stopIfTrue="1" operator="equal">
      <formula>"Fail"</formula>
    </cfRule>
  </conditionalFormatting>
  <conditionalFormatting sqref="A1057:A1059">
    <cfRule type="cellIs" dxfId="2457" priority="2295" stopIfTrue="1" operator="equal">
      <formula>"Pass"</formula>
    </cfRule>
    <cfRule type="cellIs" dxfId="2456" priority="2296" stopIfTrue="1" operator="equal">
      <formula>"Fail"</formula>
    </cfRule>
  </conditionalFormatting>
  <conditionalFormatting sqref="A1057:A1059">
    <cfRule type="cellIs" dxfId="2455" priority="2293" stopIfTrue="1" operator="equal">
      <formula>"Pass"</formula>
    </cfRule>
    <cfRule type="cellIs" dxfId="2454" priority="2294" stopIfTrue="1" operator="equal">
      <formula>"Fail"</formula>
    </cfRule>
  </conditionalFormatting>
  <conditionalFormatting sqref="A1057:A1059">
    <cfRule type="cellIs" dxfId="2453" priority="2291" stopIfTrue="1" operator="equal">
      <formula>"Pass"</formula>
    </cfRule>
    <cfRule type="cellIs" dxfId="2452" priority="2292" stopIfTrue="1" operator="equal">
      <formula>"Fail"</formula>
    </cfRule>
  </conditionalFormatting>
  <conditionalFormatting sqref="A1057:A1059">
    <cfRule type="cellIs" dxfId="2451" priority="2289" stopIfTrue="1" operator="equal">
      <formula>"Pass"</formula>
    </cfRule>
    <cfRule type="cellIs" dxfId="2450" priority="2290" stopIfTrue="1" operator="equal">
      <formula>"Fail"</formula>
    </cfRule>
  </conditionalFormatting>
  <conditionalFormatting sqref="A1057:A1059">
    <cfRule type="cellIs" dxfId="2449" priority="2287" stopIfTrue="1" operator="equal">
      <formula>"Pass"</formula>
    </cfRule>
    <cfRule type="cellIs" dxfId="2448" priority="2288" stopIfTrue="1" operator="equal">
      <formula>"Fail"</formula>
    </cfRule>
  </conditionalFormatting>
  <conditionalFormatting sqref="A1059">
    <cfRule type="cellIs" dxfId="2447" priority="2285" stopIfTrue="1" operator="equal">
      <formula>"Pass"</formula>
    </cfRule>
    <cfRule type="cellIs" dxfId="2446" priority="2286" stopIfTrue="1" operator="equal">
      <formula>"Fail"</formula>
    </cfRule>
  </conditionalFormatting>
  <conditionalFormatting sqref="A1057:A1059">
    <cfRule type="cellIs" dxfId="2445" priority="2283" stopIfTrue="1" operator="equal">
      <formula>"Pass"</formula>
    </cfRule>
    <cfRule type="cellIs" dxfId="2444" priority="2284" stopIfTrue="1" operator="equal">
      <formula>"Fail"</formula>
    </cfRule>
  </conditionalFormatting>
  <conditionalFormatting sqref="A1057:A1059">
    <cfRule type="cellIs" dxfId="2443" priority="2281" stopIfTrue="1" operator="equal">
      <formula>"Pass"</formula>
    </cfRule>
    <cfRule type="cellIs" dxfId="2442" priority="2282" stopIfTrue="1" operator="equal">
      <formula>"Fail"</formula>
    </cfRule>
  </conditionalFormatting>
  <conditionalFormatting sqref="A1057:A1059">
    <cfRule type="cellIs" dxfId="2441" priority="2279" stopIfTrue="1" operator="equal">
      <formula>"Pass"</formula>
    </cfRule>
    <cfRule type="cellIs" dxfId="2440" priority="2280" stopIfTrue="1" operator="equal">
      <formula>"Fail"</formula>
    </cfRule>
  </conditionalFormatting>
  <conditionalFormatting sqref="A1057:A1059">
    <cfRule type="cellIs" dxfId="2439" priority="2277" stopIfTrue="1" operator="equal">
      <formula>"Pass"</formula>
    </cfRule>
    <cfRule type="cellIs" dxfId="2438" priority="2278" stopIfTrue="1" operator="equal">
      <formula>"Fail"</formula>
    </cfRule>
  </conditionalFormatting>
  <conditionalFormatting sqref="A1057:A1059">
    <cfRule type="cellIs" dxfId="2437" priority="2275" stopIfTrue="1" operator="equal">
      <formula>"Pass"</formula>
    </cfRule>
    <cfRule type="cellIs" dxfId="2436" priority="2276" stopIfTrue="1" operator="equal">
      <formula>"Fail"</formula>
    </cfRule>
  </conditionalFormatting>
  <conditionalFormatting sqref="A1057:A1059">
    <cfRule type="cellIs" dxfId="2435" priority="2273" stopIfTrue="1" operator="equal">
      <formula>"Pass"</formula>
    </cfRule>
    <cfRule type="cellIs" dxfId="2434" priority="2274" stopIfTrue="1" operator="equal">
      <formula>"Fail"</formula>
    </cfRule>
  </conditionalFormatting>
  <conditionalFormatting sqref="A1059">
    <cfRule type="cellIs" dxfId="2433" priority="2271" stopIfTrue="1" operator="equal">
      <formula>"Pass"</formula>
    </cfRule>
    <cfRule type="cellIs" dxfId="2432" priority="2272" stopIfTrue="1" operator="equal">
      <formula>"Fail"</formula>
    </cfRule>
  </conditionalFormatting>
  <conditionalFormatting sqref="A1057:A1059">
    <cfRule type="cellIs" dxfId="2431" priority="2269" stopIfTrue="1" operator="equal">
      <formula>"Pass"</formula>
    </cfRule>
    <cfRule type="cellIs" dxfId="2430" priority="2270" stopIfTrue="1" operator="equal">
      <formula>"Fail"</formula>
    </cfRule>
  </conditionalFormatting>
  <conditionalFormatting sqref="H1057:H1058">
    <cfRule type="cellIs" dxfId="2429" priority="2267" stopIfTrue="1" operator="equal">
      <formula>"Pass"</formula>
    </cfRule>
    <cfRule type="cellIs" dxfId="2428" priority="2268" stopIfTrue="1" operator="equal">
      <formula>"Fail"</formula>
    </cfRule>
  </conditionalFormatting>
  <conditionalFormatting sqref="F1057 F1059 I1057:M1058">
    <cfRule type="cellIs" dxfId="2427" priority="2265" stopIfTrue="1" operator="equal">
      <formula>"Pass"</formula>
    </cfRule>
    <cfRule type="cellIs" dxfId="2426" priority="2266" stopIfTrue="1" operator="equal">
      <formula>"Fail"</formula>
    </cfRule>
  </conditionalFormatting>
  <conditionalFormatting sqref="T1059 T1057 R1057:R1059 S1058:S1059">
    <cfRule type="cellIs" dxfId="2425" priority="2263" stopIfTrue="1" operator="equal">
      <formula>"Fail"</formula>
    </cfRule>
    <cfRule type="cellIs" dxfId="2424" priority="2264" stopIfTrue="1" operator="equal">
      <formula>"Pass"</formula>
    </cfRule>
  </conditionalFormatting>
  <conditionalFormatting sqref="F1057:G1057 F1059:G1059 J1057:N1058">
    <cfRule type="cellIs" dxfId="2423" priority="2261" stopIfTrue="1" operator="equal">
      <formula>"Pass"</formula>
    </cfRule>
    <cfRule type="cellIs" dxfId="2422" priority="2262" stopIfTrue="1" operator="equal">
      <formula>"Fail"</formula>
    </cfRule>
  </conditionalFormatting>
  <conditionalFormatting sqref="U1059:V1059 U1057:V1057 T1057:T1059 S1058:S1059">
    <cfRule type="cellIs" dxfId="2421" priority="2259" stopIfTrue="1" operator="equal">
      <formula>"Fail"</formula>
    </cfRule>
    <cfRule type="cellIs" dxfId="2420" priority="2260" stopIfTrue="1" operator="equal">
      <formula>"Pass"</formula>
    </cfRule>
  </conditionalFormatting>
  <conditionalFormatting sqref="J1057:N1058 F1057:G1059">
    <cfRule type="cellIs" dxfId="2419" priority="2257" stopIfTrue="1" operator="equal">
      <formula>"Pass"</formula>
    </cfRule>
    <cfRule type="cellIs" dxfId="2418" priority="2258" stopIfTrue="1" operator="equal">
      <formula>"Fail"</formula>
    </cfRule>
  </conditionalFormatting>
  <conditionalFormatting sqref="K1057:O1058 F1057:H1059">
    <cfRule type="cellIs" dxfId="2417" priority="2255" stopIfTrue="1" operator="equal">
      <formula>"Pass"</formula>
    </cfRule>
    <cfRule type="cellIs" dxfId="2416" priority="2256" stopIfTrue="1" operator="equal">
      <formula>"Fail"</formula>
    </cfRule>
  </conditionalFormatting>
  <conditionalFormatting sqref="T1057">
    <cfRule type="cellIs" dxfId="2415" priority="2253" stopIfTrue="1" operator="equal">
      <formula>"Fail"</formula>
    </cfRule>
    <cfRule type="cellIs" dxfId="2414" priority="2254" stopIfTrue="1" operator="equal">
      <formula>"Pass"</formula>
    </cfRule>
  </conditionalFormatting>
  <conditionalFormatting sqref="K1057:O1058 F1057:H1059">
    <cfRule type="cellIs" dxfId="2413" priority="2251" stopIfTrue="1" operator="equal">
      <formula>"Pass"</formula>
    </cfRule>
    <cfRule type="cellIs" dxfId="2412" priority="2252" stopIfTrue="1" operator="equal">
      <formula>"Fail"</formula>
    </cfRule>
  </conditionalFormatting>
  <conditionalFormatting sqref="T1057">
    <cfRule type="cellIs" dxfId="2411" priority="2249" stopIfTrue="1" operator="equal">
      <formula>"Fail"</formula>
    </cfRule>
    <cfRule type="cellIs" dxfId="2410" priority="2250" stopIfTrue="1" operator="equal">
      <formula>"Pass"</formula>
    </cfRule>
  </conditionalFormatting>
  <conditionalFormatting sqref="H1057">
    <cfRule type="cellIs" dxfId="2409" priority="2247" stopIfTrue="1" operator="equal">
      <formula>"Pass"</formula>
    </cfRule>
    <cfRule type="cellIs" dxfId="2408" priority="2248" stopIfTrue="1" operator="equal">
      <formula>"Fail"</formula>
    </cfRule>
  </conditionalFormatting>
  <conditionalFormatting sqref="I1057:M1057">
    <cfRule type="cellIs" dxfId="2407" priority="2245" stopIfTrue="1" operator="equal">
      <formula>"Pass"</formula>
    </cfRule>
    <cfRule type="cellIs" dxfId="2406" priority="2246" stopIfTrue="1" operator="equal">
      <formula>"Fail"</formula>
    </cfRule>
  </conditionalFormatting>
  <conditionalFormatting sqref="J1057:N1057">
    <cfRule type="cellIs" dxfId="2405" priority="2243" stopIfTrue="1" operator="equal">
      <formula>"Pass"</formula>
    </cfRule>
    <cfRule type="cellIs" dxfId="2404" priority="2244" stopIfTrue="1" operator="equal">
      <formula>"Fail"</formula>
    </cfRule>
  </conditionalFormatting>
  <conditionalFormatting sqref="J1057:N1057">
    <cfRule type="cellIs" dxfId="2403" priority="2241" stopIfTrue="1" operator="equal">
      <formula>"Pass"</formula>
    </cfRule>
    <cfRule type="cellIs" dxfId="2402" priority="2242" stopIfTrue="1" operator="equal">
      <formula>"Fail"</formula>
    </cfRule>
  </conditionalFormatting>
  <conditionalFormatting sqref="H1057">
    <cfRule type="cellIs" dxfId="2401" priority="2239" stopIfTrue="1" operator="equal">
      <formula>"Pass"</formula>
    </cfRule>
    <cfRule type="cellIs" dxfId="2400" priority="2240" stopIfTrue="1" operator="equal">
      <formula>"Fail"</formula>
    </cfRule>
  </conditionalFormatting>
  <conditionalFormatting sqref="I1057:M1057">
    <cfRule type="cellIs" dxfId="2399" priority="2237" stopIfTrue="1" operator="equal">
      <formula>"Pass"</formula>
    </cfRule>
    <cfRule type="cellIs" dxfId="2398" priority="2238" stopIfTrue="1" operator="equal">
      <formula>"Fail"</formula>
    </cfRule>
  </conditionalFormatting>
  <conditionalFormatting sqref="J1057:N1057">
    <cfRule type="cellIs" dxfId="2397" priority="2235" stopIfTrue="1" operator="equal">
      <formula>"Pass"</formula>
    </cfRule>
    <cfRule type="cellIs" dxfId="2396" priority="2236" stopIfTrue="1" operator="equal">
      <formula>"Fail"</formula>
    </cfRule>
  </conditionalFormatting>
  <conditionalFormatting sqref="J1057:N1057">
    <cfRule type="cellIs" dxfId="2395" priority="2233" stopIfTrue="1" operator="equal">
      <formula>"Pass"</formula>
    </cfRule>
    <cfRule type="cellIs" dxfId="2394" priority="2234" stopIfTrue="1" operator="equal">
      <formula>"Fail"</formula>
    </cfRule>
  </conditionalFormatting>
  <conditionalFormatting sqref="H1057">
    <cfRule type="cellIs" dxfId="2393" priority="2231" stopIfTrue="1" operator="equal">
      <formula>"Pass"</formula>
    </cfRule>
    <cfRule type="cellIs" dxfId="2392" priority="2232" stopIfTrue="1" operator="equal">
      <formula>"Fail"</formula>
    </cfRule>
  </conditionalFormatting>
  <conditionalFormatting sqref="I1057:M1057">
    <cfRule type="cellIs" dxfId="2391" priority="2229" stopIfTrue="1" operator="equal">
      <formula>"Pass"</formula>
    </cfRule>
    <cfRule type="cellIs" dxfId="2390" priority="2230" stopIfTrue="1" operator="equal">
      <formula>"Fail"</formula>
    </cfRule>
  </conditionalFormatting>
  <conditionalFormatting sqref="J1057:N1057">
    <cfRule type="cellIs" dxfId="2389" priority="2227" stopIfTrue="1" operator="equal">
      <formula>"Pass"</formula>
    </cfRule>
    <cfRule type="cellIs" dxfId="2388" priority="2228" stopIfTrue="1" operator="equal">
      <formula>"Fail"</formula>
    </cfRule>
  </conditionalFormatting>
  <conditionalFormatting sqref="J1057:N1057">
    <cfRule type="cellIs" dxfId="2387" priority="2225" stopIfTrue="1" operator="equal">
      <formula>"Pass"</formula>
    </cfRule>
    <cfRule type="cellIs" dxfId="2386" priority="2226" stopIfTrue="1" operator="equal">
      <formula>"Fail"</formula>
    </cfRule>
  </conditionalFormatting>
  <conditionalFormatting sqref="H1057">
    <cfRule type="cellIs" dxfId="2385" priority="2223" stopIfTrue="1" operator="equal">
      <formula>"Pass"</formula>
    </cfRule>
    <cfRule type="cellIs" dxfId="2384" priority="2224" stopIfTrue="1" operator="equal">
      <formula>"Fail"</formula>
    </cfRule>
  </conditionalFormatting>
  <conditionalFormatting sqref="I1057:M1057">
    <cfRule type="cellIs" dxfId="2383" priority="2221" stopIfTrue="1" operator="equal">
      <formula>"Pass"</formula>
    </cfRule>
    <cfRule type="cellIs" dxfId="2382" priority="2222" stopIfTrue="1" operator="equal">
      <formula>"Fail"</formula>
    </cfRule>
  </conditionalFormatting>
  <conditionalFormatting sqref="J1057:N1057">
    <cfRule type="cellIs" dxfId="2381" priority="2219" stopIfTrue="1" operator="equal">
      <formula>"Pass"</formula>
    </cfRule>
    <cfRule type="cellIs" dxfId="2380" priority="2220" stopIfTrue="1" operator="equal">
      <formula>"Fail"</formula>
    </cfRule>
  </conditionalFormatting>
  <conditionalFormatting sqref="J1057:N1057">
    <cfRule type="cellIs" dxfId="2379" priority="2217" stopIfTrue="1" operator="equal">
      <formula>"Pass"</formula>
    </cfRule>
    <cfRule type="cellIs" dxfId="2378" priority="2218" stopIfTrue="1" operator="equal">
      <formula>"Fail"</formula>
    </cfRule>
  </conditionalFormatting>
  <conditionalFormatting sqref="H1057">
    <cfRule type="cellIs" dxfId="2377" priority="2215" stopIfTrue="1" operator="equal">
      <formula>"Pass"</formula>
    </cfRule>
    <cfRule type="cellIs" dxfId="2376" priority="2216" stopIfTrue="1" operator="equal">
      <formula>"Fail"</formula>
    </cfRule>
  </conditionalFormatting>
  <conditionalFormatting sqref="I1057:M1057">
    <cfRule type="cellIs" dxfId="2375" priority="2213" stopIfTrue="1" operator="equal">
      <formula>"Pass"</formula>
    </cfRule>
    <cfRule type="cellIs" dxfId="2374" priority="2214" stopIfTrue="1" operator="equal">
      <formula>"Fail"</formula>
    </cfRule>
  </conditionalFormatting>
  <conditionalFormatting sqref="J1057:N1057">
    <cfRule type="cellIs" dxfId="2373" priority="2211" stopIfTrue="1" operator="equal">
      <formula>"Pass"</formula>
    </cfRule>
    <cfRule type="cellIs" dxfId="2372" priority="2212" stopIfTrue="1" operator="equal">
      <formula>"Fail"</formula>
    </cfRule>
  </conditionalFormatting>
  <conditionalFormatting sqref="J1057:N1057">
    <cfRule type="cellIs" dxfId="2371" priority="2209" stopIfTrue="1" operator="equal">
      <formula>"Pass"</formula>
    </cfRule>
    <cfRule type="cellIs" dxfId="2370" priority="2210" stopIfTrue="1" operator="equal">
      <formula>"Fail"</formula>
    </cfRule>
  </conditionalFormatting>
  <conditionalFormatting sqref="H1057">
    <cfRule type="cellIs" dxfId="2369" priority="2207" stopIfTrue="1" operator="equal">
      <formula>"Pass"</formula>
    </cfRule>
    <cfRule type="cellIs" dxfId="2368" priority="2208" stopIfTrue="1" operator="equal">
      <formula>"Fail"</formula>
    </cfRule>
  </conditionalFormatting>
  <conditionalFormatting sqref="I1057:M1057">
    <cfRule type="cellIs" dxfId="2367" priority="2205" stopIfTrue="1" operator="equal">
      <formula>"Pass"</formula>
    </cfRule>
    <cfRule type="cellIs" dxfId="2366" priority="2206" stopIfTrue="1" operator="equal">
      <formula>"Fail"</formula>
    </cfRule>
  </conditionalFormatting>
  <conditionalFormatting sqref="J1057:N1057">
    <cfRule type="cellIs" dxfId="2365" priority="2203" stopIfTrue="1" operator="equal">
      <formula>"Pass"</formula>
    </cfRule>
    <cfRule type="cellIs" dxfId="2364" priority="2204" stopIfTrue="1" operator="equal">
      <formula>"Fail"</formula>
    </cfRule>
  </conditionalFormatting>
  <conditionalFormatting sqref="J1057:N1057">
    <cfRule type="cellIs" dxfId="2363" priority="2201" stopIfTrue="1" operator="equal">
      <formula>"Pass"</formula>
    </cfRule>
    <cfRule type="cellIs" dxfId="2362" priority="2202" stopIfTrue="1" operator="equal">
      <formula>"Fail"</formula>
    </cfRule>
  </conditionalFormatting>
  <conditionalFormatting sqref="H1057">
    <cfRule type="cellIs" dxfId="2361" priority="2199" stopIfTrue="1" operator="equal">
      <formula>"Pass"</formula>
    </cfRule>
    <cfRule type="cellIs" dxfId="2360" priority="2200" stopIfTrue="1" operator="equal">
      <formula>"Fail"</formula>
    </cfRule>
  </conditionalFormatting>
  <conditionalFormatting sqref="I1057:M1057">
    <cfRule type="cellIs" dxfId="2359" priority="2197" stopIfTrue="1" operator="equal">
      <formula>"Pass"</formula>
    </cfRule>
    <cfRule type="cellIs" dxfId="2358" priority="2198" stopIfTrue="1" operator="equal">
      <formula>"Fail"</formula>
    </cfRule>
  </conditionalFormatting>
  <conditionalFormatting sqref="J1057:N1057">
    <cfRule type="cellIs" dxfId="2357" priority="2195" stopIfTrue="1" operator="equal">
      <formula>"Pass"</formula>
    </cfRule>
    <cfRule type="cellIs" dxfId="2356" priority="2196" stopIfTrue="1" operator="equal">
      <formula>"Fail"</formula>
    </cfRule>
  </conditionalFormatting>
  <conditionalFormatting sqref="F1057:G1057 J1057:N1057">
    <cfRule type="cellIs" dxfId="2355" priority="2193" stopIfTrue="1" operator="equal">
      <formula>"Pass"</formula>
    </cfRule>
    <cfRule type="cellIs" dxfId="2354" priority="2194" stopIfTrue="1" operator="equal">
      <formula>"Fail"</formula>
    </cfRule>
  </conditionalFormatting>
  <conditionalFormatting sqref="F1057:H1057 K1057:N1057">
    <cfRule type="cellIs" dxfId="2353" priority="2191" stopIfTrue="1" operator="equal">
      <formula>"Pass"</formula>
    </cfRule>
    <cfRule type="cellIs" dxfId="2352" priority="2192" stopIfTrue="1" operator="equal">
      <formula>"Fail"</formula>
    </cfRule>
  </conditionalFormatting>
  <conditionalFormatting sqref="H1057">
    <cfRule type="cellIs" dxfId="2351" priority="2189" stopIfTrue="1" operator="equal">
      <formula>"Pass"</formula>
    </cfRule>
    <cfRule type="cellIs" dxfId="2350" priority="2190" stopIfTrue="1" operator="equal">
      <formula>"Fail"</formula>
    </cfRule>
  </conditionalFormatting>
  <conditionalFormatting sqref="I1057:M1057">
    <cfRule type="cellIs" dxfId="2349" priority="2187" stopIfTrue="1" operator="equal">
      <formula>"Pass"</formula>
    </cfRule>
    <cfRule type="cellIs" dxfId="2348" priority="2188" stopIfTrue="1" operator="equal">
      <formula>"Fail"</formula>
    </cfRule>
  </conditionalFormatting>
  <conditionalFormatting sqref="J1057:N1057">
    <cfRule type="cellIs" dxfId="2347" priority="2185" stopIfTrue="1" operator="equal">
      <formula>"Pass"</formula>
    </cfRule>
    <cfRule type="cellIs" dxfId="2346" priority="2186" stopIfTrue="1" operator="equal">
      <formula>"Fail"</formula>
    </cfRule>
  </conditionalFormatting>
  <conditionalFormatting sqref="F1057:G1057 J1057:N1057">
    <cfRule type="cellIs" dxfId="2345" priority="2183" stopIfTrue="1" operator="equal">
      <formula>"Pass"</formula>
    </cfRule>
    <cfRule type="cellIs" dxfId="2344" priority="2184" stopIfTrue="1" operator="equal">
      <formula>"Fail"</formula>
    </cfRule>
  </conditionalFormatting>
  <conditionalFormatting sqref="K1057:N1057 F1057:H1057">
    <cfRule type="cellIs" dxfId="2343" priority="2181" stopIfTrue="1" operator="equal">
      <formula>"Pass"</formula>
    </cfRule>
    <cfRule type="cellIs" dxfId="2342" priority="2182" stopIfTrue="1" operator="equal">
      <formula>"Fail"</formula>
    </cfRule>
  </conditionalFormatting>
  <conditionalFormatting sqref="K1057:N1057 F1057:H1057">
    <cfRule type="cellIs" dxfId="2341" priority="2179" stopIfTrue="1" operator="equal">
      <formula>"Pass"</formula>
    </cfRule>
    <cfRule type="cellIs" dxfId="2340" priority="2180" stopIfTrue="1" operator="equal">
      <formula>"Fail"</formula>
    </cfRule>
  </conditionalFormatting>
  <conditionalFormatting sqref="H1057">
    <cfRule type="cellIs" dxfId="2339" priority="2177" stopIfTrue="1" operator="equal">
      <formula>"Pass"</formula>
    </cfRule>
    <cfRule type="cellIs" dxfId="2338" priority="2178" stopIfTrue="1" operator="equal">
      <formula>"Fail"</formula>
    </cfRule>
  </conditionalFormatting>
  <conditionalFormatting sqref="I1057:M1057">
    <cfRule type="cellIs" dxfId="2337" priority="2175" stopIfTrue="1" operator="equal">
      <formula>"Pass"</formula>
    </cfRule>
    <cfRule type="cellIs" dxfId="2336" priority="2176" stopIfTrue="1" operator="equal">
      <formula>"Fail"</formula>
    </cfRule>
  </conditionalFormatting>
  <conditionalFormatting sqref="J1057:N1057">
    <cfRule type="cellIs" dxfId="2335" priority="2173" stopIfTrue="1" operator="equal">
      <formula>"Pass"</formula>
    </cfRule>
    <cfRule type="cellIs" dxfId="2334" priority="2174" stopIfTrue="1" operator="equal">
      <formula>"Fail"</formula>
    </cfRule>
  </conditionalFormatting>
  <conditionalFormatting sqref="F1057:G1057 J1057:N1057">
    <cfRule type="cellIs" dxfId="2333" priority="2171" stopIfTrue="1" operator="equal">
      <formula>"Pass"</formula>
    </cfRule>
    <cfRule type="cellIs" dxfId="2332" priority="2172" stopIfTrue="1" operator="equal">
      <formula>"Fail"</formula>
    </cfRule>
  </conditionalFormatting>
  <conditionalFormatting sqref="F1057:H1057 K1057:N1057">
    <cfRule type="cellIs" dxfId="2331" priority="2169" stopIfTrue="1" operator="equal">
      <formula>"Pass"</formula>
    </cfRule>
    <cfRule type="cellIs" dxfId="2330" priority="2170" stopIfTrue="1" operator="equal">
      <formula>"Fail"</formula>
    </cfRule>
  </conditionalFormatting>
  <conditionalFormatting sqref="H1057">
    <cfRule type="cellIs" dxfId="2329" priority="2167" stopIfTrue="1" operator="equal">
      <formula>"Pass"</formula>
    </cfRule>
    <cfRule type="cellIs" dxfId="2328" priority="2168" stopIfTrue="1" operator="equal">
      <formula>"Fail"</formula>
    </cfRule>
  </conditionalFormatting>
  <conditionalFormatting sqref="I1057:M1057">
    <cfRule type="cellIs" dxfId="2327" priority="2165" stopIfTrue="1" operator="equal">
      <formula>"Pass"</formula>
    </cfRule>
    <cfRule type="cellIs" dxfId="2326" priority="2166" stopIfTrue="1" operator="equal">
      <formula>"Fail"</formula>
    </cfRule>
  </conditionalFormatting>
  <conditionalFormatting sqref="J1057:N1057">
    <cfRule type="cellIs" dxfId="2325" priority="2163" stopIfTrue="1" operator="equal">
      <formula>"Pass"</formula>
    </cfRule>
    <cfRule type="cellIs" dxfId="2324" priority="2164" stopIfTrue="1" operator="equal">
      <formula>"Fail"</formula>
    </cfRule>
  </conditionalFormatting>
  <conditionalFormatting sqref="F1057:G1057 J1057:N1057">
    <cfRule type="cellIs" dxfId="2323" priority="2161" stopIfTrue="1" operator="equal">
      <formula>"Pass"</formula>
    </cfRule>
    <cfRule type="cellIs" dxfId="2322" priority="2162" stopIfTrue="1" operator="equal">
      <formula>"Fail"</formula>
    </cfRule>
  </conditionalFormatting>
  <conditionalFormatting sqref="K1057:N1057 F1057:H1057">
    <cfRule type="cellIs" dxfId="2321" priority="2159" stopIfTrue="1" operator="equal">
      <formula>"Pass"</formula>
    </cfRule>
    <cfRule type="cellIs" dxfId="2320" priority="2160" stopIfTrue="1" operator="equal">
      <formula>"Fail"</formula>
    </cfRule>
  </conditionalFormatting>
  <conditionalFormatting sqref="K1057:N1057 F1057:H1057">
    <cfRule type="cellIs" dxfId="2319" priority="2157" stopIfTrue="1" operator="equal">
      <formula>"Pass"</formula>
    </cfRule>
    <cfRule type="cellIs" dxfId="2318" priority="2158" stopIfTrue="1" operator="equal">
      <formula>"Fail"</formula>
    </cfRule>
  </conditionalFormatting>
  <conditionalFormatting sqref="A1060:A1062">
    <cfRule type="cellIs" dxfId="2317" priority="2155" stopIfTrue="1" operator="equal">
      <formula>"Pass"</formula>
    </cfRule>
    <cfRule type="cellIs" dxfId="2316" priority="2156" stopIfTrue="1" operator="equal">
      <formula>"Fail"</formula>
    </cfRule>
  </conditionalFormatting>
  <conditionalFormatting sqref="A1060:A1062">
    <cfRule type="cellIs" dxfId="2315" priority="2153" stopIfTrue="1" operator="equal">
      <formula>"Pass"</formula>
    </cfRule>
    <cfRule type="cellIs" dxfId="2314" priority="2154" stopIfTrue="1" operator="equal">
      <formula>"Fail"</formula>
    </cfRule>
  </conditionalFormatting>
  <conditionalFormatting sqref="A1060:A1062">
    <cfRule type="cellIs" dxfId="2313" priority="2151" stopIfTrue="1" operator="equal">
      <formula>"Pass"</formula>
    </cfRule>
    <cfRule type="cellIs" dxfId="2312" priority="2152" stopIfTrue="1" operator="equal">
      <formula>"Fail"</formula>
    </cfRule>
  </conditionalFormatting>
  <conditionalFormatting sqref="A1060:A1062">
    <cfRule type="cellIs" dxfId="2311" priority="2149" stopIfTrue="1" operator="equal">
      <formula>"Pass"</formula>
    </cfRule>
    <cfRule type="cellIs" dxfId="2310" priority="2150" stopIfTrue="1" operator="equal">
      <formula>"Fail"</formula>
    </cfRule>
  </conditionalFormatting>
  <conditionalFormatting sqref="A1060:A1062">
    <cfRule type="cellIs" dxfId="2309" priority="2147" stopIfTrue="1" operator="equal">
      <formula>"Pass"</formula>
    </cfRule>
    <cfRule type="cellIs" dxfId="2308" priority="2148" stopIfTrue="1" operator="equal">
      <formula>"Fail"</formula>
    </cfRule>
  </conditionalFormatting>
  <conditionalFormatting sqref="A1062">
    <cfRule type="cellIs" dxfId="2307" priority="2145" stopIfTrue="1" operator="equal">
      <formula>"Pass"</formula>
    </cfRule>
    <cfRule type="cellIs" dxfId="2306" priority="2146" stopIfTrue="1" operator="equal">
      <formula>"Fail"</formula>
    </cfRule>
  </conditionalFormatting>
  <conditionalFormatting sqref="A1060:A1062">
    <cfRule type="cellIs" dxfId="2305" priority="2143" stopIfTrue="1" operator="equal">
      <formula>"Pass"</formula>
    </cfRule>
    <cfRule type="cellIs" dxfId="2304" priority="2144" stopIfTrue="1" operator="equal">
      <formula>"Fail"</formula>
    </cfRule>
  </conditionalFormatting>
  <conditionalFormatting sqref="A1060:A1062">
    <cfRule type="cellIs" dxfId="2303" priority="2141" stopIfTrue="1" operator="equal">
      <formula>"Pass"</formula>
    </cfRule>
    <cfRule type="cellIs" dxfId="2302" priority="2142" stopIfTrue="1" operator="equal">
      <formula>"Fail"</formula>
    </cfRule>
  </conditionalFormatting>
  <conditionalFormatting sqref="A1060:A1062">
    <cfRule type="cellIs" dxfId="2301" priority="2139" stopIfTrue="1" operator="equal">
      <formula>"Pass"</formula>
    </cfRule>
    <cfRule type="cellIs" dxfId="2300" priority="2140" stopIfTrue="1" operator="equal">
      <formula>"Fail"</formula>
    </cfRule>
  </conditionalFormatting>
  <conditionalFormatting sqref="A1060:A1062">
    <cfRule type="cellIs" dxfId="2299" priority="2137" stopIfTrue="1" operator="equal">
      <formula>"Pass"</formula>
    </cfRule>
    <cfRule type="cellIs" dxfId="2298" priority="2138" stopIfTrue="1" operator="equal">
      <formula>"Fail"</formula>
    </cfRule>
  </conditionalFormatting>
  <conditionalFormatting sqref="A1060:A1062">
    <cfRule type="cellIs" dxfId="2297" priority="2135" stopIfTrue="1" operator="equal">
      <formula>"Pass"</formula>
    </cfRule>
    <cfRule type="cellIs" dxfId="2296" priority="2136" stopIfTrue="1" operator="equal">
      <formula>"Fail"</formula>
    </cfRule>
  </conditionalFormatting>
  <conditionalFormatting sqref="A1060:A1062">
    <cfRule type="cellIs" dxfId="2295" priority="2133" stopIfTrue="1" operator="equal">
      <formula>"Pass"</formula>
    </cfRule>
    <cfRule type="cellIs" dxfId="2294" priority="2134" stopIfTrue="1" operator="equal">
      <formula>"Fail"</formula>
    </cfRule>
  </conditionalFormatting>
  <conditionalFormatting sqref="A1062">
    <cfRule type="cellIs" dxfId="2293" priority="2131" stopIfTrue="1" operator="equal">
      <formula>"Pass"</formula>
    </cfRule>
    <cfRule type="cellIs" dxfId="2292" priority="2132" stopIfTrue="1" operator="equal">
      <formula>"Fail"</formula>
    </cfRule>
  </conditionalFormatting>
  <conditionalFormatting sqref="A1060:A1062">
    <cfRule type="cellIs" dxfId="2291" priority="2129" stopIfTrue="1" operator="equal">
      <formula>"Pass"</formula>
    </cfRule>
    <cfRule type="cellIs" dxfId="2290" priority="2130" stopIfTrue="1" operator="equal">
      <formula>"Fail"</formula>
    </cfRule>
  </conditionalFormatting>
  <conditionalFormatting sqref="A1060:A1062">
    <cfRule type="cellIs" dxfId="2289" priority="2127" stopIfTrue="1" operator="equal">
      <formula>"Pass"</formula>
    </cfRule>
    <cfRule type="cellIs" dxfId="2288" priority="2128" stopIfTrue="1" operator="equal">
      <formula>"Fail"</formula>
    </cfRule>
  </conditionalFormatting>
  <conditionalFormatting sqref="A1060:A1062">
    <cfRule type="cellIs" dxfId="2287" priority="2125" stopIfTrue="1" operator="equal">
      <formula>"Pass"</formula>
    </cfRule>
    <cfRule type="cellIs" dxfId="2286" priority="2126" stopIfTrue="1" operator="equal">
      <formula>"Fail"</formula>
    </cfRule>
  </conditionalFormatting>
  <conditionalFormatting sqref="A1060:A1062">
    <cfRule type="cellIs" dxfId="2285" priority="2123" stopIfTrue="1" operator="equal">
      <formula>"Pass"</formula>
    </cfRule>
    <cfRule type="cellIs" dxfId="2284" priority="2124" stopIfTrue="1" operator="equal">
      <formula>"Fail"</formula>
    </cfRule>
  </conditionalFormatting>
  <conditionalFormatting sqref="A1060:A1062">
    <cfRule type="cellIs" dxfId="2283" priority="2121" stopIfTrue="1" operator="equal">
      <formula>"Pass"</formula>
    </cfRule>
    <cfRule type="cellIs" dxfId="2282" priority="2122" stopIfTrue="1" operator="equal">
      <formula>"Fail"</formula>
    </cfRule>
  </conditionalFormatting>
  <conditionalFormatting sqref="A1060:A1062">
    <cfRule type="cellIs" dxfId="2281" priority="2119" stopIfTrue="1" operator="equal">
      <formula>"Pass"</formula>
    </cfRule>
    <cfRule type="cellIs" dxfId="2280" priority="2120" stopIfTrue="1" operator="equal">
      <formula>"Fail"</formula>
    </cfRule>
  </conditionalFormatting>
  <conditionalFormatting sqref="A1062">
    <cfRule type="cellIs" dxfId="2279" priority="2117" stopIfTrue="1" operator="equal">
      <formula>"Pass"</formula>
    </cfRule>
    <cfRule type="cellIs" dxfId="2278" priority="2118" stopIfTrue="1" operator="equal">
      <formula>"Fail"</formula>
    </cfRule>
  </conditionalFormatting>
  <conditionalFormatting sqref="A1060:A1062">
    <cfRule type="cellIs" dxfId="2277" priority="2115" stopIfTrue="1" operator="equal">
      <formula>"Pass"</formula>
    </cfRule>
    <cfRule type="cellIs" dxfId="2276" priority="2116" stopIfTrue="1" operator="equal">
      <formula>"Fail"</formula>
    </cfRule>
  </conditionalFormatting>
  <conditionalFormatting sqref="A1060:A1062">
    <cfRule type="cellIs" dxfId="2275" priority="2113" stopIfTrue="1" operator="equal">
      <formula>"Pass"</formula>
    </cfRule>
    <cfRule type="cellIs" dxfId="2274" priority="2114" stopIfTrue="1" operator="equal">
      <formula>"Fail"</formula>
    </cfRule>
  </conditionalFormatting>
  <conditionalFormatting sqref="A1060:A1062">
    <cfRule type="cellIs" dxfId="2273" priority="2111" stopIfTrue="1" operator="equal">
      <formula>"Pass"</formula>
    </cfRule>
    <cfRule type="cellIs" dxfId="2272" priority="2112" stopIfTrue="1" operator="equal">
      <formula>"Fail"</formula>
    </cfRule>
  </conditionalFormatting>
  <conditionalFormatting sqref="A1060:A1062">
    <cfRule type="cellIs" dxfId="2271" priority="2109" stopIfTrue="1" operator="equal">
      <formula>"Pass"</formula>
    </cfRule>
    <cfRule type="cellIs" dxfId="2270" priority="2110" stopIfTrue="1" operator="equal">
      <formula>"Fail"</formula>
    </cfRule>
  </conditionalFormatting>
  <conditionalFormatting sqref="A1060:A1062">
    <cfRule type="cellIs" dxfId="2269" priority="2107" stopIfTrue="1" operator="equal">
      <formula>"Pass"</formula>
    </cfRule>
    <cfRule type="cellIs" dxfId="2268" priority="2108" stopIfTrue="1" operator="equal">
      <formula>"Fail"</formula>
    </cfRule>
  </conditionalFormatting>
  <conditionalFormatting sqref="A1060:A1062">
    <cfRule type="cellIs" dxfId="2267" priority="2105" stopIfTrue="1" operator="equal">
      <formula>"Pass"</formula>
    </cfRule>
    <cfRule type="cellIs" dxfId="2266" priority="2106" stopIfTrue="1" operator="equal">
      <formula>"Fail"</formula>
    </cfRule>
  </conditionalFormatting>
  <conditionalFormatting sqref="A1062">
    <cfRule type="cellIs" dxfId="2265" priority="2103" stopIfTrue="1" operator="equal">
      <formula>"Pass"</formula>
    </cfRule>
    <cfRule type="cellIs" dxfId="2264" priority="2104" stopIfTrue="1" operator="equal">
      <formula>"Fail"</formula>
    </cfRule>
  </conditionalFormatting>
  <conditionalFormatting sqref="A1060:A1062">
    <cfRule type="cellIs" dxfId="2263" priority="2101" stopIfTrue="1" operator="equal">
      <formula>"Pass"</formula>
    </cfRule>
    <cfRule type="cellIs" dxfId="2262" priority="2102" stopIfTrue="1" operator="equal">
      <formula>"Fail"</formula>
    </cfRule>
  </conditionalFormatting>
  <conditionalFormatting sqref="A1060:A1062">
    <cfRule type="cellIs" dxfId="2261" priority="2099" stopIfTrue="1" operator="equal">
      <formula>"Pass"</formula>
    </cfRule>
    <cfRule type="cellIs" dxfId="2260" priority="2100" stopIfTrue="1" operator="equal">
      <formula>"Fail"</formula>
    </cfRule>
  </conditionalFormatting>
  <conditionalFormatting sqref="A1060:A1062">
    <cfRule type="cellIs" dxfId="2259" priority="2097" stopIfTrue="1" operator="equal">
      <formula>"Pass"</formula>
    </cfRule>
    <cfRule type="cellIs" dxfId="2258" priority="2098" stopIfTrue="1" operator="equal">
      <formula>"Fail"</formula>
    </cfRule>
  </conditionalFormatting>
  <conditionalFormatting sqref="A1060:A1062">
    <cfRule type="cellIs" dxfId="2257" priority="2095" stopIfTrue="1" operator="equal">
      <formula>"Pass"</formula>
    </cfRule>
    <cfRule type="cellIs" dxfId="2256" priority="2096" stopIfTrue="1" operator="equal">
      <formula>"Fail"</formula>
    </cfRule>
  </conditionalFormatting>
  <conditionalFormatting sqref="A1060:A1062">
    <cfRule type="cellIs" dxfId="2255" priority="2093" stopIfTrue="1" operator="equal">
      <formula>"Pass"</formula>
    </cfRule>
    <cfRule type="cellIs" dxfId="2254" priority="2094" stopIfTrue="1" operator="equal">
      <formula>"Fail"</formula>
    </cfRule>
  </conditionalFormatting>
  <conditionalFormatting sqref="A1060:A1062">
    <cfRule type="cellIs" dxfId="2253" priority="2091" stopIfTrue="1" operator="equal">
      <formula>"Pass"</formula>
    </cfRule>
    <cfRule type="cellIs" dxfId="2252" priority="2092" stopIfTrue="1" operator="equal">
      <formula>"Fail"</formula>
    </cfRule>
  </conditionalFormatting>
  <conditionalFormatting sqref="A1062">
    <cfRule type="cellIs" dxfId="2251" priority="2089" stopIfTrue="1" operator="equal">
      <formula>"Pass"</formula>
    </cfRule>
    <cfRule type="cellIs" dxfId="2250" priority="2090" stopIfTrue="1" operator="equal">
      <formula>"Fail"</formula>
    </cfRule>
  </conditionalFormatting>
  <conditionalFormatting sqref="A1060:A1062">
    <cfRule type="cellIs" dxfId="2249" priority="2087" stopIfTrue="1" operator="equal">
      <formula>"Pass"</formula>
    </cfRule>
    <cfRule type="cellIs" dxfId="2248" priority="2088" stopIfTrue="1" operator="equal">
      <formula>"Fail"</formula>
    </cfRule>
  </conditionalFormatting>
  <conditionalFormatting sqref="A1060:A1062">
    <cfRule type="cellIs" dxfId="2247" priority="2085" stopIfTrue="1" operator="equal">
      <formula>"Pass"</formula>
    </cfRule>
    <cfRule type="cellIs" dxfId="2246" priority="2086" stopIfTrue="1" operator="equal">
      <formula>"Fail"</formula>
    </cfRule>
  </conditionalFormatting>
  <conditionalFormatting sqref="A1060:A1062">
    <cfRule type="cellIs" dxfId="2245" priority="2083" stopIfTrue="1" operator="equal">
      <formula>"Pass"</formula>
    </cfRule>
    <cfRule type="cellIs" dxfId="2244" priority="2084" stopIfTrue="1" operator="equal">
      <formula>"Fail"</formula>
    </cfRule>
  </conditionalFormatting>
  <conditionalFormatting sqref="A1060:A1062">
    <cfRule type="cellIs" dxfId="2243" priority="2081" stopIfTrue="1" operator="equal">
      <formula>"Pass"</formula>
    </cfRule>
    <cfRule type="cellIs" dxfId="2242" priority="2082" stopIfTrue="1" operator="equal">
      <formula>"Fail"</formula>
    </cfRule>
  </conditionalFormatting>
  <conditionalFormatting sqref="A1060:A1062">
    <cfRule type="cellIs" dxfId="2241" priority="2079" stopIfTrue="1" operator="equal">
      <formula>"Pass"</formula>
    </cfRule>
    <cfRule type="cellIs" dxfId="2240" priority="2080" stopIfTrue="1" operator="equal">
      <formula>"Fail"</formula>
    </cfRule>
  </conditionalFormatting>
  <conditionalFormatting sqref="A1060:A1062">
    <cfRule type="cellIs" dxfId="2239" priority="2077" stopIfTrue="1" operator="equal">
      <formula>"Pass"</formula>
    </cfRule>
    <cfRule type="cellIs" dxfId="2238" priority="2078" stopIfTrue="1" operator="equal">
      <formula>"Fail"</formula>
    </cfRule>
  </conditionalFormatting>
  <conditionalFormatting sqref="A1062">
    <cfRule type="cellIs" dxfId="2237" priority="2075" stopIfTrue="1" operator="equal">
      <formula>"Pass"</formula>
    </cfRule>
    <cfRule type="cellIs" dxfId="2236" priority="2076" stopIfTrue="1" operator="equal">
      <formula>"Fail"</formula>
    </cfRule>
  </conditionalFormatting>
  <conditionalFormatting sqref="A1060:A1062">
    <cfRule type="cellIs" dxfId="2235" priority="2073" stopIfTrue="1" operator="equal">
      <formula>"Pass"</formula>
    </cfRule>
    <cfRule type="cellIs" dxfId="2234" priority="2074" stopIfTrue="1" operator="equal">
      <formula>"Fail"</formula>
    </cfRule>
  </conditionalFormatting>
  <conditionalFormatting sqref="A1060">
    <cfRule type="cellIs" dxfId="2233" priority="2071" stopIfTrue="1" operator="equal">
      <formula>"Pass"</formula>
    </cfRule>
    <cfRule type="cellIs" dxfId="2232" priority="2072" stopIfTrue="1" operator="equal">
      <formula>"Fail"</formula>
    </cfRule>
  </conditionalFormatting>
  <conditionalFormatting sqref="A1060">
    <cfRule type="cellIs" dxfId="2231" priority="2069" stopIfTrue="1" operator="equal">
      <formula>"Pass"</formula>
    </cfRule>
    <cfRule type="cellIs" dxfId="2230" priority="2070" stopIfTrue="1" operator="equal">
      <formula>"Fail"</formula>
    </cfRule>
  </conditionalFormatting>
  <conditionalFormatting sqref="A1060">
    <cfRule type="cellIs" dxfId="2229" priority="2067" stopIfTrue="1" operator="equal">
      <formula>"Pass"</formula>
    </cfRule>
    <cfRule type="cellIs" dxfId="2228" priority="2068" stopIfTrue="1" operator="equal">
      <formula>"Fail"</formula>
    </cfRule>
  </conditionalFormatting>
  <conditionalFormatting sqref="A1060">
    <cfRule type="cellIs" dxfId="2227" priority="2065" stopIfTrue="1" operator="equal">
      <formula>"Pass"</formula>
    </cfRule>
    <cfRule type="cellIs" dxfId="2226" priority="2066" stopIfTrue="1" operator="equal">
      <formula>"Fail"</formula>
    </cfRule>
  </conditionalFormatting>
  <conditionalFormatting sqref="A1060">
    <cfRule type="cellIs" dxfId="2225" priority="2063" stopIfTrue="1" operator="equal">
      <formula>"Pass"</formula>
    </cfRule>
    <cfRule type="cellIs" dxfId="2224" priority="2064" stopIfTrue="1" operator="equal">
      <formula>"Fail"</formula>
    </cfRule>
  </conditionalFormatting>
  <conditionalFormatting sqref="A1060">
    <cfRule type="cellIs" dxfId="2223" priority="2061" stopIfTrue="1" operator="equal">
      <formula>"Pass"</formula>
    </cfRule>
    <cfRule type="cellIs" dxfId="2222" priority="2062" stopIfTrue="1" operator="equal">
      <formula>"Fail"</formula>
    </cfRule>
  </conditionalFormatting>
  <conditionalFormatting sqref="A1060">
    <cfRule type="cellIs" dxfId="2221" priority="2059" stopIfTrue="1" operator="equal">
      <formula>"Pass"</formula>
    </cfRule>
    <cfRule type="cellIs" dxfId="2220" priority="2060" stopIfTrue="1" operator="equal">
      <formula>"Fail"</formula>
    </cfRule>
  </conditionalFormatting>
  <conditionalFormatting sqref="A1060">
    <cfRule type="cellIs" dxfId="2219" priority="2057" stopIfTrue="1" operator="equal">
      <formula>"Pass"</formula>
    </cfRule>
    <cfRule type="cellIs" dxfId="2218" priority="2058" stopIfTrue="1" operator="equal">
      <formula>"Fail"</formula>
    </cfRule>
  </conditionalFormatting>
  <conditionalFormatting sqref="A1060">
    <cfRule type="cellIs" dxfId="2217" priority="2055" stopIfTrue="1" operator="equal">
      <formula>"Pass"</formula>
    </cfRule>
    <cfRule type="cellIs" dxfId="2216" priority="2056" stopIfTrue="1" operator="equal">
      <formula>"Fail"</formula>
    </cfRule>
  </conditionalFormatting>
  <conditionalFormatting sqref="A1060">
    <cfRule type="cellIs" dxfId="2215" priority="2053" stopIfTrue="1" operator="equal">
      <formula>"Pass"</formula>
    </cfRule>
    <cfRule type="cellIs" dxfId="2214" priority="2054" stopIfTrue="1" operator="equal">
      <formula>"Fail"</formula>
    </cfRule>
  </conditionalFormatting>
  <conditionalFormatting sqref="A1060">
    <cfRule type="cellIs" dxfId="2213" priority="2051" stopIfTrue="1" operator="equal">
      <formula>"Pass"</formula>
    </cfRule>
    <cfRule type="cellIs" dxfId="2212" priority="2052" stopIfTrue="1" operator="equal">
      <formula>"Fail"</formula>
    </cfRule>
  </conditionalFormatting>
  <conditionalFormatting sqref="A1060">
    <cfRule type="cellIs" dxfId="2211" priority="2049" stopIfTrue="1" operator="equal">
      <formula>"Pass"</formula>
    </cfRule>
    <cfRule type="cellIs" dxfId="2210" priority="2050" stopIfTrue="1" operator="equal">
      <formula>"Fail"</formula>
    </cfRule>
  </conditionalFormatting>
  <conditionalFormatting sqref="A1060">
    <cfRule type="cellIs" dxfId="2209" priority="2047" stopIfTrue="1" operator="equal">
      <formula>"Pass"</formula>
    </cfRule>
    <cfRule type="cellIs" dxfId="2208" priority="2048" stopIfTrue="1" operator="equal">
      <formula>"Fail"</formula>
    </cfRule>
  </conditionalFormatting>
  <conditionalFormatting sqref="A1060">
    <cfRule type="cellIs" dxfId="2207" priority="2045" stopIfTrue="1" operator="equal">
      <formula>"Pass"</formula>
    </cfRule>
    <cfRule type="cellIs" dxfId="2206" priority="2046" stopIfTrue="1" operator="equal">
      <formula>"Fail"</formula>
    </cfRule>
  </conditionalFormatting>
  <conditionalFormatting sqref="A1060">
    <cfRule type="cellIs" dxfId="2205" priority="2043" stopIfTrue="1" operator="equal">
      <formula>"Pass"</formula>
    </cfRule>
    <cfRule type="cellIs" dxfId="2204" priority="2044" stopIfTrue="1" operator="equal">
      <formula>"Fail"</formula>
    </cfRule>
  </conditionalFormatting>
  <conditionalFormatting sqref="A1060">
    <cfRule type="cellIs" dxfId="2203" priority="2041" stopIfTrue="1" operator="equal">
      <formula>"Pass"</formula>
    </cfRule>
    <cfRule type="cellIs" dxfId="2202" priority="2042" stopIfTrue="1" operator="equal">
      <formula>"Fail"</formula>
    </cfRule>
  </conditionalFormatting>
  <conditionalFormatting sqref="A1060">
    <cfRule type="cellIs" dxfId="2201" priority="2039" stopIfTrue="1" operator="equal">
      <formula>"Pass"</formula>
    </cfRule>
    <cfRule type="cellIs" dxfId="2200" priority="2040" stopIfTrue="1" operator="equal">
      <formula>"Fail"</formula>
    </cfRule>
  </conditionalFormatting>
  <conditionalFormatting sqref="A1060">
    <cfRule type="cellIs" dxfId="2199" priority="2037" stopIfTrue="1" operator="equal">
      <formula>"Pass"</formula>
    </cfRule>
    <cfRule type="cellIs" dxfId="2198" priority="2038" stopIfTrue="1" operator="equal">
      <formula>"Fail"</formula>
    </cfRule>
  </conditionalFormatting>
  <conditionalFormatting sqref="J1060:J1061">
    <cfRule type="cellIs" dxfId="2197" priority="2035" stopIfTrue="1" operator="equal">
      <formula>"Pass"</formula>
    </cfRule>
    <cfRule type="cellIs" dxfId="2196" priority="2036" stopIfTrue="1" operator="equal">
      <formula>"Fail"</formula>
    </cfRule>
  </conditionalFormatting>
  <conditionalFormatting sqref="H1060:H1061 I1061">
    <cfRule type="cellIs" dxfId="2195" priority="2033" stopIfTrue="1" operator="equal">
      <formula>"Pass"</formula>
    </cfRule>
    <cfRule type="cellIs" dxfId="2194" priority="2034" stopIfTrue="1" operator="equal">
      <formula>"Fail"</formula>
    </cfRule>
  </conditionalFormatting>
  <conditionalFormatting sqref="A1060 C1060 F1062 F1060:G1060 K1060:N1061">
    <cfRule type="cellIs" dxfId="2193" priority="2031" stopIfTrue="1" operator="equal">
      <formula>"Pass"</formula>
    </cfRule>
    <cfRule type="cellIs" dxfId="2192" priority="2032" stopIfTrue="1" operator="equal">
      <formula>"Fail"</formula>
    </cfRule>
  </conditionalFormatting>
  <conditionalFormatting sqref="T1060:T1062 U1061:V1062">
    <cfRule type="cellIs" dxfId="2191" priority="2029" stopIfTrue="1" operator="equal">
      <formula>"Fail"</formula>
    </cfRule>
    <cfRule type="cellIs" dxfId="2190" priority="2030" stopIfTrue="1" operator="equal">
      <formula>"Pass"</formula>
    </cfRule>
  </conditionalFormatting>
  <conditionalFormatting sqref="A1060">
    <cfRule type="cellIs" dxfId="2189" priority="2027" stopIfTrue="1" operator="equal">
      <formula>"Pass"</formula>
    </cfRule>
    <cfRule type="cellIs" dxfId="2188" priority="2028" stopIfTrue="1" operator="equal">
      <formula>"Fail"</formula>
    </cfRule>
  </conditionalFormatting>
  <conditionalFormatting sqref="A1060">
    <cfRule type="cellIs" dxfId="2187" priority="2025" stopIfTrue="1" operator="equal">
      <formula>"Pass"</formula>
    </cfRule>
    <cfRule type="cellIs" dxfId="2186" priority="2026" stopIfTrue="1" operator="equal">
      <formula>"Fail"</formula>
    </cfRule>
  </conditionalFormatting>
  <conditionalFormatting sqref="A1060">
    <cfRule type="cellIs" dxfId="2185" priority="2023" stopIfTrue="1" operator="equal">
      <formula>"Pass"</formula>
    </cfRule>
    <cfRule type="cellIs" dxfId="2184" priority="2024" stopIfTrue="1" operator="equal">
      <formula>"Fail"</formula>
    </cfRule>
  </conditionalFormatting>
  <conditionalFormatting sqref="A1060">
    <cfRule type="cellIs" dxfId="2183" priority="2021" stopIfTrue="1" operator="equal">
      <formula>"Pass"</formula>
    </cfRule>
    <cfRule type="cellIs" dxfId="2182" priority="2022" stopIfTrue="1" operator="equal">
      <formula>"Fail"</formula>
    </cfRule>
  </conditionalFormatting>
  <conditionalFormatting sqref="A1060">
    <cfRule type="cellIs" dxfId="2181" priority="2019" stopIfTrue="1" operator="equal">
      <formula>"Pass"</formula>
    </cfRule>
    <cfRule type="cellIs" dxfId="2180" priority="2020" stopIfTrue="1" operator="equal">
      <formula>"Fail"</formula>
    </cfRule>
  </conditionalFormatting>
  <conditionalFormatting sqref="A1060">
    <cfRule type="cellIs" dxfId="2179" priority="2017" stopIfTrue="1" operator="equal">
      <formula>"Pass"</formula>
    </cfRule>
    <cfRule type="cellIs" dxfId="2178" priority="2018" stopIfTrue="1" operator="equal">
      <formula>"Fail"</formula>
    </cfRule>
  </conditionalFormatting>
  <conditionalFormatting sqref="A1060">
    <cfRule type="cellIs" dxfId="2177" priority="2015" stopIfTrue="1" operator="equal">
      <formula>"Pass"</formula>
    </cfRule>
    <cfRule type="cellIs" dxfId="2176" priority="2016" stopIfTrue="1" operator="equal">
      <formula>"Fail"</formula>
    </cfRule>
  </conditionalFormatting>
  <conditionalFormatting sqref="A1060">
    <cfRule type="cellIs" dxfId="2175" priority="2013" stopIfTrue="1" operator="equal">
      <formula>"Pass"</formula>
    </cfRule>
    <cfRule type="cellIs" dxfId="2174" priority="2014" stopIfTrue="1" operator="equal">
      <formula>"Fail"</formula>
    </cfRule>
  </conditionalFormatting>
  <conditionalFormatting sqref="A1060">
    <cfRule type="cellIs" dxfId="2173" priority="2011" stopIfTrue="1" operator="equal">
      <formula>"Pass"</formula>
    </cfRule>
    <cfRule type="cellIs" dxfId="2172" priority="2012" stopIfTrue="1" operator="equal">
      <formula>"Fail"</formula>
    </cfRule>
  </conditionalFormatting>
  <conditionalFormatting sqref="A1060">
    <cfRule type="cellIs" dxfId="2171" priority="2009" stopIfTrue="1" operator="equal">
      <formula>"Pass"</formula>
    </cfRule>
    <cfRule type="cellIs" dxfId="2170" priority="2010" stopIfTrue="1" operator="equal">
      <formula>"Fail"</formula>
    </cfRule>
  </conditionalFormatting>
  <conditionalFormatting sqref="A1060">
    <cfRule type="cellIs" dxfId="2169" priority="2007" stopIfTrue="1" operator="equal">
      <formula>"Pass"</formula>
    </cfRule>
    <cfRule type="cellIs" dxfId="2168" priority="2008" stopIfTrue="1" operator="equal">
      <formula>"Fail"</formula>
    </cfRule>
  </conditionalFormatting>
  <conditionalFormatting sqref="A1060">
    <cfRule type="cellIs" dxfId="2167" priority="2005" stopIfTrue="1" operator="equal">
      <formula>"Pass"</formula>
    </cfRule>
    <cfRule type="cellIs" dxfId="2166" priority="2006" stopIfTrue="1" operator="equal">
      <formula>"Fail"</formula>
    </cfRule>
  </conditionalFormatting>
  <conditionalFormatting sqref="A1060">
    <cfRule type="cellIs" dxfId="2165" priority="2003" stopIfTrue="1" operator="equal">
      <formula>"Pass"</formula>
    </cfRule>
    <cfRule type="cellIs" dxfId="2164" priority="2004" stopIfTrue="1" operator="equal">
      <formula>"Fail"</formula>
    </cfRule>
  </conditionalFormatting>
  <conditionalFormatting sqref="A1060">
    <cfRule type="cellIs" dxfId="2163" priority="2001" stopIfTrue="1" operator="equal">
      <formula>"Pass"</formula>
    </cfRule>
    <cfRule type="cellIs" dxfId="2162" priority="2002" stopIfTrue="1" operator="equal">
      <formula>"Fail"</formula>
    </cfRule>
  </conditionalFormatting>
  <conditionalFormatting sqref="A1060">
    <cfRule type="cellIs" dxfId="2161" priority="1999" stopIfTrue="1" operator="equal">
      <formula>"Pass"</formula>
    </cfRule>
    <cfRule type="cellIs" dxfId="2160" priority="2000" stopIfTrue="1" operator="equal">
      <formula>"Fail"</formula>
    </cfRule>
  </conditionalFormatting>
  <conditionalFormatting sqref="A1060">
    <cfRule type="cellIs" dxfId="2159" priority="1997" stopIfTrue="1" operator="equal">
      <formula>"Pass"</formula>
    </cfRule>
    <cfRule type="cellIs" dxfId="2158" priority="1998" stopIfTrue="1" operator="equal">
      <formula>"Fail"</formula>
    </cfRule>
  </conditionalFormatting>
  <conditionalFormatting sqref="U1060:V1060">
    <cfRule type="cellIs" dxfId="2157" priority="1995" stopIfTrue="1" operator="equal">
      <formula>"Fail"</formula>
    </cfRule>
    <cfRule type="cellIs" dxfId="2156" priority="1996" stopIfTrue="1" operator="equal">
      <formula>"Pass"</formula>
    </cfRule>
  </conditionalFormatting>
  <conditionalFormatting sqref="U1060:V1060">
    <cfRule type="cellIs" dxfId="2155" priority="1993" stopIfTrue="1" operator="equal">
      <formula>"Fail"</formula>
    </cfRule>
    <cfRule type="cellIs" dxfId="2154" priority="1994" stopIfTrue="1" operator="equal">
      <formula>"Pass"</formula>
    </cfRule>
  </conditionalFormatting>
  <conditionalFormatting sqref="J1060:J1061">
    <cfRule type="cellIs" dxfId="2153" priority="1991" stopIfTrue="1" operator="equal">
      <formula>"Pass"</formula>
    </cfRule>
    <cfRule type="cellIs" dxfId="2152" priority="1992" stopIfTrue="1" operator="equal">
      <formula>"Fail"</formula>
    </cfRule>
  </conditionalFormatting>
  <conditionalFormatting sqref="H1060:H1061 I1061">
    <cfRule type="cellIs" dxfId="2151" priority="1989" stopIfTrue="1" operator="equal">
      <formula>"Pass"</formula>
    </cfRule>
    <cfRule type="cellIs" dxfId="2150" priority="1990" stopIfTrue="1" operator="equal">
      <formula>"Fail"</formula>
    </cfRule>
  </conditionalFormatting>
  <conditionalFormatting sqref="F1062 F1060:G1060 K1060:N1061">
    <cfRule type="cellIs" dxfId="2149" priority="1987" stopIfTrue="1" operator="equal">
      <formula>"Pass"</formula>
    </cfRule>
    <cfRule type="cellIs" dxfId="2148" priority="1988" stopIfTrue="1" operator="equal">
      <formula>"Fail"</formula>
    </cfRule>
  </conditionalFormatting>
  <conditionalFormatting sqref="T1060:T1062 U1061:V1062">
    <cfRule type="cellIs" dxfId="2147" priority="1985" stopIfTrue="1" operator="equal">
      <formula>"Fail"</formula>
    </cfRule>
    <cfRule type="cellIs" dxfId="2146" priority="1986" stopIfTrue="1" operator="equal">
      <formula>"Pass"</formula>
    </cfRule>
  </conditionalFormatting>
  <conditionalFormatting sqref="U1060:V1060">
    <cfRule type="cellIs" dxfId="2145" priority="1983" stopIfTrue="1" operator="equal">
      <formula>"Fail"</formula>
    </cfRule>
    <cfRule type="cellIs" dxfId="2144" priority="1984" stopIfTrue="1" operator="equal">
      <formula>"Pass"</formula>
    </cfRule>
  </conditionalFormatting>
  <conditionalFormatting sqref="U1060:V1060">
    <cfRule type="cellIs" dxfId="2143" priority="1981" stopIfTrue="1" operator="equal">
      <formula>"Fail"</formula>
    </cfRule>
    <cfRule type="cellIs" dxfId="2142" priority="1982" stopIfTrue="1" operator="equal">
      <formula>"Pass"</formula>
    </cfRule>
  </conditionalFormatting>
  <conditionalFormatting sqref="F1060:G1060 K1060:N1060">
    <cfRule type="cellIs" dxfId="2141" priority="1979" stopIfTrue="1" operator="equal">
      <formula>"Pass"</formula>
    </cfRule>
    <cfRule type="cellIs" dxfId="2140" priority="1980" stopIfTrue="1" operator="equal">
      <formula>"Fail"</formula>
    </cfRule>
  </conditionalFormatting>
  <conditionalFormatting sqref="K1061:N1061">
    <cfRule type="cellIs" dxfId="2139" priority="1977" stopIfTrue="1" operator="equal">
      <formula>"Pass"</formula>
    </cfRule>
    <cfRule type="cellIs" dxfId="2138" priority="1978" stopIfTrue="1" operator="equal">
      <formula>"Fail"</formula>
    </cfRule>
  </conditionalFormatting>
  <conditionalFormatting sqref="U1060:V1060">
    <cfRule type="cellIs" dxfId="2137" priority="1975" stopIfTrue="1" operator="equal">
      <formula>"Fail"</formula>
    </cfRule>
    <cfRule type="cellIs" dxfId="2136" priority="1976" stopIfTrue="1" operator="equal">
      <formula>"Pass"</formula>
    </cfRule>
  </conditionalFormatting>
  <conditionalFormatting sqref="A1060">
    <cfRule type="cellIs" dxfId="2135" priority="1973" stopIfTrue="1" operator="equal">
      <formula>"Pass"</formula>
    </cfRule>
    <cfRule type="cellIs" dxfId="2134" priority="1974" stopIfTrue="1" operator="equal">
      <formula>"Fail"</formula>
    </cfRule>
  </conditionalFormatting>
  <conditionalFormatting sqref="A1060">
    <cfRule type="cellIs" dxfId="2133" priority="1971" stopIfTrue="1" operator="equal">
      <formula>"Pass"</formula>
    </cfRule>
    <cfRule type="cellIs" dxfId="2132" priority="1972" stopIfTrue="1" operator="equal">
      <formula>"Fail"</formula>
    </cfRule>
  </conditionalFormatting>
  <conditionalFormatting sqref="A1060">
    <cfRule type="cellIs" dxfId="2131" priority="1969" stopIfTrue="1" operator="equal">
      <formula>"Pass"</formula>
    </cfRule>
    <cfRule type="cellIs" dxfId="2130" priority="1970" stopIfTrue="1" operator="equal">
      <formula>"Fail"</formula>
    </cfRule>
  </conditionalFormatting>
  <conditionalFormatting sqref="A1060">
    <cfRule type="cellIs" dxfId="2129" priority="1967" stopIfTrue="1" operator="equal">
      <formula>"Pass"</formula>
    </cfRule>
    <cfRule type="cellIs" dxfId="2128" priority="1968" stopIfTrue="1" operator="equal">
      <formula>"Fail"</formula>
    </cfRule>
  </conditionalFormatting>
  <conditionalFormatting sqref="A1060">
    <cfRule type="cellIs" dxfId="2127" priority="1965" stopIfTrue="1" operator="equal">
      <formula>"Pass"</formula>
    </cfRule>
    <cfRule type="cellIs" dxfId="2126" priority="1966" stopIfTrue="1" operator="equal">
      <formula>"Fail"</formula>
    </cfRule>
  </conditionalFormatting>
  <conditionalFormatting sqref="A1060">
    <cfRule type="cellIs" dxfId="2125" priority="1963" stopIfTrue="1" operator="equal">
      <formula>"Pass"</formula>
    </cfRule>
    <cfRule type="cellIs" dxfId="2124" priority="1964" stopIfTrue="1" operator="equal">
      <formula>"Fail"</formula>
    </cfRule>
  </conditionalFormatting>
  <conditionalFormatting sqref="A1060">
    <cfRule type="cellIs" dxfId="2123" priority="1961" stopIfTrue="1" operator="equal">
      <formula>"Pass"</formula>
    </cfRule>
    <cfRule type="cellIs" dxfId="2122" priority="1962" stopIfTrue="1" operator="equal">
      <formula>"Fail"</formula>
    </cfRule>
  </conditionalFormatting>
  <conditionalFormatting sqref="A1060">
    <cfRule type="cellIs" dxfId="2121" priority="1959" stopIfTrue="1" operator="equal">
      <formula>"Pass"</formula>
    </cfRule>
    <cfRule type="cellIs" dxfId="2120" priority="1960" stopIfTrue="1" operator="equal">
      <formula>"Fail"</formula>
    </cfRule>
  </conditionalFormatting>
  <conditionalFormatting sqref="A1060">
    <cfRule type="cellIs" dxfId="2119" priority="1957" stopIfTrue="1" operator="equal">
      <formula>"Pass"</formula>
    </cfRule>
    <cfRule type="cellIs" dxfId="2118" priority="1958" stopIfTrue="1" operator="equal">
      <formula>"Fail"</formula>
    </cfRule>
  </conditionalFormatting>
  <conditionalFormatting sqref="A1060">
    <cfRule type="cellIs" dxfId="2117" priority="1955" stopIfTrue="1" operator="equal">
      <formula>"Pass"</formula>
    </cfRule>
    <cfRule type="cellIs" dxfId="2116" priority="1956" stopIfTrue="1" operator="equal">
      <formula>"Fail"</formula>
    </cfRule>
  </conditionalFormatting>
  <conditionalFormatting sqref="A1060">
    <cfRule type="cellIs" dxfId="2115" priority="1953" stopIfTrue="1" operator="equal">
      <formula>"Pass"</formula>
    </cfRule>
    <cfRule type="cellIs" dxfId="2114" priority="1954" stopIfTrue="1" operator="equal">
      <formula>"Fail"</formula>
    </cfRule>
  </conditionalFormatting>
  <conditionalFormatting sqref="A1060">
    <cfRule type="cellIs" dxfId="2113" priority="1951" stopIfTrue="1" operator="equal">
      <formula>"Pass"</formula>
    </cfRule>
    <cfRule type="cellIs" dxfId="2112" priority="1952" stopIfTrue="1" operator="equal">
      <formula>"Fail"</formula>
    </cfRule>
  </conditionalFormatting>
  <conditionalFormatting sqref="J1060:J1061">
    <cfRule type="cellIs" dxfId="2111" priority="1949" stopIfTrue="1" operator="equal">
      <formula>"Pass"</formula>
    </cfRule>
    <cfRule type="cellIs" dxfId="2110" priority="1950" stopIfTrue="1" operator="equal">
      <formula>"Fail"</formula>
    </cfRule>
  </conditionalFormatting>
  <conditionalFormatting sqref="H1060:H1061 I1061">
    <cfRule type="cellIs" dxfId="2109" priority="1947" stopIfTrue="1" operator="equal">
      <formula>"Pass"</formula>
    </cfRule>
    <cfRule type="cellIs" dxfId="2108" priority="1948" stopIfTrue="1" operator="equal">
      <formula>"Fail"</formula>
    </cfRule>
  </conditionalFormatting>
  <conditionalFormatting sqref="F1062 F1060:G1060 K1060:N1061">
    <cfRule type="cellIs" dxfId="2107" priority="1945" stopIfTrue="1" operator="equal">
      <formula>"Pass"</formula>
    </cfRule>
    <cfRule type="cellIs" dxfId="2106" priority="1946" stopIfTrue="1" operator="equal">
      <formula>"Fail"</formula>
    </cfRule>
  </conditionalFormatting>
  <conditionalFormatting sqref="T1060:T1062 U1061:V1062">
    <cfRule type="cellIs" dxfId="2105" priority="1943" stopIfTrue="1" operator="equal">
      <formula>"Fail"</formula>
    </cfRule>
    <cfRule type="cellIs" dxfId="2104" priority="1944" stopIfTrue="1" operator="equal">
      <formula>"Pass"</formula>
    </cfRule>
  </conditionalFormatting>
  <conditionalFormatting sqref="U1060:V1060">
    <cfRule type="cellIs" dxfId="2103" priority="1941" stopIfTrue="1" operator="equal">
      <formula>"Fail"</formula>
    </cfRule>
    <cfRule type="cellIs" dxfId="2102" priority="1942" stopIfTrue="1" operator="equal">
      <formula>"Pass"</formula>
    </cfRule>
  </conditionalFormatting>
  <conditionalFormatting sqref="U1060:V1060">
    <cfRule type="cellIs" dxfId="2101" priority="1939" stopIfTrue="1" operator="equal">
      <formula>"Fail"</formula>
    </cfRule>
    <cfRule type="cellIs" dxfId="2100" priority="1940" stopIfTrue="1" operator="equal">
      <formula>"Pass"</formula>
    </cfRule>
  </conditionalFormatting>
  <conditionalFormatting sqref="J1060:J1061">
    <cfRule type="cellIs" dxfId="2099" priority="1937" stopIfTrue="1" operator="equal">
      <formula>"Pass"</formula>
    </cfRule>
    <cfRule type="cellIs" dxfId="2098" priority="1938" stopIfTrue="1" operator="equal">
      <formula>"Fail"</formula>
    </cfRule>
  </conditionalFormatting>
  <conditionalFormatting sqref="H1060:H1061 I1061">
    <cfRule type="cellIs" dxfId="2097" priority="1935" stopIfTrue="1" operator="equal">
      <formula>"Pass"</formula>
    </cfRule>
    <cfRule type="cellIs" dxfId="2096" priority="1936" stopIfTrue="1" operator="equal">
      <formula>"Fail"</formula>
    </cfRule>
  </conditionalFormatting>
  <conditionalFormatting sqref="F1062 F1060:G1060 K1060:N1061">
    <cfRule type="cellIs" dxfId="2095" priority="1933" stopIfTrue="1" operator="equal">
      <formula>"Pass"</formula>
    </cfRule>
    <cfRule type="cellIs" dxfId="2094" priority="1934" stopIfTrue="1" operator="equal">
      <formula>"Fail"</formula>
    </cfRule>
  </conditionalFormatting>
  <conditionalFormatting sqref="T1060:T1062 U1061:V1062">
    <cfRule type="cellIs" dxfId="2093" priority="1931" stopIfTrue="1" operator="equal">
      <formula>"Fail"</formula>
    </cfRule>
    <cfRule type="cellIs" dxfId="2092" priority="1932" stopIfTrue="1" operator="equal">
      <formula>"Pass"</formula>
    </cfRule>
  </conditionalFormatting>
  <conditionalFormatting sqref="U1060:V1060">
    <cfRule type="cellIs" dxfId="2091" priority="1929" stopIfTrue="1" operator="equal">
      <formula>"Fail"</formula>
    </cfRule>
    <cfRule type="cellIs" dxfId="2090" priority="1930" stopIfTrue="1" operator="equal">
      <formula>"Pass"</formula>
    </cfRule>
  </conditionalFormatting>
  <conditionalFormatting sqref="U1060:V1060">
    <cfRule type="cellIs" dxfId="2089" priority="1927" stopIfTrue="1" operator="equal">
      <formula>"Fail"</formula>
    </cfRule>
    <cfRule type="cellIs" dxfId="2088" priority="1928" stopIfTrue="1" operator="equal">
      <formula>"Pass"</formula>
    </cfRule>
  </conditionalFormatting>
  <conditionalFormatting sqref="F1060:G1060 K1060:N1060">
    <cfRule type="cellIs" dxfId="2087" priority="1925" stopIfTrue="1" operator="equal">
      <formula>"Pass"</formula>
    </cfRule>
    <cfRule type="cellIs" dxfId="2086" priority="1926" stopIfTrue="1" operator="equal">
      <formula>"Fail"</formula>
    </cfRule>
  </conditionalFormatting>
  <conditionalFormatting sqref="K1061:N1061">
    <cfRule type="cellIs" dxfId="2085" priority="1923" stopIfTrue="1" operator="equal">
      <formula>"Pass"</formula>
    </cfRule>
    <cfRule type="cellIs" dxfId="2084" priority="1924" stopIfTrue="1" operator="equal">
      <formula>"Fail"</formula>
    </cfRule>
  </conditionalFormatting>
  <conditionalFormatting sqref="U1060:V1060">
    <cfRule type="cellIs" dxfId="2083" priority="1921" stopIfTrue="1" operator="equal">
      <formula>"Fail"</formula>
    </cfRule>
    <cfRule type="cellIs" dxfId="2082" priority="1922" stopIfTrue="1" operator="equal">
      <formula>"Pass"</formula>
    </cfRule>
  </conditionalFormatting>
  <conditionalFormatting sqref="J1060:J1061">
    <cfRule type="cellIs" dxfId="2081" priority="1919" stopIfTrue="1" operator="equal">
      <formula>"Pass"</formula>
    </cfRule>
    <cfRule type="cellIs" dxfId="2080" priority="1920" stopIfTrue="1" operator="equal">
      <formula>"Fail"</formula>
    </cfRule>
  </conditionalFormatting>
  <conditionalFormatting sqref="H1060:H1061 I1061">
    <cfRule type="cellIs" dxfId="2079" priority="1917" stopIfTrue="1" operator="equal">
      <formula>"Pass"</formula>
    </cfRule>
    <cfRule type="cellIs" dxfId="2078" priority="1918" stopIfTrue="1" operator="equal">
      <formula>"Fail"</formula>
    </cfRule>
  </conditionalFormatting>
  <conditionalFormatting sqref="F1060:G1060 K1060:N1061">
    <cfRule type="cellIs" dxfId="2077" priority="1915" stopIfTrue="1" operator="equal">
      <formula>"Pass"</formula>
    </cfRule>
    <cfRule type="cellIs" dxfId="2076" priority="1916" stopIfTrue="1" operator="equal">
      <formula>"Fail"</formula>
    </cfRule>
  </conditionalFormatting>
  <conditionalFormatting sqref="T1060:T1061 U1061:V1061">
    <cfRule type="cellIs" dxfId="2075" priority="1913" stopIfTrue="1" operator="equal">
      <formula>"Fail"</formula>
    </cfRule>
    <cfRule type="cellIs" dxfId="2074" priority="1914" stopIfTrue="1" operator="equal">
      <formula>"Pass"</formula>
    </cfRule>
  </conditionalFormatting>
  <conditionalFormatting sqref="U1060:V1060">
    <cfRule type="cellIs" dxfId="2073" priority="1911" stopIfTrue="1" operator="equal">
      <formula>"Fail"</formula>
    </cfRule>
    <cfRule type="cellIs" dxfId="2072" priority="1912" stopIfTrue="1" operator="equal">
      <formula>"Pass"</formula>
    </cfRule>
  </conditionalFormatting>
  <conditionalFormatting sqref="U1060:V1060">
    <cfRule type="cellIs" dxfId="2071" priority="1909" stopIfTrue="1" operator="equal">
      <formula>"Fail"</formula>
    </cfRule>
    <cfRule type="cellIs" dxfId="2070" priority="1910" stopIfTrue="1" operator="equal">
      <formula>"Pass"</formula>
    </cfRule>
  </conditionalFormatting>
  <conditionalFormatting sqref="J1060:J1061">
    <cfRule type="cellIs" dxfId="2069" priority="1907" stopIfTrue="1" operator="equal">
      <formula>"Pass"</formula>
    </cfRule>
    <cfRule type="cellIs" dxfId="2068" priority="1908" stopIfTrue="1" operator="equal">
      <formula>"Fail"</formula>
    </cfRule>
  </conditionalFormatting>
  <conditionalFormatting sqref="H1060:H1061 I1061">
    <cfRule type="cellIs" dxfId="2067" priority="1905" stopIfTrue="1" operator="equal">
      <formula>"Pass"</formula>
    </cfRule>
    <cfRule type="cellIs" dxfId="2066" priority="1906" stopIfTrue="1" operator="equal">
      <formula>"Fail"</formula>
    </cfRule>
  </conditionalFormatting>
  <conditionalFormatting sqref="F1060:G1060 K1060:N1061">
    <cfRule type="cellIs" dxfId="2065" priority="1903" stopIfTrue="1" operator="equal">
      <formula>"Pass"</formula>
    </cfRule>
    <cfRule type="cellIs" dxfId="2064" priority="1904" stopIfTrue="1" operator="equal">
      <formula>"Fail"</formula>
    </cfRule>
  </conditionalFormatting>
  <conditionalFormatting sqref="T1060:T1061 U1061:V1061">
    <cfRule type="cellIs" dxfId="2063" priority="1901" stopIfTrue="1" operator="equal">
      <formula>"Fail"</formula>
    </cfRule>
    <cfRule type="cellIs" dxfId="2062" priority="1902" stopIfTrue="1" operator="equal">
      <formula>"Pass"</formula>
    </cfRule>
  </conditionalFormatting>
  <conditionalFormatting sqref="U1060:V1060">
    <cfRule type="cellIs" dxfId="2061" priority="1899" stopIfTrue="1" operator="equal">
      <formula>"Fail"</formula>
    </cfRule>
    <cfRule type="cellIs" dxfId="2060" priority="1900" stopIfTrue="1" operator="equal">
      <formula>"Pass"</formula>
    </cfRule>
  </conditionalFormatting>
  <conditionalFormatting sqref="U1060:V1060">
    <cfRule type="cellIs" dxfId="2059" priority="1897" stopIfTrue="1" operator="equal">
      <formula>"Fail"</formula>
    </cfRule>
    <cfRule type="cellIs" dxfId="2058" priority="1898" stopIfTrue="1" operator="equal">
      <formula>"Pass"</formula>
    </cfRule>
  </conditionalFormatting>
  <conditionalFormatting sqref="F1060:G1060 K1060:N1060">
    <cfRule type="cellIs" dxfId="2057" priority="1895" stopIfTrue="1" operator="equal">
      <formula>"Pass"</formula>
    </cfRule>
    <cfRule type="cellIs" dxfId="2056" priority="1896" stopIfTrue="1" operator="equal">
      <formula>"Fail"</formula>
    </cfRule>
  </conditionalFormatting>
  <conditionalFormatting sqref="K1061:N1061">
    <cfRule type="cellIs" dxfId="2055" priority="1893" stopIfTrue="1" operator="equal">
      <formula>"Pass"</formula>
    </cfRule>
    <cfRule type="cellIs" dxfId="2054" priority="1894" stopIfTrue="1" operator="equal">
      <formula>"Fail"</formula>
    </cfRule>
  </conditionalFormatting>
  <conditionalFormatting sqref="U1060:V1060">
    <cfRule type="cellIs" dxfId="2053" priority="1891" stopIfTrue="1" operator="equal">
      <formula>"Fail"</formula>
    </cfRule>
    <cfRule type="cellIs" dxfId="2052" priority="1892" stopIfTrue="1" operator="equal">
      <formula>"Pass"</formula>
    </cfRule>
  </conditionalFormatting>
  <conditionalFormatting sqref="U1060:V1060">
    <cfRule type="cellIs" dxfId="2051" priority="1889" stopIfTrue="1" operator="equal">
      <formula>"Fail"</formula>
    </cfRule>
    <cfRule type="cellIs" dxfId="2050" priority="1890" stopIfTrue="1" operator="equal">
      <formula>"Pass"</formula>
    </cfRule>
  </conditionalFormatting>
  <conditionalFormatting sqref="U1060:V1060">
    <cfRule type="cellIs" dxfId="2049" priority="1887" stopIfTrue="1" operator="equal">
      <formula>"Fail"</formula>
    </cfRule>
    <cfRule type="cellIs" dxfId="2048" priority="1888" stopIfTrue="1" operator="equal">
      <formula>"Pass"</formula>
    </cfRule>
  </conditionalFormatting>
  <conditionalFormatting sqref="U1060:V1060">
    <cfRule type="cellIs" dxfId="2047" priority="1885" stopIfTrue="1" operator="equal">
      <formula>"Fail"</formula>
    </cfRule>
    <cfRule type="cellIs" dxfId="2046" priority="1886" stopIfTrue="1" operator="equal">
      <formula>"Pass"</formula>
    </cfRule>
  </conditionalFormatting>
  <conditionalFormatting sqref="A1060">
    <cfRule type="cellIs" dxfId="2045" priority="1883" stopIfTrue="1" operator="equal">
      <formula>"Pass"</formula>
    </cfRule>
    <cfRule type="cellIs" dxfId="2044" priority="1884" stopIfTrue="1" operator="equal">
      <formula>"Fail"</formula>
    </cfRule>
  </conditionalFormatting>
  <conditionalFormatting sqref="A1060">
    <cfRule type="cellIs" dxfId="2043" priority="1881" stopIfTrue="1" operator="equal">
      <formula>"Pass"</formula>
    </cfRule>
    <cfRule type="cellIs" dxfId="2042" priority="1882" stopIfTrue="1" operator="equal">
      <formula>"Fail"</formula>
    </cfRule>
  </conditionalFormatting>
  <conditionalFormatting sqref="A1060">
    <cfRule type="cellIs" dxfId="2041" priority="1879" stopIfTrue="1" operator="equal">
      <formula>"Pass"</formula>
    </cfRule>
    <cfRule type="cellIs" dxfId="2040" priority="1880" stopIfTrue="1" operator="equal">
      <formula>"Fail"</formula>
    </cfRule>
  </conditionalFormatting>
  <conditionalFormatting sqref="A1060">
    <cfRule type="cellIs" dxfId="2039" priority="1877" stopIfTrue="1" operator="equal">
      <formula>"Pass"</formula>
    </cfRule>
    <cfRule type="cellIs" dxfId="2038" priority="1878" stopIfTrue="1" operator="equal">
      <formula>"Fail"</formula>
    </cfRule>
  </conditionalFormatting>
  <conditionalFormatting sqref="A1060">
    <cfRule type="cellIs" dxfId="2037" priority="1875" stopIfTrue="1" operator="equal">
      <formula>"Pass"</formula>
    </cfRule>
    <cfRule type="cellIs" dxfId="2036" priority="1876" stopIfTrue="1" operator="equal">
      <formula>"Fail"</formula>
    </cfRule>
  </conditionalFormatting>
  <conditionalFormatting sqref="A1060">
    <cfRule type="cellIs" dxfId="2035" priority="1873" stopIfTrue="1" operator="equal">
      <formula>"Pass"</formula>
    </cfRule>
    <cfRule type="cellIs" dxfId="2034" priority="1874" stopIfTrue="1" operator="equal">
      <formula>"Fail"</formula>
    </cfRule>
  </conditionalFormatting>
  <conditionalFormatting sqref="A1060">
    <cfRule type="cellIs" dxfId="2033" priority="1871" stopIfTrue="1" operator="equal">
      <formula>"Pass"</formula>
    </cfRule>
    <cfRule type="cellIs" dxfId="2032" priority="1872" stopIfTrue="1" operator="equal">
      <formula>"Fail"</formula>
    </cfRule>
  </conditionalFormatting>
  <conditionalFormatting sqref="A1060">
    <cfRule type="cellIs" dxfId="2031" priority="1869" stopIfTrue="1" operator="equal">
      <formula>"Pass"</formula>
    </cfRule>
    <cfRule type="cellIs" dxfId="2030" priority="1870" stopIfTrue="1" operator="equal">
      <formula>"Fail"</formula>
    </cfRule>
  </conditionalFormatting>
  <conditionalFormatting sqref="A1060">
    <cfRule type="cellIs" dxfId="2029" priority="1867" stopIfTrue="1" operator="equal">
      <formula>"Pass"</formula>
    </cfRule>
    <cfRule type="cellIs" dxfId="2028" priority="1868" stopIfTrue="1" operator="equal">
      <formula>"Fail"</formula>
    </cfRule>
  </conditionalFormatting>
  <conditionalFormatting sqref="A1060">
    <cfRule type="cellIs" dxfId="2027" priority="1865" stopIfTrue="1" operator="equal">
      <formula>"Pass"</formula>
    </cfRule>
    <cfRule type="cellIs" dxfId="2026" priority="1866" stopIfTrue="1" operator="equal">
      <formula>"Fail"</formula>
    </cfRule>
  </conditionalFormatting>
  <conditionalFormatting sqref="A1060">
    <cfRule type="cellIs" dxfId="2025" priority="1863" stopIfTrue="1" operator="equal">
      <formula>"Pass"</formula>
    </cfRule>
    <cfRule type="cellIs" dxfId="2024" priority="1864" stopIfTrue="1" operator="equal">
      <formula>"Fail"</formula>
    </cfRule>
  </conditionalFormatting>
  <conditionalFormatting sqref="A1060">
    <cfRule type="cellIs" dxfId="2023" priority="1861" stopIfTrue="1" operator="equal">
      <formula>"Pass"</formula>
    </cfRule>
    <cfRule type="cellIs" dxfId="2022" priority="1862" stopIfTrue="1" operator="equal">
      <formula>"Fail"</formula>
    </cfRule>
  </conditionalFormatting>
  <conditionalFormatting sqref="A1060">
    <cfRule type="cellIs" dxfId="2021" priority="1859" stopIfTrue="1" operator="equal">
      <formula>"Pass"</formula>
    </cfRule>
    <cfRule type="cellIs" dxfId="2020" priority="1860" stopIfTrue="1" operator="equal">
      <formula>"Fail"</formula>
    </cfRule>
  </conditionalFormatting>
  <conditionalFormatting sqref="A1060">
    <cfRule type="cellIs" dxfId="2019" priority="1857" stopIfTrue="1" operator="equal">
      <formula>"Pass"</formula>
    </cfRule>
    <cfRule type="cellIs" dxfId="2018" priority="1858" stopIfTrue="1" operator="equal">
      <formula>"Fail"</formula>
    </cfRule>
  </conditionalFormatting>
  <conditionalFormatting sqref="A1060">
    <cfRule type="cellIs" dxfId="2017" priority="1855" stopIfTrue="1" operator="equal">
      <formula>"Pass"</formula>
    </cfRule>
    <cfRule type="cellIs" dxfId="2016" priority="1856" stopIfTrue="1" operator="equal">
      <formula>"Fail"</formula>
    </cfRule>
  </conditionalFormatting>
  <conditionalFormatting sqref="A1060">
    <cfRule type="cellIs" dxfId="2015" priority="1853" stopIfTrue="1" operator="equal">
      <formula>"Pass"</formula>
    </cfRule>
    <cfRule type="cellIs" dxfId="2014" priority="1854" stopIfTrue="1" operator="equal">
      <formula>"Fail"</formula>
    </cfRule>
  </conditionalFormatting>
  <conditionalFormatting sqref="A1060">
    <cfRule type="cellIs" dxfId="2013" priority="1851" stopIfTrue="1" operator="equal">
      <formula>"Pass"</formula>
    </cfRule>
    <cfRule type="cellIs" dxfId="2012" priority="1852" stopIfTrue="1" operator="equal">
      <formula>"Fail"</formula>
    </cfRule>
  </conditionalFormatting>
  <conditionalFormatting sqref="A1060">
    <cfRule type="cellIs" dxfId="2011" priority="1849" stopIfTrue="1" operator="equal">
      <formula>"Pass"</formula>
    </cfRule>
    <cfRule type="cellIs" dxfId="2010" priority="1850" stopIfTrue="1" operator="equal">
      <formula>"Fail"</formula>
    </cfRule>
  </conditionalFormatting>
  <conditionalFormatting sqref="U1060:V1060">
    <cfRule type="cellIs" dxfId="2009" priority="1847" stopIfTrue="1" operator="equal">
      <formula>"Fail"</formula>
    </cfRule>
    <cfRule type="cellIs" dxfId="2008" priority="1848" stopIfTrue="1" operator="equal">
      <formula>"Pass"</formula>
    </cfRule>
  </conditionalFormatting>
  <conditionalFormatting sqref="U1060:V1060">
    <cfRule type="cellIs" dxfId="2007" priority="1845" stopIfTrue="1" operator="equal">
      <formula>"Fail"</formula>
    </cfRule>
    <cfRule type="cellIs" dxfId="2006" priority="1846" stopIfTrue="1" operator="equal">
      <formula>"Pass"</formula>
    </cfRule>
  </conditionalFormatting>
  <conditionalFormatting sqref="U1060:V1060">
    <cfRule type="cellIs" dxfId="2005" priority="1843" stopIfTrue="1" operator="equal">
      <formula>"Fail"</formula>
    </cfRule>
    <cfRule type="cellIs" dxfId="2004" priority="1844" stopIfTrue="1" operator="equal">
      <formula>"Pass"</formula>
    </cfRule>
  </conditionalFormatting>
  <conditionalFormatting sqref="U1060:V1060">
    <cfRule type="cellIs" dxfId="2003" priority="1841" stopIfTrue="1" operator="equal">
      <formula>"Fail"</formula>
    </cfRule>
    <cfRule type="cellIs" dxfId="2002" priority="1842" stopIfTrue="1" operator="equal">
      <formula>"Pass"</formula>
    </cfRule>
  </conditionalFormatting>
  <conditionalFormatting sqref="A1060:A1062">
    <cfRule type="cellIs" dxfId="2001" priority="1839" stopIfTrue="1" operator="equal">
      <formula>"Pass"</formula>
    </cfRule>
    <cfRule type="cellIs" dxfId="2000" priority="1840" stopIfTrue="1" operator="equal">
      <formula>"Fail"</formula>
    </cfRule>
  </conditionalFormatting>
  <conditionalFormatting sqref="A1060:A1062">
    <cfRule type="cellIs" dxfId="1999" priority="1837" stopIfTrue="1" operator="equal">
      <formula>"Pass"</formula>
    </cfRule>
    <cfRule type="cellIs" dxfId="1998" priority="1838" stopIfTrue="1" operator="equal">
      <formula>"Fail"</formula>
    </cfRule>
  </conditionalFormatting>
  <conditionalFormatting sqref="A1060:A1062">
    <cfRule type="cellIs" dxfId="1997" priority="1835" stopIfTrue="1" operator="equal">
      <formula>"Pass"</formula>
    </cfRule>
    <cfRule type="cellIs" dxfId="1996" priority="1836" stopIfTrue="1" operator="equal">
      <formula>"Fail"</formula>
    </cfRule>
  </conditionalFormatting>
  <conditionalFormatting sqref="A1060:A1062">
    <cfRule type="cellIs" dxfId="1995" priority="1833" stopIfTrue="1" operator="equal">
      <formula>"Pass"</formula>
    </cfRule>
    <cfRule type="cellIs" dxfId="1994" priority="1834" stopIfTrue="1" operator="equal">
      <formula>"Fail"</formula>
    </cfRule>
  </conditionalFormatting>
  <conditionalFormatting sqref="A1060:A1062">
    <cfRule type="cellIs" dxfId="1993" priority="1831" stopIfTrue="1" operator="equal">
      <formula>"Pass"</formula>
    </cfRule>
    <cfRule type="cellIs" dxfId="1992" priority="1832" stopIfTrue="1" operator="equal">
      <formula>"Fail"</formula>
    </cfRule>
  </conditionalFormatting>
  <conditionalFormatting sqref="A1062">
    <cfRule type="cellIs" dxfId="1991" priority="1829" stopIfTrue="1" operator="equal">
      <formula>"Pass"</formula>
    </cfRule>
    <cfRule type="cellIs" dxfId="1990" priority="1830" stopIfTrue="1" operator="equal">
      <formula>"Fail"</formula>
    </cfRule>
  </conditionalFormatting>
  <conditionalFormatting sqref="A1060:A1062">
    <cfRule type="cellIs" dxfId="1989" priority="1827" stopIfTrue="1" operator="equal">
      <formula>"Pass"</formula>
    </cfRule>
    <cfRule type="cellIs" dxfId="1988" priority="1828" stopIfTrue="1" operator="equal">
      <formula>"Fail"</formula>
    </cfRule>
  </conditionalFormatting>
  <conditionalFormatting sqref="A1060:A1062">
    <cfRule type="cellIs" dxfId="1987" priority="1825" stopIfTrue="1" operator="equal">
      <formula>"Pass"</formula>
    </cfRule>
    <cfRule type="cellIs" dxfId="1986" priority="1826" stopIfTrue="1" operator="equal">
      <formula>"Fail"</formula>
    </cfRule>
  </conditionalFormatting>
  <conditionalFormatting sqref="A1060:A1062">
    <cfRule type="cellIs" dxfId="1985" priority="1823" stopIfTrue="1" operator="equal">
      <formula>"Pass"</formula>
    </cfRule>
    <cfRule type="cellIs" dxfId="1984" priority="1824" stopIfTrue="1" operator="equal">
      <formula>"Fail"</formula>
    </cfRule>
  </conditionalFormatting>
  <conditionalFormatting sqref="A1060:A1062">
    <cfRule type="cellIs" dxfId="1983" priority="1821" stopIfTrue="1" operator="equal">
      <formula>"Pass"</formula>
    </cfRule>
    <cfRule type="cellIs" dxfId="1982" priority="1822" stopIfTrue="1" operator="equal">
      <formula>"Fail"</formula>
    </cfRule>
  </conditionalFormatting>
  <conditionalFormatting sqref="A1060:A1062">
    <cfRule type="cellIs" dxfId="1981" priority="1819" stopIfTrue="1" operator="equal">
      <formula>"Pass"</formula>
    </cfRule>
    <cfRule type="cellIs" dxfId="1980" priority="1820" stopIfTrue="1" operator="equal">
      <formula>"Fail"</formula>
    </cfRule>
  </conditionalFormatting>
  <conditionalFormatting sqref="A1060:A1062">
    <cfRule type="cellIs" dxfId="1979" priority="1817" stopIfTrue="1" operator="equal">
      <formula>"Pass"</formula>
    </cfRule>
    <cfRule type="cellIs" dxfId="1978" priority="1818" stopIfTrue="1" operator="equal">
      <formula>"Fail"</formula>
    </cfRule>
  </conditionalFormatting>
  <conditionalFormatting sqref="A1062">
    <cfRule type="cellIs" dxfId="1977" priority="1815" stopIfTrue="1" operator="equal">
      <formula>"Pass"</formula>
    </cfRule>
    <cfRule type="cellIs" dxfId="1976" priority="1816" stopIfTrue="1" operator="equal">
      <formula>"Fail"</formula>
    </cfRule>
  </conditionalFormatting>
  <conditionalFormatting sqref="A1060:A1062">
    <cfRule type="cellIs" dxfId="1975" priority="1813" stopIfTrue="1" operator="equal">
      <formula>"Pass"</formula>
    </cfRule>
    <cfRule type="cellIs" dxfId="1974" priority="1814" stopIfTrue="1" operator="equal">
      <formula>"Fail"</formula>
    </cfRule>
  </conditionalFormatting>
  <conditionalFormatting sqref="A1060:A1062">
    <cfRule type="cellIs" dxfId="1973" priority="1811" stopIfTrue="1" operator="equal">
      <formula>"Pass"</formula>
    </cfRule>
    <cfRule type="cellIs" dxfId="1972" priority="1812" stopIfTrue="1" operator="equal">
      <formula>"Fail"</formula>
    </cfRule>
  </conditionalFormatting>
  <conditionalFormatting sqref="A1060:A1062">
    <cfRule type="cellIs" dxfId="1971" priority="1809" stopIfTrue="1" operator="equal">
      <formula>"Pass"</formula>
    </cfRule>
    <cfRule type="cellIs" dxfId="1970" priority="1810" stopIfTrue="1" operator="equal">
      <formula>"Fail"</formula>
    </cfRule>
  </conditionalFormatting>
  <conditionalFormatting sqref="A1060:A1062">
    <cfRule type="cellIs" dxfId="1969" priority="1807" stopIfTrue="1" operator="equal">
      <formula>"Pass"</formula>
    </cfRule>
    <cfRule type="cellIs" dxfId="1968" priority="1808" stopIfTrue="1" operator="equal">
      <formula>"Fail"</formula>
    </cfRule>
  </conditionalFormatting>
  <conditionalFormatting sqref="A1060:A1062">
    <cfRule type="cellIs" dxfId="1967" priority="1805" stopIfTrue="1" operator="equal">
      <formula>"Pass"</formula>
    </cfRule>
    <cfRule type="cellIs" dxfId="1966" priority="1806" stopIfTrue="1" operator="equal">
      <formula>"Fail"</formula>
    </cfRule>
  </conditionalFormatting>
  <conditionalFormatting sqref="A1060:A1062">
    <cfRule type="cellIs" dxfId="1965" priority="1803" stopIfTrue="1" operator="equal">
      <formula>"Pass"</formula>
    </cfRule>
    <cfRule type="cellIs" dxfId="1964" priority="1804" stopIfTrue="1" operator="equal">
      <formula>"Fail"</formula>
    </cfRule>
  </conditionalFormatting>
  <conditionalFormatting sqref="A1062">
    <cfRule type="cellIs" dxfId="1963" priority="1801" stopIfTrue="1" operator="equal">
      <formula>"Pass"</formula>
    </cfRule>
    <cfRule type="cellIs" dxfId="1962" priority="1802" stopIfTrue="1" operator="equal">
      <formula>"Fail"</formula>
    </cfRule>
  </conditionalFormatting>
  <conditionalFormatting sqref="A1060:A1062">
    <cfRule type="cellIs" dxfId="1961" priority="1799" stopIfTrue="1" operator="equal">
      <formula>"Pass"</formula>
    </cfRule>
    <cfRule type="cellIs" dxfId="1960" priority="1800" stopIfTrue="1" operator="equal">
      <formula>"Fail"</formula>
    </cfRule>
  </conditionalFormatting>
  <conditionalFormatting sqref="A1060:A1062">
    <cfRule type="cellIs" dxfId="1959" priority="1797" stopIfTrue="1" operator="equal">
      <formula>"Pass"</formula>
    </cfRule>
    <cfRule type="cellIs" dxfId="1958" priority="1798" stopIfTrue="1" operator="equal">
      <formula>"Fail"</formula>
    </cfRule>
  </conditionalFormatting>
  <conditionalFormatting sqref="A1060:A1062">
    <cfRule type="cellIs" dxfId="1957" priority="1795" stopIfTrue="1" operator="equal">
      <formula>"Pass"</formula>
    </cfRule>
    <cfRule type="cellIs" dxfId="1956" priority="1796" stopIfTrue="1" operator="equal">
      <formula>"Fail"</formula>
    </cfRule>
  </conditionalFormatting>
  <conditionalFormatting sqref="A1060:A1062">
    <cfRule type="cellIs" dxfId="1955" priority="1793" stopIfTrue="1" operator="equal">
      <formula>"Pass"</formula>
    </cfRule>
    <cfRule type="cellIs" dxfId="1954" priority="1794" stopIfTrue="1" operator="equal">
      <formula>"Fail"</formula>
    </cfRule>
  </conditionalFormatting>
  <conditionalFormatting sqref="A1060:A1062">
    <cfRule type="cellIs" dxfId="1953" priority="1791" stopIfTrue="1" operator="equal">
      <formula>"Pass"</formula>
    </cfRule>
    <cfRule type="cellIs" dxfId="1952" priority="1792" stopIfTrue="1" operator="equal">
      <formula>"Fail"</formula>
    </cfRule>
  </conditionalFormatting>
  <conditionalFormatting sqref="A1060:A1062">
    <cfRule type="cellIs" dxfId="1951" priority="1789" stopIfTrue="1" operator="equal">
      <formula>"Pass"</formula>
    </cfRule>
    <cfRule type="cellIs" dxfId="1950" priority="1790" stopIfTrue="1" operator="equal">
      <formula>"Fail"</formula>
    </cfRule>
  </conditionalFormatting>
  <conditionalFormatting sqref="A1062">
    <cfRule type="cellIs" dxfId="1949" priority="1787" stopIfTrue="1" operator="equal">
      <formula>"Pass"</formula>
    </cfRule>
    <cfRule type="cellIs" dxfId="1948" priority="1788" stopIfTrue="1" operator="equal">
      <formula>"Fail"</formula>
    </cfRule>
  </conditionalFormatting>
  <conditionalFormatting sqref="A1060:A1062">
    <cfRule type="cellIs" dxfId="1947" priority="1785" stopIfTrue="1" operator="equal">
      <formula>"Pass"</formula>
    </cfRule>
    <cfRule type="cellIs" dxfId="1946" priority="1786" stopIfTrue="1" operator="equal">
      <formula>"Fail"</formula>
    </cfRule>
  </conditionalFormatting>
  <conditionalFormatting sqref="A1060:A1062">
    <cfRule type="cellIs" dxfId="1945" priority="1783" stopIfTrue="1" operator="equal">
      <formula>"Pass"</formula>
    </cfRule>
    <cfRule type="cellIs" dxfId="1944" priority="1784" stopIfTrue="1" operator="equal">
      <formula>"Fail"</formula>
    </cfRule>
  </conditionalFormatting>
  <conditionalFormatting sqref="A1060:A1062">
    <cfRule type="cellIs" dxfId="1943" priority="1781" stopIfTrue="1" operator="equal">
      <formula>"Pass"</formula>
    </cfRule>
    <cfRule type="cellIs" dxfId="1942" priority="1782" stopIfTrue="1" operator="equal">
      <formula>"Fail"</formula>
    </cfRule>
  </conditionalFormatting>
  <conditionalFormatting sqref="A1060:A1062">
    <cfRule type="cellIs" dxfId="1941" priority="1779" stopIfTrue="1" operator="equal">
      <formula>"Pass"</formula>
    </cfRule>
    <cfRule type="cellIs" dxfId="1940" priority="1780" stopIfTrue="1" operator="equal">
      <formula>"Fail"</formula>
    </cfRule>
  </conditionalFormatting>
  <conditionalFormatting sqref="A1060:A1062">
    <cfRule type="cellIs" dxfId="1939" priority="1777" stopIfTrue="1" operator="equal">
      <formula>"Pass"</formula>
    </cfRule>
    <cfRule type="cellIs" dxfId="1938" priority="1778" stopIfTrue="1" operator="equal">
      <formula>"Fail"</formula>
    </cfRule>
  </conditionalFormatting>
  <conditionalFormatting sqref="A1060:A1062">
    <cfRule type="cellIs" dxfId="1937" priority="1775" stopIfTrue="1" operator="equal">
      <formula>"Pass"</formula>
    </cfRule>
    <cfRule type="cellIs" dxfId="1936" priority="1776" stopIfTrue="1" operator="equal">
      <formula>"Fail"</formula>
    </cfRule>
  </conditionalFormatting>
  <conditionalFormatting sqref="A1062">
    <cfRule type="cellIs" dxfId="1935" priority="1773" stopIfTrue="1" operator="equal">
      <formula>"Pass"</formula>
    </cfRule>
    <cfRule type="cellIs" dxfId="1934" priority="1774" stopIfTrue="1" operator="equal">
      <formula>"Fail"</formula>
    </cfRule>
  </conditionalFormatting>
  <conditionalFormatting sqref="A1060:A1062">
    <cfRule type="cellIs" dxfId="1933" priority="1771" stopIfTrue="1" operator="equal">
      <formula>"Pass"</formula>
    </cfRule>
    <cfRule type="cellIs" dxfId="1932" priority="1772" stopIfTrue="1" operator="equal">
      <formula>"Fail"</formula>
    </cfRule>
  </conditionalFormatting>
  <conditionalFormatting sqref="A1060:A1062">
    <cfRule type="cellIs" dxfId="1931" priority="1769" stopIfTrue="1" operator="equal">
      <formula>"Pass"</formula>
    </cfRule>
    <cfRule type="cellIs" dxfId="1930" priority="1770" stopIfTrue="1" operator="equal">
      <formula>"Fail"</formula>
    </cfRule>
  </conditionalFormatting>
  <conditionalFormatting sqref="A1060:A1062">
    <cfRule type="cellIs" dxfId="1929" priority="1767" stopIfTrue="1" operator="equal">
      <formula>"Pass"</formula>
    </cfRule>
    <cfRule type="cellIs" dxfId="1928" priority="1768" stopIfTrue="1" operator="equal">
      <formula>"Fail"</formula>
    </cfRule>
  </conditionalFormatting>
  <conditionalFormatting sqref="A1060:A1062">
    <cfRule type="cellIs" dxfId="1927" priority="1765" stopIfTrue="1" operator="equal">
      <formula>"Pass"</formula>
    </cfRule>
    <cfRule type="cellIs" dxfId="1926" priority="1766" stopIfTrue="1" operator="equal">
      <formula>"Fail"</formula>
    </cfRule>
  </conditionalFormatting>
  <conditionalFormatting sqref="A1060:A1062">
    <cfRule type="cellIs" dxfId="1925" priority="1763" stopIfTrue="1" operator="equal">
      <formula>"Pass"</formula>
    </cfRule>
    <cfRule type="cellIs" dxfId="1924" priority="1764" stopIfTrue="1" operator="equal">
      <formula>"Fail"</formula>
    </cfRule>
  </conditionalFormatting>
  <conditionalFormatting sqref="A1060:A1062">
    <cfRule type="cellIs" dxfId="1923" priority="1761" stopIfTrue="1" operator="equal">
      <formula>"Pass"</formula>
    </cfRule>
    <cfRule type="cellIs" dxfId="1922" priority="1762" stopIfTrue="1" operator="equal">
      <formula>"Fail"</formula>
    </cfRule>
  </conditionalFormatting>
  <conditionalFormatting sqref="A1062">
    <cfRule type="cellIs" dxfId="1921" priority="1759" stopIfTrue="1" operator="equal">
      <formula>"Pass"</formula>
    </cfRule>
    <cfRule type="cellIs" dxfId="1920" priority="1760" stopIfTrue="1" operator="equal">
      <formula>"Fail"</formula>
    </cfRule>
  </conditionalFormatting>
  <conditionalFormatting sqref="A1060:A1062">
    <cfRule type="cellIs" dxfId="1919" priority="1757" stopIfTrue="1" operator="equal">
      <formula>"Pass"</formula>
    </cfRule>
    <cfRule type="cellIs" dxfId="1918" priority="1758" stopIfTrue="1" operator="equal">
      <formula>"Fail"</formula>
    </cfRule>
  </conditionalFormatting>
  <conditionalFormatting sqref="A1060">
    <cfRule type="cellIs" dxfId="1917" priority="1755" stopIfTrue="1" operator="equal">
      <formula>"Pass"</formula>
    </cfRule>
    <cfRule type="cellIs" dxfId="1916" priority="1756" stopIfTrue="1" operator="equal">
      <formula>"Fail"</formula>
    </cfRule>
  </conditionalFormatting>
  <conditionalFormatting sqref="A1060">
    <cfRule type="cellIs" dxfId="1915" priority="1753" stopIfTrue="1" operator="equal">
      <formula>"Pass"</formula>
    </cfRule>
    <cfRule type="cellIs" dxfId="1914" priority="1754" stopIfTrue="1" operator="equal">
      <formula>"Fail"</formula>
    </cfRule>
  </conditionalFormatting>
  <conditionalFormatting sqref="A1060">
    <cfRule type="cellIs" dxfId="1913" priority="1751" stopIfTrue="1" operator="equal">
      <formula>"Pass"</formula>
    </cfRule>
    <cfRule type="cellIs" dxfId="1912" priority="1752" stopIfTrue="1" operator="equal">
      <formula>"Fail"</formula>
    </cfRule>
  </conditionalFormatting>
  <conditionalFormatting sqref="A1060">
    <cfRule type="cellIs" dxfId="1911" priority="1749" stopIfTrue="1" operator="equal">
      <formula>"Pass"</formula>
    </cfRule>
    <cfRule type="cellIs" dxfId="1910" priority="1750" stopIfTrue="1" operator="equal">
      <formula>"Fail"</formula>
    </cfRule>
  </conditionalFormatting>
  <conditionalFormatting sqref="A1060">
    <cfRule type="cellIs" dxfId="1909" priority="1747" stopIfTrue="1" operator="equal">
      <formula>"Pass"</formula>
    </cfRule>
    <cfRule type="cellIs" dxfId="1908" priority="1748" stopIfTrue="1" operator="equal">
      <formula>"Fail"</formula>
    </cfRule>
  </conditionalFormatting>
  <conditionalFormatting sqref="A1060">
    <cfRule type="cellIs" dxfId="1907" priority="1745" stopIfTrue="1" operator="equal">
      <formula>"Pass"</formula>
    </cfRule>
    <cfRule type="cellIs" dxfId="1906" priority="1746" stopIfTrue="1" operator="equal">
      <formula>"Fail"</formula>
    </cfRule>
  </conditionalFormatting>
  <conditionalFormatting sqref="A1060">
    <cfRule type="cellIs" dxfId="1905" priority="1743" stopIfTrue="1" operator="equal">
      <formula>"Pass"</formula>
    </cfRule>
    <cfRule type="cellIs" dxfId="1904" priority="1744" stopIfTrue="1" operator="equal">
      <formula>"Fail"</formula>
    </cfRule>
  </conditionalFormatting>
  <conditionalFormatting sqref="A1060">
    <cfRule type="cellIs" dxfId="1903" priority="1741" stopIfTrue="1" operator="equal">
      <formula>"Pass"</formula>
    </cfRule>
    <cfRule type="cellIs" dxfId="1902" priority="1742" stopIfTrue="1" operator="equal">
      <formula>"Fail"</formula>
    </cfRule>
  </conditionalFormatting>
  <conditionalFormatting sqref="A1060">
    <cfRule type="cellIs" dxfId="1901" priority="1739" stopIfTrue="1" operator="equal">
      <formula>"Pass"</formula>
    </cfRule>
    <cfRule type="cellIs" dxfId="1900" priority="1740" stopIfTrue="1" operator="equal">
      <formula>"Fail"</formula>
    </cfRule>
  </conditionalFormatting>
  <conditionalFormatting sqref="A1060">
    <cfRule type="cellIs" dxfId="1899" priority="1737" stopIfTrue="1" operator="equal">
      <formula>"Pass"</formula>
    </cfRule>
    <cfRule type="cellIs" dxfId="1898" priority="1738" stopIfTrue="1" operator="equal">
      <formula>"Fail"</formula>
    </cfRule>
  </conditionalFormatting>
  <conditionalFormatting sqref="A1060">
    <cfRule type="cellIs" dxfId="1897" priority="1735" stopIfTrue="1" operator="equal">
      <formula>"Pass"</formula>
    </cfRule>
    <cfRule type="cellIs" dxfId="1896" priority="1736" stopIfTrue="1" operator="equal">
      <formula>"Fail"</formula>
    </cfRule>
  </conditionalFormatting>
  <conditionalFormatting sqref="A1060">
    <cfRule type="cellIs" dxfId="1895" priority="1733" stopIfTrue="1" operator="equal">
      <formula>"Pass"</formula>
    </cfRule>
    <cfRule type="cellIs" dxfId="1894" priority="1734" stopIfTrue="1" operator="equal">
      <formula>"Fail"</formula>
    </cfRule>
  </conditionalFormatting>
  <conditionalFormatting sqref="A1060">
    <cfRule type="cellIs" dxfId="1893" priority="1731" stopIfTrue="1" operator="equal">
      <formula>"Pass"</formula>
    </cfRule>
    <cfRule type="cellIs" dxfId="1892" priority="1732" stopIfTrue="1" operator="equal">
      <formula>"Fail"</formula>
    </cfRule>
  </conditionalFormatting>
  <conditionalFormatting sqref="A1060">
    <cfRule type="cellIs" dxfId="1891" priority="1729" stopIfTrue="1" operator="equal">
      <formula>"Pass"</formula>
    </cfRule>
    <cfRule type="cellIs" dxfId="1890" priority="1730" stopIfTrue="1" operator="equal">
      <formula>"Fail"</formula>
    </cfRule>
  </conditionalFormatting>
  <conditionalFormatting sqref="A1060">
    <cfRule type="cellIs" dxfId="1889" priority="1727" stopIfTrue="1" operator="equal">
      <formula>"Pass"</formula>
    </cfRule>
    <cfRule type="cellIs" dxfId="1888" priority="1728" stopIfTrue="1" operator="equal">
      <formula>"Fail"</formula>
    </cfRule>
  </conditionalFormatting>
  <conditionalFormatting sqref="A1060">
    <cfRule type="cellIs" dxfId="1887" priority="1725" stopIfTrue="1" operator="equal">
      <formula>"Pass"</formula>
    </cfRule>
    <cfRule type="cellIs" dxfId="1886" priority="1726" stopIfTrue="1" operator="equal">
      <formula>"Fail"</formula>
    </cfRule>
  </conditionalFormatting>
  <conditionalFormatting sqref="A1060">
    <cfRule type="cellIs" dxfId="1885" priority="1723" stopIfTrue="1" operator="equal">
      <formula>"Pass"</formula>
    </cfRule>
    <cfRule type="cellIs" dxfId="1884" priority="1724" stopIfTrue="1" operator="equal">
      <formula>"Fail"</formula>
    </cfRule>
  </conditionalFormatting>
  <conditionalFormatting sqref="A1060">
    <cfRule type="cellIs" dxfId="1883" priority="1721" stopIfTrue="1" operator="equal">
      <formula>"Pass"</formula>
    </cfRule>
    <cfRule type="cellIs" dxfId="1882" priority="1722" stopIfTrue="1" operator="equal">
      <formula>"Fail"</formula>
    </cfRule>
  </conditionalFormatting>
  <conditionalFormatting sqref="A1060">
    <cfRule type="cellIs" dxfId="1881" priority="1719" stopIfTrue="1" operator="equal">
      <formula>"Pass"</formula>
    </cfRule>
    <cfRule type="cellIs" dxfId="1880" priority="1720" stopIfTrue="1" operator="equal">
      <formula>"Fail"</formula>
    </cfRule>
  </conditionalFormatting>
  <conditionalFormatting sqref="A1060">
    <cfRule type="cellIs" dxfId="1879" priority="1717" stopIfTrue="1" operator="equal">
      <formula>"Pass"</formula>
    </cfRule>
    <cfRule type="cellIs" dxfId="1878" priority="1718" stopIfTrue="1" operator="equal">
      <formula>"Fail"</formula>
    </cfRule>
  </conditionalFormatting>
  <conditionalFormatting sqref="A1060">
    <cfRule type="cellIs" dxfId="1877" priority="1715" stopIfTrue="1" operator="equal">
      <formula>"Pass"</formula>
    </cfRule>
    <cfRule type="cellIs" dxfId="1876" priority="1716" stopIfTrue="1" operator="equal">
      <formula>"Fail"</formula>
    </cfRule>
  </conditionalFormatting>
  <conditionalFormatting sqref="A1060">
    <cfRule type="cellIs" dxfId="1875" priority="1713" stopIfTrue="1" operator="equal">
      <formula>"Pass"</formula>
    </cfRule>
    <cfRule type="cellIs" dxfId="1874" priority="1714" stopIfTrue="1" operator="equal">
      <formula>"Fail"</formula>
    </cfRule>
  </conditionalFormatting>
  <conditionalFormatting sqref="A1060">
    <cfRule type="cellIs" dxfId="1873" priority="1711" stopIfTrue="1" operator="equal">
      <formula>"Pass"</formula>
    </cfRule>
    <cfRule type="cellIs" dxfId="1872" priority="1712" stopIfTrue="1" operator="equal">
      <formula>"Fail"</formula>
    </cfRule>
  </conditionalFormatting>
  <conditionalFormatting sqref="A1060">
    <cfRule type="cellIs" dxfId="1871" priority="1709" stopIfTrue="1" operator="equal">
      <formula>"Pass"</formula>
    </cfRule>
    <cfRule type="cellIs" dxfId="1870" priority="1710" stopIfTrue="1" operator="equal">
      <formula>"Fail"</formula>
    </cfRule>
  </conditionalFormatting>
  <conditionalFormatting sqref="A1060">
    <cfRule type="cellIs" dxfId="1869" priority="1707" stopIfTrue="1" operator="equal">
      <formula>"Pass"</formula>
    </cfRule>
    <cfRule type="cellIs" dxfId="1868" priority="1708" stopIfTrue="1" operator="equal">
      <formula>"Fail"</formula>
    </cfRule>
  </conditionalFormatting>
  <conditionalFormatting sqref="A1060">
    <cfRule type="cellIs" dxfId="1867" priority="1705" stopIfTrue="1" operator="equal">
      <formula>"Pass"</formula>
    </cfRule>
    <cfRule type="cellIs" dxfId="1866" priority="1706" stopIfTrue="1" operator="equal">
      <formula>"Fail"</formula>
    </cfRule>
  </conditionalFormatting>
  <conditionalFormatting sqref="A1060">
    <cfRule type="cellIs" dxfId="1865" priority="1703" stopIfTrue="1" operator="equal">
      <formula>"Pass"</formula>
    </cfRule>
    <cfRule type="cellIs" dxfId="1864" priority="1704" stopIfTrue="1" operator="equal">
      <formula>"Fail"</formula>
    </cfRule>
  </conditionalFormatting>
  <conditionalFormatting sqref="A1060">
    <cfRule type="cellIs" dxfId="1863" priority="1701" stopIfTrue="1" operator="equal">
      <formula>"Pass"</formula>
    </cfRule>
    <cfRule type="cellIs" dxfId="1862" priority="1702" stopIfTrue="1" operator="equal">
      <formula>"Fail"</formula>
    </cfRule>
  </conditionalFormatting>
  <conditionalFormatting sqref="A1060">
    <cfRule type="cellIs" dxfId="1861" priority="1699" stopIfTrue="1" operator="equal">
      <formula>"Pass"</formula>
    </cfRule>
    <cfRule type="cellIs" dxfId="1860" priority="1700" stopIfTrue="1" operator="equal">
      <formula>"Fail"</formula>
    </cfRule>
  </conditionalFormatting>
  <conditionalFormatting sqref="A1060">
    <cfRule type="cellIs" dxfId="1859" priority="1697" stopIfTrue="1" operator="equal">
      <formula>"Pass"</formula>
    </cfRule>
    <cfRule type="cellIs" dxfId="1858" priority="1698" stopIfTrue="1" operator="equal">
      <formula>"Fail"</formula>
    </cfRule>
  </conditionalFormatting>
  <conditionalFormatting sqref="A1060">
    <cfRule type="cellIs" dxfId="1857" priority="1695" stopIfTrue="1" operator="equal">
      <formula>"Pass"</formula>
    </cfRule>
    <cfRule type="cellIs" dxfId="1856" priority="1696" stopIfTrue="1" operator="equal">
      <formula>"Fail"</formula>
    </cfRule>
  </conditionalFormatting>
  <conditionalFormatting sqref="A1060">
    <cfRule type="cellIs" dxfId="1855" priority="1693" stopIfTrue="1" operator="equal">
      <formula>"Pass"</formula>
    </cfRule>
    <cfRule type="cellIs" dxfId="1854" priority="1694" stopIfTrue="1" operator="equal">
      <formula>"Fail"</formula>
    </cfRule>
  </conditionalFormatting>
  <conditionalFormatting sqref="A1060">
    <cfRule type="cellIs" dxfId="1853" priority="1691" stopIfTrue="1" operator="equal">
      <formula>"Pass"</formula>
    </cfRule>
    <cfRule type="cellIs" dxfId="1852" priority="1692" stopIfTrue="1" operator="equal">
      <formula>"Fail"</formula>
    </cfRule>
  </conditionalFormatting>
  <conditionalFormatting sqref="A1060">
    <cfRule type="cellIs" dxfId="1851" priority="1689" stopIfTrue="1" operator="equal">
      <formula>"Pass"</formula>
    </cfRule>
    <cfRule type="cellIs" dxfId="1850" priority="1690" stopIfTrue="1" operator="equal">
      <formula>"Fail"</formula>
    </cfRule>
  </conditionalFormatting>
  <conditionalFormatting sqref="A1060">
    <cfRule type="cellIs" dxfId="1849" priority="1687" stopIfTrue="1" operator="equal">
      <formula>"Pass"</formula>
    </cfRule>
    <cfRule type="cellIs" dxfId="1848" priority="1688" stopIfTrue="1" operator="equal">
      <formula>"Fail"</formula>
    </cfRule>
  </conditionalFormatting>
  <conditionalFormatting sqref="A1060">
    <cfRule type="cellIs" dxfId="1847" priority="1685" stopIfTrue="1" operator="equal">
      <formula>"Pass"</formula>
    </cfRule>
    <cfRule type="cellIs" dxfId="1846" priority="1686" stopIfTrue="1" operator="equal">
      <formula>"Fail"</formula>
    </cfRule>
  </conditionalFormatting>
  <conditionalFormatting sqref="A1060">
    <cfRule type="cellIs" dxfId="1845" priority="1683" stopIfTrue="1" operator="equal">
      <formula>"Pass"</formula>
    </cfRule>
    <cfRule type="cellIs" dxfId="1844" priority="1684" stopIfTrue="1" operator="equal">
      <formula>"Fail"</formula>
    </cfRule>
  </conditionalFormatting>
  <conditionalFormatting sqref="A1060">
    <cfRule type="cellIs" dxfId="1843" priority="1681" stopIfTrue="1" operator="equal">
      <formula>"Pass"</formula>
    </cfRule>
    <cfRule type="cellIs" dxfId="1842" priority="1682" stopIfTrue="1" operator="equal">
      <formula>"Fail"</formula>
    </cfRule>
  </conditionalFormatting>
  <conditionalFormatting sqref="A1060">
    <cfRule type="cellIs" dxfId="1841" priority="1679" stopIfTrue="1" operator="equal">
      <formula>"Pass"</formula>
    </cfRule>
    <cfRule type="cellIs" dxfId="1840" priority="1680" stopIfTrue="1" operator="equal">
      <formula>"Fail"</formula>
    </cfRule>
  </conditionalFormatting>
  <conditionalFormatting sqref="A1060">
    <cfRule type="cellIs" dxfId="1839" priority="1677" stopIfTrue="1" operator="equal">
      <formula>"Pass"</formula>
    </cfRule>
    <cfRule type="cellIs" dxfId="1838" priority="1678" stopIfTrue="1" operator="equal">
      <formula>"Fail"</formula>
    </cfRule>
  </conditionalFormatting>
  <conditionalFormatting sqref="A1060">
    <cfRule type="cellIs" dxfId="1837" priority="1675" stopIfTrue="1" operator="equal">
      <formula>"Pass"</formula>
    </cfRule>
    <cfRule type="cellIs" dxfId="1836" priority="1676" stopIfTrue="1" operator="equal">
      <formula>"Fail"</formula>
    </cfRule>
  </conditionalFormatting>
  <conditionalFormatting sqref="A1060">
    <cfRule type="cellIs" dxfId="1835" priority="1673" stopIfTrue="1" operator="equal">
      <formula>"Pass"</formula>
    </cfRule>
    <cfRule type="cellIs" dxfId="1834" priority="1674" stopIfTrue="1" operator="equal">
      <formula>"Fail"</formula>
    </cfRule>
  </conditionalFormatting>
  <conditionalFormatting sqref="A1060">
    <cfRule type="cellIs" dxfId="1833" priority="1671" stopIfTrue="1" operator="equal">
      <formula>"Pass"</formula>
    </cfRule>
    <cfRule type="cellIs" dxfId="1832" priority="1672" stopIfTrue="1" operator="equal">
      <formula>"Fail"</formula>
    </cfRule>
  </conditionalFormatting>
  <conditionalFormatting sqref="A1060">
    <cfRule type="cellIs" dxfId="1831" priority="1669" stopIfTrue="1" operator="equal">
      <formula>"Pass"</formula>
    </cfRule>
    <cfRule type="cellIs" dxfId="1830" priority="1670" stopIfTrue="1" operator="equal">
      <formula>"Fail"</formula>
    </cfRule>
  </conditionalFormatting>
  <conditionalFormatting sqref="A1060">
    <cfRule type="cellIs" dxfId="1829" priority="1667" stopIfTrue="1" operator="equal">
      <formula>"Pass"</formula>
    </cfRule>
    <cfRule type="cellIs" dxfId="1828" priority="1668" stopIfTrue="1" operator="equal">
      <formula>"Fail"</formula>
    </cfRule>
  </conditionalFormatting>
  <conditionalFormatting sqref="A1060">
    <cfRule type="cellIs" dxfId="1827" priority="1665" stopIfTrue="1" operator="equal">
      <formula>"Pass"</formula>
    </cfRule>
    <cfRule type="cellIs" dxfId="1826" priority="1666" stopIfTrue="1" operator="equal">
      <formula>"Fail"</formula>
    </cfRule>
  </conditionalFormatting>
  <conditionalFormatting sqref="A1060">
    <cfRule type="cellIs" dxfId="1825" priority="1663" stopIfTrue="1" operator="equal">
      <formula>"Pass"</formula>
    </cfRule>
    <cfRule type="cellIs" dxfId="1824" priority="1664" stopIfTrue="1" operator="equal">
      <formula>"Fail"</formula>
    </cfRule>
  </conditionalFormatting>
  <conditionalFormatting sqref="A1060">
    <cfRule type="cellIs" dxfId="1823" priority="1661" stopIfTrue="1" operator="equal">
      <formula>"Pass"</formula>
    </cfRule>
    <cfRule type="cellIs" dxfId="1822" priority="1662" stopIfTrue="1" operator="equal">
      <formula>"Fail"</formula>
    </cfRule>
  </conditionalFormatting>
  <conditionalFormatting sqref="A1060:A1062">
    <cfRule type="cellIs" dxfId="1821" priority="1659" stopIfTrue="1" operator="equal">
      <formula>"Pass"</formula>
    </cfRule>
    <cfRule type="cellIs" dxfId="1820" priority="1660" stopIfTrue="1" operator="equal">
      <formula>"Fail"</formula>
    </cfRule>
  </conditionalFormatting>
  <conditionalFormatting sqref="A1060:A1062">
    <cfRule type="cellIs" dxfId="1819" priority="1657" stopIfTrue="1" operator="equal">
      <formula>"Pass"</formula>
    </cfRule>
    <cfRule type="cellIs" dxfId="1818" priority="1658" stopIfTrue="1" operator="equal">
      <formula>"Fail"</formula>
    </cfRule>
  </conditionalFormatting>
  <conditionalFormatting sqref="A1060:A1062">
    <cfRule type="cellIs" dxfId="1817" priority="1655" stopIfTrue="1" operator="equal">
      <formula>"Pass"</formula>
    </cfRule>
    <cfRule type="cellIs" dxfId="1816" priority="1656" stopIfTrue="1" operator="equal">
      <formula>"Fail"</formula>
    </cfRule>
  </conditionalFormatting>
  <conditionalFormatting sqref="A1060:A1062">
    <cfRule type="cellIs" dxfId="1815" priority="1653" stopIfTrue="1" operator="equal">
      <formula>"Pass"</formula>
    </cfRule>
    <cfRule type="cellIs" dxfId="1814" priority="1654" stopIfTrue="1" operator="equal">
      <formula>"Fail"</formula>
    </cfRule>
  </conditionalFormatting>
  <conditionalFormatting sqref="A1060:A1062">
    <cfRule type="cellIs" dxfId="1813" priority="1651" stopIfTrue="1" operator="equal">
      <formula>"Pass"</formula>
    </cfRule>
    <cfRule type="cellIs" dxfId="1812" priority="1652" stopIfTrue="1" operator="equal">
      <formula>"Fail"</formula>
    </cfRule>
  </conditionalFormatting>
  <conditionalFormatting sqref="A1062">
    <cfRule type="cellIs" dxfId="1811" priority="1649" stopIfTrue="1" operator="equal">
      <formula>"Pass"</formula>
    </cfRule>
    <cfRule type="cellIs" dxfId="1810" priority="1650" stopIfTrue="1" operator="equal">
      <formula>"Fail"</formula>
    </cfRule>
  </conditionalFormatting>
  <conditionalFormatting sqref="A1060:A1062">
    <cfRule type="cellIs" dxfId="1809" priority="1647" stopIfTrue="1" operator="equal">
      <formula>"Pass"</formula>
    </cfRule>
    <cfRule type="cellIs" dxfId="1808" priority="1648" stopIfTrue="1" operator="equal">
      <formula>"Fail"</formula>
    </cfRule>
  </conditionalFormatting>
  <conditionalFormatting sqref="A1060:A1062">
    <cfRule type="cellIs" dxfId="1807" priority="1645" stopIfTrue="1" operator="equal">
      <formula>"Pass"</formula>
    </cfRule>
    <cfRule type="cellIs" dxfId="1806" priority="1646" stopIfTrue="1" operator="equal">
      <formula>"Fail"</formula>
    </cfRule>
  </conditionalFormatting>
  <conditionalFormatting sqref="A1060:A1062">
    <cfRule type="cellIs" dxfId="1805" priority="1643" stopIfTrue="1" operator="equal">
      <formula>"Pass"</formula>
    </cfRule>
    <cfRule type="cellIs" dxfId="1804" priority="1644" stopIfTrue="1" operator="equal">
      <formula>"Fail"</formula>
    </cfRule>
  </conditionalFormatting>
  <conditionalFormatting sqref="A1060:A1062">
    <cfRule type="cellIs" dxfId="1803" priority="1641" stopIfTrue="1" operator="equal">
      <formula>"Pass"</formula>
    </cfRule>
    <cfRule type="cellIs" dxfId="1802" priority="1642" stopIfTrue="1" operator="equal">
      <formula>"Fail"</formula>
    </cfRule>
  </conditionalFormatting>
  <conditionalFormatting sqref="A1060:A1062">
    <cfRule type="cellIs" dxfId="1801" priority="1639" stopIfTrue="1" operator="equal">
      <formula>"Pass"</formula>
    </cfRule>
    <cfRule type="cellIs" dxfId="1800" priority="1640" stopIfTrue="1" operator="equal">
      <formula>"Fail"</formula>
    </cfRule>
  </conditionalFormatting>
  <conditionalFormatting sqref="A1060:A1062">
    <cfRule type="cellIs" dxfId="1799" priority="1637" stopIfTrue="1" operator="equal">
      <formula>"Pass"</formula>
    </cfRule>
    <cfRule type="cellIs" dxfId="1798" priority="1638" stopIfTrue="1" operator="equal">
      <formula>"Fail"</formula>
    </cfRule>
  </conditionalFormatting>
  <conditionalFormatting sqref="A1062">
    <cfRule type="cellIs" dxfId="1797" priority="1635" stopIfTrue="1" operator="equal">
      <formula>"Pass"</formula>
    </cfRule>
    <cfRule type="cellIs" dxfId="1796" priority="1636" stopIfTrue="1" operator="equal">
      <formula>"Fail"</formula>
    </cfRule>
  </conditionalFormatting>
  <conditionalFormatting sqref="A1060:A1062">
    <cfRule type="cellIs" dxfId="1795" priority="1633" stopIfTrue="1" operator="equal">
      <formula>"Pass"</formula>
    </cfRule>
    <cfRule type="cellIs" dxfId="1794" priority="1634" stopIfTrue="1" operator="equal">
      <formula>"Fail"</formula>
    </cfRule>
  </conditionalFormatting>
  <conditionalFormatting sqref="A1060:A1062">
    <cfRule type="cellIs" dxfId="1793" priority="1631" stopIfTrue="1" operator="equal">
      <formula>"Pass"</formula>
    </cfRule>
    <cfRule type="cellIs" dxfId="1792" priority="1632" stopIfTrue="1" operator="equal">
      <formula>"Fail"</formula>
    </cfRule>
  </conditionalFormatting>
  <conditionalFormatting sqref="A1060:A1062">
    <cfRule type="cellIs" dxfId="1791" priority="1629" stopIfTrue="1" operator="equal">
      <formula>"Pass"</formula>
    </cfRule>
    <cfRule type="cellIs" dxfId="1790" priority="1630" stopIfTrue="1" operator="equal">
      <formula>"Fail"</formula>
    </cfRule>
  </conditionalFormatting>
  <conditionalFormatting sqref="A1060:A1062">
    <cfRule type="cellIs" dxfId="1789" priority="1627" stopIfTrue="1" operator="equal">
      <formula>"Pass"</formula>
    </cfRule>
    <cfRule type="cellIs" dxfId="1788" priority="1628" stopIfTrue="1" operator="equal">
      <formula>"Fail"</formula>
    </cfRule>
  </conditionalFormatting>
  <conditionalFormatting sqref="A1060:A1062">
    <cfRule type="cellIs" dxfId="1787" priority="1625" stopIfTrue="1" operator="equal">
      <formula>"Pass"</formula>
    </cfRule>
    <cfRule type="cellIs" dxfId="1786" priority="1626" stopIfTrue="1" operator="equal">
      <formula>"Fail"</formula>
    </cfRule>
  </conditionalFormatting>
  <conditionalFormatting sqref="A1060:A1062">
    <cfRule type="cellIs" dxfId="1785" priority="1623" stopIfTrue="1" operator="equal">
      <formula>"Pass"</formula>
    </cfRule>
    <cfRule type="cellIs" dxfId="1784" priority="1624" stopIfTrue="1" operator="equal">
      <formula>"Fail"</formula>
    </cfRule>
  </conditionalFormatting>
  <conditionalFormatting sqref="A1062">
    <cfRule type="cellIs" dxfId="1783" priority="1621" stopIfTrue="1" operator="equal">
      <formula>"Pass"</formula>
    </cfRule>
    <cfRule type="cellIs" dxfId="1782" priority="1622" stopIfTrue="1" operator="equal">
      <formula>"Fail"</formula>
    </cfRule>
  </conditionalFormatting>
  <conditionalFormatting sqref="A1060:A1062">
    <cfRule type="cellIs" dxfId="1781" priority="1619" stopIfTrue="1" operator="equal">
      <formula>"Pass"</formula>
    </cfRule>
    <cfRule type="cellIs" dxfId="1780" priority="1620" stopIfTrue="1" operator="equal">
      <formula>"Fail"</formula>
    </cfRule>
  </conditionalFormatting>
  <conditionalFormatting sqref="A1060:A1062">
    <cfRule type="cellIs" dxfId="1779" priority="1617" stopIfTrue="1" operator="equal">
      <formula>"Pass"</formula>
    </cfRule>
    <cfRule type="cellIs" dxfId="1778" priority="1618" stopIfTrue="1" operator="equal">
      <formula>"Fail"</formula>
    </cfRule>
  </conditionalFormatting>
  <conditionalFormatting sqref="A1060:A1062">
    <cfRule type="cellIs" dxfId="1777" priority="1615" stopIfTrue="1" operator="equal">
      <formula>"Pass"</formula>
    </cfRule>
    <cfRule type="cellIs" dxfId="1776" priority="1616" stopIfTrue="1" operator="equal">
      <formula>"Fail"</formula>
    </cfRule>
  </conditionalFormatting>
  <conditionalFormatting sqref="A1060:A1062">
    <cfRule type="cellIs" dxfId="1775" priority="1613" stopIfTrue="1" operator="equal">
      <formula>"Pass"</formula>
    </cfRule>
    <cfRule type="cellIs" dxfId="1774" priority="1614" stopIfTrue="1" operator="equal">
      <formula>"Fail"</formula>
    </cfRule>
  </conditionalFormatting>
  <conditionalFormatting sqref="A1060:A1062">
    <cfRule type="cellIs" dxfId="1773" priority="1611" stopIfTrue="1" operator="equal">
      <formula>"Pass"</formula>
    </cfRule>
    <cfRule type="cellIs" dxfId="1772" priority="1612" stopIfTrue="1" operator="equal">
      <formula>"Fail"</formula>
    </cfRule>
  </conditionalFormatting>
  <conditionalFormatting sqref="A1060:A1062">
    <cfRule type="cellIs" dxfId="1771" priority="1609" stopIfTrue="1" operator="equal">
      <formula>"Pass"</formula>
    </cfRule>
    <cfRule type="cellIs" dxfId="1770" priority="1610" stopIfTrue="1" operator="equal">
      <formula>"Fail"</formula>
    </cfRule>
  </conditionalFormatting>
  <conditionalFormatting sqref="A1062">
    <cfRule type="cellIs" dxfId="1769" priority="1607" stopIfTrue="1" operator="equal">
      <formula>"Pass"</formula>
    </cfRule>
    <cfRule type="cellIs" dxfId="1768" priority="1608" stopIfTrue="1" operator="equal">
      <formula>"Fail"</formula>
    </cfRule>
  </conditionalFormatting>
  <conditionalFormatting sqref="A1060:A1062">
    <cfRule type="cellIs" dxfId="1767" priority="1605" stopIfTrue="1" operator="equal">
      <formula>"Pass"</formula>
    </cfRule>
    <cfRule type="cellIs" dxfId="1766" priority="1606" stopIfTrue="1" operator="equal">
      <formula>"Fail"</formula>
    </cfRule>
  </conditionalFormatting>
  <conditionalFormatting sqref="A1060:A1062">
    <cfRule type="cellIs" dxfId="1765" priority="1603" stopIfTrue="1" operator="equal">
      <formula>"Pass"</formula>
    </cfRule>
    <cfRule type="cellIs" dxfId="1764" priority="1604" stopIfTrue="1" operator="equal">
      <formula>"Fail"</formula>
    </cfRule>
  </conditionalFormatting>
  <conditionalFormatting sqref="A1060:A1062">
    <cfRule type="cellIs" dxfId="1763" priority="1601" stopIfTrue="1" operator="equal">
      <formula>"Pass"</formula>
    </cfRule>
    <cfRule type="cellIs" dxfId="1762" priority="1602" stopIfTrue="1" operator="equal">
      <formula>"Fail"</formula>
    </cfRule>
  </conditionalFormatting>
  <conditionalFormatting sqref="A1060:A1062">
    <cfRule type="cellIs" dxfId="1761" priority="1599" stopIfTrue="1" operator="equal">
      <formula>"Pass"</formula>
    </cfRule>
    <cfRule type="cellIs" dxfId="1760" priority="1600" stopIfTrue="1" operator="equal">
      <formula>"Fail"</formula>
    </cfRule>
  </conditionalFormatting>
  <conditionalFormatting sqref="A1060:A1062">
    <cfRule type="cellIs" dxfId="1759" priority="1597" stopIfTrue="1" operator="equal">
      <formula>"Pass"</formula>
    </cfRule>
    <cfRule type="cellIs" dxfId="1758" priority="1598" stopIfTrue="1" operator="equal">
      <formula>"Fail"</formula>
    </cfRule>
  </conditionalFormatting>
  <conditionalFormatting sqref="A1060:A1062">
    <cfRule type="cellIs" dxfId="1757" priority="1595" stopIfTrue="1" operator="equal">
      <formula>"Pass"</formula>
    </cfRule>
    <cfRule type="cellIs" dxfId="1756" priority="1596" stopIfTrue="1" operator="equal">
      <formula>"Fail"</formula>
    </cfRule>
  </conditionalFormatting>
  <conditionalFormatting sqref="A1062">
    <cfRule type="cellIs" dxfId="1755" priority="1593" stopIfTrue="1" operator="equal">
      <formula>"Pass"</formula>
    </cfRule>
    <cfRule type="cellIs" dxfId="1754" priority="1594" stopIfTrue="1" operator="equal">
      <formula>"Fail"</formula>
    </cfRule>
  </conditionalFormatting>
  <conditionalFormatting sqref="A1060:A1062">
    <cfRule type="cellIs" dxfId="1753" priority="1591" stopIfTrue="1" operator="equal">
      <formula>"Pass"</formula>
    </cfRule>
    <cfRule type="cellIs" dxfId="1752" priority="1592" stopIfTrue="1" operator="equal">
      <formula>"Fail"</formula>
    </cfRule>
  </conditionalFormatting>
  <conditionalFormatting sqref="A1060:A1062">
    <cfRule type="cellIs" dxfId="1751" priority="1589" stopIfTrue="1" operator="equal">
      <formula>"Pass"</formula>
    </cfRule>
    <cfRule type="cellIs" dxfId="1750" priority="1590" stopIfTrue="1" operator="equal">
      <formula>"Fail"</formula>
    </cfRule>
  </conditionalFormatting>
  <conditionalFormatting sqref="A1060:A1062">
    <cfRule type="cellIs" dxfId="1749" priority="1587" stopIfTrue="1" operator="equal">
      <formula>"Pass"</formula>
    </cfRule>
    <cfRule type="cellIs" dxfId="1748" priority="1588" stopIfTrue="1" operator="equal">
      <formula>"Fail"</formula>
    </cfRule>
  </conditionalFormatting>
  <conditionalFormatting sqref="A1060:A1062">
    <cfRule type="cellIs" dxfId="1747" priority="1585" stopIfTrue="1" operator="equal">
      <formula>"Pass"</formula>
    </cfRule>
    <cfRule type="cellIs" dxfId="1746" priority="1586" stopIfTrue="1" operator="equal">
      <formula>"Fail"</formula>
    </cfRule>
  </conditionalFormatting>
  <conditionalFormatting sqref="A1060:A1062">
    <cfRule type="cellIs" dxfId="1745" priority="1583" stopIfTrue="1" operator="equal">
      <formula>"Pass"</formula>
    </cfRule>
    <cfRule type="cellIs" dxfId="1744" priority="1584" stopIfTrue="1" operator="equal">
      <formula>"Fail"</formula>
    </cfRule>
  </conditionalFormatting>
  <conditionalFormatting sqref="A1060:A1062">
    <cfRule type="cellIs" dxfId="1743" priority="1581" stopIfTrue="1" operator="equal">
      <formula>"Pass"</formula>
    </cfRule>
    <cfRule type="cellIs" dxfId="1742" priority="1582" stopIfTrue="1" operator="equal">
      <formula>"Fail"</formula>
    </cfRule>
  </conditionalFormatting>
  <conditionalFormatting sqref="A1062">
    <cfRule type="cellIs" dxfId="1741" priority="1579" stopIfTrue="1" operator="equal">
      <formula>"Pass"</formula>
    </cfRule>
    <cfRule type="cellIs" dxfId="1740" priority="1580" stopIfTrue="1" operator="equal">
      <formula>"Fail"</formula>
    </cfRule>
  </conditionalFormatting>
  <conditionalFormatting sqref="A1060:A1062">
    <cfRule type="cellIs" dxfId="1739" priority="1577" stopIfTrue="1" operator="equal">
      <formula>"Pass"</formula>
    </cfRule>
    <cfRule type="cellIs" dxfId="1738" priority="1578" stopIfTrue="1" operator="equal">
      <formula>"Fail"</formula>
    </cfRule>
  </conditionalFormatting>
  <conditionalFormatting sqref="A1060">
    <cfRule type="cellIs" dxfId="1737" priority="1575" stopIfTrue="1" operator="equal">
      <formula>"Pass"</formula>
    </cfRule>
    <cfRule type="cellIs" dxfId="1736" priority="1576" stopIfTrue="1" operator="equal">
      <formula>"Fail"</formula>
    </cfRule>
  </conditionalFormatting>
  <conditionalFormatting sqref="A1060">
    <cfRule type="cellIs" dxfId="1735" priority="1573" stopIfTrue="1" operator="equal">
      <formula>"Pass"</formula>
    </cfRule>
    <cfRule type="cellIs" dxfId="1734" priority="1574" stopIfTrue="1" operator="equal">
      <formula>"Fail"</formula>
    </cfRule>
  </conditionalFormatting>
  <conditionalFormatting sqref="A1060">
    <cfRule type="cellIs" dxfId="1733" priority="1571" stopIfTrue="1" operator="equal">
      <formula>"Pass"</formula>
    </cfRule>
    <cfRule type="cellIs" dxfId="1732" priority="1572" stopIfTrue="1" operator="equal">
      <formula>"Fail"</formula>
    </cfRule>
  </conditionalFormatting>
  <conditionalFormatting sqref="A1060">
    <cfRule type="cellIs" dxfId="1731" priority="1569" stopIfTrue="1" operator="equal">
      <formula>"Pass"</formula>
    </cfRule>
    <cfRule type="cellIs" dxfId="1730" priority="1570" stopIfTrue="1" operator="equal">
      <formula>"Fail"</formula>
    </cfRule>
  </conditionalFormatting>
  <conditionalFormatting sqref="A1060">
    <cfRule type="cellIs" dxfId="1729" priority="1567" stopIfTrue="1" operator="equal">
      <formula>"Pass"</formula>
    </cfRule>
    <cfRule type="cellIs" dxfId="1728" priority="1568" stopIfTrue="1" operator="equal">
      <formula>"Fail"</formula>
    </cfRule>
  </conditionalFormatting>
  <conditionalFormatting sqref="A1060">
    <cfRule type="cellIs" dxfId="1727" priority="1565" stopIfTrue="1" operator="equal">
      <formula>"Pass"</formula>
    </cfRule>
    <cfRule type="cellIs" dxfId="1726" priority="1566" stopIfTrue="1" operator="equal">
      <formula>"Fail"</formula>
    </cfRule>
  </conditionalFormatting>
  <conditionalFormatting sqref="A1060">
    <cfRule type="cellIs" dxfId="1725" priority="1563" stopIfTrue="1" operator="equal">
      <formula>"Pass"</formula>
    </cfRule>
    <cfRule type="cellIs" dxfId="1724" priority="1564" stopIfTrue="1" operator="equal">
      <formula>"Fail"</formula>
    </cfRule>
  </conditionalFormatting>
  <conditionalFormatting sqref="A1060">
    <cfRule type="cellIs" dxfId="1723" priority="1561" stopIfTrue="1" operator="equal">
      <formula>"Pass"</formula>
    </cfRule>
    <cfRule type="cellIs" dxfId="1722" priority="1562" stopIfTrue="1" operator="equal">
      <formula>"Fail"</formula>
    </cfRule>
  </conditionalFormatting>
  <conditionalFormatting sqref="A1060">
    <cfRule type="cellIs" dxfId="1721" priority="1559" stopIfTrue="1" operator="equal">
      <formula>"Pass"</formula>
    </cfRule>
    <cfRule type="cellIs" dxfId="1720" priority="1560" stopIfTrue="1" operator="equal">
      <formula>"Fail"</formula>
    </cfRule>
  </conditionalFormatting>
  <conditionalFormatting sqref="A1060">
    <cfRule type="cellIs" dxfId="1719" priority="1557" stopIfTrue="1" operator="equal">
      <formula>"Pass"</formula>
    </cfRule>
    <cfRule type="cellIs" dxfId="1718" priority="1558" stopIfTrue="1" operator="equal">
      <formula>"Fail"</formula>
    </cfRule>
  </conditionalFormatting>
  <conditionalFormatting sqref="A1060">
    <cfRule type="cellIs" dxfId="1717" priority="1555" stopIfTrue="1" operator="equal">
      <formula>"Pass"</formula>
    </cfRule>
    <cfRule type="cellIs" dxfId="1716" priority="1556" stopIfTrue="1" operator="equal">
      <formula>"Fail"</formula>
    </cfRule>
  </conditionalFormatting>
  <conditionalFormatting sqref="A1060">
    <cfRule type="cellIs" dxfId="1715" priority="1553" stopIfTrue="1" operator="equal">
      <formula>"Pass"</formula>
    </cfRule>
    <cfRule type="cellIs" dxfId="1714" priority="1554" stopIfTrue="1" operator="equal">
      <formula>"Fail"</formula>
    </cfRule>
  </conditionalFormatting>
  <conditionalFormatting sqref="A1060">
    <cfRule type="cellIs" dxfId="1713" priority="1551" stopIfTrue="1" operator="equal">
      <formula>"Pass"</formula>
    </cfRule>
    <cfRule type="cellIs" dxfId="1712" priority="1552" stopIfTrue="1" operator="equal">
      <formula>"Fail"</formula>
    </cfRule>
  </conditionalFormatting>
  <conditionalFormatting sqref="A1060">
    <cfRule type="cellIs" dxfId="1711" priority="1549" stopIfTrue="1" operator="equal">
      <formula>"Pass"</formula>
    </cfRule>
    <cfRule type="cellIs" dxfId="1710" priority="1550" stopIfTrue="1" operator="equal">
      <formula>"Fail"</formula>
    </cfRule>
  </conditionalFormatting>
  <conditionalFormatting sqref="A1060">
    <cfRule type="cellIs" dxfId="1709" priority="1547" stopIfTrue="1" operator="equal">
      <formula>"Pass"</formula>
    </cfRule>
    <cfRule type="cellIs" dxfId="1708" priority="1548" stopIfTrue="1" operator="equal">
      <formula>"Fail"</formula>
    </cfRule>
  </conditionalFormatting>
  <conditionalFormatting sqref="A1060">
    <cfRule type="cellIs" dxfId="1707" priority="1545" stopIfTrue="1" operator="equal">
      <formula>"Pass"</formula>
    </cfRule>
    <cfRule type="cellIs" dxfId="1706" priority="1546" stopIfTrue="1" operator="equal">
      <formula>"Fail"</formula>
    </cfRule>
  </conditionalFormatting>
  <conditionalFormatting sqref="A1060">
    <cfRule type="cellIs" dxfId="1705" priority="1543" stopIfTrue="1" operator="equal">
      <formula>"Pass"</formula>
    </cfRule>
    <cfRule type="cellIs" dxfId="1704" priority="1544" stopIfTrue="1" operator="equal">
      <formula>"Fail"</formula>
    </cfRule>
  </conditionalFormatting>
  <conditionalFormatting sqref="A1060">
    <cfRule type="cellIs" dxfId="1703" priority="1541" stopIfTrue="1" operator="equal">
      <formula>"Pass"</formula>
    </cfRule>
    <cfRule type="cellIs" dxfId="1702" priority="1542" stopIfTrue="1" operator="equal">
      <formula>"Fail"</formula>
    </cfRule>
  </conditionalFormatting>
  <conditionalFormatting sqref="A1060">
    <cfRule type="cellIs" dxfId="1701" priority="1539" stopIfTrue="1" operator="equal">
      <formula>"Pass"</formula>
    </cfRule>
    <cfRule type="cellIs" dxfId="1700" priority="1540" stopIfTrue="1" operator="equal">
      <formula>"Fail"</formula>
    </cfRule>
  </conditionalFormatting>
  <conditionalFormatting sqref="A1060">
    <cfRule type="cellIs" dxfId="1699" priority="1537" stopIfTrue="1" operator="equal">
      <formula>"Pass"</formula>
    </cfRule>
    <cfRule type="cellIs" dxfId="1698" priority="1538" stopIfTrue="1" operator="equal">
      <formula>"Fail"</formula>
    </cfRule>
  </conditionalFormatting>
  <conditionalFormatting sqref="A1060">
    <cfRule type="cellIs" dxfId="1697" priority="1535" stopIfTrue="1" operator="equal">
      <formula>"Pass"</formula>
    </cfRule>
    <cfRule type="cellIs" dxfId="1696" priority="1536" stopIfTrue="1" operator="equal">
      <formula>"Fail"</formula>
    </cfRule>
  </conditionalFormatting>
  <conditionalFormatting sqref="A1060">
    <cfRule type="cellIs" dxfId="1695" priority="1533" stopIfTrue="1" operator="equal">
      <formula>"Pass"</formula>
    </cfRule>
    <cfRule type="cellIs" dxfId="1694" priority="1534" stopIfTrue="1" operator="equal">
      <formula>"Fail"</formula>
    </cfRule>
  </conditionalFormatting>
  <conditionalFormatting sqref="A1060">
    <cfRule type="cellIs" dxfId="1693" priority="1531" stopIfTrue="1" operator="equal">
      <formula>"Pass"</formula>
    </cfRule>
    <cfRule type="cellIs" dxfId="1692" priority="1532" stopIfTrue="1" operator="equal">
      <formula>"Fail"</formula>
    </cfRule>
  </conditionalFormatting>
  <conditionalFormatting sqref="A1060">
    <cfRule type="cellIs" dxfId="1691" priority="1529" stopIfTrue="1" operator="equal">
      <formula>"Pass"</formula>
    </cfRule>
    <cfRule type="cellIs" dxfId="1690" priority="1530" stopIfTrue="1" operator="equal">
      <formula>"Fail"</formula>
    </cfRule>
  </conditionalFormatting>
  <conditionalFormatting sqref="A1060">
    <cfRule type="cellIs" dxfId="1689" priority="1527" stopIfTrue="1" operator="equal">
      <formula>"Pass"</formula>
    </cfRule>
    <cfRule type="cellIs" dxfId="1688" priority="1528" stopIfTrue="1" operator="equal">
      <formula>"Fail"</formula>
    </cfRule>
  </conditionalFormatting>
  <conditionalFormatting sqref="A1060">
    <cfRule type="cellIs" dxfId="1687" priority="1525" stopIfTrue="1" operator="equal">
      <formula>"Pass"</formula>
    </cfRule>
    <cfRule type="cellIs" dxfId="1686" priority="1526" stopIfTrue="1" operator="equal">
      <formula>"Fail"</formula>
    </cfRule>
  </conditionalFormatting>
  <conditionalFormatting sqref="A1060">
    <cfRule type="cellIs" dxfId="1685" priority="1523" stopIfTrue="1" operator="equal">
      <formula>"Pass"</formula>
    </cfRule>
    <cfRule type="cellIs" dxfId="1684" priority="1524" stopIfTrue="1" operator="equal">
      <formula>"Fail"</formula>
    </cfRule>
  </conditionalFormatting>
  <conditionalFormatting sqref="A1060">
    <cfRule type="cellIs" dxfId="1683" priority="1521" stopIfTrue="1" operator="equal">
      <formula>"Pass"</formula>
    </cfRule>
    <cfRule type="cellIs" dxfId="1682" priority="1522" stopIfTrue="1" operator="equal">
      <formula>"Fail"</formula>
    </cfRule>
  </conditionalFormatting>
  <conditionalFormatting sqref="A1060">
    <cfRule type="cellIs" dxfId="1681" priority="1519" stopIfTrue="1" operator="equal">
      <formula>"Pass"</formula>
    </cfRule>
    <cfRule type="cellIs" dxfId="1680" priority="1520" stopIfTrue="1" operator="equal">
      <formula>"Fail"</formula>
    </cfRule>
  </conditionalFormatting>
  <conditionalFormatting sqref="A1060">
    <cfRule type="cellIs" dxfId="1679" priority="1517" stopIfTrue="1" operator="equal">
      <formula>"Pass"</formula>
    </cfRule>
    <cfRule type="cellIs" dxfId="1678" priority="1518" stopIfTrue="1" operator="equal">
      <formula>"Fail"</formula>
    </cfRule>
  </conditionalFormatting>
  <conditionalFormatting sqref="A1060">
    <cfRule type="cellIs" dxfId="1677" priority="1515" stopIfTrue="1" operator="equal">
      <formula>"Pass"</formula>
    </cfRule>
    <cfRule type="cellIs" dxfId="1676" priority="1516" stopIfTrue="1" operator="equal">
      <formula>"Fail"</formula>
    </cfRule>
  </conditionalFormatting>
  <conditionalFormatting sqref="A1060">
    <cfRule type="cellIs" dxfId="1675" priority="1513" stopIfTrue="1" operator="equal">
      <formula>"Pass"</formula>
    </cfRule>
    <cfRule type="cellIs" dxfId="1674" priority="1514" stopIfTrue="1" operator="equal">
      <formula>"Fail"</formula>
    </cfRule>
  </conditionalFormatting>
  <conditionalFormatting sqref="A1060">
    <cfRule type="cellIs" dxfId="1673" priority="1511" stopIfTrue="1" operator="equal">
      <formula>"Pass"</formula>
    </cfRule>
    <cfRule type="cellIs" dxfId="1672" priority="1512" stopIfTrue="1" operator="equal">
      <formula>"Fail"</formula>
    </cfRule>
  </conditionalFormatting>
  <conditionalFormatting sqref="A1060">
    <cfRule type="cellIs" dxfId="1671" priority="1509" stopIfTrue="1" operator="equal">
      <formula>"Pass"</formula>
    </cfRule>
    <cfRule type="cellIs" dxfId="1670" priority="1510" stopIfTrue="1" operator="equal">
      <formula>"Fail"</formula>
    </cfRule>
  </conditionalFormatting>
  <conditionalFormatting sqref="A1060">
    <cfRule type="cellIs" dxfId="1669" priority="1507" stopIfTrue="1" operator="equal">
      <formula>"Pass"</formula>
    </cfRule>
    <cfRule type="cellIs" dxfId="1668" priority="1508" stopIfTrue="1" operator="equal">
      <formula>"Fail"</formula>
    </cfRule>
  </conditionalFormatting>
  <conditionalFormatting sqref="A1060">
    <cfRule type="cellIs" dxfId="1667" priority="1505" stopIfTrue="1" operator="equal">
      <formula>"Pass"</formula>
    </cfRule>
    <cfRule type="cellIs" dxfId="1666" priority="1506" stopIfTrue="1" operator="equal">
      <formula>"Fail"</formula>
    </cfRule>
  </conditionalFormatting>
  <conditionalFormatting sqref="A1060">
    <cfRule type="cellIs" dxfId="1665" priority="1503" stopIfTrue="1" operator="equal">
      <formula>"Pass"</formula>
    </cfRule>
    <cfRule type="cellIs" dxfId="1664" priority="1504" stopIfTrue="1" operator="equal">
      <formula>"Fail"</formula>
    </cfRule>
  </conditionalFormatting>
  <conditionalFormatting sqref="A1060">
    <cfRule type="cellIs" dxfId="1663" priority="1501" stopIfTrue="1" operator="equal">
      <formula>"Pass"</formula>
    </cfRule>
    <cfRule type="cellIs" dxfId="1662" priority="1502" stopIfTrue="1" operator="equal">
      <formula>"Fail"</formula>
    </cfRule>
  </conditionalFormatting>
  <conditionalFormatting sqref="A1060">
    <cfRule type="cellIs" dxfId="1661" priority="1499" stopIfTrue="1" operator="equal">
      <formula>"Pass"</formula>
    </cfRule>
    <cfRule type="cellIs" dxfId="1660" priority="1500" stopIfTrue="1" operator="equal">
      <formula>"Fail"</formula>
    </cfRule>
  </conditionalFormatting>
  <conditionalFormatting sqref="A1060">
    <cfRule type="cellIs" dxfId="1659" priority="1497" stopIfTrue="1" operator="equal">
      <formula>"Pass"</formula>
    </cfRule>
    <cfRule type="cellIs" dxfId="1658" priority="1498" stopIfTrue="1" operator="equal">
      <formula>"Fail"</formula>
    </cfRule>
  </conditionalFormatting>
  <conditionalFormatting sqref="A1060">
    <cfRule type="cellIs" dxfId="1657" priority="1495" stopIfTrue="1" operator="equal">
      <formula>"Pass"</formula>
    </cfRule>
    <cfRule type="cellIs" dxfId="1656" priority="1496" stopIfTrue="1" operator="equal">
      <formula>"Fail"</formula>
    </cfRule>
  </conditionalFormatting>
  <conditionalFormatting sqref="A1060">
    <cfRule type="cellIs" dxfId="1655" priority="1493" stopIfTrue="1" operator="equal">
      <formula>"Pass"</formula>
    </cfRule>
    <cfRule type="cellIs" dxfId="1654" priority="1494" stopIfTrue="1" operator="equal">
      <formula>"Fail"</formula>
    </cfRule>
  </conditionalFormatting>
  <conditionalFormatting sqref="A1060">
    <cfRule type="cellIs" dxfId="1653" priority="1491" stopIfTrue="1" operator="equal">
      <formula>"Pass"</formula>
    </cfRule>
    <cfRule type="cellIs" dxfId="1652" priority="1492" stopIfTrue="1" operator="equal">
      <formula>"Fail"</formula>
    </cfRule>
  </conditionalFormatting>
  <conditionalFormatting sqref="A1060">
    <cfRule type="cellIs" dxfId="1651" priority="1489" stopIfTrue="1" operator="equal">
      <formula>"Pass"</formula>
    </cfRule>
    <cfRule type="cellIs" dxfId="1650" priority="1490" stopIfTrue="1" operator="equal">
      <formula>"Fail"</formula>
    </cfRule>
  </conditionalFormatting>
  <conditionalFormatting sqref="A1060">
    <cfRule type="cellIs" dxfId="1649" priority="1487" stopIfTrue="1" operator="equal">
      <formula>"Pass"</formula>
    </cfRule>
    <cfRule type="cellIs" dxfId="1648" priority="1488" stopIfTrue="1" operator="equal">
      <formula>"Fail"</formula>
    </cfRule>
  </conditionalFormatting>
  <conditionalFormatting sqref="A1060">
    <cfRule type="cellIs" dxfId="1647" priority="1485" stopIfTrue="1" operator="equal">
      <formula>"Pass"</formula>
    </cfRule>
    <cfRule type="cellIs" dxfId="1646" priority="1486" stopIfTrue="1" operator="equal">
      <formula>"Fail"</formula>
    </cfRule>
  </conditionalFormatting>
  <conditionalFormatting sqref="A1060">
    <cfRule type="cellIs" dxfId="1645" priority="1483" stopIfTrue="1" operator="equal">
      <formula>"Pass"</formula>
    </cfRule>
    <cfRule type="cellIs" dxfId="1644" priority="1484" stopIfTrue="1" operator="equal">
      <formula>"Fail"</formula>
    </cfRule>
  </conditionalFormatting>
  <conditionalFormatting sqref="A1060">
    <cfRule type="cellIs" dxfId="1643" priority="1481" stopIfTrue="1" operator="equal">
      <formula>"Pass"</formula>
    </cfRule>
    <cfRule type="cellIs" dxfId="1642" priority="1482" stopIfTrue="1" operator="equal">
      <formula>"Fail"</formula>
    </cfRule>
  </conditionalFormatting>
  <conditionalFormatting sqref="A1063:A1065">
    <cfRule type="cellIs" dxfId="1641" priority="1479" stopIfTrue="1" operator="equal">
      <formula>"Pass"</formula>
    </cfRule>
    <cfRule type="cellIs" dxfId="1640" priority="1480" stopIfTrue="1" operator="equal">
      <formula>"Fail"</formula>
    </cfRule>
  </conditionalFormatting>
  <conditionalFormatting sqref="A1063:A1065">
    <cfRule type="cellIs" dxfId="1639" priority="1477" stopIfTrue="1" operator="equal">
      <formula>"Pass"</formula>
    </cfRule>
    <cfRule type="cellIs" dxfId="1638" priority="1478" stopIfTrue="1" operator="equal">
      <formula>"Fail"</formula>
    </cfRule>
  </conditionalFormatting>
  <conditionalFormatting sqref="A1063:A1065">
    <cfRule type="cellIs" dxfId="1637" priority="1475" stopIfTrue="1" operator="equal">
      <formula>"Pass"</formula>
    </cfRule>
    <cfRule type="cellIs" dxfId="1636" priority="1476" stopIfTrue="1" operator="equal">
      <formula>"Fail"</formula>
    </cfRule>
  </conditionalFormatting>
  <conditionalFormatting sqref="A1063:A1065">
    <cfRule type="cellIs" dxfId="1635" priority="1473" stopIfTrue="1" operator="equal">
      <formula>"Pass"</formula>
    </cfRule>
    <cfRule type="cellIs" dxfId="1634" priority="1474" stopIfTrue="1" operator="equal">
      <formula>"Fail"</formula>
    </cfRule>
  </conditionalFormatting>
  <conditionalFormatting sqref="A1063:A1065">
    <cfRule type="cellIs" dxfId="1633" priority="1471" stopIfTrue="1" operator="equal">
      <formula>"Pass"</formula>
    </cfRule>
    <cfRule type="cellIs" dxfId="1632" priority="1472" stopIfTrue="1" operator="equal">
      <formula>"Fail"</formula>
    </cfRule>
  </conditionalFormatting>
  <conditionalFormatting sqref="A1065">
    <cfRule type="cellIs" dxfId="1631" priority="1469" stopIfTrue="1" operator="equal">
      <formula>"Pass"</formula>
    </cfRule>
    <cfRule type="cellIs" dxfId="1630" priority="1470" stopIfTrue="1" operator="equal">
      <formula>"Fail"</formula>
    </cfRule>
  </conditionalFormatting>
  <conditionalFormatting sqref="A1063:A1065">
    <cfRule type="cellIs" dxfId="1629" priority="1467" stopIfTrue="1" operator="equal">
      <formula>"Pass"</formula>
    </cfRule>
    <cfRule type="cellIs" dxfId="1628" priority="1468" stopIfTrue="1" operator="equal">
      <formula>"Fail"</formula>
    </cfRule>
  </conditionalFormatting>
  <conditionalFormatting sqref="A1063:A1065">
    <cfRule type="cellIs" dxfId="1627" priority="1465" stopIfTrue="1" operator="equal">
      <formula>"Pass"</formula>
    </cfRule>
    <cfRule type="cellIs" dxfId="1626" priority="1466" stopIfTrue="1" operator="equal">
      <formula>"Fail"</formula>
    </cfRule>
  </conditionalFormatting>
  <conditionalFormatting sqref="A1063:A1065">
    <cfRule type="cellIs" dxfId="1625" priority="1463" stopIfTrue="1" operator="equal">
      <formula>"Pass"</formula>
    </cfRule>
    <cfRule type="cellIs" dxfId="1624" priority="1464" stopIfTrue="1" operator="equal">
      <formula>"Fail"</formula>
    </cfRule>
  </conditionalFormatting>
  <conditionalFormatting sqref="A1063:A1065">
    <cfRule type="cellIs" dxfId="1623" priority="1461" stopIfTrue="1" operator="equal">
      <formula>"Pass"</formula>
    </cfRule>
    <cfRule type="cellIs" dxfId="1622" priority="1462" stopIfTrue="1" operator="equal">
      <formula>"Fail"</formula>
    </cfRule>
  </conditionalFormatting>
  <conditionalFormatting sqref="A1063:A1065">
    <cfRule type="cellIs" dxfId="1621" priority="1459" stopIfTrue="1" operator="equal">
      <formula>"Pass"</formula>
    </cfRule>
    <cfRule type="cellIs" dxfId="1620" priority="1460" stopIfTrue="1" operator="equal">
      <formula>"Fail"</formula>
    </cfRule>
  </conditionalFormatting>
  <conditionalFormatting sqref="A1063:A1065">
    <cfRule type="cellIs" dxfId="1619" priority="1457" stopIfTrue="1" operator="equal">
      <formula>"Pass"</formula>
    </cfRule>
    <cfRule type="cellIs" dxfId="1618" priority="1458" stopIfTrue="1" operator="equal">
      <formula>"Fail"</formula>
    </cfRule>
  </conditionalFormatting>
  <conditionalFormatting sqref="A1065">
    <cfRule type="cellIs" dxfId="1617" priority="1455" stopIfTrue="1" operator="equal">
      <formula>"Pass"</formula>
    </cfRule>
    <cfRule type="cellIs" dxfId="1616" priority="1456" stopIfTrue="1" operator="equal">
      <formula>"Fail"</formula>
    </cfRule>
  </conditionalFormatting>
  <conditionalFormatting sqref="A1063:A1065">
    <cfRule type="cellIs" dxfId="1615" priority="1453" stopIfTrue="1" operator="equal">
      <formula>"Pass"</formula>
    </cfRule>
    <cfRule type="cellIs" dxfId="1614" priority="1454" stopIfTrue="1" operator="equal">
      <formula>"Fail"</formula>
    </cfRule>
  </conditionalFormatting>
  <conditionalFormatting sqref="A1063:A1065">
    <cfRule type="cellIs" dxfId="1613" priority="1451" stopIfTrue="1" operator="equal">
      <formula>"Pass"</formula>
    </cfRule>
    <cfRule type="cellIs" dxfId="1612" priority="1452" stopIfTrue="1" operator="equal">
      <formula>"Fail"</formula>
    </cfRule>
  </conditionalFormatting>
  <conditionalFormatting sqref="A1063:A1065">
    <cfRule type="cellIs" dxfId="1611" priority="1449" stopIfTrue="1" operator="equal">
      <formula>"Pass"</formula>
    </cfRule>
    <cfRule type="cellIs" dxfId="1610" priority="1450" stopIfTrue="1" operator="equal">
      <formula>"Fail"</formula>
    </cfRule>
  </conditionalFormatting>
  <conditionalFormatting sqref="A1063:A1065">
    <cfRule type="cellIs" dxfId="1609" priority="1447" stopIfTrue="1" operator="equal">
      <formula>"Pass"</formula>
    </cfRule>
    <cfRule type="cellIs" dxfId="1608" priority="1448" stopIfTrue="1" operator="equal">
      <formula>"Fail"</formula>
    </cfRule>
  </conditionalFormatting>
  <conditionalFormatting sqref="A1063:A1065">
    <cfRule type="cellIs" dxfId="1607" priority="1445" stopIfTrue="1" operator="equal">
      <formula>"Pass"</formula>
    </cfRule>
    <cfRule type="cellIs" dxfId="1606" priority="1446" stopIfTrue="1" operator="equal">
      <formula>"Fail"</formula>
    </cfRule>
  </conditionalFormatting>
  <conditionalFormatting sqref="A1063:A1065">
    <cfRule type="cellIs" dxfId="1605" priority="1443" stopIfTrue="1" operator="equal">
      <formula>"Pass"</formula>
    </cfRule>
    <cfRule type="cellIs" dxfId="1604" priority="1444" stopIfTrue="1" operator="equal">
      <formula>"Fail"</formula>
    </cfRule>
  </conditionalFormatting>
  <conditionalFormatting sqref="A1065">
    <cfRule type="cellIs" dxfId="1603" priority="1441" stopIfTrue="1" operator="equal">
      <formula>"Pass"</formula>
    </cfRule>
    <cfRule type="cellIs" dxfId="1602" priority="1442" stopIfTrue="1" operator="equal">
      <formula>"Fail"</formula>
    </cfRule>
  </conditionalFormatting>
  <conditionalFormatting sqref="A1063:A1065">
    <cfRule type="cellIs" dxfId="1601" priority="1439" stopIfTrue="1" operator="equal">
      <formula>"Pass"</formula>
    </cfRule>
    <cfRule type="cellIs" dxfId="1600" priority="1440" stopIfTrue="1" operator="equal">
      <formula>"Fail"</formula>
    </cfRule>
  </conditionalFormatting>
  <conditionalFormatting sqref="A1063:A1065">
    <cfRule type="cellIs" dxfId="1599" priority="1437" stopIfTrue="1" operator="equal">
      <formula>"Pass"</formula>
    </cfRule>
    <cfRule type="cellIs" dxfId="1598" priority="1438" stopIfTrue="1" operator="equal">
      <formula>"Fail"</formula>
    </cfRule>
  </conditionalFormatting>
  <conditionalFormatting sqref="A1063:A1065">
    <cfRule type="cellIs" dxfId="1597" priority="1435" stopIfTrue="1" operator="equal">
      <formula>"Pass"</formula>
    </cfRule>
    <cfRule type="cellIs" dxfId="1596" priority="1436" stopIfTrue="1" operator="equal">
      <formula>"Fail"</formula>
    </cfRule>
  </conditionalFormatting>
  <conditionalFormatting sqref="A1063:A1065">
    <cfRule type="cellIs" dxfId="1595" priority="1433" stopIfTrue="1" operator="equal">
      <formula>"Pass"</formula>
    </cfRule>
    <cfRule type="cellIs" dxfId="1594" priority="1434" stopIfTrue="1" operator="equal">
      <formula>"Fail"</formula>
    </cfRule>
  </conditionalFormatting>
  <conditionalFormatting sqref="A1063:A1065">
    <cfRule type="cellIs" dxfId="1593" priority="1431" stopIfTrue="1" operator="equal">
      <formula>"Pass"</formula>
    </cfRule>
    <cfRule type="cellIs" dxfId="1592" priority="1432" stopIfTrue="1" operator="equal">
      <formula>"Fail"</formula>
    </cfRule>
  </conditionalFormatting>
  <conditionalFormatting sqref="A1063:A1065">
    <cfRule type="cellIs" dxfId="1591" priority="1429" stopIfTrue="1" operator="equal">
      <formula>"Pass"</formula>
    </cfRule>
    <cfRule type="cellIs" dxfId="1590" priority="1430" stopIfTrue="1" operator="equal">
      <formula>"Fail"</formula>
    </cfRule>
  </conditionalFormatting>
  <conditionalFormatting sqref="A1065">
    <cfRule type="cellIs" dxfId="1589" priority="1427" stopIfTrue="1" operator="equal">
      <formula>"Pass"</formula>
    </cfRule>
    <cfRule type="cellIs" dxfId="1588" priority="1428" stopIfTrue="1" operator="equal">
      <formula>"Fail"</formula>
    </cfRule>
  </conditionalFormatting>
  <conditionalFormatting sqref="A1063:A1065">
    <cfRule type="cellIs" dxfId="1587" priority="1425" stopIfTrue="1" operator="equal">
      <formula>"Pass"</formula>
    </cfRule>
    <cfRule type="cellIs" dxfId="1586" priority="1426" stopIfTrue="1" operator="equal">
      <formula>"Fail"</formula>
    </cfRule>
  </conditionalFormatting>
  <conditionalFormatting sqref="A1063:A1065">
    <cfRule type="cellIs" dxfId="1585" priority="1423" stopIfTrue="1" operator="equal">
      <formula>"Pass"</formula>
    </cfRule>
    <cfRule type="cellIs" dxfId="1584" priority="1424" stopIfTrue="1" operator="equal">
      <formula>"Fail"</formula>
    </cfRule>
  </conditionalFormatting>
  <conditionalFormatting sqref="A1063:A1065">
    <cfRule type="cellIs" dxfId="1583" priority="1421" stopIfTrue="1" operator="equal">
      <formula>"Pass"</formula>
    </cfRule>
    <cfRule type="cellIs" dxfId="1582" priority="1422" stopIfTrue="1" operator="equal">
      <formula>"Fail"</formula>
    </cfRule>
  </conditionalFormatting>
  <conditionalFormatting sqref="A1063:A1065">
    <cfRule type="cellIs" dxfId="1581" priority="1419" stopIfTrue="1" operator="equal">
      <formula>"Pass"</formula>
    </cfRule>
    <cfRule type="cellIs" dxfId="1580" priority="1420" stopIfTrue="1" operator="equal">
      <formula>"Fail"</formula>
    </cfRule>
  </conditionalFormatting>
  <conditionalFormatting sqref="A1063:A1065">
    <cfRule type="cellIs" dxfId="1579" priority="1417" stopIfTrue="1" operator="equal">
      <formula>"Pass"</formula>
    </cfRule>
    <cfRule type="cellIs" dxfId="1578" priority="1418" stopIfTrue="1" operator="equal">
      <formula>"Fail"</formula>
    </cfRule>
  </conditionalFormatting>
  <conditionalFormatting sqref="A1063:A1065">
    <cfRule type="cellIs" dxfId="1577" priority="1415" stopIfTrue="1" operator="equal">
      <formula>"Pass"</formula>
    </cfRule>
    <cfRule type="cellIs" dxfId="1576" priority="1416" stopIfTrue="1" operator="equal">
      <formula>"Fail"</formula>
    </cfRule>
  </conditionalFormatting>
  <conditionalFormatting sqref="A1065">
    <cfRule type="cellIs" dxfId="1575" priority="1413" stopIfTrue="1" operator="equal">
      <formula>"Pass"</formula>
    </cfRule>
    <cfRule type="cellIs" dxfId="1574" priority="1414" stopIfTrue="1" operator="equal">
      <formula>"Fail"</formula>
    </cfRule>
  </conditionalFormatting>
  <conditionalFormatting sqref="A1063:A1065">
    <cfRule type="cellIs" dxfId="1573" priority="1411" stopIfTrue="1" operator="equal">
      <formula>"Pass"</formula>
    </cfRule>
    <cfRule type="cellIs" dxfId="1572" priority="1412" stopIfTrue="1" operator="equal">
      <formula>"Fail"</formula>
    </cfRule>
  </conditionalFormatting>
  <conditionalFormatting sqref="A1063:A1065">
    <cfRule type="cellIs" dxfId="1571" priority="1409" stopIfTrue="1" operator="equal">
      <formula>"Pass"</formula>
    </cfRule>
    <cfRule type="cellIs" dxfId="1570" priority="1410" stopIfTrue="1" operator="equal">
      <formula>"Fail"</formula>
    </cfRule>
  </conditionalFormatting>
  <conditionalFormatting sqref="A1063:A1065">
    <cfRule type="cellIs" dxfId="1569" priority="1407" stopIfTrue="1" operator="equal">
      <formula>"Pass"</formula>
    </cfRule>
    <cfRule type="cellIs" dxfId="1568" priority="1408" stopIfTrue="1" operator="equal">
      <formula>"Fail"</formula>
    </cfRule>
  </conditionalFormatting>
  <conditionalFormatting sqref="A1063:A1065">
    <cfRule type="cellIs" dxfId="1567" priority="1405" stopIfTrue="1" operator="equal">
      <formula>"Pass"</formula>
    </cfRule>
    <cfRule type="cellIs" dxfId="1566" priority="1406" stopIfTrue="1" operator="equal">
      <formula>"Fail"</formula>
    </cfRule>
  </conditionalFormatting>
  <conditionalFormatting sqref="A1063:A1065">
    <cfRule type="cellIs" dxfId="1565" priority="1403" stopIfTrue="1" operator="equal">
      <formula>"Pass"</formula>
    </cfRule>
    <cfRule type="cellIs" dxfId="1564" priority="1404" stopIfTrue="1" operator="equal">
      <formula>"Fail"</formula>
    </cfRule>
  </conditionalFormatting>
  <conditionalFormatting sqref="A1063:A1065">
    <cfRule type="cellIs" dxfId="1563" priority="1401" stopIfTrue="1" operator="equal">
      <formula>"Pass"</formula>
    </cfRule>
    <cfRule type="cellIs" dxfId="1562" priority="1402" stopIfTrue="1" operator="equal">
      <formula>"Fail"</formula>
    </cfRule>
  </conditionalFormatting>
  <conditionalFormatting sqref="A1065">
    <cfRule type="cellIs" dxfId="1561" priority="1399" stopIfTrue="1" operator="equal">
      <formula>"Pass"</formula>
    </cfRule>
    <cfRule type="cellIs" dxfId="1560" priority="1400" stopIfTrue="1" operator="equal">
      <formula>"Fail"</formula>
    </cfRule>
  </conditionalFormatting>
  <conditionalFormatting sqref="A1063:A1065">
    <cfRule type="cellIs" dxfId="1559" priority="1397" stopIfTrue="1" operator="equal">
      <formula>"Pass"</formula>
    </cfRule>
    <cfRule type="cellIs" dxfId="1558" priority="1398" stopIfTrue="1" operator="equal">
      <formula>"Fail"</formula>
    </cfRule>
  </conditionalFormatting>
  <conditionalFormatting sqref="A1063">
    <cfRule type="cellIs" dxfId="1557" priority="1395" stopIfTrue="1" operator="equal">
      <formula>"Pass"</formula>
    </cfRule>
    <cfRule type="cellIs" dxfId="1556" priority="1396" stopIfTrue="1" operator="equal">
      <formula>"Fail"</formula>
    </cfRule>
  </conditionalFormatting>
  <conditionalFormatting sqref="A1063">
    <cfRule type="cellIs" dxfId="1555" priority="1393" stopIfTrue="1" operator="equal">
      <formula>"Pass"</formula>
    </cfRule>
    <cfRule type="cellIs" dxfId="1554" priority="1394" stopIfTrue="1" operator="equal">
      <formula>"Fail"</formula>
    </cfRule>
  </conditionalFormatting>
  <conditionalFormatting sqref="A1063">
    <cfRule type="cellIs" dxfId="1553" priority="1391" stopIfTrue="1" operator="equal">
      <formula>"Pass"</formula>
    </cfRule>
    <cfRule type="cellIs" dxfId="1552" priority="1392" stopIfTrue="1" operator="equal">
      <formula>"Fail"</formula>
    </cfRule>
  </conditionalFormatting>
  <conditionalFormatting sqref="A1063">
    <cfRule type="cellIs" dxfId="1551" priority="1389" stopIfTrue="1" operator="equal">
      <formula>"Pass"</formula>
    </cfRule>
    <cfRule type="cellIs" dxfId="1550" priority="1390" stopIfTrue="1" operator="equal">
      <formula>"Fail"</formula>
    </cfRule>
  </conditionalFormatting>
  <conditionalFormatting sqref="A1063">
    <cfRule type="cellIs" dxfId="1549" priority="1387" stopIfTrue="1" operator="equal">
      <formula>"Pass"</formula>
    </cfRule>
    <cfRule type="cellIs" dxfId="1548" priority="1388" stopIfTrue="1" operator="equal">
      <formula>"Fail"</formula>
    </cfRule>
  </conditionalFormatting>
  <conditionalFormatting sqref="A1063">
    <cfRule type="cellIs" dxfId="1547" priority="1385" stopIfTrue="1" operator="equal">
      <formula>"Pass"</formula>
    </cfRule>
    <cfRule type="cellIs" dxfId="1546" priority="1386" stopIfTrue="1" operator="equal">
      <formula>"Fail"</formula>
    </cfRule>
  </conditionalFormatting>
  <conditionalFormatting sqref="H1063:H1064">
    <cfRule type="cellIs" dxfId="1545" priority="1383" stopIfTrue="1" operator="equal">
      <formula>"Pass"</formula>
    </cfRule>
    <cfRule type="cellIs" dxfId="1544" priority="1384" stopIfTrue="1" operator="equal">
      <formula>"Fail"</formula>
    </cfRule>
  </conditionalFormatting>
  <conditionalFormatting sqref="E1063:F1063 E1065:F1065 A1063 I1063:M1064">
    <cfRule type="cellIs" dxfId="1543" priority="1381" stopIfTrue="1" operator="equal">
      <formula>"Pass"</formula>
    </cfRule>
    <cfRule type="cellIs" dxfId="1542" priority="1382" stopIfTrue="1" operator="equal">
      <formula>"Fail"</formula>
    </cfRule>
  </conditionalFormatting>
  <conditionalFormatting sqref="T1065 T1063 R1063:R1065 S1064:S1065">
    <cfRule type="cellIs" dxfId="1541" priority="1379" stopIfTrue="1" operator="equal">
      <formula>"Fail"</formula>
    </cfRule>
    <cfRule type="cellIs" dxfId="1540" priority="1380" stopIfTrue="1" operator="equal">
      <formula>"Pass"</formula>
    </cfRule>
  </conditionalFormatting>
  <conditionalFormatting sqref="F1063:G1063 F1065:G1065 B1063:B1065 A1063 J1063:N1064">
    <cfRule type="cellIs" dxfId="1539" priority="1377" stopIfTrue="1" operator="equal">
      <formula>"Pass"</formula>
    </cfRule>
    <cfRule type="cellIs" dxfId="1538" priority="1378" stopIfTrue="1" operator="equal">
      <formula>"Fail"</formula>
    </cfRule>
  </conditionalFormatting>
  <conditionalFormatting sqref="U1065:V1065 T1063:T1065 S1064:S1065">
    <cfRule type="cellIs" dxfId="1537" priority="1375" stopIfTrue="1" operator="equal">
      <formula>"Fail"</formula>
    </cfRule>
    <cfRule type="cellIs" dxfId="1536" priority="1376" stopIfTrue="1" operator="equal">
      <formula>"Pass"</formula>
    </cfRule>
  </conditionalFormatting>
  <conditionalFormatting sqref="A1063">
    <cfRule type="cellIs" dxfId="1535" priority="1373" stopIfTrue="1" operator="equal">
      <formula>"Pass"</formula>
    </cfRule>
    <cfRule type="cellIs" dxfId="1534" priority="1374" stopIfTrue="1" operator="equal">
      <formula>"Fail"</formula>
    </cfRule>
  </conditionalFormatting>
  <conditionalFormatting sqref="A1063">
    <cfRule type="cellIs" dxfId="1533" priority="1371" stopIfTrue="1" operator="equal">
      <formula>"Pass"</formula>
    </cfRule>
    <cfRule type="cellIs" dxfId="1532" priority="1372" stopIfTrue="1" operator="equal">
      <formula>"Fail"</formula>
    </cfRule>
  </conditionalFormatting>
  <conditionalFormatting sqref="A1063">
    <cfRule type="cellIs" dxfId="1531" priority="1369" stopIfTrue="1" operator="equal">
      <formula>"Pass"</formula>
    </cfRule>
    <cfRule type="cellIs" dxfId="1530" priority="1370" stopIfTrue="1" operator="equal">
      <formula>"Fail"</formula>
    </cfRule>
  </conditionalFormatting>
  <conditionalFormatting sqref="A1063">
    <cfRule type="cellIs" dxfId="1529" priority="1367" stopIfTrue="1" operator="equal">
      <formula>"Pass"</formula>
    </cfRule>
    <cfRule type="cellIs" dxfId="1528" priority="1368" stopIfTrue="1" operator="equal">
      <formula>"Fail"</formula>
    </cfRule>
  </conditionalFormatting>
  <conditionalFormatting sqref="A1063">
    <cfRule type="cellIs" dxfId="1527" priority="1365" stopIfTrue="1" operator="equal">
      <formula>"Pass"</formula>
    </cfRule>
    <cfRule type="cellIs" dxfId="1526" priority="1366" stopIfTrue="1" operator="equal">
      <formula>"Fail"</formula>
    </cfRule>
  </conditionalFormatting>
  <conditionalFormatting sqref="A1063">
    <cfRule type="cellIs" dxfId="1525" priority="1363" stopIfTrue="1" operator="equal">
      <formula>"Pass"</formula>
    </cfRule>
    <cfRule type="cellIs" dxfId="1524" priority="1364" stopIfTrue="1" operator="equal">
      <formula>"Fail"</formula>
    </cfRule>
  </conditionalFormatting>
  <conditionalFormatting sqref="A1063">
    <cfRule type="cellIs" dxfId="1523" priority="1361" stopIfTrue="1" operator="equal">
      <formula>"Pass"</formula>
    </cfRule>
    <cfRule type="cellIs" dxfId="1522" priority="1362" stopIfTrue="1" operator="equal">
      <formula>"Fail"</formula>
    </cfRule>
  </conditionalFormatting>
  <conditionalFormatting sqref="A1063">
    <cfRule type="cellIs" dxfId="1521" priority="1359" stopIfTrue="1" operator="equal">
      <formula>"Pass"</formula>
    </cfRule>
    <cfRule type="cellIs" dxfId="1520" priority="1360" stopIfTrue="1" operator="equal">
      <formula>"Fail"</formula>
    </cfRule>
  </conditionalFormatting>
  <conditionalFormatting sqref="A1063">
    <cfRule type="cellIs" dxfId="1519" priority="1357" stopIfTrue="1" operator="equal">
      <formula>"Pass"</formula>
    </cfRule>
    <cfRule type="cellIs" dxfId="1518" priority="1358" stopIfTrue="1" operator="equal">
      <formula>"Fail"</formula>
    </cfRule>
  </conditionalFormatting>
  <conditionalFormatting sqref="A1063">
    <cfRule type="cellIs" dxfId="1517" priority="1355" stopIfTrue="1" operator="equal">
      <formula>"Pass"</formula>
    </cfRule>
    <cfRule type="cellIs" dxfId="1516" priority="1356" stopIfTrue="1" operator="equal">
      <formula>"Fail"</formula>
    </cfRule>
  </conditionalFormatting>
  <conditionalFormatting sqref="U1063:V1063">
    <cfRule type="cellIs" dxfId="1515" priority="1353" stopIfTrue="1" operator="equal">
      <formula>"Fail"</formula>
    </cfRule>
    <cfRule type="cellIs" dxfId="1514" priority="1354" stopIfTrue="1" operator="equal">
      <formula>"Pass"</formula>
    </cfRule>
  </conditionalFormatting>
  <conditionalFormatting sqref="F1063:G1063 J1063:N1063">
    <cfRule type="cellIs" dxfId="1513" priority="1351" stopIfTrue="1" operator="equal">
      <formula>"Pass"</formula>
    </cfRule>
    <cfRule type="cellIs" dxfId="1512" priority="1352" stopIfTrue="1" operator="equal">
      <formula>"Fail"</formula>
    </cfRule>
  </conditionalFormatting>
  <conditionalFormatting sqref="J1064:N1064">
    <cfRule type="cellIs" dxfId="1511" priority="1349" stopIfTrue="1" operator="equal">
      <formula>"Pass"</formula>
    </cfRule>
    <cfRule type="cellIs" dxfId="1510" priority="1350" stopIfTrue="1" operator="equal">
      <formula>"Fail"</formula>
    </cfRule>
  </conditionalFormatting>
  <conditionalFormatting sqref="A1063">
    <cfRule type="cellIs" dxfId="1509" priority="1347" stopIfTrue="1" operator="equal">
      <formula>"Pass"</formula>
    </cfRule>
    <cfRule type="cellIs" dxfId="1508" priority="1348" stopIfTrue="1" operator="equal">
      <formula>"Fail"</formula>
    </cfRule>
  </conditionalFormatting>
  <conditionalFormatting sqref="A1063">
    <cfRule type="cellIs" dxfId="1507" priority="1345" stopIfTrue="1" operator="equal">
      <formula>"Pass"</formula>
    </cfRule>
    <cfRule type="cellIs" dxfId="1506" priority="1346" stopIfTrue="1" operator="equal">
      <formula>"Fail"</formula>
    </cfRule>
  </conditionalFormatting>
  <conditionalFormatting sqref="A1063">
    <cfRule type="cellIs" dxfId="1505" priority="1343" stopIfTrue="1" operator="equal">
      <formula>"Pass"</formula>
    </cfRule>
    <cfRule type="cellIs" dxfId="1504" priority="1344" stopIfTrue="1" operator="equal">
      <formula>"Fail"</formula>
    </cfRule>
  </conditionalFormatting>
  <conditionalFormatting sqref="A1063">
    <cfRule type="cellIs" dxfId="1503" priority="1341" stopIfTrue="1" operator="equal">
      <formula>"Pass"</formula>
    </cfRule>
    <cfRule type="cellIs" dxfId="1502" priority="1342" stopIfTrue="1" operator="equal">
      <formula>"Fail"</formula>
    </cfRule>
  </conditionalFormatting>
  <conditionalFormatting sqref="A1063">
    <cfRule type="cellIs" dxfId="1501" priority="1339" stopIfTrue="1" operator="equal">
      <formula>"Pass"</formula>
    </cfRule>
    <cfRule type="cellIs" dxfId="1500" priority="1340" stopIfTrue="1" operator="equal">
      <formula>"Fail"</formula>
    </cfRule>
  </conditionalFormatting>
  <conditionalFormatting sqref="A1063">
    <cfRule type="cellIs" dxfId="1499" priority="1337" stopIfTrue="1" operator="equal">
      <formula>"Pass"</formula>
    </cfRule>
    <cfRule type="cellIs" dxfId="1498" priority="1338" stopIfTrue="1" operator="equal">
      <formula>"Fail"</formula>
    </cfRule>
  </conditionalFormatting>
  <conditionalFormatting sqref="A1063">
    <cfRule type="cellIs" dxfId="1497" priority="1335" stopIfTrue="1" operator="equal">
      <formula>"Pass"</formula>
    </cfRule>
    <cfRule type="cellIs" dxfId="1496" priority="1336" stopIfTrue="1" operator="equal">
      <formula>"Fail"</formula>
    </cfRule>
  </conditionalFormatting>
  <conditionalFormatting sqref="A1063">
    <cfRule type="cellIs" dxfId="1495" priority="1333" stopIfTrue="1" operator="equal">
      <formula>"Pass"</formula>
    </cfRule>
    <cfRule type="cellIs" dxfId="1494" priority="1334" stopIfTrue="1" operator="equal">
      <formula>"Fail"</formula>
    </cfRule>
  </conditionalFormatting>
  <conditionalFormatting sqref="A1063">
    <cfRule type="cellIs" dxfId="1493" priority="1331" stopIfTrue="1" operator="equal">
      <formula>"Pass"</formula>
    </cfRule>
    <cfRule type="cellIs" dxfId="1492" priority="1332" stopIfTrue="1" operator="equal">
      <formula>"Fail"</formula>
    </cfRule>
  </conditionalFormatting>
  <conditionalFormatting sqref="A1063">
    <cfRule type="cellIs" dxfId="1491" priority="1329" stopIfTrue="1" operator="equal">
      <formula>"Pass"</formula>
    </cfRule>
    <cfRule type="cellIs" dxfId="1490" priority="1330" stopIfTrue="1" operator="equal">
      <formula>"Fail"</formula>
    </cfRule>
  </conditionalFormatting>
  <conditionalFormatting sqref="A1063">
    <cfRule type="cellIs" dxfId="1489" priority="1327" stopIfTrue="1" operator="equal">
      <formula>"Pass"</formula>
    </cfRule>
    <cfRule type="cellIs" dxfId="1488" priority="1328" stopIfTrue="1" operator="equal">
      <formula>"Fail"</formula>
    </cfRule>
  </conditionalFormatting>
  <conditionalFormatting sqref="A1063">
    <cfRule type="cellIs" dxfId="1487" priority="1325" stopIfTrue="1" operator="equal">
      <formula>"Pass"</formula>
    </cfRule>
    <cfRule type="cellIs" dxfId="1486" priority="1326" stopIfTrue="1" operator="equal">
      <formula>"Fail"</formula>
    </cfRule>
  </conditionalFormatting>
  <conditionalFormatting sqref="H1063:H1064">
    <cfRule type="cellIs" dxfId="1485" priority="1323" stopIfTrue="1" operator="equal">
      <formula>"Pass"</formula>
    </cfRule>
    <cfRule type="cellIs" dxfId="1484" priority="1324" stopIfTrue="1" operator="equal">
      <formula>"Fail"</formula>
    </cfRule>
  </conditionalFormatting>
  <conditionalFormatting sqref="F1063 F1065 I1063:M1064">
    <cfRule type="cellIs" dxfId="1483" priority="1321" stopIfTrue="1" operator="equal">
      <formula>"Pass"</formula>
    </cfRule>
    <cfRule type="cellIs" dxfId="1482" priority="1322" stopIfTrue="1" operator="equal">
      <formula>"Fail"</formula>
    </cfRule>
  </conditionalFormatting>
  <conditionalFormatting sqref="T1065 T1063 R1063:R1065 S1064:S1065">
    <cfRule type="cellIs" dxfId="1481" priority="1319" stopIfTrue="1" operator="equal">
      <formula>"Fail"</formula>
    </cfRule>
    <cfRule type="cellIs" dxfId="1480" priority="1320" stopIfTrue="1" operator="equal">
      <formula>"Pass"</formula>
    </cfRule>
  </conditionalFormatting>
  <conditionalFormatting sqref="F1063:G1063 F1065:G1065 J1063:N1064">
    <cfRule type="cellIs" dxfId="1479" priority="1317" stopIfTrue="1" operator="equal">
      <formula>"Pass"</formula>
    </cfRule>
    <cfRule type="cellIs" dxfId="1478" priority="1318" stopIfTrue="1" operator="equal">
      <formula>"Fail"</formula>
    </cfRule>
  </conditionalFormatting>
  <conditionalFormatting sqref="U1065:V1065 T1063:T1065 S1064:S1065">
    <cfRule type="cellIs" dxfId="1477" priority="1315" stopIfTrue="1" operator="equal">
      <formula>"Fail"</formula>
    </cfRule>
    <cfRule type="cellIs" dxfId="1476" priority="1316" stopIfTrue="1" operator="equal">
      <formula>"Pass"</formula>
    </cfRule>
  </conditionalFormatting>
  <conditionalFormatting sqref="U1063:V1063">
    <cfRule type="cellIs" dxfId="1475" priority="1313" stopIfTrue="1" operator="equal">
      <formula>"Fail"</formula>
    </cfRule>
    <cfRule type="cellIs" dxfId="1474" priority="1314" stopIfTrue="1" operator="equal">
      <formula>"Pass"</formula>
    </cfRule>
  </conditionalFormatting>
  <conditionalFormatting sqref="F1063:G1063 J1063:N1063">
    <cfRule type="cellIs" dxfId="1473" priority="1311" stopIfTrue="1" operator="equal">
      <formula>"Pass"</formula>
    </cfRule>
    <cfRule type="cellIs" dxfId="1472" priority="1312" stopIfTrue="1" operator="equal">
      <formula>"Fail"</formula>
    </cfRule>
  </conditionalFormatting>
  <conditionalFormatting sqref="J1064:N1064">
    <cfRule type="cellIs" dxfId="1471" priority="1309" stopIfTrue="1" operator="equal">
      <formula>"Pass"</formula>
    </cfRule>
    <cfRule type="cellIs" dxfId="1470" priority="1310" stopIfTrue="1" operator="equal">
      <formula>"Fail"</formula>
    </cfRule>
  </conditionalFormatting>
  <conditionalFormatting sqref="H1063:H1064">
    <cfRule type="cellIs" dxfId="1469" priority="1307" stopIfTrue="1" operator="equal">
      <formula>"Pass"</formula>
    </cfRule>
    <cfRule type="cellIs" dxfId="1468" priority="1308" stopIfTrue="1" operator="equal">
      <formula>"Fail"</formula>
    </cfRule>
  </conditionalFormatting>
  <conditionalFormatting sqref="F1063 F1065 I1063:M1064">
    <cfRule type="cellIs" dxfId="1467" priority="1305" stopIfTrue="1" operator="equal">
      <formula>"Pass"</formula>
    </cfRule>
    <cfRule type="cellIs" dxfId="1466" priority="1306" stopIfTrue="1" operator="equal">
      <formula>"Fail"</formula>
    </cfRule>
  </conditionalFormatting>
  <conditionalFormatting sqref="T1065 T1063 R1063:R1065 S1064:S1065">
    <cfRule type="cellIs" dxfId="1465" priority="1303" stopIfTrue="1" operator="equal">
      <formula>"Fail"</formula>
    </cfRule>
    <cfRule type="cellIs" dxfId="1464" priority="1304" stopIfTrue="1" operator="equal">
      <formula>"Pass"</formula>
    </cfRule>
  </conditionalFormatting>
  <conditionalFormatting sqref="F1063:G1063 F1065:G1065 J1063:N1064">
    <cfRule type="cellIs" dxfId="1463" priority="1301" stopIfTrue="1" operator="equal">
      <formula>"Pass"</formula>
    </cfRule>
    <cfRule type="cellIs" dxfId="1462" priority="1302" stopIfTrue="1" operator="equal">
      <formula>"Fail"</formula>
    </cfRule>
  </conditionalFormatting>
  <conditionalFormatting sqref="U1065:V1065 T1063:T1065 S1064:S1065">
    <cfRule type="cellIs" dxfId="1461" priority="1299" stopIfTrue="1" operator="equal">
      <formula>"Fail"</formula>
    </cfRule>
    <cfRule type="cellIs" dxfId="1460" priority="1300" stopIfTrue="1" operator="equal">
      <formula>"Pass"</formula>
    </cfRule>
  </conditionalFormatting>
  <conditionalFormatting sqref="U1063:V1063">
    <cfRule type="cellIs" dxfId="1459" priority="1297" stopIfTrue="1" operator="equal">
      <formula>"Fail"</formula>
    </cfRule>
    <cfRule type="cellIs" dxfId="1458" priority="1298" stopIfTrue="1" operator="equal">
      <formula>"Pass"</formula>
    </cfRule>
  </conditionalFormatting>
  <conditionalFormatting sqref="F1063:G1063 J1063:N1063">
    <cfRule type="cellIs" dxfId="1457" priority="1295" stopIfTrue="1" operator="equal">
      <formula>"Pass"</formula>
    </cfRule>
    <cfRule type="cellIs" dxfId="1456" priority="1296" stopIfTrue="1" operator="equal">
      <formula>"Fail"</formula>
    </cfRule>
  </conditionalFormatting>
  <conditionalFormatting sqref="J1064:N1064">
    <cfRule type="cellIs" dxfId="1455" priority="1293" stopIfTrue="1" operator="equal">
      <formula>"Pass"</formula>
    </cfRule>
    <cfRule type="cellIs" dxfId="1454" priority="1294" stopIfTrue="1" operator="equal">
      <formula>"Fail"</formula>
    </cfRule>
  </conditionalFormatting>
  <conditionalFormatting sqref="U1063:V1063">
    <cfRule type="cellIs" dxfId="1453" priority="1291" stopIfTrue="1" operator="equal">
      <formula>"Fail"</formula>
    </cfRule>
    <cfRule type="cellIs" dxfId="1452" priority="1292" stopIfTrue="1" operator="equal">
      <formula>"Pass"</formula>
    </cfRule>
  </conditionalFormatting>
  <conditionalFormatting sqref="U1063:V1063">
    <cfRule type="cellIs" dxfId="1451" priority="1289" stopIfTrue="1" operator="equal">
      <formula>"Fail"</formula>
    </cfRule>
    <cfRule type="cellIs" dxfId="1450" priority="1290" stopIfTrue="1" operator="equal">
      <formula>"Pass"</formula>
    </cfRule>
  </conditionalFormatting>
  <conditionalFormatting sqref="U1063:V1063">
    <cfRule type="cellIs" dxfId="1449" priority="1287" stopIfTrue="1" operator="equal">
      <formula>"Fail"</formula>
    </cfRule>
    <cfRule type="cellIs" dxfId="1448" priority="1288" stopIfTrue="1" operator="equal">
      <formula>"Pass"</formula>
    </cfRule>
  </conditionalFormatting>
  <conditionalFormatting sqref="N1063">
    <cfRule type="cellIs" dxfId="1447" priority="1285" stopIfTrue="1" operator="equal">
      <formula>"Pass"</formula>
    </cfRule>
    <cfRule type="cellIs" dxfId="1446" priority="1286" stopIfTrue="1" operator="equal">
      <formula>"Fail"</formula>
    </cfRule>
  </conditionalFormatting>
  <conditionalFormatting sqref="N1063">
    <cfRule type="cellIs" dxfId="1445" priority="1283" stopIfTrue="1" operator="equal">
      <formula>"Pass"</formula>
    </cfRule>
    <cfRule type="cellIs" dxfId="1444" priority="1284" stopIfTrue="1" operator="equal">
      <formula>"Fail"</formula>
    </cfRule>
  </conditionalFormatting>
  <conditionalFormatting sqref="N1063">
    <cfRule type="cellIs" dxfId="1443" priority="1281" stopIfTrue="1" operator="equal">
      <formula>"Pass"</formula>
    </cfRule>
    <cfRule type="cellIs" dxfId="1442" priority="1282" stopIfTrue="1" operator="equal">
      <formula>"Fail"</formula>
    </cfRule>
  </conditionalFormatting>
  <conditionalFormatting sqref="A1063">
    <cfRule type="cellIs" dxfId="1441" priority="1279" stopIfTrue="1" operator="equal">
      <formula>"Pass"</formula>
    </cfRule>
    <cfRule type="cellIs" dxfId="1440" priority="1280" stopIfTrue="1" operator="equal">
      <formula>"Fail"</formula>
    </cfRule>
  </conditionalFormatting>
  <conditionalFormatting sqref="A1063">
    <cfRule type="cellIs" dxfId="1439" priority="1277" stopIfTrue="1" operator="equal">
      <formula>"Pass"</formula>
    </cfRule>
    <cfRule type="cellIs" dxfId="1438" priority="1278" stopIfTrue="1" operator="equal">
      <formula>"Fail"</formula>
    </cfRule>
  </conditionalFormatting>
  <conditionalFormatting sqref="A1063">
    <cfRule type="cellIs" dxfId="1437" priority="1275" stopIfTrue="1" operator="equal">
      <formula>"Pass"</formula>
    </cfRule>
    <cfRule type="cellIs" dxfId="1436" priority="1276" stopIfTrue="1" operator="equal">
      <formula>"Fail"</formula>
    </cfRule>
  </conditionalFormatting>
  <conditionalFormatting sqref="A1063">
    <cfRule type="cellIs" dxfId="1435" priority="1273" stopIfTrue="1" operator="equal">
      <formula>"Pass"</formula>
    </cfRule>
    <cfRule type="cellIs" dxfId="1434" priority="1274" stopIfTrue="1" operator="equal">
      <formula>"Fail"</formula>
    </cfRule>
  </conditionalFormatting>
  <conditionalFormatting sqref="A1063">
    <cfRule type="cellIs" dxfId="1433" priority="1271" stopIfTrue="1" operator="equal">
      <formula>"Pass"</formula>
    </cfRule>
    <cfRule type="cellIs" dxfId="1432" priority="1272" stopIfTrue="1" operator="equal">
      <formula>"Fail"</formula>
    </cfRule>
  </conditionalFormatting>
  <conditionalFormatting sqref="A1063">
    <cfRule type="cellIs" dxfId="1431" priority="1269" stopIfTrue="1" operator="equal">
      <formula>"Pass"</formula>
    </cfRule>
    <cfRule type="cellIs" dxfId="1430" priority="1270" stopIfTrue="1" operator="equal">
      <formula>"Fail"</formula>
    </cfRule>
  </conditionalFormatting>
  <conditionalFormatting sqref="A1063">
    <cfRule type="cellIs" dxfId="1429" priority="1267" stopIfTrue="1" operator="equal">
      <formula>"Pass"</formula>
    </cfRule>
    <cfRule type="cellIs" dxfId="1428" priority="1268" stopIfTrue="1" operator="equal">
      <formula>"Fail"</formula>
    </cfRule>
  </conditionalFormatting>
  <conditionalFormatting sqref="A1063">
    <cfRule type="cellIs" dxfId="1427" priority="1265" stopIfTrue="1" operator="equal">
      <formula>"Pass"</formula>
    </cfRule>
    <cfRule type="cellIs" dxfId="1426" priority="1266" stopIfTrue="1" operator="equal">
      <formula>"Fail"</formula>
    </cfRule>
  </conditionalFormatting>
  <conditionalFormatting sqref="A1063">
    <cfRule type="cellIs" dxfId="1425" priority="1263" stopIfTrue="1" operator="equal">
      <formula>"Pass"</formula>
    </cfRule>
    <cfRule type="cellIs" dxfId="1424" priority="1264" stopIfTrue="1" operator="equal">
      <formula>"Fail"</formula>
    </cfRule>
  </conditionalFormatting>
  <conditionalFormatting sqref="A1063">
    <cfRule type="cellIs" dxfId="1423" priority="1261" stopIfTrue="1" operator="equal">
      <formula>"Pass"</formula>
    </cfRule>
    <cfRule type="cellIs" dxfId="1422" priority="1262" stopIfTrue="1" operator="equal">
      <formula>"Fail"</formula>
    </cfRule>
  </conditionalFormatting>
  <conditionalFormatting sqref="A1063">
    <cfRule type="cellIs" dxfId="1421" priority="1259" stopIfTrue="1" operator="equal">
      <formula>"Pass"</formula>
    </cfRule>
    <cfRule type="cellIs" dxfId="1420" priority="1260" stopIfTrue="1" operator="equal">
      <formula>"Fail"</formula>
    </cfRule>
  </conditionalFormatting>
  <conditionalFormatting sqref="A1063">
    <cfRule type="cellIs" dxfId="1419" priority="1257" stopIfTrue="1" operator="equal">
      <formula>"Pass"</formula>
    </cfRule>
    <cfRule type="cellIs" dxfId="1418" priority="1258" stopIfTrue="1" operator="equal">
      <formula>"Fail"</formula>
    </cfRule>
  </conditionalFormatting>
  <conditionalFormatting sqref="A1063">
    <cfRule type="cellIs" dxfId="1417" priority="1255" stopIfTrue="1" operator="equal">
      <formula>"Pass"</formula>
    </cfRule>
    <cfRule type="cellIs" dxfId="1416" priority="1256" stopIfTrue="1" operator="equal">
      <formula>"Fail"</formula>
    </cfRule>
  </conditionalFormatting>
  <conditionalFormatting sqref="A1063">
    <cfRule type="cellIs" dxfId="1415" priority="1253" stopIfTrue="1" operator="equal">
      <formula>"Pass"</formula>
    </cfRule>
    <cfRule type="cellIs" dxfId="1414" priority="1254" stopIfTrue="1" operator="equal">
      <formula>"Fail"</formula>
    </cfRule>
  </conditionalFormatting>
  <conditionalFormatting sqref="A1063">
    <cfRule type="cellIs" dxfId="1413" priority="1251" stopIfTrue="1" operator="equal">
      <formula>"Pass"</formula>
    </cfRule>
    <cfRule type="cellIs" dxfId="1412" priority="1252" stopIfTrue="1" operator="equal">
      <formula>"Fail"</formula>
    </cfRule>
  </conditionalFormatting>
  <conditionalFormatting sqref="A1063">
    <cfRule type="cellIs" dxfId="1411" priority="1249" stopIfTrue="1" operator="equal">
      <formula>"Pass"</formula>
    </cfRule>
    <cfRule type="cellIs" dxfId="1410" priority="1250" stopIfTrue="1" operator="equal">
      <formula>"Fail"</formula>
    </cfRule>
  </conditionalFormatting>
  <conditionalFormatting sqref="A1063">
    <cfRule type="cellIs" dxfId="1409" priority="1247" stopIfTrue="1" operator="equal">
      <formula>"Pass"</formula>
    </cfRule>
    <cfRule type="cellIs" dxfId="1408" priority="1248" stopIfTrue="1" operator="equal">
      <formula>"Fail"</formula>
    </cfRule>
  </conditionalFormatting>
  <conditionalFormatting sqref="A1063">
    <cfRule type="cellIs" dxfId="1407" priority="1245" stopIfTrue="1" operator="equal">
      <formula>"Pass"</formula>
    </cfRule>
    <cfRule type="cellIs" dxfId="1406" priority="1246" stopIfTrue="1" operator="equal">
      <formula>"Fail"</formula>
    </cfRule>
  </conditionalFormatting>
  <conditionalFormatting sqref="H1063:H1064">
    <cfRule type="cellIs" dxfId="1405" priority="1243" stopIfTrue="1" operator="equal">
      <formula>"Pass"</formula>
    </cfRule>
    <cfRule type="cellIs" dxfId="1404" priority="1244" stopIfTrue="1" operator="equal">
      <formula>"Fail"</formula>
    </cfRule>
  </conditionalFormatting>
  <conditionalFormatting sqref="F1063 F1065 I1063:M1064">
    <cfRule type="cellIs" dxfId="1403" priority="1241" stopIfTrue="1" operator="equal">
      <formula>"Pass"</formula>
    </cfRule>
    <cfRule type="cellIs" dxfId="1402" priority="1242" stopIfTrue="1" operator="equal">
      <formula>"Fail"</formula>
    </cfRule>
  </conditionalFormatting>
  <conditionalFormatting sqref="T1065 T1063 R1063:R1065 S1064:S1065">
    <cfRule type="cellIs" dxfId="1401" priority="1239" stopIfTrue="1" operator="equal">
      <formula>"Fail"</formula>
    </cfRule>
    <cfRule type="cellIs" dxfId="1400" priority="1240" stopIfTrue="1" operator="equal">
      <formula>"Pass"</formula>
    </cfRule>
  </conditionalFormatting>
  <conditionalFormatting sqref="F1063:G1063 F1065:G1065 J1063:N1064">
    <cfRule type="cellIs" dxfId="1399" priority="1237" stopIfTrue="1" operator="equal">
      <formula>"Pass"</formula>
    </cfRule>
    <cfRule type="cellIs" dxfId="1398" priority="1238" stopIfTrue="1" operator="equal">
      <formula>"Fail"</formula>
    </cfRule>
  </conditionalFormatting>
  <conditionalFormatting sqref="U1065:V1065 T1063:T1065 S1064:S1065">
    <cfRule type="cellIs" dxfId="1397" priority="1235" stopIfTrue="1" operator="equal">
      <formula>"Fail"</formula>
    </cfRule>
    <cfRule type="cellIs" dxfId="1396" priority="1236" stopIfTrue="1" operator="equal">
      <formula>"Pass"</formula>
    </cfRule>
  </conditionalFormatting>
  <conditionalFormatting sqref="U1063:V1063">
    <cfRule type="cellIs" dxfId="1395" priority="1233" stopIfTrue="1" operator="equal">
      <formula>"Fail"</formula>
    </cfRule>
    <cfRule type="cellIs" dxfId="1394" priority="1234" stopIfTrue="1" operator="equal">
      <formula>"Pass"</formula>
    </cfRule>
  </conditionalFormatting>
  <conditionalFormatting sqref="F1063:G1063 J1063:N1063">
    <cfRule type="cellIs" dxfId="1393" priority="1231" stopIfTrue="1" operator="equal">
      <formula>"Pass"</formula>
    </cfRule>
    <cfRule type="cellIs" dxfId="1392" priority="1232" stopIfTrue="1" operator="equal">
      <formula>"Fail"</formula>
    </cfRule>
  </conditionalFormatting>
  <conditionalFormatting sqref="J1064:N1064">
    <cfRule type="cellIs" dxfId="1391" priority="1229" stopIfTrue="1" operator="equal">
      <formula>"Pass"</formula>
    </cfRule>
    <cfRule type="cellIs" dxfId="1390" priority="1230" stopIfTrue="1" operator="equal">
      <formula>"Fail"</formula>
    </cfRule>
  </conditionalFormatting>
  <conditionalFormatting sqref="H1063:H1064">
    <cfRule type="cellIs" dxfId="1389" priority="1227" stopIfTrue="1" operator="equal">
      <formula>"Pass"</formula>
    </cfRule>
    <cfRule type="cellIs" dxfId="1388" priority="1228" stopIfTrue="1" operator="equal">
      <formula>"Fail"</formula>
    </cfRule>
  </conditionalFormatting>
  <conditionalFormatting sqref="F1063 F1065 I1063:M1064">
    <cfRule type="cellIs" dxfId="1387" priority="1225" stopIfTrue="1" operator="equal">
      <formula>"Pass"</formula>
    </cfRule>
    <cfRule type="cellIs" dxfId="1386" priority="1226" stopIfTrue="1" operator="equal">
      <formula>"Fail"</formula>
    </cfRule>
  </conditionalFormatting>
  <conditionalFormatting sqref="T1065 T1063 R1063:R1065 S1064:S1065">
    <cfRule type="cellIs" dxfId="1385" priority="1223" stopIfTrue="1" operator="equal">
      <formula>"Fail"</formula>
    </cfRule>
    <cfRule type="cellIs" dxfId="1384" priority="1224" stopIfTrue="1" operator="equal">
      <formula>"Pass"</formula>
    </cfRule>
  </conditionalFormatting>
  <conditionalFormatting sqref="F1063:G1063 F1065:G1065 J1063:N1064">
    <cfRule type="cellIs" dxfId="1383" priority="1221" stopIfTrue="1" operator="equal">
      <formula>"Pass"</formula>
    </cfRule>
    <cfRule type="cellIs" dxfId="1382" priority="1222" stopIfTrue="1" operator="equal">
      <formula>"Fail"</formula>
    </cfRule>
  </conditionalFormatting>
  <conditionalFormatting sqref="U1065:V1065 T1063:T1065 S1064:S1065">
    <cfRule type="cellIs" dxfId="1381" priority="1219" stopIfTrue="1" operator="equal">
      <formula>"Fail"</formula>
    </cfRule>
    <cfRule type="cellIs" dxfId="1380" priority="1220" stopIfTrue="1" operator="equal">
      <formula>"Pass"</formula>
    </cfRule>
  </conditionalFormatting>
  <conditionalFormatting sqref="U1063:V1063">
    <cfRule type="cellIs" dxfId="1379" priority="1217" stopIfTrue="1" operator="equal">
      <formula>"Fail"</formula>
    </cfRule>
    <cfRule type="cellIs" dxfId="1378" priority="1218" stopIfTrue="1" operator="equal">
      <formula>"Pass"</formula>
    </cfRule>
  </conditionalFormatting>
  <conditionalFormatting sqref="F1063:G1063 J1063:N1063">
    <cfRule type="cellIs" dxfId="1377" priority="1215" stopIfTrue="1" operator="equal">
      <formula>"Pass"</formula>
    </cfRule>
    <cfRule type="cellIs" dxfId="1376" priority="1216" stopIfTrue="1" operator="equal">
      <formula>"Fail"</formula>
    </cfRule>
  </conditionalFormatting>
  <conditionalFormatting sqref="J1064:N1064">
    <cfRule type="cellIs" dxfId="1375" priority="1213" stopIfTrue="1" operator="equal">
      <formula>"Pass"</formula>
    </cfRule>
    <cfRule type="cellIs" dxfId="1374" priority="1214" stopIfTrue="1" operator="equal">
      <formula>"Fail"</formula>
    </cfRule>
  </conditionalFormatting>
  <conditionalFormatting sqref="H1063:H1064">
    <cfRule type="cellIs" dxfId="1373" priority="1211" stopIfTrue="1" operator="equal">
      <formula>"Pass"</formula>
    </cfRule>
    <cfRule type="cellIs" dxfId="1372" priority="1212" stopIfTrue="1" operator="equal">
      <formula>"Fail"</formula>
    </cfRule>
  </conditionalFormatting>
  <conditionalFormatting sqref="F1063 F1065 I1063:M1064">
    <cfRule type="cellIs" dxfId="1371" priority="1209" stopIfTrue="1" operator="equal">
      <formula>"Pass"</formula>
    </cfRule>
    <cfRule type="cellIs" dxfId="1370" priority="1210" stopIfTrue="1" operator="equal">
      <formula>"Fail"</formula>
    </cfRule>
  </conditionalFormatting>
  <conditionalFormatting sqref="T1065 T1063 R1063:R1065 S1064:S1065">
    <cfRule type="cellIs" dxfId="1369" priority="1207" stopIfTrue="1" operator="equal">
      <formula>"Fail"</formula>
    </cfRule>
    <cfRule type="cellIs" dxfId="1368" priority="1208" stopIfTrue="1" operator="equal">
      <formula>"Pass"</formula>
    </cfRule>
  </conditionalFormatting>
  <conditionalFormatting sqref="F1063:G1063 F1065:G1065 J1063:N1064">
    <cfRule type="cellIs" dxfId="1367" priority="1205" stopIfTrue="1" operator="equal">
      <formula>"Pass"</formula>
    </cfRule>
    <cfRule type="cellIs" dxfId="1366" priority="1206" stopIfTrue="1" operator="equal">
      <formula>"Fail"</formula>
    </cfRule>
  </conditionalFormatting>
  <conditionalFormatting sqref="U1065:V1065 T1063:T1065 S1064:S1065">
    <cfRule type="cellIs" dxfId="1365" priority="1203" stopIfTrue="1" operator="equal">
      <formula>"Fail"</formula>
    </cfRule>
    <cfRule type="cellIs" dxfId="1364" priority="1204" stopIfTrue="1" operator="equal">
      <formula>"Pass"</formula>
    </cfRule>
  </conditionalFormatting>
  <conditionalFormatting sqref="U1063:V1063">
    <cfRule type="cellIs" dxfId="1363" priority="1201" stopIfTrue="1" operator="equal">
      <formula>"Fail"</formula>
    </cfRule>
    <cfRule type="cellIs" dxfId="1362" priority="1202" stopIfTrue="1" operator="equal">
      <formula>"Pass"</formula>
    </cfRule>
  </conditionalFormatting>
  <conditionalFormatting sqref="F1063:G1063 J1063:N1063">
    <cfRule type="cellIs" dxfId="1361" priority="1199" stopIfTrue="1" operator="equal">
      <formula>"Pass"</formula>
    </cfRule>
    <cfRule type="cellIs" dxfId="1360" priority="1200" stopIfTrue="1" operator="equal">
      <formula>"Fail"</formula>
    </cfRule>
  </conditionalFormatting>
  <conditionalFormatting sqref="J1064:N1064">
    <cfRule type="cellIs" dxfId="1359" priority="1197" stopIfTrue="1" operator="equal">
      <formula>"Pass"</formula>
    </cfRule>
    <cfRule type="cellIs" dxfId="1358" priority="1198" stopIfTrue="1" operator="equal">
      <formula>"Fail"</formula>
    </cfRule>
  </conditionalFormatting>
  <conditionalFormatting sqref="U1063:V1063">
    <cfRule type="cellIs" dxfId="1357" priority="1195" stopIfTrue="1" operator="equal">
      <formula>"Fail"</formula>
    </cfRule>
    <cfRule type="cellIs" dxfId="1356" priority="1196" stopIfTrue="1" operator="equal">
      <formula>"Pass"</formula>
    </cfRule>
  </conditionalFormatting>
  <conditionalFormatting sqref="U1063:V1063">
    <cfRule type="cellIs" dxfId="1355" priority="1193" stopIfTrue="1" operator="equal">
      <formula>"Fail"</formula>
    </cfRule>
    <cfRule type="cellIs" dxfId="1354" priority="1194" stopIfTrue="1" operator="equal">
      <formula>"Pass"</formula>
    </cfRule>
  </conditionalFormatting>
  <conditionalFormatting sqref="U1063:V1063">
    <cfRule type="cellIs" dxfId="1353" priority="1191" stopIfTrue="1" operator="equal">
      <formula>"Fail"</formula>
    </cfRule>
    <cfRule type="cellIs" dxfId="1352" priority="1192" stopIfTrue="1" operator="equal">
      <formula>"Pass"</formula>
    </cfRule>
  </conditionalFormatting>
  <conditionalFormatting sqref="N1063">
    <cfRule type="cellIs" dxfId="1351" priority="1189" stopIfTrue="1" operator="equal">
      <formula>"Pass"</formula>
    </cfRule>
    <cfRule type="cellIs" dxfId="1350" priority="1190" stopIfTrue="1" operator="equal">
      <formula>"Fail"</formula>
    </cfRule>
  </conditionalFormatting>
  <conditionalFormatting sqref="N1063">
    <cfRule type="cellIs" dxfId="1349" priority="1187" stopIfTrue="1" operator="equal">
      <formula>"Pass"</formula>
    </cfRule>
    <cfRule type="cellIs" dxfId="1348" priority="1188" stopIfTrue="1" operator="equal">
      <formula>"Fail"</formula>
    </cfRule>
  </conditionalFormatting>
  <conditionalFormatting sqref="N1063">
    <cfRule type="cellIs" dxfId="1347" priority="1185" stopIfTrue="1" operator="equal">
      <formula>"Pass"</formula>
    </cfRule>
    <cfRule type="cellIs" dxfId="1346" priority="1186" stopIfTrue="1" operator="equal">
      <formula>"Fail"</formula>
    </cfRule>
  </conditionalFormatting>
  <conditionalFormatting sqref="U1063:V1063">
    <cfRule type="cellIs" dxfId="1345" priority="1183" stopIfTrue="1" operator="equal">
      <formula>"Fail"</formula>
    </cfRule>
    <cfRule type="cellIs" dxfId="1344" priority="1184" stopIfTrue="1" operator="equal">
      <formula>"Pass"</formula>
    </cfRule>
  </conditionalFormatting>
  <conditionalFormatting sqref="U1063:V1063">
    <cfRule type="cellIs" dxfId="1343" priority="1181" stopIfTrue="1" operator="equal">
      <formula>"Fail"</formula>
    </cfRule>
    <cfRule type="cellIs" dxfId="1342" priority="1182" stopIfTrue="1" operator="equal">
      <formula>"Pass"</formula>
    </cfRule>
  </conditionalFormatting>
  <conditionalFormatting sqref="U1063:V1063">
    <cfRule type="cellIs" dxfId="1341" priority="1179" stopIfTrue="1" operator="equal">
      <formula>"Fail"</formula>
    </cfRule>
    <cfRule type="cellIs" dxfId="1340" priority="1180" stopIfTrue="1" operator="equal">
      <formula>"Pass"</formula>
    </cfRule>
  </conditionalFormatting>
  <conditionalFormatting sqref="U1063:V1063">
    <cfRule type="cellIs" dxfId="1339" priority="1177" stopIfTrue="1" operator="equal">
      <formula>"Fail"</formula>
    </cfRule>
    <cfRule type="cellIs" dxfId="1338" priority="1178" stopIfTrue="1" operator="equal">
      <formula>"Pass"</formula>
    </cfRule>
  </conditionalFormatting>
  <conditionalFormatting sqref="T1063">
    <cfRule type="cellIs" dxfId="1337" priority="1175" stopIfTrue="1" operator="equal">
      <formula>"Fail"</formula>
    </cfRule>
    <cfRule type="cellIs" dxfId="1336" priority="1176" stopIfTrue="1" operator="equal">
      <formula>"Pass"</formula>
    </cfRule>
  </conditionalFormatting>
  <conditionalFormatting sqref="T1063">
    <cfRule type="cellIs" dxfId="1335" priority="1173" stopIfTrue="1" operator="equal">
      <formula>"Fail"</formula>
    </cfRule>
    <cfRule type="cellIs" dxfId="1334" priority="1174" stopIfTrue="1" operator="equal">
      <formula>"Pass"</formula>
    </cfRule>
  </conditionalFormatting>
  <conditionalFormatting sqref="T1063">
    <cfRule type="cellIs" dxfId="1333" priority="1171" stopIfTrue="1" operator="equal">
      <formula>"Fail"</formula>
    </cfRule>
    <cfRule type="cellIs" dxfId="1332" priority="1172" stopIfTrue="1" operator="equal">
      <formula>"Pass"</formula>
    </cfRule>
  </conditionalFormatting>
  <conditionalFormatting sqref="T1063">
    <cfRule type="cellIs" dxfId="1331" priority="1169" stopIfTrue="1" operator="equal">
      <formula>"Fail"</formula>
    </cfRule>
    <cfRule type="cellIs" dxfId="1330" priority="1170" stopIfTrue="1" operator="equal">
      <formula>"Pass"</formula>
    </cfRule>
  </conditionalFormatting>
  <conditionalFormatting sqref="T1063">
    <cfRule type="cellIs" dxfId="1329" priority="1167" stopIfTrue="1" operator="equal">
      <formula>"Fail"</formula>
    </cfRule>
    <cfRule type="cellIs" dxfId="1328" priority="1168" stopIfTrue="1" operator="equal">
      <formula>"Pass"</formula>
    </cfRule>
  </conditionalFormatting>
  <conditionalFormatting sqref="T1063">
    <cfRule type="cellIs" dxfId="1327" priority="1165" stopIfTrue="1" operator="equal">
      <formula>"Fail"</formula>
    </cfRule>
    <cfRule type="cellIs" dxfId="1326" priority="1166" stopIfTrue="1" operator="equal">
      <formula>"Pass"</formula>
    </cfRule>
  </conditionalFormatting>
  <conditionalFormatting sqref="T1063">
    <cfRule type="cellIs" dxfId="1325" priority="1163" stopIfTrue="1" operator="equal">
      <formula>"Fail"</formula>
    </cfRule>
    <cfRule type="cellIs" dxfId="1324" priority="1164" stopIfTrue="1" operator="equal">
      <formula>"Pass"</formula>
    </cfRule>
  </conditionalFormatting>
  <conditionalFormatting sqref="T1063">
    <cfRule type="cellIs" dxfId="1323" priority="1161" stopIfTrue="1" operator="equal">
      <formula>"Fail"</formula>
    </cfRule>
    <cfRule type="cellIs" dxfId="1322" priority="1162" stopIfTrue="1" operator="equal">
      <formula>"Pass"</formula>
    </cfRule>
  </conditionalFormatting>
  <conditionalFormatting sqref="T1063">
    <cfRule type="cellIs" dxfId="1321" priority="1159" stopIfTrue="1" operator="equal">
      <formula>"Fail"</formula>
    </cfRule>
    <cfRule type="cellIs" dxfId="1320" priority="1160" stopIfTrue="1" operator="equal">
      <formula>"Pass"</formula>
    </cfRule>
  </conditionalFormatting>
  <conditionalFormatting sqref="T1063">
    <cfRule type="cellIs" dxfId="1319" priority="1157" stopIfTrue="1" operator="equal">
      <formula>"Fail"</formula>
    </cfRule>
    <cfRule type="cellIs" dxfId="1318" priority="1158" stopIfTrue="1" operator="equal">
      <formula>"Pass"</formula>
    </cfRule>
  </conditionalFormatting>
  <conditionalFormatting sqref="T1063">
    <cfRule type="cellIs" dxfId="1317" priority="1155" stopIfTrue="1" operator="equal">
      <formula>"Fail"</formula>
    </cfRule>
    <cfRule type="cellIs" dxfId="1316" priority="1156" stopIfTrue="1" operator="equal">
      <formula>"Pass"</formula>
    </cfRule>
  </conditionalFormatting>
  <conditionalFormatting sqref="T1063">
    <cfRule type="cellIs" dxfId="1315" priority="1153" stopIfTrue="1" operator="equal">
      <formula>"Fail"</formula>
    </cfRule>
    <cfRule type="cellIs" dxfId="1314" priority="1154" stopIfTrue="1" operator="equal">
      <formula>"Pass"</formula>
    </cfRule>
  </conditionalFormatting>
  <conditionalFormatting sqref="T1063">
    <cfRule type="cellIs" dxfId="1313" priority="1151" stopIfTrue="1" operator="equal">
      <formula>"Fail"</formula>
    </cfRule>
    <cfRule type="cellIs" dxfId="1312" priority="1152" stopIfTrue="1" operator="equal">
      <formula>"Pass"</formula>
    </cfRule>
  </conditionalFormatting>
  <conditionalFormatting sqref="T1063">
    <cfRule type="cellIs" dxfId="1311" priority="1149" stopIfTrue="1" operator="equal">
      <formula>"Fail"</formula>
    </cfRule>
    <cfRule type="cellIs" dxfId="1310" priority="1150" stopIfTrue="1" operator="equal">
      <formula>"Pass"</formula>
    </cfRule>
  </conditionalFormatting>
  <conditionalFormatting sqref="T1063">
    <cfRule type="cellIs" dxfId="1309" priority="1147" stopIfTrue="1" operator="equal">
      <formula>"Fail"</formula>
    </cfRule>
    <cfRule type="cellIs" dxfId="1308" priority="1148" stopIfTrue="1" operator="equal">
      <formula>"Pass"</formula>
    </cfRule>
  </conditionalFormatting>
  <conditionalFormatting sqref="T1063">
    <cfRule type="cellIs" dxfId="1307" priority="1145" stopIfTrue="1" operator="equal">
      <formula>"Fail"</formula>
    </cfRule>
    <cfRule type="cellIs" dxfId="1306" priority="1146" stopIfTrue="1" operator="equal">
      <formula>"Pass"</formula>
    </cfRule>
  </conditionalFormatting>
  <conditionalFormatting sqref="T1063">
    <cfRule type="cellIs" dxfId="1305" priority="1143" stopIfTrue="1" operator="equal">
      <formula>"Fail"</formula>
    </cfRule>
    <cfRule type="cellIs" dxfId="1304" priority="1144" stopIfTrue="1" operator="equal">
      <formula>"Pass"</formula>
    </cfRule>
  </conditionalFormatting>
  <conditionalFormatting sqref="T1063">
    <cfRule type="cellIs" dxfId="1303" priority="1141" stopIfTrue="1" operator="equal">
      <formula>"Fail"</formula>
    </cfRule>
    <cfRule type="cellIs" dxfId="1302" priority="1142" stopIfTrue="1" operator="equal">
      <formula>"Pass"</formula>
    </cfRule>
  </conditionalFormatting>
  <conditionalFormatting sqref="T1063">
    <cfRule type="cellIs" dxfId="1301" priority="1139" stopIfTrue="1" operator="equal">
      <formula>"Fail"</formula>
    </cfRule>
    <cfRule type="cellIs" dxfId="1300" priority="1140" stopIfTrue="1" operator="equal">
      <formula>"Pass"</formula>
    </cfRule>
  </conditionalFormatting>
  <conditionalFormatting sqref="T1063">
    <cfRule type="cellIs" dxfId="1299" priority="1137" stopIfTrue="1" operator="equal">
      <formula>"Fail"</formula>
    </cfRule>
    <cfRule type="cellIs" dxfId="1298" priority="1138" stopIfTrue="1" operator="equal">
      <formula>"Pass"</formula>
    </cfRule>
  </conditionalFormatting>
  <conditionalFormatting sqref="T1063">
    <cfRule type="cellIs" dxfId="1297" priority="1135" stopIfTrue="1" operator="equal">
      <formula>"Fail"</formula>
    </cfRule>
    <cfRule type="cellIs" dxfId="1296" priority="1136" stopIfTrue="1" operator="equal">
      <formula>"Pass"</formula>
    </cfRule>
  </conditionalFormatting>
  <conditionalFormatting sqref="T1063">
    <cfRule type="cellIs" dxfId="1295" priority="1133" stopIfTrue="1" operator="equal">
      <formula>"Fail"</formula>
    </cfRule>
    <cfRule type="cellIs" dxfId="1294" priority="1134" stopIfTrue="1" operator="equal">
      <formula>"Pass"</formula>
    </cfRule>
  </conditionalFormatting>
  <conditionalFormatting sqref="T1063">
    <cfRule type="cellIs" dxfId="1293" priority="1131" stopIfTrue="1" operator="equal">
      <formula>"Fail"</formula>
    </cfRule>
    <cfRule type="cellIs" dxfId="1292" priority="1132" stopIfTrue="1" operator="equal">
      <formula>"Pass"</formula>
    </cfRule>
  </conditionalFormatting>
  <conditionalFormatting sqref="T1063">
    <cfRule type="cellIs" dxfId="1291" priority="1129" stopIfTrue="1" operator="equal">
      <formula>"Fail"</formula>
    </cfRule>
    <cfRule type="cellIs" dxfId="1290" priority="1130" stopIfTrue="1" operator="equal">
      <formula>"Pass"</formula>
    </cfRule>
  </conditionalFormatting>
  <conditionalFormatting sqref="A1063:A1065">
    <cfRule type="cellIs" dxfId="1289" priority="1127" stopIfTrue="1" operator="equal">
      <formula>"Pass"</formula>
    </cfRule>
    <cfRule type="cellIs" dxfId="1288" priority="1128" stopIfTrue="1" operator="equal">
      <formula>"Fail"</formula>
    </cfRule>
  </conditionalFormatting>
  <conditionalFormatting sqref="A1063:A1065">
    <cfRule type="cellIs" dxfId="1287" priority="1125" stopIfTrue="1" operator="equal">
      <formula>"Pass"</formula>
    </cfRule>
    <cfRule type="cellIs" dxfId="1286" priority="1126" stopIfTrue="1" operator="equal">
      <formula>"Fail"</formula>
    </cfRule>
  </conditionalFormatting>
  <conditionalFormatting sqref="A1063:A1065">
    <cfRule type="cellIs" dxfId="1285" priority="1123" stopIfTrue="1" operator="equal">
      <formula>"Pass"</formula>
    </cfRule>
    <cfRule type="cellIs" dxfId="1284" priority="1124" stopIfTrue="1" operator="equal">
      <formula>"Fail"</formula>
    </cfRule>
  </conditionalFormatting>
  <conditionalFormatting sqref="A1063:A1065">
    <cfRule type="cellIs" dxfId="1283" priority="1121" stopIfTrue="1" operator="equal">
      <formula>"Pass"</formula>
    </cfRule>
    <cfRule type="cellIs" dxfId="1282" priority="1122" stopIfTrue="1" operator="equal">
      <formula>"Fail"</formula>
    </cfRule>
  </conditionalFormatting>
  <conditionalFormatting sqref="A1063:A1065">
    <cfRule type="cellIs" dxfId="1281" priority="1119" stopIfTrue="1" operator="equal">
      <formula>"Pass"</formula>
    </cfRule>
    <cfRule type="cellIs" dxfId="1280" priority="1120" stopIfTrue="1" operator="equal">
      <formula>"Fail"</formula>
    </cfRule>
  </conditionalFormatting>
  <conditionalFormatting sqref="A1065">
    <cfRule type="cellIs" dxfId="1279" priority="1117" stopIfTrue="1" operator="equal">
      <formula>"Pass"</formula>
    </cfRule>
    <cfRule type="cellIs" dxfId="1278" priority="1118" stopIfTrue="1" operator="equal">
      <formula>"Fail"</formula>
    </cfRule>
  </conditionalFormatting>
  <conditionalFormatting sqref="A1063:A1065">
    <cfRule type="cellIs" dxfId="1277" priority="1115" stopIfTrue="1" operator="equal">
      <formula>"Pass"</formula>
    </cfRule>
    <cfRule type="cellIs" dxfId="1276" priority="1116" stopIfTrue="1" operator="equal">
      <formula>"Fail"</formula>
    </cfRule>
  </conditionalFormatting>
  <conditionalFormatting sqref="A1063:A1065">
    <cfRule type="cellIs" dxfId="1275" priority="1113" stopIfTrue="1" operator="equal">
      <formula>"Pass"</formula>
    </cfRule>
    <cfRule type="cellIs" dxfId="1274" priority="1114" stopIfTrue="1" operator="equal">
      <formula>"Fail"</formula>
    </cfRule>
  </conditionalFormatting>
  <conditionalFormatting sqref="A1063:A1065">
    <cfRule type="cellIs" dxfId="1273" priority="1111" stopIfTrue="1" operator="equal">
      <formula>"Pass"</formula>
    </cfRule>
    <cfRule type="cellIs" dxfId="1272" priority="1112" stopIfTrue="1" operator="equal">
      <formula>"Fail"</formula>
    </cfRule>
  </conditionalFormatting>
  <conditionalFormatting sqref="A1063:A1065">
    <cfRule type="cellIs" dxfId="1271" priority="1109" stopIfTrue="1" operator="equal">
      <formula>"Pass"</formula>
    </cfRule>
    <cfRule type="cellIs" dxfId="1270" priority="1110" stopIfTrue="1" operator="equal">
      <formula>"Fail"</formula>
    </cfRule>
  </conditionalFormatting>
  <conditionalFormatting sqref="A1063:A1065">
    <cfRule type="cellIs" dxfId="1269" priority="1107" stopIfTrue="1" operator="equal">
      <formula>"Pass"</formula>
    </cfRule>
    <cfRule type="cellIs" dxfId="1268" priority="1108" stopIfTrue="1" operator="equal">
      <formula>"Fail"</formula>
    </cfRule>
  </conditionalFormatting>
  <conditionalFormatting sqref="A1063:A1065">
    <cfRule type="cellIs" dxfId="1267" priority="1105" stopIfTrue="1" operator="equal">
      <formula>"Pass"</formula>
    </cfRule>
    <cfRule type="cellIs" dxfId="1266" priority="1106" stopIfTrue="1" operator="equal">
      <formula>"Fail"</formula>
    </cfRule>
  </conditionalFormatting>
  <conditionalFormatting sqref="A1065">
    <cfRule type="cellIs" dxfId="1265" priority="1103" stopIfTrue="1" operator="equal">
      <formula>"Pass"</formula>
    </cfRule>
    <cfRule type="cellIs" dxfId="1264" priority="1104" stopIfTrue="1" operator="equal">
      <formula>"Fail"</formula>
    </cfRule>
  </conditionalFormatting>
  <conditionalFormatting sqref="A1063:A1065">
    <cfRule type="cellIs" dxfId="1263" priority="1101" stopIfTrue="1" operator="equal">
      <formula>"Pass"</formula>
    </cfRule>
    <cfRule type="cellIs" dxfId="1262" priority="1102" stopIfTrue="1" operator="equal">
      <formula>"Fail"</formula>
    </cfRule>
  </conditionalFormatting>
  <conditionalFormatting sqref="A1063:A1065">
    <cfRule type="cellIs" dxfId="1261" priority="1099" stopIfTrue="1" operator="equal">
      <formula>"Pass"</formula>
    </cfRule>
    <cfRule type="cellIs" dxfId="1260" priority="1100" stopIfTrue="1" operator="equal">
      <formula>"Fail"</formula>
    </cfRule>
  </conditionalFormatting>
  <conditionalFormatting sqref="A1063:A1065">
    <cfRule type="cellIs" dxfId="1259" priority="1097" stopIfTrue="1" operator="equal">
      <formula>"Pass"</formula>
    </cfRule>
    <cfRule type="cellIs" dxfId="1258" priority="1098" stopIfTrue="1" operator="equal">
      <formula>"Fail"</formula>
    </cfRule>
  </conditionalFormatting>
  <conditionalFormatting sqref="A1063:A1065">
    <cfRule type="cellIs" dxfId="1257" priority="1095" stopIfTrue="1" operator="equal">
      <formula>"Pass"</formula>
    </cfRule>
    <cfRule type="cellIs" dxfId="1256" priority="1096" stopIfTrue="1" operator="equal">
      <formula>"Fail"</formula>
    </cfRule>
  </conditionalFormatting>
  <conditionalFormatting sqref="A1063:A1065">
    <cfRule type="cellIs" dxfId="1255" priority="1093" stopIfTrue="1" operator="equal">
      <formula>"Pass"</formula>
    </cfRule>
    <cfRule type="cellIs" dxfId="1254" priority="1094" stopIfTrue="1" operator="equal">
      <formula>"Fail"</formula>
    </cfRule>
  </conditionalFormatting>
  <conditionalFormatting sqref="A1063:A1065">
    <cfRule type="cellIs" dxfId="1253" priority="1091" stopIfTrue="1" operator="equal">
      <formula>"Pass"</formula>
    </cfRule>
    <cfRule type="cellIs" dxfId="1252" priority="1092" stopIfTrue="1" operator="equal">
      <formula>"Fail"</formula>
    </cfRule>
  </conditionalFormatting>
  <conditionalFormatting sqref="A1065">
    <cfRule type="cellIs" dxfId="1251" priority="1089" stopIfTrue="1" operator="equal">
      <formula>"Pass"</formula>
    </cfRule>
    <cfRule type="cellIs" dxfId="1250" priority="1090" stopIfTrue="1" operator="equal">
      <formula>"Fail"</formula>
    </cfRule>
  </conditionalFormatting>
  <conditionalFormatting sqref="A1063:A1065">
    <cfRule type="cellIs" dxfId="1249" priority="1087" stopIfTrue="1" operator="equal">
      <formula>"Pass"</formula>
    </cfRule>
    <cfRule type="cellIs" dxfId="1248" priority="1088" stopIfTrue="1" operator="equal">
      <formula>"Fail"</formula>
    </cfRule>
  </conditionalFormatting>
  <conditionalFormatting sqref="A1063:A1065">
    <cfRule type="cellIs" dxfId="1247" priority="1085" stopIfTrue="1" operator="equal">
      <formula>"Pass"</formula>
    </cfRule>
    <cfRule type="cellIs" dxfId="1246" priority="1086" stopIfTrue="1" operator="equal">
      <formula>"Fail"</formula>
    </cfRule>
  </conditionalFormatting>
  <conditionalFormatting sqref="A1063:A1065">
    <cfRule type="cellIs" dxfId="1245" priority="1083" stopIfTrue="1" operator="equal">
      <formula>"Pass"</formula>
    </cfRule>
    <cfRule type="cellIs" dxfId="1244" priority="1084" stopIfTrue="1" operator="equal">
      <formula>"Fail"</formula>
    </cfRule>
  </conditionalFormatting>
  <conditionalFormatting sqref="A1063:A1065">
    <cfRule type="cellIs" dxfId="1243" priority="1081" stopIfTrue="1" operator="equal">
      <formula>"Pass"</formula>
    </cfRule>
    <cfRule type="cellIs" dxfId="1242" priority="1082" stopIfTrue="1" operator="equal">
      <formula>"Fail"</formula>
    </cfRule>
  </conditionalFormatting>
  <conditionalFormatting sqref="A1063:A1065">
    <cfRule type="cellIs" dxfId="1241" priority="1079" stopIfTrue="1" operator="equal">
      <formula>"Pass"</formula>
    </cfRule>
    <cfRule type="cellIs" dxfId="1240" priority="1080" stopIfTrue="1" operator="equal">
      <formula>"Fail"</formula>
    </cfRule>
  </conditionalFormatting>
  <conditionalFormatting sqref="A1063:A1065">
    <cfRule type="cellIs" dxfId="1239" priority="1077" stopIfTrue="1" operator="equal">
      <formula>"Pass"</formula>
    </cfRule>
    <cfRule type="cellIs" dxfId="1238" priority="1078" stopIfTrue="1" operator="equal">
      <formula>"Fail"</formula>
    </cfRule>
  </conditionalFormatting>
  <conditionalFormatting sqref="A1065">
    <cfRule type="cellIs" dxfId="1237" priority="1075" stopIfTrue="1" operator="equal">
      <formula>"Pass"</formula>
    </cfRule>
    <cfRule type="cellIs" dxfId="1236" priority="1076" stopIfTrue="1" operator="equal">
      <formula>"Fail"</formula>
    </cfRule>
  </conditionalFormatting>
  <conditionalFormatting sqref="A1063:A1065">
    <cfRule type="cellIs" dxfId="1235" priority="1073" stopIfTrue="1" operator="equal">
      <formula>"Pass"</formula>
    </cfRule>
    <cfRule type="cellIs" dxfId="1234" priority="1074" stopIfTrue="1" operator="equal">
      <formula>"Fail"</formula>
    </cfRule>
  </conditionalFormatting>
  <conditionalFormatting sqref="A1063:A1065">
    <cfRule type="cellIs" dxfId="1233" priority="1071" stopIfTrue="1" operator="equal">
      <formula>"Pass"</formula>
    </cfRule>
    <cfRule type="cellIs" dxfId="1232" priority="1072" stopIfTrue="1" operator="equal">
      <formula>"Fail"</formula>
    </cfRule>
  </conditionalFormatting>
  <conditionalFormatting sqref="A1063:A1065">
    <cfRule type="cellIs" dxfId="1231" priority="1069" stopIfTrue="1" operator="equal">
      <formula>"Pass"</formula>
    </cfRule>
    <cfRule type="cellIs" dxfId="1230" priority="1070" stopIfTrue="1" operator="equal">
      <formula>"Fail"</formula>
    </cfRule>
  </conditionalFormatting>
  <conditionalFormatting sqref="A1063:A1065">
    <cfRule type="cellIs" dxfId="1229" priority="1067" stopIfTrue="1" operator="equal">
      <formula>"Pass"</formula>
    </cfRule>
    <cfRule type="cellIs" dxfId="1228" priority="1068" stopIfTrue="1" operator="equal">
      <formula>"Fail"</formula>
    </cfRule>
  </conditionalFormatting>
  <conditionalFormatting sqref="A1063:A1065">
    <cfRule type="cellIs" dxfId="1227" priority="1065" stopIfTrue="1" operator="equal">
      <formula>"Pass"</formula>
    </cfRule>
    <cfRule type="cellIs" dxfId="1226" priority="1066" stopIfTrue="1" operator="equal">
      <formula>"Fail"</formula>
    </cfRule>
  </conditionalFormatting>
  <conditionalFormatting sqref="A1063:A1065">
    <cfRule type="cellIs" dxfId="1225" priority="1063" stopIfTrue="1" operator="equal">
      <formula>"Pass"</formula>
    </cfRule>
    <cfRule type="cellIs" dxfId="1224" priority="1064" stopIfTrue="1" operator="equal">
      <formula>"Fail"</formula>
    </cfRule>
  </conditionalFormatting>
  <conditionalFormatting sqref="A1065">
    <cfRule type="cellIs" dxfId="1223" priority="1061" stopIfTrue="1" operator="equal">
      <formula>"Pass"</formula>
    </cfRule>
    <cfRule type="cellIs" dxfId="1222" priority="1062" stopIfTrue="1" operator="equal">
      <formula>"Fail"</formula>
    </cfRule>
  </conditionalFormatting>
  <conditionalFormatting sqref="A1063:A1065">
    <cfRule type="cellIs" dxfId="1221" priority="1059" stopIfTrue="1" operator="equal">
      <formula>"Pass"</formula>
    </cfRule>
    <cfRule type="cellIs" dxfId="1220" priority="1060" stopIfTrue="1" operator="equal">
      <formula>"Fail"</formula>
    </cfRule>
  </conditionalFormatting>
  <conditionalFormatting sqref="A1063:A1065">
    <cfRule type="cellIs" dxfId="1219" priority="1057" stopIfTrue="1" operator="equal">
      <formula>"Pass"</formula>
    </cfRule>
    <cfRule type="cellIs" dxfId="1218" priority="1058" stopIfTrue="1" operator="equal">
      <formula>"Fail"</formula>
    </cfRule>
  </conditionalFormatting>
  <conditionalFormatting sqref="A1063:A1065">
    <cfRule type="cellIs" dxfId="1217" priority="1055" stopIfTrue="1" operator="equal">
      <formula>"Pass"</formula>
    </cfRule>
    <cfRule type="cellIs" dxfId="1216" priority="1056" stopIfTrue="1" operator="equal">
      <formula>"Fail"</formula>
    </cfRule>
  </conditionalFormatting>
  <conditionalFormatting sqref="A1063:A1065">
    <cfRule type="cellIs" dxfId="1215" priority="1053" stopIfTrue="1" operator="equal">
      <formula>"Pass"</formula>
    </cfRule>
    <cfRule type="cellIs" dxfId="1214" priority="1054" stopIfTrue="1" operator="equal">
      <formula>"Fail"</formula>
    </cfRule>
  </conditionalFormatting>
  <conditionalFormatting sqref="A1063:A1065">
    <cfRule type="cellIs" dxfId="1213" priority="1051" stopIfTrue="1" operator="equal">
      <formula>"Pass"</formula>
    </cfRule>
    <cfRule type="cellIs" dxfId="1212" priority="1052" stopIfTrue="1" operator="equal">
      <formula>"Fail"</formula>
    </cfRule>
  </conditionalFormatting>
  <conditionalFormatting sqref="A1063:A1065">
    <cfRule type="cellIs" dxfId="1211" priority="1049" stopIfTrue="1" operator="equal">
      <formula>"Pass"</formula>
    </cfRule>
    <cfRule type="cellIs" dxfId="1210" priority="1050" stopIfTrue="1" operator="equal">
      <formula>"Fail"</formula>
    </cfRule>
  </conditionalFormatting>
  <conditionalFormatting sqref="A1065">
    <cfRule type="cellIs" dxfId="1209" priority="1047" stopIfTrue="1" operator="equal">
      <formula>"Pass"</formula>
    </cfRule>
    <cfRule type="cellIs" dxfId="1208" priority="1048" stopIfTrue="1" operator="equal">
      <formula>"Fail"</formula>
    </cfRule>
  </conditionalFormatting>
  <conditionalFormatting sqref="A1063:A1065">
    <cfRule type="cellIs" dxfId="1207" priority="1045" stopIfTrue="1" operator="equal">
      <formula>"Pass"</formula>
    </cfRule>
    <cfRule type="cellIs" dxfId="1206" priority="1046" stopIfTrue="1" operator="equal">
      <formula>"Fail"</formula>
    </cfRule>
  </conditionalFormatting>
  <conditionalFormatting sqref="A1063">
    <cfRule type="cellIs" dxfId="1205" priority="1043" stopIfTrue="1" operator="equal">
      <formula>"Pass"</formula>
    </cfRule>
    <cfRule type="cellIs" dxfId="1204" priority="1044" stopIfTrue="1" operator="equal">
      <formula>"Fail"</formula>
    </cfRule>
  </conditionalFormatting>
  <conditionalFormatting sqref="A1063">
    <cfRule type="cellIs" dxfId="1203" priority="1041" stopIfTrue="1" operator="equal">
      <formula>"Pass"</formula>
    </cfRule>
    <cfRule type="cellIs" dxfId="1202" priority="1042" stopIfTrue="1" operator="equal">
      <formula>"Fail"</formula>
    </cfRule>
  </conditionalFormatting>
  <conditionalFormatting sqref="A1063">
    <cfRule type="cellIs" dxfId="1201" priority="1039" stopIfTrue="1" operator="equal">
      <formula>"Pass"</formula>
    </cfRule>
    <cfRule type="cellIs" dxfId="1200" priority="1040" stopIfTrue="1" operator="equal">
      <formula>"Fail"</formula>
    </cfRule>
  </conditionalFormatting>
  <conditionalFormatting sqref="A1063">
    <cfRule type="cellIs" dxfId="1199" priority="1037" stopIfTrue="1" operator="equal">
      <formula>"Pass"</formula>
    </cfRule>
    <cfRule type="cellIs" dxfId="1198" priority="1038" stopIfTrue="1" operator="equal">
      <formula>"Fail"</formula>
    </cfRule>
  </conditionalFormatting>
  <conditionalFormatting sqref="A1063">
    <cfRule type="cellIs" dxfId="1197" priority="1035" stopIfTrue="1" operator="equal">
      <formula>"Pass"</formula>
    </cfRule>
    <cfRule type="cellIs" dxfId="1196" priority="1036" stopIfTrue="1" operator="equal">
      <formula>"Fail"</formula>
    </cfRule>
  </conditionalFormatting>
  <conditionalFormatting sqref="A1063">
    <cfRule type="cellIs" dxfId="1195" priority="1033" stopIfTrue="1" operator="equal">
      <formula>"Pass"</formula>
    </cfRule>
    <cfRule type="cellIs" dxfId="1194" priority="1034" stopIfTrue="1" operator="equal">
      <formula>"Fail"</formula>
    </cfRule>
  </conditionalFormatting>
  <conditionalFormatting sqref="H1063:H1064">
    <cfRule type="cellIs" dxfId="1193" priority="1031" stopIfTrue="1" operator="equal">
      <formula>"Pass"</formula>
    </cfRule>
    <cfRule type="cellIs" dxfId="1192" priority="1032" stopIfTrue="1" operator="equal">
      <formula>"Fail"</formula>
    </cfRule>
  </conditionalFormatting>
  <conditionalFormatting sqref="E1063:F1063 E1065:F1065 A1063 I1063:M1064">
    <cfRule type="cellIs" dxfId="1191" priority="1029" stopIfTrue="1" operator="equal">
      <formula>"Pass"</formula>
    </cfRule>
    <cfRule type="cellIs" dxfId="1190" priority="1030" stopIfTrue="1" operator="equal">
      <formula>"Fail"</formula>
    </cfRule>
  </conditionalFormatting>
  <conditionalFormatting sqref="T1065 T1063 R1063:R1065 S1064:S1065">
    <cfRule type="cellIs" dxfId="1189" priority="1027" stopIfTrue="1" operator="equal">
      <formula>"Fail"</formula>
    </cfRule>
    <cfRule type="cellIs" dxfId="1188" priority="1028" stopIfTrue="1" operator="equal">
      <formula>"Pass"</formula>
    </cfRule>
  </conditionalFormatting>
  <conditionalFormatting sqref="F1063:G1063 F1065:G1065 B1063:B1065 A1063 J1063:N1064">
    <cfRule type="cellIs" dxfId="1187" priority="1025" stopIfTrue="1" operator="equal">
      <formula>"Pass"</formula>
    </cfRule>
    <cfRule type="cellIs" dxfId="1186" priority="1026" stopIfTrue="1" operator="equal">
      <formula>"Fail"</formula>
    </cfRule>
  </conditionalFormatting>
  <conditionalFormatting sqref="U1065:V1065 T1063:T1065 S1064:S1065">
    <cfRule type="cellIs" dxfId="1185" priority="1023" stopIfTrue="1" operator="equal">
      <formula>"Fail"</formula>
    </cfRule>
    <cfRule type="cellIs" dxfId="1184" priority="1024" stopIfTrue="1" operator="equal">
      <formula>"Pass"</formula>
    </cfRule>
  </conditionalFormatting>
  <conditionalFormatting sqref="A1063">
    <cfRule type="cellIs" dxfId="1183" priority="1021" stopIfTrue="1" operator="equal">
      <formula>"Pass"</formula>
    </cfRule>
    <cfRule type="cellIs" dxfId="1182" priority="1022" stopIfTrue="1" operator="equal">
      <formula>"Fail"</formula>
    </cfRule>
  </conditionalFormatting>
  <conditionalFormatting sqref="A1063">
    <cfRule type="cellIs" dxfId="1181" priority="1019" stopIfTrue="1" operator="equal">
      <formula>"Pass"</formula>
    </cfRule>
    <cfRule type="cellIs" dxfId="1180" priority="1020" stopIfTrue="1" operator="equal">
      <formula>"Fail"</formula>
    </cfRule>
  </conditionalFormatting>
  <conditionalFormatting sqref="A1063">
    <cfRule type="cellIs" dxfId="1179" priority="1017" stopIfTrue="1" operator="equal">
      <formula>"Pass"</formula>
    </cfRule>
    <cfRule type="cellIs" dxfId="1178" priority="1018" stopIfTrue="1" operator="equal">
      <formula>"Fail"</formula>
    </cfRule>
  </conditionalFormatting>
  <conditionalFormatting sqref="A1063">
    <cfRule type="cellIs" dxfId="1177" priority="1015" stopIfTrue="1" operator="equal">
      <formula>"Pass"</formula>
    </cfRule>
    <cfRule type="cellIs" dxfId="1176" priority="1016" stopIfTrue="1" operator="equal">
      <formula>"Fail"</formula>
    </cfRule>
  </conditionalFormatting>
  <conditionalFormatting sqref="A1063">
    <cfRule type="cellIs" dxfId="1175" priority="1013" stopIfTrue="1" operator="equal">
      <formula>"Pass"</formula>
    </cfRule>
    <cfRule type="cellIs" dxfId="1174" priority="1014" stopIfTrue="1" operator="equal">
      <formula>"Fail"</formula>
    </cfRule>
  </conditionalFormatting>
  <conditionalFormatting sqref="A1063">
    <cfRule type="cellIs" dxfId="1173" priority="1011" stopIfTrue="1" operator="equal">
      <formula>"Pass"</formula>
    </cfRule>
    <cfRule type="cellIs" dxfId="1172" priority="1012" stopIfTrue="1" operator="equal">
      <formula>"Fail"</formula>
    </cfRule>
  </conditionalFormatting>
  <conditionalFormatting sqref="A1063">
    <cfRule type="cellIs" dxfId="1171" priority="1009" stopIfTrue="1" operator="equal">
      <formula>"Pass"</formula>
    </cfRule>
    <cfRule type="cellIs" dxfId="1170" priority="1010" stopIfTrue="1" operator="equal">
      <formula>"Fail"</formula>
    </cfRule>
  </conditionalFormatting>
  <conditionalFormatting sqref="A1063">
    <cfRule type="cellIs" dxfId="1169" priority="1007" stopIfTrue="1" operator="equal">
      <formula>"Pass"</formula>
    </cfRule>
    <cfRule type="cellIs" dxfId="1168" priority="1008" stopIfTrue="1" operator="equal">
      <formula>"Fail"</formula>
    </cfRule>
  </conditionalFormatting>
  <conditionalFormatting sqref="A1063">
    <cfRule type="cellIs" dxfId="1167" priority="1005" stopIfTrue="1" operator="equal">
      <formula>"Pass"</formula>
    </cfRule>
    <cfRule type="cellIs" dxfId="1166" priority="1006" stopIfTrue="1" operator="equal">
      <formula>"Fail"</formula>
    </cfRule>
  </conditionalFormatting>
  <conditionalFormatting sqref="A1063">
    <cfRule type="cellIs" dxfId="1165" priority="1003" stopIfTrue="1" operator="equal">
      <formula>"Pass"</formula>
    </cfRule>
    <cfRule type="cellIs" dxfId="1164" priority="1004" stopIfTrue="1" operator="equal">
      <formula>"Fail"</formula>
    </cfRule>
  </conditionalFormatting>
  <conditionalFormatting sqref="U1063:V1063">
    <cfRule type="cellIs" dxfId="1163" priority="1001" stopIfTrue="1" operator="equal">
      <formula>"Fail"</formula>
    </cfRule>
    <cfRule type="cellIs" dxfId="1162" priority="1002" stopIfTrue="1" operator="equal">
      <formula>"Pass"</formula>
    </cfRule>
  </conditionalFormatting>
  <conditionalFormatting sqref="F1063:G1063 J1063:N1063">
    <cfRule type="cellIs" dxfId="1161" priority="999" stopIfTrue="1" operator="equal">
      <formula>"Pass"</formula>
    </cfRule>
    <cfRule type="cellIs" dxfId="1160" priority="1000" stopIfTrue="1" operator="equal">
      <formula>"Fail"</formula>
    </cfRule>
  </conditionalFormatting>
  <conditionalFormatting sqref="J1064:N1064">
    <cfRule type="cellIs" dxfId="1159" priority="997" stopIfTrue="1" operator="equal">
      <formula>"Pass"</formula>
    </cfRule>
    <cfRule type="cellIs" dxfId="1158" priority="998" stopIfTrue="1" operator="equal">
      <formula>"Fail"</formula>
    </cfRule>
  </conditionalFormatting>
  <conditionalFormatting sqref="A1063">
    <cfRule type="cellIs" dxfId="1157" priority="995" stopIfTrue="1" operator="equal">
      <formula>"Pass"</formula>
    </cfRule>
    <cfRule type="cellIs" dxfId="1156" priority="996" stopIfTrue="1" operator="equal">
      <formula>"Fail"</formula>
    </cfRule>
  </conditionalFormatting>
  <conditionalFormatting sqref="A1063">
    <cfRule type="cellIs" dxfId="1155" priority="993" stopIfTrue="1" operator="equal">
      <formula>"Pass"</formula>
    </cfRule>
    <cfRule type="cellIs" dxfId="1154" priority="994" stopIfTrue="1" operator="equal">
      <formula>"Fail"</formula>
    </cfRule>
  </conditionalFormatting>
  <conditionalFormatting sqref="A1063">
    <cfRule type="cellIs" dxfId="1153" priority="991" stopIfTrue="1" operator="equal">
      <formula>"Pass"</formula>
    </cfRule>
    <cfRule type="cellIs" dxfId="1152" priority="992" stopIfTrue="1" operator="equal">
      <formula>"Fail"</formula>
    </cfRule>
  </conditionalFormatting>
  <conditionalFormatting sqref="A1063">
    <cfRule type="cellIs" dxfId="1151" priority="989" stopIfTrue="1" operator="equal">
      <formula>"Pass"</formula>
    </cfRule>
    <cfRule type="cellIs" dxfId="1150" priority="990" stopIfTrue="1" operator="equal">
      <formula>"Fail"</formula>
    </cfRule>
  </conditionalFormatting>
  <conditionalFormatting sqref="A1063">
    <cfRule type="cellIs" dxfId="1149" priority="987" stopIfTrue="1" operator="equal">
      <formula>"Pass"</formula>
    </cfRule>
    <cfRule type="cellIs" dxfId="1148" priority="988" stopIfTrue="1" operator="equal">
      <formula>"Fail"</formula>
    </cfRule>
  </conditionalFormatting>
  <conditionalFormatting sqref="A1063">
    <cfRule type="cellIs" dxfId="1147" priority="985" stopIfTrue="1" operator="equal">
      <formula>"Pass"</formula>
    </cfRule>
    <cfRule type="cellIs" dxfId="1146" priority="986" stopIfTrue="1" operator="equal">
      <formula>"Fail"</formula>
    </cfRule>
  </conditionalFormatting>
  <conditionalFormatting sqref="A1063">
    <cfRule type="cellIs" dxfId="1145" priority="983" stopIfTrue="1" operator="equal">
      <formula>"Pass"</formula>
    </cfRule>
    <cfRule type="cellIs" dxfId="1144" priority="984" stopIfTrue="1" operator="equal">
      <formula>"Fail"</formula>
    </cfRule>
  </conditionalFormatting>
  <conditionalFormatting sqref="A1063">
    <cfRule type="cellIs" dxfId="1143" priority="981" stopIfTrue="1" operator="equal">
      <formula>"Pass"</formula>
    </cfRule>
    <cfRule type="cellIs" dxfId="1142" priority="982" stopIfTrue="1" operator="equal">
      <formula>"Fail"</formula>
    </cfRule>
  </conditionalFormatting>
  <conditionalFormatting sqref="A1063">
    <cfRule type="cellIs" dxfId="1141" priority="979" stopIfTrue="1" operator="equal">
      <formula>"Pass"</formula>
    </cfRule>
    <cfRule type="cellIs" dxfId="1140" priority="980" stopIfTrue="1" operator="equal">
      <formula>"Fail"</formula>
    </cfRule>
  </conditionalFormatting>
  <conditionalFormatting sqref="A1063">
    <cfRule type="cellIs" dxfId="1139" priority="977" stopIfTrue="1" operator="equal">
      <formula>"Pass"</formula>
    </cfRule>
    <cfRule type="cellIs" dxfId="1138" priority="978" stopIfTrue="1" operator="equal">
      <formula>"Fail"</formula>
    </cfRule>
  </conditionalFormatting>
  <conditionalFormatting sqref="A1063">
    <cfRule type="cellIs" dxfId="1137" priority="975" stopIfTrue="1" operator="equal">
      <formula>"Pass"</formula>
    </cfRule>
    <cfRule type="cellIs" dxfId="1136" priority="976" stopIfTrue="1" operator="equal">
      <formula>"Fail"</formula>
    </cfRule>
  </conditionalFormatting>
  <conditionalFormatting sqref="A1063">
    <cfRule type="cellIs" dxfId="1135" priority="973" stopIfTrue="1" operator="equal">
      <formula>"Pass"</formula>
    </cfRule>
    <cfRule type="cellIs" dxfId="1134" priority="974" stopIfTrue="1" operator="equal">
      <formula>"Fail"</formula>
    </cfRule>
  </conditionalFormatting>
  <conditionalFormatting sqref="H1063:H1064">
    <cfRule type="cellIs" dxfId="1133" priority="971" stopIfTrue="1" operator="equal">
      <formula>"Pass"</formula>
    </cfRule>
    <cfRule type="cellIs" dxfId="1132" priority="972" stopIfTrue="1" operator="equal">
      <formula>"Fail"</formula>
    </cfRule>
  </conditionalFormatting>
  <conditionalFormatting sqref="F1063 F1065 I1063:M1064">
    <cfRule type="cellIs" dxfId="1131" priority="969" stopIfTrue="1" operator="equal">
      <formula>"Pass"</formula>
    </cfRule>
    <cfRule type="cellIs" dxfId="1130" priority="970" stopIfTrue="1" operator="equal">
      <formula>"Fail"</formula>
    </cfRule>
  </conditionalFormatting>
  <conditionalFormatting sqref="T1065 T1063 R1063:R1065 S1064:S1065">
    <cfRule type="cellIs" dxfId="1129" priority="967" stopIfTrue="1" operator="equal">
      <formula>"Fail"</formula>
    </cfRule>
    <cfRule type="cellIs" dxfId="1128" priority="968" stopIfTrue="1" operator="equal">
      <formula>"Pass"</formula>
    </cfRule>
  </conditionalFormatting>
  <conditionalFormatting sqref="F1063:G1063 F1065:G1065 J1063:N1064">
    <cfRule type="cellIs" dxfId="1127" priority="965" stopIfTrue="1" operator="equal">
      <formula>"Pass"</formula>
    </cfRule>
    <cfRule type="cellIs" dxfId="1126" priority="966" stopIfTrue="1" operator="equal">
      <formula>"Fail"</formula>
    </cfRule>
  </conditionalFormatting>
  <conditionalFormatting sqref="U1065:V1065 T1063:T1065 S1064:S1065">
    <cfRule type="cellIs" dxfId="1125" priority="963" stopIfTrue="1" operator="equal">
      <formula>"Fail"</formula>
    </cfRule>
    <cfRule type="cellIs" dxfId="1124" priority="964" stopIfTrue="1" operator="equal">
      <formula>"Pass"</formula>
    </cfRule>
  </conditionalFormatting>
  <conditionalFormatting sqref="U1063:V1063">
    <cfRule type="cellIs" dxfId="1123" priority="961" stopIfTrue="1" operator="equal">
      <formula>"Fail"</formula>
    </cfRule>
    <cfRule type="cellIs" dxfId="1122" priority="962" stopIfTrue="1" operator="equal">
      <formula>"Pass"</formula>
    </cfRule>
  </conditionalFormatting>
  <conditionalFormatting sqref="F1063:G1063 J1063:N1063">
    <cfRule type="cellIs" dxfId="1121" priority="959" stopIfTrue="1" operator="equal">
      <formula>"Pass"</formula>
    </cfRule>
    <cfRule type="cellIs" dxfId="1120" priority="960" stopIfTrue="1" operator="equal">
      <formula>"Fail"</formula>
    </cfRule>
  </conditionalFormatting>
  <conditionalFormatting sqref="J1064:N1064">
    <cfRule type="cellIs" dxfId="1119" priority="957" stopIfTrue="1" operator="equal">
      <formula>"Pass"</formula>
    </cfRule>
    <cfRule type="cellIs" dxfId="1118" priority="958" stopIfTrue="1" operator="equal">
      <formula>"Fail"</formula>
    </cfRule>
  </conditionalFormatting>
  <conditionalFormatting sqref="H1063:H1064">
    <cfRule type="cellIs" dxfId="1117" priority="955" stopIfTrue="1" operator="equal">
      <formula>"Pass"</formula>
    </cfRule>
    <cfRule type="cellIs" dxfId="1116" priority="956" stopIfTrue="1" operator="equal">
      <formula>"Fail"</formula>
    </cfRule>
  </conditionalFormatting>
  <conditionalFormatting sqref="F1063 F1065 I1063:M1064">
    <cfRule type="cellIs" dxfId="1115" priority="953" stopIfTrue="1" operator="equal">
      <formula>"Pass"</formula>
    </cfRule>
    <cfRule type="cellIs" dxfId="1114" priority="954" stopIfTrue="1" operator="equal">
      <formula>"Fail"</formula>
    </cfRule>
  </conditionalFormatting>
  <conditionalFormatting sqref="T1065 T1063 R1063:R1065 S1064:S1065">
    <cfRule type="cellIs" dxfId="1113" priority="951" stopIfTrue="1" operator="equal">
      <formula>"Fail"</formula>
    </cfRule>
    <cfRule type="cellIs" dxfId="1112" priority="952" stopIfTrue="1" operator="equal">
      <formula>"Pass"</formula>
    </cfRule>
  </conditionalFormatting>
  <conditionalFormatting sqref="F1063:G1063 F1065:G1065 J1063:N1064">
    <cfRule type="cellIs" dxfId="1111" priority="949" stopIfTrue="1" operator="equal">
      <formula>"Pass"</formula>
    </cfRule>
    <cfRule type="cellIs" dxfId="1110" priority="950" stopIfTrue="1" operator="equal">
      <formula>"Fail"</formula>
    </cfRule>
  </conditionalFormatting>
  <conditionalFormatting sqref="U1065:V1065 T1063:T1065 S1064:S1065">
    <cfRule type="cellIs" dxfId="1109" priority="947" stopIfTrue="1" operator="equal">
      <formula>"Fail"</formula>
    </cfRule>
    <cfRule type="cellIs" dxfId="1108" priority="948" stopIfTrue="1" operator="equal">
      <formula>"Pass"</formula>
    </cfRule>
  </conditionalFormatting>
  <conditionalFormatting sqref="U1063:V1063">
    <cfRule type="cellIs" dxfId="1107" priority="945" stopIfTrue="1" operator="equal">
      <formula>"Fail"</formula>
    </cfRule>
    <cfRule type="cellIs" dxfId="1106" priority="946" stopIfTrue="1" operator="equal">
      <formula>"Pass"</formula>
    </cfRule>
  </conditionalFormatting>
  <conditionalFormatting sqref="F1063:G1063 J1063:N1063">
    <cfRule type="cellIs" dxfId="1105" priority="943" stopIfTrue="1" operator="equal">
      <formula>"Pass"</formula>
    </cfRule>
    <cfRule type="cellIs" dxfId="1104" priority="944" stopIfTrue="1" operator="equal">
      <formula>"Fail"</formula>
    </cfRule>
  </conditionalFormatting>
  <conditionalFormatting sqref="J1064:N1064">
    <cfRule type="cellIs" dxfId="1103" priority="941" stopIfTrue="1" operator="equal">
      <formula>"Pass"</formula>
    </cfRule>
    <cfRule type="cellIs" dxfId="1102" priority="942" stopIfTrue="1" operator="equal">
      <formula>"Fail"</formula>
    </cfRule>
  </conditionalFormatting>
  <conditionalFormatting sqref="U1063:V1063">
    <cfRule type="cellIs" dxfId="1101" priority="939" stopIfTrue="1" operator="equal">
      <formula>"Fail"</formula>
    </cfRule>
    <cfRule type="cellIs" dxfId="1100" priority="940" stopIfTrue="1" operator="equal">
      <formula>"Pass"</formula>
    </cfRule>
  </conditionalFormatting>
  <conditionalFormatting sqref="U1063:V1063">
    <cfRule type="cellIs" dxfId="1099" priority="937" stopIfTrue="1" operator="equal">
      <formula>"Fail"</formula>
    </cfRule>
    <cfRule type="cellIs" dxfId="1098" priority="938" stopIfTrue="1" operator="equal">
      <formula>"Pass"</formula>
    </cfRule>
  </conditionalFormatting>
  <conditionalFormatting sqref="U1063:V1063">
    <cfRule type="cellIs" dxfId="1097" priority="935" stopIfTrue="1" operator="equal">
      <formula>"Fail"</formula>
    </cfRule>
    <cfRule type="cellIs" dxfId="1096" priority="936" stopIfTrue="1" operator="equal">
      <formula>"Pass"</formula>
    </cfRule>
  </conditionalFormatting>
  <conditionalFormatting sqref="N1063">
    <cfRule type="cellIs" dxfId="1095" priority="933" stopIfTrue="1" operator="equal">
      <formula>"Pass"</formula>
    </cfRule>
    <cfRule type="cellIs" dxfId="1094" priority="934" stopIfTrue="1" operator="equal">
      <formula>"Fail"</formula>
    </cfRule>
  </conditionalFormatting>
  <conditionalFormatting sqref="N1063">
    <cfRule type="cellIs" dxfId="1093" priority="931" stopIfTrue="1" operator="equal">
      <formula>"Pass"</formula>
    </cfRule>
    <cfRule type="cellIs" dxfId="1092" priority="932" stopIfTrue="1" operator="equal">
      <formula>"Fail"</formula>
    </cfRule>
  </conditionalFormatting>
  <conditionalFormatting sqref="N1063">
    <cfRule type="cellIs" dxfId="1091" priority="929" stopIfTrue="1" operator="equal">
      <formula>"Pass"</formula>
    </cfRule>
    <cfRule type="cellIs" dxfId="1090" priority="930" stopIfTrue="1" operator="equal">
      <formula>"Fail"</formula>
    </cfRule>
  </conditionalFormatting>
  <conditionalFormatting sqref="A1063">
    <cfRule type="cellIs" dxfId="1089" priority="927" stopIfTrue="1" operator="equal">
      <formula>"Pass"</formula>
    </cfRule>
    <cfRule type="cellIs" dxfId="1088" priority="928" stopIfTrue="1" operator="equal">
      <formula>"Fail"</formula>
    </cfRule>
  </conditionalFormatting>
  <conditionalFormatting sqref="A1063">
    <cfRule type="cellIs" dxfId="1087" priority="925" stopIfTrue="1" operator="equal">
      <formula>"Pass"</formula>
    </cfRule>
    <cfRule type="cellIs" dxfId="1086" priority="926" stopIfTrue="1" operator="equal">
      <formula>"Fail"</formula>
    </cfRule>
  </conditionalFormatting>
  <conditionalFormatting sqref="A1063">
    <cfRule type="cellIs" dxfId="1085" priority="923" stopIfTrue="1" operator="equal">
      <formula>"Pass"</formula>
    </cfRule>
    <cfRule type="cellIs" dxfId="1084" priority="924" stopIfTrue="1" operator="equal">
      <formula>"Fail"</formula>
    </cfRule>
  </conditionalFormatting>
  <conditionalFormatting sqref="A1063">
    <cfRule type="cellIs" dxfId="1083" priority="921" stopIfTrue="1" operator="equal">
      <formula>"Pass"</formula>
    </cfRule>
    <cfRule type="cellIs" dxfId="1082" priority="922" stopIfTrue="1" operator="equal">
      <formula>"Fail"</formula>
    </cfRule>
  </conditionalFormatting>
  <conditionalFormatting sqref="A1063">
    <cfRule type="cellIs" dxfId="1081" priority="919" stopIfTrue="1" operator="equal">
      <formula>"Pass"</formula>
    </cfRule>
    <cfRule type="cellIs" dxfId="1080" priority="920" stopIfTrue="1" operator="equal">
      <formula>"Fail"</formula>
    </cfRule>
  </conditionalFormatting>
  <conditionalFormatting sqref="A1063">
    <cfRule type="cellIs" dxfId="1079" priority="917" stopIfTrue="1" operator="equal">
      <formula>"Pass"</formula>
    </cfRule>
    <cfRule type="cellIs" dxfId="1078" priority="918" stopIfTrue="1" operator="equal">
      <formula>"Fail"</formula>
    </cfRule>
  </conditionalFormatting>
  <conditionalFormatting sqref="A1063">
    <cfRule type="cellIs" dxfId="1077" priority="915" stopIfTrue="1" operator="equal">
      <formula>"Pass"</formula>
    </cfRule>
    <cfRule type="cellIs" dxfId="1076" priority="916" stopIfTrue="1" operator="equal">
      <formula>"Fail"</formula>
    </cfRule>
  </conditionalFormatting>
  <conditionalFormatting sqref="A1063">
    <cfRule type="cellIs" dxfId="1075" priority="913" stopIfTrue="1" operator="equal">
      <formula>"Pass"</formula>
    </cfRule>
    <cfRule type="cellIs" dxfId="1074" priority="914" stopIfTrue="1" operator="equal">
      <formula>"Fail"</formula>
    </cfRule>
  </conditionalFormatting>
  <conditionalFormatting sqref="A1063">
    <cfRule type="cellIs" dxfId="1073" priority="911" stopIfTrue="1" operator="equal">
      <formula>"Pass"</formula>
    </cfRule>
    <cfRule type="cellIs" dxfId="1072" priority="912" stopIfTrue="1" operator="equal">
      <formula>"Fail"</formula>
    </cfRule>
  </conditionalFormatting>
  <conditionalFormatting sqref="A1063">
    <cfRule type="cellIs" dxfId="1071" priority="909" stopIfTrue="1" operator="equal">
      <formula>"Pass"</formula>
    </cfRule>
    <cfRule type="cellIs" dxfId="1070" priority="910" stopIfTrue="1" operator="equal">
      <formula>"Fail"</formula>
    </cfRule>
  </conditionalFormatting>
  <conditionalFormatting sqref="A1063">
    <cfRule type="cellIs" dxfId="1069" priority="907" stopIfTrue="1" operator="equal">
      <formula>"Pass"</formula>
    </cfRule>
    <cfRule type="cellIs" dxfId="1068" priority="908" stopIfTrue="1" operator="equal">
      <formula>"Fail"</formula>
    </cfRule>
  </conditionalFormatting>
  <conditionalFormatting sqref="A1063">
    <cfRule type="cellIs" dxfId="1067" priority="905" stopIfTrue="1" operator="equal">
      <formula>"Pass"</formula>
    </cfRule>
    <cfRule type="cellIs" dxfId="1066" priority="906" stopIfTrue="1" operator="equal">
      <formula>"Fail"</formula>
    </cfRule>
  </conditionalFormatting>
  <conditionalFormatting sqref="A1063">
    <cfRule type="cellIs" dxfId="1065" priority="903" stopIfTrue="1" operator="equal">
      <formula>"Pass"</formula>
    </cfRule>
    <cfRule type="cellIs" dxfId="1064" priority="904" stopIfTrue="1" operator="equal">
      <formula>"Fail"</formula>
    </cfRule>
  </conditionalFormatting>
  <conditionalFormatting sqref="A1063">
    <cfRule type="cellIs" dxfId="1063" priority="901" stopIfTrue="1" operator="equal">
      <formula>"Pass"</formula>
    </cfRule>
    <cfRule type="cellIs" dxfId="1062" priority="902" stopIfTrue="1" operator="equal">
      <formula>"Fail"</formula>
    </cfRule>
  </conditionalFormatting>
  <conditionalFormatting sqref="A1063">
    <cfRule type="cellIs" dxfId="1061" priority="899" stopIfTrue="1" operator="equal">
      <formula>"Pass"</formula>
    </cfRule>
    <cfRule type="cellIs" dxfId="1060" priority="900" stopIfTrue="1" operator="equal">
      <formula>"Fail"</formula>
    </cfRule>
  </conditionalFormatting>
  <conditionalFormatting sqref="A1063">
    <cfRule type="cellIs" dxfId="1059" priority="897" stopIfTrue="1" operator="equal">
      <formula>"Pass"</formula>
    </cfRule>
    <cfRule type="cellIs" dxfId="1058" priority="898" stopIfTrue="1" operator="equal">
      <formula>"Fail"</formula>
    </cfRule>
  </conditionalFormatting>
  <conditionalFormatting sqref="A1063">
    <cfRule type="cellIs" dxfId="1057" priority="895" stopIfTrue="1" operator="equal">
      <formula>"Pass"</formula>
    </cfRule>
    <cfRule type="cellIs" dxfId="1056" priority="896" stopIfTrue="1" operator="equal">
      <formula>"Fail"</formula>
    </cfRule>
  </conditionalFormatting>
  <conditionalFormatting sqref="A1063">
    <cfRule type="cellIs" dxfId="1055" priority="893" stopIfTrue="1" operator="equal">
      <formula>"Pass"</formula>
    </cfRule>
    <cfRule type="cellIs" dxfId="1054" priority="894" stopIfTrue="1" operator="equal">
      <formula>"Fail"</formula>
    </cfRule>
  </conditionalFormatting>
  <conditionalFormatting sqref="H1063:H1064">
    <cfRule type="cellIs" dxfId="1053" priority="891" stopIfTrue="1" operator="equal">
      <formula>"Pass"</formula>
    </cfRule>
    <cfRule type="cellIs" dxfId="1052" priority="892" stopIfTrue="1" operator="equal">
      <formula>"Fail"</formula>
    </cfRule>
  </conditionalFormatting>
  <conditionalFormatting sqref="F1063 F1065 I1063:M1064">
    <cfRule type="cellIs" dxfId="1051" priority="889" stopIfTrue="1" operator="equal">
      <formula>"Pass"</formula>
    </cfRule>
    <cfRule type="cellIs" dxfId="1050" priority="890" stopIfTrue="1" operator="equal">
      <formula>"Fail"</formula>
    </cfRule>
  </conditionalFormatting>
  <conditionalFormatting sqref="T1065 T1063 R1063:R1065 S1064:S1065">
    <cfRule type="cellIs" dxfId="1049" priority="887" stopIfTrue="1" operator="equal">
      <formula>"Fail"</formula>
    </cfRule>
    <cfRule type="cellIs" dxfId="1048" priority="888" stopIfTrue="1" operator="equal">
      <formula>"Pass"</formula>
    </cfRule>
  </conditionalFormatting>
  <conditionalFormatting sqref="F1063:G1063 F1065:G1065 J1063:N1064">
    <cfRule type="cellIs" dxfId="1047" priority="885" stopIfTrue="1" operator="equal">
      <formula>"Pass"</formula>
    </cfRule>
    <cfRule type="cellIs" dxfId="1046" priority="886" stopIfTrue="1" operator="equal">
      <formula>"Fail"</formula>
    </cfRule>
  </conditionalFormatting>
  <conditionalFormatting sqref="U1065:V1065 T1063:T1065 S1064:S1065">
    <cfRule type="cellIs" dxfId="1045" priority="883" stopIfTrue="1" operator="equal">
      <formula>"Fail"</formula>
    </cfRule>
    <cfRule type="cellIs" dxfId="1044" priority="884" stopIfTrue="1" operator="equal">
      <formula>"Pass"</formula>
    </cfRule>
  </conditionalFormatting>
  <conditionalFormatting sqref="U1063:V1063">
    <cfRule type="cellIs" dxfId="1043" priority="881" stopIfTrue="1" operator="equal">
      <formula>"Fail"</formula>
    </cfRule>
    <cfRule type="cellIs" dxfId="1042" priority="882" stopIfTrue="1" operator="equal">
      <formula>"Pass"</formula>
    </cfRule>
  </conditionalFormatting>
  <conditionalFormatting sqref="F1063:G1063 J1063:N1063">
    <cfRule type="cellIs" dxfId="1041" priority="879" stopIfTrue="1" operator="equal">
      <formula>"Pass"</formula>
    </cfRule>
    <cfRule type="cellIs" dxfId="1040" priority="880" stopIfTrue="1" operator="equal">
      <formula>"Fail"</formula>
    </cfRule>
  </conditionalFormatting>
  <conditionalFormatting sqref="J1064:N1064">
    <cfRule type="cellIs" dxfId="1039" priority="877" stopIfTrue="1" operator="equal">
      <formula>"Pass"</formula>
    </cfRule>
    <cfRule type="cellIs" dxfId="1038" priority="878" stopIfTrue="1" operator="equal">
      <formula>"Fail"</formula>
    </cfRule>
  </conditionalFormatting>
  <conditionalFormatting sqref="H1063:H1064">
    <cfRule type="cellIs" dxfId="1037" priority="875" stopIfTrue="1" operator="equal">
      <formula>"Pass"</formula>
    </cfRule>
    <cfRule type="cellIs" dxfId="1036" priority="876" stopIfTrue="1" operator="equal">
      <formula>"Fail"</formula>
    </cfRule>
  </conditionalFormatting>
  <conditionalFormatting sqref="F1063 F1065 I1063:M1064">
    <cfRule type="cellIs" dxfId="1035" priority="873" stopIfTrue="1" operator="equal">
      <formula>"Pass"</formula>
    </cfRule>
    <cfRule type="cellIs" dxfId="1034" priority="874" stopIfTrue="1" operator="equal">
      <formula>"Fail"</formula>
    </cfRule>
  </conditionalFormatting>
  <conditionalFormatting sqref="T1065 T1063 R1063:R1065 S1064:S1065">
    <cfRule type="cellIs" dxfId="1033" priority="871" stopIfTrue="1" operator="equal">
      <formula>"Fail"</formula>
    </cfRule>
    <cfRule type="cellIs" dxfId="1032" priority="872" stopIfTrue="1" operator="equal">
      <formula>"Pass"</formula>
    </cfRule>
  </conditionalFormatting>
  <conditionalFormatting sqref="F1063:G1063 F1065:G1065 J1063:N1064">
    <cfRule type="cellIs" dxfId="1031" priority="869" stopIfTrue="1" operator="equal">
      <formula>"Pass"</formula>
    </cfRule>
    <cfRule type="cellIs" dxfId="1030" priority="870" stopIfTrue="1" operator="equal">
      <formula>"Fail"</formula>
    </cfRule>
  </conditionalFormatting>
  <conditionalFormatting sqref="U1065:V1065 T1063:T1065 S1064:S1065">
    <cfRule type="cellIs" dxfId="1029" priority="867" stopIfTrue="1" operator="equal">
      <formula>"Fail"</formula>
    </cfRule>
    <cfRule type="cellIs" dxfId="1028" priority="868" stopIfTrue="1" operator="equal">
      <formula>"Pass"</formula>
    </cfRule>
  </conditionalFormatting>
  <conditionalFormatting sqref="U1063:V1063">
    <cfRule type="cellIs" dxfId="1027" priority="865" stopIfTrue="1" operator="equal">
      <formula>"Fail"</formula>
    </cfRule>
    <cfRule type="cellIs" dxfId="1026" priority="866" stopIfTrue="1" operator="equal">
      <formula>"Pass"</formula>
    </cfRule>
  </conditionalFormatting>
  <conditionalFormatting sqref="F1063:G1063 J1063:N1063">
    <cfRule type="cellIs" dxfId="1025" priority="863" stopIfTrue="1" operator="equal">
      <formula>"Pass"</formula>
    </cfRule>
    <cfRule type="cellIs" dxfId="1024" priority="864" stopIfTrue="1" operator="equal">
      <formula>"Fail"</formula>
    </cfRule>
  </conditionalFormatting>
  <conditionalFormatting sqref="J1064:N1064">
    <cfRule type="cellIs" dxfId="1023" priority="861" stopIfTrue="1" operator="equal">
      <formula>"Pass"</formula>
    </cfRule>
    <cfRule type="cellIs" dxfId="1022" priority="862" stopIfTrue="1" operator="equal">
      <formula>"Fail"</formula>
    </cfRule>
  </conditionalFormatting>
  <conditionalFormatting sqref="H1063:H1064">
    <cfRule type="cellIs" dxfId="1021" priority="859" stopIfTrue="1" operator="equal">
      <formula>"Pass"</formula>
    </cfRule>
    <cfRule type="cellIs" dxfId="1020" priority="860" stopIfTrue="1" operator="equal">
      <formula>"Fail"</formula>
    </cfRule>
  </conditionalFormatting>
  <conditionalFormatting sqref="F1063 F1065 I1063:M1064">
    <cfRule type="cellIs" dxfId="1019" priority="857" stopIfTrue="1" operator="equal">
      <formula>"Pass"</formula>
    </cfRule>
    <cfRule type="cellIs" dxfId="1018" priority="858" stopIfTrue="1" operator="equal">
      <formula>"Fail"</formula>
    </cfRule>
  </conditionalFormatting>
  <conditionalFormatting sqref="T1065 T1063 R1063:R1065 S1064:S1065">
    <cfRule type="cellIs" dxfId="1017" priority="855" stopIfTrue="1" operator="equal">
      <formula>"Fail"</formula>
    </cfRule>
    <cfRule type="cellIs" dxfId="1016" priority="856" stopIfTrue="1" operator="equal">
      <formula>"Pass"</formula>
    </cfRule>
  </conditionalFormatting>
  <conditionalFormatting sqref="F1063:G1063 F1065:G1065 J1063:N1064">
    <cfRule type="cellIs" dxfId="1015" priority="853" stopIfTrue="1" operator="equal">
      <formula>"Pass"</formula>
    </cfRule>
    <cfRule type="cellIs" dxfId="1014" priority="854" stopIfTrue="1" operator="equal">
      <formula>"Fail"</formula>
    </cfRule>
  </conditionalFormatting>
  <conditionalFormatting sqref="U1065:V1065 T1063:T1065 S1064:S1065">
    <cfRule type="cellIs" dxfId="1013" priority="851" stopIfTrue="1" operator="equal">
      <formula>"Fail"</formula>
    </cfRule>
    <cfRule type="cellIs" dxfId="1012" priority="852" stopIfTrue="1" operator="equal">
      <formula>"Pass"</formula>
    </cfRule>
  </conditionalFormatting>
  <conditionalFormatting sqref="U1063:V1063">
    <cfRule type="cellIs" dxfId="1011" priority="849" stopIfTrue="1" operator="equal">
      <formula>"Fail"</formula>
    </cfRule>
    <cfRule type="cellIs" dxfId="1010" priority="850" stopIfTrue="1" operator="equal">
      <formula>"Pass"</formula>
    </cfRule>
  </conditionalFormatting>
  <conditionalFormatting sqref="F1063:G1063 J1063:N1063">
    <cfRule type="cellIs" dxfId="1009" priority="847" stopIfTrue="1" operator="equal">
      <formula>"Pass"</formula>
    </cfRule>
    <cfRule type="cellIs" dxfId="1008" priority="848" stopIfTrue="1" operator="equal">
      <formula>"Fail"</formula>
    </cfRule>
  </conditionalFormatting>
  <conditionalFormatting sqref="J1064:N1064">
    <cfRule type="cellIs" dxfId="1007" priority="845" stopIfTrue="1" operator="equal">
      <formula>"Pass"</formula>
    </cfRule>
    <cfRule type="cellIs" dxfId="1006" priority="846" stopIfTrue="1" operator="equal">
      <formula>"Fail"</formula>
    </cfRule>
  </conditionalFormatting>
  <conditionalFormatting sqref="U1063:V1063">
    <cfRule type="cellIs" dxfId="1005" priority="843" stopIfTrue="1" operator="equal">
      <formula>"Fail"</formula>
    </cfRule>
    <cfRule type="cellIs" dxfId="1004" priority="844" stopIfTrue="1" operator="equal">
      <formula>"Pass"</formula>
    </cfRule>
  </conditionalFormatting>
  <conditionalFormatting sqref="U1063:V1063">
    <cfRule type="cellIs" dxfId="1003" priority="841" stopIfTrue="1" operator="equal">
      <formula>"Fail"</formula>
    </cfRule>
    <cfRule type="cellIs" dxfId="1002" priority="842" stopIfTrue="1" operator="equal">
      <formula>"Pass"</formula>
    </cfRule>
  </conditionalFormatting>
  <conditionalFormatting sqref="U1063:V1063">
    <cfRule type="cellIs" dxfId="1001" priority="839" stopIfTrue="1" operator="equal">
      <formula>"Fail"</formula>
    </cfRule>
    <cfRule type="cellIs" dxfId="1000" priority="840" stopIfTrue="1" operator="equal">
      <formula>"Pass"</formula>
    </cfRule>
  </conditionalFormatting>
  <conditionalFormatting sqref="N1063">
    <cfRule type="cellIs" dxfId="999" priority="837" stopIfTrue="1" operator="equal">
      <formula>"Pass"</formula>
    </cfRule>
    <cfRule type="cellIs" dxfId="998" priority="838" stopIfTrue="1" operator="equal">
      <formula>"Fail"</formula>
    </cfRule>
  </conditionalFormatting>
  <conditionalFormatting sqref="N1063">
    <cfRule type="cellIs" dxfId="997" priority="835" stopIfTrue="1" operator="equal">
      <formula>"Pass"</formula>
    </cfRule>
    <cfRule type="cellIs" dxfId="996" priority="836" stopIfTrue="1" operator="equal">
      <formula>"Fail"</formula>
    </cfRule>
  </conditionalFormatting>
  <conditionalFormatting sqref="N1063">
    <cfRule type="cellIs" dxfId="995" priority="833" stopIfTrue="1" operator="equal">
      <formula>"Pass"</formula>
    </cfRule>
    <cfRule type="cellIs" dxfId="994" priority="834" stopIfTrue="1" operator="equal">
      <formula>"Fail"</formula>
    </cfRule>
  </conditionalFormatting>
  <conditionalFormatting sqref="U1063:V1063">
    <cfRule type="cellIs" dxfId="993" priority="831" stopIfTrue="1" operator="equal">
      <formula>"Fail"</formula>
    </cfRule>
    <cfRule type="cellIs" dxfId="992" priority="832" stopIfTrue="1" operator="equal">
      <formula>"Pass"</formula>
    </cfRule>
  </conditionalFormatting>
  <conditionalFormatting sqref="U1063:V1063">
    <cfRule type="cellIs" dxfId="991" priority="829" stopIfTrue="1" operator="equal">
      <formula>"Fail"</formula>
    </cfRule>
    <cfRule type="cellIs" dxfId="990" priority="830" stopIfTrue="1" operator="equal">
      <formula>"Pass"</formula>
    </cfRule>
  </conditionalFormatting>
  <conditionalFormatting sqref="U1063:V1063">
    <cfRule type="cellIs" dxfId="989" priority="827" stopIfTrue="1" operator="equal">
      <formula>"Fail"</formula>
    </cfRule>
    <cfRule type="cellIs" dxfId="988" priority="828" stopIfTrue="1" operator="equal">
      <formula>"Pass"</formula>
    </cfRule>
  </conditionalFormatting>
  <conditionalFormatting sqref="U1063:V1063">
    <cfRule type="cellIs" dxfId="987" priority="825" stopIfTrue="1" operator="equal">
      <formula>"Fail"</formula>
    </cfRule>
    <cfRule type="cellIs" dxfId="986" priority="826" stopIfTrue="1" operator="equal">
      <formula>"Pass"</formula>
    </cfRule>
  </conditionalFormatting>
  <conditionalFormatting sqref="T1063">
    <cfRule type="cellIs" dxfId="985" priority="823" stopIfTrue="1" operator="equal">
      <formula>"Fail"</formula>
    </cfRule>
    <cfRule type="cellIs" dxfId="984" priority="824" stopIfTrue="1" operator="equal">
      <formula>"Pass"</formula>
    </cfRule>
  </conditionalFormatting>
  <conditionalFormatting sqref="T1063">
    <cfRule type="cellIs" dxfId="983" priority="821" stopIfTrue="1" operator="equal">
      <formula>"Fail"</formula>
    </cfRule>
    <cfRule type="cellIs" dxfId="982" priority="822" stopIfTrue="1" operator="equal">
      <formula>"Pass"</formula>
    </cfRule>
  </conditionalFormatting>
  <conditionalFormatting sqref="T1063">
    <cfRule type="cellIs" dxfId="981" priority="819" stopIfTrue="1" operator="equal">
      <formula>"Fail"</formula>
    </cfRule>
    <cfRule type="cellIs" dxfId="980" priority="820" stopIfTrue="1" operator="equal">
      <formula>"Pass"</formula>
    </cfRule>
  </conditionalFormatting>
  <conditionalFormatting sqref="T1063">
    <cfRule type="cellIs" dxfId="979" priority="817" stopIfTrue="1" operator="equal">
      <formula>"Fail"</formula>
    </cfRule>
    <cfRule type="cellIs" dxfId="978" priority="818" stopIfTrue="1" operator="equal">
      <formula>"Pass"</formula>
    </cfRule>
  </conditionalFormatting>
  <conditionalFormatting sqref="T1063">
    <cfRule type="cellIs" dxfId="977" priority="815" stopIfTrue="1" operator="equal">
      <formula>"Fail"</formula>
    </cfRule>
    <cfRule type="cellIs" dxfId="976" priority="816" stopIfTrue="1" operator="equal">
      <formula>"Pass"</formula>
    </cfRule>
  </conditionalFormatting>
  <conditionalFormatting sqref="T1063">
    <cfRule type="cellIs" dxfId="975" priority="813" stopIfTrue="1" operator="equal">
      <formula>"Fail"</formula>
    </cfRule>
    <cfRule type="cellIs" dxfId="974" priority="814" stopIfTrue="1" operator="equal">
      <formula>"Pass"</formula>
    </cfRule>
  </conditionalFormatting>
  <conditionalFormatting sqref="T1063">
    <cfRule type="cellIs" dxfId="973" priority="811" stopIfTrue="1" operator="equal">
      <formula>"Fail"</formula>
    </cfRule>
    <cfRule type="cellIs" dxfId="972" priority="812" stopIfTrue="1" operator="equal">
      <formula>"Pass"</formula>
    </cfRule>
  </conditionalFormatting>
  <conditionalFormatting sqref="T1063">
    <cfRule type="cellIs" dxfId="971" priority="809" stopIfTrue="1" operator="equal">
      <formula>"Fail"</formula>
    </cfRule>
    <cfRule type="cellIs" dxfId="970" priority="810" stopIfTrue="1" operator="equal">
      <formula>"Pass"</formula>
    </cfRule>
  </conditionalFormatting>
  <conditionalFormatting sqref="T1063">
    <cfRule type="cellIs" dxfId="969" priority="807" stopIfTrue="1" operator="equal">
      <formula>"Fail"</formula>
    </cfRule>
    <cfRule type="cellIs" dxfId="968" priority="808" stopIfTrue="1" operator="equal">
      <formula>"Pass"</formula>
    </cfRule>
  </conditionalFormatting>
  <conditionalFormatting sqref="T1063">
    <cfRule type="cellIs" dxfId="967" priority="805" stopIfTrue="1" operator="equal">
      <formula>"Fail"</formula>
    </cfRule>
    <cfRule type="cellIs" dxfId="966" priority="806" stopIfTrue="1" operator="equal">
      <formula>"Pass"</formula>
    </cfRule>
  </conditionalFormatting>
  <conditionalFormatting sqref="T1063">
    <cfRule type="cellIs" dxfId="965" priority="803" stopIfTrue="1" operator="equal">
      <formula>"Fail"</formula>
    </cfRule>
    <cfRule type="cellIs" dxfId="964" priority="804" stopIfTrue="1" operator="equal">
      <formula>"Pass"</formula>
    </cfRule>
  </conditionalFormatting>
  <conditionalFormatting sqref="T1063">
    <cfRule type="cellIs" dxfId="963" priority="801" stopIfTrue="1" operator="equal">
      <formula>"Fail"</formula>
    </cfRule>
    <cfRule type="cellIs" dxfId="962" priority="802" stopIfTrue="1" operator="equal">
      <formula>"Pass"</formula>
    </cfRule>
  </conditionalFormatting>
  <conditionalFormatting sqref="T1063">
    <cfRule type="cellIs" dxfId="961" priority="799" stopIfTrue="1" operator="equal">
      <formula>"Fail"</formula>
    </cfRule>
    <cfRule type="cellIs" dxfId="960" priority="800" stopIfTrue="1" operator="equal">
      <formula>"Pass"</formula>
    </cfRule>
  </conditionalFormatting>
  <conditionalFormatting sqref="T1063">
    <cfRule type="cellIs" dxfId="959" priority="797" stopIfTrue="1" operator="equal">
      <formula>"Fail"</formula>
    </cfRule>
    <cfRule type="cellIs" dxfId="958" priority="798" stopIfTrue="1" operator="equal">
      <formula>"Pass"</formula>
    </cfRule>
  </conditionalFormatting>
  <conditionalFormatting sqref="T1063">
    <cfRule type="cellIs" dxfId="957" priority="795" stopIfTrue="1" operator="equal">
      <formula>"Fail"</formula>
    </cfRule>
    <cfRule type="cellIs" dxfId="956" priority="796" stopIfTrue="1" operator="equal">
      <formula>"Pass"</formula>
    </cfRule>
  </conditionalFormatting>
  <conditionalFormatting sqref="T1063">
    <cfRule type="cellIs" dxfId="955" priority="793" stopIfTrue="1" operator="equal">
      <formula>"Fail"</formula>
    </cfRule>
    <cfRule type="cellIs" dxfId="954" priority="794" stopIfTrue="1" operator="equal">
      <formula>"Pass"</formula>
    </cfRule>
  </conditionalFormatting>
  <conditionalFormatting sqref="T1063">
    <cfRule type="cellIs" dxfId="953" priority="791" stopIfTrue="1" operator="equal">
      <formula>"Fail"</formula>
    </cfRule>
    <cfRule type="cellIs" dxfId="952" priority="792" stopIfTrue="1" operator="equal">
      <formula>"Pass"</formula>
    </cfRule>
  </conditionalFormatting>
  <conditionalFormatting sqref="T1063">
    <cfRule type="cellIs" dxfId="951" priority="789" stopIfTrue="1" operator="equal">
      <formula>"Fail"</formula>
    </cfRule>
    <cfRule type="cellIs" dxfId="950" priority="790" stopIfTrue="1" operator="equal">
      <formula>"Pass"</formula>
    </cfRule>
  </conditionalFormatting>
  <conditionalFormatting sqref="T1063">
    <cfRule type="cellIs" dxfId="949" priority="787" stopIfTrue="1" operator="equal">
      <formula>"Fail"</formula>
    </cfRule>
    <cfRule type="cellIs" dxfId="948" priority="788" stopIfTrue="1" operator="equal">
      <formula>"Pass"</formula>
    </cfRule>
  </conditionalFormatting>
  <conditionalFormatting sqref="T1063">
    <cfRule type="cellIs" dxfId="947" priority="785" stopIfTrue="1" operator="equal">
      <formula>"Fail"</formula>
    </cfRule>
    <cfRule type="cellIs" dxfId="946" priority="786" stopIfTrue="1" operator="equal">
      <formula>"Pass"</formula>
    </cfRule>
  </conditionalFormatting>
  <conditionalFormatting sqref="T1063">
    <cfRule type="cellIs" dxfId="945" priority="783" stopIfTrue="1" operator="equal">
      <formula>"Fail"</formula>
    </cfRule>
    <cfRule type="cellIs" dxfId="944" priority="784" stopIfTrue="1" operator="equal">
      <formula>"Pass"</formula>
    </cfRule>
  </conditionalFormatting>
  <conditionalFormatting sqref="T1063">
    <cfRule type="cellIs" dxfId="943" priority="781" stopIfTrue="1" operator="equal">
      <formula>"Fail"</formula>
    </cfRule>
    <cfRule type="cellIs" dxfId="942" priority="782" stopIfTrue="1" operator="equal">
      <formula>"Pass"</formula>
    </cfRule>
  </conditionalFormatting>
  <conditionalFormatting sqref="T1063">
    <cfRule type="cellIs" dxfId="941" priority="779" stopIfTrue="1" operator="equal">
      <formula>"Fail"</formula>
    </cfRule>
    <cfRule type="cellIs" dxfId="940" priority="780" stopIfTrue="1" operator="equal">
      <formula>"Pass"</formula>
    </cfRule>
  </conditionalFormatting>
  <conditionalFormatting sqref="T1063">
    <cfRule type="cellIs" dxfId="939" priority="777" stopIfTrue="1" operator="equal">
      <formula>"Fail"</formula>
    </cfRule>
    <cfRule type="cellIs" dxfId="938" priority="778" stopIfTrue="1" operator="equal">
      <formula>"Pass"</formula>
    </cfRule>
  </conditionalFormatting>
  <conditionalFormatting sqref="H1066:H1067">
    <cfRule type="cellIs" dxfId="937" priority="775" stopIfTrue="1" operator="equal">
      <formula>"Pass"</formula>
    </cfRule>
    <cfRule type="cellIs" dxfId="936" priority="776" stopIfTrue="1" operator="equal">
      <formula>"Fail"</formula>
    </cfRule>
  </conditionalFormatting>
  <conditionalFormatting sqref="E1066:F1066 E1068:F1068 A1066:A1068 I1066:M1067">
    <cfRule type="cellIs" dxfId="935" priority="773" stopIfTrue="1" operator="equal">
      <formula>"Pass"</formula>
    </cfRule>
    <cfRule type="cellIs" dxfId="934" priority="774" stopIfTrue="1" operator="equal">
      <formula>"Fail"</formula>
    </cfRule>
  </conditionalFormatting>
  <conditionalFormatting sqref="T1068 T1066 R1066:R1068 S1067:S1068">
    <cfRule type="cellIs" dxfId="933" priority="771" stopIfTrue="1" operator="equal">
      <formula>"Fail"</formula>
    </cfRule>
    <cfRule type="cellIs" dxfId="932" priority="772" stopIfTrue="1" operator="equal">
      <formula>"Pass"</formula>
    </cfRule>
  </conditionalFormatting>
  <conditionalFormatting sqref="F1066:G1066 F1068:G1068 A1066:B1068 J1066:N1067">
    <cfRule type="cellIs" dxfId="931" priority="769" stopIfTrue="1" operator="equal">
      <formula>"Pass"</formula>
    </cfRule>
    <cfRule type="cellIs" dxfId="930" priority="770" stopIfTrue="1" operator="equal">
      <formula>"Fail"</formula>
    </cfRule>
  </conditionalFormatting>
  <conditionalFormatting sqref="U1068:V1068 U1066:V1066 T1066:T1068 S1067:S1068">
    <cfRule type="cellIs" dxfId="929" priority="767" stopIfTrue="1" operator="equal">
      <formula>"Fail"</formula>
    </cfRule>
    <cfRule type="cellIs" dxfId="928" priority="768" stopIfTrue="1" operator="equal">
      <formula>"Pass"</formula>
    </cfRule>
  </conditionalFormatting>
  <conditionalFormatting sqref="A1066:A1068">
    <cfRule type="cellIs" dxfId="927" priority="765" stopIfTrue="1" operator="equal">
      <formula>"Pass"</formula>
    </cfRule>
    <cfRule type="cellIs" dxfId="926" priority="766" stopIfTrue="1" operator="equal">
      <formula>"Fail"</formula>
    </cfRule>
  </conditionalFormatting>
  <conditionalFormatting sqref="A1066:A1068">
    <cfRule type="cellIs" dxfId="925" priority="763" stopIfTrue="1" operator="equal">
      <formula>"Pass"</formula>
    </cfRule>
    <cfRule type="cellIs" dxfId="924" priority="764" stopIfTrue="1" operator="equal">
      <formula>"Fail"</formula>
    </cfRule>
  </conditionalFormatting>
  <conditionalFormatting sqref="A1066:A1068">
    <cfRule type="cellIs" dxfId="923" priority="761" stopIfTrue="1" operator="equal">
      <formula>"Pass"</formula>
    </cfRule>
    <cfRule type="cellIs" dxfId="922" priority="762" stopIfTrue="1" operator="equal">
      <formula>"Fail"</formula>
    </cfRule>
  </conditionalFormatting>
  <conditionalFormatting sqref="J1066:N1067 E1066:G1068">
    <cfRule type="cellIs" dxfId="921" priority="759" stopIfTrue="1" operator="equal">
      <formula>"Pass"</formula>
    </cfRule>
    <cfRule type="cellIs" dxfId="920" priority="760" stopIfTrue="1" operator="equal">
      <formula>"Fail"</formula>
    </cfRule>
  </conditionalFormatting>
  <conditionalFormatting sqref="A1068 C1068 K1066:O1067 F1066:H1068">
    <cfRule type="cellIs" dxfId="919" priority="757" stopIfTrue="1" operator="equal">
      <formula>"Pass"</formula>
    </cfRule>
    <cfRule type="cellIs" dxfId="918" priority="758" stopIfTrue="1" operator="equal">
      <formula>"Fail"</formula>
    </cfRule>
  </conditionalFormatting>
  <conditionalFormatting sqref="T1066">
    <cfRule type="cellIs" dxfId="917" priority="755" stopIfTrue="1" operator="equal">
      <formula>"Fail"</formula>
    </cfRule>
    <cfRule type="cellIs" dxfId="916" priority="756" stopIfTrue="1" operator="equal">
      <formula>"Pass"</formula>
    </cfRule>
  </conditionalFormatting>
  <conditionalFormatting sqref="A1066:A1068">
    <cfRule type="cellIs" dxfId="915" priority="753" stopIfTrue="1" operator="equal">
      <formula>"Pass"</formula>
    </cfRule>
    <cfRule type="cellIs" dxfId="914" priority="754" stopIfTrue="1" operator="equal">
      <formula>"Fail"</formula>
    </cfRule>
  </conditionalFormatting>
  <conditionalFormatting sqref="A1066:A1068">
    <cfRule type="cellIs" dxfId="913" priority="751" stopIfTrue="1" operator="equal">
      <formula>"Pass"</formula>
    </cfRule>
    <cfRule type="cellIs" dxfId="912" priority="752" stopIfTrue="1" operator="equal">
      <formula>"Fail"</formula>
    </cfRule>
  </conditionalFormatting>
  <conditionalFormatting sqref="A1066:A1068">
    <cfRule type="cellIs" dxfId="911" priority="749" stopIfTrue="1" operator="equal">
      <formula>"Pass"</formula>
    </cfRule>
    <cfRule type="cellIs" dxfId="910" priority="750" stopIfTrue="1" operator="equal">
      <formula>"Fail"</formula>
    </cfRule>
  </conditionalFormatting>
  <conditionalFormatting sqref="A1066:A1068">
    <cfRule type="cellIs" dxfId="909" priority="747" stopIfTrue="1" operator="equal">
      <formula>"Pass"</formula>
    </cfRule>
    <cfRule type="cellIs" dxfId="908" priority="748" stopIfTrue="1" operator="equal">
      <formula>"Fail"</formula>
    </cfRule>
  </conditionalFormatting>
  <conditionalFormatting sqref="A1066:A1068">
    <cfRule type="cellIs" dxfId="907" priority="745" stopIfTrue="1" operator="equal">
      <formula>"Pass"</formula>
    </cfRule>
    <cfRule type="cellIs" dxfId="906" priority="746" stopIfTrue="1" operator="equal">
      <formula>"Fail"</formula>
    </cfRule>
  </conditionalFormatting>
  <conditionalFormatting sqref="A1066:A1068">
    <cfRule type="cellIs" dxfId="905" priority="743" stopIfTrue="1" operator="equal">
      <formula>"Pass"</formula>
    </cfRule>
    <cfRule type="cellIs" dxfId="904" priority="744" stopIfTrue="1" operator="equal">
      <formula>"Fail"</formula>
    </cfRule>
  </conditionalFormatting>
  <conditionalFormatting sqref="A1068">
    <cfRule type="cellIs" dxfId="903" priority="741" stopIfTrue="1" operator="equal">
      <formula>"Pass"</formula>
    </cfRule>
    <cfRule type="cellIs" dxfId="902" priority="742" stopIfTrue="1" operator="equal">
      <formula>"Fail"</formula>
    </cfRule>
  </conditionalFormatting>
  <conditionalFormatting sqref="A1066:A1068">
    <cfRule type="cellIs" dxfId="901" priority="739" stopIfTrue="1" operator="equal">
      <formula>"Pass"</formula>
    </cfRule>
    <cfRule type="cellIs" dxfId="900" priority="740" stopIfTrue="1" operator="equal">
      <formula>"Fail"</formula>
    </cfRule>
  </conditionalFormatting>
  <conditionalFormatting sqref="A1066:A1068">
    <cfRule type="cellIs" dxfId="899" priority="737" stopIfTrue="1" operator="equal">
      <formula>"Pass"</formula>
    </cfRule>
    <cfRule type="cellIs" dxfId="898" priority="738" stopIfTrue="1" operator="equal">
      <formula>"Fail"</formula>
    </cfRule>
  </conditionalFormatting>
  <conditionalFormatting sqref="A1066:A1068">
    <cfRule type="cellIs" dxfId="897" priority="735" stopIfTrue="1" operator="equal">
      <formula>"Pass"</formula>
    </cfRule>
    <cfRule type="cellIs" dxfId="896" priority="736" stopIfTrue="1" operator="equal">
      <formula>"Fail"</formula>
    </cfRule>
  </conditionalFormatting>
  <conditionalFormatting sqref="A1066:A1068">
    <cfRule type="cellIs" dxfId="895" priority="733" stopIfTrue="1" operator="equal">
      <formula>"Pass"</formula>
    </cfRule>
    <cfRule type="cellIs" dxfId="894" priority="734" stopIfTrue="1" operator="equal">
      <formula>"Fail"</formula>
    </cfRule>
  </conditionalFormatting>
  <conditionalFormatting sqref="A1066:A1068">
    <cfRule type="cellIs" dxfId="893" priority="731" stopIfTrue="1" operator="equal">
      <formula>"Pass"</formula>
    </cfRule>
    <cfRule type="cellIs" dxfId="892" priority="732" stopIfTrue="1" operator="equal">
      <formula>"Fail"</formula>
    </cfRule>
  </conditionalFormatting>
  <conditionalFormatting sqref="A1066:A1068">
    <cfRule type="cellIs" dxfId="891" priority="729" stopIfTrue="1" operator="equal">
      <formula>"Pass"</formula>
    </cfRule>
    <cfRule type="cellIs" dxfId="890" priority="730" stopIfTrue="1" operator="equal">
      <formula>"Fail"</formula>
    </cfRule>
  </conditionalFormatting>
  <conditionalFormatting sqref="A1068">
    <cfRule type="cellIs" dxfId="889" priority="727" stopIfTrue="1" operator="equal">
      <formula>"Pass"</formula>
    </cfRule>
    <cfRule type="cellIs" dxfId="888" priority="728" stopIfTrue="1" operator="equal">
      <formula>"Fail"</formula>
    </cfRule>
  </conditionalFormatting>
  <conditionalFormatting sqref="A1066:A1068">
    <cfRule type="cellIs" dxfId="887" priority="725" stopIfTrue="1" operator="equal">
      <formula>"Pass"</formula>
    </cfRule>
    <cfRule type="cellIs" dxfId="886" priority="726" stopIfTrue="1" operator="equal">
      <formula>"Fail"</formula>
    </cfRule>
  </conditionalFormatting>
  <conditionalFormatting sqref="H1066:H1067">
    <cfRule type="cellIs" dxfId="885" priority="723" stopIfTrue="1" operator="equal">
      <formula>"Pass"</formula>
    </cfRule>
    <cfRule type="cellIs" dxfId="884" priority="724" stopIfTrue="1" operator="equal">
      <formula>"Fail"</formula>
    </cfRule>
  </conditionalFormatting>
  <conditionalFormatting sqref="F1066 F1068 I1066:M1067">
    <cfRule type="cellIs" dxfId="883" priority="721" stopIfTrue="1" operator="equal">
      <formula>"Pass"</formula>
    </cfRule>
    <cfRule type="cellIs" dxfId="882" priority="722" stopIfTrue="1" operator="equal">
      <formula>"Fail"</formula>
    </cfRule>
  </conditionalFormatting>
  <conditionalFormatting sqref="T1068 T1066 R1066:R1068 S1067:S1068">
    <cfRule type="cellIs" dxfId="881" priority="719" stopIfTrue="1" operator="equal">
      <formula>"Fail"</formula>
    </cfRule>
    <cfRule type="cellIs" dxfId="880" priority="720" stopIfTrue="1" operator="equal">
      <formula>"Pass"</formula>
    </cfRule>
  </conditionalFormatting>
  <conditionalFormatting sqref="F1066:G1066 F1068:G1068 J1066:N1067">
    <cfRule type="cellIs" dxfId="879" priority="717" stopIfTrue="1" operator="equal">
      <formula>"Pass"</formula>
    </cfRule>
    <cfRule type="cellIs" dxfId="878" priority="718" stopIfTrue="1" operator="equal">
      <formula>"Fail"</formula>
    </cfRule>
  </conditionalFormatting>
  <conditionalFormatting sqref="U1068:V1068 U1066:V1066 T1066:T1068 S1067:S1068">
    <cfRule type="cellIs" dxfId="877" priority="715" stopIfTrue="1" operator="equal">
      <formula>"Fail"</formula>
    </cfRule>
    <cfRule type="cellIs" dxfId="876" priority="716" stopIfTrue="1" operator="equal">
      <formula>"Pass"</formula>
    </cfRule>
  </conditionalFormatting>
  <conditionalFormatting sqref="J1066:N1067 F1066:G1068">
    <cfRule type="cellIs" dxfId="875" priority="713" stopIfTrue="1" operator="equal">
      <formula>"Pass"</formula>
    </cfRule>
    <cfRule type="cellIs" dxfId="874" priority="714" stopIfTrue="1" operator="equal">
      <formula>"Fail"</formula>
    </cfRule>
  </conditionalFormatting>
  <conditionalFormatting sqref="K1066:O1067 F1066:H1068">
    <cfRule type="cellIs" dxfId="873" priority="711" stopIfTrue="1" operator="equal">
      <formula>"Pass"</formula>
    </cfRule>
    <cfRule type="cellIs" dxfId="872" priority="712" stopIfTrue="1" operator="equal">
      <formula>"Fail"</formula>
    </cfRule>
  </conditionalFormatting>
  <conditionalFormatting sqref="T1066">
    <cfRule type="cellIs" dxfId="871" priority="709" stopIfTrue="1" operator="equal">
      <formula>"Fail"</formula>
    </cfRule>
    <cfRule type="cellIs" dxfId="870" priority="710" stopIfTrue="1" operator="equal">
      <formula>"Pass"</formula>
    </cfRule>
  </conditionalFormatting>
  <conditionalFormatting sqref="K1066:O1067 F1066:H1068">
    <cfRule type="cellIs" dxfId="869" priority="707" stopIfTrue="1" operator="equal">
      <formula>"Pass"</formula>
    </cfRule>
    <cfRule type="cellIs" dxfId="868" priority="708" stopIfTrue="1" operator="equal">
      <formula>"Fail"</formula>
    </cfRule>
  </conditionalFormatting>
  <conditionalFormatting sqref="T1066">
    <cfRule type="cellIs" dxfId="867" priority="705" stopIfTrue="1" operator="equal">
      <formula>"Fail"</formula>
    </cfRule>
    <cfRule type="cellIs" dxfId="866" priority="706" stopIfTrue="1" operator="equal">
      <formula>"Pass"</formula>
    </cfRule>
  </conditionalFormatting>
  <conditionalFormatting sqref="H1066:H1067">
    <cfRule type="cellIs" dxfId="865" priority="703" stopIfTrue="1" operator="equal">
      <formula>"Pass"</formula>
    </cfRule>
    <cfRule type="cellIs" dxfId="864" priority="704" stopIfTrue="1" operator="equal">
      <formula>"Fail"</formula>
    </cfRule>
  </conditionalFormatting>
  <conditionalFormatting sqref="E1066:F1066 E1068:F1068 A1066:A1068 I1066:M1067">
    <cfRule type="cellIs" dxfId="863" priority="701" stopIfTrue="1" operator="equal">
      <formula>"Pass"</formula>
    </cfRule>
    <cfRule type="cellIs" dxfId="862" priority="702" stopIfTrue="1" operator="equal">
      <formula>"Fail"</formula>
    </cfRule>
  </conditionalFormatting>
  <conditionalFormatting sqref="T1068 T1066 R1066:R1068 S1067:S1068">
    <cfRule type="cellIs" dxfId="861" priority="699" stopIfTrue="1" operator="equal">
      <formula>"Fail"</formula>
    </cfRule>
    <cfRule type="cellIs" dxfId="860" priority="700" stopIfTrue="1" operator="equal">
      <formula>"Pass"</formula>
    </cfRule>
  </conditionalFormatting>
  <conditionalFormatting sqref="F1066:G1066 F1068:G1068 A1066:B1068 J1066:N1067">
    <cfRule type="cellIs" dxfId="859" priority="697" stopIfTrue="1" operator="equal">
      <formula>"Pass"</formula>
    </cfRule>
    <cfRule type="cellIs" dxfId="858" priority="698" stopIfTrue="1" operator="equal">
      <formula>"Fail"</formula>
    </cfRule>
  </conditionalFormatting>
  <conditionalFormatting sqref="U1068:V1068 U1066:V1066 T1066:T1068 S1067:S1068">
    <cfRule type="cellIs" dxfId="857" priority="695" stopIfTrue="1" operator="equal">
      <formula>"Fail"</formula>
    </cfRule>
    <cfRule type="cellIs" dxfId="856" priority="696" stopIfTrue="1" operator="equal">
      <formula>"Pass"</formula>
    </cfRule>
  </conditionalFormatting>
  <conditionalFormatting sqref="A1066:A1068">
    <cfRule type="cellIs" dxfId="855" priority="693" stopIfTrue="1" operator="equal">
      <formula>"Pass"</formula>
    </cfRule>
    <cfRule type="cellIs" dxfId="854" priority="694" stopIfTrue="1" operator="equal">
      <formula>"Fail"</formula>
    </cfRule>
  </conditionalFormatting>
  <conditionalFormatting sqref="A1066:A1068">
    <cfRule type="cellIs" dxfId="853" priority="691" stopIfTrue="1" operator="equal">
      <formula>"Pass"</formula>
    </cfRule>
    <cfRule type="cellIs" dxfId="852" priority="692" stopIfTrue="1" operator="equal">
      <formula>"Fail"</formula>
    </cfRule>
  </conditionalFormatting>
  <conditionalFormatting sqref="A1066:A1068">
    <cfRule type="cellIs" dxfId="851" priority="689" stopIfTrue="1" operator="equal">
      <formula>"Pass"</formula>
    </cfRule>
    <cfRule type="cellIs" dxfId="850" priority="690" stopIfTrue="1" operator="equal">
      <formula>"Fail"</formula>
    </cfRule>
  </conditionalFormatting>
  <conditionalFormatting sqref="J1066:N1067 E1066:G1068">
    <cfRule type="cellIs" dxfId="849" priority="687" stopIfTrue="1" operator="equal">
      <formula>"Pass"</formula>
    </cfRule>
    <cfRule type="cellIs" dxfId="848" priority="688" stopIfTrue="1" operator="equal">
      <formula>"Fail"</formula>
    </cfRule>
  </conditionalFormatting>
  <conditionalFormatting sqref="A1068 C1068 K1066:O1067 F1066:H1068">
    <cfRule type="cellIs" dxfId="847" priority="685" stopIfTrue="1" operator="equal">
      <formula>"Pass"</formula>
    </cfRule>
    <cfRule type="cellIs" dxfId="846" priority="686" stopIfTrue="1" operator="equal">
      <formula>"Fail"</formula>
    </cfRule>
  </conditionalFormatting>
  <conditionalFormatting sqref="T1066">
    <cfRule type="cellIs" dxfId="845" priority="683" stopIfTrue="1" operator="equal">
      <formula>"Fail"</formula>
    </cfRule>
    <cfRule type="cellIs" dxfId="844" priority="684" stopIfTrue="1" operator="equal">
      <formula>"Pass"</formula>
    </cfRule>
  </conditionalFormatting>
  <conditionalFormatting sqref="A1066:A1068">
    <cfRule type="cellIs" dxfId="843" priority="681" stopIfTrue="1" operator="equal">
      <formula>"Pass"</formula>
    </cfRule>
    <cfRule type="cellIs" dxfId="842" priority="682" stopIfTrue="1" operator="equal">
      <formula>"Fail"</formula>
    </cfRule>
  </conditionalFormatting>
  <conditionalFormatting sqref="A1066:A1068">
    <cfRule type="cellIs" dxfId="841" priority="679" stopIfTrue="1" operator="equal">
      <formula>"Pass"</formula>
    </cfRule>
    <cfRule type="cellIs" dxfId="840" priority="680" stopIfTrue="1" operator="equal">
      <formula>"Fail"</formula>
    </cfRule>
  </conditionalFormatting>
  <conditionalFormatting sqref="A1066:A1068">
    <cfRule type="cellIs" dxfId="839" priority="677" stopIfTrue="1" operator="equal">
      <formula>"Pass"</formula>
    </cfRule>
    <cfRule type="cellIs" dxfId="838" priority="678" stopIfTrue="1" operator="equal">
      <formula>"Fail"</formula>
    </cfRule>
  </conditionalFormatting>
  <conditionalFormatting sqref="A1066:A1068">
    <cfRule type="cellIs" dxfId="837" priority="675" stopIfTrue="1" operator="equal">
      <formula>"Pass"</formula>
    </cfRule>
    <cfRule type="cellIs" dxfId="836" priority="676" stopIfTrue="1" operator="equal">
      <formula>"Fail"</formula>
    </cfRule>
  </conditionalFormatting>
  <conditionalFormatting sqref="A1066:A1068">
    <cfRule type="cellIs" dxfId="835" priority="673" stopIfTrue="1" operator="equal">
      <formula>"Pass"</formula>
    </cfRule>
    <cfRule type="cellIs" dxfId="834" priority="674" stopIfTrue="1" operator="equal">
      <formula>"Fail"</formula>
    </cfRule>
  </conditionalFormatting>
  <conditionalFormatting sqref="A1066:A1068">
    <cfRule type="cellIs" dxfId="833" priority="671" stopIfTrue="1" operator="equal">
      <formula>"Pass"</formula>
    </cfRule>
    <cfRule type="cellIs" dxfId="832" priority="672" stopIfTrue="1" operator="equal">
      <formula>"Fail"</formula>
    </cfRule>
  </conditionalFormatting>
  <conditionalFormatting sqref="A1068">
    <cfRule type="cellIs" dxfId="831" priority="669" stopIfTrue="1" operator="equal">
      <formula>"Pass"</formula>
    </cfRule>
    <cfRule type="cellIs" dxfId="830" priority="670" stopIfTrue="1" operator="equal">
      <formula>"Fail"</formula>
    </cfRule>
  </conditionalFormatting>
  <conditionalFormatting sqref="A1066:A1068">
    <cfRule type="cellIs" dxfId="829" priority="667" stopIfTrue="1" operator="equal">
      <formula>"Pass"</formula>
    </cfRule>
    <cfRule type="cellIs" dxfId="828" priority="668" stopIfTrue="1" operator="equal">
      <formula>"Fail"</formula>
    </cfRule>
  </conditionalFormatting>
  <conditionalFormatting sqref="A1066:A1068">
    <cfRule type="cellIs" dxfId="827" priority="665" stopIfTrue="1" operator="equal">
      <formula>"Pass"</formula>
    </cfRule>
    <cfRule type="cellIs" dxfId="826" priority="666" stopIfTrue="1" operator="equal">
      <formula>"Fail"</formula>
    </cfRule>
  </conditionalFormatting>
  <conditionalFormatting sqref="A1066:A1068">
    <cfRule type="cellIs" dxfId="825" priority="663" stopIfTrue="1" operator="equal">
      <formula>"Pass"</formula>
    </cfRule>
    <cfRule type="cellIs" dxfId="824" priority="664" stopIfTrue="1" operator="equal">
      <formula>"Fail"</formula>
    </cfRule>
  </conditionalFormatting>
  <conditionalFormatting sqref="A1066:A1068">
    <cfRule type="cellIs" dxfId="823" priority="661" stopIfTrue="1" operator="equal">
      <formula>"Pass"</formula>
    </cfRule>
    <cfRule type="cellIs" dxfId="822" priority="662" stopIfTrue="1" operator="equal">
      <formula>"Fail"</formula>
    </cfRule>
  </conditionalFormatting>
  <conditionalFormatting sqref="A1066:A1068">
    <cfRule type="cellIs" dxfId="821" priority="659" stopIfTrue="1" operator="equal">
      <formula>"Pass"</formula>
    </cfRule>
    <cfRule type="cellIs" dxfId="820" priority="660" stopIfTrue="1" operator="equal">
      <formula>"Fail"</formula>
    </cfRule>
  </conditionalFormatting>
  <conditionalFormatting sqref="A1066:A1068">
    <cfRule type="cellIs" dxfId="819" priority="657" stopIfTrue="1" operator="equal">
      <formula>"Pass"</formula>
    </cfRule>
    <cfRule type="cellIs" dxfId="818" priority="658" stopIfTrue="1" operator="equal">
      <formula>"Fail"</formula>
    </cfRule>
  </conditionalFormatting>
  <conditionalFormatting sqref="A1068">
    <cfRule type="cellIs" dxfId="817" priority="655" stopIfTrue="1" operator="equal">
      <formula>"Pass"</formula>
    </cfRule>
    <cfRule type="cellIs" dxfId="816" priority="656" stopIfTrue="1" operator="equal">
      <formula>"Fail"</formula>
    </cfRule>
  </conditionalFormatting>
  <conditionalFormatting sqref="A1066:A1068">
    <cfRule type="cellIs" dxfId="815" priority="653" stopIfTrue="1" operator="equal">
      <formula>"Pass"</formula>
    </cfRule>
    <cfRule type="cellIs" dxfId="814" priority="654" stopIfTrue="1" operator="equal">
      <formula>"Fail"</formula>
    </cfRule>
  </conditionalFormatting>
  <conditionalFormatting sqref="H1066:H1067">
    <cfRule type="cellIs" dxfId="813" priority="651" stopIfTrue="1" operator="equal">
      <formula>"Pass"</formula>
    </cfRule>
    <cfRule type="cellIs" dxfId="812" priority="652" stopIfTrue="1" operator="equal">
      <formula>"Fail"</formula>
    </cfRule>
  </conditionalFormatting>
  <conditionalFormatting sqref="F1066 F1068 I1066:M1067">
    <cfRule type="cellIs" dxfId="811" priority="649" stopIfTrue="1" operator="equal">
      <formula>"Pass"</formula>
    </cfRule>
    <cfRule type="cellIs" dxfId="810" priority="650" stopIfTrue="1" operator="equal">
      <formula>"Fail"</formula>
    </cfRule>
  </conditionalFormatting>
  <conditionalFormatting sqref="T1068 T1066 R1066:R1068 S1067:S1068">
    <cfRule type="cellIs" dxfId="809" priority="647" stopIfTrue="1" operator="equal">
      <formula>"Fail"</formula>
    </cfRule>
    <cfRule type="cellIs" dxfId="808" priority="648" stopIfTrue="1" operator="equal">
      <formula>"Pass"</formula>
    </cfRule>
  </conditionalFormatting>
  <conditionalFormatting sqref="F1066:G1066 F1068:G1068 J1066:N1067">
    <cfRule type="cellIs" dxfId="807" priority="645" stopIfTrue="1" operator="equal">
      <formula>"Pass"</formula>
    </cfRule>
    <cfRule type="cellIs" dxfId="806" priority="646" stopIfTrue="1" operator="equal">
      <formula>"Fail"</formula>
    </cfRule>
  </conditionalFormatting>
  <conditionalFormatting sqref="U1068:V1068 U1066:V1066 T1066:T1068 S1067:S1068">
    <cfRule type="cellIs" dxfId="805" priority="643" stopIfTrue="1" operator="equal">
      <formula>"Fail"</formula>
    </cfRule>
    <cfRule type="cellIs" dxfId="804" priority="644" stopIfTrue="1" operator="equal">
      <formula>"Pass"</formula>
    </cfRule>
  </conditionalFormatting>
  <conditionalFormatting sqref="J1066:N1067 F1066:G1068">
    <cfRule type="cellIs" dxfId="803" priority="641" stopIfTrue="1" operator="equal">
      <formula>"Pass"</formula>
    </cfRule>
    <cfRule type="cellIs" dxfId="802" priority="642" stopIfTrue="1" operator="equal">
      <formula>"Fail"</formula>
    </cfRule>
  </conditionalFormatting>
  <conditionalFormatting sqref="K1066:O1067 F1066:H1068">
    <cfRule type="cellIs" dxfId="801" priority="639" stopIfTrue="1" operator="equal">
      <formula>"Pass"</formula>
    </cfRule>
    <cfRule type="cellIs" dxfId="800" priority="640" stopIfTrue="1" operator="equal">
      <formula>"Fail"</formula>
    </cfRule>
  </conditionalFormatting>
  <conditionalFormatting sqref="T1066">
    <cfRule type="cellIs" dxfId="799" priority="637" stopIfTrue="1" operator="equal">
      <formula>"Fail"</formula>
    </cfRule>
    <cfRule type="cellIs" dxfId="798" priority="638" stopIfTrue="1" operator="equal">
      <formula>"Pass"</formula>
    </cfRule>
  </conditionalFormatting>
  <conditionalFormatting sqref="K1066:O1067 F1066:H1068">
    <cfRule type="cellIs" dxfId="797" priority="635" stopIfTrue="1" operator="equal">
      <formula>"Pass"</formula>
    </cfRule>
    <cfRule type="cellIs" dxfId="796" priority="636" stopIfTrue="1" operator="equal">
      <formula>"Fail"</formula>
    </cfRule>
  </conditionalFormatting>
  <conditionalFormatting sqref="T1066">
    <cfRule type="cellIs" dxfId="795" priority="633" stopIfTrue="1" operator="equal">
      <formula>"Fail"</formula>
    </cfRule>
    <cfRule type="cellIs" dxfId="794" priority="634" stopIfTrue="1" operator="equal">
      <formula>"Pass"</formula>
    </cfRule>
  </conditionalFormatting>
  <conditionalFormatting sqref="H1066">
    <cfRule type="cellIs" dxfId="793" priority="631" stopIfTrue="1" operator="equal">
      <formula>"Pass"</formula>
    </cfRule>
    <cfRule type="cellIs" dxfId="792" priority="632" stopIfTrue="1" operator="equal">
      <formula>"Fail"</formula>
    </cfRule>
  </conditionalFormatting>
  <conditionalFormatting sqref="I1066:M1066">
    <cfRule type="cellIs" dxfId="791" priority="629" stopIfTrue="1" operator="equal">
      <formula>"Pass"</formula>
    </cfRule>
    <cfRule type="cellIs" dxfId="790" priority="630" stopIfTrue="1" operator="equal">
      <formula>"Fail"</formula>
    </cfRule>
  </conditionalFormatting>
  <conditionalFormatting sqref="J1066:N1066">
    <cfRule type="cellIs" dxfId="789" priority="627" stopIfTrue="1" operator="equal">
      <formula>"Pass"</formula>
    </cfRule>
    <cfRule type="cellIs" dxfId="788" priority="628" stopIfTrue="1" operator="equal">
      <formula>"Fail"</formula>
    </cfRule>
  </conditionalFormatting>
  <conditionalFormatting sqref="J1066:N1066">
    <cfRule type="cellIs" dxfId="787" priority="625" stopIfTrue="1" operator="equal">
      <formula>"Pass"</formula>
    </cfRule>
    <cfRule type="cellIs" dxfId="786" priority="626" stopIfTrue="1" operator="equal">
      <formula>"Fail"</formula>
    </cfRule>
  </conditionalFormatting>
  <conditionalFormatting sqref="H1066">
    <cfRule type="cellIs" dxfId="785" priority="623" stopIfTrue="1" operator="equal">
      <formula>"Pass"</formula>
    </cfRule>
    <cfRule type="cellIs" dxfId="784" priority="624" stopIfTrue="1" operator="equal">
      <formula>"Fail"</formula>
    </cfRule>
  </conditionalFormatting>
  <conditionalFormatting sqref="I1066:M1066">
    <cfRule type="cellIs" dxfId="783" priority="621" stopIfTrue="1" operator="equal">
      <formula>"Pass"</formula>
    </cfRule>
    <cfRule type="cellIs" dxfId="782" priority="622" stopIfTrue="1" operator="equal">
      <formula>"Fail"</formula>
    </cfRule>
  </conditionalFormatting>
  <conditionalFormatting sqref="J1066:N1066">
    <cfRule type="cellIs" dxfId="781" priority="619" stopIfTrue="1" operator="equal">
      <formula>"Pass"</formula>
    </cfRule>
    <cfRule type="cellIs" dxfId="780" priority="620" stopIfTrue="1" operator="equal">
      <formula>"Fail"</formula>
    </cfRule>
  </conditionalFormatting>
  <conditionalFormatting sqref="J1066:N1066">
    <cfRule type="cellIs" dxfId="779" priority="617" stopIfTrue="1" operator="equal">
      <formula>"Pass"</formula>
    </cfRule>
    <cfRule type="cellIs" dxfId="778" priority="618" stopIfTrue="1" operator="equal">
      <formula>"Fail"</formula>
    </cfRule>
  </conditionalFormatting>
  <conditionalFormatting sqref="H1066">
    <cfRule type="cellIs" dxfId="777" priority="615" stopIfTrue="1" operator="equal">
      <formula>"Pass"</formula>
    </cfRule>
    <cfRule type="cellIs" dxfId="776" priority="616" stopIfTrue="1" operator="equal">
      <formula>"Fail"</formula>
    </cfRule>
  </conditionalFormatting>
  <conditionalFormatting sqref="I1066:M1066">
    <cfRule type="cellIs" dxfId="775" priority="613" stopIfTrue="1" operator="equal">
      <formula>"Pass"</formula>
    </cfRule>
    <cfRule type="cellIs" dxfId="774" priority="614" stopIfTrue="1" operator="equal">
      <formula>"Fail"</formula>
    </cfRule>
  </conditionalFormatting>
  <conditionalFormatting sqref="J1066:N1066">
    <cfRule type="cellIs" dxfId="773" priority="611" stopIfTrue="1" operator="equal">
      <formula>"Pass"</formula>
    </cfRule>
    <cfRule type="cellIs" dxfId="772" priority="612" stopIfTrue="1" operator="equal">
      <formula>"Fail"</formula>
    </cfRule>
  </conditionalFormatting>
  <conditionalFormatting sqref="J1066:N1066">
    <cfRule type="cellIs" dxfId="771" priority="609" stopIfTrue="1" operator="equal">
      <formula>"Pass"</formula>
    </cfRule>
    <cfRule type="cellIs" dxfId="770" priority="610" stopIfTrue="1" operator="equal">
      <formula>"Fail"</formula>
    </cfRule>
  </conditionalFormatting>
  <conditionalFormatting sqref="H1066">
    <cfRule type="cellIs" dxfId="769" priority="607" stopIfTrue="1" operator="equal">
      <formula>"Pass"</formula>
    </cfRule>
    <cfRule type="cellIs" dxfId="768" priority="608" stopIfTrue="1" operator="equal">
      <formula>"Fail"</formula>
    </cfRule>
  </conditionalFormatting>
  <conditionalFormatting sqref="I1066:M1066">
    <cfRule type="cellIs" dxfId="767" priority="605" stopIfTrue="1" operator="equal">
      <formula>"Pass"</formula>
    </cfRule>
    <cfRule type="cellIs" dxfId="766" priority="606" stopIfTrue="1" operator="equal">
      <formula>"Fail"</formula>
    </cfRule>
  </conditionalFormatting>
  <conditionalFormatting sqref="J1066:N1066">
    <cfRule type="cellIs" dxfId="765" priority="603" stopIfTrue="1" operator="equal">
      <formula>"Pass"</formula>
    </cfRule>
    <cfRule type="cellIs" dxfId="764" priority="604" stopIfTrue="1" operator="equal">
      <formula>"Fail"</formula>
    </cfRule>
  </conditionalFormatting>
  <conditionalFormatting sqref="J1066:N1066">
    <cfRule type="cellIs" dxfId="763" priority="601" stopIfTrue="1" operator="equal">
      <formula>"Pass"</formula>
    </cfRule>
    <cfRule type="cellIs" dxfId="762" priority="602" stopIfTrue="1" operator="equal">
      <formula>"Fail"</formula>
    </cfRule>
  </conditionalFormatting>
  <conditionalFormatting sqref="H1066">
    <cfRule type="cellIs" dxfId="761" priority="599" stopIfTrue="1" operator="equal">
      <formula>"Pass"</formula>
    </cfRule>
    <cfRule type="cellIs" dxfId="760" priority="600" stopIfTrue="1" operator="equal">
      <formula>"Fail"</formula>
    </cfRule>
  </conditionalFormatting>
  <conditionalFormatting sqref="I1066:M1066">
    <cfRule type="cellIs" dxfId="759" priority="597" stopIfTrue="1" operator="equal">
      <formula>"Pass"</formula>
    </cfRule>
    <cfRule type="cellIs" dxfId="758" priority="598" stopIfTrue="1" operator="equal">
      <formula>"Fail"</formula>
    </cfRule>
  </conditionalFormatting>
  <conditionalFormatting sqref="J1066:N1066">
    <cfRule type="cellIs" dxfId="757" priority="595" stopIfTrue="1" operator="equal">
      <formula>"Pass"</formula>
    </cfRule>
    <cfRule type="cellIs" dxfId="756" priority="596" stopIfTrue="1" operator="equal">
      <formula>"Fail"</formula>
    </cfRule>
  </conditionalFormatting>
  <conditionalFormatting sqref="J1066:N1066">
    <cfRule type="cellIs" dxfId="755" priority="593" stopIfTrue="1" operator="equal">
      <formula>"Pass"</formula>
    </cfRule>
    <cfRule type="cellIs" dxfId="754" priority="594" stopIfTrue="1" operator="equal">
      <formula>"Fail"</formula>
    </cfRule>
  </conditionalFormatting>
  <conditionalFormatting sqref="H1066">
    <cfRule type="cellIs" dxfId="753" priority="591" stopIfTrue="1" operator="equal">
      <formula>"Pass"</formula>
    </cfRule>
    <cfRule type="cellIs" dxfId="752" priority="592" stopIfTrue="1" operator="equal">
      <formula>"Fail"</formula>
    </cfRule>
  </conditionalFormatting>
  <conditionalFormatting sqref="I1066:M1066">
    <cfRule type="cellIs" dxfId="751" priority="589" stopIfTrue="1" operator="equal">
      <formula>"Pass"</formula>
    </cfRule>
    <cfRule type="cellIs" dxfId="750" priority="590" stopIfTrue="1" operator="equal">
      <formula>"Fail"</formula>
    </cfRule>
  </conditionalFormatting>
  <conditionalFormatting sqref="J1066:N1066">
    <cfRule type="cellIs" dxfId="749" priority="587" stopIfTrue="1" operator="equal">
      <formula>"Pass"</formula>
    </cfRule>
    <cfRule type="cellIs" dxfId="748" priority="588" stopIfTrue="1" operator="equal">
      <formula>"Fail"</formula>
    </cfRule>
  </conditionalFormatting>
  <conditionalFormatting sqref="J1066:N1066">
    <cfRule type="cellIs" dxfId="747" priority="585" stopIfTrue="1" operator="equal">
      <formula>"Pass"</formula>
    </cfRule>
    <cfRule type="cellIs" dxfId="746" priority="586" stopIfTrue="1" operator="equal">
      <formula>"Fail"</formula>
    </cfRule>
  </conditionalFormatting>
  <conditionalFormatting sqref="H1066">
    <cfRule type="cellIs" dxfId="745" priority="583" stopIfTrue="1" operator="equal">
      <formula>"Pass"</formula>
    </cfRule>
    <cfRule type="cellIs" dxfId="744" priority="584" stopIfTrue="1" operator="equal">
      <formula>"Fail"</formula>
    </cfRule>
  </conditionalFormatting>
  <conditionalFormatting sqref="I1066:M1066">
    <cfRule type="cellIs" dxfId="743" priority="581" stopIfTrue="1" operator="equal">
      <formula>"Pass"</formula>
    </cfRule>
    <cfRule type="cellIs" dxfId="742" priority="582" stopIfTrue="1" operator="equal">
      <formula>"Fail"</formula>
    </cfRule>
  </conditionalFormatting>
  <conditionalFormatting sqref="J1066:N1066">
    <cfRule type="cellIs" dxfId="741" priority="579" stopIfTrue="1" operator="equal">
      <formula>"Pass"</formula>
    </cfRule>
    <cfRule type="cellIs" dxfId="740" priority="580" stopIfTrue="1" operator="equal">
      <formula>"Fail"</formula>
    </cfRule>
  </conditionalFormatting>
  <conditionalFormatting sqref="F1066:G1066 J1066:N1066">
    <cfRule type="cellIs" dxfId="739" priority="577" stopIfTrue="1" operator="equal">
      <formula>"Pass"</formula>
    </cfRule>
    <cfRule type="cellIs" dxfId="738" priority="578" stopIfTrue="1" operator="equal">
      <formula>"Fail"</formula>
    </cfRule>
  </conditionalFormatting>
  <conditionalFormatting sqref="F1066:H1066 K1066:N1066">
    <cfRule type="cellIs" dxfId="737" priority="575" stopIfTrue="1" operator="equal">
      <formula>"Pass"</formula>
    </cfRule>
    <cfRule type="cellIs" dxfId="736" priority="576" stopIfTrue="1" operator="equal">
      <formula>"Fail"</formula>
    </cfRule>
  </conditionalFormatting>
  <conditionalFormatting sqref="H1066">
    <cfRule type="cellIs" dxfId="735" priority="573" stopIfTrue="1" operator="equal">
      <formula>"Pass"</formula>
    </cfRule>
    <cfRule type="cellIs" dxfId="734" priority="574" stopIfTrue="1" operator="equal">
      <formula>"Fail"</formula>
    </cfRule>
  </conditionalFormatting>
  <conditionalFormatting sqref="I1066:M1066">
    <cfRule type="cellIs" dxfId="733" priority="571" stopIfTrue="1" operator="equal">
      <formula>"Pass"</formula>
    </cfRule>
    <cfRule type="cellIs" dxfId="732" priority="572" stopIfTrue="1" operator="equal">
      <formula>"Fail"</formula>
    </cfRule>
  </conditionalFormatting>
  <conditionalFormatting sqref="J1066:N1066">
    <cfRule type="cellIs" dxfId="731" priority="569" stopIfTrue="1" operator="equal">
      <formula>"Pass"</formula>
    </cfRule>
    <cfRule type="cellIs" dxfId="730" priority="570" stopIfTrue="1" operator="equal">
      <formula>"Fail"</formula>
    </cfRule>
  </conditionalFormatting>
  <conditionalFormatting sqref="F1066:G1066 J1066:N1066">
    <cfRule type="cellIs" dxfId="729" priority="567" stopIfTrue="1" operator="equal">
      <formula>"Pass"</formula>
    </cfRule>
    <cfRule type="cellIs" dxfId="728" priority="568" stopIfTrue="1" operator="equal">
      <formula>"Fail"</formula>
    </cfRule>
  </conditionalFormatting>
  <conditionalFormatting sqref="K1066:N1066 F1066:H1066">
    <cfRule type="cellIs" dxfId="727" priority="565" stopIfTrue="1" operator="equal">
      <formula>"Pass"</formula>
    </cfRule>
    <cfRule type="cellIs" dxfId="726" priority="566" stopIfTrue="1" operator="equal">
      <formula>"Fail"</formula>
    </cfRule>
  </conditionalFormatting>
  <conditionalFormatting sqref="K1066:N1066 F1066:H1066">
    <cfRule type="cellIs" dxfId="725" priority="563" stopIfTrue="1" operator="equal">
      <formula>"Pass"</formula>
    </cfRule>
    <cfRule type="cellIs" dxfId="724" priority="564" stopIfTrue="1" operator="equal">
      <formula>"Fail"</formula>
    </cfRule>
  </conditionalFormatting>
  <conditionalFormatting sqref="H1066">
    <cfRule type="cellIs" dxfId="723" priority="561" stopIfTrue="1" operator="equal">
      <formula>"Pass"</formula>
    </cfRule>
    <cfRule type="cellIs" dxfId="722" priority="562" stopIfTrue="1" operator="equal">
      <formula>"Fail"</formula>
    </cfRule>
  </conditionalFormatting>
  <conditionalFormatting sqref="I1066:M1066">
    <cfRule type="cellIs" dxfId="721" priority="559" stopIfTrue="1" operator="equal">
      <formula>"Pass"</formula>
    </cfRule>
    <cfRule type="cellIs" dxfId="720" priority="560" stopIfTrue="1" operator="equal">
      <formula>"Fail"</formula>
    </cfRule>
  </conditionalFormatting>
  <conditionalFormatting sqref="J1066:N1066">
    <cfRule type="cellIs" dxfId="719" priority="557" stopIfTrue="1" operator="equal">
      <formula>"Pass"</formula>
    </cfRule>
    <cfRule type="cellIs" dxfId="718" priority="558" stopIfTrue="1" operator="equal">
      <formula>"Fail"</formula>
    </cfRule>
  </conditionalFormatting>
  <conditionalFormatting sqref="F1066:G1066 J1066:N1066">
    <cfRule type="cellIs" dxfId="717" priority="555" stopIfTrue="1" operator="equal">
      <formula>"Pass"</formula>
    </cfRule>
    <cfRule type="cellIs" dxfId="716" priority="556" stopIfTrue="1" operator="equal">
      <formula>"Fail"</formula>
    </cfRule>
  </conditionalFormatting>
  <conditionalFormatting sqref="F1066:H1066 K1066:N1066">
    <cfRule type="cellIs" dxfId="715" priority="553" stopIfTrue="1" operator="equal">
      <formula>"Pass"</formula>
    </cfRule>
    <cfRule type="cellIs" dxfId="714" priority="554" stopIfTrue="1" operator="equal">
      <formula>"Fail"</formula>
    </cfRule>
  </conditionalFormatting>
  <conditionalFormatting sqref="H1066">
    <cfRule type="cellIs" dxfId="713" priority="551" stopIfTrue="1" operator="equal">
      <formula>"Pass"</formula>
    </cfRule>
    <cfRule type="cellIs" dxfId="712" priority="552" stopIfTrue="1" operator="equal">
      <formula>"Fail"</formula>
    </cfRule>
  </conditionalFormatting>
  <conditionalFormatting sqref="I1066:M1066">
    <cfRule type="cellIs" dxfId="711" priority="549" stopIfTrue="1" operator="equal">
      <formula>"Pass"</formula>
    </cfRule>
    <cfRule type="cellIs" dxfId="710" priority="550" stopIfTrue="1" operator="equal">
      <formula>"Fail"</formula>
    </cfRule>
  </conditionalFormatting>
  <conditionalFormatting sqref="J1066:N1066">
    <cfRule type="cellIs" dxfId="709" priority="547" stopIfTrue="1" operator="equal">
      <formula>"Pass"</formula>
    </cfRule>
    <cfRule type="cellIs" dxfId="708" priority="548" stopIfTrue="1" operator="equal">
      <formula>"Fail"</formula>
    </cfRule>
  </conditionalFormatting>
  <conditionalFormatting sqref="F1066:G1066 J1066:N1066">
    <cfRule type="cellIs" dxfId="707" priority="545" stopIfTrue="1" operator="equal">
      <formula>"Pass"</formula>
    </cfRule>
    <cfRule type="cellIs" dxfId="706" priority="546" stopIfTrue="1" operator="equal">
      <formula>"Fail"</formula>
    </cfRule>
  </conditionalFormatting>
  <conditionalFormatting sqref="K1066:N1066 F1066:H1066">
    <cfRule type="cellIs" dxfId="705" priority="543" stopIfTrue="1" operator="equal">
      <formula>"Pass"</formula>
    </cfRule>
    <cfRule type="cellIs" dxfId="704" priority="544" stopIfTrue="1" operator="equal">
      <formula>"Fail"</formula>
    </cfRule>
  </conditionalFormatting>
  <conditionalFormatting sqref="K1066:N1066 F1066:H1066">
    <cfRule type="cellIs" dxfId="703" priority="541" stopIfTrue="1" operator="equal">
      <formula>"Pass"</formula>
    </cfRule>
    <cfRule type="cellIs" dxfId="702" priority="542" stopIfTrue="1" operator="equal">
      <formula>"Fail"</formula>
    </cfRule>
  </conditionalFormatting>
  <conditionalFormatting sqref="A1069:A1071">
    <cfRule type="cellIs" dxfId="701" priority="539" stopIfTrue="1" operator="equal">
      <formula>"Pass"</formula>
    </cfRule>
    <cfRule type="cellIs" dxfId="700" priority="540" stopIfTrue="1" operator="equal">
      <formula>"Fail"</formula>
    </cfRule>
  </conditionalFormatting>
  <conditionalFormatting sqref="A1069:A1071">
    <cfRule type="cellIs" dxfId="699" priority="537" stopIfTrue="1" operator="equal">
      <formula>"Pass"</formula>
    </cfRule>
    <cfRule type="cellIs" dxfId="698" priority="538" stopIfTrue="1" operator="equal">
      <formula>"Fail"</formula>
    </cfRule>
  </conditionalFormatting>
  <conditionalFormatting sqref="A1069:A1071">
    <cfRule type="cellIs" dxfId="697" priority="535" stopIfTrue="1" operator="equal">
      <formula>"Pass"</formula>
    </cfRule>
    <cfRule type="cellIs" dxfId="696" priority="536" stopIfTrue="1" operator="equal">
      <formula>"Fail"</formula>
    </cfRule>
  </conditionalFormatting>
  <conditionalFormatting sqref="A1069:A1071">
    <cfRule type="cellIs" dxfId="695" priority="533" stopIfTrue="1" operator="equal">
      <formula>"Pass"</formula>
    </cfRule>
    <cfRule type="cellIs" dxfId="694" priority="534" stopIfTrue="1" operator="equal">
      <formula>"Fail"</formula>
    </cfRule>
  </conditionalFormatting>
  <conditionalFormatting sqref="A1069:A1071">
    <cfRule type="cellIs" dxfId="693" priority="531" stopIfTrue="1" operator="equal">
      <formula>"Pass"</formula>
    </cfRule>
    <cfRule type="cellIs" dxfId="692" priority="532" stopIfTrue="1" operator="equal">
      <formula>"Fail"</formula>
    </cfRule>
  </conditionalFormatting>
  <conditionalFormatting sqref="A1071">
    <cfRule type="cellIs" dxfId="691" priority="529" stopIfTrue="1" operator="equal">
      <formula>"Pass"</formula>
    </cfRule>
    <cfRule type="cellIs" dxfId="690" priority="530" stopIfTrue="1" operator="equal">
      <formula>"Fail"</formula>
    </cfRule>
  </conditionalFormatting>
  <conditionalFormatting sqref="A1069:A1071">
    <cfRule type="cellIs" dxfId="689" priority="527" stopIfTrue="1" operator="equal">
      <formula>"Pass"</formula>
    </cfRule>
    <cfRule type="cellIs" dxfId="688" priority="528" stopIfTrue="1" operator="equal">
      <formula>"Fail"</formula>
    </cfRule>
  </conditionalFormatting>
  <conditionalFormatting sqref="A1069:A1071">
    <cfRule type="cellIs" dxfId="687" priority="525" stopIfTrue="1" operator="equal">
      <formula>"Pass"</formula>
    </cfRule>
    <cfRule type="cellIs" dxfId="686" priority="526" stopIfTrue="1" operator="equal">
      <formula>"Fail"</formula>
    </cfRule>
  </conditionalFormatting>
  <conditionalFormatting sqref="A1069:A1071">
    <cfRule type="cellIs" dxfId="685" priority="523" stopIfTrue="1" operator="equal">
      <formula>"Pass"</formula>
    </cfRule>
    <cfRule type="cellIs" dxfId="684" priority="524" stopIfTrue="1" operator="equal">
      <formula>"Fail"</formula>
    </cfRule>
  </conditionalFormatting>
  <conditionalFormatting sqref="A1069:A1071">
    <cfRule type="cellIs" dxfId="683" priority="521" stopIfTrue="1" operator="equal">
      <formula>"Pass"</formula>
    </cfRule>
    <cfRule type="cellIs" dxfId="682" priority="522" stopIfTrue="1" operator="equal">
      <formula>"Fail"</formula>
    </cfRule>
  </conditionalFormatting>
  <conditionalFormatting sqref="A1069:A1071">
    <cfRule type="cellIs" dxfId="681" priority="519" stopIfTrue="1" operator="equal">
      <formula>"Pass"</formula>
    </cfRule>
    <cfRule type="cellIs" dxfId="680" priority="520" stopIfTrue="1" operator="equal">
      <formula>"Fail"</formula>
    </cfRule>
  </conditionalFormatting>
  <conditionalFormatting sqref="A1069:A1071">
    <cfRule type="cellIs" dxfId="679" priority="517" stopIfTrue="1" operator="equal">
      <formula>"Pass"</formula>
    </cfRule>
    <cfRule type="cellIs" dxfId="678" priority="518" stopIfTrue="1" operator="equal">
      <formula>"Fail"</formula>
    </cfRule>
  </conditionalFormatting>
  <conditionalFormatting sqref="A1071">
    <cfRule type="cellIs" dxfId="677" priority="515" stopIfTrue="1" operator="equal">
      <formula>"Pass"</formula>
    </cfRule>
    <cfRule type="cellIs" dxfId="676" priority="516" stopIfTrue="1" operator="equal">
      <formula>"Fail"</formula>
    </cfRule>
  </conditionalFormatting>
  <conditionalFormatting sqref="A1069:A1071">
    <cfRule type="cellIs" dxfId="675" priority="513" stopIfTrue="1" operator="equal">
      <formula>"Pass"</formula>
    </cfRule>
    <cfRule type="cellIs" dxfId="674" priority="514" stopIfTrue="1" operator="equal">
      <formula>"Fail"</formula>
    </cfRule>
  </conditionalFormatting>
  <conditionalFormatting sqref="A1069:A1071">
    <cfRule type="cellIs" dxfId="673" priority="511" stopIfTrue="1" operator="equal">
      <formula>"Pass"</formula>
    </cfRule>
    <cfRule type="cellIs" dxfId="672" priority="512" stopIfTrue="1" operator="equal">
      <formula>"Fail"</formula>
    </cfRule>
  </conditionalFormatting>
  <conditionalFormatting sqref="A1069:A1071">
    <cfRule type="cellIs" dxfId="671" priority="509" stopIfTrue="1" operator="equal">
      <formula>"Pass"</formula>
    </cfRule>
    <cfRule type="cellIs" dxfId="670" priority="510" stopIfTrue="1" operator="equal">
      <formula>"Fail"</formula>
    </cfRule>
  </conditionalFormatting>
  <conditionalFormatting sqref="A1069:A1071">
    <cfRule type="cellIs" dxfId="669" priority="507" stopIfTrue="1" operator="equal">
      <formula>"Pass"</formula>
    </cfRule>
    <cfRule type="cellIs" dxfId="668" priority="508" stopIfTrue="1" operator="equal">
      <formula>"Fail"</formula>
    </cfRule>
  </conditionalFormatting>
  <conditionalFormatting sqref="A1069:A1071">
    <cfRule type="cellIs" dxfId="667" priority="505" stopIfTrue="1" operator="equal">
      <formula>"Pass"</formula>
    </cfRule>
    <cfRule type="cellIs" dxfId="666" priority="506" stopIfTrue="1" operator="equal">
      <formula>"Fail"</formula>
    </cfRule>
  </conditionalFormatting>
  <conditionalFormatting sqref="A1069:A1071">
    <cfRule type="cellIs" dxfId="665" priority="503" stopIfTrue="1" operator="equal">
      <formula>"Pass"</formula>
    </cfRule>
    <cfRule type="cellIs" dxfId="664" priority="504" stopIfTrue="1" operator="equal">
      <formula>"Fail"</formula>
    </cfRule>
  </conditionalFormatting>
  <conditionalFormatting sqref="A1071">
    <cfRule type="cellIs" dxfId="663" priority="501" stopIfTrue="1" operator="equal">
      <formula>"Pass"</formula>
    </cfRule>
    <cfRule type="cellIs" dxfId="662" priority="502" stopIfTrue="1" operator="equal">
      <formula>"Fail"</formula>
    </cfRule>
  </conditionalFormatting>
  <conditionalFormatting sqref="A1069:A1071">
    <cfRule type="cellIs" dxfId="661" priority="499" stopIfTrue="1" operator="equal">
      <formula>"Pass"</formula>
    </cfRule>
    <cfRule type="cellIs" dxfId="660" priority="500" stopIfTrue="1" operator="equal">
      <formula>"Fail"</formula>
    </cfRule>
  </conditionalFormatting>
  <conditionalFormatting sqref="A1069:A1071">
    <cfRule type="cellIs" dxfId="659" priority="497" stopIfTrue="1" operator="equal">
      <formula>"Pass"</formula>
    </cfRule>
    <cfRule type="cellIs" dxfId="658" priority="498" stopIfTrue="1" operator="equal">
      <formula>"Fail"</formula>
    </cfRule>
  </conditionalFormatting>
  <conditionalFormatting sqref="A1069:A1071">
    <cfRule type="cellIs" dxfId="657" priority="495" stopIfTrue="1" operator="equal">
      <formula>"Pass"</formula>
    </cfRule>
    <cfRule type="cellIs" dxfId="656" priority="496" stopIfTrue="1" operator="equal">
      <formula>"Fail"</formula>
    </cfRule>
  </conditionalFormatting>
  <conditionalFormatting sqref="A1069:A1071">
    <cfRule type="cellIs" dxfId="655" priority="493" stopIfTrue="1" operator="equal">
      <formula>"Pass"</formula>
    </cfRule>
    <cfRule type="cellIs" dxfId="654" priority="494" stopIfTrue="1" operator="equal">
      <formula>"Fail"</formula>
    </cfRule>
  </conditionalFormatting>
  <conditionalFormatting sqref="A1069:A1071">
    <cfRule type="cellIs" dxfId="653" priority="491" stopIfTrue="1" operator="equal">
      <formula>"Pass"</formula>
    </cfRule>
    <cfRule type="cellIs" dxfId="652" priority="492" stopIfTrue="1" operator="equal">
      <formula>"Fail"</formula>
    </cfRule>
  </conditionalFormatting>
  <conditionalFormatting sqref="A1069:A1071">
    <cfRule type="cellIs" dxfId="651" priority="489" stopIfTrue="1" operator="equal">
      <formula>"Pass"</formula>
    </cfRule>
    <cfRule type="cellIs" dxfId="650" priority="490" stopIfTrue="1" operator="equal">
      <formula>"Fail"</formula>
    </cfRule>
  </conditionalFormatting>
  <conditionalFormatting sqref="A1071">
    <cfRule type="cellIs" dxfId="649" priority="487" stopIfTrue="1" operator="equal">
      <formula>"Pass"</formula>
    </cfRule>
    <cfRule type="cellIs" dxfId="648" priority="488" stopIfTrue="1" operator="equal">
      <formula>"Fail"</formula>
    </cfRule>
  </conditionalFormatting>
  <conditionalFormatting sqref="A1069:A1071">
    <cfRule type="cellIs" dxfId="647" priority="485" stopIfTrue="1" operator="equal">
      <formula>"Pass"</formula>
    </cfRule>
    <cfRule type="cellIs" dxfId="646" priority="486" stopIfTrue="1" operator="equal">
      <formula>"Fail"</formula>
    </cfRule>
  </conditionalFormatting>
  <conditionalFormatting sqref="A1069:A1071">
    <cfRule type="cellIs" dxfId="645" priority="483" stopIfTrue="1" operator="equal">
      <formula>"Pass"</formula>
    </cfRule>
    <cfRule type="cellIs" dxfId="644" priority="484" stopIfTrue="1" operator="equal">
      <formula>"Fail"</formula>
    </cfRule>
  </conditionalFormatting>
  <conditionalFormatting sqref="A1069:A1071">
    <cfRule type="cellIs" dxfId="643" priority="481" stopIfTrue="1" operator="equal">
      <formula>"Pass"</formula>
    </cfRule>
    <cfRule type="cellIs" dxfId="642" priority="482" stopIfTrue="1" operator="equal">
      <formula>"Fail"</formula>
    </cfRule>
  </conditionalFormatting>
  <conditionalFormatting sqref="A1069:A1071">
    <cfRule type="cellIs" dxfId="641" priority="479" stopIfTrue="1" operator="equal">
      <formula>"Pass"</formula>
    </cfRule>
    <cfRule type="cellIs" dxfId="640" priority="480" stopIfTrue="1" operator="equal">
      <formula>"Fail"</formula>
    </cfRule>
  </conditionalFormatting>
  <conditionalFormatting sqref="A1069:A1071">
    <cfRule type="cellIs" dxfId="639" priority="477" stopIfTrue="1" operator="equal">
      <formula>"Pass"</formula>
    </cfRule>
    <cfRule type="cellIs" dxfId="638" priority="478" stopIfTrue="1" operator="equal">
      <formula>"Fail"</formula>
    </cfRule>
  </conditionalFormatting>
  <conditionalFormatting sqref="A1069:A1071">
    <cfRule type="cellIs" dxfId="637" priority="475" stopIfTrue="1" operator="equal">
      <formula>"Pass"</formula>
    </cfRule>
    <cfRule type="cellIs" dxfId="636" priority="476" stopIfTrue="1" operator="equal">
      <formula>"Fail"</formula>
    </cfRule>
  </conditionalFormatting>
  <conditionalFormatting sqref="A1071">
    <cfRule type="cellIs" dxfId="635" priority="473" stopIfTrue="1" operator="equal">
      <formula>"Pass"</formula>
    </cfRule>
    <cfRule type="cellIs" dxfId="634" priority="474" stopIfTrue="1" operator="equal">
      <formula>"Fail"</formula>
    </cfRule>
  </conditionalFormatting>
  <conditionalFormatting sqref="A1069:A1071">
    <cfRule type="cellIs" dxfId="633" priority="471" stopIfTrue="1" operator="equal">
      <formula>"Pass"</formula>
    </cfRule>
    <cfRule type="cellIs" dxfId="632" priority="472" stopIfTrue="1" operator="equal">
      <formula>"Fail"</formula>
    </cfRule>
  </conditionalFormatting>
  <conditionalFormatting sqref="A1069:A1071">
    <cfRule type="cellIs" dxfId="631" priority="469" stopIfTrue="1" operator="equal">
      <formula>"Pass"</formula>
    </cfRule>
    <cfRule type="cellIs" dxfId="630" priority="470" stopIfTrue="1" operator="equal">
      <formula>"Fail"</formula>
    </cfRule>
  </conditionalFormatting>
  <conditionalFormatting sqref="A1069:A1071">
    <cfRule type="cellIs" dxfId="629" priority="467" stopIfTrue="1" operator="equal">
      <formula>"Pass"</formula>
    </cfRule>
    <cfRule type="cellIs" dxfId="628" priority="468" stopIfTrue="1" operator="equal">
      <formula>"Fail"</formula>
    </cfRule>
  </conditionalFormatting>
  <conditionalFormatting sqref="A1069:A1071">
    <cfRule type="cellIs" dxfId="627" priority="465" stopIfTrue="1" operator="equal">
      <formula>"Pass"</formula>
    </cfRule>
    <cfRule type="cellIs" dxfId="626" priority="466" stopIfTrue="1" operator="equal">
      <formula>"Fail"</formula>
    </cfRule>
  </conditionalFormatting>
  <conditionalFormatting sqref="A1069:A1071">
    <cfRule type="cellIs" dxfId="625" priority="463" stopIfTrue="1" operator="equal">
      <formula>"Pass"</formula>
    </cfRule>
    <cfRule type="cellIs" dxfId="624" priority="464" stopIfTrue="1" operator="equal">
      <formula>"Fail"</formula>
    </cfRule>
  </conditionalFormatting>
  <conditionalFormatting sqref="A1069:A1071">
    <cfRule type="cellIs" dxfId="623" priority="461" stopIfTrue="1" operator="equal">
      <formula>"Pass"</formula>
    </cfRule>
    <cfRule type="cellIs" dxfId="622" priority="462" stopIfTrue="1" operator="equal">
      <formula>"Fail"</formula>
    </cfRule>
  </conditionalFormatting>
  <conditionalFormatting sqref="A1071">
    <cfRule type="cellIs" dxfId="621" priority="459" stopIfTrue="1" operator="equal">
      <formula>"Pass"</formula>
    </cfRule>
    <cfRule type="cellIs" dxfId="620" priority="460" stopIfTrue="1" operator="equal">
      <formula>"Fail"</formula>
    </cfRule>
  </conditionalFormatting>
  <conditionalFormatting sqref="A1069:A1071">
    <cfRule type="cellIs" dxfId="619" priority="457" stopIfTrue="1" operator="equal">
      <formula>"Pass"</formula>
    </cfRule>
    <cfRule type="cellIs" dxfId="618" priority="458" stopIfTrue="1" operator="equal">
      <formula>"Fail"</formula>
    </cfRule>
  </conditionalFormatting>
  <conditionalFormatting sqref="A1069">
    <cfRule type="cellIs" dxfId="617" priority="455" stopIfTrue="1" operator="equal">
      <formula>"Pass"</formula>
    </cfRule>
    <cfRule type="cellIs" dxfId="616" priority="456" stopIfTrue="1" operator="equal">
      <formula>"Fail"</formula>
    </cfRule>
  </conditionalFormatting>
  <conditionalFormatting sqref="A1069">
    <cfRule type="cellIs" dxfId="615" priority="453" stopIfTrue="1" operator="equal">
      <formula>"Pass"</formula>
    </cfRule>
    <cfRule type="cellIs" dxfId="614" priority="454" stopIfTrue="1" operator="equal">
      <formula>"Fail"</formula>
    </cfRule>
  </conditionalFormatting>
  <conditionalFormatting sqref="A1069">
    <cfRule type="cellIs" dxfId="613" priority="451" stopIfTrue="1" operator="equal">
      <formula>"Pass"</formula>
    </cfRule>
    <cfRule type="cellIs" dxfId="612" priority="452" stopIfTrue="1" operator="equal">
      <formula>"Fail"</formula>
    </cfRule>
  </conditionalFormatting>
  <conditionalFormatting sqref="A1069">
    <cfRule type="cellIs" dxfId="611" priority="449" stopIfTrue="1" operator="equal">
      <formula>"Pass"</formula>
    </cfRule>
    <cfRule type="cellIs" dxfId="610" priority="450" stopIfTrue="1" operator="equal">
      <formula>"Fail"</formula>
    </cfRule>
  </conditionalFormatting>
  <conditionalFormatting sqref="A1069">
    <cfRule type="cellIs" dxfId="609" priority="447" stopIfTrue="1" operator="equal">
      <formula>"Pass"</formula>
    </cfRule>
    <cfRule type="cellIs" dxfId="608" priority="448" stopIfTrue="1" operator="equal">
      <formula>"Fail"</formula>
    </cfRule>
  </conditionalFormatting>
  <conditionalFormatting sqref="A1069">
    <cfRule type="cellIs" dxfId="607" priority="445" stopIfTrue="1" operator="equal">
      <formula>"Pass"</formula>
    </cfRule>
    <cfRule type="cellIs" dxfId="606" priority="446" stopIfTrue="1" operator="equal">
      <formula>"Fail"</formula>
    </cfRule>
  </conditionalFormatting>
  <conditionalFormatting sqref="A1069">
    <cfRule type="cellIs" dxfId="605" priority="443" stopIfTrue="1" operator="equal">
      <formula>"Pass"</formula>
    </cfRule>
    <cfRule type="cellIs" dxfId="604" priority="444" stopIfTrue="1" operator="equal">
      <formula>"Fail"</formula>
    </cfRule>
  </conditionalFormatting>
  <conditionalFormatting sqref="A1069">
    <cfRule type="cellIs" dxfId="603" priority="441" stopIfTrue="1" operator="equal">
      <formula>"Pass"</formula>
    </cfRule>
    <cfRule type="cellIs" dxfId="602" priority="442" stopIfTrue="1" operator="equal">
      <formula>"Fail"</formula>
    </cfRule>
  </conditionalFormatting>
  <conditionalFormatting sqref="A1069">
    <cfRule type="cellIs" dxfId="601" priority="439" stopIfTrue="1" operator="equal">
      <formula>"Pass"</formula>
    </cfRule>
    <cfRule type="cellIs" dxfId="600" priority="440" stopIfTrue="1" operator="equal">
      <formula>"Fail"</formula>
    </cfRule>
  </conditionalFormatting>
  <conditionalFormatting sqref="A1069">
    <cfRule type="cellIs" dxfId="599" priority="437" stopIfTrue="1" operator="equal">
      <formula>"Pass"</formula>
    </cfRule>
    <cfRule type="cellIs" dxfId="598" priority="438" stopIfTrue="1" operator="equal">
      <formula>"Fail"</formula>
    </cfRule>
  </conditionalFormatting>
  <conditionalFormatting sqref="A1069">
    <cfRule type="cellIs" dxfId="597" priority="435" stopIfTrue="1" operator="equal">
      <formula>"Pass"</formula>
    </cfRule>
    <cfRule type="cellIs" dxfId="596" priority="436" stopIfTrue="1" operator="equal">
      <formula>"Fail"</formula>
    </cfRule>
  </conditionalFormatting>
  <conditionalFormatting sqref="A1069">
    <cfRule type="cellIs" dxfId="595" priority="433" stopIfTrue="1" operator="equal">
      <formula>"Pass"</formula>
    </cfRule>
    <cfRule type="cellIs" dxfId="594" priority="434" stopIfTrue="1" operator="equal">
      <formula>"Fail"</formula>
    </cfRule>
  </conditionalFormatting>
  <conditionalFormatting sqref="A1069">
    <cfRule type="cellIs" dxfId="593" priority="431" stopIfTrue="1" operator="equal">
      <formula>"Pass"</formula>
    </cfRule>
    <cfRule type="cellIs" dxfId="592" priority="432" stopIfTrue="1" operator="equal">
      <formula>"Fail"</formula>
    </cfRule>
  </conditionalFormatting>
  <conditionalFormatting sqref="A1069">
    <cfRule type="cellIs" dxfId="591" priority="429" stopIfTrue="1" operator="equal">
      <formula>"Pass"</formula>
    </cfRule>
    <cfRule type="cellIs" dxfId="590" priority="430" stopIfTrue="1" operator="equal">
      <formula>"Fail"</formula>
    </cfRule>
  </conditionalFormatting>
  <conditionalFormatting sqref="A1069">
    <cfRule type="cellIs" dxfId="589" priority="427" stopIfTrue="1" operator="equal">
      <formula>"Pass"</formula>
    </cfRule>
    <cfRule type="cellIs" dxfId="588" priority="428" stopIfTrue="1" operator="equal">
      <formula>"Fail"</formula>
    </cfRule>
  </conditionalFormatting>
  <conditionalFormatting sqref="A1069">
    <cfRule type="cellIs" dxfId="587" priority="425" stopIfTrue="1" operator="equal">
      <formula>"Pass"</formula>
    </cfRule>
    <cfRule type="cellIs" dxfId="586" priority="426" stopIfTrue="1" operator="equal">
      <formula>"Fail"</formula>
    </cfRule>
  </conditionalFormatting>
  <conditionalFormatting sqref="A1069">
    <cfRule type="cellIs" dxfId="585" priority="423" stopIfTrue="1" operator="equal">
      <formula>"Pass"</formula>
    </cfRule>
    <cfRule type="cellIs" dxfId="584" priority="424" stopIfTrue="1" operator="equal">
      <formula>"Fail"</formula>
    </cfRule>
  </conditionalFormatting>
  <conditionalFormatting sqref="A1069">
    <cfRule type="cellIs" dxfId="583" priority="421" stopIfTrue="1" operator="equal">
      <formula>"Pass"</formula>
    </cfRule>
    <cfRule type="cellIs" dxfId="582" priority="422" stopIfTrue="1" operator="equal">
      <formula>"Fail"</formula>
    </cfRule>
  </conditionalFormatting>
  <conditionalFormatting sqref="J1069:J1070">
    <cfRule type="cellIs" dxfId="581" priority="419" stopIfTrue="1" operator="equal">
      <formula>"Pass"</formula>
    </cfRule>
    <cfRule type="cellIs" dxfId="580" priority="420" stopIfTrue="1" operator="equal">
      <formula>"Fail"</formula>
    </cfRule>
  </conditionalFormatting>
  <conditionalFormatting sqref="H1069:H1070 I1070">
    <cfRule type="cellIs" dxfId="579" priority="417" stopIfTrue="1" operator="equal">
      <formula>"Pass"</formula>
    </cfRule>
    <cfRule type="cellIs" dxfId="578" priority="418" stopIfTrue="1" operator="equal">
      <formula>"Fail"</formula>
    </cfRule>
  </conditionalFormatting>
  <conditionalFormatting sqref="A1069 C1069 F1071 F1069:G1069 K1069:N1070">
    <cfRule type="cellIs" dxfId="577" priority="415" stopIfTrue="1" operator="equal">
      <formula>"Pass"</formula>
    </cfRule>
    <cfRule type="cellIs" dxfId="576" priority="416" stopIfTrue="1" operator="equal">
      <formula>"Fail"</formula>
    </cfRule>
  </conditionalFormatting>
  <conditionalFormatting sqref="T1069:T1071 U1070:V1071">
    <cfRule type="cellIs" dxfId="575" priority="413" stopIfTrue="1" operator="equal">
      <formula>"Fail"</formula>
    </cfRule>
    <cfRule type="cellIs" dxfId="574" priority="414" stopIfTrue="1" operator="equal">
      <formula>"Pass"</formula>
    </cfRule>
  </conditionalFormatting>
  <conditionalFormatting sqref="A1069">
    <cfRule type="cellIs" dxfId="573" priority="411" stopIfTrue="1" operator="equal">
      <formula>"Pass"</formula>
    </cfRule>
    <cfRule type="cellIs" dxfId="572" priority="412" stopIfTrue="1" operator="equal">
      <formula>"Fail"</formula>
    </cfRule>
  </conditionalFormatting>
  <conditionalFormatting sqref="A1069">
    <cfRule type="cellIs" dxfId="571" priority="409" stopIfTrue="1" operator="equal">
      <formula>"Pass"</formula>
    </cfRule>
    <cfRule type="cellIs" dxfId="570" priority="410" stopIfTrue="1" operator="equal">
      <formula>"Fail"</formula>
    </cfRule>
  </conditionalFormatting>
  <conditionalFormatting sqref="A1069">
    <cfRule type="cellIs" dxfId="569" priority="407" stopIfTrue="1" operator="equal">
      <formula>"Pass"</formula>
    </cfRule>
    <cfRule type="cellIs" dxfId="568" priority="408" stopIfTrue="1" operator="equal">
      <formula>"Fail"</formula>
    </cfRule>
  </conditionalFormatting>
  <conditionalFormatting sqref="A1069">
    <cfRule type="cellIs" dxfId="567" priority="405" stopIfTrue="1" operator="equal">
      <formula>"Pass"</formula>
    </cfRule>
    <cfRule type="cellIs" dxfId="566" priority="406" stopIfTrue="1" operator="equal">
      <formula>"Fail"</formula>
    </cfRule>
  </conditionalFormatting>
  <conditionalFormatting sqref="A1069">
    <cfRule type="cellIs" dxfId="565" priority="403" stopIfTrue="1" operator="equal">
      <formula>"Pass"</formula>
    </cfRule>
    <cfRule type="cellIs" dxfId="564" priority="404" stopIfTrue="1" operator="equal">
      <formula>"Fail"</formula>
    </cfRule>
  </conditionalFormatting>
  <conditionalFormatting sqref="A1069">
    <cfRule type="cellIs" dxfId="563" priority="401" stopIfTrue="1" operator="equal">
      <formula>"Pass"</formula>
    </cfRule>
    <cfRule type="cellIs" dxfId="562" priority="402" stopIfTrue="1" operator="equal">
      <formula>"Fail"</formula>
    </cfRule>
  </conditionalFormatting>
  <conditionalFormatting sqref="A1069">
    <cfRule type="cellIs" dxfId="561" priority="399" stopIfTrue="1" operator="equal">
      <formula>"Pass"</formula>
    </cfRule>
    <cfRule type="cellIs" dxfId="560" priority="400" stopIfTrue="1" operator="equal">
      <formula>"Fail"</formula>
    </cfRule>
  </conditionalFormatting>
  <conditionalFormatting sqref="A1069">
    <cfRule type="cellIs" dxfId="559" priority="397" stopIfTrue="1" operator="equal">
      <formula>"Pass"</formula>
    </cfRule>
    <cfRule type="cellIs" dxfId="558" priority="398" stopIfTrue="1" operator="equal">
      <formula>"Fail"</formula>
    </cfRule>
  </conditionalFormatting>
  <conditionalFormatting sqref="A1069">
    <cfRule type="cellIs" dxfId="557" priority="395" stopIfTrue="1" operator="equal">
      <formula>"Pass"</formula>
    </cfRule>
    <cfRule type="cellIs" dxfId="556" priority="396" stopIfTrue="1" operator="equal">
      <formula>"Fail"</formula>
    </cfRule>
  </conditionalFormatting>
  <conditionalFormatting sqref="A1069">
    <cfRule type="cellIs" dxfId="555" priority="393" stopIfTrue="1" operator="equal">
      <formula>"Pass"</formula>
    </cfRule>
    <cfRule type="cellIs" dxfId="554" priority="394" stopIfTrue="1" operator="equal">
      <formula>"Fail"</formula>
    </cfRule>
  </conditionalFormatting>
  <conditionalFormatting sqref="A1069">
    <cfRule type="cellIs" dxfId="553" priority="391" stopIfTrue="1" operator="equal">
      <formula>"Pass"</formula>
    </cfRule>
    <cfRule type="cellIs" dxfId="552" priority="392" stopIfTrue="1" operator="equal">
      <formula>"Fail"</formula>
    </cfRule>
  </conditionalFormatting>
  <conditionalFormatting sqref="A1069">
    <cfRule type="cellIs" dxfId="551" priority="389" stopIfTrue="1" operator="equal">
      <formula>"Pass"</formula>
    </cfRule>
    <cfRule type="cellIs" dxfId="550" priority="390" stopIfTrue="1" operator="equal">
      <formula>"Fail"</formula>
    </cfRule>
  </conditionalFormatting>
  <conditionalFormatting sqref="A1069">
    <cfRule type="cellIs" dxfId="549" priority="387" stopIfTrue="1" operator="equal">
      <formula>"Pass"</formula>
    </cfRule>
    <cfRule type="cellIs" dxfId="548" priority="388" stopIfTrue="1" operator="equal">
      <formula>"Fail"</formula>
    </cfRule>
  </conditionalFormatting>
  <conditionalFormatting sqref="A1069">
    <cfRule type="cellIs" dxfId="547" priority="385" stopIfTrue="1" operator="equal">
      <formula>"Pass"</formula>
    </cfRule>
    <cfRule type="cellIs" dxfId="546" priority="386" stopIfTrue="1" operator="equal">
      <formula>"Fail"</formula>
    </cfRule>
  </conditionalFormatting>
  <conditionalFormatting sqref="A1069">
    <cfRule type="cellIs" dxfId="545" priority="383" stopIfTrue="1" operator="equal">
      <formula>"Pass"</formula>
    </cfRule>
    <cfRule type="cellIs" dxfId="544" priority="384" stopIfTrue="1" operator="equal">
      <formula>"Fail"</formula>
    </cfRule>
  </conditionalFormatting>
  <conditionalFormatting sqref="A1069">
    <cfRule type="cellIs" dxfId="543" priority="381" stopIfTrue="1" operator="equal">
      <formula>"Pass"</formula>
    </cfRule>
    <cfRule type="cellIs" dxfId="542" priority="382" stopIfTrue="1" operator="equal">
      <formula>"Fail"</formula>
    </cfRule>
  </conditionalFormatting>
  <conditionalFormatting sqref="U1069:V1069">
    <cfRule type="cellIs" dxfId="541" priority="379" stopIfTrue="1" operator="equal">
      <formula>"Fail"</formula>
    </cfRule>
    <cfRule type="cellIs" dxfId="540" priority="380" stopIfTrue="1" operator="equal">
      <formula>"Pass"</formula>
    </cfRule>
  </conditionalFormatting>
  <conditionalFormatting sqref="U1069:V1069">
    <cfRule type="cellIs" dxfId="539" priority="377" stopIfTrue="1" operator="equal">
      <formula>"Fail"</formula>
    </cfRule>
    <cfRule type="cellIs" dxfId="538" priority="378" stopIfTrue="1" operator="equal">
      <formula>"Pass"</formula>
    </cfRule>
  </conditionalFormatting>
  <conditionalFormatting sqref="J1069:J1070">
    <cfRule type="cellIs" dxfId="537" priority="375" stopIfTrue="1" operator="equal">
      <formula>"Pass"</formula>
    </cfRule>
    <cfRule type="cellIs" dxfId="536" priority="376" stopIfTrue="1" operator="equal">
      <formula>"Fail"</formula>
    </cfRule>
  </conditionalFormatting>
  <conditionalFormatting sqref="H1069:H1070 I1070">
    <cfRule type="cellIs" dxfId="535" priority="373" stopIfTrue="1" operator="equal">
      <formula>"Pass"</formula>
    </cfRule>
    <cfRule type="cellIs" dxfId="534" priority="374" stopIfTrue="1" operator="equal">
      <formula>"Fail"</formula>
    </cfRule>
  </conditionalFormatting>
  <conditionalFormatting sqref="F1071 F1069:G1069 K1069:N1070">
    <cfRule type="cellIs" dxfId="533" priority="371" stopIfTrue="1" operator="equal">
      <formula>"Pass"</formula>
    </cfRule>
    <cfRule type="cellIs" dxfId="532" priority="372" stopIfTrue="1" operator="equal">
      <formula>"Fail"</formula>
    </cfRule>
  </conditionalFormatting>
  <conditionalFormatting sqref="T1069:T1071 U1070:V1071">
    <cfRule type="cellIs" dxfId="531" priority="369" stopIfTrue="1" operator="equal">
      <formula>"Fail"</formula>
    </cfRule>
    <cfRule type="cellIs" dxfId="530" priority="370" stopIfTrue="1" operator="equal">
      <formula>"Pass"</formula>
    </cfRule>
  </conditionalFormatting>
  <conditionalFormatting sqref="U1069:V1069">
    <cfRule type="cellIs" dxfId="529" priority="367" stopIfTrue="1" operator="equal">
      <formula>"Fail"</formula>
    </cfRule>
    <cfRule type="cellIs" dxfId="528" priority="368" stopIfTrue="1" operator="equal">
      <formula>"Pass"</formula>
    </cfRule>
  </conditionalFormatting>
  <conditionalFormatting sqref="U1069:V1069">
    <cfRule type="cellIs" dxfId="527" priority="365" stopIfTrue="1" operator="equal">
      <formula>"Fail"</formula>
    </cfRule>
    <cfRule type="cellIs" dxfId="526" priority="366" stopIfTrue="1" operator="equal">
      <formula>"Pass"</formula>
    </cfRule>
  </conditionalFormatting>
  <conditionalFormatting sqref="F1069:G1069 K1069:N1069">
    <cfRule type="cellIs" dxfId="525" priority="363" stopIfTrue="1" operator="equal">
      <formula>"Pass"</formula>
    </cfRule>
    <cfRule type="cellIs" dxfId="524" priority="364" stopIfTrue="1" operator="equal">
      <formula>"Fail"</formula>
    </cfRule>
  </conditionalFormatting>
  <conditionalFormatting sqref="K1070:N1070">
    <cfRule type="cellIs" dxfId="523" priority="361" stopIfTrue="1" operator="equal">
      <formula>"Pass"</formula>
    </cfRule>
    <cfRule type="cellIs" dxfId="522" priority="362" stopIfTrue="1" operator="equal">
      <formula>"Fail"</formula>
    </cfRule>
  </conditionalFormatting>
  <conditionalFormatting sqref="U1069:V1069">
    <cfRule type="cellIs" dxfId="521" priority="359" stopIfTrue="1" operator="equal">
      <formula>"Fail"</formula>
    </cfRule>
    <cfRule type="cellIs" dxfId="520" priority="360" stopIfTrue="1" operator="equal">
      <formula>"Pass"</formula>
    </cfRule>
  </conditionalFormatting>
  <conditionalFormatting sqref="A1069">
    <cfRule type="cellIs" dxfId="519" priority="357" stopIfTrue="1" operator="equal">
      <formula>"Pass"</formula>
    </cfRule>
    <cfRule type="cellIs" dxfId="518" priority="358" stopIfTrue="1" operator="equal">
      <formula>"Fail"</formula>
    </cfRule>
  </conditionalFormatting>
  <conditionalFormatting sqref="A1069">
    <cfRule type="cellIs" dxfId="517" priority="355" stopIfTrue="1" operator="equal">
      <formula>"Pass"</formula>
    </cfRule>
    <cfRule type="cellIs" dxfId="516" priority="356" stopIfTrue="1" operator="equal">
      <formula>"Fail"</formula>
    </cfRule>
  </conditionalFormatting>
  <conditionalFormatting sqref="A1069">
    <cfRule type="cellIs" dxfId="515" priority="353" stopIfTrue="1" operator="equal">
      <formula>"Pass"</formula>
    </cfRule>
    <cfRule type="cellIs" dxfId="514" priority="354" stopIfTrue="1" operator="equal">
      <formula>"Fail"</formula>
    </cfRule>
  </conditionalFormatting>
  <conditionalFormatting sqref="A1069">
    <cfRule type="cellIs" dxfId="513" priority="351" stopIfTrue="1" operator="equal">
      <formula>"Pass"</formula>
    </cfRule>
    <cfRule type="cellIs" dxfId="512" priority="352" stopIfTrue="1" operator="equal">
      <formula>"Fail"</formula>
    </cfRule>
  </conditionalFormatting>
  <conditionalFormatting sqref="A1069">
    <cfRule type="cellIs" dxfId="511" priority="349" stopIfTrue="1" operator="equal">
      <formula>"Pass"</formula>
    </cfRule>
    <cfRule type="cellIs" dxfId="510" priority="350" stopIfTrue="1" operator="equal">
      <formula>"Fail"</formula>
    </cfRule>
  </conditionalFormatting>
  <conditionalFormatting sqref="A1069">
    <cfRule type="cellIs" dxfId="509" priority="347" stopIfTrue="1" operator="equal">
      <formula>"Pass"</formula>
    </cfRule>
    <cfRule type="cellIs" dxfId="508" priority="348" stopIfTrue="1" operator="equal">
      <formula>"Fail"</formula>
    </cfRule>
  </conditionalFormatting>
  <conditionalFormatting sqref="A1069">
    <cfRule type="cellIs" dxfId="507" priority="345" stopIfTrue="1" operator="equal">
      <formula>"Pass"</formula>
    </cfRule>
    <cfRule type="cellIs" dxfId="506" priority="346" stopIfTrue="1" operator="equal">
      <formula>"Fail"</formula>
    </cfRule>
  </conditionalFormatting>
  <conditionalFormatting sqref="A1069">
    <cfRule type="cellIs" dxfId="505" priority="343" stopIfTrue="1" operator="equal">
      <formula>"Pass"</formula>
    </cfRule>
    <cfRule type="cellIs" dxfId="504" priority="344" stopIfTrue="1" operator="equal">
      <formula>"Fail"</formula>
    </cfRule>
  </conditionalFormatting>
  <conditionalFormatting sqref="A1069">
    <cfRule type="cellIs" dxfId="503" priority="341" stopIfTrue="1" operator="equal">
      <formula>"Pass"</formula>
    </cfRule>
    <cfRule type="cellIs" dxfId="502" priority="342" stopIfTrue="1" operator="equal">
      <formula>"Fail"</formula>
    </cfRule>
  </conditionalFormatting>
  <conditionalFormatting sqref="A1069">
    <cfRule type="cellIs" dxfId="501" priority="339" stopIfTrue="1" operator="equal">
      <formula>"Pass"</formula>
    </cfRule>
    <cfRule type="cellIs" dxfId="500" priority="340" stopIfTrue="1" operator="equal">
      <formula>"Fail"</formula>
    </cfRule>
  </conditionalFormatting>
  <conditionalFormatting sqref="A1069">
    <cfRule type="cellIs" dxfId="499" priority="337" stopIfTrue="1" operator="equal">
      <formula>"Pass"</formula>
    </cfRule>
    <cfRule type="cellIs" dxfId="498" priority="338" stopIfTrue="1" operator="equal">
      <formula>"Fail"</formula>
    </cfRule>
  </conditionalFormatting>
  <conditionalFormatting sqref="A1069">
    <cfRule type="cellIs" dxfId="497" priority="335" stopIfTrue="1" operator="equal">
      <formula>"Pass"</formula>
    </cfRule>
    <cfRule type="cellIs" dxfId="496" priority="336" stopIfTrue="1" operator="equal">
      <formula>"Fail"</formula>
    </cfRule>
  </conditionalFormatting>
  <conditionalFormatting sqref="J1069:J1070">
    <cfRule type="cellIs" dxfId="495" priority="333" stopIfTrue="1" operator="equal">
      <formula>"Pass"</formula>
    </cfRule>
    <cfRule type="cellIs" dxfId="494" priority="334" stopIfTrue="1" operator="equal">
      <formula>"Fail"</formula>
    </cfRule>
  </conditionalFormatting>
  <conditionalFormatting sqref="H1069:H1070 I1070">
    <cfRule type="cellIs" dxfId="493" priority="331" stopIfTrue="1" operator="equal">
      <formula>"Pass"</formula>
    </cfRule>
    <cfRule type="cellIs" dxfId="492" priority="332" stopIfTrue="1" operator="equal">
      <formula>"Fail"</formula>
    </cfRule>
  </conditionalFormatting>
  <conditionalFormatting sqref="F1071 F1069:G1069 K1069:N1070">
    <cfRule type="cellIs" dxfId="491" priority="329" stopIfTrue="1" operator="equal">
      <formula>"Pass"</formula>
    </cfRule>
    <cfRule type="cellIs" dxfId="490" priority="330" stopIfTrue="1" operator="equal">
      <formula>"Fail"</formula>
    </cfRule>
  </conditionalFormatting>
  <conditionalFormatting sqref="T1069:T1071 U1070:V1071">
    <cfRule type="cellIs" dxfId="489" priority="327" stopIfTrue="1" operator="equal">
      <formula>"Fail"</formula>
    </cfRule>
    <cfRule type="cellIs" dxfId="488" priority="328" stopIfTrue="1" operator="equal">
      <formula>"Pass"</formula>
    </cfRule>
  </conditionalFormatting>
  <conditionalFormatting sqref="U1069:V1069">
    <cfRule type="cellIs" dxfId="487" priority="325" stopIfTrue="1" operator="equal">
      <formula>"Fail"</formula>
    </cfRule>
    <cfRule type="cellIs" dxfId="486" priority="326" stopIfTrue="1" operator="equal">
      <formula>"Pass"</formula>
    </cfRule>
  </conditionalFormatting>
  <conditionalFormatting sqref="U1069:V1069">
    <cfRule type="cellIs" dxfId="485" priority="323" stopIfTrue="1" operator="equal">
      <formula>"Fail"</formula>
    </cfRule>
    <cfRule type="cellIs" dxfId="484" priority="324" stopIfTrue="1" operator="equal">
      <formula>"Pass"</formula>
    </cfRule>
  </conditionalFormatting>
  <conditionalFormatting sqref="J1069:J1070">
    <cfRule type="cellIs" dxfId="483" priority="321" stopIfTrue="1" operator="equal">
      <formula>"Pass"</formula>
    </cfRule>
    <cfRule type="cellIs" dxfId="482" priority="322" stopIfTrue="1" operator="equal">
      <formula>"Fail"</formula>
    </cfRule>
  </conditionalFormatting>
  <conditionalFormatting sqref="H1069:H1070 I1070">
    <cfRule type="cellIs" dxfId="481" priority="319" stopIfTrue="1" operator="equal">
      <formula>"Pass"</formula>
    </cfRule>
    <cfRule type="cellIs" dxfId="480" priority="320" stopIfTrue="1" operator="equal">
      <formula>"Fail"</formula>
    </cfRule>
  </conditionalFormatting>
  <conditionalFormatting sqref="F1071 F1069:G1069 K1069:N1070">
    <cfRule type="cellIs" dxfId="479" priority="317" stopIfTrue="1" operator="equal">
      <formula>"Pass"</formula>
    </cfRule>
    <cfRule type="cellIs" dxfId="478" priority="318" stopIfTrue="1" operator="equal">
      <formula>"Fail"</formula>
    </cfRule>
  </conditionalFormatting>
  <conditionalFormatting sqref="T1069:T1071 U1070:V1071">
    <cfRule type="cellIs" dxfId="477" priority="315" stopIfTrue="1" operator="equal">
      <formula>"Fail"</formula>
    </cfRule>
    <cfRule type="cellIs" dxfId="476" priority="316" stopIfTrue="1" operator="equal">
      <formula>"Pass"</formula>
    </cfRule>
  </conditionalFormatting>
  <conditionalFormatting sqref="U1069:V1069">
    <cfRule type="cellIs" dxfId="475" priority="313" stopIfTrue="1" operator="equal">
      <formula>"Fail"</formula>
    </cfRule>
    <cfRule type="cellIs" dxfId="474" priority="314" stopIfTrue="1" operator="equal">
      <formula>"Pass"</formula>
    </cfRule>
  </conditionalFormatting>
  <conditionalFormatting sqref="U1069:V1069">
    <cfRule type="cellIs" dxfId="473" priority="311" stopIfTrue="1" operator="equal">
      <formula>"Fail"</formula>
    </cfRule>
    <cfRule type="cellIs" dxfId="472" priority="312" stopIfTrue="1" operator="equal">
      <formula>"Pass"</formula>
    </cfRule>
  </conditionalFormatting>
  <conditionalFormatting sqref="F1069:G1069 K1069:N1069">
    <cfRule type="cellIs" dxfId="471" priority="309" stopIfTrue="1" operator="equal">
      <formula>"Pass"</formula>
    </cfRule>
    <cfRule type="cellIs" dxfId="470" priority="310" stopIfTrue="1" operator="equal">
      <formula>"Fail"</formula>
    </cfRule>
  </conditionalFormatting>
  <conditionalFormatting sqref="K1070:N1070">
    <cfRule type="cellIs" dxfId="469" priority="307" stopIfTrue="1" operator="equal">
      <formula>"Pass"</formula>
    </cfRule>
    <cfRule type="cellIs" dxfId="468" priority="308" stopIfTrue="1" operator="equal">
      <formula>"Fail"</formula>
    </cfRule>
  </conditionalFormatting>
  <conditionalFormatting sqref="U1069:V1069">
    <cfRule type="cellIs" dxfId="467" priority="305" stopIfTrue="1" operator="equal">
      <formula>"Fail"</formula>
    </cfRule>
    <cfRule type="cellIs" dxfId="466" priority="306" stopIfTrue="1" operator="equal">
      <formula>"Pass"</formula>
    </cfRule>
  </conditionalFormatting>
  <conditionalFormatting sqref="J1069:J1070">
    <cfRule type="cellIs" dxfId="465" priority="303" stopIfTrue="1" operator="equal">
      <formula>"Pass"</formula>
    </cfRule>
    <cfRule type="cellIs" dxfId="464" priority="304" stopIfTrue="1" operator="equal">
      <formula>"Fail"</formula>
    </cfRule>
  </conditionalFormatting>
  <conditionalFormatting sqref="H1069:H1070 I1070">
    <cfRule type="cellIs" dxfId="463" priority="301" stopIfTrue="1" operator="equal">
      <formula>"Pass"</formula>
    </cfRule>
    <cfRule type="cellIs" dxfId="462" priority="302" stopIfTrue="1" operator="equal">
      <formula>"Fail"</formula>
    </cfRule>
  </conditionalFormatting>
  <conditionalFormatting sqref="F1069:G1069 K1069:N1070">
    <cfRule type="cellIs" dxfId="461" priority="299" stopIfTrue="1" operator="equal">
      <formula>"Pass"</formula>
    </cfRule>
    <cfRule type="cellIs" dxfId="460" priority="300" stopIfTrue="1" operator="equal">
      <formula>"Fail"</formula>
    </cfRule>
  </conditionalFormatting>
  <conditionalFormatting sqref="T1069:T1070 U1070:V1070">
    <cfRule type="cellIs" dxfId="459" priority="297" stopIfTrue="1" operator="equal">
      <formula>"Fail"</formula>
    </cfRule>
    <cfRule type="cellIs" dxfId="458" priority="298" stopIfTrue="1" operator="equal">
      <formula>"Pass"</formula>
    </cfRule>
  </conditionalFormatting>
  <conditionalFormatting sqref="U1069:V1069">
    <cfRule type="cellIs" dxfId="457" priority="295" stopIfTrue="1" operator="equal">
      <formula>"Fail"</formula>
    </cfRule>
    <cfRule type="cellIs" dxfId="456" priority="296" stopIfTrue="1" operator="equal">
      <formula>"Pass"</formula>
    </cfRule>
  </conditionalFormatting>
  <conditionalFormatting sqref="U1069:V1069">
    <cfRule type="cellIs" dxfId="455" priority="293" stopIfTrue="1" operator="equal">
      <formula>"Fail"</formula>
    </cfRule>
    <cfRule type="cellIs" dxfId="454" priority="294" stopIfTrue="1" operator="equal">
      <formula>"Pass"</formula>
    </cfRule>
  </conditionalFormatting>
  <conditionalFormatting sqref="J1069:J1070">
    <cfRule type="cellIs" dxfId="453" priority="291" stopIfTrue="1" operator="equal">
      <formula>"Pass"</formula>
    </cfRule>
    <cfRule type="cellIs" dxfId="452" priority="292" stopIfTrue="1" operator="equal">
      <formula>"Fail"</formula>
    </cfRule>
  </conditionalFormatting>
  <conditionalFormatting sqref="H1069:H1070 I1070">
    <cfRule type="cellIs" dxfId="451" priority="289" stopIfTrue="1" operator="equal">
      <formula>"Pass"</formula>
    </cfRule>
    <cfRule type="cellIs" dxfId="450" priority="290" stopIfTrue="1" operator="equal">
      <formula>"Fail"</formula>
    </cfRule>
  </conditionalFormatting>
  <conditionalFormatting sqref="F1069:G1069 K1069:N1070">
    <cfRule type="cellIs" dxfId="449" priority="287" stopIfTrue="1" operator="equal">
      <formula>"Pass"</formula>
    </cfRule>
    <cfRule type="cellIs" dxfId="448" priority="288" stopIfTrue="1" operator="equal">
      <formula>"Fail"</formula>
    </cfRule>
  </conditionalFormatting>
  <conditionalFormatting sqref="T1069:T1070 U1070:V1070">
    <cfRule type="cellIs" dxfId="447" priority="285" stopIfTrue="1" operator="equal">
      <formula>"Fail"</formula>
    </cfRule>
    <cfRule type="cellIs" dxfId="446" priority="286" stopIfTrue="1" operator="equal">
      <formula>"Pass"</formula>
    </cfRule>
  </conditionalFormatting>
  <conditionalFormatting sqref="U1069:V1069">
    <cfRule type="cellIs" dxfId="445" priority="283" stopIfTrue="1" operator="equal">
      <formula>"Fail"</formula>
    </cfRule>
    <cfRule type="cellIs" dxfId="444" priority="284" stopIfTrue="1" operator="equal">
      <formula>"Pass"</formula>
    </cfRule>
  </conditionalFormatting>
  <conditionalFormatting sqref="U1069:V1069">
    <cfRule type="cellIs" dxfId="443" priority="281" stopIfTrue="1" operator="equal">
      <formula>"Fail"</formula>
    </cfRule>
    <cfRule type="cellIs" dxfId="442" priority="282" stopIfTrue="1" operator="equal">
      <formula>"Pass"</formula>
    </cfRule>
  </conditionalFormatting>
  <conditionalFormatting sqref="F1069:G1069 K1069:N1069">
    <cfRule type="cellIs" dxfId="441" priority="279" stopIfTrue="1" operator="equal">
      <formula>"Pass"</formula>
    </cfRule>
    <cfRule type="cellIs" dxfId="440" priority="280" stopIfTrue="1" operator="equal">
      <formula>"Fail"</formula>
    </cfRule>
  </conditionalFormatting>
  <conditionalFormatting sqref="K1070:N1070">
    <cfRule type="cellIs" dxfId="439" priority="277" stopIfTrue="1" operator="equal">
      <formula>"Pass"</formula>
    </cfRule>
    <cfRule type="cellIs" dxfId="438" priority="278" stopIfTrue="1" operator="equal">
      <formula>"Fail"</formula>
    </cfRule>
  </conditionalFormatting>
  <conditionalFormatting sqref="U1069:V1069">
    <cfRule type="cellIs" dxfId="437" priority="275" stopIfTrue="1" operator="equal">
      <formula>"Fail"</formula>
    </cfRule>
    <cfRule type="cellIs" dxfId="436" priority="276" stopIfTrue="1" operator="equal">
      <formula>"Pass"</formula>
    </cfRule>
  </conditionalFormatting>
  <conditionalFormatting sqref="U1069:V1069">
    <cfRule type="cellIs" dxfId="435" priority="273" stopIfTrue="1" operator="equal">
      <formula>"Fail"</formula>
    </cfRule>
    <cfRule type="cellIs" dxfId="434" priority="274" stopIfTrue="1" operator="equal">
      <formula>"Pass"</formula>
    </cfRule>
  </conditionalFormatting>
  <conditionalFormatting sqref="U1069:V1069">
    <cfRule type="cellIs" dxfId="433" priority="271" stopIfTrue="1" operator="equal">
      <formula>"Fail"</formula>
    </cfRule>
    <cfRule type="cellIs" dxfId="432" priority="272" stopIfTrue="1" operator="equal">
      <formula>"Pass"</formula>
    </cfRule>
  </conditionalFormatting>
  <conditionalFormatting sqref="U1069:V1069">
    <cfRule type="cellIs" dxfId="431" priority="269" stopIfTrue="1" operator="equal">
      <formula>"Fail"</formula>
    </cfRule>
    <cfRule type="cellIs" dxfId="430" priority="270" stopIfTrue="1" operator="equal">
      <formula>"Pass"</formula>
    </cfRule>
  </conditionalFormatting>
  <conditionalFormatting sqref="A1069">
    <cfRule type="cellIs" dxfId="429" priority="267" stopIfTrue="1" operator="equal">
      <formula>"Pass"</formula>
    </cfRule>
    <cfRule type="cellIs" dxfId="428" priority="268" stopIfTrue="1" operator="equal">
      <formula>"Fail"</formula>
    </cfRule>
  </conditionalFormatting>
  <conditionalFormatting sqref="A1069">
    <cfRule type="cellIs" dxfId="427" priority="265" stopIfTrue="1" operator="equal">
      <formula>"Pass"</formula>
    </cfRule>
    <cfRule type="cellIs" dxfId="426" priority="266" stopIfTrue="1" operator="equal">
      <formula>"Fail"</formula>
    </cfRule>
  </conditionalFormatting>
  <conditionalFormatting sqref="A1069">
    <cfRule type="cellIs" dxfId="425" priority="263" stopIfTrue="1" operator="equal">
      <formula>"Pass"</formula>
    </cfRule>
    <cfRule type="cellIs" dxfId="424" priority="264" stopIfTrue="1" operator="equal">
      <formula>"Fail"</formula>
    </cfRule>
  </conditionalFormatting>
  <conditionalFormatting sqref="A1069">
    <cfRule type="cellIs" dxfId="423" priority="261" stopIfTrue="1" operator="equal">
      <formula>"Pass"</formula>
    </cfRule>
    <cfRule type="cellIs" dxfId="422" priority="262" stopIfTrue="1" operator="equal">
      <formula>"Fail"</formula>
    </cfRule>
  </conditionalFormatting>
  <conditionalFormatting sqref="A1069">
    <cfRule type="cellIs" dxfId="421" priority="259" stopIfTrue="1" operator="equal">
      <formula>"Pass"</formula>
    </cfRule>
    <cfRule type="cellIs" dxfId="420" priority="260" stopIfTrue="1" operator="equal">
      <formula>"Fail"</formula>
    </cfRule>
  </conditionalFormatting>
  <conditionalFormatting sqref="A1069">
    <cfRule type="cellIs" dxfId="419" priority="257" stopIfTrue="1" operator="equal">
      <formula>"Pass"</formula>
    </cfRule>
    <cfRule type="cellIs" dxfId="418" priority="258" stopIfTrue="1" operator="equal">
      <formula>"Fail"</formula>
    </cfRule>
  </conditionalFormatting>
  <conditionalFormatting sqref="A1069">
    <cfRule type="cellIs" dxfId="417" priority="255" stopIfTrue="1" operator="equal">
      <formula>"Pass"</formula>
    </cfRule>
    <cfRule type="cellIs" dxfId="416" priority="256" stopIfTrue="1" operator="equal">
      <formula>"Fail"</formula>
    </cfRule>
  </conditionalFormatting>
  <conditionalFormatting sqref="A1069">
    <cfRule type="cellIs" dxfId="415" priority="253" stopIfTrue="1" operator="equal">
      <formula>"Pass"</formula>
    </cfRule>
    <cfRule type="cellIs" dxfId="414" priority="254" stopIfTrue="1" operator="equal">
      <formula>"Fail"</formula>
    </cfRule>
  </conditionalFormatting>
  <conditionalFormatting sqref="A1069">
    <cfRule type="cellIs" dxfId="413" priority="251" stopIfTrue="1" operator="equal">
      <formula>"Pass"</formula>
    </cfRule>
    <cfRule type="cellIs" dxfId="412" priority="252" stopIfTrue="1" operator="equal">
      <formula>"Fail"</formula>
    </cfRule>
  </conditionalFormatting>
  <conditionalFormatting sqref="A1069">
    <cfRule type="cellIs" dxfId="411" priority="249" stopIfTrue="1" operator="equal">
      <formula>"Pass"</formula>
    </cfRule>
    <cfRule type="cellIs" dxfId="410" priority="250" stopIfTrue="1" operator="equal">
      <formula>"Fail"</formula>
    </cfRule>
  </conditionalFormatting>
  <conditionalFormatting sqref="A1069">
    <cfRule type="cellIs" dxfId="409" priority="247" stopIfTrue="1" operator="equal">
      <formula>"Pass"</formula>
    </cfRule>
    <cfRule type="cellIs" dxfId="408" priority="248" stopIfTrue="1" operator="equal">
      <formula>"Fail"</formula>
    </cfRule>
  </conditionalFormatting>
  <conditionalFormatting sqref="A1069">
    <cfRule type="cellIs" dxfId="407" priority="245" stopIfTrue="1" operator="equal">
      <formula>"Pass"</formula>
    </cfRule>
    <cfRule type="cellIs" dxfId="406" priority="246" stopIfTrue="1" operator="equal">
      <formula>"Fail"</formula>
    </cfRule>
  </conditionalFormatting>
  <conditionalFormatting sqref="A1069">
    <cfRule type="cellIs" dxfId="405" priority="243" stopIfTrue="1" operator="equal">
      <formula>"Pass"</formula>
    </cfRule>
    <cfRule type="cellIs" dxfId="404" priority="244" stopIfTrue="1" operator="equal">
      <formula>"Fail"</formula>
    </cfRule>
  </conditionalFormatting>
  <conditionalFormatting sqref="A1069">
    <cfRule type="cellIs" dxfId="403" priority="241" stopIfTrue="1" operator="equal">
      <formula>"Pass"</formula>
    </cfRule>
    <cfRule type="cellIs" dxfId="402" priority="242" stopIfTrue="1" operator="equal">
      <formula>"Fail"</formula>
    </cfRule>
  </conditionalFormatting>
  <conditionalFormatting sqref="A1069">
    <cfRule type="cellIs" dxfId="401" priority="239" stopIfTrue="1" operator="equal">
      <formula>"Pass"</formula>
    </cfRule>
    <cfRule type="cellIs" dxfId="400" priority="240" stopIfTrue="1" operator="equal">
      <formula>"Fail"</formula>
    </cfRule>
  </conditionalFormatting>
  <conditionalFormatting sqref="A1069">
    <cfRule type="cellIs" dxfId="399" priority="237" stopIfTrue="1" operator="equal">
      <formula>"Pass"</formula>
    </cfRule>
    <cfRule type="cellIs" dxfId="398" priority="238" stopIfTrue="1" operator="equal">
      <formula>"Fail"</formula>
    </cfRule>
  </conditionalFormatting>
  <conditionalFormatting sqref="A1069">
    <cfRule type="cellIs" dxfId="397" priority="235" stopIfTrue="1" operator="equal">
      <formula>"Pass"</formula>
    </cfRule>
    <cfRule type="cellIs" dxfId="396" priority="236" stopIfTrue="1" operator="equal">
      <formula>"Fail"</formula>
    </cfRule>
  </conditionalFormatting>
  <conditionalFormatting sqref="A1069">
    <cfRule type="cellIs" dxfId="395" priority="233" stopIfTrue="1" operator="equal">
      <formula>"Pass"</formula>
    </cfRule>
    <cfRule type="cellIs" dxfId="394" priority="234" stopIfTrue="1" operator="equal">
      <formula>"Fail"</formula>
    </cfRule>
  </conditionalFormatting>
  <conditionalFormatting sqref="U1069:V1069">
    <cfRule type="cellIs" dxfId="393" priority="231" stopIfTrue="1" operator="equal">
      <formula>"Fail"</formula>
    </cfRule>
    <cfRule type="cellIs" dxfId="392" priority="232" stopIfTrue="1" operator="equal">
      <formula>"Pass"</formula>
    </cfRule>
  </conditionalFormatting>
  <conditionalFormatting sqref="U1069:V1069">
    <cfRule type="cellIs" dxfId="391" priority="229" stopIfTrue="1" operator="equal">
      <formula>"Fail"</formula>
    </cfRule>
    <cfRule type="cellIs" dxfId="390" priority="230" stopIfTrue="1" operator="equal">
      <formula>"Pass"</formula>
    </cfRule>
  </conditionalFormatting>
  <conditionalFormatting sqref="U1069:V1069">
    <cfRule type="cellIs" dxfId="389" priority="227" stopIfTrue="1" operator="equal">
      <formula>"Fail"</formula>
    </cfRule>
    <cfRule type="cellIs" dxfId="388" priority="228" stopIfTrue="1" operator="equal">
      <formula>"Pass"</formula>
    </cfRule>
  </conditionalFormatting>
  <conditionalFormatting sqref="U1069:V1069">
    <cfRule type="cellIs" dxfId="387" priority="225" stopIfTrue="1" operator="equal">
      <formula>"Fail"</formula>
    </cfRule>
    <cfRule type="cellIs" dxfId="386" priority="226" stopIfTrue="1" operator="equal">
      <formula>"Pass"</formula>
    </cfRule>
  </conditionalFormatting>
  <conditionalFormatting sqref="A1069:A1071">
    <cfRule type="cellIs" dxfId="385" priority="223" stopIfTrue="1" operator="equal">
      <formula>"Pass"</formula>
    </cfRule>
    <cfRule type="cellIs" dxfId="384" priority="224" stopIfTrue="1" operator="equal">
      <formula>"Fail"</formula>
    </cfRule>
  </conditionalFormatting>
  <conditionalFormatting sqref="A1069:A1071">
    <cfRule type="cellIs" dxfId="383" priority="221" stopIfTrue="1" operator="equal">
      <formula>"Pass"</formula>
    </cfRule>
    <cfRule type="cellIs" dxfId="382" priority="222" stopIfTrue="1" operator="equal">
      <formula>"Fail"</formula>
    </cfRule>
  </conditionalFormatting>
  <conditionalFormatting sqref="A1069:A1071">
    <cfRule type="cellIs" dxfId="381" priority="219" stopIfTrue="1" operator="equal">
      <formula>"Pass"</formula>
    </cfRule>
    <cfRule type="cellIs" dxfId="380" priority="220" stopIfTrue="1" operator="equal">
      <formula>"Fail"</formula>
    </cfRule>
  </conditionalFormatting>
  <conditionalFormatting sqref="A1069:A1071">
    <cfRule type="cellIs" dxfId="379" priority="217" stopIfTrue="1" operator="equal">
      <formula>"Pass"</formula>
    </cfRule>
    <cfRule type="cellIs" dxfId="378" priority="218" stopIfTrue="1" operator="equal">
      <formula>"Fail"</formula>
    </cfRule>
  </conditionalFormatting>
  <conditionalFormatting sqref="A1069:A1071">
    <cfRule type="cellIs" dxfId="377" priority="215" stopIfTrue="1" operator="equal">
      <formula>"Pass"</formula>
    </cfRule>
    <cfRule type="cellIs" dxfId="376" priority="216" stopIfTrue="1" operator="equal">
      <formula>"Fail"</formula>
    </cfRule>
  </conditionalFormatting>
  <conditionalFormatting sqref="A1071">
    <cfRule type="cellIs" dxfId="375" priority="213" stopIfTrue="1" operator="equal">
      <formula>"Pass"</formula>
    </cfRule>
    <cfRule type="cellIs" dxfId="374" priority="214" stopIfTrue="1" operator="equal">
      <formula>"Fail"</formula>
    </cfRule>
  </conditionalFormatting>
  <conditionalFormatting sqref="A1069:A1071">
    <cfRule type="cellIs" dxfId="373" priority="211" stopIfTrue="1" operator="equal">
      <formula>"Pass"</formula>
    </cfRule>
    <cfRule type="cellIs" dxfId="372" priority="212" stopIfTrue="1" operator="equal">
      <formula>"Fail"</formula>
    </cfRule>
  </conditionalFormatting>
  <conditionalFormatting sqref="A1069:A1071">
    <cfRule type="cellIs" dxfId="371" priority="209" stopIfTrue="1" operator="equal">
      <formula>"Pass"</formula>
    </cfRule>
    <cfRule type="cellIs" dxfId="370" priority="210" stopIfTrue="1" operator="equal">
      <formula>"Fail"</formula>
    </cfRule>
  </conditionalFormatting>
  <conditionalFormatting sqref="A1069:A1071">
    <cfRule type="cellIs" dxfId="369" priority="207" stopIfTrue="1" operator="equal">
      <formula>"Pass"</formula>
    </cfRule>
    <cfRule type="cellIs" dxfId="368" priority="208" stopIfTrue="1" operator="equal">
      <formula>"Fail"</formula>
    </cfRule>
  </conditionalFormatting>
  <conditionalFormatting sqref="A1069:A1071">
    <cfRule type="cellIs" dxfId="367" priority="205" stopIfTrue="1" operator="equal">
      <formula>"Pass"</formula>
    </cfRule>
    <cfRule type="cellIs" dxfId="366" priority="206" stopIfTrue="1" operator="equal">
      <formula>"Fail"</formula>
    </cfRule>
  </conditionalFormatting>
  <conditionalFormatting sqref="A1069:A1071">
    <cfRule type="cellIs" dxfId="365" priority="203" stopIfTrue="1" operator="equal">
      <formula>"Pass"</formula>
    </cfRule>
    <cfRule type="cellIs" dxfId="364" priority="204" stopIfTrue="1" operator="equal">
      <formula>"Fail"</formula>
    </cfRule>
  </conditionalFormatting>
  <conditionalFormatting sqref="A1069:A1071">
    <cfRule type="cellIs" dxfId="363" priority="201" stopIfTrue="1" operator="equal">
      <formula>"Pass"</formula>
    </cfRule>
    <cfRule type="cellIs" dxfId="362" priority="202" stopIfTrue="1" operator="equal">
      <formula>"Fail"</formula>
    </cfRule>
  </conditionalFormatting>
  <conditionalFormatting sqref="A1071">
    <cfRule type="cellIs" dxfId="361" priority="199" stopIfTrue="1" operator="equal">
      <formula>"Pass"</formula>
    </cfRule>
    <cfRule type="cellIs" dxfId="360" priority="200" stopIfTrue="1" operator="equal">
      <formula>"Fail"</formula>
    </cfRule>
  </conditionalFormatting>
  <conditionalFormatting sqref="A1069:A1071">
    <cfRule type="cellIs" dxfId="359" priority="197" stopIfTrue="1" operator="equal">
      <formula>"Pass"</formula>
    </cfRule>
    <cfRule type="cellIs" dxfId="358" priority="198" stopIfTrue="1" operator="equal">
      <formula>"Fail"</formula>
    </cfRule>
  </conditionalFormatting>
  <conditionalFormatting sqref="A1069:A1071">
    <cfRule type="cellIs" dxfId="357" priority="195" stopIfTrue="1" operator="equal">
      <formula>"Pass"</formula>
    </cfRule>
    <cfRule type="cellIs" dxfId="356" priority="196" stopIfTrue="1" operator="equal">
      <formula>"Fail"</formula>
    </cfRule>
  </conditionalFormatting>
  <conditionalFormatting sqref="A1069:A1071">
    <cfRule type="cellIs" dxfId="355" priority="193" stopIfTrue="1" operator="equal">
      <formula>"Pass"</formula>
    </cfRule>
    <cfRule type="cellIs" dxfId="354" priority="194" stopIfTrue="1" operator="equal">
      <formula>"Fail"</formula>
    </cfRule>
  </conditionalFormatting>
  <conditionalFormatting sqref="A1069:A1071">
    <cfRule type="cellIs" dxfId="353" priority="191" stopIfTrue="1" operator="equal">
      <formula>"Pass"</formula>
    </cfRule>
    <cfRule type="cellIs" dxfId="352" priority="192" stopIfTrue="1" operator="equal">
      <formula>"Fail"</formula>
    </cfRule>
  </conditionalFormatting>
  <conditionalFormatting sqref="A1069:A1071">
    <cfRule type="cellIs" dxfId="351" priority="189" stopIfTrue="1" operator="equal">
      <formula>"Pass"</formula>
    </cfRule>
    <cfRule type="cellIs" dxfId="350" priority="190" stopIfTrue="1" operator="equal">
      <formula>"Fail"</formula>
    </cfRule>
  </conditionalFormatting>
  <conditionalFormatting sqref="A1069:A1071">
    <cfRule type="cellIs" dxfId="349" priority="187" stopIfTrue="1" operator="equal">
      <formula>"Pass"</formula>
    </cfRule>
    <cfRule type="cellIs" dxfId="348" priority="188" stopIfTrue="1" operator="equal">
      <formula>"Fail"</formula>
    </cfRule>
  </conditionalFormatting>
  <conditionalFormatting sqref="A1071">
    <cfRule type="cellIs" dxfId="347" priority="185" stopIfTrue="1" operator="equal">
      <formula>"Pass"</formula>
    </cfRule>
    <cfRule type="cellIs" dxfId="346" priority="186" stopIfTrue="1" operator="equal">
      <formula>"Fail"</formula>
    </cfRule>
  </conditionalFormatting>
  <conditionalFormatting sqref="A1069:A1071">
    <cfRule type="cellIs" dxfId="345" priority="183" stopIfTrue="1" operator="equal">
      <formula>"Pass"</formula>
    </cfRule>
    <cfRule type="cellIs" dxfId="344" priority="184" stopIfTrue="1" operator="equal">
      <formula>"Fail"</formula>
    </cfRule>
  </conditionalFormatting>
  <conditionalFormatting sqref="A1069:A1071">
    <cfRule type="cellIs" dxfId="343" priority="181" stopIfTrue="1" operator="equal">
      <formula>"Pass"</formula>
    </cfRule>
    <cfRule type="cellIs" dxfId="342" priority="182" stopIfTrue="1" operator="equal">
      <formula>"Fail"</formula>
    </cfRule>
  </conditionalFormatting>
  <conditionalFormatting sqref="A1069:A1071">
    <cfRule type="cellIs" dxfId="341" priority="179" stopIfTrue="1" operator="equal">
      <formula>"Pass"</formula>
    </cfRule>
    <cfRule type="cellIs" dxfId="340" priority="180" stopIfTrue="1" operator="equal">
      <formula>"Fail"</formula>
    </cfRule>
  </conditionalFormatting>
  <conditionalFormatting sqref="A1069:A1071">
    <cfRule type="cellIs" dxfId="339" priority="177" stopIfTrue="1" operator="equal">
      <formula>"Pass"</formula>
    </cfRule>
    <cfRule type="cellIs" dxfId="338" priority="178" stopIfTrue="1" operator="equal">
      <formula>"Fail"</formula>
    </cfRule>
  </conditionalFormatting>
  <conditionalFormatting sqref="A1069:A1071">
    <cfRule type="cellIs" dxfId="337" priority="175" stopIfTrue="1" operator="equal">
      <formula>"Pass"</formula>
    </cfRule>
    <cfRule type="cellIs" dxfId="336" priority="176" stopIfTrue="1" operator="equal">
      <formula>"Fail"</formula>
    </cfRule>
  </conditionalFormatting>
  <conditionalFormatting sqref="A1069:A1071">
    <cfRule type="cellIs" dxfId="335" priority="173" stopIfTrue="1" operator="equal">
      <formula>"Pass"</formula>
    </cfRule>
    <cfRule type="cellIs" dxfId="334" priority="174" stopIfTrue="1" operator="equal">
      <formula>"Fail"</formula>
    </cfRule>
  </conditionalFormatting>
  <conditionalFormatting sqref="A1071">
    <cfRule type="cellIs" dxfId="333" priority="171" stopIfTrue="1" operator="equal">
      <formula>"Pass"</formula>
    </cfRule>
    <cfRule type="cellIs" dxfId="332" priority="172" stopIfTrue="1" operator="equal">
      <formula>"Fail"</formula>
    </cfRule>
  </conditionalFormatting>
  <conditionalFormatting sqref="A1069:A1071">
    <cfRule type="cellIs" dxfId="331" priority="169" stopIfTrue="1" operator="equal">
      <formula>"Pass"</formula>
    </cfRule>
    <cfRule type="cellIs" dxfId="330" priority="170" stopIfTrue="1" operator="equal">
      <formula>"Fail"</formula>
    </cfRule>
  </conditionalFormatting>
  <conditionalFormatting sqref="A1069:A1071">
    <cfRule type="cellIs" dxfId="329" priority="167" stopIfTrue="1" operator="equal">
      <formula>"Pass"</formula>
    </cfRule>
    <cfRule type="cellIs" dxfId="328" priority="168" stopIfTrue="1" operator="equal">
      <formula>"Fail"</formula>
    </cfRule>
  </conditionalFormatting>
  <conditionalFormatting sqref="A1069:A1071">
    <cfRule type="cellIs" dxfId="327" priority="165" stopIfTrue="1" operator="equal">
      <formula>"Pass"</formula>
    </cfRule>
    <cfRule type="cellIs" dxfId="326" priority="166" stopIfTrue="1" operator="equal">
      <formula>"Fail"</formula>
    </cfRule>
  </conditionalFormatting>
  <conditionalFormatting sqref="A1069:A1071">
    <cfRule type="cellIs" dxfId="325" priority="163" stopIfTrue="1" operator="equal">
      <formula>"Pass"</formula>
    </cfRule>
    <cfRule type="cellIs" dxfId="324" priority="164" stopIfTrue="1" operator="equal">
      <formula>"Fail"</formula>
    </cfRule>
  </conditionalFormatting>
  <conditionalFormatting sqref="A1069:A1071">
    <cfRule type="cellIs" dxfId="323" priority="161" stopIfTrue="1" operator="equal">
      <formula>"Pass"</formula>
    </cfRule>
    <cfRule type="cellIs" dxfId="322" priority="162" stopIfTrue="1" operator="equal">
      <formula>"Fail"</formula>
    </cfRule>
  </conditionalFormatting>
  <conditionalFormatting sqref="A1069:A1071">
    <cfRule type="cellIs" dxfId="321" priority="159" stopIfTrue="1" operator="equal">
      <formula>"Pass"</formula>
    </cfRule>
    <cfRule type="cellIs" dxfId="320" priority="160" stopIfTrue="1" operator="equal">
      <formula>"Fail"</formula>
    </cfRule>
  </conditionalFormatting>
  <conditionalFormatting sqref="A1071">
    <cfRule type="cellIs" dxfId="319" priority="157" stopIfTrue="1" operator="equal">
      <formula>"Pass"</formula>
    </cfRule>
    <cfRule type="cellIs" dxfId="318" priority="158" stopIfTrue="1" operator="equal">
      <formula>"Fail"</formula>
    </cfRule>
  </conditionalFormatting>
  <conditionalFormatting sqref="A1069:A1071">
    <cfRule type="cellIs" dxfId="317" priority="155" stopIfTrue="1" operator="equal">
      <formula>"Pass"</formula>
    </cfRule>
    <cfRule type="cellIs" dxfId="316" priority="156" stopIfTrue="1" operator="equal">
      <formula>"Fail"</formula>
    </cfRule>
  </conditionalFormatting>
  <conditionalFormatting sqref="A1069:A1071">
    <cfRule type="cellIs" dxfId="315" priority="153" stopIfTrue="1" operator="equal">
      <formula>"Pass"</formula>
    </cfRule>
    <cfRule type="cellIs" dxfId="314" priority="154" stopIfTrue="1" operator="equal">
      <formula>"Fail"</formula>
    </cfRule>
  </conditionalFormatting>
  <conditionalFormatting sqref="A1069:A1071">
    <cfRule type="cellIs" dxfId="313" priority="151" stopIfTrue="1" operator="equal">
      <formula>"Pass"</formula>
    </cfRule>
    <cfRule type="cellIs" dxfId="312" priority="152" stopIfTrue="1" operator="equal">
      <formula>"Fail"</formula>
    </cfRule>
  </conditionalFormatting>
  <conditionalFormatting sqref="A1069:A1071">
    <cfRule type="cellIs" dxfId="311" priority="149" stopIfTrue="1" operator="equal">
      <formula>"Pass"</formula>
    </cfRule>
    <cfRule type="cellIs" dxfId="310" priority="150" stopIfTrue="1" operator="equal">
      <formula>"Fail"</formula>
    </cfRule>
  </conditionalFormatting>
  <conditionalFormatting sqref="A1069:A1071">
    <cfRule type="cellIs" dxfId="309" priority="147" stopIfTrue="1" operator="equal">
      <formula>"Pass"</formula>
    </cfRule>
    <cfRule type="cellIs" dxfId="308" priority="148" stopIfTrue="1" operator="equal">
      <formula>"Fail"</formula>
    </cfRule>
  </conditionalFormatting>
  <conditionalFormatting sqref="A1069:A1071">
    <cfRule type="cellIs" dxfId="307" priority="145" stopIfTrue="1" operator="equal">
      <formula>"Pass"</formula>
    </cfRule>
    <cfRule type="cellIs" dxfId="306" priority="146" stopIfTrue="1" operator="equal">
      <formula>"Fail"</formula>
    </cfRule>
  </conditionalFormatting>
  <conditionalFormatting sqref="A1071">
    <cfRule type="cellIs" dxfId="305" priority="143" stopIfTrue="1" operator="equal">
      <formula>"Pass"</formula>
    </cfRule>
    <cfRule type="cellIs" dxfId="304" priority="144" stopIfTrue="1" operator="equal">
      <formula>"Fail"</formula>
    </cfRule>
  </conditionalFormatting>
  <conditionalFormatting sqref="A1069:A1071">
    <cfRule type="cellIs" dxfId="303" priority="141" stopIfTrue="1" operator="equal">
      <formula>"Pass"</formula>
    </cfRule>
    <cfRule type="cellIs" dxfId="302" priority="142" stopIfTrue="1" operator="equal">
      <formula>"Fail"</formula>
    </cfRule>
  </conditionalFormatting>
  <conditionalFormatting sqref="A1069">
    <cfRule type="cellIs" dxfId="301" priority="139" stopIfTrue="1" operator="equal">
      <formula>"Pass"</formula>
    </cfRule>
    <cfRule type="cellIs" dxfId="300" priority="140" stopIfTrue="1" operator="equal">
      <formula>"Fail"</formula>
    </cfRule>
  </conditionalFormatting>
  <conditionalFormatting sqref="A1069">
    <cfRule type="cellIs" dxfId="299" priority="137" stopIfTrue="1" operator="equal">
      <formula>"Pass"</formula>
    </cfRule>
    <cfRule type="cellIs" dxfId="298" priority="138" stopIfTrue="1" operator="equal">
      <formula>"Fail"</formula>
    </cfRule>
  </conditionalFormatting>
  <conditionalFormatting sqref="A1069">
    <cfRule type="cellIs" dxfId="297" priority="135" stopIfTrue="1" operator="equal">
      <formula>"Pass"</formula>
    </cfRule>
    <cfRule type="cellIs" dxfId="296" priority="136" stopIfTrue="1" operator="equal">
      <formula>"Fail"</formula>
    </cfRule>
  </conditionalFormatting>
  <conditionalFormatting sqref="A1069">
    <cfRule type="cellIs" dxfId="295" priority="133" stopIfTrue="1" operator="equal">
      <formula>"Pass"</formula>
    </cfRule>
    <cfRule type="cellIs" dxfId="294" priority="134" stopIfTrue="1" operator="equal">
      <formula>"Fail"</formula>
    </cfRule>
  </conditionalFormatting>
  <conditionalFormatting sqref="A1069">
    <cfRule type="cellIs" dxfId="293" priority="131" stopIfTrue="1" operator="equal">
      <formula>"Pass"</formula>
    </cfRule>
    <cfRule type="cellIs" dxfId="292" priority="132" stopIfTrue="1" operator="equal">
      <formula>"Fail"</formula>
    </cfRule>
  </conditionalFormatting>
  <conditionalFormatting sqref="A1069">
    <cfRule type="cellIs" dxfId="291" priority="129" stopIfTrue="1" operator="equal">
      <formula>"Pass"</formula>
    </cfRule>
    <cfRule type="cellIs" dxfId="290" priority="130" stopIfTrue="1" operator="equal">
      <formula>"Fail"</formula>
    </cfRule>
  </conditionalFormatting>
  <conditionalFormatting sqref="A1069">
    <cfRule type="cellIs" dxfId="289" priority="127" stopIfTrue="1" operator="equal">
      <formula>"Pass"</formula>
    </cfRule>
    <cfRule type="cellIs" dxfId="288" priority="128" stopIfTrue="1" operator="equal">
      <formula>"Fail"</formula>
    </cfRule>
  </conditionalFormatting>
  <conditionalFormatting sqref="A1069">
    <cfRule type="cellIs" dxfId="287" priority="125" stopIfTrue="1" operator="equal">
      <formula>"Pass"</formula>
    </cfRule>
    <cfRule type="cellIs" dxfId="286" priority="126" stopIfTrue="1" operator="equal">
      <formula>"Fail"</formula>
    </cfRule>
  </conditionalFormatting>
  <conditionalFormatting sqref="A1069">
    <cfRule type="cellIs" dxfId="285" priority="123" stopIfTrue="1" operator="equal">
      <formula>"Pass"</formula>
    </cfRule>
    <cfRule type="cellIs" dxfId="284" priority="124" stopIfTrue="1" operator="equal">
      <formula>"Fail"</formula>
    </cfRule>
  </conditionalFormatting>
  <conditionalFormatting sqref="A1069">
    <cfRule type="cellIs" dxfId="283" priority="121" stopIfTrue="1" operator="equal">
      <formula>"Pass"</formula>
    </cfRule>
    <cfRule type="cellIs" dxfId="282" priority="122" stopIfTrue="1" operator="equal">
      <formula>"Fail"</formula>
    </cfRule>
  </conditionalFormatting>
  <conditionalFormatting sqref="A1069">
    <cfRule type="cellIs" dxfId="281" priority="119" stopIfTrue="1" operator="equal">
      <formula>"Pass"</formula>
    </cfRule>
    <cfRule type="cellIs" dxfId="280" priority="120" stopIfTrue="1" operator="equal">
      <formula>"Fail"</formula>
    </cfRule>
  </conditionalFormatting>
  <conditionalFormatting sqref="A1069">
    <cfRule type="cellIs" dxfId="279" priority="117" stopIfTrue="1" operator="equal">
      <formula>"Pass"</formula>
    </cfRule>
    <cfRule type="cellIs" dxfId="278" priority="118" stopIfTrue="1" operator="equal">
      <formula>"Fail"</formula>
    </cfRule>
  </conditionalFormatting>
  <conditionalFormatting sqref="A1069">
    <cfRule type="cellIs" dxfId="277" priority="115" stopIfTrue="1" operator="equal">
      <formula>"Pass"</formula>
    </cfRule>
    <cfRule type="cellIs" dxfId="276" priority="116" stopIfTrue="1" operator="equal">
      <formula>"Fail"</formula>
    </cfRule>
  </conditionalFormatting>
  <conditionalFormatting sqref="A1069">
    <cfRule type="cellIs" dxfId="275" priority="113" stopIfTrue="1" operator="equal">
      <formula>"Pass"</formula>
    </cfRule>
    <cfRule type="cellIs" dxfId="274" priority="114" stopIfTrue="1" operator="equal">
      <formula>"Fail"</formula>
    </cfRule>
  </conditionalFormatting>
  <conditionalFormatting sqref="A1069">
    <cfRule type="cellIs" dxfId="273" priority="111" stopIfTrue="1" operator="equal">
      <formula>"Pass"</formula>
    </cfRule>
    <cfRule type="cellIs" dxfId="272" priority="112" stopIfTrue="1" operator="equal">
      <formula>"Fail"</formula>
    </cfRule>
  </conditionalFormatting>
  <conditionalFormatting sqref="A1069">
    <cfRule type="cellIs" dxfId="271" priority="109" stopIfTrue="1" operator="equal">
      <formula>"Pass"</formula>
    </cfRule>
    <cfRule type="cellIs" dxfId="270" priority="110" stopIfTrue="1" operator="equal">
      <formula>"Fail"</formula>
    </cfRule>
  </conditionalFormatting>
  <conditionalFormatting sqref="A1069">
    <cfRule type="cellIs" dxfId="269" priority="107" stopIfTrue="1" operator="equal">
      <formula>"Pass"</formula>
    </cfRule>
    <cfRule type="cellIs" dxfId="268" priority="108" stopIfTrue="1" operator="equal">
      <formula>"Fail"</formula>
    </cfRule>
  </conditionalFormatting>
  <conditionalFormatting sqref="A1069">
    <cfRule type="cellIs" dxfId="267" priority="105" stopIfTrue="1" operator="equal">
      <formula>"Pass"</formula>
    </cfRule>
    <cfRule type="cellIs" dxfId="266" priority="106" stopIfTrue="1" operator="equal">
      <formula>"Fail"</formula>
    </cfRule>
  </conditionalFormatting>
  <conditionalFormatting sqref="A1069">
    <cfRule type="cellIs" dxfId="265" priority="103" stopIfTrue="1" operator="equal">
      <formula>"Pass"</formula>
    </cfRule>
    <cfRule type="cellIs" dxfId="264" priority="104" stopIfTrue="1" operator="equal">
      <formula>"Fail"</formula>
    </cfRule>
  </conditionalFormatting>
  <conditionalFormatting sqref="A1069">
    <cfRule type="cellIs" dxfId="263" priority="101" stopIfTrue="1" operator="equal">
      <formula>"Pass"</formula>
    </cfRule>
    <cfRule type="cellIs" dxfId="262" priority="102" stopIfTrue="1" operator="equal">
      <formula>"Fail"</formula>
    </cfRule>
  </conditionalFormatting>
  <conditionalFormatting sqref="A1069">
    <cfRule type="cellIs" dxfId="261" priority="99" stopIfTrue="1" operator="equal">
      <formula>"Pass"</formula>
    </cfRule>
    <cfRule type="cellIs" dxfId="260" priority="100" stopIfTrue="1" operator="equal">
      <formula>"Fail"</formula>
    </cfRule>
  </conditionalFormatting>
  <conditionalFormatting sqref="A1069">
    <cfRule type="cellIs" dxfId="259" priority="97" stopIfTrue="1" operator="equal">
      <formula>"Pass"</formula>
    </cfRule>
    <cfRule type="cellIs" dxfId="258" priority="98" stopIfTrue="1" operator="equal">
      <formula>"Fail"</formula>
    </cfRule>
  </conditionalFormatting>
  <conditionalFormatting sqref="A1069">
    <cfRule type="cellIs" dxfId="257" priority="95" stopIfTrue="1" operator="equal">
      <formula>"Pass"</formula>
    </cfRule>
    <cfRule type="cellIs" dxfId="256" priority="96" stopIfTrue="1" operator="equal">
      <formula>"Fail"</formula>
    </cfRule>
  </conditionalFormatting>
  <conditionalFormatting sqref="A1069">
    <cfRule type="cellIs" dxfId="255" priority="93" stopIfTrue="1" operator="equal">
      <formula>"Pass"</formula>
    </cfRule>
    <cfRule type="cellIs" dxfId="254" priority="94" stopIfTrue="1" operator="equal">
      <formula>"Fail"</formula>
    </cfRule>
  </conditionalFormatting>
  <conditionalFormatting sqref="A1069">
    <cfRule type="cellIs" dxfId="253" priority="91" stopIfTrue="1" operator="equal">
      <formula>"Pass"</formula>
    </cfRule>
    <cfRule type="cellIs" dxfId="252" priority="92" stopIfTrue="1" operator="equal">
      <formula>"Fail"</formula>
    </cfRule>
  </conditionalFormatting>
  <conditionalFormatting sqref="A1069">
    <cfRule type="cellIs" dxfId="251" priority="89" stopIfTrue="1" operator="equal">
      <formula>"Pass"</formula>
    </cfRule>
    <cfRule type="cellIs" dxfId="250" priority="90" stopIfTrue="1" operator="equal">
      <formula>"Fail"</formula>
    </cfRule>
  </conditionalFormatting>
  <conditionalFormatting sqref="A1069">
    <cfRule type="cellIs" dxfId="249" priority="87" stopIfTrue="1" operator="equal">
      <formula>"Pass"</formula>
    </cfRule>
    <cfRule type="cellIs" dxfId="248" priority="88" stopIfTrue="1" operator="equal">
      <formula>"Fail"</formula>
    </cfRule>
  </conditionalFormatting>
  <conditionalFormatting sqref="A1069">
    <cfRule type="cellIs" dxfId="247" priority="85" stopIfTrue="1" operator="equal">
      <formula>"Pass"</formula>
    </cfRule>
    <cfRule type="cellIs" dxfId="246" priority="86" stopIfTrue="1" operator="equal">
      <formula>"Fail"</formula>
    </cfRule>
  </conditionalFormatting>
  <conditionalFormatting sqref="A1069">
    <cfRule type="cellIs" dxfId="245" priority="83" stopIfTrue="1" operator="equal">
      <formula>"Pass"</formula>
    </cfRule>
    <cfRule type="cellIs" dxfId="244" priority="84" stopIfTrue="1" operator="equal">
      <formula>"Fail"</formula>
    </cfRule>
  </conditionalFormatting>
  <conditionalFormatting sqref="A1069">
    <cfRule type="cellIs" dxfId="243" priority="81" stopIfTrue="1" operator="equal">
      <formula>"Pass"</formula>
    </cfRule>
    <cfRule type="cellIs" dxfId="242" priority="82" stopIfTrue="1" operator="equal">
      <formula>"Fail"</formula>
    </cfRule>
  </conditionalFormatting>
  <conditionalFormatting sqref="A1069">
    <cfRule type="cellIs" dxfId="241" priority="79" stopIfTrue="1" operator="equal">
      <formula>"Pass"</formula>
    </cfRule>
    <cfRule type="cellIs" dxfId="240" priority="80" stopIfTrue="1" operator="equal">
      <formula>"Fail"</formula>
    </cfRule>
  </conditionalFormatting>
  <conditionalFormatting sqref="A1069">
    <cfRule type="cellIs" dxfId="239" priority="77" stopIfTrue="1" operator="equal">
      <formula>"Pass"</formula>
    </cfRule>
    <cfRule type="cellIs" dxfId="238" priority="78" stopIfTrue="1" operator="equal">
      <formula>"Fail"</formula>
    </cfRule>
  </conditionalFormatting>
  <conditionalFormatting sqref="A1069">
    <cfRule type="cellIs" dxfId="237" priority="75" stopIfTrue="1" operator="equal">
      <formula>"Pass"</formula>
    </cfRule>
    <cfRule type="cellIs" dxfId="236" priority="76" stopIfTrue="1" operator="equal">
      <formula>"Fail"</formula>
    </cfRule>
  </conditionalFormatting>
  <conditionalFormatting sqref="A1069">
    <cfRule type="cellIs" dxfId="235" priority="73" stopIfTrue="1" operator="equal">
      <formula>"Pass"</formula>
    </cfRule>
    <cfRule type="cellIs" dxfId="234" priority="74" stopIfTrue="1" operator="equal">
      <formula>"Fail"</formula>
    </cfRule>
  </conditionalFormatting>
  <conditionalFormatting sqref="A1069">
    <cfRule type="cellIs" dxfId="233" priority="71" stopIfTrue="1" operator="equal">
      <formula>"Pass"</formula>
    </cfRule>
    <cfRule type="cellIs" dxfId="232" priority="72" stopIfTrue="1" operator="equal">
      <formula>"Fail"</formula>
    </cfRule>
  </conditionalFormatting>
  <conditionalFormatting sqref="A1069">
    <cfRule type="cellIs" dxfId="231" priority="69" stopIfTrue="1" operator="equal">
      <formula>"Pass"</formula>
    </cfRule>
    <cfRule type="cellIs" dxfId="230" priority="70" stopIfTrue="1" operator="equal">
      <formula>"Fail"</formula>
    </cfRule>
  </conditionalFormatting>
  <conditionalFormatting sqref="A1069">
    <cfRule type="cellIs" dxfId="229" priority="67" stopIfTrue="1" operator="equal">
      <formula>"Pass"</formula>
    </cfRule>
    <cfRule type="cellIs" dxfId="228" priority="68" stopIfTrue="1" operator="equal">
      <formula>"Fail"</formula>
    </cfRule>
  </conditionalFormatting>
  <conditionalFormatting sqref="A1069">
    <cfRule type="cellIs" dxfId="227" priority="65" stopIfTrue="1" operator="equal">
      <formula>"Pass"</formula>
    </cfRule>
    <cfRule type="cellIs" dxfId="226" priority="66" stopIfTrue="1" operator="equal">
      <formula>"Fail"</formula>
    </cfRule>
  </conditionalFormatting>
  <conditionalFormatting sqref="A1069">
    <cfRule type="cellIs" dxfId="225" priority="63" stopIfTrue="1" operator="equal">
      <formula>"Pass"</formula>
    </cfRule>
    <cfRule type="cellIs" dxfId="224" priority="64" stopIfTrue="1" operator="equal">
      <formula>"Fail"</formula>
    </cfRule>
  </conditionalFormatting>
  <conditionalFormatting sqref="A1069">
    <cfRule type="cellIs" dxfId="223" priority="61" stopIfTrue="1" operator="equal">
      <formula>"Pass"</formula>
    </cfRule>
    <cfRule type="cellIs" dxfId="222" priority="62" stopIfTrue="1" operator="equal">
      <formula>"Fail"</formula>
    </cfRule>
  </conditionalFormatting>
  <conditionalFormatting sqref="A1069">
    <cfRule type="cellIs" dxfId="221" priority="59" stopIfTrue="1" operator="equal">
      <formula>"Pass"</formula>
    </cfRule>
    <cfRule type="cellIs" dxfId="220" priority="60" stopIfTrue="1" operator="equal">
      <formula>"Fail"</formula>
    </cfRule>
  </conditionalFormatting>
  <conditionalFormatting sqref="A1069">
    <cfRule type="cellIs" dxfId="219" priority="57" stopIfTrue="1" operator="equal">
      <formula>"Pass"</formula>
    </cfRule>
    <cfRule type="cellIs" dxfId="218" priority="58" stopIfTrue="1" operator="equal">
      <formula>"Fail"</formula>
    </cfRule>
  </conditionalFormatting>
  <conditionalFormatting sqref="A1069">
    <cfRule type="cellIs" dxfId="217" priority="55" stopIfTrue="1" operator="equal">
      <formula>"Pass"</formula>
    </cfRule>
    <cfRule type="cellIs" dxfId="216" priority="56" stopIfTrue="1" operator="equal">
      <formula>"Fail"</formula>
    </cfRule>
  </conditionalFormatting>
  <conditionalFormatting sqref="A1069">
    <cfRule type="cellIs" dxfId="215" priority="53" stopIfTrue="1" operator="equal">
      <formula>"Pass"</formula>
    </cfRule>
    <cfRule type="cellIs" dxfId="214" priority="54" stopIfTrue="1" operator="equal">
      <formula>"Fail"</formula>
    </cfRule>
  </conditionalFormatting>
  <conditionalFormatting sqref="A1069">
    <cfRule type="cellIs" dxfId="213" priority="51" stopIfTrue="1" operator="equal">
      <formula>"Pass"</formula>
    </cfRule>
    <cfRule type="cellIs" dxfId="212" priority="52" stopIfTrue="1" operator="equal">
      <formula>"Fail"</formula>
    </cfRule>
  </conditionalFormatting>
  <conditionalFormatting sqref="A1069">
    <cfRule type="cellIs" dxfId="211" priority="49" stopIfTrue="1" operator="equal">
      <formula>"Pass"</formula>
    </cfRule>
    <cfRule type="cellIs" dxfId="210" priority="50" stopIfTrue="1" operator="equal">
      <formula>"Fail"</formula>
    </cfRule>
  </conditionalFormatting>
  <conditionalFormatting sqref="A1069">
    <cfRule type="cellIs" dxfId="209" priority="47" stopIfTrue="1" operator="equal">
      <formula>"Pass"</formula>
    </cfRule>
    <cfRule type="cellIs" dxfId="208" priority="48" stopIfTrue="1" operator="equal">
      <formula>"Fail"</formula>
    </cfRule>
  </conditionalFormatting>
  <conditionalFormatting sqref="A1069">
    <cfRule type="cellIs" dxfId="207" priority="45" stopIfTrue="1" operator="equal">
      <formula>"Pass"</formula>
    </cfRule>
    <cfRule type="cellIs" dxfId="206" priority="46" stopIfTrue="1" operator="equal">
      <formula>"Fail"</formula>
    </cfRule>
  </conditionalFormatting>
  <conditionalFormatting sqref="A1069:A1071">
    <cfRule type="cellIs" dxfId="205" priority="43" stopIfTrue="1" operator="equal">
      <formula>"Pass"</formula>
    </cfRule>
    <cfRule type="cellIs" dxfId="204" priority="44" stopIfTrue="1" operator="equal">
      <formula>"Fail"</formula>
    </cfRule>
  </conditionalFormatting>
  <conditionalFormatting sqref="A1069:A1071">
    <cfRule type="cellIs" dxfId="203" priority="41" stopIfTrue="1" operator="equal">
      <formula>"Pass"</formula>
    </cfRule>
    <cfRule type="cellIs" dxfId="202" priority="42" stopIfTrue="1" operator="equal">
      <formula>"Fail"</formula>
    </cfRule>
  </conditionalFormatting>
  <conditionalFormatting sqref="A1069:A1071">
    <cfRule type="cellIs" dxfId="201" priority="39" stopIfTrue="1" operator="equal">
      <formula>"Pass"</formula>
    </cfRule>
    <cfRule type="cellIs" dxfId="200" priority="40" stopIfTrue="1" operator="equal">
      <formula>"Fail"</formula>
    </cfRule>
  </conditionalFormatting>
  <conditionalFormatting sqref="A1069:A1071">
    <cfRule type="cellIs" dxfId="199" priority="37" stopIfTrue="1" operator="equal">
      <formula>"Pass"</formula>
    </cfRule>
    <cfRule type="cellIs" dxfId="198" priority="38" stopIfTrue="1" operator="equal">
      <formula>"Fail"</formula>
    </cfRule>
  </conditionalFormatting>
  <conditionalFormatting sqref="A1069:A1071">
    <cfRule type="cellIs" dxfId="197" priority="35" stopIfTrue="1" operator="equal">
      <formula>"Pass"</formula>
    </cfRule>
    <cfRule type="cellIs" dxfId="196" priority="36" stopIfTrue="1" operator="equal">
      <formula>"Fail"</formula>
    </cfRule>
  </conditionalFormatting>
  <conditionalFormatting sqref="A1071">
    <cfRule type="cellIs" dxfId="195" priority="33" stopIfTrue="1" operator="equal">
      <formula>"Pass"</formula>
    </cfRule>
    <cfRule type="cellIs" dxfId="194" priority="34" stopIfTrue="1" operator="equal">
      <formula>"Fail"</formula>
    </cfRule>
  </conditionalFormatting>
  <conditionalFormatting sqref="A1069:A1071">
    <cfRule type="cellIs" dxfId="193" priority="31" stopIfTrue="1" operator="equal">
      <formula>"Pass"</formula>
    </cfRule>
    <cfRule type="cellIs" dxfId="192" priority="32" stopIfTrue="1" operator="equal">
      <formula>"Fail"</formula>
    </cfRule>
  </conditionalFormatting>
  <conditionalFormatting sqref="A1069:A1071">
    <cfRule type="cellIs" dxfId="191" priority="29" stopIfTrue="1" operator="equal">
      <formula>"Pass"</formula>
    </cfRule>
    <cfRule type="cellIs" dxfId="190" priority="30" stopIfTrue="1" operator="equal">
      <formula>"Fail"</formula>
    </cfRule>
  </conditionalFormatting>
  <conditionalFormatting sqref="A1069:A1071">
    <cfRule type="cellIs" dxfId="189" priority="27" stopIfTrue="1" operator="equal">
      <formula>"Pass"</formula>
    </cfRule>
    <cfRule type="cellIs" dxfId="188" priority="28" stopIfTrue="1" operator="equal">
      <formula>"Fail"</formula>
    </cfRule>
  </conditionalFormatting>
  <conditionalFormatting sqref="A1069:A1071">
    <cfRule type="cellIs" dxfId="187" priority="25" stopIfTrue="1" operator="equal">
      <formula>"Pass"</formula>
    </cfRule>
    <cfRule type="cellIs" dxfId="186" priority="26" stopIfTrue="1" operator="equal">
      <formula>"Fail"</formula>
    </cfRule>
  </conditionalFormatting>
  <conditionalFormatting sqref="A1069:A1071">
    <cfRule type="cellIs" dxfId="185" priority="23" stopIfTrue="1" operator="equal">
      <formula>"Pass"</formula>
    </cfRule>
    <cfRule type="cellIs" dxfId="184" priority="24" stopIfTrue="1" operator="equal">
      <formula>"Fail"</formula>
    </cfRule>
  </conditionalFormatting>
  <conditionalFormatting sqref="A1069:A1071">
    <cfRule type="cellIs" dxfId="183" priority="21" stopIfTrue="1" operator="equal">
      <formula>"Pass"</formula>
    </cfRule>
    <cfRule type="cellIs" dxfId="182" priority="22" stopIfTrue="1" operator="equal">
      <formula>"Fail"</formula>
    </cfRule>
  </conditionalFormatting>
  <conditionalFormatting sqref="A1071">
    <cfRule type="cellIs" dxfId="181" priority="19" stopIfTrue="1" operator="equal">
      <formula>"Pass"</formula>
    </cfRule>
    <cfRule type="cellIs" dxfId="180" priority="20" stopIfTrue="1" operator="equal">
      <formula>"Fail"</formula>
    </cfRule>
  </conditionalFormatting>
  <conditionalFormatting sqref="A1069:A1071">
    <cfRule type="cellIs" dxfId="179" priority="17" stopIfTrue="1" operator="equal">
      <formula>"Pass"</formula>
    </cfRule>
    <cfRule type="cellIs" dxfId="178" priority="18" stopIfTrue="1" operator="equal">
      <formula>"Fail"</formula>
    </cfRule>
  </conditionalFormatting>
  <conditionalFormatting sqref="A1069:A1071">
    <cfRule type="cellIs" dxfId="177" priority="15" stopIfTrue="1" operator="equal">
      <formula>"Pass"</formula>
    </cfRule>
    <cfRule type="cellIs" dxfId="176" priority="16" stopIfTrue="1" operator="equal">
      <formula>"Fail"</formula>
    </cfRule>
  </conditionalFormatting>
  <conditionalFormatting sqref="A1069:A1071">
    <cfRule type="cellIs" dxfId="175" priority="13" stopIfTrue="1" operator="equal">
      <formula>"Pass"</formula>
    </cfRule>
    <cfRule type="cellIs" dxfId="174" priority="14" stopIfTrue="1" operator="equal">
      <formula>"Fail"</formula>
    </cfRule>
  </conditionalFormatting>
  <conditionalFormatting sqref="A1069:A1071">
    <cfRule type="cellIs" dxfId="173" priority="11" stopIfTrue="1" operator="equal">
      <formula>"Pass"</formula>
    </cfRule>
    <cfRule type="cellIs" dxfId="172" priority="12" stopIfTrue="1" operator="equal">
      <formula>"Fail"</formula>
    </cfRule>
  </conditionalFormatting>
  <conditionalFormatting sqref="A1069:A1071">
    <cfRule type="cellIs" dxfId="171" priority="9" stopIfTrue="1" operator="equal">
      <formula>"Pass"</formula>
    </cfRule>
    <cfRule type="cellIs" dxfId="170" priority="10" stopIfTrue="1" operator="equal">
      <formula>"Fail"</formula>
    </cfRule>
  </conditionalFormatting>
  <conditionalFormatting sqref="A1069:A1071">
    <cfRule type="cellIs" dxfId="169" priority="7" stopIfTrue="1" operator="equal">
      <formula>"Pass"</formula>
    </cfRule>
    <cfRule type="cellIs" dxfId="168" priority="8" stopIfTrue="1" operator="equal">
      <formula>"Fail"</formula>
    </cfRule>
  </conditionalFormatting>
  <conditionalFormatting sqref="A1071">
    <cfRule type="cellIs" dxfId="167" priority="5" stopIfTrue="1" operator="equal">
      <formula>"Pass"</formula>
    </cfRule>
    <cfRule type="cellIs" dxfId="166" priority="6" stopIfTrue="1" operator="equal">
      <formula>"Fail"</formula>
    </cfRule>
  </conditionalFormatting>
  <conditionalFormatting sqref="A1069:A1071">
    <cfRule type="cellIs" dxfId="165" priority="3" stopIfTrue="1" operator="equal">
      <formula>"Pass"</formula>
    </cfRule>
    <cfRule type="cellIs" dxfId="164" priority="4" stopIfTrue="1" operator="equal">
      <formula>"Fail"</formula>
    </cfRule>
  </conditionalFormatting>
  <conditionalFormatting sqref="A1069:A1071">
    <cfRule type="cellIs" dxfId="163" priority="1" stopIfTrue="1" operator="equal">
      <formula>"Pass"</formula>
    </cfRule>
    <cfRule type="cellIs" dxfId="162"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0"/>
  <sheetViews>
    <sheetView topLeftCell="K1" zoomScale="68" zoomScaleNormal="68" workbookViewId="0">
      <pane ySplit="5" topLeftCell="A390" activePane="bottomLeft" state="frozen"/>
      <selection activeCell="I145" sqref="I145"/>
      <selection pane="bottomLeft" activeCell="Y428" sqref="Y428"/>
    </sheetView>
  </sheetViews>
  <sheetFormatPr defaultColWidth="8.26953125" defaultRowHeight="12.75" x14ac:dyDescent="0.25"/>
  <cols>
    <col min="1" max="1" width="13" style="137" customWidth="1"/>
    <col min="2" max="2" width="8.54296875" style="97" bestFit="1" customWidth="1"/>
    <col min="3" max="3" width="12.453125" style="97" bestFit="1" customWidth="1"/>
    <col min="4" max="4" width="12.81640625" style="10" bestFit="1" customWidth="1"/>
    <col min="5" max="5" width="10.90625" style="10" customWidth="1"/>
    <col min="6" max="6" width="10.54296875" style="10" customWidth="1"/>
    <col min="7" max="7" width="10.6328125" style="33" bestFit="1" customWidth="1"/>
    <col min="8" max="11" width="8.26953125" style="10"/>
    <col min="12" max="12" width="9" style="10" bestFit="1" customWidth="1"/>
    <col min="13" max="15" width="8.26953125" style="10"/>
    <col min="16" max="16" width="9.36328125" style="10" bestFit="1" customWidth="1"/>
    <col min="17" max="17" width="8.26953125" style="10"/>
    <col min="18" max="19" width="8.26953125" style="97"/>
    <col min="20" max="20" width="9.453125" style="97" bestFit="1" customWidth="1"/>
    <col min="21" max="21" width="8.26953125" style="97"/>
    <col min="22" max="22" width="9.1796875" style="97" customWidth="1"/>
    <col min="23" max="23" width="8.26953125" style="97"/>
    <col min="24" max="24" width="17.81640625" style="138" customWidth="1"/>
    <col min="25" max="25" width="21.26953125" style="32" customWidth="1"/>
    <col min="26" max="26" width="53.08984375" style="32" customWidth="1"/>
    <col min="27" max="30" width="8.26953125" style="103"/>
    <col min="31" max="31" width="11.36328125" style="103" customWidth="1"/>
    <col min="32" max="32" width="12.7265625" style="10" customWidth="1"/>
    <col min="33" max="16384" width="8.26953125" style="10"/>
  </cols>
  <sheetData>
    <row r="1" spans="1:32" x14ac:dyDescent="0.25">
      <c r="A1" s="98"/>
      <c r="B1" s="35"/>
      <c r="C1" s="35"/>
      <c r="D1" s="99"/>
      <c r="E1" s="36"/>
      <c r="F1" s="36"/>
      <c r="G1" s="100"/>
      <c r="H1" s="36"/>
      <c r="I1" s="36"/>
      <c r="J1" s="36"/>
      <c r="K1" s="36"/>
      <c r="L1" s="36"/>
      <c r="M1" s="36"/>
      <c r="N1" s="36"/>
      <c r="O1" s="36"/>
      <c r="P1" s="36"/>
      <c r="Q1" s="36"/>
      <c r="R1" s="35"/>
      <c r="S1" s="35"/>
      <c r="T1" s="35"/>
      <c r="U1" s="35"/>
      <c r="V1" s="35"/>
      <c r="W1" s="35"/>
      <c r="X1" s="101"/>
      <c r="Y1" s="102"/>
      <c r="Z1" s="254"/>
    </row>
    <row r="2" spans="1:32" x14ac:dyDescent="0.25">
      <c r="A2" s="98"/>
      <c r="B2" s="35"/>
      <c r="C2" s="35"/>
      <c r="D2" s="44" t="s">
        <v>168</v>
      </c>
      <c r="E2" s="44" t="s">
        <v>169</v>
      </c>
      <c r="F2" s="45" t="s">
        <v>236</v>
      </c>
      <c r="G2" s="46"/>
      <c r="H2" s="36"/>
      <c r="I2" s="36"/>
      <c r="J2" s="36"/>
      <c r="K2" s="36"/>
      <c r="L2" s="36"/>
      <c r="M2" s="36"/>
      <c r="N2" s="36"/>
      <c r="O2" s="36"/>
      <c r="P2" s="36"/>
      <c r="Q2" s="36"/>
      <c r="R2" s="35"/>
      <c r="S2" s="35"/>
      <c r="T2" s="35"/>
      <c r="U2" s="35"/>
      <c r="V2" s="35"/>
      <c r="W2" s="35"/>
      <c r="X2" s="101"/>
      <c r="Y2" s="102"/>
      <c r="Z2" s="254"/>
    </row>
    <row r="3" spans="1:32" x14ac:dyDescent="0.25">
      <c r="A3" s="98"/>
      <c r="B3" s="35"/>
      <c r="C3" s="35"/>
      <c r="D3" s="104" t="s">
        <v>237</v>
      </c>
      <c r="E3" s="104" t="s">
        <v>238</v>
      </c>
      <c r="F3" s="105" t="s">
        <v>239</v>
      </c>
      <c r="G3" s="106"/>
      <c r="H3" s="36"/>
      <c r="I3" s="36"/>
      <c r="J3" s="36"/>
      <c r="K3" s="36"/>
      <c r="L3" s="36"/>
      <c r="M3" s="36"/>
      <c r="N3" s="36"/>
      <c r="O3" s="36"/>
      <c r="P3" s="36"/>
      <c r="Q3" s="36"/>
      <c r="R3" s="35"/>
      <c r="S3" s="35"/>
      <c r="T3" s="35"/>
      <c r="U3" s="35"/>
      <c r="V3" s="35"/>
      <c r="W3" s="35"/>
      <c r="X3" s="101"/>
      <c r="Y3" s="102"/>
      <c r="Z3" s="254"/>
    </row>
    <row r="4" spans="1:32" x14ac:dyDescent="0.25">
      <c r="A4" s="98"/>
      <c r="B4" s="35"/>
      <c r="C4" s="35"/>
      <c r="D4" s="36"/>
      <c r="E4" s="36"/>
      <c r="F4" s="36"/>
      <c r="G4" s="100"/>
      <c r="H4" s="36"/>
      <c r="I4" s="36"/>
      <c r="J4" s="36"/>
      <c r="K4" s="36"/>
      <c r="L4" s="36"/>
      <c r="M4" s="36"/>
      <c r="N4" s="36"/>
      <c r="O4" s="36"/>
      <c r="P4" s="36"/>
      <c r="Q4" s="36"/>
      <c r="R4" s="35"/>
      <c r="S4" s="35"/>
      <c r="T4" s="35"/>
      <c r="U4" s="35"/>
      <c r="V4" s="35"/>
      <c r="W4" s="35"/>
      <c r="X4" s="101"/>
      <c r="Y4" s="107"/>
      <c r="Z4" s="254"/>
    </row>
    <row r="5" spans="1:32" s="51" customFormat="1" ht="62.05" x14ac:dyDescent="0.25">
      <c r="A5" s="108" t="s">
        <v>180</v>
      </c>
      <c r="B5" s="109" t="s">
        <v>168</v>
      </c>
      <c r="C5" s="110" t="s">
        <v>169</v>
      </c>
      <c r="D5" s="110"/>
      <c r="E5" s="111" t="s">
        <v>240</v>
      </c>
      <c r="F5" s="112"/>
      <c r="G5" s="112"/>
      <c r="H5" s="112"/>
      <c r="I5" s="112"/>
      <c r="J5" s="112"/>
      <c r="K5" s="112"/>
      <c r="L5" s="112"/>
      <c r="M5" s="112"/>
      <c r="N5" s="112"/>
      <c r="O5" s="112"/>
      <c r="P5" s="112"/>
      <c r="Q5" s="113"/>
      <c r="R5" s="109" t="s">
        <v>182</v>
      </c>
      <c r="S5" s="109" t="s">
        <v>183</v>
      </c>
      <c r="T5" s="114" t="s">
        <v>184</v>
      </c>
      <c r="U5" s="114" t="s">
        <v>185</v>
      </c>
      <c r="V5" s="114" t="s">
        <v>186</v>
      </c>
      <c r="W5" s="115" t="s">
        <v>23</v>
      </c>
      <c r="X5" s="116" t="s">
        <v>241</v>
      </c>
      <c r="Y5" s="116" t="s">
        <v>274</v>
      </c>
      <c r="Z5" s="115" t="s">
        <v>24</v>
      </c>
      <c r="AA5" s="117" t="s">
        <v>187</v>
      </c>
      <c r="AB5" s="117" t="s">
        <v>22</v>
      </c>
      <c r="AC5" s="117" t="s">
        <v>188</v>
      </c>
      <c r="AD5" s="118" t="s">
        <v>189</v>
      </c>
      <c r="AE5" s="118" t="s">
        <v>190</v>
      </c>
      <c r="AF5" s="118" t="s">
        <v>272</v>
      </c>
    </row>
    <row r="6" spans="1:32" ht="15.55" x14ac:dyDescent="0.25">
      <c r="A6" s="298">
        <v>43101</v>
      </c>
      <c r="B6" s="119" t="s">
        <v>242</v>
      </c>
      <c r="C6" s="119" t="s">
        <v>238</v>
      </c>
      <c r="D6" s="120" t="s">
        <v>192</v>
      </c>
      <c r="E6" s="121">
        <v>2796.56</v>
      </c>
      <c r="F6" s="121">
        <v>2748.32</v>
      </c>
      <c r="G6" s="121">
        <v>2721.84</v>
      </c>
      <c r="H6" s="121">
        <v>2711.96</v>
      </c>
      <c r="I6" s="121">
        <v>2720.69</v>
      </c>
      <c r="J6" s="121">
        <v>2746.04</v>
      </c>
      <c r="K6" s="121">
        <v>2786.76</v>
      </c>
      <c r="L6" s="121">
        <v>2803.68</v>
      </c>
      <c r="M6" s="121">
        <v>2744.41</v>
      </c>
      <c r="N6" s="121">
        <v>2713.15</v>
      </c>
      <c r="O6" s="121">
        <v>2733.22</v>
      </c>
      <c r="P6" s="121">
        <v>2777.87</v>
      </c>
      <c r="Q6" s="121">
        <v>2851.24</v>
      </c>
      <c r="R6" s="301">
        <f>IF((Q7=""),"",MAX(E8:Q8))</f>
        <v>365.98</v>
      </c>
      <c r="S6" s="301">
        <f>IF(Q7="","",MIN(E8:Q8))</f>
        <v>313.61000000000013</v>
      </c>
      <c r="T6" s="304">
        <f>IF((Q8=""),"",AVERAGE(E8:Q8))</f>
        <v>338.40846153846155</v>
      </c>
      <c r="U6" s="304">
        <f>IF((Q7=""),"",(R6-S6)/(R6+S6)*100)</f>
        <v>7.7061169234391143</v>
      </c>
      <c r="V6" s="304">
        <f>STDEV(E8:Q8)</f>
        <v>19.094805509245123</v>
      </c>
      <c r="W6" s="292" t="str">
        <f>IF(Q7="","",IF(T6&gt;300,IF(U6&lt;14,IF(T6&lt;390,"Pass","Fail"),"Fail"),"Fail"))</f>
        <v>Pass</v>
      </c>
      <c r="X6" s="295"/>
      <c r="Y6" s="309"/>
      <c r="Z6" s="255"/>
      <c r="AA6" s="122">
        <v>270</v>
      </c>
      <c r="AB6" s="122">
        <v>370</v>
      </c>
      <c r="AC6" s="122">
        <v>300</v>
      </c>
      <c r="AD6" s="123">
        <v>390</v>
      </c>
      <c r="AE6" s="123">
        <v>14</v>
      </c>
      <c r="AF6" s="123">
        <v>20</v>
      </c>
    </row>
    <row r="7" spans="1:32" ht="15.55" x14ac:dyDescent="0.25">
      <c r="A7" s="299"/>
      <c r="B7" s="124"/>
      <c r="C7" s="124"/>
      <c r="D7" s="120" t="s">
        <v>193</v>
      </c>
      <c r="E7" s="121">
        <v>2430.58</v>
      </c>
      <c r="F7" s="121">
        <v>2414.33</v>
      </c>
      <c r="G7" s="121">
        <v>2400.17</v>
      </c>
      <c r="H7" s="121">
        <v>2391.1</v>
      </c>
      <c r="I7" s="121">
        <v>2398.3000000000002</v>
      </c>
      <c r="J7" s="121">
        <v>2408.1</v>
      </c>
      <c r="K7" s="121">
        <v>2424.64</v>
      </c>
      <c r="L7" s="121">
        <v>2441.06</v>
      </c>
      <c r="M7" s="121">
        <v>2409.27</v>
      </c>
      <c r="N7" s="121">
        <v>2399.54</v>
      </c>
      <c r="O7" s="121">
        <v>2412.98</v>
      </c>
      <c r="P7" s="121">
        <v>2438.9499999999998</v>
      </c>
      <c r="Q7" s="121">
        <v>2487.41</v>
      </c>
      <c r="R7" s="302"/>
      <c r="S7" s="302"/>
      <c r="T7" s="305"/>
      <c r="U7" s="305"/>
      <c r="V7" s="307"/>
      <c r="W7" s="293"/>
      <c r="X7" s="296"/>
      <c r="Y7" s="310"/>
      <c r="Z7" s="255"/>
      <c r="AA7" s="122"/>
      <c r="AB7" s="122"/>
      <c r="AC7" s="122"/>
      <c r="AD7" s="123"/>
      <c r="AE7" s="123"/>
      <c r="AF7" s="123"/>
    </row>
    <row r="8" spans="1:32" ht="62.6" thickBot="1" x14ac:dyDescent="0.35">
      <c r="A8" s="300"/>
      <c r="B8" s="119"/>
      <c r="C8" s="119"/>
      <c r="D8" s="120" t="s">
        <v>194</v>
      </c>
      <c r="E8" s="125">
        <f t="shared" ref="E8:Q8" si="0">IF(((E6="")*AND(E7="")),"",(E6-E7))</f>
        <v>365.98</v>
      </c>
      <c r="F8" s="125">
        <f t="shared" si="0"/>
        <v>333.99000000000024</v>
      </c>
      <c r="G8" s="125">
        <f t="shared" si="0"/>
        <v>321.67000000000007</v>
      </c>
      <c r="H8" s="125">
        <f t="shared" si="0"/>
        <v>320.86000000000013</v>
      </c>
      <c r="I8" s="125">
        <f t="shared" si="0"/>
        <v>322.38999999999987</v>
      </c>
      <c r="J8" s="125">
        <f t="shared" si="0"/>
        <v>337.94000000000005</v>
      </c>
      <c r="K8" s="125">
        <f t="shared" si="0"/>
        <v>362.12000000000035</v>
      </c>
      <c r="L8" s="125">
        <f t="shared" si="0"/>
        <v>362.61999999999989</v>
      </c>
      <c r="M8" s="125">
        <f t="shared" si="0"/>
        <v>335.13999999999987</v>
      </c>
      <c r="N8" s="125">
        <f t="shared" si="0"/>
        <v>313.61000000000013</v>
      </c>
      <c r="O8" s="125">
        <f t="shared" si="0"/>
        <v>320.23999999999978</v>
      </c>
      <c r="P8" s="125">
        <f t="shared" si="0"/>
        <v>338.92000000000007</v>
      </c>
      <c r="Q8" s="125">
        <f t="shared" si="0"/>
        <v>363.82999999999993</v>
      </c>
      <c r="R8" s="303"/>
      <c r="S8" s="303"/>
      <c r="T8" s="306"/>
      <c r="U8" s="306"/>
      <c r="V8" s="308"/>
      <c r="W8" s="294"/>
      <c r="X8" s="297"/>
      <c r="Y8" s="311"/>
      <c r="Z8" s="255"/>
      <c r="AA8" s="122"/>
      <c r="AB8" s="122"/>
      <c r="AC8" s="122"/>
      <c r="AD8" s="122"/>
      <c r="AE8" s="122"/>
      <c r="AF8" s="126"/>
    </row>
    <row r="9" spans="1:32" ht="15.55" x14ac:dyDescent="0.25">
      <c r="A9" s="298">
        <v>43105</v>
      </c>
      <c r="B9" s="119" t="s">
        <v>242</v>
      </c>
      <c r="C9" s="119" t="s">
        <v>238</v>
      </c>
      <c r="D9" s="120" t="s">
        <v>192</v>
      </c>
      <c r="E9" s="121">
        <v>2432.1</v>
      </c>
      <c r="F9" s="121">
        <v>2415.88</v>
      </c>
      <c r="G9" s="121">
        <v>2400.87</v>
      </c>
      <c r="H9" s="121">
        <v>2389.8200000000002</v>
      </c>
      <c r="I9" s="121">
        <v>2396.04</v>
      </c>
      <c r="J9" s="121">
        <v>2410.0700000000002</v>
      </c>
      <c r="K9" s="121">
        <v>2427.59</v>
      </c>
      <c r="L9" s="121">
        <v>2443.3200000000002</v>
      </c>
      <c r="M9" s="121">
        <v>2429.96</v>
      </c>
      <c r="N9" s="121">
        <v>2396.1999999999998</v>
      </c>
      <c r="O9" s="121">
        <v>2407.63</v>
      </c>
      <c r="P9" s="121">
        <v>2437.3000000000002</v>
      </c>
      <c r="Q9" s="121">
        <v>2486.2399999999998</v>
      </c>
      <c r="R9" s="301">
        <f>IF((Q10=""),"",MAX(E11:Q11))</f>
        <v>370.87999999999965</v>
      </c>
      <c r="S9" s="301">
        <f>IF(Q10="","",MIN(E11:Q11))</f>
        <v>316.66000000000031</v>
      </c>
      <c r="T9" s="304">
        <f>IF((Q11=""),"",AVERAGE(E11:Q11))</f>
        <v>344.1476923076923</v>
      </c>
      <c r="U9" s="304">
        <f>IF((Q10=""),"",(R9-S9)/(R9+S9)*100)</f>
        <v>7.8860866276870212</v>
      </c>
      <c r="V9" s="304">
        <f>STDEV(E11:Q11)</f>
        <v>20.202388123621184</v>
      </c>
      <c r="W9" s="292" t="str">
        <f>IF(Q10="","",IF(T9&gt;300,IF(U9&lt;14,IF(T9&lt;390,"Pass","Fail"),"Fail"),"Fail"))</f>
        <v>Pass</v>
      </c>
      <c r="X9" s="326" t="s">
        <v>197</v>
      </c>
      <c r="Y9" s="309"/>
      <c r="Z9" s="255"/>
      <c r="AA9" s="122">
        <v>270</v>
      </c>
      <c r="AB9" s="122">
        <v>370</v>
      </c>
      <c r="AC9" s="122">
        <v>300</v>
      </c>
      <c r="AD9" s="123">
        <v>390</v>
      </c>
      <c r="AE9" s="123">
        <v>14</v>
      </c>
      <c r="AF9" s="123">
        <v>20</v>
      </c>
    </row>
    <row r="10" spans="1:32" ht="15.55" x14ac:dyDescent="0.25">
      <c r="A10" s="299"/>
      <c r="B10" s="124"/>
      <c r="C10" s="124"/>
      <c r="D10" s="120" t="s">
        <v>193</v>
      </c>
      <c r="E10" s="121">
        <v>2063.5300000000002</v>
      </c>
      <c r="F10" s="121">
        <v>2074.73</v>
      </c>
      <c r="G10" s="121">
        <v>2073.37</v>
      </c>
      <c r="H10" s="121">
        <v>2073.16</v>
      </c>
      <c r="I10" s="121">
        <v>2072.7199999999998</v>
      </c>
      <c r="J10" s="121">
        <v>2073</v>
      </c>
      <c r="K10" s="121">
        <v>2060.0300000000002</v>
      </c>
      <c r="L10" s="121">
        <v>2074.36</v>
      </c>
      <c r="M10" s="121">
        <v>2071.0500000000002</v>
      </c>
      <c r="N10" s="121">
        <v>2069.4299999999998</v>
      </c>
      <c r="O10" s="121">
        <v>2082.75</v>
      </c>
      <c r="P10" s="121">
        <v>2095.61</v>
      </c>
      <c r="Q10" s="121">
        <v>2115.36</v>
      </c>
      <c r="R10" s="302"/>
      <c r="S10" s="302"/>
      <c r="T10" s="305"/>
      <c r="U10" s="305"/>
      <c r="V10" s="307"/>
      <c r="W10" s="293"/>
      <c r="X10" s="327"/>
      <c r="Y10" s="310"/>
      <c r="Z10" s="255"/>
      <c r="AA10" s="122"/>
      <c r="AB10" s="122"/>
      <c r="AC10" s="122"/>
      <c r="AD10" s="123"/>
      <c r="AE10" s="123"/>
      <c r="AF10" s="123"/>
    </row>
    <row r="11" spans="1:32" ht="62.05" x14ac:dyDescent="0.3">
      <c r="A11" s="300"/>
      <c r="B11" s="119"/>
      <c r="C11" s="119"/>
      <c r="D11" s="120" t="s">
        <v>194</v>
      </c>
      <c r="E11" s="125">
        <f t="shared" ref="E11:Q11" si="1">IF(((E9="")*AND(E10="")),"",(E9-E10))</f>
        <v>368.56999999999971</v>
      </c>
      <c r="F11" s="125">
        <f t="shared" si="1"/>
        <v>341.15000000000009</v>
      </c>
      <c r="G11" s="125">
        <f t="shared" si="1"/>
        <v>327.5</v>
      </c>
      <c r="H11" s="125">
        <f t="shared" si="1"/>
        <v>316.66000000000031</v>
      </c>
      <c r="I11" s="125">
        <f t="shared" si="1"/>
        <v>323.32000000000016</v>
      </c>
      <c r="J11" s="125">
        <f t="shared" si="1"/>
        <v>337.07000000000016</v>
      </c>
      <c r="K11" s="125">
        <f t="shared" si="1"/>
        <v>367.55999999999995</v>
      </c>
      <c r="L11" s="125">
        <f t="shared" si="1"/>
        <v>368.96000000000004</v>
      </c>
      <c r="M11" s="125">
        <f t="shared" si="1"/>
        <v>358.90999999999985</v>
      </c>
      <c r="N11" s="125">
        <f t="shared" si="1"/>
        <v>326.77</v>
      </c>
      <c r="O11" s="125">
        <f t="shared" si="1"/>
        <v>324.88000000000011</v>
      </c>
      <c r="P11" s="125">
        <f t="shared" si="1"/>
        <v>341.69000000000005</v>
      </c>
      <c r="Q11" s="125">
        <f t="shared" si="1"/>
        <v>370.87999999999965</v>
      </c>
      <c r="R11" s="303"/>
      <c r="S11" s="303"/>
      <c r="T11" s="306"/>
      <c r="U11" s="306"/>
      <c r="V11" s="308"/>
      <c r="W11" s="294"/>
      <c r="X11" s="328"/>
      <c r="Y11" s="311"/>
      <c r="Z11" s="255"/>
      <c r="AA11" s="122"/>
      <c r="AB11" s="122"/>
      <c r="AC11" s="122"/>
      <c r="AD11" s="122"/>
      <c r="AE11" s="122"/>
      <c r="AF11" s="126"/>
    </row>
    <row r="12" spans="1:32" ht="15.55" x14ac:dyDescent="0.25">
      <c r="A12" s="298">
        <v>43109</v>
      </c>
      <c r="B12" s="119" t="s">
        <v>242</v>
      </c>
      <c r="C12" s="119" t="s">
        <v>238</v>
      </c>
      <c r="D12" s="120" t="s">
        <v>192</v>
      </c>
      <c r="E12" s="121">
        <v>2806.66</v>
      </c>
      <c r="F12" s="121">
        <v>2757.33</v>
      </c>
      <c r="G12" s="121">
        <v>2732.19</v>
      </c>
      <c r="H12" s="121">
        <v>2722.53</v>
      </c>
      <c r="I12" s="121">
        <v>2731.52</v>
      </c>
      <c r="J12" s="121">
        <v>2759.92</v>
      </c>
      <c r="K12" s="121">
        <v>2808.5</v>
      </c>
      <c r="L12" s="121">
        <v>2811.3</v>
      </c>
      <c r="M12" s="121">
        <v>2753.84</v>
      </c>
      <c r="N12" s="121">
        <v>2724.48</v>
      </c>
      <c r="O12" s="121">
        <v>2743.9</v>
      </c>
      <c r="P12" s="121">
        <v>2786.55</v>
      </c>
      <c r="Q12" s="121">
        <v>2857.61</v>
      </c>
      <c r="R12" s="301">
        <f>IF((Q13=""),"",MAX(E14:Q14))</f>
        <v>371.85999999999967</v>
      </c>
      <c r="S12" s="301">
        <f>IF(Q13="","",MIN(E14:Q14))</f>
        <v>315.64000000000033</v>
      </c>
      <c r="T12" s="304">
        <f>IF((Q14=""),"",AVERAGE(E14:Q14))</f>
        <v>340.3523076923077</v>
      </c>
      <c r="U12" s="304">
        <f>IF((Q13=""),"",(R12-S12)/(R12+S12)*100)</f>
        <v>8.1774545454544505</v>
      </c>
      <c r="V12" s="304">
        <f>STDEV(E14:Q14)</f>
        <v>22.219105200197276</v>
      </c>
      <c r="W12" s="292" t="str">
        <f>IF(Q13="","",IF(T12&gt;300,IF(U12&lt;14,IF(T12&lt;390,"Pass","Fail"),"Fail"),"Fail"))</f>
        <v>Pass</v>
      </c>
      <c r="X12" s="295" t="s">
        <v>99</v>
      </c>
      <c r="Y12" s="309"/>
      <c r="Z12" s="255"/>
      <c r="AA12" s="122">
        <v>270</v>
      </c>
      <c r="AB12" s="122">
        <v>370</v>
      </c>
      <c r="AC12" s="122">
        <v>300</v>
      </c>
      <c r="AD12" s="123">
        <v>390</v>
      </c>
      <c r="AE12" s="123">
        <v>14</v>
      </c>
      <c r="AF12" s="123">
        <v>20</v>
      </c>
    </row>
    <row r="13" spans="1:32" ht="15.55" x14ac:dyDescent="0.25">
      <c r="A13" s="299"/>
      <c r="B13" s="124"/>
      <c r="C13" s="124"/>
      <c r="D13" s="120" t="s">
        <v>193</v>
      </c>
      <c r="E13" s="121">
        <v>2434.8000000000002</v>
      </c>
      <c r="F13" s="121">
        <v>2421.5300000000002</v>
      </c>
      <c r="G13" s="121">
        <v>2411.0100000000002</v>
      </c>
      <c r="H13" s="121">
        <v>2406.89</v>
      </c>
      <c r="I13" s="121">
        <v>2411.75</v>
      </c>
      <c r="J13" s="121">
        <v>2423.62</v>
      </c>
      <c r="K13" s="121">
        <v>2437.5300000000002</v>
      </c>
      <c r="L13" s="121">
        <v>2441.25</v>
      </c>
      <c r="M13" s="121">
        <v>2416.58</v>
      </c>
      <c r="N13" s="121">
        <v>2406.34</v>
      </c>
      <c r="O13" s="121">
        <v>2421.6</v>
      </c>
      <c r="P13" s="121">
        <v>2450.35</v>
      </c>
      <c r="Q13" s="121">
        <v>2488.5</v>
      </c>
      <c r="R13" s="302"/>
      <c r="S13" s="302"/>
      <c r="T13" s="305"/>
      <c r="U13" s="305"/>
      <c r="V13" s="307"/>
      <c r="W13" s="293"/>
      <c r="X13" s="296"/>
      <c r="Y13" s="310"/>
      <c r="Z13" s="255"/>
      <c r="AA13" s="122"/>
      <c r="AB13" s="122"/>
      <c r="AC13" s="122"/>
      <c r="AD13" s="123"/>
      <c r="AE13" s="123"/>
      <c r="AF13" s="123"/>
    </row>
    <row r="14" spans="1:32" ht="62.05" x14ac:dyDescent="0.3">
      <c r="A14" s="300"/>
      <c r="B14" s="119"/>
      <c r="C14" s="119"/>
      <c r="D14" s="120" t="s">
        <v>194</v>
      </c>
      <c r="E14" s="125">
        <f t="shared" ref="E14:Q14" si="2">IF(((E12="")*AND(E13="")),"",(E12-E13))</f>
        <v>371.85999999999967</v>
      </c>
      <c r="F14" s="125">
        <f t="shared" si="2"/>
        <v>335.79999999999973</v>
      </c>
      <c r="G14" s="125">
        <f t="shared" si="2"/>
        <v>321.17999999999984</v>
      </c>
      <c r="H14" s="125">
        <f t="shared" si="2"/>
        <v>315.64000000000033</v>
      </c>
      <c r="I14" s="125">
        <f t="shared" si="2"/>
        <v>319.77</v>
      </c>
      <c r="J14" s="125">
        <f t="shared" si="2"/>
        <v>336.30000000000018</v>
      </c>
      <c r="K14" s="125">
        <f t="shared" si="2"/>
        <v>370.9699999999998</v>
      </c>
      <c r="L14" s="125">
        <f t="shared" si="2"/>
        <v>370.05000000000018</v>
      </c>
      <c r="M14" s="125">
        <f t="shared" si="2"/>
        <v>337.26000000000022</v>
      </c>
      <c r="N14" s="125">
        <f t="shared" si="2"/>
        <v>318.13999999999987</v>
      </c>
      <c r="O14" s="125">
        <f t="shared" si="2"/>
        <v>322.30000000000018</v>
      </c>
      <c r="P14" s="125">
        <f t="shared" si="2"/>
        <v>336.20000000000027</v>
      </c>
      <c r="Q14" s="125">
        <f t="shared" si="2"/>
        <v>369.11000000000013</v>
      </c>
      <c r="R14" s="303"/>
      <c r="S14" s="303"/>
      <c r="T14" s="306"/>
      <c r="U14" s="306"/>
      <c r="V14" s="308"/>
      <c r="W14" s="294"/>
      <c r="X14" s="297"/>
      <c r="Y14" s="311"/>
      <c r="Z14" s="255"/>
      <c r="AA14" s="122"/>
      <c r="AB14" s="122"/>
      <c r="AC14" s="122"/>
      <c r="AD14" s="122"/>
      <c r="AE14" s="122"/>
      <c r="AF14" s="126"/>
    </row>
    <row r="15" spans="1:32" ht="15.55" x14ac:dyDescent="0.25">
      <c r="A15" s="298">
        <v>43112</v>
      </c>
      <c r="B15" s="119" t="s">
        <v>242</v>
      </c>
      <c r="C15" s="119" t="s">
        <v>238</v>
      </c>
      <c r="D15" s="120" t="s">
        <v>192</v>
      </c>
      <c r="E15" s="121">
        <v>2437.09</v>
      </c>
      <c r="F15" s="121">
        <v>2422.9499999999998</v>
      </c>
      <c r="G15" s="121">
        <v>2412.89</v>
      </c>
      <c r="H15" s="121">
        <v>2404.87</v>
      </c>
      <c r="I15" s="121">
        <v>2411.7199999999998</v>
      </c>
      <c r="J15" s="121">
        <v>2426.9699999999998</v>
      </c>
      <c r="K15" s="121">
        <v>2437.2399999999998</v>
      </c>
      <c r="L15" s="121">
        <v>2446.46</v>
      </c>
      <c r="M15" s="121">
        <v>2417.3200000000002</v>
      </c>
      <c r="N15" s="121">
        <v>2405.39</v>
      </c>
      <c r="O15" s="121">
        <v>2421.3200000000002</v>
      </c>
      <c r="P15" s="121">
        <v>2448.91</v>
      </c>
      <c r="Q15" s="121">
        <v>2485.94</v>
      </c>
      <c r="R15" s="301">
        <f>IF((Q16=""),"",MAX(E17:Q17))</f>
        <v>373.67000000000007</v>
      </c>
      <c r="S15" s="301">
        <f>IF(Q16="","",MIN(E17:Q17))</f>
        <v>322.44000000000005</v>
      </c>
      <c r="T15" s="304">
        <f>IF((Q17=""),"",AVERAGE(E17:Q17))</f>
        <v>345.98384615384606</v>
      </c>
      <c r="U15" s="304">
        <f>IF((Q16=""),"",(R15-S15)/(R15+S15)*100)</f>
        <v>7.3594690494318442</v>
      </c>
      <c r="V15" s="304">
        <f>STDEV(E17:Q17)</f>
        <v>18.603603834768826</v>
      </c>
      <c r="W15" s="292" t="str">
        <f>IF(Q16="","",IF(T15&gt;300,IF(U15&lt;14,IF(T15&lt;390,"Pass","Fail"),"Fail"),"Fail"))</f>
        <v>Pass</v>
      </c>
      <c r="X15" s="295">
        <v>121</v>
      </c>
      <c r="Y15" s="309"/>
      <c r="Z15" s="255"/>
      <c r="AA15" s="122">
        <v>270</v>
      </c>
      <c r="AB15" s="122">
        <v>370</v>
      </c>
      <c r="AC15" s="122">
        <v>300</v>
      </c>
      <c r="AD15" s="123">
        <v>390</v>
      </c>
      <c r="AE15" s="123">
        <v>14</v>
      </c>
      <c r="AF15" s="123">
        <v>20</v>
      </c>
    </row>
    <row r="16" spans="1:32" ht="15.55" x14ac:dyDescent="0.25">
      <c r="A16" s="299"/>
      <c r="B16" s="124"/>
      <c r="C16" s="124"/>
      <c r="D16" s="120" t="s">
        <v>193</v>
      </c>
      <c r="E16" s="121">
        <v>2065.2800000000002</v>
      </c>
      <c r="F16" s="121">
        <v>2077.31</v>
      </c>
      <c r="G16" s="121">
        <v>2081.4899999999998</v>
      </c>
      <c r="H16" s="121">
        <v>2082.4299999999998</v>
      </c>
      <c r="I16" s="121">
        <v>2084.17</v>
      </c>
      <c r="J16" s="121">
        <v>2081.7399999999998</v>
      </c>
      <c r="K16" s="121">
        <v>2072.5300000000002</v>
      </c>
      <c r="L16" s="121">
        <v>2072.79</v>
      </c>
      <c r="M16" s="121">
        <v>2077.1799999999998</v>
      </c>
      <c r="N16" s="121">
        <v>2077.44</v>
      </c>
      <c r="O16" s="121">
        <v>2092.0700000000002</v>
      </c>
      <c r="P16" s="121">
        <v>2101.81</v>
      </c>
      <c r="Q16" s="121">
        <v>2115.04</v>
      </c>
      <c r="R16" s="302"/>
      <c r="S16" s="302"/>
      <c r="T16" s="305"/>
      <c r="U16" s="305"/>
      <c r="V16" s="307"/>
      <c r="W16" s="293"/>
      <c r="X16" s="296"/>
      <c r="Y16" s="310"/>
      <c r="Z16" s="255"/>
      <c r="AA16" s="122"/>
      <c r="AB16" s="122"/>
      <c r="AC16" s="122"/>
      <c r="AD16" s="123"/>
      <c r="AE16" s="123"/>
      <c r="AF16" s="123"/>
    </row>
    <row r="17" spans="1:32" ht="62.05" x14ac:dyDescent="0.3">
      <c r="A17" s="300"/>
      <c r="B17" s="119"/>
      <c r="C17" s="119"/>
      <c r="D17" s="120" t="s">
        <v>194</v>
      </c>
      <c r="E17" s="125">
        <f t="shared" ref="E17:Q17" si="3">IF(((E15="")*AND(E16="")),"",(E15-E16))</f>
        <v>371.80999999999995</v>
      </c>
      <c r="F17" s="125">
        <f t="shared" si="3"/>
        <v>345.63999999999987</v>
      </c>
      <c r="G17" s="125">
        <f t="shared" si="3"/>
        <v>331.40000000000009</v>
      </c>
      <c r="H17" s="125">
        <f t="shared" si="3"/>
        <v>322.44000000000005</v>
      </c>
      <c r="I17" s="125">
        <f t="shared" si="3"/>
        <v>327.54999999999973</v>
      </c>
      <c r="J17" s="125">
        <f t="shared" si="3"/>
        <v>345.23</v>
      </c>
      <c r="K17" s="125">
        <f t="shared" si="3"/>
        <v>364.70999999999958</v>
      </c>
      <c r="L17" s="125">
        <f t="shared" si="3"/>
        <v>373.67000000000007</v>
      </c>
      <c r="M17" s="125">
        <f t="shared" si="3"/>
        <v>340.14000000000033</v>
      </c>
      <c r="N17" s="125">
        <f t="shared" si="3"/>
        <v>327.94999999999982</v>
      </c>
      <c r="O17" s="125">
        <f t="shared" si="3"/>
        <v>329.25</v>
      </c>
      <c r="P17" s="125">
        <f t="shared" si="3"/>
        <v>347.09999999999991</v>
      </c>
      <c r="Q17" s="125">
        <f t="shared" si="3"/>
        <v>370.90000000000009</v>
      </c>
      <c r="R17" s="303"/>
      <c r="S17" s="303"/>
      <c r="T17" s="306"/>
      <c r="U17" s="306"/>
      <c r="V17" s="308"/>
      <c r="W17" s="294"/>
      <c r="X17" s="297"/>
      <c r="Y17" s="311"/>
      <c r="Z17" s="255"/>
      <c r="AA17" s="122"/>
      <c r="AB17" s="122"/>
      <c r="AC17" s="122"/>
      <c r="AD17" s="122"/>
      <c r="AE17" s="122"/>
      <c r="AF17" s="126"/>
    </row>
    <row r="18" spans="1:32" ht="15.55" x14ac:dyDescent="0.25">
      <c r="A18" s="298">
        <v>43117</v>
      </c>
      <c r="B18" s="119" t="s">
        <v>242</v>
      </c>
      <c r="C18" s="119" t="s">
        <v>238</v>
      </c>
      <c r="D18" s="120" t="s">
        <v>192</v>
      </c>
      <c r="E18" s="121">
        <v>2808.18</v>
      </c>
      <c r="F18" s="121">
        <v>2765.71</v>
      </c>
      <c r="G18" s="121">
        <v>2741.69</v>
      </c>
      <c r="H18" s="121">
        <v>2730.58</v>
      </c>
      <c r="I18" s="121">
        <v>2738.22</v>
      </c>
      <c r="J18" s="121">
        <v>2762</v>
      </c>
      <c r="K18" s="121">
        <v>2805.39</v>
      </c>
      <c r="L18" s="121">
        <v>2821.6</v>
      </c>
      <c r="M18" s="121">
        <v>2760.84</v>
      </c>
      <c r="N18" s="121">
        <v>2732.7</v>
      </c>
      <c r="O18" s="121">
        <v>2751.45</v>
      </c>
      <c r="P18" s="121">
        <v>2790.09</v>
      </c>
      <c r="Q18" s="121">
        <v>2860.17</v>
      </c>
      <c r="R18" s="301">
        <f>IF((Q19=""),"",MAX(E20:Q20))</f>
        <v>366.09999999999991</v>
      </c>
      <c r="S18" s="301">
        <f>IF(Q19="","",MIN(E20:Q20))</f>
        <v>319.15000000000009</v>
      </c>
      <c r="T18" s="304">
        <f>IF((Q20=""),"",AVERAGE(E20:Q20))</f>
        <v>338.36153846153843</v>
      </c>
      <c r="U18" s="304">
        <f>IF((Q19=""),"",(R18-S18)/(R18+S18)*100)</f>
        <v>6.8515140459685986</v>
      </c>
      <c r="V18" s="304">
        <f>STDEV(E20:Q20)</f>
        <v>17.575635998996709</v>
      </c>
      <c r="W18" s="292" t="str">
        <f>IF(Q19="","",IF(T18&gt;300,IF(U18&lt;14,IF(T18&lt;390,"Pass","Fail"),"Fail"),"Fail"))</f>
        <v>Pass</v>
      </c>
      <c r="X18" s="295">
        <v>1428</v>
      </c>
      <c r="Y18" s="309"/>
      <c r="Z18" s="255"/>
      <c r="AA18" s="122">
        <v>270</v>
      </c>
      <c r="AB18" s="122">
        <v>370</v>
      </c>
      <c r="AC18" s="122">
        <v>300</v>
      </c>
      <c r="AD18" s="123">
        <v>390</v>
      </c>
      <c r="AE18" s="123">
        <v>14</v>
      </c>
      <c r="AF18" s="123">
        <v>20</v>
      </c>
    </row>
    <row r="19" spans="1:32" ht="15.55" x14ac:dyDescent="0.25">
      <c r="A19" s="299"/>
      <c r="B19" s="124"/>
      <c r="C19" s="124"/>
      <c r="D19" s="120" t="s">
        <v>193</v>
      </c>
      <c r="E19" s="121">
        <v>2443.62</v>
      </c>
      <c r="F19" s="121">
        <v>2429.4699999999998</v>
      </c>
      <c r="G19" s="121">
        <v>2420.2199999999998</v>
      </c>
      <c r="H19" s="121">
        <v>2411.4299999999998</v>
      </c>
      <c r="I19" s="121">
        <v>2415.83</v>
      </c>
      <c r="J19" s="121">
        <v>2427.96</v>
      </c>
      <c r="K19" s="121">
        <v>2444.9</v>
      </c>
      <c r="L19" s="121">
        <v>2455.5</v>
      </c>
      <c r="M19" s="121">
        <v>2423.62</v>
      </c>
      <c r="N19" s="121">
        <v>2410.58</v>
      </c>
      <c r="O19" s="121">
        <v>2427.21</v>
      </c>
      <c r="P19" s="121">
        <v>2456.3000000000002</v>
      </c>
      <c r="Q19" s="121">
        <v>2503.2800000000002</v>
      </c>
      <c r="R19" s="302"/>
      <c r="S19" s="302"/>
      <c r="T19" s="305"/>
      <c r="U19" s="305"/>
      <c r="V19" s="307"/>
      <c r="W19" s="293"/>
      <c r="X19" s="296"/>
      <c r="Y19" s="310"/>
      <c r="Z19" s="255"/>
      <c r="AA19" s="122"/>
      <c r="AB19" s="122"/>
      <c r="AC19" s="122"/>
      <c r="AD19" s="123"/>
      <c r="AE19" s="123"/>
      <c r="AF19" s="123"/>
    </row>
    <row r="20" spans="1:32" ht="62.05" x14ac:dyDescent="0.3">
      <c r="A20" s="300"/>
      <c r="B20" s="119"/>
      <c r="C20" s="119"/>
      <c r="D20" s="120" t="s">
        <v>194</v>
      </c>
      <c r="E20" s="125">
        <f t="shared" ref="E20:Q20" si="4">IF(((E18="")*AND(E19="")),"",(E18-E19))</f>
        <v>364.55999999999995</v>
      </c>
      <c r="F20" s="125">
        <f t="shared" si="4"/>
        <v>336.24000000000024</v>
      </c>
      <c r="G20" s="125">
        <f t="shared" si="4"/>
        <v>321.47000000000025</v>
      </c>
      <c r="H20" s="125">
        <f t="shared" si="4"/>
        <v>319.15000000000009</v>
      </c>
      <c r="I20" s="125">
        <f t="shared" si="4"/>
        <v>322.38999999999987</v>
      </c>
      <c r="J20" s="125">
        <f t="shared" si="4"/>
        <v>334.03999999999996</v>
      </c>
      <c r="K20" s="125">
        <f t="shared" si="4"/>
        <v>360.48999999999978</v>
      </c>
      <c r="L20" s="125">
        <f t="shared" si="4"/>
        <v>366.09999999999991</v>
      </c>
      <c r="M20" s="125">
        <f t="shared" si="4"/>
        <v>337.22000000000025</v>
      </c>
      <c r="N20" s="125">
        <f t="shared" si="4"/>
        <v>322.11999999999989</v>
      </c>
      <c r="O20" s="125">
        <f t="shared" si="4"/>
        <v>324.23999999999978</v>
      </c>
      <c r="P20" s="125">
        <f t="shared" si="4"/>
        <v>333.78999999999996</v>
      </c>
      <c r="Q20" s="125">
        <f t="shared" si="4"/>
        <v>356.88999999999987</v>
      </c>
      <c r="R20" s="303"/>
      <c r="S20" s="303"/>
      <c r="T20" s="306"/>
      <c r="U20" s="306"/>
      <c r="V20" s="308"/>
      <c r="W20" s="294"/>
      <c r="X20" s="297"/>
      <c r="Y20" s="311"/>
      <c r="Z20" s="255"/>
      <c r="AA20" s="122"/>
      <c r="AB20" s="122"/>
      <c r="AC20" s="122"/>
      <c r="AD20" s="122"/>
      <c r="AE20" s="122"/>
      <c r="AF20" s="126"/>
    </row>
    <row r="21" spans="1:32" ht="15.55" x14ac:dyDescent="0.25">
      <c r="A21" s="316">
        <v>43122</v>
      </c>
      <c r="B21" s="119" t="s">
        <v>242</v>
      </c>
      <c r="C21" s="119" t="s">
        <v>238</v>
      </c>
      <c r="D21" s="120" t="s">
        <v>192</v>
      </c>
      <c r="E21" s="121">
        <v>2441.9299999999998</v>
      </c>
      <c r="F21" s="121">
        <v>2426.46</v>
      </c>
      <c r="G21" s="121">
        <v>2414.4699999999998</v>
      </c>
      <c r="H21" s="121">
        <v>2409.04</v>
      </c>
      <c r="I21" s="121">
        <v>2398.41</v>
      </c>
      <c r="J21" s="121">
        <v>2424.5</v>
      </c>
      <c r="K21" s="121">
        <v>2446.1</v>
      </c>
      <c r="L21" s="121">
        <v>2452.83</v>
      </c>
      <c r="M21" s="121">
        <v>2427.6</v>
      </c>
      <c r="N21" s="121">
        <v>2406.16</v>
      </c>
      <c r="O21" s="121">
        <v>2428.21</v>
      </c>
      <c r="P21" s="121">
        <v>2454.06</v>
      </c>
      <c r="Q21" s="121">
        <v>2509.0300000000002</v>
      </c>
      <c r="R21" s="301">
        <f>IF((Q22=""),"",MAX(E23:Q23))</f>
        <v>380.90000000000009</v>
      </c>
      <c r="S21" s="301">
        <f>IF(Q22="","",MIN(E23:Q23))</f>
        <v>312.59999999999991</v>
      </c>
      <c r="T21" s="304">
        <f>IF((Q23=""),"",AVERAGE(E23:Q23))</f>
        <v>344.53307692307681</v>
      </c>
      <c r="U21" s="304">
        <f>IF((Q22=""),"",(R21-S21)/(R21+S21)*100)</f>
        <v>9.8485940879596523</v>
      </c>
      <c r="V21" s="304">
        <f>STDEV(E23:Q23)</f>
        <v>21.775117062301288</v>
      </c>
      <c r="W21" s="292" t="str">
        <f>IF(Q22="","",IF(T21&gt;300,IF(U21&lt;14,IF(T21&lt;390,"Pass","Fail"),"Fail"),"Fail"))</f>
        <v>Pass</v>
      </c>
      <c r="X21" s="295">
        <v>1428</v>
      </c>
      <c r="Y21" s="309"/>
      <c r="Z21" s="255"/>
      <c r="AA21" s="122">
        <v>270</v>
      </c>
      <c r="AB21" s="122">
        <v>370</v>
      </c>
      <c r="AC21" s="122">
        <v>300</v>
      </c>
      <c r="AD21" s="123">
        <v>390</v>
      </c>
      <c r="AE21" s="123">
        <v>14</v>
      </c>
      <c r="AF21" s="123">
        <v>20</v>
      </c>
    </row>
    <row r="22" spans="1:32" ht="15.55" x14ac:dyDescent="0.25">
      <c r="A22" s="317"/>
      <c r="B22" s="124"/>
      <c r="C22" s="124"/>
      <c r="D22" s="120" t="s">
        <v>193</v>
      </c>
      <c r="E22" s="121">
        <v>2072.0300000000002</v>
      </c>
      <c r="F22" s="121">
        <v>2085.23</v>
      </c>
      <c r="G22" s="121">
        <v>2086.39</v>
      </c>
      <c r="H22" s="121">
        <v>2086.4</v>
      </c>
      <c r="I22" s="121">
        <v>2085.81</v>
      </c>
      <c r="J22" s="121">
        <v>2084.21</v>
      </c>
      <c r="K22" s="121">
        <v>2079.4299999999998</v>
      </c>
      <c r="L22" s="121">
        <v>2082.6999999999998</v>
      </c>
      <c r="M22" s="121">
        <v>2083.48</v>
      </c>
      <c r="N22" s="121">
        <v>2089</v>
      </c>
      <c r="O22" s="121">
        <v>2089</v>
      </c>
      <c r="P22" s="121">
        <v>2108.06</v>
      </c>
      <c r="Q22" s="121">
        <v>2128.13</v>
      </c>
      <c r="R22" s="302"/>
      <c r="S22" s="302"/>
      <c r="T22" s="305"/>
      <c r="U22" s="305"/>
      <c r="V22" s="307"/>
      <c r="W22" s="293"/>
      <c r="X22" s="296"/>
      <c r="Y22" s="310"/>
      <c r="Z22" s="255"/>
      <c r="AA22" s="122"/>
      <c r="AB22" s="122"/>
      <c r="AC22" s="122"/>
      <c r="AD22" s="123"/>
      <c r="AE22" s="123"/>
      <c r="AF22" s="123"/>
    </row>
    <row r="23" spans="1:32" ht="62.05" x14ac:dyDescent="0.3">
      <c r="A23" s="317"/>
      <c r="B23" s="119"/>
      <c r="C23" s="119"/>
      <c r="D23" s="120" t="s">
        <v>194</v>
      </c>
      <c r="E23" s="125">
        <f t="shared" ref="E23:Q23" si="5">IF(((E21="")*AND(E22="")),"",(E21-E22))</f>
        <v>369.89999999999964</v>
      </c>
      <c r="F23" s="125">
        <f t="shared" si="5"/>
        <v>341.23</v>
      </c>
      <c r="G23" s="125">
        <f t="shared" si="5"/>
        <v>328.07999999999993</v>
      </c>
      <c r="H23" s="125">
        <f t="shared" si="5"/>
        <v>322.63999999999987</v>
      </c>
      <c r="I23" s="125">
        <f t="shared" si="5"/>
        <v>312.59999999999991</v>
      </c>
      <c r="J23" s="125">
        <f t="shared" si="5"/>
        <v>340.28999999999996</v>
      </c>
      <c r="K23" s="125">
        <f t="shared" si="5"/>
        <v>366.67000000000007</v>
      </c>
      <c r="L23" s="125">
        <f t="shared" si="5"/>
        <v>370.13000000000011</v>
      </c>
      <c r="M23" s="125">
        <f t="shared" si="5"/>
        <v>344.11999999999989</v>
      </c>
      <c r="N23" s="125">
        <f t="shared" si="5"/>
        <v>317.15999999999985</v>
      </c>
      <c r="O23" s="125">
        <f t="shared" si="5"/>
        <v>339.21000000000004</v>
      </c>
      <c r="P23" s="125">
        <f t="shared" si="5"/>
        <v>346</v>
      </c>
      <c r="Q23" s="125">
        <f t="shared" si="5"/>
        <v>380.90000000000009</v>
      </c>
      <c r="R23" s="303"/>
      <c r="S23" s="303"/>
      <c r="T23" s="306"/>
      <c r="U23" s="306"/>
      <c r="V23" s="308"/>
      <c r="W23" s="294"/>
      <c r="X23" s="297"/>
      <c r="Y23" s="311"/>
      <c r="Z23" s="255"/>
      <c r="AA23" s="122"/>
      <c r="AB23" s="122"/>
      <c r="AC23" s="122"/>
      <c r="AD23" s="122"/>
      <c r="AE23" s="122"/>
      <c r="AF23" s="126"/>
    </row>
    <row r="24" spans="1:32" ht="15.55" x14ac:dyDescent="0.25">
      <c r="A24" s="127">
        <v>43125</v>
      </c>
      <c r="B24" s="119" t="s">
        <v>242</v>
      </c>
      <c r="C24" s="119" t="s">
        <v>238</v>
      </c>
      <c r="D24" s="120" t="s">
        <v>192</v>
      </c>
      <c r="E24" s="121">
        <v>2817.06</v>
      </c>
      <c r="F24" s="121">
        <v>2768.21</v>
      </c>
      <c r="G24" s="121">
        <v>2744.26</v>
      </c>
      <c r="H24" s="121">
        <v>2739.06</v>
      </c>
      <c r="I24" s="121">
        <v>2749.78</v>
      </c>
      <c r="J24" s="121">
        <v>2777.99</v>
      </c>
      <c r="K24" s="121">
        <v>2829.11</v>
      </c>
      <c r="L24" s="121">
        <v>2819.68</v>
      </c>
      <c r="M24" s="121">
        <v>2764.44</v>
      </c>
      <c r="N24" s="121">
        <v>2740.37</v>
      </c>
      <c r="O24" s="121">
        <v>2757.79</v>
      </c>
      <c r="P24" s="121">
        <v>2800.03</v>
      </c>
      <c r="Q24" s="121">
        <v>2868.31</v>
      </c>
      <c r="R24" s="301">
        <f>IF((Q25=""),"",MAX(E26:Q26))</f>
        <v>341.04999999999973</v>
      </c>
      <c r="S24" s="301">
        <f>IF(Q25="","",MIN(E26:Q26))</f>
        <v>297.98</v>
      </c>
      <c r="T24" s="304">
        <f>IF((Q26=""),"",AVERAGE(E26:Q26))</f>
        <v>315.78307692307692</v>
      </c>
      <c r="U24" s="304">
        <f>IF((Q25=""),"",(R24-S24)/(R24+S24)*100)</f>
        <v>6.7399026649765617</v>
      </c>
      <c r="V24" s="304">
        <f>STDEV(E26:Q26)</f>
        <v>17.192777739802732</v>
      </c>
      <c r="W24" s="292" t="str">
        <f>IF(Q25="","",IF(T24&gt;300,IF(U24&lt;14,IF(T24&lt;390,"Pass","Fail"),"Fail"),"Fail"))</f>
        <v>Pass</v>
      </c>
      <c r="X24" s="295">
        <v>1428</v>
      </c>
      <c r="Y24" s="309"/>
      <c r="Z24" s="255"/>
      <c r="AA24" s="122">
        <v>270</v>
      </c>
      <c r="AB24" s="122">
        <v>370</v>
      </c>
      <c r="AC24" s="122">
        <v>300</v>
      </c>
      <c r="AD24" s="123">
        <v>390</v>
      </c>
      <c r="AE24" s="123">
        <v>14</v>
      </c>
      <c r="AF24" s="123">
        <v>20</v>
      </c>
    </row>
    <row r="25" spans="1:32" ht="15.55" x14ac:dyDescent="0.25">
      <c r="A25" s="128"/>
      <c r="B25" s="124"/>
      <c r="C25" s="124"/>
      <c r="D25" s="120" t="s">
        <v>193</v>
      </c>
      <c r="E25" s="121">
        <v>2476.0100000000002</v>
      </c>
      <c r="F25" s="121">
        <v>2455.54</v>
      </c>
      <c r="G25" s="121">
        <v>2446.2800000000002</v>
      </c>
      <c r="H25" s="121">
        <v>2440.15</v>
      </c>
      <c r="I25" s="121">
        <v>2450.83</v>
      </c>
      <c r="J25" s="121">
        <v>2464.77</v>
      </c>
      <c r="K25" s="121">
        <v>2491.2199999999998</v>
      </c>
      <c r="L25" s="121">
        <v>2479.85</v>
      </c>
      <c r="M25" s="121">
        <v>2451.9899999999998</v>
      </c>
      <c r="N25" s="121">
        <v>2440.52</v>
      </c>
      <c r="O25" s="121">
        <v>2457.44</v>
      </c>
      <c r="P25" s="121">
        <v>2484.69</v>
      </c>
      <c r="Q25" s="121">
        <v>2531.62</v>
      </c>
      <c r="R25" s="302"/>
      <c r="S25" s="302"/>
      <c r="T25" s="305"/>
      <c r="U25" s="305"/>
      <c r="V25" s="307"/>
      <c r="W25" s="293"/>
      <c r="X25" s="296"/>
      <c r="Y25" s="310"/>
      <c r="Z25" s="255"/>
      <c r="AA25" s="122"/>
      <c r="AB25" s="122"/>
      <c r="AC25" s="122"/>
      <c r="AD25" s="123"/>
      <c r="AE25" s="123"/>
      <c r="AF25" s="123"/>
    </row>
    <row r="26" spans="1:32" ht="62.05" x14ac:dyDescent="0.3">
      <c r="A26" s="129"/>
      <c r="B26" s="119"/>
      <c r="C26" s="119"/>
      <c r="D26" s="120" t="s">
        <v>194</v>
      </c>
      <c r="E26" s="125">
        <f t="shared" ref="E26:Q26" si="6">IF(((E24="")*AND(E25="")),"",(E24-E25))</f>
        <v>341.04999999999973</v>
      </c>
      <c r="F26" s="125">
        <f t="shared" si="6"/>
        <v>312.67000000000007</v>
      </c>
      <c r="G26" s="125">
        <f t="shared" si="6"/>
        <v>297.98</v>
      </c>
      <c r="H26" s="125">
        <f t="shared" si="6"/>
        <v>298.90999999999985</v>
      </c>
      <c r="I26" s="125">
        <f t="shared" si="6"/>
        <v>298.95000000000027</v>
      </c>
      <c r="J26" s="125">
        <f t="shared" si="6"/>
        <v>313.2199999999998</v>
      </c>
      <c r="K26" s="125">
        <f t="shared" si="6"/>
        <v>337.89000000000033</v>
      </c>
      <c r="L26" s="125">
        <f t="shared" si="6"/>
        <v>339.82999999999993</v>
      </c>
      <c r="M26" s="125">
        <f t="shared" si="6"/>
        <v>312.45000000000027</v>
      </c>
      <c r="N26" s="125">
        <f t="shared" si="6"/>
        <v>299.84999999999991</v>
      </c>
      <c r="O26" s="125">
        <f t="shared" si="6"/>
        <v>300.34999999999991</v>
      </c>
      <c r="P26" s="125">
        <f t="shared" si="6"/>
        <v>315.34000000000015</v>
      </c>
      <c r="Q26" s="125">
        <f t="shared" si="6"/>
        <v>336.69000000000005</v>
      </c>
      <c r="R26" s="303"/>
      <c r="S26" s="303"/>
      <c r="T26" s="306"/>
      <c r="U26" s="306"/>
      <c r="V26" s="308"/>
      <c r="W26" s="294"/>
      <c r="X26" s="297"/>
      <c r="Y26" s="311"/>
      <c r="Z26" s="255"/>
      <c r="AA26" s="122"/>
      <c r="AB26" s="122"/>
      <c r="AC26" s="122"/>
      <c r="AD26" s="122"/>
      <c r="AE26" s="122"/>
      <c r="AF26" s="126"/>
    </row>
    <row r="27" spans="1:32" ht="15.55" x14ac:dyDescent="0.25">
      <c r="A27" s="127">
        <v>43128</v>
      </c>
      <c r="B27" s="119" t="s">
        <v>242</v>
      </c>
      <c r="C27" s="119" t="s">
        <v>238</v>
      </c>
      <c r="D27" s="120" t="s">
        <v>192</v>
      </c>
      <c r="E27" s="121">
        <v>2475.9299999999998</v>
      </c>
      <c r="F27" s="121">
        <v>2454.33</v>
      </c>
      <c r="G27" s="121">
        <v>2442.66</v>
      </c>
      <c r="H27" s="121">
        <v>2440.67</v>
      </c>
      <c r="I27" s="121">
        <v>2449.4299999999998</v>
      </c>
      <c r="J27" s="121">
        <v>2466.15</v>
      </c>
      <c r="K27" s="121">
        <v>2496.62</v>
      </c>
      <c r="L27" s="121">
        <v>2481.61</v>
      </c>
      <c r="M27" s="121">
        <v>2452.87</v>
      </c>
      <c r="N27" s="121">
        <v>2442.4</v>
      </c>
      <c r="O27" s="121">
        <v>2458.04</v>
      </c>
      <c r="P27" s="121">
        <v>2486.48</v>
      </c>
      <c r="Q27" s="121">
        <v>2530.75</v>
      </c>
      <c r="R27" s="301">
        <f>IF((Q28=""),"",MAX(E29:Q29))</f>
        <v>373.27999999999975</v>
      </c>
      <c r="S27" s="301">
        <f>IF(Q28="","",MIN(E29:Q29))</f>
        <v>312.65000000000009</v>
      </c>
      <c r="T27" s="304">
        <f>IF((Q29=""),"",AVERAGE(E29:Q29))</f>
        <v>343.9507692307692</v>
      </c>
      <c r="U27" s="304">
        <f>IF((Q28=""),"",(R27-S27)/(R27+S27)*100)</f>
        <v>8.8390943682299472</v>
      </c>
      <c r="V27" s="304">
        <f>STDEV(E29:Q29)</f>
        <v>21.492938554146217</v>
      </c>
      <c r="W27" s="292" t="str">
        <f>IF(Q28="","",IF(T27&gt;300,IF(U27&lt;14,IF(T27&lt;390,"Pass","Fail"),"Fail"),"Fail"))</f>
        <v>Pass</v>
      </c>
      <c r="X27" s="295">
        <v>1519</v>
      </c>
      <c r="Y27" s="312"/>
      <c r="Z27" s="255" t="s">
        <v>243</v>
      </c>
      <c r="AA27" s="122">
        <v>270</v>
      </c>
      <c r="AB27" s="122">
        <v>370</v>
      </c>
      <c r="AC27" s="122">
        <v>300</v>
      </c>
      <c r="AD27" s="123">
        <v>390</v>
      </c>
      <c r="AE27" s="123">
        <v>14</v>
      </c>
      <c r="AF27" s="123">
        <v>20</v>
      </c>
    </row>
    <row r="28" spans="1:32" ht="15.55" x14ac:dyDescent="0.25">
      <c r="A28" s="128"/>
      <c r="B28" s="124"/>
      <c r="C28" s="124"/>
      <c r="D28" s="120" t="s">
        <v>193</v>
      </c>
      <c r="E28" s="121">
        <v>2102.65</v>
      </c>
      <c r="F28" s="121">
        <v>2116.64</v>
      </c>
      <c r="G28" s="121">
        <v>2081.4899999999998</v>
      </c>
      <c r="H28" s="121">
        <v>2128.02</v>
      </c>
      <c r="I28" s="121">
        <v>2131.37</v>
      </c>
      <c r="J28" s="121">
        <v>2140.4499999999998</v>
      </c>
      <c r="K28" s="121">
        <v>2145.36</v>
      </c>
      <c r="L28" s="121">
        <v>2126.3000000000002</v>
      </c>
      <c r="M28" s="121">
        <v>2122.02</v>
      </c>
      <c r="N28" s="121">
        <v>2121.39</v>
      </c>
      <c r="O28" s="121">
        <v>2089</v>
      </c>
      <c r="P28" s="121">
        <v>2144.27</v>
      </c>
      <c r="Q28" s="121">
        <v>2157.62</v>
      </c>
      <c r="R28" s="302"/>
      <c r="S28" s="302"/>
      <c r="T28" s="305"/>
      <c r="U28" s="305"/>
      <c r="V28" s="307"/>
      <c r="W28" s="293"/>
      <c r="X28" s="296"/>
      <c r="Y28" s="313"/>
      <c r="Z28" s="256"/>
      <c r="AA28" s="122"/>
      <c r="AB28" s="122"/>
      <c r="AC28" s="122"/>
      <c r="AD28" s="123"/>
      <c r="AE28" s="123"/>
      <c r="AF28" s="123"/>
    </row>
    <row r="29" spans="1:32" ht="62.05" x14ac:dyDescent="0.3">
      <c r="A29" s="129"/>
      <c r="B29" s="119"/>
      <c r="C29" s="119"/>
      <c r="D29" s="120" t="s">
        <v>194</v>
      </c>
      <c r="E29" s="125">
        <f t="shared" ref="E29:Q29" si="7">IF(((E27="")*AND(E28="")),"",(E27-E28))</f>
        <v>373.27999999999975</v>
      </c>
      <c r="F29" s="125">
        <f t="shared" si="7"/>
        <v>337.69000000000005</v>
      </c>
      <c r="G29" s="125">
        <f t="shared" si="7"/>
        <v>361.17000000000007</v>
      </c>
      <c r="H29" s="125">
        <f t="shared" si="7"/>
        <v>312.65000000000009</v>
      </c>
      <c r="I29" s="125">
        <f t="shared" si="7"/>
        <v>318.05999999999995</v>
      </c>
      <c r="J29" s="125">
        <f t="shared" si="7"/>
        <v>325.70000000000027</v>
      </c>
      <c r="K29" s="125">
        <f t="shared" si="7"/>
        <v>351.25999999999976</v>
      </c>
      <c r="L29" s="125">
        <f t="shared" si="7"/>
        <v>355.30999999999995</v>
      </c>
      <c r="M29" s="125">
        <f t="shared" si="7"/>
        <v>330.84999999999991</v>
      </c>
      <c r="N29" s="125">
        <f t="shared" si="7"/>
        <v>321.01000000000022</v>
      </c>
      <c r="O29" s="125">
        <f t="shared" si="7"/>
        <v>369.03999999999996</v>
      </c>
      <c r="P29" s="125">
        <f t="shared" si="7"/>
        <v>342.21000000000004</v>
      </c>
      <c r="Q29" s="125">
        <f t="shared" si="7"/>
        <v>373.13000000000011</v>
      </c>
      <c r="R29" s="303"/>
      <c r="S29" s="303"/>
      <c r="T29" s="306"/>
      <c r="U29" s="306"/>
      <c r="V29" s="308"/>
      <c r="W29" s="294"/>
      <c r="X29" s="297"/>
      <c r="Y29" s="314"/>
      <c r="Z29" s="256"/>
      <c r="AA29" s="122"/>
      <c r="AB29" s="122"/>
      <c r="AC29" s="122"/>
      <c r="AD29" s="122"/>
      <c r="AE29" s="122"/>
      <c r="AF29" s="126"/>
    </row>
    <row r="30" spans="1:32" ht="15.55" x14ac:dyDescent="0.25">
      <c r="A30" s="298">
        <v>43131</v>
      </c>
      <c r="B30" s="119" t="s">
        <v>242</v>
      </c>
      <c r="C30" s="119" t="s">
        <v>238</v>
      </c>
      <c r="D30" s="120" t="s">
        <v>192</v>
      </c>
      <c r="E30" s="121">
        <v>2821.6</v>
      </c>
      <c r="F30" s="121">
        <v>2761.13</v>
      </c>
      <c r="G30" s="121">
        <v>2734.66</v>
      </c>
      <c r="H30" s="121">
        <v>2732.91</v>
      </c>
      <c r="I30" s="121">
        <v>2751.37</v>
      </c>
      <c r="J30" s="121">
        <v>2795.86</v>
      </c>
      <c r="K30" s="121">
        <v>2865.82</v>
      </c>
      <c r="L30" s="121">
        <v>2809.27</v>
      </c>
      <c r="M30" s="121">
        <v>2766.1</v>
      </c>
      <c r="N30" s="121">
        <v>2739.65</v>
      </c>
      <c r="O30" s="121">
        <v>2742.05</v>
      </c>
      <c r="P30" s="121">
        <v>2768.95</v>
      </c>
      <c r="Q30" s="121">
        <v>2818.34</v>
      </c>
      <c r="R30" s="301">
        <f>IF((Q31=""),"",MAX(E32:Q32))</f>
        <v>369.75999999999976</v>
      </c>
      <c r="S30" s="301">
        <f>IF(Q31="","",MIN(E32:Q32))</f>
        <v>319.44000000000005</v>
      </c>
      <c r="T30" s="304">
        <f>IF((Q32=""),"",AVERAGE(E32:Q32))</f>
        <v>339.88</v>
      </c>
      <c r="U30" s="304">
        <f>IF((Q31=""),"",(R30-S30)/(R30+S30)*100)</f>
        <v>7.3012188044108708</v>
      </c>
      <c r="V30" s="304">
        <f>STDEV(E32:Q32)</f>
        <v>19.417399413927718</v>
      </c>
      <c r="W30" s="292" t="str">
        <f>IF(Q31="","",IF(T30&gt;300,IF(U30&lt;14,IF(T30&lt;390,"Pass","Fail"),"Fail"),"Fail"))</f>
        <v>Pass</v>
      </c>
      <c r="X30" s="295">
        <v>1335</v>
      </c>
      <c r="Y30" s="309"/>
      <c r="Z30" s="255"/>
      <c r="AA30" s="122">
        <v>270</v>
      </c>
      <c r="AB30" s="122">
        <v>370</v>
      </c>
      <c r="AC30" s="122">
        <v>300</v>
      </c>
      <c r="AD30" s="123">
        <v>390</v>
      </c>
      <c r="AE30" s="123">
        <v>14</v>
      </c>
      <c r="AF30" s="123">
        <v>20</v>
      </c>
    </row>
    <row r="31" spans="1:32" ht="15.55" x14ac:dyDescent="0.25">
      <c r="A31" s="299"/>
      <c r="B31" s="124"/>
      <c r="C31" s="124"/>
      <c r="D31" s="120" t="s">
        <v>193</v>
      </c>
      <c r="E31" s="121">
        <v>2453.59</v>
      </c>
      <c r="F31" s="121">
        <v>2425.5</v>
      </c>
      <c r="G31" s="121">
        <v>2413.0100000000002</v>
      </c>
      <c r="H31" s="121">
        <v>2413.4699999999998</v>
      </c>
      <c r="I31" s="121">
        <v>2428.38</v>
      </c>
      <c r="J31" s="121">
        <v>2459.85</v>
      </c>
      <c r="K31" s="121">
        <v>2503.4499999999998</v>
      </c>
      <c r="L31" s="121">
        <v>2439.5100000000002</v>
      </c>
      <c r="M31" s="121">
        <v>2429.08</v>
      </c>
      <c r="N31" s="121">
        <v>2417.42</v>
      </c>
      <c r="O31" s="121">
        <v>2419.65</v>
      </c>
      <c r="P31" s="121">
        <v>2432.92</v>
      </c>
      <c r="Q31" s="121">
        <v>2453.44</v>
      </c>
      <c r="R31" s="302"/>
      <c r="S31" s="302"/>
      <c r="T31" s="305"/>
      <c r="U31" s="305"/>
      <c r="V31" s="307"/>
      <c r="W31" s="293"/>
      <c r="X31" s="296"/>
      <c r="Y31" s="310"/>
      <c r="Z31" s="255"/>
      <c r="AA31" s="122"/>
      <c r="AB31" s="122"/>
      <c r="AC31" s="122"/>
      <c r="AD31" s="123"/>
      <c r="AE31" s="123"/>
      <c r="AF31" s="123"/>
    </row>
    <row r="32" spans="1:32" ht="62.05" x14ac:dyDescent="0.3">
      <c r="A32" s="300"/>
      <c r="B32" s="119"/>
      <c r="C32" s="119"/>
      <c r="D32" s="120" t="s">
        <v>194</v>
      </c>
      <c r="E32" s="125">
        <f t="shared" ref="E32:Q32" si="8">IF(((E30="")*AND(E31="")),"",(E30-E31))</f>
        <v>368.00999999999976</v>
      </c>
      <c r="F32" s="125">
        <f t="shared" si="8"/>
        <v>335.63000000000011</v>
      </c>
      <c r="G32" s="125">
        <f t="shared" si="8"/>
        <v>321.64999999999964</v>
      </c>
      <c r="H32" s="125">
        <f t="shared" si="8"/>
        <v>319.44000000000005</v>
      </c>
      <c r="I32" s="125">
        <f t="shared" si="8"/>
        <v>322.98999999999978</v>
      </c>
      <c r="J32" s="125">
        <f t="shared" si="8"/>
        <v>336.01000000000022</v>
      </c>
      <c r="K32" s="125">
        <f t="shared" si="8"/>
        <v>362.37000000000035</v>
      </c>
      <c r="L32" s="125">
        <f t="shared" si="8"/>
        <v>369.75999999999976</v>
      </c>
      <c r="M32" s="125">
        <f t="shared" si="8"/>
        <v>337.02</v>
      </c>
      <c r="N32" s="125">
        <f t="shared" si="8"/>
        <v>322.23</v>
      </c>
      <c r="O32" s="125">
        <f t="shared" si="8"/>
        <v>322.40000000000009</v>
      </c>
      <c r="P32" s="125">
        <f t="shared" si="8"/>
        <v>336.02999999999975</v>
      </c>
      <c r="Q32" s="125">
        <f t="shared" si="8"/>
        <v>364.90000000000009</v>
      </c>
      <c r="R32" s="303"/>
      <c r="S32" s="303"/>
      <c r="T32" s="306"/>
      <c r="U32" s="306"/>
      <c r="V32" s="308"/>
      <c r="W32" s="294"/>
      <c r="X32" s="297"/>
      <c r="Y32" s="311"/>
      <c r="Z32" s="255"/>
      <c r="AA32" s="122"/>
      <c r="AB32" s="122"/>
      <c r="AC32" s="122"/>
      <c r="AD32" s="122"/>
      <c r="AE32" s="122"/>
      <c r="AF32" s="126"/>
    </row>
    <row r="33" spans="1:32" ht="15.55" x14ac:dyDescent="0.25">
      <c r="A33" s="298">
        <v>43134</v>
      </c>
      <c r="B33" s="119" t="s">
        <v>242</v>
      </c>
      <c r="C33" s="119" t="s">
        <v>238</v>
      </c>
      <c r="D33" s="120" t="s">
        <v>192</v>
      </c>
      <c r="E33" s="121">
        <v>2453.0300000000002</v>
      </c>
      <c r="F33" s="121">
        <v>2426.44</v>
      </c>
      <c r="G33" s="121">
        <v>2410.81</v>
      </c>
      <c r="H33" s="121">
        <v>2410.08</v>
      </c>
      <c r="I33" s="121">
        <v>2439.59</v>
      </c>
      <c r="J33" s="121">
        <v>2449.7800000000002</v>
      </c>
      <c r="K33" s="121">
        <v>2503.37</v>
      </c>
      <c r="L33" s="121">
        <v>2438.2800000000002</v>
      </c>
      <c r="M33" s="121">
        <v>2430.41</v>
      </c>
      <c r="N33" s="121">
        <v>2422.5300000000002</v>
      </c>
      <c r="O33" s="121">
        <v>2420.56</v>
      </c>
      <c r="P33" s="121">
        <v>2433.27</v>
      </c>
      <c r="Q33" s="121">
        <v>2454.59</v>
      </c>
      <c r="R33" s="301">
        <f>IF((Q34=""),"",MAX(E35:Q35))</f>
        <v>369.74000000000024</v>
      </c>
      <c r="S33" s="301">
        <f>IF(Q34="","",MIN(E35:Q35))</f>
        <v>325.32000000000016</v>
      </c>
      <c r="T33" s="304">
        <f>IF((Q35=""),"",AVERAGE(E35:Q35))</f>
        <v>348.34307692307686</v>
      </c>
      <c r="U33" s="304">
        <f>IF((Q34=""),"",(R33-S33)/(R33+S33)*100)</f>
        <v>6.3908151814231928</v>
      </c>
      <c r="V33" s="304">
        <f>STDEV(E35:Q35)</f>
        <v>15.502765013923296</v>
      </c>
      <c r="W33" s="292" t="str">
        <f>IF(Q34="","",IF(T33&gt;300,IF(U33&lt;14,IF(T33&lt;390,"Pass","Fail"),"Fail"),"Fail"))</f>
        <v>Pass</v>
      </c>
      <c r="X33" s="295">
        <v>1335</v>
      </c>
      <c r="Y33" s="309"/>
      <c r="Z33" s="255"/>
      <c r="AA33" s="122">
        <v>270</v>
      </c>
      <c r="AB33" s="122">
        <v>370</v>
      </c>
      <c r="AC33" s="122">
        <v>300</v>
      </c>
      <c r="AD33" s="123">
        <v>390</v>
      </c>
      <c r="AE33" s="123">
        <v>14</v>
      </c>
      <c r="AF33" s="123">
        <v>20</v>
      </c>
    </row>
    <row r="34" spans="1:32" ht="15.55" x14ac:dyDescent="0.25">
      <c r="A34" s="299"/>
      <c r="B34" s="124"/>
      <c r="C34" s="124"/>
      <c r="D34" s="120" t="s">
        <v>193</v>
      </c>
      <c r="E34" s="121">
        <v>2085.7600000000002</v>
      </c>
      <c r="F34" s="121">
        <v>2083.5100000000002</v>
      </c>
      <c r="G34" s="121">
        <v>2085.4899999999998</v>
      </c>
      <c r="H34" s="121">
        <v>2083.5100000000002</v>
      </c>
      <c r="I34" s="121">
        <v>2085.7600000000002</v>
      </c>
      <c r="J34" s="121">
        <v>2085.7600000000002</v>
      </c>
      <c r="K34" s="121">
        <v>2148.66</v>
      </c>
      <c r="L34" s="121">
        <v>2076.27</v>
      </c>
      <c r="M34" s="121">
        <v>2083.5100000000002</v>
      </c>
      <c r="N34" s="121">
        <v>2094.1799999999998</v>
      </c>
      <c r="O34" s="121">
        <v>2083.5100000000002</v>
      </c>
      <c r="P34" s="121">
        <v>2083.5100000000002</v>
      </c>
      <c r="Q34" s="121">
        <v>2084.85</v>
      </c>
      <c r="R34" s="302"/>
      <c r="S34" s="302"/>
      <c r="T34" s="305"/>
      <c r="U34" s="305"/>
      <c r="V34" s="307"/>
      <c r="W34" s="293"/>
      <c r="X34" s="296"/>
      <c r="Y34" s="310"/>
      <c r="Z34" s="255"/>
      <c r="AA34" s="122"/>
      <c r="AB34" s="122"/>
      <c r="AC34" s="122"/>
      <c r="AD34" s="123"/>
      <c r="AE34" s="123"/>
      <c r="AF34" s="123"/>
    </row>
    <row r="35" spans="1:32" ht="62.05" x14ac:dyDescent="0.3">
      <c r="A35" s="300"/>
      <c r="B35" s="119"/>
      <c r="C35" s="119"/>
      <c r="D35" s="120" t="s">
        <v>194</v>
      </c>
      <c r="E35" s="125">
        <f t="shared" ref="E35:Q35" si="9">IF(((E33="")*AND(E34="")),"",(E33-E34))</f>
        <v>367.27</v>
      </c>
      <c r="F35" s="125">
        <f t="shared" si="9"/>
        <v>342.92999999999984</v>
      </c>
      <c r="G35" s="125">
        <f t="shared" si="9"/>
        <v>325.32000000000016</v>
      </c>
      <c r="H35" s="125">
        <f t="shared" si="9"/>
        <v>326.56999999999971</v>
      </c>
      <c r="I35" s="125">
        <f t="shared" si="9"/>
        <v>353.82999999999993</v>
      </c>
      <c r="J35" s="125">
        <f t="shared" si="9"/>
        <v>364.02</v>
      </c>
      <c r="K35" s="125">
        <f t="shared" si="9"/>
        <v>354.71000000000004</v>
      </c>
      <c r="L35" s="125">
        <f t="shared" si="9"/>
        <v>362.01000000000022</v>
      </c>
      <c r="M35" s="125">
        <f t="shared" si="9"/>
        <v>346.89999999999964</v>
      </c>
      <c r="N35" s="125">
        <f t="shared" si="9"/>
        <v>328.35000000000036</v>
      </c>
      <c r="O35" s="125">
        <f t="shared" si="9"/>
        <v>337.04999999999973</v>
      </c>
      <c r="P35" s="125">
        <f t="shared" si="9"/>
        <v>349.75999999999976</v>
      </c>
      <c r="Q35" s="125">
        <f t="shared" si="9"/>
        <v>369.74000000000024</v>
      </c>
      <c r="R35" s="303"/>
      <c r="S35" s="303"/>
      <c r="T35" s="306"/>
      <c r="U35" s="306"/>
      <c r="V35" s="308"/>
      <c r="W35" s="294"/>
      <c r="X35" s="297"/>
      <c r="Y35" s="311"/>
      <c r="Z35" s="255"/>
      <c r="AA35" s="122"/>
      <c r="AB35" s="122"/>
      <c r="AC35" s="122"/>
      <c r="AD35" s="122"/>
      <c r="AE35" s="122"/>
      <c r="AF35" s="126"/>
    </row>
    <row r="36" spans="1:32" ht="15.55" x14ac:dyDescent="0.25">
      <c r="A36" s="298">
        <v>43137</v>
      </c>
      <c r="B36" s="119" t="s">
        <v>242</v>
      </c>
      <c r="C36" s="119" t="s">
        <v>238</v>
      </c>
      <c r="D36" s="120" t="s">
        <v>192</v>
      </c>
      <c r="E36" s="121">
        <v>2800.05</v>
      </c>
      <c r="F36" s="121">
        <v>2766.84</v>
      </c>
      <c r="G36" s="121">
        <v>2746.31</v>
      </c>
      <c r="H36" s="121">
        <v>2742.9</v>
      </c>
      <c r="I36" s="121">
        <v>2757.52</v>
      </c>
      <c r="J36" s="121">
        <v>2791.42</v>
      </c>
      <c r="K36" s="121">
        <v>2852.7</v>
      </c>
      <c r="L36" s="121">
        <v>2848.2</v>
      </c>
      <c r="M36" s="121">
        <v>2791.23</v>
      </c>
      <c r="N36" s="121">
        <v>2756.98</v>
      </c>
      <c r="O36" s="121">
        <v>2747.24</v>
      </c>
      <c r="P36" s="121">
        <v>2770.21</v>
      </c>
      <c r="Q36" s="121">
        <v>2808.69</v>
      </c>
      <c r="R36" s="301">
        <f>IF((Q37=""),"",MAX(E38:Q38))</f>
        <v>366.12000000000035</v>
      </c>
      <c r="S36" s="301">
        <f>IF(Q37="","",MIN(E38:Q38))</f>
        <v>316.5</v>
      </c>
      <c r="T36" s="304">
        <f>IF((Q38=""),"",AVERAGE(E38:Q38))</f>
        <v>338.0461538461538</v>
      </c>
      <c r="U36" s="304">
        <f>IF((Q37=""),"",(R36-S36)/(R36+S36)*100)</f>
        <v>7.2690515953239458</v>
      </c>
      <c r="V36" s="304">
        <f>STDEV(E38:Q38)</f>
        <v>17.694384014173142</v>
      </c>
      <c r="W36" s="292" t="str">
        <f>IF(Q37="","",IF(T36&gt;300,IF(U36&lt;14,IF(T36&lt;390,"Pass","Fail"),"Fail"),"Fail"))</f>
        <v>Pass</v>
      </c>
      <c r="X36" s="295"/>
      <c r="Y36" s="309"/>
      <c r="Z36" s="255"/>
      <c r="AA36" s="122">
        <v>270</v>
      </c>
      <c r="AB36" s="122">
        <v>370</v>
      </c>
      <c r="AC36" s="122">
        <v>300</v>
      </c>
      <c r="AD36" s="123">
        <v>390</v>
      </c>
      <c r="AE36" s="123">
        <v>14</v>
      </c>
      <c r="AF36" s="123">
        <v>20</v>
      </c>
    </row>
    <row r="37" spans="1:32" ht="15.55" x14ac:dyDescent="0.25">
      <c r="A37" s="299"/>
      <c r="B37" s="124"/>
      <c r="C37" s="124"/>
      <c r="D37" s="120" t="s">
        <v>193</v>
      </c>
      <c r="E37" s="121">
        <v>2433.9299999999998</v>
      </c>
      <c r="F37" s="121">
        <v>2431.8000000000002</v>
      </c>
      <c r="G37" s="121">
        <v>2423.79</v>
      </c>
      <c r="H37" s="121">
        <v>2426.4</v>
      </c>
      <c r="I37" s="121">
        <v>2434.36</v>
      </c>
      <c r="J37" s="121">
        <v>2457.02</v>
      </c>
      <c r="K37" s="121">
        <v>2493.0100000000002</v>
      </c>
      <c r="L37" s="121">
        <v>2488.35</v>
      </c>
      <c r="M37" s="121">
        <v>2456.59</v>
      </c>
      <c r="N37" s="121">
        <v>2437.71</v>
      </c>
      <c r="O37" s="121">
        <v>2424.06</v>
      </c>
      <c r="P37" s="121">
        <v>2430.08</v>
      </c>
      <c r="Q37" s="121">
        <v>2448.59</v>
      </c>
      <c r="R37" s="302"/>
      <c r="S37" s="302"/>
      <c r="T37" s="305"/>
      <c r="U37" s="305"/>
      <c r="V37" s="307"/>
      <c r="W37" s="293"/>
      <c r="X37" s="296"/>
      <c r="Y37" s="310"/>
      <c r="Z37" s="255"/>
      <c r="AA37" s="122"/>
      <c r="AB37" s="122"/>
      <c r="AC37" s="122"/>
      <c r="AD37" s="123"/>
      <c r="AE37" s="123"/>
      <c r="AF37" s="123"/>
    </row>
    <row r="38" spans="1:32" ht="62.05" x14ac:dyDescent="0.3">
      <c r="A38" s="300"/>
      <c r="B38" s="119"/>
      <c r="C38" s="119"/>
      <c r="D38" s="120" t="s">
        <v>194</v>
      </c>
      <c r="E38" s="125">
        <f t="shared" ref="E38:Q38" si="10">IF(((E36="")*AND(E37="")),"",(E36-E37))</f>
        <v>366.12000000000035</v>
      </c>
      <c r="F38" s="125">
        <f t="shared" si="10"/>
        <v>335.03999999999996</v>
      </c>
      <c r="G38" s="125">
        <f t="shared" si="10"/>
        <v>322.52</v>
      </c>
      <c r="H38" s="125">
        <f t="shared" si="10"/>
        <v>316.5</v>
      </c>
      <c r="I38" s="125">
        <f t="shared" si="10"/>
        <v>323.15999999999985</v>
      </c>
      <c r="J38" s="125">
        <f t="shared" si="10"/>
        <v>334.40000000000009</v>
      </c>
      <c r="K38" s="125">
        <f t="shared" si="10"/>
        <v>359.6899999999996</v>
      </c>
      <c r="L38" s="125">
        <f t="shared" si="10"/>
        <v>359.84999999999991</v>
      </c>
      <c r="M38" s="125">
        <f t="shared" si="10"/>
        <v>334.63999999999987</v>
      </c>
      <c r="N38" s="125">
        <f t="shared" si="10"/>
        <v>319.27</v>
      </c>
      <c r="O38" s="125">
        <f t="shared" si="10"/>
        <v>323.17999999999984</v>
      </c>
      <c r="P38" s="125">
        <f t="shared" si="10"/>
        <v>340.13000000000011</v>
      </c>
      <c r="Q38" s="125">
        <f t="shared" si="10"/>
        <v>360.09999999999991</v>
      </c>
      <c r="R38" s="303"/>
      <c r="S38" s="303"/>
      <c r="T38" s="306"/>
      <c r="U38" s="306"/>
      <c r="V38" s="308"/>
      <c r="W38" s="294"/>
      <c r="X38" s="297"/>
      <c r="Y38" s="311"/>
      <c r="Z38" s="255"/>
      <c r="AA38" s="122"/>
      <c r="AB38" s="122"/>
      <c r="AC38" s="122"/>
      <c r="AD38" s="122"/>
      <c r="AE38" s="122"/>
      <c r="AF38" s="126"/>
    </row>
    <row r="39" spans="1:32" ht="15.55" x14ac:dyDescent="0.25">
      <c r="A39" s="298">
        <v>43140</v>
      </c>
      <c r="B39" s="119" t="s">
        <v>242</v>
      </c>
      <c r="C39" s="119" t="s">
        <v>238</v>
      </c>
      <c r="D39" s="120" t="s">
        <v>192</v>
      </c>
      <c r="E39" s="121">
        <v>2434.46</v>
      </c>
      <c r="F39" s="121">
        <v>2432.7399999999998</v>
      </c>
      <c r="G39" s="121">
        <v>2423.69</v>
      </c>
      <c r="H39" s="121">
        <v>2424.19</v>
      </c>
      <c r="I39" s="121">
        <v>2436.7600000000002</v>
      </c>
      <c r="J39" s="121">
        <v>2457.3200000000002</v>
      </c>
      <c r="K39" s="121">
        <v>2495.73</v>
      </c>
      <c r="L39" s="121">
        <v>2488.31</v>
      </c>
      <c r="M39" s="121">
        <v>2457.48</v>
      </c>
      <c r="N39" s="121">
        <v>2435.62</v>
      </c>
      <c r="O39" s="121">
        <v>2423.34</v>
      </c>
      <c r="P39" s="121">
        <v>2432.86</v>
      </c>
      <c r="Q39" s="121">
        <v>2447.65</v>
      </c>
      <c r="R39" s="301">
        <f>IF((Q40=""),"",MAX(E41:Q41))</f>
        <v>375.52</v>
      </c>
      <c r="S39" s="301">
        <f>IF(Q40="","",MIN(E41:Q41))</f>
        <v>328.52</v>
      </c>
      <c r="T39" s="304">
        <f>IF((Q41=""),"",AVERAGE(E41:Q41))</f>
        <v>347.3238461538462</v>
      </c>
      <c r="U39" s="304">
        <f>IF((Q40=""),"",(R39-S39)/(R39+S39)*100)</f>
        <v>6.6757570592579976</v>
      </c>
      <c r="V39" s="304">
        <f>STDEV(E41:Q41)</f>
        <v>17.717301590282492</v>
      </c>
      <c r="W39" s="292" t="str">
        <f>IF(Q40="","",IF(T39&gt;300,IF(U39&lt;14,IF(T39&lt;390,"Pass","Fail"),"Fail"),"Fail"))</f>
        <v>Pass</v>
      </c>
      <c r="X39" s="295"/>
      <c r="Y39" s="309"/>
      <c r="Z39" s="255"/>
      <c r="AA39" s="122">
        <v>270</v>
      </c>
      <c r="AB39" s="122">
        <v>370</v>
      </c>
      <c r="AC39" s="122">
        <v>300</v>
      </c>
      <c r="AD39" s="123">
        <v>390</v>
      </c>
      <c r="AE39" s="123">
        <v>14</v>
      </c>
      <c r="AF39" s="123">
        <v>20</v>
      </c>
    </row>
    <row r="40" spans="1:32" ht="15.55" x14ac:dyDescent="0.25">
      <c r="A40" s="299"/>
      <c r="B40" s="124"/>
      <c r="C40" s="124"/>
      <c r="D40" s="120" t="s">
        <v>193</v>
      </c>
      <c r="E40" s="121">
        <v>2058.94</v>
      </c>
      <c r="F40" s="121">
        <v>2083.21</v>
      </c>
      <c r="G40" s="121">
        <v>2092.96</v>
      </c>
      <c r="H40" s="121">
        <v>2094.96</v>
      </c>
      <c r="I40" s="121">
        <v>2105.84</v>
      </c>
      <c r="J40" s="121">
        <v>2115.3200000000002</v>
      </c>
      <c r="K40" s="121">
        <v>2131.81</v>
      </c>
      <c r="L40" s="121">
        <v>2117.7399999999998</v>
      </c>
      <c r="M40" s="121">
        <v>2112.33</v>
      </c>
      <c r="N40" s="121">
        <v>2105.37</v>
      </c>
      <c r="O40" s="121">
        <v>2094.8200000000002</v>
      </c>
      <c r="P40" s="121">
        <v>2085.83</v>
      </c>
      <c r="Q40" s="121">
        <v>2075.81</v>
      </c>
      <c r="R40" s="302"/>
      <c r="S40" s="302"/>
      <c r="T40" s="305"/>
      <c r="U40" s="305"/>
      <c r="V40" s="307"/>
      <c r="W40" s="293"/>
      <c r="X40" s="296"/>
      <c r="Y40" s="310"/>
      <c r="Z40" s="255"/>
      <c r="AA40" s="122"/>
      <c r="AB40" s="122"/>
      <c r="AC40" s="122"/>
      <c r="AD40" s="123"/>
      <c r="AE40" s="123"/>
      <c r="AF40" s="123"/>
    </row>
    <row r="41" spans="1:32" ht="62.05" x14ac:dyDescent="0.3">
      <c r="A41" s="300"/>
      <c r="B41" s="119"/>
      <c r="C41" s="119"/>
      <c r="D41" s="120" t="s">
        <v>194</v>
      </c>
      <c r="E41" s="125">
        <f t="shared" ref="E41:Q41" si="11">IF(((E39="")*AND(E40="")),"",(E39-E40))</f>
        <v>375.52</v>
      </c>
      <c r="F41" s="125">
        <f t="shared" si="11"/>
        <v>349.52999999999975</v>
      </c>
      <c r="G41" s="125">
        <f t="shared" si="11"/>
        <v>330.73</v>
      </c>
      <c r="H41" s="125">
        <f t="shared" si="11"/>
        <v>329.23</v>
      </c>
      <c r="I41" s="125">
        <f t="shared" si="11"/>
        <v>330.92000000000007</v>
      </c>
      <c r="J41" s="125">
        <f t="shared" si="11"/>
        <v>342</v>
      </c>
      <c r="K41" s="125">
        <f t="shared" si="11"/>
        <v>363.92000000000007</v>
      </c>
      <c r="L41" s="125">
        <f t="shared" si="11"/>
        <v>370.57000000000016</v>
      </c>
      <c r="M41" s="125">
        <f t="shared" si="11"/>
        <v>345.15000000000009</v>
      </c>
      <c r="N41" s="125">
        <f t="shared" si="11"/>
        <v>330.25</v>
      </c>
      <c r="O41" s="125">
        <f t="shared" si="11"/>
        <v>328.52</v>
      </c>
      <c r="P41" s="125">
        <f t="shared" si="11"/>
        <v>347.0300000000002</v>
      </c>
      <c r="Q41" s="125">
        <f t="shared" si="11"/>
        <v>371.84000000000015</v>
      </c>
      <c r="R41" s="303"/>
      <c r="S41" s="303"/>
      <c r="T41" s="306"/>
      <c r="U41" s="306"/>
      <c r="V41" s="308"/>
      <c r="W41" s="294"/>
      <c r="X41" s="297"/>
      <c r="Y41" s="311"/>
      <c r="Z41" s="255"/>
      <c r="AA41" s="122"/>
      <c r="AB41" s="122"/>
      <c r="AC41" s="122"/>
      <c r="AD41" s="122"/>
      <c r="AE41" s="122"/>
      <c r="AF41" s="126"/>
    </row>
    <row r="42" spans="1:32" ht="15.55" x14ac:dyDescent="0.25">
      <c r="A42" s="298">
        <v>43143</v>
      </c>
      <c r="B42" s="119" t="s">
        <v>242</v>
      </c>
      <c r="C42" s="119" t="s">
        <v>238</v>
      </c>
      <c r="D42" s="120" t="s">
        <v>192</v>
      </c>
      <c r="E42" s="121">
        <v>2810.19</v>
      </c>
      <c r="F42" s="121">
        <v>2767.87</v>
      </c>
      <c r="G42" s="121">
        <v>2747.72</v>
      </c>
      <c r="H42" s="121">
        <v>2745.42</v>
      </c>
      <c r="I42" s="121">
        <v>2761.41</v>
      </c>
      <c r="J42" s="121">
        <v>2796.91</v>
      </c>
      <c r="K42" s="121">
        <v>2860.08</v>
      </c>
      <c r="L42" s="121">
        <v>2841.49</v>
      </c>
      <c r="M42" s="121">
        <v>2787.2</v>
      </c>
      <c r="N42" s="121">
        <v>2756.6</v>
      </c>
      <c r="O42" s="121">
        <v>2750.61</v>
      </c>
      <c r="P42" s="121">
        <v>2772.96</v>
      </c>
      <c r="Q42" s="121">
        <v>2815.14</v>
      </c>
      <c r="R42" s="301">
        <f>IF((Q43=""),"",MAX(E44:Q44))</f>
        <v>376.15999999999985</v>
      </c>
      <c r="S42" s="301">
        <f>IF(Q43="","",MIN(E44:Q44))</f>
        <v>319.32999999999993</v>
      </c>
      <c r="T42" s="304">
        <f>IF((Q44=""),"",AVERAGE(E44:Q44))</f>
        <v>342.43999999999994</v>
      </c>
      <c r="U42" s="304">
        <f>IF((Q43=""),"",(R42-S42)/(R42+S42)*100)</f>
        <v>8.1712174150598784</v>
      </c>
      <c r="V42" s="304">
        <f>STDEV(E44:Q44)</f>
        <v>22.545535773924982</v>
      </c>
      <c r="W42" s="292" t="str">
        <f>IF(Q43="","",IF(T42&gt;300,IF(U42&lt;14,IF(T42&lt;390,"Pass","Fail"),"Fail"),"Fail"))</f>
        <v>Pass</v>
      </c>
      <c r="X42" s="295"/>
      <c r="Y42" s="309"/>
      <c r="Z42" s="255"/>
      <c r="AA42" s="122">
        <v>270</v>
      </c>
      <c r="AB42" s="122">
        <v>370</v>
      </c>
      <c r="AC42" s="122">
        <v>300</v>
      </c>
      <c r="AD42" s="123">
        <v>390</v>
      </c>
      <c r="AE42" s="123">
        <v>14</v>
      </c>
      <c r="AF42" s="123">
        <v>20</v>
      </c>
    </row>
    <row r="43" spans="1:32" ht="15.55" x14ac:dyDescent="0.25">
      <c r="A43" s="299"/>
      <c r="B43" s="124"/>
      <c r="C43" s="124"/>
      <c r="D43" s="120" t="s">
        <v>193</v>
      </c>
      <c r="E43" s="121">
        <v>2434.75</v>
      </c>
      <c r="F43" s="121">
        <v>2430.92</v>
      </c>
      <c r="G43" s="121">
        <v>2425.1799999999998</v>
      </c>
      <c r="H43" s="121">
        <v>2426.09</v>
      </c>
      <c r="I43" s="121">
        <v>2439.9499999999998</v>
      </c>
      <c r="J43" s="121">
        <v>2456.98</v>
      </c>
      <c r="K43" s="121">
        <v>2490.96</v>
      </c>
      <c r="L43" s="121">
        <v>2469.86</v>
      </c>
      <c r="M43" s="121">
        <v>2450.44</v>
      </c>
      <c r="N43" s="121">
        <v>2434.83</v>
      </c>
      <c r="O43" s="121">
        <v>2428.94</v>
      </c>
      <c r="P43" s="121">
        <v>2434</v>
      </c>
      <c r="Q43" s="121">
        <v>2438.98</v>
      </c>
      <c r="R43" s="302"/>
      <c r="S43" s="302"/>
      <c r="T43" s="305"/>
      <c r="U43" s="305"/>
      <c r="V43" s="307"/>
      <c r="W43" s="293"/>
      <c r="X43" s="296"/>
      <c r="Y43" s="310"/>
      <c r="Z43" s="255"/>
      <c r="AA43" s="122"/>
      <c r="AB43" s="122"/>
      <c r="AC43" s="122"/>
      <c r="AD43" s="123"/>
      <c r="AE43" s="123"/>
      <c r="AF43" s="123"/>
    </row>
    <row r="44" spans="1:32" ht="62.05" x14ac:dyDescent="0.3">
      <c r="A44" s="300"/>
      <c r="B44" s="119"/>
      <c r="C44" s="119"/>
      <c r="D44" s="120" t="s">
        <v>194</v>
      </c>
      <c r="E44" s="125">
        <f t="shared" ref="E44:Q44" si="12">IF(((E42="")*AND(E43="")),"",(E42-E43))</f>
        <v>375.44000000000005</v>
      </c>
      <c r="F44" s="125">
        <f t="shared" si="12"/>
        <v>336.94999999999982</v>
      </c>
      <c r="G44" s="125">
        <f t="shared" si="12"/>
        <v>322.53999999999996</v>
      </c>
      <c r="H44" s="125">
        <f t="shared" si="12"/>
        <v>319.32999999999993</v>
      </c>
      <c r="I44" s="125">
        <f t="shared" si="12"/>
        <v>321.46000000000004</v>
      </c>
      <c r="J44" s="125">
        <f t="shared" si="12"/>
        <v>339.92999999999984</v>
      </c>
      <c r="K44" s="125">
        <f t="shared" si="12"/>
        <v>369.11999999999989</v>
      </c>
      <c r="L44" s="125">
        <f t="shared" si="12"/>
        <v>371.62999999999965</v>
      </c>
      <c r="M44" s="125">
        <f t="shared" si="12"/>
        <v>336.75999999999976</v>
      </c>
      <c r="N44" s="125">
        <f t="shared" si="12"/>
        <v>321.77</v>
      </c>
      <c r="O44" s="125">
        <f t="shared" si="12"/>
        <v>321.67000000000007</v>
      </c>
      <c r="P44" s="125">
        <f t="shared" si="12"/>
        <v>338.96000000000004</v>
      </c>
      <c r="Q44" s="125">
        <f t="shared" si="12"/>
        <v>376.15999999999985</v>
      </c>
      <c r="R44" s="303"/>
      <c r="S44" s="303"/>
      <c r="T44" s="306"/>
      <c r="U44" s="306"/>
      <c r="V44" s="308"/>
      <c r="W44" s="294"/>
      <c r="X44" s="297"/>
      <c r="Y44" s="311"/>
      <c r="Z44" s="255"/>
      <c r="AA44" s="122"/>
      <c r="AB44" s="122"/>
      <c r="AC44" s="122"/>
      <c r="AD44" s="122"/>
      <c r="AE44" s="122"/>
      <c r="AF44" s="126"/>
    </row>
    <row r="45" spans="1:32" ht="15.55" x14ac:dyDescent="0.25">
      <c r="A45" s="298">
        <v>43146</v>
      </c>
      <c r="B45" s="119" t="s">
        <v>242</v>
      </c>
      <c r="C45" s="119" t="s">
        <v>238</v>
      </c>
      <c r="D45" s="120" t="s">
        <v>192</v>
      </c>
      <c r="E45" s="121">
        <v>2453.08</v>
      </c>
      <c r="F45" s="121">
        <v>2429.42</v>
      </c>
      <c r="G45" s="121">
        <v>2425.52</v>
      </c>
      <c r="H45" s="121">
        <v>2424.0300000000002</v>
      </c>
      <c r="I45" s="121">
        <v>2446.5500000000002</v>
      </c>
      <c r="J45" s="121">
        <v>2458.12</v>
      </c>
      <c r="K45" s="121">
        <v>2490.48</v>
      </c>
      <c r="L45" s="121">
        <v>2471.61</v>
      </c>
      <c r="M45" s="121">
        <v>2449.41</v>
      </c>
      <c r="N45" s="121">
        <v>2435</v>
      </c>
      <c r="O45" s="121">
        <v>2427.4</v>
      </c>
      <c r="P45" s="121">
        <v>2431.2600000000002</v>
      </c>
      <c r="Q45" s="121">
        <v>2439.0700000000002</v>
      </c>
      <c r="R45" s="301">
        <f>IF((Q46=""),"",MAX(E47:Q47))</f>
        <v>404.09000000000015</v>
      </c>
      <c r="S45" s="301">
        <f>IF(Q46="","",MIN(E47:Q47))</f>
        <v>320.61000000000013</v>
      </c>
      <c r="T45" s="304">
        <f>IF((Q47=""),"",AVERAGE(E47:Q47))</f>
        <v>347.02923076923071</v>
      </c>
      <c r="U45" s="304">
        <f>IF((Q46=""),"",(R45-S45)/(R45+S45)*100)</f>
        <v>11.519249344556366</v>
      </c>
      <c r="V45" s="304">
        <f>STDEV(E47:Q47)</f>
        <v>23.615287231487205</v>
      </c>
      <c r="W45" s="292" t="str">
        <f>IF(Q46="","",IF(T45&gt;300,IF(U45&lt;14,IF(T45&lt;390,"Pass","Fail"),"Fail"),"Fail"))</f>
        <v>Pass</v>
      </c>
      <c r="X45" s="295"/>
      <c r="Y45" s="309"/>
      <c r="Z45" s="255"/>
      <c r="AA45" s="122">
        <v>270</v>
      </c>
      <c r="AB45" s="122">
        <v>370</v>
      </c>
      <c r="AC45" s="122">
        <v>300</v>
      </c>
      <c r="AD45" s="123">
        <v>390</v>
      </c>
      <c r="AE45" s="123">
        <v>14</v>
      </c>
      <c r="AF45" s="123">
        <v>20</v>
      </c>
    </row>
    <row r="46" spans="1:32" ht="15.55" x14ac:dyDescent="0.25">
      <c r="A46" s="299"/>
      <c r="B46" s="124"/>
      <c r="C46" s="124"/>
      <c r="D46" s="120" t="s">
        <v>193</v>
      </c>
      <c r="E46" s="121">
        <v>2048.9899999999998</v>
      </c>
      <c r="F46" s="121">
        <v>2083.44</v>
      </c>
      <c r="G46" s="121">
        <v>2098.0100000000002</v>
      </c>
      <c r="H46" s="121">
        <v>2103.42</v>
      </c>
      <c r="I46" s="121">
        <v>2103.42</v>
      </c>
      <c r="J46" s="121">
        <v>2122.1799999999998</v>
      </c>
      <c r="K46" s="121">
        <v>2124.08</v>
      </c>
      <c r="L46" s="121">
        <v>2094.5700000000002</v>
      </c>
      <c r="M46" s="121">
        <v>2103.42</v>
      </c>
      <c r="N46" s="121">
        <v>2103.42</v>
      </c>
      <c r="O46" s="121">
        <v>2103.42</v>
      </c>
      <c r="P46" s="121">
        <v>2077.7800000000002</v>
      </c>
      <c r="Q46" s="121">
        <v>2103.42</v>
      </c>
      <c r="R46" s="302"/>
      <c r="S46" s="302"/>
      <c r="T46" s="305"/>
      <c r="U46" s="305"/>
      <c r="V46" s="307"/>
      <c r="W46" s="293"/>
      <c r="X46" s="296"/>
      <c r="Y46" s="310"/>
      <c r="Z46" s="255"/>
      <c r="AA46" s="122"/>
      <c r="AB46" s="122"/>
      <c r="AC46" s="122"/>
      <c r="AD46" s="123"/>
      <c r="AE46" s="123"/>
      <c r="AF46" s="123"/>
    </row>
    <row r="47" spans="1:32" ht="62.05" x14ac:dyDescent="0.3">
      <c r="A47" s="300"/>
      <c r="B47" s="119"/>
      <c r="C47" s="119"/>
      <c r="D47" s="120" t="s">
        <v>194</v>
      </c>
      <c r="E47" s="125">
        <f t="shared" ref="E47:Q47" si="13">IF(((E45="")*AND(E46="")),"",(E45-E46))</f>
        <v>404.09000000000015</v>
      </c>
      <c r="F47" s="125">
        <f t="shared" si="13"/>
        <v>345.98</v>
      </c>
      <c r="G47" s="125">
        <f t="shared" si="13"/>
        <v>327.50999999999976</v>
      </c>
      <c r="H47" s="125">
        <f t="shared" si="13"/>
        <v>320.61000000000013</v>
      </c>
      <c r="I47" s="125">
        <f t="shared" si="13"/>
        <v>343.13000000000011</v>
      </c>
      <c r="J47" s="125">
        <f t="shared" si="13"/>
        <v>335.94000000000005</v>
      </c>
      <c r="K47" s="125">
        <f t="shared" si="13"/>
        <v>366.40000000000009</v>
      </c>
      <c r="L47" s="125">
        <f t="shared" si="13"/>
        <v>377.03999999999996</v>
      </c>
      <c r="M47" s="125">
        <f t="shared" si="13"/>
        <v>345.98999999999978</v>
      </c>
      <c r="N47" s="125">
        <f t="shared" si="13"/>
        <v>331.57999999999993</v>
      </c>
      <c r="O47" s="125">
        <f t="shared" si="13"/>
        <v>323.98</v>
      </c>
      <c r="P47" s="125">
        <f t="shared" si="13"/>
        <v>353.48</v>
      </c>
      <c r="Q47" s="125">
        <f t="shared" si="13"/>
        <v>335.65000000000009</v>
      </c>
      <c r="R47" s="303"/>
      <c r="S47" s="303"/>
      <c r="T47" s="306"/>
      <c r="U47" s="306"/>
      <c r="V47" s="308"/>
      <c r="W47" s="294"/>
      <c r="X47" s="297"/>
      <c r="Y47" s="311"/>
      <c r="Z47" s="255"/>
      <c r="AA47" s="122"/>
      <c r="AB47" s="122"/>
      <c r="AC47" s="122"/>
      <c r="AD47" s="122"/>
      <c r="AE47" s="122"/>
      <c r="AF47" s="126"/>
    </row>
    <row r="48" spans="1:32" ht="15.55" x14ac:dyDescent="0.25">
      <c r="A48" s="316">
        <v>43159</v>
      </c>
      <c r="B48" s="119" t="s">
        <v>242</v>
      </c>
      <c r="C48" s="119" t="s">
        <v>238</v>
      </c>
      <c r="D48" s="120" t="s">
        <v>192</v>
      </c>
      <c r="E48" s="121">
        <v>2811.93</v>
      </c>
      <c r="F48" s="121">
        <v>2766.64</v>
      </c>
      <c r="G48" s="121">
        <v>2747.63</v>
      </c>
      <c r="H48" s="121">
        <v>2744.48</v>
      </c>
      <c r="I48" s="121">
        <v>2761.1</v>
      </c>
      <c r="J48" s="121">
        <v>2797.47</v>
      </c>
      <c r="K48" s="121">
        <v>2867.28</v>
      </c>
      <c r="L48" s="121">
        <v>2843.07</v>
      </c>
      <c r="M48" s="121">
        <v>2786.29</v>
      </c>
      <c r="N48" s="121">
        <v>2757.43</v>
      </c>
      <c r="O48" s="121">
        <v>2748.85</v>
      </c>
      <c r="P48" s="121">
        <v>2770.9</v>
      </c>
      <c r="Q48" s="121">
        <v>2814.98</v>
      </c>
      <c r="R48" s="301">
        <f>IF((Q49=""),"",MAX(E50:Q50))</f>
        <v>376.54999999999973</v>
      </c>
      <c r="S48" s="301">
        <f>IF(Q49="","",MIN(E50:Q50))</f>
        <v>320.19999999999982</v>
      </c>
      <c r="T48" s="304">
        <f>IF((Q50=""),"",AVERAGE(E50:Q50))</f>
        <v>342.31307692307689</v>
      </c>
      <c r="U48" s="304">
        <f>IF((Q49=""),"",(R48-S48)/(R48+S48)*100)</f>
        <v>8.0875493362037965</v>
      </c>
      <c r="V48" s="304">
        <f>STDEV(E50:Q50)</f>
        <v>21.236429150799463</v>
      </c>
      <c r="W48" s="292" t="str">
        <f>IF(Q49="","",IF(T48&gt;300,IF(U48&lt;14,IF(T48&lt;390,"Pass","Fail"),"Fail"),"Fail"))</f>
        <v>Pass</v>
      </c>
      <c r="X48" s="295">
        <v>1428</v>
      </c>
      <c r="Y48" s="130" t="s">
        <v>244</v>
      </c>
      <c r="Z48" s="255"/>
      <c r="AA48" s="122">
        <v>270</v>
      </c>
      <c r="AB48" s="122">
        <v>370</v>
      </c>
      <c r="AC48" s="122">
        <v>300</v>
      </c>
      <c r="AD48" s="123">
        <v>390</v>
      </c>
      <c r="AE48" s="123">
        <v>14</v>
      </c>
      <c r="AF48" s="123">
        <v>20</v>
      </c>
    </row>
    <row r="49" spans="1:32" ht="15.55" x14ac:dyDescent="0.25">
      <c r="A49" s="317"/>
      <c r="B49" s="124"/>
      <c r="C49" s="124"/>
      <c r="D49" s="120" t="s">
        <v>193</v>
      </c>
      <c r="E49" s="121">
        <v>2435.38</v>
      </c>
      <c r="F49" s="121">
        <v>2430.61</v>
      </c>
      <c r="G49" s="121">
        <v>2424.64</v>
      </c>
      <c r="H49" s="121">
        <v>2424.2800000000002</v>
      </c>
      <c r="I49" s="121">
        <v>2436.91</v>
      </c>
      <c r="J49" s="121">
        <v>2460.06</v>
      </c>
      <c r="K49" s="121">
        <v>2496.6999999999998</v>
      </c>
      <c r="L49" s="121">
        <v>2475.2800000000002</v>
      </c>
      <c r="M49" s="121">
        <v>2448.9699999999998</v>
      </c>
      <c r="N49" s="121">
        <v>2435.2600000000002</v>
      </c>
      <c r="O49" s="121">
        <v>2425.3000000000002</v>
      </c>
      <c r="P49" s="121">
        <v>2429.38</v>
      </c>
      <c r="Q49" s="121">
        <v>2445.21</v>
      </c>
      <c r="R49" s="302"/>
      <c r="S49" s="302"/>
      <c r="T49" s="305"/>
      <c r="U49" s="305"/>
      <c r="V49" s="307"/>
      <c r="W49" s="293"/>
      <c r="X49" s="296"/>
      <c r="Y49" s="131"/>
      <c r="Z49" s="255"/>
      <c r="AA49" s="122"/>
      <c r="AB49" s="122"/>
      <c r="AC49" s="122"/>
      <c r="AD49" s="123"/>
      <c r="AE49" s="123"/>
      <c r="AF49" s="123"/>
    </row>
    <row r="50" spans="1:32" ht="62.05" x14ac:dyDescent="0.3">
      <c r="A50" s="317"/>
      <c r="B50" s="119"/>
      <c r="C50" s="119"/>
      <c r="D50" s="120" t="s">
        <v>194</v>
      </c>
      <c r="E50" s="125">
        <f t="shared" ref="E50:Q50" si="14">IF(((E48="")*AND(E49="")),"",(E48-E49))</f>
        <v>376.54999999999973</v>
      </c>
      <c r="F50" s="125">
        <f t="shared" si="14"/>
        <v>336.02999999999975</v>
      </c>
      <c r="G50" s="125">
        <f t="shared" si="14"/>
        <v>322.99000000000024</v>
      </c>
      <c r="H50" s="125">
        <f t="shared" si="14"/>
        <v>320.19999999999982</v>
      </c>
      <c r="I50" s="125">
        <f t="shared" si="14"/>
        <v>324.19000000000005</v>
      </c>
      <c r="J50" s="125">
        <f t="shared" si="14"/>
        <v>337.40999999999985</v>
      </c>
      <c r="K50" s="125">
        <f t="shared" si="14"/>
        <v>370.58000000000038</v>
      </c>
      <c r="L50" s="125">
        <f t="shared" si="14"/>
        <v>367.78999999999996</v>
      </c>
      <c r="M50" s="125">
        <f t="shared" si="14"/>
        <v>337.32000000000016</v>
      </c>
      <c r="N50" s="125">
        <f t="shared" si="14"/>
        <v>322.16999999999962</v>
      </c>
      <c r="O50" s="125">
        <f t="shared" si="14"/>
        <v>323.54999999999973</v>
      </c>
      <c r="P50" s="125">
        <f t="shared" si="14"/>
        <v>341.52</v>
      </c>
      <c r="Q50" s="125">
        <f t="shared" si="14"/>
        <v>369.77</v>
      </c>
      <c r="R50" s="303"/>
      <c r="S50" s="303"/>
      <c r="T50" s="306"/>
      <c r="U50" s="306"/>
      <c r="V50" s="308"/>
      <c r="W50" s="294"/>
      <c r="X50" s="297"/>
      <c r="Y50" s="132"/>
      <c r="Z50" s="255"/>
      <c r="AA50" s="122"/>
      <c r="AB50" s="122"/>
      <c r="AC50" s="122"/>
      <c r="AD50" s="122"/>
      <c r="AE50" s="122"/>
      <c r="AF50" s="126"/>
    </row>
    <row r="51" spans="1:32" ht="15.55" x14ac:dyDescent="0.25">
      <c r="A51" s="316">
        <v>43167</v>
      </c>
      <c r="B51" s="119" t="s">
        <v>242</v>
      </c>
      <c r="C51" s="119" t="s">
        <v>238</v>
      </c>
      <c r="D51" s="120" t="s">
        <v>192</v>
      </c>
      <c r="E51" s="121">
        <v>2436.9499999999998</v>
      </c>
      <c r="F51" s="121">
        <v>2426.33</v>
      </c>
      <c r="G51" s="121">
        <v>2423.85</v>
      </c>
      <c r="H51" s="121">
        <v>2427.5100000000002</v>
      </c>
      <c r="I51" s="121">
        <v>2440.88</v>
      </c>
      <c r="J51" s="121">
        <v>2458.54</v>
      </c>
      <c r="K51" s="121">
        <v>2497.56</v>
      </c>
      <c r="L51" s="121">
        <v>2473.96</v>
      </c>
      <c r="M51" s="121">
        <v>2450.5</v>
      </c>
      <c r="N51" s="121">
        <v>2450.4499999999998</v>
      </c>
      <c r="O51" s="121">
        <v>2426.2399999999998</v>
      </c>
      <c r="P51" s="121">
        <v>2410.5</v>
      </c>
      <c r="Q51" s="121">
        <v>2441.37</v>
      </c>
      <c r="R51" s="301">
        <f>IF((Q52=""),"",MAX(E53:Q53))</f>
        <v>439.57999999999993</v>
      </c>
      <c r="S51" s="301">
        <f>IF(Q52="","",MIN(E53:Q53))</f>
        <v>332.09000000000015</v>
      </c>
      <c r="T51" s="304">
        <f>IF((Q53=""),"",AVERAGE(E53:Q53))</f>
        <v>359.6838461538461</v>
      </c>
      <c r="U51" s="304">
        <f>IF((Q52=""),"",(R51-S51)/(R51+S51)*100)</f>
        <v>13.929529462075729</v>
      </c>
      <c r="V51" s="304">
        <f>STDEV(E53:Q53)</f>
        <v>31.158310164508112</v>
      </c>
      <c r="W51" s="292" t="str">
        <f>IF(Q52="","",IF(T51&gt;300,IF(U51&lt;14,IF(T51&lt;390,"Pass","Fail"),"Fail"),"Fail"))</f>
        <v>Pass</v>
      </c>
      <c r="X51" s="295">
        <v>121</v>
      </c>
      <c r="Y51" s="309"/>
      <c r="Z51" s="255"/>
      <c r="AA51" s="122">
        <v>270</v>
      </c>
      <c r="AB51" s="122">
        <v>370</v>
      </c>
      <c r="AC51" s="122">
        <v>300</v>
      </c>
      <c r="AD51" s="123">
        <v>390</v>
      </c>
      <c r="AE51" s="123">
        <v>14</v>
      </c>
      <c r="AF51" s="123">
        <v>20</v>
      </c>
    </row>
    <row r="52" spans="1:32" ht="15.55" x14ac:dyDescent="0.25">
      <c r="A52" s="317"/>
      <c r="B52" s="124"/>
      <c r="C52" s="124"/>
      <c r="D52" s="120" t="s">
        <v>193</v>
      </c>
      <c r="E52" s="121">
        <v>2057.98</v>
      </c>
      <c r="F52" s="121">
        <v>2080.69</v>
      </c>
      <c r="G52" s="121">
        <v>2090.91</v>
      </c>
      <c r="H52" s="121">
        <v>2080.69</v>
      </c>
      <c r="I52" s="121">
        <v>2108.79</v>
      </c>
      <c r="J52" s="121">
        <v>2064.7800000000002</v>
      </c>
      <c r="K52" s="121">
        <v>2057.98</v>
      </c>
      <c r="L52" s="121">
        <v>2107.87</v>
      </c>
      <c r="M52" s="121">
        <v>2112.3000000000002</v>
      </c>
      <c r="N52" s="121">
        <v>2102.9499999999998</v>
      </c>
      <c r="O52" s="121">
        <v>2080.69</v>
      </c>
      <c r="P52" s="121">
        <v>2078.34</v>
      </c>
      <c r="Q52" s="121">
        <v>2064.7800000000002</v>
      </c>
      <c r="R52" s="302"/>
      <c r="S52" s="302"/>
      <c r="T52" s="305"/>
      <c r="U52" s="305"/>
      <c r="V52" s="307"/>
      <c r="W52" s="293"/>
      <c r="X52" s="296"/>
      <c r="Y52" s="310"/>
      <c r="Z52" s="255"/>
      <c r="AA52" s="122"/>
      <c r="AB52" s="122"/>
      <c r="AC52" s="122"/>
      <c r="AD52" s="123"/>
      <c r="AE52" s="123"/>
      <c r="AF52" s="123"/>
    </row>
    <row r="53" spans="1:32" ht="62.05" x14ac:dyDescent="0.3">
      <c r="A53" s="317"/>
      <c r="B53" s="119"/>
      <c r="C53" s="119"/>
      <c r="D53" s="120" t="s">
        <v>194</v>
      </c>
      <c r="E53" s="125">
        <f t="shared" ref="E53:Q53" si="15">IF(((E51="")*AND(E52="")),"",(E51-E52))</f>
        <v>378.9699999999998</v>
      </c>
      <c r="F53" s="125">
        <f t="shared" si="15"/>
        <v>345.63999999999987</v>
      </c>
      <c r="G53" s="125">
        <f t="shared" si="15"/>
        <v>332.94000000000005</v>
      </c>
      <c r="H53" s="125">
        <f t="shared" si="15"/>
        <v>346.82000000000016</v>
      </c>
      <c r="I53" s="125">
        <f t="shared" si="15"/>
        <v>332.09000000000015</v>
      </c>
      <c r="J53" s="125">
        <f t="shared" si="15"/>
        <v>393.75999999999976</v>
      </c>
      <c r="K53" s="125">
        <f t="shared" si="15"/>
        <v>439.57999999999993</v>
      </c>
      <c r="L53" s="125">
        <f t="shared" si="15"/>
        <v>366.09000000000015</v>
      </c>
      <c r="M53" s="125">
        <f t="shared" si="15"/>
        <v>338.19999999999982</v>
      </c>
      <c r="N53" s="125">
        <f t="shared" si="15"/>
        <v>347.5</v>
      </c>
      <c r="O53" s="125">
        <f t="shared" si="15"/>
        <v>345.54999999999973</v>
      </c>
      <c r="P53" s="125">
        <f t="shared" si="15"/>
        <v>332.15999999999985</v>
      </c>
      <c r="Q53" s="125">
        <f t="shared" si="15"/>
        <v>376.58999999999969</v>
      </c>
      <c r="R53" s="303"/>
      <c r="S53" s="303"/>
      <c r="T53" s="306"/>
      <c r="U53" s="306"/>
      <c r="V53" s="308"/>
      <c r="W53" s="294"/>
      <c r="X53" s="297"/>
      <c r="Y53" s="311"/>
      <c r="Z53" s="255"/>
      <c r="AA53" s="122"/>
      <c r="AB53" s="122"/>
      <c r="AC53" s="122"/>
      <c r="AD53" s="122"/>
      <c r="AE53" s="122"/>
      <c r="AF53" s="126"/>
    </row>
    <row r="54" spans="1:32" ht="15.55" x14ac:dyDescent="0.25">
      <c r="A54" s="298">
        <v>43173</v>
      </c>
      <c r="B54" s="119" t="s">
        <v>242</v>
      </c>
      <c r="C54" s="119" t="s">
        <v>238</v>
      </c>
      <c r="D54" s="120" t="s">
        <v>192</v>
      </c>
      <c r="E54" s="121">
        <v>2068</v>
      </c>
      <c r="F54" s="121">
        <v>2058</v>
      </c>
      <c r="G54" s="121">
        <v>2069</v>
      </c>
      <c r="H54" s="121">
        <v>2074</v>
      </c>
      <c r="I54" s="121">
        <v>2077</v>
      </c>
      <c r="J54" s="121">
        <v>2076</v>
      </c>
      <c r="K54" s="121">
        <v>2102</v>
      </c>
      <c r="L54" s="121">
        <v>2067</v>
      </c>
      <c r="M54" s="121">
        <v>2074</v>
      </c>
      <c r="N54" s="121">
        <v>2068</v>
      </c>
      <c r="O54" s="121">
        <v>2079</v>
      </c>
      <c r="P54" s="121">
        <v>2083</v>
      </c>
      <c r="Q54" s="121">
        <v>2115</v>
      </c>
      <c r="R54" s="301">
        <f>IF((Q55=""),"",MAX(E56:Q56))</f>
        <v>362.11999999999989</v>
      </c>
      <c r="S54" s="301">
        <f>IF(Q55="","",MIN(E56:Q56))</f>
        <v>306.80999999999995</v>
      </c>
      <c r="T54" s="304">
        <f>IF((Q56=""),"",AVERAGE(E56:Q56))</f>
        <v>330.07230769230773</v>
      </c>
      <c r="U54" s="304">
        <f>IF((Q55=""),"",(R54-S54)/(R54+S54)*100)</f>
        <v>8.2684286846157242</v>
      </c>
      <c r="V54" s="304">
        <f>STDEV(E56:Q56)</f>
        <v>19.267800927041534</v>
      </c>
      <c r="W54" s="292" t="str">
        <f>IF(Q55="","",IF(T54&gt;300,IF(U54&lt;14,IF(T54&lt;390,"Pass","Fail"),"Fail"),"Fail"))</f>
        <v>Pass</v>
      </c>
      <c r="X54" s="295">
        <v>121</v>
      </c>
      <c r="Y54" s="309"/>
      <c r="Z54" s="255"/>
      <c r="AA54" s="122">
        <v>270</v>
      </c>
      <c r="AB54" s="122">
        <v>370</v>
      </c>
      <c r="AC54" s="122">
        <v>300</v>
      </c>
      <c r="AD54" s="123">
        <v>390</v>
      </c>
      <c r="AE54" s="123">
        <v>14</v>
      </c>
      <c r="AF54" s="123">
        <v>20</v>
      </c>
    </row>
    <row r="55" spans="1:32" ht="15.55" x14ac:dyDescent="0.25">
      <c r="A55" s="299"/>
      <c r="B55" s="124"/>
      <c r="C55" s="124"/>
      <c r="D55" s="120" t="s">
        <v>193</v>
      </c>
      <c r="E55" s="121">
        <v>1709.09</v>
      </c>
      <c r="F55" s="121">
        <v>1731.88</v>
      </c>
      <c r="G55" s="121">
        <v>1755.68</v>
      </c>
      <c r="H55" s="121">
        <v>1767.19</v>
      </c>
      <c r="I55" s="121">
        <v>1765.87</v>
      </c>
      <c r="J55" s="121">
        <v>1750.54</v>
      </c>
      <c r="K55" s="121">
        <v>1756.83</v>
      </c>
      <c r="L55" s="121">
        <v>1704.88</v>
      </c>
      <c r="M55" s="121">
        <v>1734</v>
      </c>
      <c r="N55" s="121">
        <v>1757.53</v>
      </c>
      <c r="O55" s="121">
        <v>1766.54</v>
      </c>
      <c r="P55" s="121">
        <v>1753.02</v>
      </c>
      <c r="Q55" s="121">
        <v>1766.01</v>
      </c>
      <c r="R55" s="302"/>
      <c r="S55" s="302"/>
      <c r="T55" s="305"/>
      <c r="U55" s="305"/>
      <c r="V55" s="307"/>
      <c r="W55" s="293"/>
      <c r="X55" s="296"/>
      <c r="Y55" s="310"/>
      <c r="Z55" s="255"/>
      <c r="AA55" s="122"/>
      <c r="AB55" s="122"/>
      <c r="AC55" s="122"/>
      <c r="AD55" s="123"/>
      <c r="AE55" s="123"/>
      <c r="AF55" s="123"/>
    </row>
    <row r="56" spans="1:32" ht="62.05" x14ac:dyDescent="0.3">
      <c r="A56" s="300"/>
      <c r="B56" s="119"/>
      <c r="C56" s="119"/>
      <c r="D56" s="120" t="s">
        <v>194</v>
      </c>
      <c r="E56" s="125">
        <f t="shared" ref="E56:Q56" si="16">IF(((E54="")*AND(E55="")),"",(E54-E55))</f>
        <v>358.91000000000008</v>
      </c>
      <c r="F56" s="125">
        <f t="shared" si="16"/>
        <v>326.11999999999989</v>
      </c>
      <c r="G56" s="125">
        <f t="shared" si="16"/>
        <v>313.31999999999994</v>
      </c>
      <c r="H56" s="125">
        <f t="shared" si="16"/>
        <v>306.80999999999995</v>
      </c>
      <c r="I56" s="125">
        <f t="shared" si="16"/>
        <v>311.13000000000011</v>
      </c>
      <c r="J56" s="125">
        <f t="shared" si="16"/>
        <v>325.46000000000004</v>
      </c>
      <c r="K56" s="125">
        <f t="shared" si="16"/>
        <v>345.17000000000007</v>
      </c>
      <c r="L56" s="125">
        <f t="shared" si="16"/>
        <v>362.11999999999989</v>
      </c>
      <c r="M56" s="125">
        <f t="shared" si="16"/>
        <v>340</v>
      </c>
      <c r="N56" s="125">
        <f t="shared" si="16"/>
        <v>310.47000000000003</v>
      </c>
      <c r="O56" s="125">
        <f t="shared" si="16"/>
        <v>312.46000000000004</v>
      </c>
      <c r="P56" s="125">
        <f t="shared" si="16"/>
        <v>329.98</v>
      </c>
      <c r="Q56" s="125">
        <f t="shared" si="16"/>
        <v>348.99</v>
      </c>
      <c r="R56" s="303"/>
      <c r="S56" s="303"/>
      <c r="T56" s="306"/>
      <c r="U56" s="306"/>
      <c r="V56" s="308"/>
      <c r="W56" s="294"/>
      <c r="X56" s="297"/>
      <c r="Y56" s="311"/>
      <c r="Z56" s="255"/>
      <c r="AA56" s="122"/>
      <c r="AB56" s="122"/>
      <c r="AC56" s="122"/>
      <c r="AD56" s="122"/>
      <c r="AE56" s="122"/>
      <c r="AF56" s="126"/>
    </row>
    <row r="57" spans="1:32" ht="15.55" x14ac:dyDescent="0.25">
      <c r="A57" s="298">
        <v>43187</v>
      </c>
      <c r="B57" s="119" t="s">
        <v>242</v>
      </c>
      <c r="C57" s="119" t="s">
        <v>238</v>
      </c>
      <c r="D57" s="120" t="s">
        <v>192</v>
      </c>
      <c r="E57" s="121">
        <v>1707.54</v>
      </c>
      <c r="F57" s="121">
        <v>1728.19</v>
      </c>
      <c r="G57" s="121">
        <v>1753.97</v>
      </c>
      <c r="H57" s="121">
        <v>1764.91</v>
      </c>
      <c r="I57" s="121">
        <v>1760.49</v>
      </c>
      <c r="J57" s="121">
        <v>1746.14</v>
      </c>
      <c r="K57" s="121">
        <v>1753.59</v>
      </c>
      <c r="L57" s="121">
        <v>1701.98</v>
      </c>
      <c r="M57" s="121">
        <v>1729.64</v>
      </c>
      <c r="N57" s="121">
        <v>1752.84</v>
      </c>
      <c r="O57" s="121">
        <v>1747.48</v>
      </c>
      <c r="P57" s="121">
        <v>1750.21</v>
      </c>
      <c r="Q57" s="121">
        <v>1761.8</v>
      </c>
      <c r="R57" s="301">
        <f>IF((Q58=""),"",MAX(E59:Q59))</f>
        <v>406.70000000000005</v>
      </c>
      <c r="S57" s="301">
        <f>IF(Q58="","",MIN(E59:Q59))</f>
        <v>345.10000000000014</v>
      </c>
      <c r="T57" s="304">
        <f>IF((Q59=""),"",AVERAGE(E59:Q59))</f>
        <v>375.83153846153851</v>
      </c>
      <c r="U57" s="304">
        <f>IF((Q58=""),"",(R57-S57)/(R57+S57)*100)</f>
        <v>8.1936685288640447</v>
      </c>
      <c r="V57" s="304">
        <f>STDEV(E59:Q59)</f>
        <v>22.151990823307425</v>
      </c>
      <c r="W57" s="292" t="str">
        <f>IF(Q58="","",IF(T57&gt;300,IF(U57&lt;14,IF(T57&lt;390,"Pass","Fail"),"Fail"),"Fail"))</f>
        <v>Pass</v>
      </c>
      <c r="X57" s="295">
        <v>1335</v>
      </c>
      <c r="Y57" s="309"/>
      <c r="Z57" s="255"/>
      <c r="AA57" s="122">
        <v>270</v>
      </c>
      <c r="AB57" s="122">
        <v>370</v>
      </c>
      <c r="AC57" s="122">
        <v>300</v>
      </c>
      <c r="AD57" s="123">
        <v>390</v>
      </c>
      <c r="AE57" s="123">
        <v>14</v>
      </c>
      <c r="AF57" s="123">
        <v>20</v>
      </c>
    </row>
    <row r="58" spans="1:32" ht="15.55" x14ac:dyDescent="0.25">
      <c r="A58" s="299"/>
      <c r="B58" s="124"/>
      <c r="C58" s="124"/>
      <c r="D58" s="120" t="s">
        <v>193</v>
      </c>
      <c r="E58" s="121">
        <v>1301.2</v>
      </c>
      <c r="F58" s="121">
        <v>1350.78</v>
      </c>
      <c r="G58" s="121">
        <v>1394.15</v>
      </c>
      <c r="H58" s="121">
        <v>1419.81</v>
      </c>
      <c r="I58" s="121">
        <v>1403.79</v>
      </c>
      <c r="J58" s="121">
        <v>1376.18</v>
      </c>
      <c r="K58" s="121">
        <v>1352.78</v>
      </c>
      <c r="L58" s="121">
        <v>1300.45</v>
      </c>
      <c r="M58" s="121">
        <v>1353.04</v>
      </c>
      <c r="N58" s="121">
        <v>1397.83</v>
      </c>
      <c r="O58" s="121">
        <v>1397.47</v>
      </c>
      <c r="P58" s="121">
        <v>1370.39</v>
      </c>
      <c r="Q58" s="121">
        <v>1355.1</v>
      </c>
      <c r="R58" s="302"/>
      <c r="S58" s="302"/>
      <c r="T58" s="305"/>
      <c r="U58" s="305"/>
      <c r="V58" s="307"/>
      <c r="W58" s="293"/>
      <c r="X58" s="296"/>
      <c r="Y58" s="310"/>
      <c r="Z58" s="255"/>
      <c r="AA58" s="122"/>
      <c r="AB58" s="122"/>
      <c r="AC58" s="122"/>
      <c r="AD58" s="123"/>
      <c r="AE58" s="123"/>
      <c r="AF58" s="123"/>
    </row>
    <row r="59" spans="1:32" ht="62.05" x14ac:dyDescent="0.3">
      <c r="A59" s="300"/>
      <c r="B59" s="119"/>
      <c r="C59" s="119"/>
      <c r="D59" s="120" t="s">
        <v>194</v>
      </c>
      <c r="E59" s="125">
        <f t="shared" ref="E59:Q59" si="17">IF(((E57="")*AND(E58="")),"",(E57-E58))</f>
        <v>406.33999999999992</v>
      </c>
      <c r="F59" s="125">
        <f t="shared" si="17"/>
        <v>377.41000000000008</v>
      </c>
      <c r="G59" s="125">
        <f t="shared" si="17"/>
        <v>359.81999999999994</v>
      </c>
      <c r="H59" s="125">
        <f t="shared" si="17"/>
        <v>345.10000000000014</v>
      </c>
      <c r="I59" s="125">
        <f t="shared" si="17"/>
        <v>356.70000000000005</v>
      </c>
      <c r="J59" s="125">
        <f t="shared" si="17"/>
        <v>369.96000000000004</v>
      </c>
      <c r="K59" s="125">
        <f t="shared" si="17"/>
        <v>400.80999999999995</v>
      </c>
      <c r="L59" s="125">
        <f t="shared" si="17"/>
        <v>401.53</v>
      </c>
      <c r="M59" s="125">
        <f t="shared" si="17"/>
        <v>376.60000000000014</v>
      </c>
      <c r="N59" s="125">
        <f t="shared" si="17"/>
        <v>355.01</v>
      </c>
      <c r="O59" s="125">
        <f t="shared" si="17"/>
        <v>350.01</v>
      </c>
      <c r="P59" s="125">
        <f t="shared" si="17"/>
        <v>379.81999999999994</v>
      </c>
      <c r="Q59" s="125">
        <f t="shared" si="17"/>
        <v>406.70000000000005</v>
      </c>
      <c r="R59" s="303"/>
      <c r="S59" s="303"/>
      <c r="T59" s="306"/>
      <c r="U59" s="306"/>
      <c r="V59" s="308"/>
      <c r="W59" s="294"/>
      <c r="X59" s="297"/>
      <c r="Y59" s="311"/>
      <c r="Z59" s="255"/>
      <c r="AA59" s="122"/>
      <c r="AB59" s="122"/>
      <c r="AC59" s="122"/>
      <c r="AD59" s="122"/>
      <c r="AE59" s="122"/>
      <c r="AF59" s="126"/>
    </row>
    <row r="60" spans="1:32" ht="15.55" x14ac:dyDescent="0.25">
      <c r="A60" s="298">
        <v>43192</v>
      </c>
      <c r="B60" s="119" t="s">
        <v>242</v>
      </c>
      <c r="C60" s="119" t="s">
        <v>238</v>
      </c>
      <c r="D60" s="120" t="s">
        <v>192</v>
      </c>
      <c r="E60" s="121">
        <v>2059</v>
      </c>
      <c r="F60" s="121">
        <v>2062</v>
      </c>
      <c r="G60" s="121">
        <v>2074</v>
      </c>
      <c r="H60" s="121">
        <v>2078</v>
      </c>
      <c r="I60" s="121">
        <v>2082</v>
      </c>
      <c r="J60" s="121">
        <v>2081</v>
      </c>
      <c r="K60" s="121">
        <v>2100</v>
      </c>
      <c r="L60" s="121">
        <v>2100</v>
      </c>
      <c r="M60" s="121">
        <v>2080</v>
      </c>
      <c r="N60" s="121">
        <v>2081</v>
      </c>
      <c r="O60" s="121">
        <v>2074</v>
      </c>
      <c r="P60" s="121">
        <v>2063</v>
      </c>
      <c r="Q60" s="121">
        <v>2063</v>
      </c>
      <c r="R60" s="301">
        <f>IF((Q61=""),"",MAX(E62:Q62))</f>
        <v>376</v>
      </c>
      <c r="S60" s="301">
        <f>IF(Q61="","",MIN(E62:Q62))</f>
        <v>329</v>
      </c>
      <c r="T60" s="304">
        <f>IF((Q62=""),"",AVERAGE(E62:Q62))</f>
        <v>350.15384615384613</v>
      </c>
      <c r="U60" s="304">
        <f>IF((Q61=""),"",(R60-S60)/(R60+S60)*100)</f>
        <v>6.666666666666667</v>
      </c>
      <c r="V60" s="304">
        <f>STDEV(E62:Q62)</f>
        <v>18.402201652004187</v>
      </c>
      <c r="W60" s="292" t="str">
        <f>IF(Q61="","",IF(T60&gt;300,IF(U60&lt;14,IF(T60&lt;390,"Pass","Fail"),"Fail"),"Fail"))</f>
        <v>Pass</v>
      </c>
      <c r="X60" s="295"/>
      <c r="Y60" s="309"/>
      <c r="Z60" s="255"/>
      <c r="AA60" s="122">
        <v>270</v>
      </c>
      <c r="AB60" s="122">
        <v>370</v>
      </c>
      <c r="AC60" s="122">
        <v>300</v>
      </c>
      <c r="AD60" s="123">
        <v>390</v>
      </c>
      <c r="AE60" s="123">
        <v>14</v>
      </c>
      <c r="AF60" s="123">
        <v>20</v>
      </c>
    </row>
    <row r="61" spans="1:32" ht="15.55" x14ac:dyDescent="0.25">
      <c r="A61" s="299"/>
      <c r="B61" s="124"/>
      <c r="C61" s="124"/>
      <c r="D61" s="120" t="s">
        <v>193</v>
      </c>
      <c r="E61" s="121">
        <v>1684</v>
      </c>
      <c r="F61" s="121">
        <v>1715</v>
      </c>
      <c r="G61" s="121">
        <v>1740</v>
      </c>
      <c r="H61" s="121">
        <v>1749</v>
      </c>
      <c r="I61" s="121">
        <v>1749</v>
      </c>
      <c r="J61" s="121">
        <v>1733</v>
      </c>
      <c r="K61" s="121">
        <v>1726</v>
      </c>
      <c r="L61" s="121">
        <v>1725</v>
      </c>
      <c r="M61" s="121">
        <v>1733</v>
      </c>
      <c r="N61" s="121">
        <v>1748</v>
      </c>
      <c r="O61" s="121">
        <v>1740</v>
      </c>
      <c r="P61" s="121">
        <v>1716</v>
      </c>
      <c r="Q61" s="121">
        <v>1687</v>
      </c>
      <c r="R61" s="302"/>
      <c r="S61" s="302"/>
      <c r="T61" s="305"/>
      <c r="U61" s="305"/>
      <c r="V61" s="307"/>
      <c r="W61" s="293"/>
      <c r="X61" s="296"/>
      <c r="Y61" s="310"/>
      <c r="Z61" s="255"/>
      <c r="AA61" s="122"/>
      <c r="AB61" s="122"/>
      <c r="AC61" s="122"/>
      <c r="AD61" s="123"/>
      <c r="AE61" s="123"/>
      <c r="AF61" s="123"/>
    </row>
    <row r="62" spans="1:32" ht="62.05" x14ac:dyDescent="0.3">
      <c r="A62" s="300"/>
      <c r="B62" s="119"/>
      <c r="C62" s="119"/>
      <c r="D62" s="120" t="s">
        <v>194</v>
      </c>
      <c r="E62" s="125">
        <f t="shared" ref="E62:Q62" si="18">IF(((E60="")*AND(E61="")),"",(E60-E61))</f>
        <v>375</v>
      </c>
      <c r="F62" s="125">
        <f t="shared" si="18"/>
        <v>347</v>
      </c>
      <c r="G62" s="125">
        <f t="shared" si="18"/>
        <v>334</v>
      </c>
      <c r="H62" s="125">
        <f t="shared" si="18"/>
        <v>329</v>
      </c>
      <c r="I62" s="125">
        <f t="shared" si="18"/>
        <v>333</v>
      </c>
      <c r="J62" s="125">
        <f t="shared" si="18"/>
        <v>348</v>
      </c>
      <c r="K62" s="125">
        <f t="shared" si="18"/>
        <v>374</v>
      </c>
      <c r="L62" s="125">
        <f t="shared" si="18"/>
        <v>375</v>
      </c>
      <c r="M62" s="125">
        <f t="shared" si="18"/>
        <v>347</v>
      </c>
      <c r="N62" s="125">
        <f t="shared" si="18"/>
        <v>333</v>
      </c>
      <c r="O62" s="125">
        <f t="shared" si="18"/>
        <v>334</v>
      </c>
      <c r="P62" s="125">
        <f t="shared" si="18"/>
        <v>347</v>
      </c>
      <c r="Q62" s="125">
        <f t="shared" si="18"/>
        <v>376</v>
      </c>
      <c r="R62" s="303"/>
      <c r="S62" s="303"/>
      <c r="T62" s="306"/>
      <c r="U62" s="306"/>
      <c r="V62" s="308"/>
      <c r="W62" s="294"/>
      <c r="X62" s="297"/>
      <c r="Y62" s="311"/>
      <c r="Z62" s="255"/>
      <c r="AA62" s="122"/>
      <c r="AB62" s="122"/>
      <c r="AC62" s="122"/>
      <c r="AD62" s="122"/>
      <c r="AE62" s="122"/>
      <c r="AF62" s="126"/>
    </row>
    <row r="63" spans="1:32" ht="15.55" x14ac:dyDescent="0.25">
      <c r="A63" s="298">
        <v>43199</v>
      </c>
      <c r="B63" s="119" t="s">
        <v>242</v>
      </c>
      <c r="C63" s="119" t="s">
        <v>238</v>
      </c>
      <c r="D63" s="120" t="s">
        <v>192</v>
      </c>
      <c r="E63" s="121">
        <v>2824.99</v>
      </c>
      <c r="F63" s="121">
        <v>2787.2</v>
      </c>
      <c r="G63" s="121">
        <v>2766.26</v>
      </c>
      <c r="H63" s="121">
        <v>2763.84</v>
      </c>
      <c r="I63" s="121">
        <v>2780.18</v>
      </c>
      <c r="J63" s="121">
        <v>2819.72</v>
      </c>
      <c r="K63" s="121">
        <v>2885.87</v>
      </c>
      <c r="L63" s="121">
        <v>2876.87</v>
      </c>
      <c r="M63" s="121">
        <v>2812.65</v>
      </c>
      <c r="N63" s="121">
        <v>2779.1</v>
      </c>
      <c r="O63" s="121">
        <v>2768.84</v>
      </c>
      <c r="P63" s="121">
        <v>2794.65</v>
      </c>
      <c r="Q63" s="121">
        <v>2839.31</v>
      </c>
      <c r="R63" s="301">
        <f>IF((Q64=""),"",MAX(E65:Q65))</f>
        <v>365.84000000000015</v>
      </c>
      <c r="S63" s="301">
        <f>IF(Q64="","",MIN(E65:Q65))</f>
        <v>310.02</v>
      </c>
      <c r="T63" s="304">
        <f>IF((Q65=""),"",AVERAGE(E65:Q65))</f>
        <v>333.26538461538451</v>
      </c>
      <c r="U63" s="304">
        <f>IF((Q64=""),"",(R63-S63)/(R63+S63)*100)</f>
        <v>8.2591069156334385</v>
      </c>
      <c r="V63" s="304">
        <f>STDEV(E65:Q65)</f>
        <v>21.208421525180587</v>
      </c>
      <c r="W63" s="292" t="str">
        <f>IF(Q64="","",IF(T63&gt;300,IF(U63&lt;14,IF(T63&lt;390,"Pass","Fail"),"Fail"),"Fail"))</f>
        <v>Pass</v>
      </c>
      <c r="X63" s="295"/>
      <c r="Y63" s="309"/>
      <c r="Z63" s="255"/>
      <c r="AA63" s="122">
        <v>270</v>
      </c>
      <c r="AB63" s="122">
        <v>370</v>
      </c>
      <c r="AC63" s="122">
        <v>300</v>
      </c>
      <c r="AD63" s="123">
        <v>390</v>
      </c>
      <c r="AE63" s="123">
        <v>14</v>
      </c>
      <c r="AF63" s="123">
        <v>20</v>
      </c>
    </row>
    <row r="64" spans="1:32" ht="15.55" x14ac:dyDescent="0.25">
      <c r="A64" s="299"/>
      <c r="B64" s="124"/>
      <c r="C64" s="124"/>
      <c r="D64" s="120" t="s">
        <v>193</v>
      </c>
      <c r="E64" s="121">
        <v>2459.69</v>
      </c>
      <c r="F64" s="121">
        <v>2457.7399999999998</v>
      </c>
      <c r="G64" s="121">
        <v>2451.4499999999998</v>
      </c>
      <c r="H64" s="121">
        <v>2453.8200000000002</v>
      </c>
      <c r="I64" s="121">
        <v>2463.3000000000002</v>
      </c>
      <c r="J64" s="121">
        <v>2491.77</v>
      </c>
      <c r="K64" s="121">
        <v>2529.75</v>
      </c>
      <c r="L64" s="121">
        <v>2516.1</v>
      </c>
      <c r="M64" s="121">
        <v>2486.0700000000002</v>
      </c>
      <c r="N64" s="121">
        <v>2467.8200000000002</v>
      </c>
      <c r="O64" s="121">
        <v>2453.15</v>
      </c>
      <c r="P64" s="121">
        <v>2462.9</v>
      </c>
      <c r="Q64" s="121">
        <v>2473.4699999999998</v>
      </c>
      <c r="R64" s="302"/>
      <c r="S64" s="302"/>
      <c r="T64" s="305"/>
      <c r="U64" s="305"/>
      <c r="V64" s="307"/>
      <c r="W64" s="293"/>
      <c r="X64" s="296"/>
      <c r="Y64" s="310"/>
      <c r="Z64" s="255"/>
      <c r="AA64" s="122"/>
      <c r="AB64" s="122"/>
      <c r="AC64" s="122"/>
      <c r="AD64" s="123"/>
      <c r="AE64" s="123"/>
      <c r="AF64" s="123"/>
    </row>
    <row r="65" spans="1:32" ht="62.05" x14ac:dyDescent="0.3">
      <c r="A65" s="300"/>
      <c r="B65" s="119"/>
      <c r="C65" s="119"/>
      <c r="D65" s="120" t="s">
        <v>194</v>
      </c>
      <c r="E65" s="125">
        <f t="shared" ref="E65:Q65" si="19">IF(((E63="")*AND(E64="")),"",(E63-E64))</f>
        <v>365.29999999999973</v>
      </c>
      <c r="F65" s="125">
        <f t="shared" si="19"/>
        <v>329.46000000000004</v>
      </c>
      <c r="G65" s="125">
        <f t="shared" si="19"/>
        <v>314.8100000000004</v>
      </c>
      <c r="H65" s="125">
        <f t="shared" si="19"/>
        <v>310.02</v>
      </c>
      <c r="I65" s="125">
        <f t="shared" si="19"/>
        <v>316.87999999999965</v>
      </c>
      <c r="J65" s="125">
        <f t="shared" si="19"/>
        <v>327.94999999999982</v>
      </c>
      <c r="K65" s="125">
        <f t="shared" si="19"/>
        <v>356.11999999999989</v>
      </c>
      <c r="L65" s="125">
        <f t="shared" si="19"/>
        <v>360.77</v>
      </c>
      <c r="M65" s="125">
        <f t="shared" si="19"/>
        <v>326.57999999999993</v>
      </c>
      <c r="N65" s="125">
        <f t="shared" si="19"/>
        <v>311.27999999999975</v>
      </c>
      <c r="O65" s="125">
        <f t="shared" si="19"/>
        <v>315.69000000000005</v>
      </c>
      <c r="P65" s="125">
        <f t="shared" si="19"/>
        <v>331.75</v>
      </c>
      <c r="Q65" s="125">
        <f t="shared" si="19"/>
        <v>365.84000000000015</v>
      </c>
      <c r="R65" s="303"/>
      <c r="S65" s="303"/>
      <c r="T65" s="306"/>
      <c r="U65" s="306"/>
      <c r="V65" s="308"/>
      <c r="W65" s="294"/>
      <c r="X65" s="297"/>
      <c r="Y65" s="311"/>
      <c r="Z65" s="255"/>
      <c r="AA65" s="122"/>
      <c r="AB65" s="122"/>
      <c r="AC65" s="122"/>
      <c r="AD65" s="122"/>
      <c r="AE65" s="122"/>
      <c r="AF65" s="126"/>
    </row>
    <row r="66" spans="1:32" ht="15.55" x14ac:dyDescent="0.25">
      <c r="A66" s="298">
        <v>43203</v>
      </c>
      <c r="B66" s="119" t="s">
        <v>242</v>
      </c>
      <c r="C66" s="119" t="s">
        <v>238</v>
      </c>
      <c r="D66" s="120" t="s">
        <v>192</v>
      </c>
      <c r="E66" s="121">
        <v>2461.9299999999998</v>
      </c>
      <c r="F66" s="121">
        <v>2460.09</v>
      </c>
      <c r="G66" s="121">
        <v>2451.88</v>
      </c>
      <c r="H66" s="121">
        <v>2455.36</v>
      </c>
      <c r="I66" s="121">
        <v>2478.62</v>
      </c>
      <c r="J66" s="121">
        <v>2492.15</v>
      </c>
      <c r="K66" s="121">
        <v>2531.41</v>
      </c>
      <c r="L66" s="121">
        <v>2517.81</v>
      </c>
      <c r="M66" s="121">
        <v>2486.61</v>
      </c>
      <c r="N66" s="121">
        <v>2463.8000000000002</v>
      </c>
      <c r="O66" s="121">
        <v>2462.6</v>
      </c>
      <c r="P66" s="121">
        <v>2451.8000000000002</v>
      </c>
      <c r="Q66" s="121">
        <v>2470.86</v>
      </c>
      <c r="R66" s="301">
        <f>IF((Q67=""),"",MAX(E68:Q68))</f>
        <v>389.40999999999985</v>
      </c>
      <c r="S66" s="301">
        <f>IF(Q67="","",MIN(E68:Q68))</f>
        <v>343.80000000000018</v>
      </c>
      <c r="T66" s="304">
        <f>IF((Q68=""),"",AVERAGE(E68:Q68))</f>
        <v>364.1476923076923</v>
      </c>
      <c r="U66" s="304">
        <f>IF((Q67=""),"",(R66-S66)/(R66+S66)*100)</f>
        <v>6.2205916449584251</v>
      </c>
      <c r="V66" s="304">
        <f>STDEV(E68:Q68)</f>
        <v>16.863165555852792</v>
      </c>
      <c r="W66" s="292" t="str">
        <f>IF(Q67="","",IF(T66&gt;300,IF(U66&lt;14,IF(T66&lt;390,"Pass","Fail"),"Fail"),"Fail"))</f>
        <v>Pass</v>
      </c>
      <c r="X66" s="295">
        <v>1428</v>
      </c>
      <c r="Y66" s="309"/>
      <c r="Z66" s="255"/>
      <c r="AA66" s="122">
        <v>270</v>
      </c>
      <c r="AB66" s="122">
        <v>370</v>
      </c>
      <c r="AC66" s="122">
        <v>300</v>
      </c>
      <c r="AD66" s="123">
        <v>390</v>
      </c>
      <c r="AE66" s="123">
        <v>14</v>
      </c>
      <c r="AF66" s="123">
        <v>20</v>
      </c>
    </row>
    <row r="67" spans="1:32" ht="15.55" x14ac:dyDescent="0.25">
      <c r="A67" s="299"/>
      <c r="B67" s="124"/>
      <c r="C67" s="124"/>
      <c r="D67" s="120" t="s">
        <v>193</v>
      </c>
      <c r="E67" s="121">
        <v>2075</v>
      </c>
      <c r="F67" s="121">
        <v>2099</v>
      </c>
      <c r="G67" s="121">
        <v>2107</v>
      </c>
      <c r="H67" s="121">
        <v>2109</v>
      </c>
      <c r="I67" s="121">
        <v>2120</v>
      </c>
      <c r="J67" s="121">
        <v>2129</v>
      </c>
      <c r="K67" s="121">
        <v>2142</v>
      </c>
      <c r="L67" s="121">
        <v>2132</v>
      </c>
      <c r="M67" s="121">
        <v>2126</v>
      </c>
      <c r="N67" s="121">
        <v>2120</v>
      </c>
      <c r="O67" s="121">
        <v>2107</v>
      </c>
      <c r="P67" s="121">
        <v>2099</v>
      </c>
      <c r="Q67" s="121">
        <v>2086</v>
      </c>
      <c r="R67" s="302"/>
      <c r="S67" s="302"/>
      <c r="T67" s="305"/>
      <c r="U67" s="305"/>
      <c r="V67" s="307"/>
      <c r="W67" s="293"/>
      <c r="X67" s="296"/>
      <c r="Y67" s="310"/>
      <c r="Z67" s="255"/>
      <c r="AA67" s="122"/>
      <c r="AB67" s="122"/>
      <c r="AC67" s="122"/>
      <c r="AD67" s="123"/>
      <c r="AE67" s="123"/>
      <c r="AF67" s="123"/>
    </row>
    <row r="68" spans="1:32" ht="62.05" x14ac:dyDescent="0.3">
      <c r="A68" s="300"/>
      <c r="B68" s="119"/>
      <c r="C68" s="119"/>
      <c r="D68" s="120" t="s">
        <v>194</v>
      </c>
      <c r="E68" s="125">
        <f t="shared" ref="E68:Q68" si="20">IF(((E66="")*AND(E67="")),"",(E66-E67))</f>
        <v>386.92999999999984</v>
      </c>
      <c r="F68" s="125">
        <f t="shared" si="20"/>
        <v>361.09000000000015</v>
      </c>
      <c r="G68" s="125">
        <f t="shared" si="20"/>
        <v>344.88000000000011</v>
      </c>
      <c r="H68" s="125">
        <f t="shared" si="20"/>
        <v>346.36000000000013</v>
      </c>
      <c r="I68" s="125">
        <f t="shared" si="20"/>
        <v>358.61999999999989</v>
      </c>
      <c r="J68" s="125">
        <f t="shared" si="20"/>
        <v>363.15000000000009</v>
      </c>
      <c r="K68" s="125">
        <f t="shared" si="20"/>
        <v>389.40999999999985</v>
      </c>
      <c r="L68" s="125">
        <f t="shared" si="20"/>
        <v>385.80999999999995</v>
      </c>
      <c r="M68" s="125">
        <f t="shared" si="20"/>
        <v>360.61000000000013</v>
      </c>
      <c r="N68" s="125">
        <f t="shared" si="20"/>
        <v>343.80000000000018</v>
      </c>
      <c r="O68" s="125">
        <f t="shared" si="20"/>
        <v>355.59999999999991</v>
      </c>
      <c r="P68" s="125">
        <f t="shared" si="20"/>
        <v>352.80000000000018</v>
      </c>
      <c r="Q68" s="125">
        <f t="shared" si="20"/>
        <v>384.86000000000013</v>
      </c>
      <c r="R68" s="303"/>
      <c r="S68" s="303"/>
      <c r="T68" s="306"/>
      <c r="U68" s="306"/>
      <c r="V68" s="308"/>
      <c r="W68" s="294"/>
      <c r="X68" s="297"/>
      <c r="Y68" s="311"/>
      <c r="Z68" s="255"/>
      <c r="AA68" s="122"/>
      <c r="AB68" s="122"/>
      <c r="AC68" s="122"/>
      <c r="AD68" s="122"/>
      <c r="AE68" s="122"/>
      <c r="AF68" s="126"/>
    </row>
    <row r="69" spans="1:32" ht="15.55" x14ac:dyDescent="0.25">
      <c r="A69" s="298">
        <v>43208</v>
      </c>
      <c r="B69" s="119" t="s">
        <v>242</v>
      </c>
      <c r="C69" s="119" t="s">
        <v>238</v>
      </c>
      <c r="D69" s="120" t="s">
        <v>192</v>
      </c>
      <c r="E69" s="121">
        <v>2830.28</v>
      </c>
      <c r="F69" s="121">
        <v>2792.49</v>
      </c>
      <c r="G69" s="121">
        <v>2770.84</v>
      </c>
      <c r="H69" s="121">
        <v>2768.18</v>
      </c>
      <c r="I69" s="121">
        <v>2785.92</v>
      </c>
      <c r="J69" s="121">
        <v>2828.17</v>
      </c>
      <c r="K69" s="121">
        <v>2893.37</v>
      </c>
      <c r="L69" s="121">
        <v>2882.58</v>
      </c>
      <c r="M69" s="121">
        <v>2817.84</v>
      </c>
      <c r="N69" s="121">
        <v>2781.39</v>
      </c>
      <c r="O69" s="121">
        <v>2774.02</v>
      </c>
      <c r="P69" s="121">
        <v>2800.18</v>
      </c>
      <c r="Q69" s="121">
        <v>2841.35</v>
      </c>
      <c r="R69" s="301">
        <f>IF((Q70=""),"",MAX(E71:Q71))</f>
        <v>365.65000000000009</v>
      </c>
      <c r="S69" s="301">
        <f>IF(Q70="","",MIN(E71:Q71))</f>
        <v>317.52999999999975</v>
      </c>
      <c r="T69" s="304">
        <f>IF((Q71=""),"",AVERAGE(E71:Q71))</f>
        <v>338.32230769230767</v>
      </c>
      <c r="U69" s="304">
        <f>IF((Q70=""),"",(R69-S69)/(R69+S69)*100)</f>
        <v>7.0435317193126785</v>
      </c>
      <c r="V69" s="304">
        <f>STDEV(E71:Q71)</f>
        <v>17.74972354425374</v>
      </c>
      <c r="W69" s="292" t="str">
        <f>IF(Q70="","",IF(T69&gt;300,IF(U69&lt;14,IF(T69&lt;390,"Pass","Fail"),"Fail"),"Fail"))</f>
        <v>Pass</v>
      </c>
      <c r="X69" s="295">
        <v>74</v>
      </c>
      <c r="Y69" s="309"/>
      <c r="Z69" s="255"/>
      <c r="AA69" s="122">
        <v>270</v>
      </c>
      <c r="AB69" s="122">
        <v>370</v>
      </c>
      <c r="AC69" s="122">
        <v>300</v>
      </c>
      <c r="AD69" s="123">
        <v>390</v>
      </c>
      <c r="AE69" s="123">
        <v>14</v>
      </c>
      <c r="AF69" s="123">
        <v>20</v>
      </c>
    </row>
    <row r="70" spans="1:32" ht="15.55" x14ac:dyDescent="0.25">
      <c r="A70" s="299"/>
      <c r="B70" s="124"/>
      <c r="C70" s="124"/>
      <c r="D70" s="120" t="s">
        <v>193</v>
      </c>
      <c r="E70" s="121">
        <v>2464.63</v>
      </c>
      <c r="F70" s="121">
        <v>2456.13</v>
      </c>
      <c r="G70" s="121">
        <v>2449.4299999999998</v>
      </c>
      <c r="H70" s="121">
        <v>2450.65</v>
      </c>
      <c r="I70" s="121">
        <v>2464.56</v>
      </c>
      <c r="J70" s="121">
        <v>2488.58</v>
      </c>
      <c r="K70" s="121">
        <v>2535.46</v>
      </c>
      <c r="L70" s="121">
        <v>2518.91</v>
      </c>
      <c r="M70" s="121">
        <v>2483.96</v>
      </c>
      <c r="N70" s="121">
        <v>2460.27</v>
      </c>
      <c r="O70" s="121">
        <v>2452.04</v>
      </c>
      <c r="P70" s="121">
        <v>2461.09</v>
      </c>
      <c r="Q70" s="121">
        <v>2482.71</v>
      </c>
      <c r="R70" s="302"/>
      <c r="S70" s="302"/>
      <c r="T70" s="305"/>
      <c r="U70" s="305"/>
      <c r="V70" s="307"/>
      <c r="W70" s="293"/>
      <c r="X70" s="296"/>
      <c r="Y70" s="310"/>
      <c r="Z70" s="255"/>
      <c r="AA70" s="122"/>
      <c r="AB70" s="122"/>
      <c r="AC70" s="122"/>
      <c r="AD70" s="123"/>
      <c r="AE70" s="123"/>
      <c r="AF70" s="123"/>
    </row>
    <row r="71" spans="1:32" ht="62.05" x14ac:dyDescent="0.3">
      <c r="A71" s="300"/>
      <c r="B71" s="119"/>
      <c r="C71" s="119"/>
      <c r="D71" s="120" t="s">
        <v>194</v>
      </c>
      <c r="E71" s="125">
        <f t="shared" ref="E71:Q71" si="21">IF(((E69="")*AND(E70="")),"",(E69-E70))</f>
        <v>365.65000000000009</v>
      </c>
      <c r="F71" s="125">
        <f t="shared" si="21"/>
        <v>336.35999999999967</v>
      </c>
      <c r="G71" s="125">
        <f t="shared" si="21"/>
        <v>321.41000000000031</v>
      </c>
      <c r="H71" s="125">
        <f t="shared" si="21"/>
        <v>317.52999999999975</v>
      </c>
      <c r="I71" s="125">
        <f t="shared" si="21"/>
        <v>321.36000000000013</v>
      </c>
      <c r="J71" s="125">
        <f t="shared" si="21"/>
        <v>339.59000000000015</v>
      </c>
      <c r="K71" s="125">
        <f t="shared" si="21"/>
        <v>357.90999999999985</v>
      </c>
      <c r="L71" s="125">
        <f t="shared" si="21"/>
        <v>363.67000000000007</v>
      </c>
      <c r="M71" s="125">
        <f t="shared" si="21"/>
        <v>333.88000000000011</v>
      </c>
      <c r="N71" s="125">
        <f t="shared" si="21"/>
        <v>321.11999999999989</v>
      </c>
      <c r="O71" s="125">
        <f t="shared" si="21"/>
        <v>321.98</v>
      </c>
      <c r="P71" s="125">
        <f t="shared" si="21"/>
        <v>339.08999999999969</v>
      </c>
      <c r="Q71" s="125">
        <f t="shared" si="21"/>
        <v>358.63999999999987</v>
      </c>
      <c r="R71" s="303"/>
      <c r="S71" s="303"/>
      <c r="T71" s="306"/>
      <c r="U71" s="306"/>
      <c r="V71" s="308"/>
      <c r="W71" s="294"/>
      <c r="X71" s="297"/>
      <c r="Y71" s="311"/>
      <c r="Z71" s="255"/>
      <c r="AA71" s="122"/>
      <c r="AB71" s="122"/>
      <c r="AC71" s="122"/>
      <c r="AD71" s="122"/>
      <c r="AE71" s="122"/>
      <c r="AF71" s="126"/>
    </row>
    <row r="72" spans="1:32" ht="15.55" x14ac:dyDescent="0.25">
      <c r="A72" s="298">
        <v>43215</v>
      </c>
      <c r="B72" s="119" t="s">
        <v>242</v>
      </c>
      <c r="C72" s="119" t="s">
        <v>238</v>
      </c>
      <c r="D72" s="120" t="s">
        <v>192</v>
      </c>
      <c r="E72" s="121">
        <v>2466.1999999999998</v>
      </c>
      <c r="F72" s="121">
        <v>2457.56</v>
      </c>
      <c r="G72" s="121">
        <v>2452.5</v>
      </c>
      <c r="H72" s="121">
        <v>2435.89</v>
      </c>
      <c r="I72" s="121">
        <v>2463.4899999999998</v>
      </c>
      <c r="J72" s="121">
        <v>2491.54</v>
      </c>
      <c r="K72" s="121">
        <v>2537.46</v>
      </c>
      <c r="L72" s="121">
        <v>2518.6799999999998</v>
      </c>
      <c r="M72" s="121">
        <v>2486.4699999999998</v>
      </c>
      <c r="N72" s="121">
        <v>2461.56</v>
      </c>
      <c r="O72" s="121">
        <v>2449.3000000000002</v>
      </c>
      <c r="P72" s="121">
        <v>2461.66</v>
      </c>
      <c r="Q72" s="121">
        <v>2480.14</v>
      </c>
      <c r="R72" s="301">
        <f>IF((Q73=""),"",MAX(E74:Q74))</f>
        <v>388.19999999999982</v>
      </c>
      <c r="S72" s="301">
        <f>IF(Q73="","",MIN(E74:Q74))</f>
        <v>326.88999999999987</v>
      </c>
      <c r="T72" s="304">
        <f>IF((Q74=""),"",AVERAGE(E74:Q74))</f>
        <v>362.11153846153837</v>
      </c>
      <c r="U72" s="304">
        <f>IF((Q73=""),"",(R72-S72)/(R72+S72)*100)</f>
        <v>8.5737459620467327</v>
      </c>
      <c r="V72" s="304">
        <f>STDEV(E74:Q74)</f>
        <v>19.480544502209462</v>
      </c>
      <c r="W72" s="292" t="str">
        <f>IF(Q73="","",IF(T72&gt;300,IF(U72&lt;14,IF(T72&lt;390,"Pass","Fail"),"Fail"),"Fail"))</f>
        <v>Pass</v>
      </c>
      <c r="X72" s="295">
        <v>121</v>
      </c>
      <c r="Y72" s="309"/>
      <c r="Z72" s="255" t="s">
        <v>198</v>
      </c>
      <c r="AA72" s="122">
        <v>270</v>
      </c>
      <c r="AB72" s="122">
        <v>370</v>
      </c>
      <c r="AC72" s="122">
        <v>300</v>
      </c>
      <c r="AD72" s="123">
        <v>390</v>
      </c>
      <c r="AE72" s="123">
        <v>14</v>
      </c>
      <c r="AF72" s="123">
        <v>20</v>
      </c>
    </row>
    <row r="73" spans="1:32" ht="15.55" x14ac:dyDescent="0.25">
      <c r="A73" s="299"/>
      <c r="B73" s="124"/>
      <c r="C73" s="124"/>
      <c r="D73" s="120" t="s">
        <v>193</v>
      </c>
      <c r="E73" s="121">
        <v>2078</v>
      </c>
      <c r="F73" s="121">
        <v>2096</v>
      </c>
      <c r="G73" s="121">
        <v>2103</v>
      </c>
      <c r="H73" s="121">
        <v>2109</v>
      </c>
      <c r="I73" s="121">
        <v>2118</v>
      </c>
      <c r="J73" s="121">
        <v>2128</v>
      </c>
      <c r="K73" s="121">
        <v>2150</v>
      </c>
      <c r="L73" s="121">
        <v>2135</v>
      </c>
      <c r="M73" s="121">
        <v>2124</v>
      </c>
      <c r="N73" s="121">
        <v>2116</v>
      </c>
      <c r="O73" s="121">
        <v>2104</v>
      </c>
      <c r="P73" s="121">
        <v>2099</v>
      </c>
      <c r="Q73" s="121">
        <v>2095</v>
      </c>
      <c r="R73" s="302"/>
      <c r="S73" s="302"/>
      <c r="T73" s="305"/>
      <c r="U73" s="305"/>
      <c r="V73" s="307"/>
      <c r="W73" s="293"/>
      <c r="X73" s="296"/>
      <c r="Y73" s="310"/>
      <c r="Z73" s="255"/>
      <c r="AA73" s="122"/>
      <c r="AB73" s="122"/>
      <c r="AC73" s="122"/>
      <c r="AD73" s="123"/>
      <c r="AE73" s="123"/>
      <c r="AF73" s="123"/>
    </row>
    <row r="74" spans="1:32" ht="62.05" x14ac:dyDescent="0.3">
      <c r="A74" s="300"/>
      <c r="B74" s="119"/>
      <c r="C74" s="119"/>
      <c r="D74" s="120" t="s">
        <v>194</v>
      </c>
      <c r="E74" s="125">
        <f t="shared" ref="E74:Q74" si="22">IF(((E72="")*AND(E73="")),"",(E72-E73))</f>
        <v>388.19999999999982</v>
      </c>
      <c r="F74" s="125">
        <f t="shared" si="22"/>
        <v>361.55999999999995</v>
      </c>
      <c r="G74" s="125">
        <f t="shared" si="22"/>
        <v>349.5</v>
      </c>
      <c r="H74" s="125">
        <f t="shared" si="22"/>
        <v>326.88999999999987</v>
      </c>
      <c r="I74" s="125">
        <f t="shared" si="22"/>
        <v>345.48999999999978</v>
      </c>
      <c r="J74" s="125">
        <f t="shared" si="22"/>
        <v>363.53999999999996</v>
      </c>
      <c r="K74" s="125">
        <f t="shared" si="22"/>
        <v>387.46000000000004</v>
      </c>
      <c r="L74" s="125">
        <f t="shared" si="22"/>
        <v>383.67999999999984</v>
      </c>
      <c r="M74" s="125">
        <f t="shared" si="22"/>
        <v>362.4699999999998</v>
      </c>
      <c r="N74" s="125">
        <f t="shared" si="22"/>
        <v>345.55999999999995</v>
      </c>
      <c r="O74" s="125">
        <f t="shared" si="22"/>
        <v>345.30000000000018</v>
      </c>
      <c r="P74" s="125">
        <f t="shared" si="22"/>
        <v>362.65999999999985</v>
      </c>
      <c r="Q74" s="125">
        <f t="shared" si="22"/>
        <v>385.13999999999987</v>
      </c>
      <c r="R74" s="303"/>
      <c r="S74" s="303"/>
      <c r="T74" s="306"/>
      <c r="U74" s="306"/>
      <c r="V74" s="308"/>
      <c r="W74" s="294"/>
      <c r="X74" s="297"/>
      <c r="Y74" s="311"/>
      <c r="Z74" s="255"/>
      <c r="AA74" s="122"/>
      <c r="AB74" s="122"/>
      <c r="AC74" s="122"/>
      <c r="AD74" s="122"/>
      <c r="AE74" s="122"/>
      <c r="AF74" s="126"/>
    </row>
    <row r="75" spans="1:32" ht="15.55" x14ac:dyDescent="0.25">
      <c r="A75" s="298">
        <v>43220</v>
      </c>
      <c r="B75" s="119" t="s">
        <v>242</v>
      </c>
      <c r="C75" s="119" t="s">
        <v>238</v>
      </c>
      <c r="D75" s="120" t="s">
        <v>192</v>
      </c>
      <c r="E75" s="121">
        <v>1811.77</v>
      </c>
      <c r="F75" s="121">
        <v>1790.89</v>
      </c>
      <c r="G75" s="121">
        <v>1792.08</v>
      </c>
      <c r="H75" s="121">
        <v>1802.81</v>
      </c>
      <c r="I75" s="121">
        <v>1824.73</v>
      </c>
      <c r="J75" s="121">
        <v>1865.6</v>
      </c>
      <c r="K75" s="121">
        <v>1929.5</v>
      </c>
      <c r="L75" s="121">
        <v>1911.94</v>
      </c>
      <c r="M75" s="121">
        <v>1849</v>
      </c>
      <c r="N75" s="121">
        <v>1817.27</v>
      </c>
      <c r="O75" s="121">
        <v>1800.46</v>
      </c>
      <c r="P75" s="121">
        <v>1814.75</v>
      </c>
      <c r="Q75" s="121">
        <v>1857.85</v>
      </c>
      <c r="R75" s="301">
        <f>IF((Q76=""),"",MAX(E77:Q77))</f>
        <v>386.95000000000005</v>
      </c>
      <c r="S75" s="301">
        <f>IF(Q76="","",MIN(E77:Q77))</f>
        <v>300.03999999999996</v>
      </c>
      <c r="T75" s="304">
        <f>IF((Q77=""),"",AVERAGE(E77:Q77))</f>
        <v>330.84999999999997</v>
      </c>
      <c r="U75" s="304">
        <f>IF((Q76=""),"",(R75-S75)/(R75+S75)*100)</f>
        <v>12.650839167964612</v>
      </c>
      <c r="V75" s="304">
        <f>STDEV(E77:Q77)</f>
        <v>31.023578130189946</v>
      </c>
      <c r="W75" s="292" t="str">
        <f>IF(Q76="","",IF(T75&gt;300,IF(U75&lt;14,IF(T75&lt;390,"Pass","Fail"),"Fail"),"Fail"))</f>
        <v>Pass</v>
      </c>
      <c r="X75" s="295"/>
      <c r="Y75" s="309"/>
      <c r="Z75" s="255"/>
      <c r="AA75" s="122">
        <v>270</v>
      </c>
      <c r="AB75" s="122">
        <v>370</v>
      </c>
      <c r="AC75" s="122">
        <v>300</v>
      </c>
      <c r="AD75" s="123">
        <v>390</v>
      </c>
      <c r="AE75" s="123">
        <v>14</v>
      </c>
      <c r="AF75" s="123">
        <v>20</v>
      </c>
    </row>
    <row r="76" spans="1:32" ht="15.55" x14ac:dyDescent="0.25">
      <c r="A76" s="299"/>
      <c r="B76" s="124"/>
      <c r="C76" s="124"/>
      <c r="D76" s="120" t="s">
        <v>193</v>
      </c>
      <c r="E76" s="121">
        <v>1501.44</v>
      </c>
      <c r="F76" s="121">
        <v>1490.29</v>
      </c>
      <c r="G76" s="121">
        <v>1490.48</v>
      </c>
      <c r="H76" s="121">
        <v>1500.22</v>
      </c>
      <c r="I76" s="121">
        <v>1500.14</v>
      </c>
      <c r="J76" s="121">
        <v>1507.26</v>
      </c>
      <c r="K76" s="121">
        <v>1552.15</v>
      </c>
      <c r="L76" s="121">
        <v>1524.99</v>
      </c>
      <c r="M76" s="121">
        <v>1500.01</v>
      </c>
      <c r="N76" s="121">
        <v>1500.16</v>
      </c>
      <c r="O76" s="121">
        <v>1500.42</v>
      </c>
      <c r="P76" s="121">
        <v>1500.02</v>
      </c>
      <c r="Q76" s="121">
        <v>1500.02</v>
      </c>
      <c r="R76" s="302"/>
      <c r="S76" s="302"/>
      <c r="T76" s="305"/>
      <c r="U76" s="305"/>
      <c r="V76" s="307"/>
      <c r="W76" s="293"/>
      <c r="X76" s="296"/>
      <c r="Y76" s="310"/>
      <c r="Z76" s="255"/>
      <c r="AA76" s="122"/>
      <c r="AB76" s="122"/>
      <c r="AC76" s="122"/>
      <c r="AD76" s="123"/>
      <c r="AE76" s="123"/>
      <c r="AF76" s="123"/>
    </row>
    <row r="77" spans="1:32" ht="62.05" x14ac:dyDescent="0.3">
      <c r="A77" s="300"/>
      <c r="B77" s="119"/>
      <c r="C77" s="119"/>
      <c r="D77" s="120" t="s">
        <v>194</v>
      </c>
      <c r="E77" s="125">
        <f t="shared" ref="E77:Q77" si="23">IF(((E75="")*AND(E76="")),"",(E75-E76))</f>
        <v>310.32999999999993</v>
      </c>
      <c r="F77" s="125">
        <f t="shared" si="23"/>
        <v>300.60000000000014</v>
      </c>
      <c r="G77" s="125">
        <f t="shared" si="23"/>
        <v>301.59999999999991</v>
      </c>
      <c r="H77" s="125">
        <f t="shared" si="23"/>
        <v>302.58999999999992</v>
      </c>
      <c r="I77" s="125">
        <f t="shared" si="23"/>
        <v>324.58999999999992</v>
      </c>
      <c r="J77" s="125">
        <f t="shared" si="23"/>
        <v>358.33999999999992</v>
      </c>
      <c r="K77" s="125">
        <f t="shared" si="23"/>
        <v>377.34999999999991</v>
      </c>
      <c r="L77" s="125">
        <f t="shared" si="23"/>
        <v>386.95000000000005</v>
      </c>
      <c r="M77" s="125">
        <f t="shared" si="23"/>
        <v>348.99</v>
      </c>
      <c r="N77" s="125">
        <f t="shared" si="23"/>
        <v>317.1099999999999</v>
      </c>
      <c r="O77" s="125">
        <f t="shared" si="23"/>
        <v>300.03999999999996</v>
      </c>
      <c r="P77" s="125">
        <f t="shared" si="23"/>
        <v>314.73</v>
      </c>
      <c r="Q77" s="125">
        <f t="shared" si="23"/>
        <v>357.82999999999993</v>
      </c>
      <c r="R77" s="303"/>
      <c r="S77" s="303"/>
      <c r="T77" s="306"/>
      <c r="U77" s="306"/>
      <c r="V77" s="308"/>
      <c r="W77" s="294"/>
      <c r="X77" s="297"/>
      <c r="Y77" s="311"/>
      <c r="Z77" s="255"/>
      <c r="AA77" s="122"/>
      <c r="AB77" s="122"/>
      <c r="AC77" s="122"/>
      <c r="AD77" s="122"/>
      <c r="AE77" s="122"/>
      <c r="AF77" s="126"/>
    </row>
    <row r="78" spans="1:32" ht="15.55" x14ac:dyDescent="0.25">
      <c r="A78" s="298">
        <v>43224</v>
      </c>
      <c r="B78" s="119" t="s">
        <v>242</v>
      </c>
      <c r="C78" s="119" t="s">
        <v>238</v>
      </c>
      <c r="D78" s="120" t="s">
        <v>192</v>
      </c>
      <c r="E78" s="121">
        <v>2850.42</v>
      </c>
      <c r="F78" s="121">
        <v>2798.96</v>
      </c>
      <c r="G78" s="121">
        <v>2774.32</v>
      </c>
      <c r="H78" s="121">
        <v>2773.88</v>
      </c>
      <c r="I78" s="121">
        <v>2790</v>
      </c>
      <c r="J78" s="121">
        <v>2832.46</v>
      </c>
      <c r="K78" s="121">
        <v>2896.31</v>
      </c>
      <c r="L78" s="121">
        <v>2853.35</v>
      </c>
      <c r="M78" s="121">
        <v>2807.89</v>
      </c>
      <c r="N78" s="121">
        <v>2780.82</v>
      </c>
      <c r="O78" s="121">
        <v>2781.54</v>
      </c>
      <c r="P78" s="121">
        <v>2804.77</v>
      </c>
      <c r="Q78" s="121">
        <v>2858.86</v>
      </c>
      <c r="R78" s="301">
        <f>IF((Q79=""),"",MAX(E80:Q80))</f>
        <v>366.45000000000027</v>
      </c>
      <c r="S78" s="301">
        <f>IF(Q79="","",MIN(E80:Q80))</f>
        <v>318.42000000000007</v>
      </c>
      <c r="T78" s="304">
        <f>IF((Q80=""),"",AVERAGE(E80:Q80))</f>
        <v>338.40692307692314</v>
      </c>
      <c r="U78" s="304">
        <f>IF((Q79=""),"",(R78-S78)/(R78+S78)*100)</f>
        <v>7.0130097682772172</v>
      </c>
      <c r="V78" s="304">
        <f>STDEV(E80:Q80)</f>
        <v>18.509506289388792</v>
      </c>
      <c r="W78" s="292" t="str">
        <f>IF(Q79="","",IF(T78&gt;300,IF(U78&lt;14,IF(T78&lt;390,"Pass","Fail"),"Fail"),"Fail"))</f>
        <v>Pass</v>
      </c>
      <c r="X78" s="295">
        <v>1159</v>
      </c>
      <c r="Y78" s="261" t="s">
        <v>199</v>
      </c>
      <c r="Z78" s="255"/>
      <c r="AA78" s="122">
        <v>270</v>
      </c>
      <c r="AB78" s="122">
        <v>370</v>
      </c>
      <c r="AC78" s="122">
        <v>300</v>
      </c>
      <c r="AD78" s="123">
        <v>390</v>
      </c>
      <c r="AE78" s="123">
        <v>14</v>
      </c>
      <c r="AF78" s="123">
        <v>20</v>
      </c>
    </row>
    <row r="79" spans="1:32" ht="15.55" x14ac:dyDescent="0.25">
      <c r="A79" s="299"/>
      <c r="B79" s="124"/>
      <c r="C79" s="124"/>
      <c r="D79" s="120" t="s">
        <v>193</v>
      </c>
      <c r="E79" s="121">
        <v>2485.67</v>
      </c>
      <c r="F79" s="121">
        <v>2461.9699999999998</v>
      </c>
      <c r="G79" s="121">
        <v>2452.92</v>
      </c>
      <c r="H79" s="121">
        <v>2455.46</v>
      </c>
      <c r="I79" s="121">
        <v>2470.9499999999998</v>
      </c>
      <c r="J79" s="121">
        <v>2498.65</v>
      </c>
      <c r="K79" s="121">
        <v>2540.2199999999998</v>
      </c>
      <c r="L79" s="121">
        <v>2488.1</v>
      </c>
      <c r="M79" s="121">
        <v>2474.46</v>
      </c>
      <c r="N79" s="121">
        <v>2459.7399999999998</v>
      </c>
      <c r="O79" s="121">
        <v>2456.7600000000002</v>
      </c>
      <c r="P79" s="121">
        <v>2466.98</v>
      </c>
      <c r="Q79" s="121">
        <v>2492.41</v>
      </c>
      <c r="R79" s="302"/>
      <c r="S79" s="302"/>
      <c r="T79" s="305"/>
      <c r="U79" s="305"/>
      <c r="V79" s="307"/>
      <c r="W79" s="293"/>
      <c r="X79" s="296"/>
      <c r="Y79" s="258"/>
      <c r="Z79" s="255"/>
      <c r="AA79" s="122"/>
      <c r="AB79" s="122"/>
      <c r="AC79" s="122"/>
      <c r="AD79" s="123"/>
      <c r="AE79" s="123"/>
      <c r="AF79" s="123"/>
    </row>
    <row r="80" spans="1:32" ht="62.05" x14ac:dyDescent="0.3">
      <c r="A80" s="300"/>
      <c r="B80" s="119"/>
      <c r="C80" s="119"/>
      <c r="D80" s="120" t="s">
        <v>194</v>
      </c>
      <c r="E80" s="125">
        <f t="shared" ref="E80:Q80" si="24">IF(((E78="")*AND(E79="")),"",(E78-E79))</f>
        <v>364.75</v>
      </c>
      <c r="F80" s="125">
        <f t="shared" si="24"/>
        <v>336.99000000000024</v>
      </c>
      <c r="G80" s="125">
        <f t="shared" si="24"/>
        <v>321.40000000000009</v>
      </c>
      <c r="H80" s="125">
        <f t="shared" si="24"/>
        <v>318.42000000000007</v>
      </c>
      <c r="I80" s="125">
        <f t="shared" si="24"/>
        <v>319.05000000000018</v>
      </c>
      <c r="J80" s="125">
        <f t="shared" si="24"/>
        <v>333.80999999999995</v>
      </c>
      <c r="K80" s="125">
        <f t="shared" si="24"/>
        <v>356.09000000000015</v>
      </c>
      <c r="L80" s="125">
        <f t="shared" si="24"/>
        <v>365.25</v>
      </c>
      <c r="M80" s="125">
        <f t="shared" si="24"/>
        <v>333.42999999999984</v>
      </c>
      <c r="N80" s="125">
        <f t="shared" si="24"/>
        <v>321.08000000000038</v>
      </c>
      <c r="O80" s="125">
        <f t="shared" si="24"/>
        <v>324.77999999999975</v>
      </c>
      <c r="P80" s="125">
        <f t="shared" si="24"/>
        <v>337.78999999999996</v>
      </c>
      <c r="Q80" s="125">
        <f t="shared" si="24"/>
        <v>366.45000000000027</v>
      </c>
      <c r="R80" s="303"/>
      <c r="S80" s="303"/>
      <c r="T80" s="306"/>
      <c r="U80" s="306"/>
      <c r="V80" s="308"/>
      <c r="W80" s="294"/>
      <c r="X80" s="297"/>
      <c r="Y80" s="259"/>
      <c r="Z80" s="255"/>
      <c r="AA80" s="122"/>
      <c r="AB80" s="122"/>
      <c r="AC80" s="122"/>
      <c r="AD80" s="122"/>
      <c r="AE80" s="122"/>
      <c r="AF80" s="126"/>
    </row>
    <row r="81" spans="1:32" ht="15.55" x14ac:dyDescent="0.25">
      <c r="A81" s="298">
        <v>43227</v>
      </c>
      <c r="B81" s="119" t="s">
        <v>242</v>
      </c>
      <c r="C81" s="119" t="s">
        <v>238</v>
      </c>
      <c r="D81" s="120" t="s">
        <v>192</v>
      </c>
      <c r="E81" s="121">
        <v>2850.06</v>
      </c>
      <c r="F81" s="121">
        <v>2800.26</v>
      </c>
      <c r="G81" s="121">
        <v>2773.91</v>
      </c>
      <c r="H81" s="121">
        <v>2772.21</v>
      </c>
      <c r="I81" s="121">
        <v>2792.02</v>
      </c>
      <c r="J81" s="121">
        <v>2835.39</v>
      </c>
      <c r="K81" s="121">
        <v>2899.53</v>
      </c>
      <c r="L81" s="121">
        <v>2843.58</v>
      </c>
      <c r="M81" s="121">
        <v>2800.31</v>
      </c>
      <c r="N81" s="121">
        <v>2776.86</v>
      </c>
      <c r="O81" s="121">
        <v>2782.72</v>
      </c>
      <c r="P81" s="121">
        <v>2808.93</v>
      </c>
      <c r="Q81" s="121">
        <v>2852.33</v>
      </c>
      <c r="R81" s="301">
        <f>IF((Q82=""),"",MAX(E83:Q83))</f>
        <v>369.57999999999993</v>
      </c>
      <c r="S81" s="301">
        <f>IF(Q82="","",MIN(E83:Q83))</f>
        <v>316.59000000000015</v>
      </c>
      <c r="T81" s="304">
        <f>IF((Q83=""),"",AVERAGE(E83:Q83))</f>
        <v>339.59615384615387</v>
      </c>
      <c r="U81" s="304">
        <f>IF((Q82=""),"",(R81-S81)/(R81+S81)*100)</f>
        <v>7.7225760380080413</v>
      </c>
      <c r="V81" s="304">
        <f>STDEV(E83:Q83)</f>
        <v>20.201015873160724</v>
      </c>
      <c r="W81" s="292" t="str">
        <f>IF(Q82="","",IF(T81&gt;300,IF(U81&lt;14,IF(T81&lt;390,"Pass","Fail"),"Fail"),"Fail"))</f>
        <v>Pass</v>
      </c>
      <c r="X81" s="295">
        <v>1335</v>
      </c>
      <c r="Y81" s="309"/>
      <c r="Z81" s="255"/>
      <c r="AA81" s="122">
        <v>270</v>
      </c>
      <c r="AB81" s="122">
        <v>370</v>
      </c>
      <c r="AC81" s="122">
        <v>300</v>
      </c>
      <c r="AD81" s="123">
        <v>390</v>
      </c>
      <c r="AE81" s="123">
        <v>14</v>
      </c>
      <c r="AF81" s="123">
        <v>20</v>
      </c>
    </row>
    <row r="82" spans="1:32" ht="15.55" x14ac:dyDescent="0.25">
      <c r="A82" s="299"/>
      <c r="B82" s="124"/>
      <c r="C82" s="124"/>
      <c r="D82" s="120" t="s">
        <v>193</v>
      </c>
      <c r="E82" s="121">
        <v>2483.9</v>
      </c>
      <c r="F82" s="121">
        <v>2461.59</v>
      </c>
      <c r="G82" s="121">
        <v>2450.52</v>
      </c>
      <c r="H82" s="121">
        <v>2455.62</v>
      </c>
      <c r="I82" s="121">
        <v>2471.89</v>
      </c>
      <c r="J82" s="121">
        <v>2498.12</v>
      </c>
      <c r="K82" s="121">
        <v>2538.13</v>
      </c>
      <c r="L82" s="121">
        <v>2474</v>
      </c>
      <c r="M82" s="121">
        <v>2465.5500000000002</v>
      </c>
      <c r="N82" s="121">
        <v>2459.2199999999998</v>
      </c>
      <c r="O82" s="121">
        <v>2460.0700000000002</v>
      </c>
      <c r="P82" s="121">
        <v>2471.0700000000002</v>
      </c>
      <c r="Q82" s="121">
        <v>2483.6799999999998</v>
      </c>
      <c r="R82" s="302"/>
      <c r="S82" s="302"/>
      <c r="T82" s="305"/>
      <c r="U82" s="305"/>
      <c r="V82" s="307"/>
      <c r="W82" s="293"/>
      <c r="X82" s="296"/>
      <c r="Y82" s="310"/>
      <c r="Z82" s="255"/>
      <c r="AA82" s="122"/>
      <c r="AB82" s="122"/>
      <c r="AC82" s="122"/>
      <c r="AD82" s="123"/>
      <c r="AE82" s="123"/>
      <c r="AF82" s="123"/>
    </row>
    <row r="83" spans="1:32" ht="62.05" x14ac:dyDescent="0.3">
      <c r="A83" s="300"/>
      <c r="B83" s="119"/>
      <c r="C83" s="119"/>
      <c r="D83" s="120" t="s">
        <v>194</v>
      </c>
      <c r="E83" s="125">
        <f t="shared" ref="E83:Q83" si="25">IF(((E81="")*AND(E82="")),"",(E81-E82))</f>
        <v>366.15999999999985</v>
      </c>
      <c r="F83" s="125">
        <f t="shared" si="25"/>
        <v>338.67000000000007</v>
      </c>
      <c r="G83" s="125">
        <f t="shared" si="25"/>
        <v>323.38999999999987</v>
      </c>
      <c r="H83" s="125">
        <f t="shared" si="25"/>
        <v>316.59000000000015</v>
      </c>
      <c r="I83" s="125">
        <f t="shared" si="25"/>
        <v>320.13000000000011</v>
      </c>
      <c r="J83" s="125">
        <f t="shared" si="25"/>
        <v>337.27</v>
      </c>
      <c r="K83" s="125">
        <f t="shared" si="25"/>
        <v>361.40000000000009</v>
      </c>
      <c r="L83" s="125">
        <f t="shared" si="25"/>
        <v>369.57999999999993</v>
      </c>
      <c r="M83" s="125">
        <f t="shared" si="25"/>
        <v>334.75999999999976</v>
      </c>
      <c r="N83" s="125">
        <f t="shared" si="25"/>
        <v>317.64000000000033</v>
      </c>
      <c r="O83" s="125">
        <f t="shared" si="25"/>
        <v>322.64999999999964</v>
      </c>
      <c r="P83" s="125">
        <f t="shared" si="25"/>
        <v>337.85999999999967</v>
      </c>
      <c r="Q83" s="125">
        <f t="shared" si="25"/>
        <v>368.65000000000009</v>
      </c>
      <c r="R83" s="303"/>
      <c r="S83" s="303"/>
      <c r="T83" s="306"/>
      <c r="U83" s="306"/>
      <c r="V83" s="308"/>
      <c r="W83" s="294"/>
      <c r="X83" s="297"/>
      <c r="Y83" s="311"/>
      <c r="Z83" s="255"/>
      <c r="AA83" s="122"/>
      <c r="AB83" s="122"/>
      <c r="AC83" s="122"/>
      <c r="AD83" s="122"/>
      <c r="AE83" s="122"/>
      <c r="AF83" s="126"/>
    </row>
    <row r="84" spans="1:32" ht="15.55" x14ac:dyDescent="0.25">
      <c r="A84" s="298">
        <v>43230</v>
      </c>
      <c r="B84" s="119" t="s">
        <v>242</v>
      </c>
      <c r="C84" s="119" t="s">
        <v>238</v>
      </c>
      <c r="D84" s="120" t="s">
        <v>192</v>
      </c>
      <c r="E84" s="121">
        <v>2483.02</v>
      </c>
      <c r="F84" s="121">
        <v>2463.71</v>
      </c>
      <c r="G84" s="121">
        <v>2457.6999999999998</v>
      </c>
      <c r="H84" s="121">
        <v>2448.84</v>
      </c>
      <c r="I84" s="121">
        <v>2473.58</v>
      </c>
      <c r="J84" s="121">
        <v>2499.86</v>
      </c>
      <c r="K84" s="121">
        <v>2541.17</v>
      </c>
      <c r="L84" s="121">
        <v>2479.2600000000002</v>
      </c>
      <c r="M84" s="121">
        <v>2468.5300000000002</v>
      </c>
      <c r="N84" s="121">
        <v>2458.15</v>
      </c>
      <c r="O84" s="121">
        <v>2486.94</v>
      </c>
      <c r="P84" s="121">
        <v>2471.34</v>
      </c>
      <c r="Q84" s="121">
        <v>2484.12</v>
      </c>
      <c r="R84" s="301">
        <f>IF((Q85=""),"",MAX(E86:Q86))</f>
        <v>407.74000000000024</v>
      </c>
      <c r="S84" s="301">
        <f>IF(Q85="","",MIN(E86:Q86))</f>
        <v>308.68000000000029</v>
      </c>
      <c r="T84" s="304">
        <f>IF((Q86=""),"",AVERAGE(E86:Q86))</f>
        <v>342.54153846153866</v>
      </c>
      <c r="U84" s="304">
        <f>IF((Q85=""),"",(R84-S84)/(R84+S84)*100)</f>
        <v>13.827084671003027</v>
      </c>
      <c r="V84" s="304">
        <f>STDEV(E86:Q86)</f>
        <v>25.742173194375624</v>
      </c>
      <c r="W84" s="292" t="str">
        <f>IF(Q85="","",IF(T84&gt;300,IF(U84&lt;14,IF(T84&lt;390,"Pass","Fail"),"Fail"),"Fail"))</f>
        <v>Pass</v>
      </c>
      <c r="X84" s="295">
        <v>1335</v>
      </c>
      <c r="Y84" s="309"/>
      <c r="Z84" s="255"/>
      <c r="AA84" s="122">
        <v>270</v>
      </c>
      <c r="AB84" s="122">
        <v>370</v>
      </c>
      <c r="AC84" s="122">
        <v>300</v>
      </c>
      <c r="AD84" s="123">
        <v>390</v>
      </c>
      <c r="AE84" s="123">
        <v>14</v>
      </c>
      <c r="AF84" s="123">
        <v>20</v>
      </c>
    </row>
    <row r="85" spans="1:32" ht="15.55" x14ac:dyDescent="0.25">
      <c r="A85" s="299"/>
      <c r="B85" s="124"/>
      <c r="C85" s="124"/>
      <c r="D85" s="120" t="s">
        <v>193</v>
      </c>
      <c r="E85" s="121">
        <v>2140.16</v>
      </c>
      <c r="F85" s="121">
        <v>2140.16</v>
      </c>
      <c r="G85" s="121">
        <v>2140.16</v>
      </c>
      <c r="H85" s="121">
        <v>2140.16</v>
      </c>
      <c r="I85" s="121">
        <v>2148.35</v>
      </c>
      <c r="J85" s="121">
        <v>2148.35</v>
      </c>
      <c r="K85" s="121">
        <v>2133.4299999999998</v>
      </c>
      <c r="L85" s="121">
        <v>2133.4299999999998</v>
      </c>
      <c r="M85" s="121">
        <v>2133.4299999999998</v>
      </c>
      <c r="N85" s="121">
        <v>2133.4299999999998</v>
      </c>
      <c r="O85" s="121">
        <v>2135.2600000000002</v>
      </c>
      <c r="P85" s="121">
        <v>2120.9699999999998</v>
      </c>
      <c r="Q85" s="121">
        <v>2115.89</v>
      </c>
      <c r="R85" s="302"/>
      <c r="S85" s="302"/>
      <c r="T85" s="305"/>
      <c r="U85" s="305"/>
      <c r="V85" s="307"/>
      <c r="W85" s="293"/>
      <c r="X85" s="296"/>
      <c r="Y85" s="310"/>
      <c r="Z85" s="255"/>
      <c r="AA85" s="122"/>
      <c r="AB85" s="122"/>
      <c r="AC85" s="122"/>
      <c r="AD85" s="123"/>
      <c r="AE85" s="123"/>
      <c r="AF85" s="123"/>
    </row>
    <row r="86" spans="1:32" ht="62.05" x14ac:dyDescent="0.3">
      <c r="A86" s="300"/>
      <c r="B86" s="119"/>
      <c r="C86" s="119"/>
      <c r="D86" s="120" t="s">
        <v>194</v>
      </c>
      <c r="E86" s="125">
        <f t="shared" ref="E86:Q86" si="26">IF(((E84="")*AND(E85="")),"",(E84-E85))</f>
        <v>342.86000000000013</v>
      </c>
      <c r="F86" s="125">
        <f t="shared" si="26"/>
        <v>323.55000000000018</v>
      </c>
      <c r="G86" s="125">
        <f t="shared" si="26"/>
        <v>317.53999999999996</v>
      </c>
      <c r="H86" s="125">
        <f t="shared" si="26"/>
        <v>308.68000000000029</v>
      </c>
      <c r="I86" s="125">
        <f t="shared" si="26"/>
        <v>325.23</v>
      </c>
      <c r="J86" s="125">
        <f t="shared" si="26"/>
        <v>351.51000000000022</v>
      </c>
      <c r="K86" s="125">
        <f t="shared" si="26"/>
        <v>407.74000000000024</v>
      </c>
      <c r="L86" s="125">
        <f t="shared" si="26"/>
        <v>345.83000000000038</v>
      </c>
      <c r="M86" s="125">
        <f t="shared" si="26"/>
        <v>335.10000000000036</v>
      </c>
      <c r="N86" s="125">
        <f t="shared" si="26"/>
        <v>324.72000000000025</v>
      </c>
      <c r="O86" s="125">
        <f t="shared" si="26"/>
        <v>351.67999999999984</v>
      </c>
      <c r="P86" s="125">
        <f t="shared" si="26"/>
        <v>350.37000000000035</v>
      </c>
      <c r="Q86" s="125">
        <f t="shared" si="26"/>
        <v>368.23</v>
      </c>
      <c r="R86" s="303"/>
      <c r="S86" s="303"/>
      <c r="T86" s="306"/>
      <c r="U86" s="306"/>
      <c r="V86" s="308"/>
      <c r="W86" s="294"/>
      <c r="X86" s="297"/>
      <c r="Y86" s="311"/>
      <c r="Z86" s="255"/>
      <c r="AA86" s="122"/>
      <c r="AB86" s="122"/>
      <c r="AC86" s="122"/>
      <c r="AD86" s="122"/>
      <c r="AE86" s="122"/>
      <c r="AF86" s="126"/>
    </row>
    <row r="87" spans="1:32" ht="15.55" x14ac:dyDescent="0.25">
      <c r="A87" s="298">
        <v>43234</v>
      </c>
      <c r="B87" s="119" t="s">
        <v>242</v>
      </c>
      <c r="C87" s="119" t="s">
        <v>238</v>
      </c>
      <c r="D87" s="120" t="s">
        <v>192</v>
      </c>
      <c r="E87" s="121">
        <v>2853.94</v>
      </c>
      <c r="F87" s="121">
        <v>2798.94</v>
      </c>
      <c r="G87" s="121">
        <v>2775.68</v>
      </c>
      <c r="H87" s="121">
        <v>2774.27</v>
      </c>
      <c r="I87" s="121">
        <v>2795.12</v>
      </c>
      <c r="J87" s="121">
        <v>2836.23</v>
      </c>
      <c r="K87" s="121">
        <v>2903.04</v>
      </c>
      <c r="L87" s="121">
        <v>2849.06</v>
      </c>
      <c r="M87" s="121">
        <v>2806.33</v>
      </c>
      <c r="N87" s="121">
        <v>2782.99</v>
      </c>
      <c r="O87" s="121">
        <v>2785.02</v>
      </c>
      <c r="P87" s="121">
        <v>2807.56</v>
      </c>
      <c r="Q87" s="121">
        <v>2862.77</v>
      </c>
      <c r="R87" s="301">
        <f>IF((Q88=""),"",MAX(E89:Q89))</f>
        <v>370.82000000000016</v>
      </c>
      <c r="S87" s="301">
        <f>IF(Q88="","",MIN(E89:Q89))</f>
        <v>317.82999999999993</v>
      </c>
      <c r="T87" s="304">
        <f>IF((Q89=""),"",AVERAGE(E89:Q89))</f>
        <v>341</v>
      </c>
      <c r="U87" s="304">
        <f>IF((Q88=""),"",(R87-S87)/(R87+S87)*100)</f>
        <v>7.6947651201626703</v>
      </c>
      <c r="V87" s="304">
        <f>STDEV(E89:Q89)</f>
        <v>19.144031707036095</v>
      </c>
      <c r="W87" s="292" t="str">
        <f>IF(Q88="","",IF(T87&gt;300,IF(U87&lt;14,IF(T87&lt;390,"Pass","Fail"),"Fail"),"Fail"))</f>
        <v>Pass</v>
      </c>
      <c r="X87" s="295">
        <v>1335</v>
      </c>
      <c r="Y87" s="309"/>
      <c r="Z87" s="255"/>
      <c r="AA87" s="122">
        <v>270</v>
      </c>
      <c r="AB87" s="122">
        <v>370</v>
      </c>
      <c r="AC87" s="122">
        <v>300</v>
      </c>
      <c r="AD87" s="123">
        <v>390</v>
      </c>
      <c r="AE87" s="123">
        <v>14</v>
      </c>
      <c r="AF87" s="123">
        <v>20</v>
      </c>
    </row>
    <row r="88" spans="1:32" ht="15.55" x14ac:dyDescent="0.25">
      <c r="A88" s="299"/>
      <c r="B88" s="124"/>
      <c r="C88" s="124"/>
      <c r="D88" s="120" t="s">
        <v>193</v>
      </c>
      <c r="E88" s="121">
        <v>2487.38</v>
      </c>
      <c r="F88" s="121">
        <v>2462.0100000000002</v>
      </c>
      <c r="G88" s="121">
        <v>2452.48</v>
      </c>
      <c r="H88" s="121">
        <v>2456.44</v>
      </c>
      <c r="I88" s="121">
        <v>2470.08</v>
      </c>
      <c r="J88" s="121">
        <v>2497.83</v>
      </c>
      <c r="K88" s="121">
        <v>2541.64</v>
      </c>
      <c r="L88" s="121">
        <v>2480.4899999999998</v>
      </c>
      <c r="M88" s="121">
        <v>2470.7600000000002</v>
      </c>
      <c r="N88" s="121">
        <v>2459.7399999999998</v>
      </c>
      <c r="O88" s="121">
        <v>2458.0300000000002</v>
      </c>
      <c r="P88" s="121">
        <v>2469.12</v>
      </c>
      <c r="Q88" s="121">
        <v>2491.9499999999998</v>
      </c>
      <c r="R88" s="302"/>
      <c r="S88" s="302"/>
      <c r="T88" s="305"/>
      <c r="U88" s="305"/>
      <c r="V88" s="307"/>
      <c r="W88" s="293"/>
      <c r="X88" s="296"/>
      <c r="Y88" s="310"/>
      <c r="Z88" s="255"/>
      <c r="AA88" s="122"/>
      <c r="AB88" s="122"/>
      <c r="AC88" s="122"/>
      <c r="AD88" s="123"/>
      <c r="AE88" s="123"/>
      <c r="AF88" s="123"/>
    </row>
    <row r="89" spans="1:32" ht="62.05" x14ac:dyDescent="0.3">
      <c r="A89" s="300"/>
      <c r="B89" s="119"/>
      <c r="C89" s="119"/>
      <c r="D89" s="120" t="s">
        <v>194</v>
      </c>
      <c r="E89" s="125">
        <f t="shared" ref="E89:Q89" si="27">IF(((E87="")*AND(E88="")),"",(E87-E88))</f>
        <v>366.55999999999995</v>
      </c>
      <c r="F89" s="125">
        <f t="shared" si="27"/>
        <v>336.92999999999984</v>
      </c>
      <c r="G89" s="125">
        <f t="shared" si="27"/>
        <v>323.19999999999982</v>
      </c>
      <c r="H89" s="125">
        <f t="shared" si="27"/>
        <v>317.82999999999993</v>
      </c>
      <c r="I89" s="125">
        <f t="shared" si="27"/>
        <v>325.03999999999996</v>
      </c>
      <c r="J89" s="125">
        <f t="shared" si="27"/>
        <v>338.40000000000009</v>
      </c>
      <c r="K89" s="125">
        <f t="shared" si="27"/>
        <v>361.40000000000009</v>
      </c>
      <c r="L89" s="125">
        <f t="shared" si="27"/>
        <v>368.57000000000016</v>
      </c>
      <c r="M89" s="125">
        <f t="shared" si="27"/>
        <v>335.56999999999971</v>
      </c>
      <c r="N89" s="125">
        <f t="shared" si="27"/>
        <v>323.25</v>
      </c>
      <c r="O89" s="125">
        <f t="shared" si="27"/>
        <v>326.98999999999978</v>
      </c>
      <c r="P89" s="125">
        <f t="shared" si="27"/>
        <v>338.44000000000005</v>
      </c>
      <c r="Q89" s="125">
        <f t="shared" si="27"/>
        <v>370.82000000000016</v>
      </c>
      <c r="R89" s="303"/>
      <c r="S89" s="303"/>
      <c r="T89" s="306"/>
      <c r="U89" s="306"/>
      <c r="V89" s="308"/>
      <c r="W89" s="294"/>
      <c r="X89" s="297"/>
      <c r="Y89" s="311"/>
      <c r="Z89" s="255"/>
      <c r="AA89" s="122"/>
      <c r="AB89" s="122"/>
      <c r="AC89" s="122"/>
      <c r="AD89" s="122"/>
      <c r="AE89" s="122"/>
      <c r="AF89" s="126"/>
    </row>
    <row r="90" spans="1:32" ht="15.55" x14ac:dyDescent="0.25">
      <c r="A90" s="298">
        <v>43237</v>
      </c>
      <c r="B90" s="119" t="s">
        <v>242</v>
      </c>
      <c r="C90" s="119" t="s">
        <v>238</v>
      </c>
      <c r="D90" s="120" t="s">
        <v>192</v>
      </c>
      <c r="E90" s="121">
        <v>2483</v>
      </c>
      <c r="F90" s="121">
        <v>2464</v>
      </c>
      <c r="G90" s="121">
        <v>2451</v>
      </c>
      <c r="H90" s="121">
        <v>2451</v>
      </c>
      <c r="I90" s="121">
        <v>2463</v>
      </c>
      <c r="J90" s="121">
        <v>2521</v>
      </c>
      <c r="K90" s="121">
        <v>2541</v>
      </c>
      <c r="L90" s="121">
        <v>2481</v>
      </c>
      <c r="M90" s="121">
        <v>2467</v>
      </c>
      <c r="N90" s="121">
        <v>2459</v>
      </c>
      <c r="O90" s="121">
        <v>2457</v>
      </c>
      <c r="P90" s="121">
        <v>2464</v>
      </c>
      <c r="Q90" s="121">
        <v>2490</v>
      </c>
      <c r="R90" s="301">
        <f>IF((Q91=""),"",MAX(E92:Q92))</f>
        <v>387</v>
      </c>
      <c r="S90" s="301">
        <f>IF(Q91="","",MIN(E92:Q92))</f>
        <v>337</v>
      </c>
      <c r="T90" s="304">
        <f>IF((Q92=""),"",AVERAGE(E92:Q92))</f>
        <v>361.15384615384613</v>
      </c>
      <c r="U90" s="304">
        <f>IF((Q91=""),"",(R90-S90)/(R90+S90)*100)</f>
        <v>6.9060773480662991</v>
      </c>
      <c r="V90" s="304">
        <f>STDEV(E92:Q92)</f>
        <v>20.210748600048415</v>
      </c>
      <c r="W90" s="292" t="str">
        <f>IF(Q91="","",IF(T90&gt;300,IF(U90&lt;14,IF(T90&lt;390,"Pass","Fail"),"Fail"),"Fail"))</f>
        <v>Pass</v>
      </c>
      <c r="X90" s="295">
        <v>121</v>
      </c>
      <c r="Y90" s="309"/>
      <c r="Z90" s="255"/>
      <c r="AA90" s="122">
        <v>270</v>
      </c>
      <c r="AB90" s="122">
        <v>370</v>
      </c>
      <c r="AC90" s="122">
        <v>300</v>
      </c>
      <c r="AD90" s="123">
        <v>390</v>
      </c>
      <c r="AE90" s="123">
        <v>14</v>
      </c>
      <c r="AF90" s="123">
        <v>20</v>
      </c>
    </row>
    <row r="91" spans="1:32" ht="15.55" x14ac:dyDescent="0.25">
      <c r="A91" s="299"/>
      <c r="B91" s="124"/>
      <c r="C91" s="124"/>
      <c r="D91" s="120" t="s">
        <v>193</v>
      </c>
      <c r="E91" s="121">
        <v>2101</v>
      </c>
      <c r="F91" s="121">
        <v>2104</v>
      </c>
      <c r="G91" s="121">
        <v>2109</v>
      </c>
      <c r="H91" s="121">
        <v>2114</v>
      </c>
      <c r="I91" s="121">
        <v>2126</v>
      </c>
      <c r="J91" s="121">
        <v>2139</v>
      </c>
      <c r="K91" s="121">
        <v>2156</v>
      </c>
      <c r="L91" s="121">
        <v>2096</v>
      </c>
      <c r="M91" s="121">
        <v>2113</v>
      </c>
      <c r="N91" s="121">
        <v>2116</v>
      </c>
      <c r="O91" s="121">
        <v>2113</v>
      </c>
      <c r="P91" s="121">
        <v>2107</v>
      </c>
      <c r="Q91" s="121">
        <v>2103</v>
      </c>
      <c r="R91" s="302"/>
      <c r="S91" s="302"/>
      <c r="T91" s="305"/>
      <c r="U91" s="305"/>
      <c r="V91" s="307"/>
      <c r="W91" s="293"/>
      <c r="X91" s="296"/>
      <c r="Y91" s="310"/>
      <c r="Z91" s="255"/>
      <c r="AA91" s="122"/>
      <c r="AB91" s="122"/>
      <c r="AC91" s="122"/>
      <c r="AD91" s="123"/>
      <c r="AE91" s="123"/>
      <c r="AF91" s="123"/>
    </row>
    <row r="92" spans="1:32" ht="62.05" x14ac:dyDescent="0.3">
      <c r="A92" s="300"/>
      <c r="B92" s="119"/>
      <c r="C92" s="119"/>
      <c r="D92" s="120" t="s">
        <v>194</v>
      </c>
      <c r="E92" s="125">
        <f t="shared" ref="E92:Q92" si="28">IF(((E90="")*AND(E91="")),"",(E90-E91))</f>
        <v>382</v>
      </c>
      <c r="F92" s="125">
        <f t="shared" si="28"/>
        <v>360</v>
      </c>
      <c r="G92" s="125">
        <f t="shared" si="28"/>
        <v>342</v>
      </c>
      <c r="H92" s="125">
        <f t="shared" si="28"/>
        <v>337</v>
      </c>
      <c r="I92" s="125">
        <f t="shared" si="28"/>
        <v>337</v>
      </c>
      <c r="J92" s="125">
        <f t="shared" si="28"/>
        <v>382</v>
      </c>
      <c r="K92" s="125">
        <f t="shared" si="28"/>
        <v>385</v>
      </c>
      <c r="L92" s="125">
        <f t="shared" si="28"/>
        <v>385</v>
      </c>
      <c r="M92" s="125">
        <f t="shared" si="28"/>
        <v>354</v>
      </c>
      <c r="N92" s="125">
        <f t="shared" si="28"/>
        <v>343</v>
      </c>
      <c r="O92" s="125">
        <f t="shared" si="28"/>
        <v>344</v>
      </c>
      <c r="P92" s="125">
        <f t="shared" si="28"/>
        <v>357</v>
      </c>
      <c r="Q92" s="125">
        <f t="shared" si="28"/>
        <v>387</v>
      </c>
      <c r="R92" s="303"/>
      <c r="S92" s="303"/>
      <c r="T92" s="306"/>
      <c r="U92" s="306"/>
      <c r="V92" s="308"/>
      <c r="W92" s="294"/>
      <c r="X92" s="297"/>
      <c r="Y92" s="311"/>
      <c r="Z92" s="255"/>
      <c r="AA92" s="122"/>
      <c r="AB92" s="122"/>
      <c r="AC92" s="122"/>
      <c r="AD92" s="122"/>
      <c r="AE92" s="122"/>
      <c r="AF92" s="126"/>
    </row>
    <row r="93" spans="1:32" ht="15.55" x14ac:dyDescent="0.25">
      <c r="A93" s="298">
        <v>43237</v>
      </c>
      <c r="B93" s="119" t="s">
        <v>242</v>
      </c>
      <c r="C93" s="119" t="s">
        <v>238</v>
      </c>
      <c r="D93" s="120" t="s">
        <v>192</v>
      </c>
      <c r="E93" s="121">
        <v>2816.27</v>
      </c>
      <c r="F93" s="121">
        <v>2767.7</v>
      </c>
      <c r="G93" s="121">
        <v>2738.39</v>
      </c>
      <c r="H93" s="121">
        <v>2728.39</v>
      </c>
      <c r="I93" s="121">
        <v>2737.31</v>
      </c>
      <c r="J93" s="121">
        <v>2771.33</v>
      </c>
      <c r="K93" s="121">
        <v>2816.42</v>
      </c>
      <c r="L93" s="121">
        <v>2821.98</v>
      </c>
      <c r="M93" s="121">
        <v>2758.84</v>
      </c>
      <c r="N93" s="121">
        <v>2731.89</v>
      </c>
      <c r="O93" s="121">
        <v>2752.82</v>
      </c>
      <c r="P93" s="121">
        <v>2796.06</v>
      </c>
      <c r="Q93" s="121">
        <v>2877.22</v>
      </c>
      <c r="R93" s="301">
        <f>IF((Q94=""),"",MAX(E95:Q95))</f>
        <v>369.59999999999991</v>
      </c>
      <c r="S93" s="301">
        <f>IF(Q94="","",MIN(E95:Q95))</f>
        <v>322.44999999999982</v>
      </c>
      <c r="T93" s="304">
        <f>IF((Q95=""),"",AVERAGE(E95:Q95))</f>
        <v>344.60615384615386</v>
      </c>
      <c r="U93" s="304">
        <f>IF((Q94=""),"",(R93-S93)/(R93+S93)*100)</f>
        <v>6.8130915396286555</v>
      </c>
      <c r="V93" s="304">
        <f>STDEV(E95:Q95)</f>
        <v>17.350102563799453</v>
      </c>
      <c r="W93" s="292" t="str">
        <f>IF(Q94="","",IF(T93&gt;300,IF(U93&lt;14,IF(T93&lt;390,"Pass","Fail"),"Fail"),"Fail"))</f>
        <v>Pass</v>
      </c>
      <c r="X93" s="295">
        <v>102</v>
      </c>
      <c r="Y93" s="309"/>
      <c r="Z93" s="255"/>
      <c r="AA93" s="122">
        <v>270</v>
      </c>
      <c r="AB93" s="122">
        <v>370</v>
      </c>
      <c r="AC93" s="122">
        <v>300</v>
      </c>
      <c r="AD93" s="123">
        <v>390</v>
      </c>
      <c r="AE93" s="123">
        <v>14</v>
      </c>
      <c r="AF93" s="123">
        <v>20</v>
      </c>
    </row>
    <row r="94" spans="1:32" ht="15.55" x14ac:dyDescent="0.25">
      <c r="A94" s="299"/>
      <c r="B94" s="124"/>
      <c r="C94" s="124"/>
      <c r="D94" s="120" t="s">
        <v>193</v>
      </c>
      <c r="E94" s="121">
        <v>2449.66</v>
      </c>
      <c r="F94" s="121">
        <v>2422.61</v>
      </c>
      <c r="G94" s="121">
        <v>2410.69</v>
      </c>
      <c r="H94" s="121">
        <v>2405.94</v>
      </c>
      <c r="I94" s="121">
        <v>2410.04</v>
      </c>
      <c r="J94" s="121">
        <v>2425.67</v>
      </c>
      <c r="K94" s="121">
        <v>2449.85</v>
      </c>
      <c r="L94" s="121">
        <v>2452.38</v>
      </c>
      <c r="M94" s="121">
        <v>2415.6</v>
      </c>
      <c r="N94" s="121">
        <v>2403.16</v>
      </c>
      <c r="O94" s="121">
        <v>2423.44</v>
      </c>
      <c r="P94" s="121">
        <v>2454.27</v>
      </c>
      <c r="Q94" s="121">
        <v>2511.4299999999998</v>
      </c>
      <c r="R94" s="302"/>
      <c r="S94" s="302"/>
      <c r="T94" s="305"/>
      <c r="U94" s="305"/>
      <c r="V94" s="307"/>
      <c r="W94" s="293"/>
      <c r="X94" s="296"/>
      <c r="Y94" s="310"/>
      <c r="Z94" s="255"/>
      <c r="AA94" s="122"/>
      <c r="AB94" s="122"/>
      <c r="AC94" s="122"/>
      <c r="AD94" s="123"/>
      <c r="AE94" s="123"/>
      <c r="AF94" s="123"/>
    </row>
    <row r="95" spans="1:32" ht="62.6" thickBot="1" x14ac:dyDescent="0.35">
      <c r="A95" s="300"/>
      <c r="B95" s="119"/>
      <c r="C95" s="119"/>
      <c r="D95" s="120" t="s">
        <v>194</v>
      </c>
      <c r="E95" s="125">
        <f t="shared" ref="E95:Q95" si="29">IF(((E93="")*AND(E94="")),"",(E93-E94))</f>
        <v>366.61000000000013</v>
      </c>
      <c r="F95" s="125">
        <f t="shared" si="29"/>
        <v>345.08999999999969</v>
      </c>
      <c r="G95" s="125">
        <f t="shared" si="29"/>
        <v>327.69999999999982</v>
      </c>
      <c r="H95" s="125">
        <f t="shared" si="29"/>
        <v>322.44999999999982</v>
      </c>
      <c r="I95" s="125">
        <f t="shared" si="29"/>
        <v>327.27</v>
      </c>
      <c r="J95" s="125">
        <f t="shared" si="29"/>
        <v>345.65999999999985</v>
      </c>
      <c r="K95" s="125">
        <f t="shared" si="29"/>
        <v>366.57000000000016</v>
      </c>
      <c r="L95" s="125">
        <f t="shared" si="29"/>
        <v>369.59999999999991</v>
      </c>
      <c r="M95" s="125">
        <f t="shared" si="29"/>
        <v>343.24000000000024</v>
      </c>
      <c r="N95" s="125">
        <f t="shared" si="29"/>
        <v>328.73</v>
      </c>
      <c r="O95" s="125">
        <f t="shared" si="29"/>
        <v>329.38000000000011</v>
      </c>
      <c r="P95" s="125">
        <f t="shared" si="29"/>
        <v>341.78999999999996</v>
      </c>
      <c r="Q95" s="125">
        <f t="shared" si="29"/>
        <v>365.78999999999996</v>
      </c>
      <c r="R95" s="303"/>
      <c r="S95" s="303"/>
      <c r="T95" s="306"/>
      <c r="U95" s="306"/>
      <c r="V95" s="308"/>
      <c r="W95" s="294"/>
      <c r="X95" s="297"/>
      <c r="Y95" s="311"/>
      <c r="Z95" s="255"/>
      <c r="AA95" s="122"/>
      <c r="AB95" s="122"/>
      <c r="AC95" s="122"/>
      <c r="AD95" s="122"/>
      <c r="AE95" s="122"/>
      <c r="AF95" s="126"/>
    </row>
    <row r="96" spans="1:32" ht="15.55" x14ac:dyDescent="0.25">
      <c r="A96" s="325">
        <v>43244</v>
      </c>
      <c r="B96" s="119" t="s">
        <v>242</v>
      </c>
      <c r="C96" s="119" t="s">
        <v>238</v>
      </c>
      <c r="D96" s="120" t="s">
        <v>192</v>
      </c>
      <c r="E96" s="121">
        <v>2454.2399999999998</v>
      </c>
      <c r="F96" s="121">
        <v>2425.66</v>
      </c>
      <c r="G96" s="121">
        <v>2412.91</v>
      </c>
      <c r="H96" s="121">
        <v>2410.14</v>
      </c>
      <c r="I96" s="121">
        <v>2415.44</v>
      </c>
      <c r="J96" s="121">
        <v>2429.06</v>
      </c>
      <c r="K96" s="121">
        <v>2456.94</v>
      </c>
      <c r="L96" s="121">
        <v>2456.66</v>
      </c>
      <c r="M96" s="121">
        <v>2421.34</v>
      </c>
      <c r="N96" s="121">
        <v>2407.02</v>
      </c>
      <c r="O96" s="121">
        <v>2429.2199999999998</v>
      </c>
      <c r="P96" s="121">
        <v>2456.61</v>
      </c>
      <c r="Q96" s="121">
        <v>2431.27</v>
      </c>
      <c r="R96" s="301">
        <f>IF((Q97=""),"",MAX(E98:Q98))</f>
        <v>400.32999999999993</v>
      </c>
      <c r="S96" s="301">
        <f>IF(Q97="","",MIN(E98:Q98))</f>
        <v>308.21000000000004</v>
      </c>
      <c r="T96" s="304">
        <f>IF((Q98=""),"",AVERAGE(E98:Q98))</f>
        <v>349.48461538461532</v>
      </c>
      <c r="U96" s="304">
        <f>IF((Q97=""),"",(R96-S96)/(R96+S96)*100)</f>
        <v>13.001383125864438</v>
      </c>
      <c r="V96" s="304">
        <f>STDEV(E98:Q98)</f>
        <v>31.272820365130791</v>
      </c>
      <c r="W96" s="292" t="str">
        <f>IF(Q97="","",IF(T96&gt;300,IF(U96&lt;14,IF(T96&lt;390,"Pass","Fail"),"Fail"),"Fail"))</f>
        <v>Pass</v>
      </c>
      <c r="X96" s="295">
        <v>1159</v>
      </c>
      <c r="Y96" s="261" t="s">
        <v>201</v>
      </c>
      <c r="Z96" s="255"/>
      <c r="AA96" s="122">
        <v>270</v>
      </c>
      <c r="AB96" s="122">
        <v>370</v>
      </c>
      <c r="AC96" s="122">
        <v>300</v>
      </c>
      <c r="AD96" s="123">
        <v>390</v>
      </c>
      <c r="AE96" s="123">
        <v>14</v>
      </c>
      <c r="AF96" s="123">
        <v>20</v>
      </c>
    </row>
    <row r="97" spans="1:32" ht="15.55" x14ac:dyDescent="0.25">
      <c r="A97" s="317"/>
      <c r="B97" s="124"/>
      <c r="C97" s="124"/>
      <c r="D97" s="120" t="s">
        <v>193</v>
      </c>
      <c r="E97" s="121">
        <v>2056.42</v>
      </c>
      <c r="F97" s="121">
        <v>2056.73</v>
      </c>
      <c r="G97" s="121">
        <v>2066.9</v>
      </c>
      <c r="H97" s="121">
        <v>2096.84</v>
      </c>
      <c r="I97" s="121">
        <v>2084.62</v>
      </c>
      <c r="J97" s="121">
        <v>2106.84</v>
      </c>
      <c r="K97" s="121">
        <v>2117.42</v>
      </c>
      <c r="L97" s="121">
        <v>2099.5300000000002</v>
      </c>
      <c r="M97" s="121">
        <v>2105.2399999999998</v>
      </c>
      <c r="N97" s="121">
        <v>2098.81</v>
      </c>
      <c r="O97" s="121">
        <v>2064.16</v>
      </c>
      <c r="P97" s="121">
        <v>2056.2800000000002</v>
      </c>
      <c r="Q97" s="121">
        <v>2053.42</v>
      </c>
      <c r="R97" s="302"/>
      <c r="S97" s="302"/>
      <c r="T97" s="305"/>
      <c r="U97" s="305"/>
      <c r="V97" s="307"/>
      <c r="W97" s="293"/>
      <c r="X97" s="296"/>
      <c r="Y97" s="258"/>
      <c r="Z97" s="255"/>
      <c r="AA97" s="122"/>
      <c r="AB97" s="122"/>
      <c r="AC97" s="122"/>
      <c r="AD97" s="123"/>
      <c r="AE97" s="123"/>
      <c r="AF97" s="123"/>
    </row>
    <row r="98" spans="1:32" ht="62.05" x14ac:dyDescent="0.3">
      <c r="A98" s="317"/>
      <c r="B98" s="119"/>
      <c r="C98" s="119"/>
      <c r="D98" s="120" t="s">
        <v>194</v>
      </c>
      <c r="E98" s="125">
        <f t="shared" ref="E98:Q98" si="30">IF(((E96="")*AND(E97="")),"",(E96-E97))</f>
        <v>397.81999999999971</v>
      </c>
      <c r="F98" s="125">
        <f t="shared" si="30"/>
        <v>368.92999999999984</v>
      </c>
      <c r="G98" s="125">
        <f t="shared" si="30"/>
        <v>346.00999999999976</v>
      </c>
      <c r="H98" s="125">
        <f t="shared" si="30"/>
        <v>313.29999999999973</v>
      </c>
      <c r="I98" s="125">
        <f t="shared" si="30"/>
        <v>330.82000000000016</v>
      </c>
      <c r="J98" s="125">
        <f t="shared" si="30"/>
        <v>322.2199999999998</v>
      </c>
      <c r="K98" s="125">
        <f t="shared" si="30"/>
        <v>339.52</v>
      </c>
      <c r="L98" s="125">
        <f t="shared" si="30"/>
        <v>357.12999999999965</v>
      </c>
      <c r="M98" s="125">
        <f t="shared" si="30"/>
        <v>316.10000000000036</v>
      </c>
      <c r="N98" s="125">
        <f t="shared" si="30"/>
        <v>308.21000000000004</v>
      </c>
      <c r="O98" s="125">
        <f t="shared" si="30"/>
        <v>365.05999999999995</v>
      </c>
      <c r="P98" s="125">
        <f t="shared" si="30"/>
        <v>400.32999999999993</v>
      </c>
      <c r="Q98" s="125">
        <f t="shared" si="30"/>
        <v>377.84999999999991</v>
      </c>
      <c r="R98" s="303"/>
      <c r="S98" s="303"/>
      <c r="T98" s="306"/>
      <c r="U98" s="306"/>
      <c r="V98" s="308"/>
      <c r="W98" s="294"/>
      <c r="X98" s="297"/>
      <c r="Y98" s="259"/>
      <c r="Z98" s="255"/>
      <c r="AA98" s="122"/>
      <c r="AB98" s="122"/>
      <c r="AC98" s="122"/>
      <c r="AD98" s="122"/>
      <c r="AE98" s="122"/>
      <c r="AF98" s="126"/>
    </row>
    <row r="99" spans="1:32" ht="15.55" x14ac:dyDescent="0.25">
      <c r="A99" s="298">
        <v>43248</v>
      </c>
      <c r="B99" s="119" t="s">
        <v>242</v>
      </c>
      <c r="C99" s="119" t="s">
        <v>238</v>
      </c>
      <c r="D99" s="120" t="s">
        <v>192</v>
      </c>
      <c r="E99" s="121">
        <v>1998.15</v>
      </c>
      <c r="F99" s="121">
        <v>2003.11</v>
      </c>
      <c r="G99" s="121">
        <v>2010.73</v>
      </c>
      <c r="H99" s="121">
        <v>2016.15</v>
      </c>
      <c r="I99" s="121">
        <v>2023.2</v>
      </c>
      <c r="J99" s="121">
        <v>2028.97</v>
      </c>
      <c r="K99" s="121">
        <v>2038.15</v>
      </c>
      <c r="L99" s="121">
        <v>2032.2</v>
      </c>
      <c r="M99" s="121">
        <v>2025.52</v>
      </c>
      <c r="N99" s="121">
        <v>2020.36</v>
      </c>
      <c r="O99" s="121">
        <v>2047.79</v>
      </c>
      <c r="P99" s="121">
        <v>2041.3</v>
      </c>
      <c r="Q99" s="121">
        <v>2074.39</v>
      </c>
      <c r="R99" s="301">
        <f>IF((Q100=""),"",MAX(E101:Q101))</f>
        <v>357.78</v>
      </c>
      <c r="S99" s="301">
        <f>IF(Q100="","",MIN(E101:Q101))</f>
        <v>281.08999999999992</v>
      </c>
      <c r="T99" s="304">
        <f>IF((Q101=""),"",AVERAGE(E101:Q101))</f>
        <v>314.34999999999997</v>
      </c>
      <c r="U99" s="304">
        <f>IF((Q100=""),"",(R99-S99)/(R99+S99)*100)</f>
        <v>12.004007074991794</v>
      </c>
      <c r="V99" s="304">
        <f>STDEV(E101:Q101)</f>
        <v>23.721760404039721</v>
      </c>
      <c r="W99" s="292" t="str">
        <f>IF(Q100="","",IF(T99&gt;300,IF(U99&lt;14,IF(T99&lt;390,"Pass","Fail"),"Fail"),"Fail"))</f>
        <v>Pass</v>
      </c>
      <c r="X99" s="295">
        <v>1428</v>
      </c>
      <c r="Y99" s="261" t="s">
        <v>245</v>
      </c>
      <c r="Z99" s="255"/>
      <c r="AA99" s="122">
        <v>270</v>
      </c>
      <c r="AB99" s="122">
        <v>370</v>
      </c>
      <c r="AC99" s="122">
        <v>300</v>
      </c>
      <c r="AD99" s="123">
        <v>390</v>
      </c>
      <c r="AE99" s="123">
        <v>14</v>
      </c>
      <c r="AF99" s="123">
        <v>20</v>
      </c>
    </row>
    <row r="100" spans="1:32" ht="15.55" x14ac:dyDescent="0.25">
      <c r="A100" s="299"/>
      <c r="B100" s="124"/>
      <c r="C100" s="124"/>
      <c r="D100" s="120" t="s">
        <v>193</v>
      </c>
      <c r="E100" s="121">
        <v>1675.96</v>
      </c>
      <c r="F100" s="121">
        <v>1706.33</v>
      </c>
      <c r="G100" s="121">
        <v>1729.64</v>
      </c>
      <c r="H100" s="121">
        <v>1730.09</v>
      </c>
      <c r="I100" s="121">
        <v>1726.99</v>
      </c>
      <c r="J100" s="121">
        <v>1711.87</v>
      </c>
      <c r="K100" s="121">
        <v>1683.97</v>
      </c>
      <c r="L100" s="121">
        <v>1674.42</v>
      </c>
      <c r="M100" s="121">
        <v>1707.89</v>
      </c>
      <c r="N100" s="121">
        <v>1721.2</v>
      </c>
      <c r="O100" s="121">
        <v>1740.64</v>
      </c>
      <c r="P100" s="121">
        <v>1723.43</v>
      </c>
      <c r="Q100" s="121">
        <v>1741.04</v>
      </c>
      <c r="R100" s="302"/>
      <c r="S100" s="302"/>
      <c r="T100" s="305"/>
      <c r="U100" s="305"/>
      <c r="V100" s="307"/>
      <c r="W100" s="293"/>
      <c r="X100" s="296"/>
      <c r="Y100" s="258"/>
      <c r="Z100" s="255"/>
      <c r="AA100" s="122"/>
      <c r="AB100" s="122"/>
      <c r="AC100" s="122"/>
      <c r="AD100" s="123"/>
      <c r="AE100" s="123"/>
      <c r="AF100" s="123"/>
    </row>
    <row r="101" spans="1:32" ht="62.05" x14ac:dyDescent="0.3">
      <c r="A101" s="300"/>
      <c r="B101" s="119"/>
      <c r="C101" s="119"/>
      <c r="D101" s="120" t="s">
        <v>194</v>
      </c>
      <c r="E101" s="125">
        <f t="shared" ref="E101:Q101" si="31">IF(((E99="")*AND(E100="")),"",(E99-E100))</f>
        <v>322.19000000000005</v>
      </c>
      <c r="F101" s="125">
        <f t="shared" si="31"/>
        <v>296.77999999999997</v>
      </c>
      <c r="G101" s="125">
        <f t="shared" si="31"/>
        <v>281.08999999999992</v>
      </c>
      <c r="H101" s="125">
        <f t="shared" si="31"/>
        <v>286.06000000000017</v>
      </c>
      <c r="I101" s="125">
        <f t="shared" si="31"/>
        <v>296.21000000000004</v>
      </c>
      <c r="J101" s="125">
        <f t="shared" si="31"/>
        <v>317.10000000000014</v>
      </c>
      <c r="K101" s="125">
        <f t="shared" si="31"/>
        <v>354.18000000000006</v>
      </c>
      <c r="L101" s="125">
        <f t="shared" si="31"/>
        <v>357.78</v>
      </c>
      <c r="M101" s="125">
        <f t="shared" si="31"/>
        <v>317.62999999999988</v>
      </c>
      <c r="N101" s="125">
        <f t="shared" si="31"/>
        <v>299.15999999999985</v>
      </c>
      <c r="O101" s="125">
        <f t="shared" si="31"/>
        <v>307.14999999999986</v>
      </c>
      <c r="P101" s="125">
        <f t="shared" si="31"/>
        <v>317.86999999999989</v>
      </c>
      <c r="Q101" s="125">
        <f t="shared" si="31"/>
        <v>333.34999999999991</v>
      </c>
      <c r="R101" s="303"/>
      <c r="S101" s="303"/>
      <c r="T101" s="306"/>
      <c r="U101" s="306"/>
      <c r="V101" s="308"/>
      <c r="W101" s="294"/>
      <c r="X101" s="297"/>
      <c r="Y101" s="259"/>
      <c r="Z101" s="255"/>
      <c r="AA101" s="122"/>
      <c r="AB101" s="122"/>
      <c r="AC101" s="122"/>
      <c r="AD101" s="122"/>
      <c r="AE101" s="122"/>
      <c r="AF101" s="126"/>
    </row>
    <row r="102" spans="1:32" ht="15.55" x14ac:dyDescent="0.25">
      <c r="A102" s="298">
        <v>43252</v>
      </c>
      <c r="B102" s="119" t="s">
        <v>242</v>
      </c>
      <c r="C102" s="119" t="s">
        <v>238</v>
      </c>
      <c r="D102" s="120" t="s">
        <v>192</v>
      </c>
      <c r="E102" s="121">
        <v>1675.96</v>
      </c>
      <c r="F102" s="121">
        <v>1706.33</v>
      </c>
      <c r="G102" s="121">
        <v>1729.64</v>
      </c>
      <c r="H102" s="121">
        <v>1730.09</v>
      </c>
      <c r="I102" s="121">
        <v>1726.99</v>
      </c>
      <c r="J102" s="121">
        <v>1711.87</v>
      </c>
      <c r="K102" s="121">
        <v>1683.97</v>
      </c>
      <c r="L102" s="121">
        <v>1674.42</v>
      </c>
      <c r="M102" s="121">
        <v>1707.89</v>
      </c>
      <c r="N102" s="121">
        <v>1721.2</v>
      </c>
      <c r="O102" s="121">
        <v>1740.64</v>
      </c>
      <c r="P102" s="121">
        <v>1723.43</v>
      </c>
      <c r="Q102" s="121">
        <v>1741.04</v>
      </c>
      <c r="R102" s="301">
        <f>IF((Q103=""),"",MAX(E104:Q104))</f>
        <v>386.59999999999991</v>
      </c>
      <c r="S102" s="301">
        <f>IF(Q103="","",MIN(E104:Q104))</f>
        <v>293.62000000000012</v>
      </c>
      <c r="T102" s="304">
        <f>IF((Q104=""),"",AVERAGE(E104:Q104))</f>
        <v>334.19153846153847</v>
      </c>
      <c r="U102" s="304">
        <f>IF((Q103=""),"",(R102-S102)/(R102+S102)*100)</f>
        <v>13.669107053600275</v>
      </c>
      <c r="V102" s="304">
        <f>STDEV(E104:Q104)</f>
        <v>33.561055765612657</v>
      </c>
      <c r="W102" s="292" t="str">
        <f>IF(Q103="","",IF(T102&gt;300,IF(U102&lt;14,IF(T102&lt;390,"Pass","Fail"),"Fail"),"Fail"))</f>
        <v>Pass</v>
      </c>
      <c r="X102" s="295">
        <v>1428</v>
      </c>
      <c r="Y102" s="309"/>
      <c r="Z102" s="255"/>
      <c r="AA102" s="122">
        <v>270</v>
      </c>
      <c r="AB102" s="122">
        <v>370</v>
      </c>
      <c r="AC102" s="122">
        <v>300</v>
      </c>
      <c r="AD102" s="123">
        <v>390</v>
      </c>
      <c r="AE102" s="123">
        <v>14</v>
      </c>
      <c r="AF102" s="123">
        <v>20</v>
      </c>
    </row>
    <row r="103" spans="1:32" ht="15.55" x14ac:dyDescent="0.25">
      <c r="A103" s="299"/>
      <c r="B103" s="124"/>
      <c r="C103" s="124"/>
      <c r="D103" s="120" t="s">
        <v>193</v>
      </c>
      <c r="E103" s="121">
        <v>1291.8499999999999</v>
      </c>
      <c r="F103" s="121">
        <v>1376.49</v>
      </c>
      <c r="G103" s="121">
        <v>1415.57</v>
      </c>
      <c r="H103" s="121">
        <v>1425.23</v>
      </c>
      <c r="I103" s="121">
        <v>1433.37</v>
      </c>
      <c r="J103" s="121">
        <v>1382.6</v>
      </c>
      <c r="K103" s="121">
        <v>1307.19</v>
      </c>
      <c r="L103" s="121">
        <v>1302.06</v>
      </c>
      <c r="M103" s="121">
        <v>1383.37</v>
      </c>
      <c r="N103" s="121">
        <v>1410.61</v>
      </c>
      <c r="O103" s="121">
        <v>1439.65</v>
      </c>
      <c r="P103" s="121">
        <v>1406.55</v>
      </c>
      <c r="Q103" s="121">
        <v>1354.44</v>
      </c>
      <c r="R103" s="302"/>
      <c r="S103" s="302"/>
      <c r="T103" s="305"/>
      <c r="U103" s="305"/>
      <c r="V103" s="307"/>
      <c r="W103" s="293"/>
      <c r="X103" s="296"/>
      <c r="Y103" s="310"/>
      <c r="Z103" s="255"/>
      <c r="AA103" s="122"/>
      <c r="AB103" s="122"/>
      <c r="AC103" s="122"/>
      <c r="AD103" s="123"/>
      <c r="AE103" s="123"/>
      <c r="AF103" s="123"/>
    </row>
    <row r="104" spans="1:32" ht="62.05" x14ac:dyDescent="0.3">
      <c r="A104" s="300"/>
      <c r="B104" s="119"/>
      <c r="C104" s="119"/>
      <c r="D104" s="120" t="s">
        <v>194</v>
      </c>
      <c r="E104" s="125">
        <f t="shared" ref="E104:Q104" si="32">IF(((E102="")*AND(E103="")),"",(E102-E103))</f>
        <v>384.11000000000013</v>
      </c>
      <c r="F104" s="125">
        <f t="shared" si="32"/>
        <v>329.83999999999992</v>
      </c>
      <c r="G104" s="125">
        <f t="shared" si="32"/>
        <v>314.07000000000016</v>
      </c>
      <c r="H104" s="125">
        <f t="shared" si="32"/>
        <v>304.8599999999999</v>
      </c>
      <c r="I104" s="125">
        <f t="shared" si="32"/>
        <v>293.62000000000012</v>
      </c>
      <c r="J104" s="125">
        <f t="shared" si="32"/>
        <v>329.27</v>
      </c>
      <c r="K104" s="125">
        <f t="shared" si="32"/>
        <v>376.78</v>
      </c>
      <c r="L104" s="125">
        <f t="shared" si="32"/>
        <v>372.36000000000013</v>
      </c>
      <c r="M104" s="125">
        <f t="shared" si="32"/>
        <v>324.52000000000021</v>
      </c>
      <c r="N104" s="125">
        <f t="shared" si="32"/>
        <v>310.59000000000015</v>
      </c>
      <c r="O104" s="125">
        <f t="shared" si="32"/>
        <v>300.99</v>
      </c>
      <c r="P104" s="125">
        <f t="shared" si="32"/>
        <v>316.88000000000011</v>
      </c>
      <c r="Q104" s="125">
        <f t="shared" si="32"/>
        <v>386.59999999999991</v>
      </c>
      <c r="R104" s="303"/>
      <c r="S104" s="303"/>
      <c r="T104" s="306"/>
      <c r="U104" s="306"/>
      <c r="V104" s="308"/>
      <c r="W104" s="294"/>
      <c r="X104" s="297"/>
      <c r="Y104" s="311"/>
      <c r="Z104" s="255"/>
      <c r="AA104" s="122"/>
      <c r="AB104" s="122"/>
      <c r="AC104" s="122"/>
      <c r="AD104" s="122"/>
      <c r="AE104" s="122"/>
      <c r="AF104" s="126"/>
    </row>
    <row r="105" spans="1:32" ht="15.55" x14ac:dyDescent="0.25">
      <c r="A105" s="298">
        <v>43256</v>
      </c>
      <c r="B105" s="119" t="s">
        <v>242</v>
      </c>
      <c r="C105" s="119" t="s">
        <v>238</v>
      </c>
      <c r="D105" s="120" t="s">
        <v>192</v>
      </c>
      <c r="E105" s="121">
        <v>2882.42</v>
      </c>
      <c r="F105" s="121">
        <v>2814.92</v>
      </c>
      <c r="G105" s="121">
        <v>2776.79</v>
      </c>
      <c r="H105" s="121">
        <v>2760.88</v>
      </c>
      <c r="I105" s="121">
        <v>2763.89</v>
      </c>
      <c r="J105" s="121">
        <v>2787.91</v>
      </c>
      <c r="K105" s="121">
        <v>2829.56</v>
      </c>
      <c r="L105" s="121">
        <v>2832.26</v>
      </c>
      <c r="M105" s="121">
        <v>2786.14</v>
      </c>
      <c r="N105" s="121">
        <v>2765.23</v>
      </c>
      <c r="O105" s="121">
        <v>2777.05</v>
      </c>
      <c r="P105" s="121">
        <v>2817.9</v>
      </c>
      <c r="Q105" s="121">
        <v>2891.57</v>
      </c>
      <c r="R105" s="301">
        <f>IF((Q106=""),"",MAX(E107:Q107))</f>
        <v>381.46000000000004</v>
      </c>
      <c r="S105" s="301">
        <f>IF(Q106="","",MIN(E107:Q107))</f>
        <v>322.05999999999995</v>
      </c>
      <c r="T105" s="304">
        <f>IF((Q107=""),"",AVERAGE(E107:Q107))</f>
        <v>344.30000000000007</v>
      </c>
      <c r="U105" s="304">
        <f>IF((Q106=""),"",(R105-S105)/(R105+S105)*100)</f>
        <v>8.4432567659768161</v>
      </c>
      <c r="V105" s="304">
        <f>STDEV(E107:Q107)</f>
        <v>23.338256861499641</v>
      </c>
      <c r="W105" s="292" t="str">
        <f>IF(Q106="","",IF(T105&gt;300,IF(U105&lt;14,IF(T105&lt;390,"Pass","Fail"),"Fail"),"Fail"))</f>
        <v>Pass</v>
      </c>
      <c r="X105" s="295">
        <v>1335</v>
      </c>
      <c r="Y105" s="309"/>
      <c r="Z105" s="255"/>
      <c r="AA105" s="122">
        <v>270</v>
      </c>
      <c r="AB105" s="122">
        <v>370</v>
      </c>
      <c r="AC105" s="122">
        <v>300</v>
      </c>
      <c r="AD105" s="123">
        <v>390</v>
      </c>
      <c r="AE105" s="123">
        <v>14</v>
      </c>
      <c r="AF105" s="123">
        <v>20</v>
      </c>
    </row>
    <row r="106" spans="1:32" ht="15.55" x14ac:dyDescent="0.25">
      <c r="A106" s="299"/>
      <c r="B106" s="124"/>
      <c r="C106" s="124"/>
      <c r="D106" s="120" t="s">
        <v>193</v>
      </c>
      <c r="E106" s="121">
        <v>2505.98</v>
      </c>
      <c r="F106" s="121">
        <v>2476.21</v>
      </c>
      <c r="G106" s="121">
        <v>2452.25</v>
      </c>
      <c r="H106" s="121">
        <v>2438.5700000000002</v>
      </c>
      <c r="I106" s="121">
        <v>2441.83</v>
      </c>
      <c r="J106" s="121">
        <v>2451.5100000000002</v>
      </c>
      <c r="K106" s="121">
        <v>2451.79</v>
      </c>
      <c r="L106" s="121">
        <v>2460.7199999999998</v>
      </c>
      <c r="M106" s="121">
        <v>2452.41</v>
      </c>
      <c r="N106" s="121">
        <v>2438.87</v>
      </c>
      <c r="O106" s="121">
        <v>2450.91</v>
      </c>
      <c r="P106" s="121">
        <v>2479.46</v>
      </c>
      <c r="Q106" s="121">
        <v>2510.11</v>
      </c>
      <c r="R106" s="302"/>
      <c r="S106" s="302"/>
      <c r="T106" s="305"/>
      <c r="U106" s="305"/>
      <c r="V106" s="307"/>
      <c r="W106" s="293"/>
      <c r="X106" s="296"/>
      <c r="Y106" s="310"/>
      <c r="Z106" s="255"/>
      <c r="AA106" s="122"/>
      <c r="AB106" s="122"/>
      <c r="AC106" s="122"/>
      <c r="AD106" s="123"/>
      <c r="AE106" s="123"/>
      <c r="AF106" s="123"/>
    </row>
    <row r="107" spans="1:32" ht="62.05" x14ac:dyDescent="0.3">
      <c r="A107" s="300"/>
      <c r="B107" s="119"/>
      <c r="C107" s="119"/>
      <c r="D107" s="120" t="s">
        <v>194</v>
      </c>
      <c r="E107" s="125">
        <f t="shared" ref="E107:Q107" si="33">IF(((E105="")*AND(E106="")),"",(E105-E106))</f>
        <v>376.44000000000005</v>
      </c>
      <c r="F107" s="125">
        <f t="shared" si="33"/>
        <v>338.71000000000004</v>
      </c>
      <c r="G107" s="125">
        <f t="shared" si="33"/>
        <v>324.53999999999996</v>
      </c>
      <c r="H107" s="125">
        <f t="shared" si="33"/>
        <v>322.30999999999995</v>
      </c>
      <c r="I107" s="125">
        <f t="shared" si="33"/>
        <v>322.05999999999995</v>
      </c>
      <c r="J107" s="125">
        <f t="shared" si="33"/>
        <v>336.39999999999964</v>
      </c>
      <c r="K107" s="125">
        <f t="shared" si="33"/>
        <v>377.77</v>
      </c>
      <c r="L107" s="125">
        <f t="shared" si="33"/>
        <v>371.54000000000042</v>
      </c>
      <c r="M107" s="125">
        <f t="shared" si="33"/>
        <v>333.73</v>
      </c>
      <c r="N107" s="125">
        <f t="shared" si="33"/>
        <v>326.36000000000013</v>
      </c>
      <c r="O107" s="125">
        <f t="shared" si="33"/>
        <v>326.14000000000033</v>
      </c>
      <c r="P107" s="125">
        <f t="shared" si="33"/>
        <v>338.44000000000005</v>
      </c>
      <c r="Q107" s="125">
        <f t="shared" si="33"/>
        <v>381.46000000000004</v>
      </c>
      <c r="R107" s="303"/>
      <c r="S107" s="303"/>
      <c r="T107" s="306"/>
      <c r="U107" s="306"/>
      <c r="V107" s="308"/>
      <c r="W107" s="294"/>
      <c r="X107" s="297"/>
      <c r="Y107" s="311"/>
      <c r="Z107" s="255"/>
      <c r="AA107" s="122"/>
      <c r="AB107" s="122"/>
      <c r="AC107" s="122"/>
      <c r="AD107" s="122"/>
      <c r="AE107" s="122"/>
      <c r="AF107" s="126"/>
    </row>
    <row r="108" spans="1:32" ht="15.55" x14ac:dyDescent="0.25">
      <c r="A108" s="298">
        <v>43259</v>
      </c>
      <c r="B108" s="119" t="s">
        <v>242</v>
      </c>
      <c r="C108" s="119" t="s">
        <v>238</v>
      </c>
      <c r="D108" s="120" t="s">
        <v>192</v>
      </c>
      <c r="E108" s="121">
        <v>2507.02</v>
      </c>
      <c r="F108" s="121">
        <v>2476.5</v>
      </c>
      <c r="G108" s="121">
        <v>2451.19</v>
      </c>
      <c r="H108" s="121">
        <v>2439.3200000000002</v>
      </c>
      <c r="I108" s="121">
        <v>2437.62</v>
      </c>
      <c r="J108" s="121">
        <v>2457.15</v>
      </c>
      <c r="K108" s="121">
        <v>2451.62</v>
      </c>
      <c r="L108" s="121">
        <v>2460.31</v>
      </c>
      <c r="M108" s="121">
        <v>2451.79</v>
      </c>
      <c r="N108" s="121">
        <v>2445.34</v>
      </c>
      <c r="O108" s="121">
        <v>2526.4</v>
      </c>
      <c r="P108" s="121">
        <v>2481.9</v>
      </c>
      <c r="Q108" s="121">
        <v>2512.5300000000002</v>
      </c>
      <c r="R108" s="301">
        <f>IF((Q109=""),"",MAX(E110:Q110))</f>
        <v>440.44000000000005</v>
      </c>
      <c r="S108" s="301">
        <f>IF(Q109="","",MIN(E110:Q110))</f>
        <v>332.77999999999975</v>
      </c>
      <c r="T108" s="304">
        <f>IF((Q110=""),"",AVERAGE(E110:Q110))</f>
        <v>376.3776923076922</v>
      </c>
      <c r="U108" s="304">
        <f>IF((Q109=""),"",(R108-S108)/(R108+S108)*100)</f>
        <v>13.923592250588493</v>
      </c>
      <c r="V108" s="304">
        <f>STDEV(E110:Q110)</f>
        <v>34.208652695345549</v>
      </c>
      <c r="W108" s="292" t="str">
        <f>IF(Q109="","",IF(T108&gt;300,IF(U108&lt;14,IF(T108&lt;390,"Pass","Fail"),"Fail"),"Fail"))</f>
        <v>Pass</v>
      </c>
      <c r="X108" s="295">
        <v>1335</v>
      </c>
      <c r="Y108" s="309"/>
      <c r="Z108" s="255"/>
      <c r="AA108" s="122">
        <v>270</v>
      </c>
      <c r="AB108" s="122">
        <v>370</v>
      </c>
      <c r="AC108" s="122">
        <v>300</v>
      </c>
      <c r="AD108" s="123">
        <v>390</v>
      </c>
      <c r="AE108" s="123">
        <v>14</v>
      </c>
      <c r="AF108" s="123">
        <v>20</v>
      </c>
    </row>
    <row r="109" spans="1:32" ht="15.55" x14ac:dyDescent="0.25">
      <c r="A109" s="299"/>
      <c r="B109" s="124"/>
      <c r="C109" s="124"/>
      <c r="D109" s="120" t="s">
        <v>193</v>
      </c>
      <c r="E109" s="121">
        <v>2090.8200000000002</v>
      </c>
      <c r="F109" s="121">
        <v>2092.7800000000002</v>
      </c>
      <c r="G109" s="121">
        <v>2087.33</v>
      </c>
      <c r="H109" s="121">
        <v>2086.7600000000002</v>
      </c>
      <c r="I109" s="121">
        <v>2093</v>
      </c>
      <c r="J109" s="121">
        <v>2102.86</v>
      </c>
      <c r="K109" s="121">
        <v>2064.4</v>
      </c>
      <c r="L109" s="121">
        <v>2095.88</v>
      </c>
      <c r="M109" s="121">
        <v>2119.0100000000002</v>
      </c>
      <c r="N109" s="121">
        <v>2105.04</v>
      </c>
      <c r="O109" s="121">
        <v>2085.96</v>
      </c>
      <c r="P109" s="121">
        <v>2096.0500000000002</v>
      </c>
      <c r="Q109" s="121">
        <v>2085.89</v>
      </c>
      <c r="R109" s="302"/>
      <c r="S109" s="302"/>
      <c r="T109" s="305"/>
      <c r="U109" s="305"/>
      <c r="V109" s="307"/>
      <c r="W109" s="293"/>
      <c r="X109" s="296"/>
      <c r="Y109" s="310"/>
      <c r="Z109" s="255"/>
      <c r="AA109" s="122"/>
      <c r="AB109" s="122"/>
      <c r="AC109" s="122"/>
      <c r="AD109" s="123"/>
      <c r="AE109" s="123"/>
      <c r="AF109" s="123"/>
    </row>
    <row r="110" spans="1:32" ht="62.05" x14ac:dyDescent="0.3">
      <c r="A110" s="300"/>
      <c r="B110" s="119"/>
      <c r="C110" s="119"/>
      <c r="D110" s="120" t="s">
        <v>194</v>
      </c>
      <c r="E110" s="125">
        <f t="shared" ref="E110:Q110" si="34">IF(((E108="")*AND(E109="")),"",(E108-E109))</f>
        <v>416.19999999999982</v>
      </c>
      <c r="F110" s="125">
        <f t="shared" si="34"/>
        <v>383.7199999999998</v>
      </c>
      <c r="G110" s="125">
        <f t="shared" si="34"/>
        <v>363.86000000000013</v>
      </c>
      <c r="H110" s="125">
        <f t="shared" si="34"/>
        <v>352.55999999999995</v>
      </c>
      <c r="I110" s="125">
        <f t="shared" si="34"/>
        <v>344.61999999999989</v>
      </c>
      <c r="J110" s="125">
        <f t="shared" si="34"/>
        <v>354.28999999999996</v>
      </c>
      <c r="K110" s="125">
        <f t="shared" si="34"/>
        <v>387.2199999999998</v>
      </c>
      <c r="L110" s="125">
        <f t="shared" si="34"/>
        <v>364.42999999999984</v>
      </c>
      <c r="M110" s="125">
        <f t="shared" si="34"/>
        <v>332.77999999999975</v>
      </c>
      <c r="N110" s="125">
        <f t="shared" si="34"/>
        <v>340.30000000000018</v>
      </c>
      <c r="O110" s="125">
        <f t="shared" si="34"/>
        <v>440.44000000000005</v>
      </c>
      <c r="P110" s="125">
        <f t="shared" si="34"/>
        <v>385.84999999999991</v>
      </c>
      <c r="Q110" s="125">
        <f t="shared" si="34"/>
        <v>426.64000000000033</v>
      </c>
      <c r="R110" s="303"/>
      <c r="S110" s="303"/>
      <c r="T110" s="306"/>
      <c r="U110" s="306"/>
      <c r="V110" s="308"/>
      <c r="W110" s="294"/>
      <c r="X110" s="297"/>
      <c r="Y110" s="311"/>
      <c r="Z110" s="255"/>
      <c r="AA110" s="122"/>
      <c r="AB110" s="122"/>
      <c r="AC110" s="122"/>
      <c r="AD110" s="122"/>
      <c r="AE110" s="122"/>
      <c r="AF110" s="126"/>
    </row>
    <row r="111" spans="1:32" ht="15.55" x14ac:dyDescent="0.25">
      <c r="A111" s="298">
        <v>43262</v>
      </c>
      <c r="B111" s="119" t="s">
        <v>242</v>
      </c>
      <c r="C111" s="119" t="s">
        <v>238</v>
      </c>
      <c r="D111" s="120" t="s">
        <v>192</v>
      </c>
      <c r="E111" s="121">
        <v>2084.13</v>
      </c>
      <c r="F111" s="121">
        <v>2080.1999999999998</v>
      </c>
      <c r="G111" s="121">
        <v>2078.27</v>
      </c>
      <c r="H111" s="121">
        <v>2074.9</v>
      </c>
      <c r="I111" s="121">
        <v>2079.75</v>
      </c>
      <c r="J111" s="121">
        <v>2100.3000000000002</v>
      </c>
      <c r="K111" s="121">
        <v>2059.3000000000002</v>
      </c>
      <c r="L111" s="121">
        <v>2088.54</v>
      </c>
      <c r="M111" s="121">
        <v>2108.9699999999998</v>
      </c>
      <c r="N111" s="121">
        <v>2094.5</v>
      </c>
      <c r="O111" s="121">
        <v>2082.13</v>
      </c>
      <c r="P111" s="121">
        <v>2079.15</v>
      </c>
      <c r="Q111" s="121">
        <v>2073.58</v>
      </c>
      <c r="R111" s="301">
        <f>IF((Q112=""),"",MAX(E113:Q113))</f>
        <v>392.87999999999988</v>
      </c>
      <c r="S111" s="301">
        <f>IF(Q112="","",MIN(E113:Q113))</f>
        <v>300.47000000000003</v>
      </c>
      <c r="T111" s="304">
        <f>IF((Q113=""),"",AVERAGE(E113:Q113))</f>
        <v>338.32923076923078</v>
      </c>
      <c r="U111" s="304">
        <f>IF((Q112=""),"",(R111-S111)/(R111+S111)*100)</f>
        <v>13.328044998918276</v>
      </c>
      <c r="V111" s="304">
        <f>STDEV(E113:Q113)</f>
        <v>27.985388289110968</v>
      </c>
      <c r="W111" s="292" t="str">
        <f>IF(Q112="","",IF(T111&gt;300,IF(U111&lt;14,IF(T111&lt;390,"Pass","Fail"),"Fail"),"Fail"))</f>
        <v>Pass</v>
      </c>
      <c r="X111" s="295">
        <v>1159</v>
      </c>
      <c r="Y111" s="261" t="s">
        <v>203</v>
      </c>
      <c r="Z111" s="255"/>
      <c r="AA111" s="122">
        <v>270</v>
      </c>
      <c r="AB111" s="122">
        <v>370</v>
      </c>
      <c r="AC111" s="122">
        <v>300</v>
      </c>
      <c r="AD111" s="123">
        <v>390</v>
      </c>
      <c r="AE111" s="123">
        <v>14</v>
      </c>
      <c r="AF111" s="123">
        <v>20</v>
      </c>
    </row>
    <row r="112" spans="1:32" ht="15.55" x14ac:dyDescent="0.25">
      <c r="A112" s="299"/>
      <c r="B112" s="124"/>
      <c r="C112" s="124"/>
      <c r="D112" s="120" t="s">
        <v>193</v>
      </c>
      <c r="E112" s="121">
        <v>1729.27</v>
      </c>
      <c r="F112" s="121">
        <v>1777.67</v>
      </c>
      <c r="G112" s="121">
        <v>1755.3</v>
      </c>
      <c r="H112" s="121">
        <v>1743.92</v>
      </c>
      <c r="I112" s="121">
        <v>1753.55</v>
      </c>
      <c r="J112" s="121">
        <v>1750.88</v>
      </c>
      <c r="K112" s="121">
        <v>1681.85</v>
      </c>
      <c r="L112" s="121">
        <v>1695.66</v>
      </c>
      <c r="M112" s="121">
        <v>1757.57</v>
      </c>
      <c r="N112" s="121">
        <v>1761.41</v>
      </c>
      <c r="O112" s="121">
        <v>1775.71</v>
      </c>
      <c r="P112" s="121">
        <v>1778.68</v>
      </c>
      <c r="Q112" s="121">
        <v>1723.97</v>
      </c>
      <c r="R112" s="302"/>
      <c r="S112" s="302"/>
      <c r="T112" s="305"/>
      <c r="U112" s="305"/>
      <c r="V112" s="307"/>
      <c r="W112" s="293"/>
      <c r="X112" s="296"/>
      <c r="Y112" s="258"/>
      <c r="Z112" s="255"/>
      <c r="AA112" s="122"/>
      <c r="AB112" s="122"/>
      <c r="AC112" s="122"/>
      <c r="AD112" s="123"/>
      <c r="AE112" s="123"/>
      <c r="AF112" s="123"/>
    </row>
    <row r="113" spans="1:32" ht="62.05" x14ac:dyDescent="0.3">
      <c r="A113" s="300"/>
      <c r="B113" s="119"/>
      <c r="C113" s="119"/>
      <c r="D113" s="120" t="s">
        <v>194</v>
      </c>
      <c r="E113" s="125">
        <f t="shared" ref="E113:Q113" si="35">IF(((E111="")*AND(E112="")),"",(E111-E112))</f>
        <v>354.86000000000013</v>
      </c>
      <c r="F113" s="125">
        <f t="shared" si="35"/>
        <v>302.52999999999975</v>
      </c>
      <c r="G113" s="125">
        <f t="shared" si="35"/>
        <v>322.97000000000003</v>
      </c>
      <c r="H113" s="125">
        <f t="shared" si="35"/>
        <v>330.98</v>
      </c>
      <c r="I113" s="125">
        <f t="shared" si="35"/>
        <v>326.20000000000005</v>
      </c>
      <c r="J113" s="125">
        <f t="shared" si="35"/>
        <v>349.42000000000007</v>
      </c>
      <c r="K113" s="125">
        <f t="shared" si="35"/>
        <v>377.45000000000027</v>
      </c>
      <c r="L113" s="125">
        <f t="shared" si="35"/>
        <v>392.87999999999988</v>
      </c>
      <c r="M113" s="125">
        <f t="shared" si="35"/>
        <v>351.39999999999986</v>
      </c>
      <c r="N113" s="125">
        <f t="shared" si="35"/>
        <v>333.08999999999992</v>
      </c>
      <c r="O113" s="125">
        <f t="shared" si="35"/>
        <v>306.42000000000007</v>
      </c>
      <c r="P113" s="125">
        <f t="shared" si="35"/>
        <v>300.47000000000003</v>
      </c>
      <c r="Q113" s="125">
        <f t="shared" si="35"/>
        <v>349.6099999999999</v>
      </c>
      <c r="R113" s="303"/>
      <c r="S113" s="303"/>
      <c r="T113" s="306"/>
      <c r="U113" s="306"/>
      <c r="V113" s="308"/>
      <c r="W113" s="294"/>
      <c r="X113" s="297"/>
      <c r="Y113" s="259"/>
      <c r="Z113" s="255"/>
      <c r="AA113" s="122"/>
      <c r="AB113" s="122"/>
      <c r="AC113" s="122"/>
      <c r="AD113" s="122"/>
      <c r="AE113" s="122"/>
      <c r="AF113" s="126"/>
    </row>
    <row r="114" spans="1:32" ht="15.55" x14ac:dyDescent="0.25">
      <c r="A114" s="298">
        <v>43266</v>
      </c>
      <c r="B114" s="119" t="s">
        <v>242</v>
      </c>
      <c r="C114" s="119" t="s">
        <v>238</v>
      </c>
      <c r="D114" s="120" t="s">
        <v>192</v>
      </c>
      <c r="E114" s="121">
        <v>2885.29</v>
      </c>
      <c r="F114" s="121">
        <v>2821.21</v>
      </c>
      <c r="G114" s="121">
        <v>2784.9</v>
      </c>
      <c r="H114" s="121">
        <v>2768.3</v>
      </c>
      <c r="I114" s="121">
        <v>2773.74</v>
      </c>
      <c r="J114" s="121">
        <v>2798.65</v>
      </c>
      <c r="K114" s="121">
        <v>2843.86</v>
      </c>
      <c r="L114" s="121">
        <v>2889.19</v>
      </c>
      <c r="M114" s="121">
        <v>2823.89</v>
      </c>
      <c r="N114" s="121">
        <v>2783.82</v>
      </c>
      <c r="O114" s="121">
        <v>2774.24</v>
      </c>
      <c r="P114" s="121">
        <v>2797.37</v>
      </c>
      <c r="Q114" s="121">
        <v>2833.89</v>
      </c>
      <c r="R114" s="301">
        <f>IF((Q115=""),"",MAX(E116:Q116))</f>
        <v>373.80999999999995</v>
      </c>
      <c r="S114" s="301">
        <f>IF(Q115="","",MIN(E116:Q116))</f>
        <v>316.90000000000009</v>
      </c>
      <c r="T114" s="304">
        <f>IF((Q116=""),"",AVERAGE(E116:Q116))</f>
        <v>340.47384615384613</v>
      </c>
      <c r="U114" s="304">
        <f>IF((Q115=""),"",(R114-S114)/(R114+S114)*100)</f>
        <v>8.2393479173603765</v>
      </c>
      <c r="V114" s="304">
        <f>STDEV(E116:Q116)</f>
        <v>22.324235910202145</v>
      </c>
      <c r="W114" s="292" t="str">
        <f>IF(Q115="","",IF(T114&gt;300,IF(U114&lt;14,IF(T114&lt;390,"Pass","Fail"),"Fail"),"Fail"))</f>
        <v>Pass</v>
      </c>
      <c r="X114" s="295">
        <v>121</v>
      </c>
      <c r="Y114" s="309"/>
      <c r="Z114" s="255"/>
      <c r="AA114" s="122">
        <v>270</v>
      </c>
      <c r="AB114" s="122">
        <v>370</v>
      </c>
      <c r="AC114" s="122">
        <v>300</v>
      </c>
      <c r="AD114" s="123">
        <v>390</v>
      </c>
      <c r="AE114" s="123">
        <v>14</v>
      </c>
      <c r="AF114" s="123">
        <v>20</v>
      </c>
    </row>
    <row r="115" spans="1:32" ht="15.55" x14ac:dyDescent="0.25">
      <c r="A115" s="299"/>
      <c r="B115" s="124"/>
      <c r="C115" s="124"/>
      <c r="D115" s="120" t="s">
        <v>193</v>
      </c>
      <c r="E115" s="121">
        <v>2515.2600000000002</v>
      </c>
      <c r="F115" s="121">
        <v>2487.54</v>
      </c>
      <c r="G115" s="121">
        <v>2461.2800000000002</v>
      </c>
      <c r="H115" s="121">
        <v>2451.4</v>
      </c>
      <c r="I115" s="121">
        <v>2453.41</v>
      </c>
      <c r="J115" s="121">
        <v>2466.5100000000002</v>
      </c>
      <c r="K115" s="121">
        <v>2470.0500000000002</v>
      </c>
      <c r="L115" s="121">
        <v>2520.2399999999998</v>
      </c>
      <c r="M115" s="121">
        <v>2489.0700000000002</v>
      </c>
      <c r="N115" s="121">
        <v>2465.34</v>
      </c>
      <c r="O115" s="121">
        <v>2449.9299999999998</v>
      </c>
      <c r="P115" s="121">
        <v>2460.85</v>
      </c>
      <c r="Q115" s="121">
        <v>2461.31</v>
      </c>
      <c r="R115" s="302"/>
      <c r="S115" s="302"/>
      <c r="T115" s="305"/>
      <c r="U115" s="305"/>
      <c r="V115" s="307"/>
      <c r="W115" s="293"/>
      <c r="X115" s="296"/>
      <c r="Y115" s="310"/>
      <c r="Z115" s="255"/>
      <c r="AA115" s="122"/>
      <c r="AB115" s="122"/>
      <c r="AC115" s="122"/>
      <c r="AD115" s="123"/>
      <c r="AE115" s="123"/>
      <c r="AF115" s="123"/>
    </row>
    <row r="116" spans="1:32" ht="62.05" x14ac:dyDescent="0.3">
      <c r="A116" s="300"/>
      <c r="B116" s="119"/>
      <c r="C116" s="119"/>
      <c r="D116" s="120" t="s">
        <v>194</v>
      </c>
      <c r="E116" s="125">
        <f t="shared" ref="E116:Q116" si="36">IF(((E114="")*AND(E115="")),"",(E114-E115))</f>
        <v>370.02999999999975</v>
      </c>
      <c r="F116" s="125">
        <f t="shared" si="36"/>
        <v>333.67000000000007</v>
      </c>
      <c r="G116" s="125">
        <f t="shared" si="36"/>
        <v>323.61999999999989</v>
      </c>
      <c r="H116" s="125">
        <f t="shared" si="36"/>
        <v>316.90000000000009</v>
      </c>
      <c r="I116" s="125">
        <f t="shared" si="36"/>
        <v>320.32999999999993</v>
      </c>
      <c r="J116" s="125">
        <f t="shared" si="36"/>
        <v>332.13999999999987</v>
      </c>
      <c r="K116" s="125">
        <f t="shared" si="36"/>
        <v>373.80999999999995</v>
      </c>
      <c r="L116" s="125">
        <f t="shared" si="36"/>
        <v>368.95000000000027</v>
      </c>
      <c r="M116" s="125">
        <f t="shared" si="36"/>
        <v>334.81999999999971</v>
      </c>
      <c r="N116" s="125">
        <f t="shared" si="36"/>
        <v>318.48</v>
      </c>
      <c r="O116" s="125">
        <f t="shared" si="36"/>
        <v>324.30999999999995</v>
      </c>
      <c r="P116" s="125">
        <f t="shared" si="36"/>
        <v>336.52</v>
      </c>
      <c r="Q116" s="125">
        <f t="shared" si="36"/>
        <v>372.57999999999993</v>
      </c>
      <c r="R116" s="303"/>
      <c r="S116" s="303"/>
      <c r="T116" s="306"/>
      <c r="U116" s="306"/>
      <c r="V116" s="308"/>
      <c r="W116" s="294"/>
      <c r="X116" s="297"/>
      <c r="Y116" s="311"/>
      <c r="Z116" s="255"/>
      <c r="AA116" s="122"/>
      <c r="AB116" s="122"/>
      <c r="AC116" s="122"/>
      <c r="AD116" s="122"/>
      <c r="AE116" s="122"/>
      <c r="AF116" s="126"/>
    </row>
    <row r="117" spans="1:32" ht="15.55" x14ac:dyDescent="0.25">
      <c r="A117" s="298">
        <v>43270</v>
      </c>
      <c r="B117" s="119" t="s">
        <v>242</v>
      </c>
      <c r="C117" s="119" t="s">
        <v>238</v>
      </c>
      <c r="D117" s="120" t="s">
        <v>192</v>
      </c>
      <c r="E117" s="121">
        <v>2515.1999999999998</v>
      </c>
      <c r="F117" s="121">
        <v>2486.13</v>
      </c>
      <c r="G117" s="121">
        <v>2460.13</v>
      </c>
      <c r="H117" s="121">
        <v>2458.8200000000002</v>
      </c>
      <c r="I117" s="121">
        <v>2454.6</v>
      </c>
      <c r="J117" s="121">
        <v>2463.44</v>
      </c>
      <c r="K117" s="121">
        <v>2468.46</v>
      </c>
      <c r="L117" s="121">
        <v>2521.87</v>
      </c>
      <c r="M117" s="121">
        <v>2488.23</v>
      </c>
      <c r="N117" s="121">
        <v>2463.0300000000002</v>
      </c>
      <c r="O117" s="121">
        <v>2449.44</v>
      </c>
      <c r="P117" s="121">
        <v>2465.89</v>
      </c>
      <c r="Q117" s="121">
        <v>2459.34</v>
      </c>
      <c r="R117" s="301">
        <f>IF((Q118=""),"",MAX(E119:Q119))</f>
        <v>442.97000000000025</v>
      </c>
      <c r="S117" s="301">
        <f>IF(Q118="","",MIN(E119:Q119))</f>
        <v>380.07999999999993</v>
      </c>
      <c r="T117" s="304">
        <f>IF((Q119=""),"",AVERAGE(E119:Q119))</f>
        <v>403.62076923076927</v>
      </c>
      <c r="U117" s="304">
        <f>IF((Q118=""),"",(R117-S117)/(R117+S117)*100)</f>
        <v>7.6410910637264209</v>
      </c>
      <c r="V117" s="304">
        <f>STDEV(E119:Q119)</f>
        <v>21.801141201604775</v>
      </c>
      <c r="W117" s="292" t="str">
        <f>IF(Q118="","",IF(T117&gt;300,IF(U117&lt;14,IF(T117&lt;390,"Pass","Fail"),"Fail"),"Fail"))</f>
        <v>Fail</v>
      </c>
      <c r="X117" s="324">
        <v>1159</v>
      </c>
      <c r="Y117" s="309"/>
      <c r="Z117" s="255"/>
      <c r="AA117" s="122">
        <v>270</v>
      </c>
      <c r="AB117" s="122">
        <v>370</v>
      </c>
      <c r="AC117" s="122">
        <v>300</v>
      </c>
      <c r="AD117" s="123">
        <v>390</v>
      </c>
      <c r="AE117" s="123">
        <v>14</v>
      </c>
      <c r="AF117" s="123">
        <v>20</v>
      </c>
    </row>
    <row r="118" spans="1:32" ht="15.55" x14ac:dyDescent="0.25">
      <c r="A118" s="299"/>
      <c r="B118" s="124"/>
      <c r="C118" s="124"/>
      <c r="D118" s="120" t="s">
        <v>193</v>
      </c>
      <c r="E118" s="121">
        <v>2080.62</v>
      </c>
      <c r="F118" s="121">
        <v>2097.4899999999998</v>
      </c>
      <c r="G118" s="121">
        <v>2080.0500000000002</v>
      </c>
      <c r="H118" s="121">
        <v>2065.63</v>
      </c>
      <c r="I118" s="121">
        <v>2066.39</v>
      </c>
      <c r="J118" s="121">
        <v>2068.63</v>
      </c>
      <c r="K118" s="121">
        <v>2039.08</v>
      </c>
      <c r="L118" s="121">
        <v>2095.64</v>
      </c>
      <c r="M118" s="121">
        <v>2101.3000000000002</v>
      </c>
      <c r="N118" s="121">
        <v>2076.7600000000002</v>
      </c>
      <c r="O118" s="121">
        <v>2060.88</v>
      </c>
      <c r="P118" s="121">
        <v>2058.67</v>
      </c>
      <c r="Q118" s="121">
        <v>2016.37</v>
      </c>
      <c r="R118" s="302"/>
      <c r="S118" s="302"/>
      <c r="T118" s="305"/>
      <c r="U118" s="305"/>
      <c r="V118" s="307"/>
      <c r="W118" s="293"/>
      <c r="X118" s="296"/>
      <c r="Y118" s="310"/>
      <c r="Z118" s="255"/>
      <c r="AA118" s="122"/>
      <c r="AB118" s="122"/>
      <c r="AC118" s="122"/>
      <c r="AD118" s="123"/>
      <c r="AE118" s="123"/>
      <c r="AF118" s="123"/>
    </row>
    <row r="119" spans="1:32" ht="62.05" x14ac:dyDescent="0.3">
      <c r="A119" s="300"/>
      <c r="B119" s="119"/>
      <c r="C119" s="119"/>
      <c r="D119" s="120" t="s">
        <v>194</v>
      </c>
      <c r="E119" s="125">
        <f t="shared" ref="E119:Q119" si="37">IF(((E117="")*AND(E118="")),"",(E117-E118))</f>
        <v>434.57999999999993</v>
      </c>
      <c r="F119" s="125">
        <f t="shared" si="37"/>
        <v>388.64000000000033</v>
      </c>
      <c r="G119" s="125">
        <f t="shared" si="37"/>
        <v>380.07999999999993</v>
      </c>
      <c r="H119" s="125">
        <f t="shared" si="37"/>
        <v>393.19000000000005</v>
      </c>
      <c r="I119" s="125">
        <f t="shared" si="37"/>
        <v>388.21000000000004</v>
      </c>
      <c r="J119" s="125">
        <f t="shared" si="37"/>
        <v>394.80999999999995</v>
      </c>
      <c r="K119" s="125">
        <f t="shared" si="37"/>
        <v>429.38000000000011</v>
      </c>
      <c r="L119" s="125">
        <f t="shared" si="37"/>
        <v>426.23</v>
      </c>
      <c r="M119" s="125">
        <f t="shared" si="37"/>
        <v>386.92999999999984</v>
      </c>
      <c r="N119" s="125">
        <f t="shared" si="37"/>
        <v>386.27</v>
      </c>
      <c r="O119" s="125">
        <f t="shared" si="37"/>
        <v>388.55999999999995</v>
      </c>
      <c r="P119" s="125">
        <f t="shared" si="37"/>
        <v>407.2199999999998</v>
      </c>
      <c r="Q119" s="125">
        <f t="shared" si="37"/>
        <v>442.97000000000025</v>
      </c>
      <c r="R119" s="303"/>
      <c r="S119" s="303"/>
      <c r="T119" s="306"/>
      <c r="U119" s="306"/>
      <c r="V119" s="308"/>
      <c r="W119" s="294"/>
      <c r="X119" s="297"/>
      <c r="Y119" s="311"/>
      <c r="Z119" s="255"/>
      <c r="AA119" s="122"/>
      <c r="AB119" s="122"/>
      <c r="AC119" s="122"/>
      <c r="AD119" s="122"/>
      <c r="AE119" s="122"/>
      <c r="AF119" s="126"/>
    </row>
    <row r="120" spans="1:32" ht="15.55" x14ac:dyDescent="0.25">
      <c r="A120" s="298">
        <v>43270</v>
      </c>
      <c r="B120" s="119" t="s">
        <v>242</v>
      </c>
      <c r="C120" s="119" t="s">
        <v>238</v>
      </c>
      <c r="D120" s="120" t="s">
        <v>192</v>
      </c>
      <c r="E120" s="121">
        <v>2080.62</v>
      </c>
      <c r="F120" s="121">
        <v>2097.4899999999998</v>
      </c>
      <c r="G120" s="121">
        <v>2080.0500000000002</v>
      </c>
      <c r="H120" s="121">
        <v>2065.63</v>
      </c>
      <c r="I120" s="121">
        <v>2066.39</v>
      </c>
      <c r="J120" s="121">
        <v>2068.63</v>
      </c>
      <c r="K120" s="121">
        <v>2039.08</v>
      </c>
      <c r="L120" s="121">
        <v>2095.64</v>
      </c>
      <c r="M120" s="121">
        <v>2101.3000000000002</v>
      </c>
      <c r="N120" s="121">
        <v>2076.7600000000002</v>
      </c>
      <c r="O120" s="121">
        <v>2060.88</v>
      </c>
      <c r="P120" s="121">
        <v>2058.67</v>
      </c>
      <c r="Q120" s="121">
        <v>2016.37</v>
      </c>
      <c r="R120" s="301">
        <f>IF((Q121=""),"",MAX(E122:Q122))</f>
        <v>357.82999999999993</v>
      </c>
      <c r="S120" s="301">
        <f>IF(Q121="","",MIN(E122:Q122))</f>
        <v>274.1400000000001</v>
      </c>
      <c r="T120" s="304">
        <f>IF((Q122=""),"",AVERAGE(E122:Q122))</f>
        <v>308.73923076923074</v>
      </c>
      <c r="U120" s="304">
        <f>IF((Q121=""),"",(R120-S120)/(R120+S120)*100)</f>
        <v>13.242717217589414</v>
      </c>
      <c r="V120" s="304">
        <f>STDEV(E122:Q122)</f>
        <v>33.035353653709556</v>
      </c>
      <c r="W120" s="292" t="str">
        <f>IF(Q121="","",IF(T120&gt;300,IF(U120&lt;14,IF(T120&lt;390,"Pass","Fail"),"Fail"),"Fail"))</f>
        <v>Pass</v>
      </c>
      <c r="X120" s="295">
        <v>1159</v>
      </c>
      <c r="Y120" s="261" t="s">
        <v>204</v>
      </c>
      <c r="Z120" s="255"/>
      <c r="AA120" s="122">
        <v>270</v>
      </c>
      <c r="AB120" s="122">
        <v>370</v>
      </c>
      <c r="AC120" s="122">
        <v>300</v>
      </c>
      <c r="AD120" s="123">
        <v>390</v>
      </c>
      <c r="AE120" s="123">
        <v>14</v>
      </c>
      <c r="AF120" s="123">
        <v>20</v>
      </c>
    </row>
    <row r="121" spans="1:32" ht="15.55" x14ac:dyDescent="0.25">
      <c r="A121" s="299"/>
      <c r="B121" s="124"/>
      <c r="C121" s="124"/>
      <c r="D121" s="120" t="s">
        <v>193</v>
      </c>
      <c r="E121" s="121">
        <v>1724.1</v>
      </c>
      <c r="F121" s="121">
        <v>1790.48</v>
      </c>
      <c r="G121" s="121">
        <v>1793.12</v>
      </c>
      <c r="H121" s="121">
        <v>1786.55</v>
      </c>
      <c r="I121" s="121">
        <v>1786.94</v>
      </c>
      <c r="J121" s="121">
        <v>1767.45</v>
      </c>
      <c r="K121" s="121">
        <v>1681.25</v>
      </c>
      <c r="L121" s="121">
        <v>1737.95</v>
      </c>
      <c r="M121" s="121">
        <v>1799.59</v>
      </c>
      <c r="N121" s="121">
        <v>1790.69</v>
      </c>
      <c r="O121" s="121">
        <v>1786.74</v>
      </c>
      <c r="P121" s="121">
        <v>1776.79</v>
      </c>
      <c r="Q121" s="121">
        <v>1672.25</v>
      </c>
      <c r="R121" s="302"/>
      <c r="S121" s="302"/>
      <c r="T121" s="305"/>
      <c r="U121" s="305"/>
      <c r="V121" s="307"/>
      <c r="W121" s="293"/>
      <c r="X121" s="296"/>
      <c r="Y121" s="258"/>
      <c r="Z121" s="255"/>
      <c r="AA121" s="122"/>
      <c r="AB121" s="122"/>
      <c r="AC121" s="122"/>
      <c r="AD121" s="123"/>
      <c r="AE121" s="123"/>
      <c r="AF121" s="123"/>
    </row>
    <row r="122" spans="1:32" ht="62.05" x14ac:dyDescent="0.3">
      <c r="A122" s="300"/>
      <c r="B122" s="119"/>
      <c r="C122" s="119"/>
      <c r="D122" s="120" t="s">
        <v>194</v>
      </c>
      <c r="E122" s="125">
        <f t="shared" ref="E122:Q122" si="38">IF(((E120="")*AND(E121="")),"",(E120-E121))</f>
        <v>356.52</v>
      </c>
      <c r="F122" s="125">
        <f t="shared" si="38"/>
        <v>307.00999999999976</v>
      </c>
      <c r="G122" s="125">
        <f t="shared" si="38"/>
        <v>286.93000000000029</v>
      </c>
      <c r="H122" s="125">
        <f t="shared" si="38"/>
        <v>279.08000000000015</v>
      </c>
      <c r="I122" s="125">
        <f t="shared" si="38"/>
        <v>279.44999999999982</v>
      </c>
      <c r="J122" s="125">
        <f t="shared" si="38"/>
        <v>301.18000000000006</v>
      </c>
      <c r="K122" s="125">
        <f t="shared" si="38"/>
        <v>357.82999999999993</v>
      </c>
      <c r="L122" s="125">
        <f t="shared" si="38"/>
        <v>357.68999999999983</v>
      </c>
      <c r="M122" s="125">
        <f t="shared" si="38"/>
        <v>301.71000000000026</v>
      </c>
      <c r="N122" s="125">
        <f t="shared" si="38"/>
        <v>286.07000000000016</v>
      </c>
      <c r="O122" s="125">
        <f t="shared" si="38"/>
        <v>274.1400000000001</v>
      </c>
      <c r="P122" s="125">
        <f t="shared" si="38"/>
        <v>281.88000000000011</v>
      </c>
      <c r="Q122" s="125">
        <f t="shared" si="38"/>
        <v>344.11999999999989</v>
      </c>
      <c r="R122" s="303"/>
      <c r="S122" s="303"/>
      <c r="T122" s="306"/>
      <c r="U122" s="306"/>
      <c r="V122" s="308"/>
      <c r="W122" s="294"/>
      <c r="X122" s="297"/>
      <c r="Y122" s="259"/>
      <c r="Z122" s="255"/>
      <c r="AA122" s="122"/>
      <c r="AB122" s="122"/>
      <c r="AC122" s="122"/>
      <c r="AD122" s="122"/>
      <c r="AE122" s="122"/>
      <c r="AF122" s="126"/>
    </row>
    <row r="123" spans="1:32" ht="15.55" x14ac:dyDescent="0.25">
      <c r="A123" s="298">
        <v>43276</v>
      </c>
      <c r="B123" s="119" t="s">
        <v>242</v>
      </c>
      <c r="C123" s="119" t="s">
        <v>238</v>
      </c>
      <c r="D123" s="120" t="s">
        <v>192</v>
      </c>
      <c r="E123" s="121">
        <v>2522.98</v>
      </c>
      <c r="F123" s="121">
        <v>2497.3200000000002</v>
      </c>
      <c r="G123" s="121">
        <v>2468.0500000000002</v>
      </c>
      <c r="H123" s="121">
        <v>2452.9</v>
      </c>
      <c r="I123" s="121">
        <v>2453.2199999999998</v>
      </c>
      <c r="J123" s="121">
        <v>2466.06</v>
      </c>
      <c r="K123" s="121">
        <v>2462.7199999999998</v>
      </c>
      <c r="L123" s="121">
        <v>2473.17</v>
      </c>
      <c r="M123" s="121">
        <v>2469.08</v>
      </c>
      <c r="N123" s="121">
        <v>2454.84</v>
      </c>
      <c r="O123" s="121">
        <v>2465.39</v>
      </c>
      <c r="P123" s="121">
        <v>2493.4699999999998</v>
      </c>
      <c r="Q123" s="121">
        <v>2519.79</v>
      </c>
      <c r="R123" s="301">
        <f>IF((Q124=""),"",MAX(E125:Q125))</f>
        <v>408.21000000000004</v>
      </c>
      <c r="S123" s="301">
        <f>IF(Q124="","",MIN(E125:Q125))</f>
        <v>315.14000000000033</v>
      </c>
      <c r="T123" s="304">
        <f>IF((Q125=""),"",AVERAGE(E125:Q125))</f>
        <v>352.6938461538461</v>
      </c>
      <c r="U123" s="304">
        <f>IF((Q124=""),"",(R123-S123)/(R123+S123)*100)</f>
        <v>12.866523812815325</v>
      </c>
      <c r="V123" s="304">
        <f>STDEV(E125:Q125)</f>
        <v>31.862432042156225</v>
      </c>
      <c r="W123" s="292" t="str">
        <f>IF(Q124="","",IF(T123&gt;300,IF(U123&lt;14,IF(T123&lt;390,"Pass","Fail"),"Fail"),"Fail"))</f>
        <v>Pass</v>
      </c>
      <c r="X123" s="295">
        <v>1340</v>
      </c>
      <c r="Y123" s="261" t="s">
        <v>205</v>
      </c>
      <c r="Z123" s="255"/>
      <c r="AA123" s="122">
        <v>270</v>
      </c>
      <c r="AB123" s="122">
        <v>370</v>
      </c>
      <c r="AC123" s="122">
        <v>300</v>
      </c>
      <c r="AD123" s="123">
        <v>390</v>
      </c>
      <c r="AE123" s="123">
        <v>14</v>
      </c>
      <c r="AF123" s="123">
        <v>20</v>
      </c>
    </row>
    <row r="124" spans="1:32" ht="15.55" x14ac:dyDescent="0.25">
      <c r="A124" s="299"/>
      <c r="B124" s="124"/>
      <c r="C124" s="124"/>
      <c r="D124" s="120" t="s">
        <v>193</v>
      </c>
      <c r="E124" s="121">
        <v>2118.5300000000002</v>
      </c>
      <c r="F124" s="121">
        <v>2120.4299999999998</v>
      </c>
      <c r="G124" s="121">
        <v>2123.62</v>
      </c>
      <c r="H124" s="121">
        <v>2127.86</v>
      </c>
      <c r="I124" s="121">
        <v>2130.94</v>
      </c>
      <c r="J124" s="121">
        <v>2140.62</v>
      </c>
      <c r="K124" s="121">
        <v>2098.4299999999998</v>
      </c>
      <c r="L124" s="121">
        <v>2114.38</v>
      </c>
      <c r="M124" s="121">
        <v>2150.02</v>
      </c>
      <c r="N124" s="121">
        <v>2139.6999999999998</v>
      </c>
      <c r="O124" s="121">
        <v>2120.71</v>
      </c>
      <c r="P124" s="121">
        <v>2117.15</v>
      </c>
      <c r="Q124" s="121">
        <v>2111.58</v>
      </c>
      <c r="R124" s="302"/>
      <c r="S124" s="302"/>
      <c r="T124" s="305"/>
      <c r="U124" s="305"/>
      <c r="V124" s="307"/>
      <c r="W124" s="293"/>
      <c r="X124" s="296"/>
      <c r="Y124" s="258"/>
      <c r="Z124" s="255"/>
      <c r="AA124" s="122"/>
      <c r="AB124" s="122"/>
      <c r="AC124" s="122"/>
      <c r="AD124" s="123"/>
      <c r="AE124" s="123"/>
      <c r="AF124" s="123"/>
    </row>
    <row r="125" spans="1:32" ht="62.05" x14ac:dyDescent="0.3">
      <c r="A125" s="300"/>
      <c r="B125" s="119"/>
      <c r="C125" s="119"/>
      <c r="D125" s="120" t="s">
        <v>194</v>
      </c>
      <c r="E125" s="125">
        <f t="shared" ref="E125:Q125" si="39">IF(((E123="")*AND(E124="")),"",(E123-E124))</f>
        <v>404.44999999999982</v>
      </c>
      <c r="F125" s="125">
        <f t="shared" si="39"/>
        <v>376.89000000000033</v>
      </c>
      <c r="G125" s="125">
        <f t="shared" si="39"/>
        <v>344.43000000000029</v>
      </c>
      <c r="H125" s="125">
        <f t="shared" si="39"/>
        <v>325.03999999999996</v>
      </c>
      <c r="I125" s="125">
        <f t="shared" si="39"/>
        <v>322.27999999999975</v>
      </c>
      <c r="J125" s="125">
        <f t="shared" si="39"/>
        <v>325.44000000000005</v>
      </c>
      <c r="K125" s="125">
        <f t="shared" si="39"/>
        <v>364.28999999999996</v>
      </c>
      <c r="L125" s="125">
        <f t="shared" si="39"/>
        <v>358.78999999999996</v>
      </c>
      <c r="M125" s="125">
        <f t="shared" si="39"/>
        <v>319.05999999999995</v>
      </c>
      <c r="N125" s="125">
        <f t="shared" si="39"/>
        <v>315.14000000000033</v>
      </c>
      <c r="O125" s="125">
        <f t="shared" si="39"/>
        <v>344.67999999999984</v>
      </c>
      <c r="P125" s="125">
        <f t="shared" si="39"/>
        <v>376.31999999999971</v>
      </c>
      <c r="Q125" s="125">
        <f t="shared" si="39"/>
        <v>408.21000000000004</v>
      </c>
      <c r="R125" s="303"/>
      <c r="S125" s="303"/>
      <c r="T125" s="306"/>
      <c r="U125" s="306"/>
      <c r="V125" s="308"/>
      <c r="W125" s="294"/>
      <c r="X125" s="297"/>
      <c r="Y125" s="259"/>
      <c r="Z125" s="255"/>
      <c r="AA125" s="122"/>
      <c r="AB125" s="122"/>
      <c r="AC125" s="122"/>
      <c r="AD125" s="122"/>
      <c r="AE125" s="122"/>
      <c r="AF125" s="126"/>
    </row>
    <row r="126" spans="1:32" ht="15.55" x14ac:dyDescent="0.25">
      <c r="A126" s="298">
        <v>43279</v>
      </c>
      <c r="B126" s="119" t="s">
        <v>242</v>
      </c>
      <c r="C126" s="119" t="s">
        <v>238</v>
      </c>
      <c r="D126" s="120" t="s">
        <v>192</v>
      </c>
      <c r="E126" s="121">
        <v>2122.4899999999998</v>
      </c>
      <c r="F126" s="121">
        <v>2116.2800000000002</v>
      </c>
      <c r="G126" s="121">
        <v>2116.61</v>
      </c>
      <c r="H126" s="121">
        <v>2122.58</v>
      </c>
      <c r="I126" s="121">
        <v>2124.06</v>
      </c>
      <c r="J126" s="121">
        <v>2138.4499999999998</v>
      </c>
      <c r="K126" s="121">
        <v>2095.6</v>
      </c>
      <c r="L126" s="121">
        <v>2110.23</v>
      </c>
      <c r="M126" s="121">
        <v>2147.86</v>
      </c>
      <c r="N126" s="121">
        <v>2135.86</v>
      </c>
      <c r="O126" s="121">
        <v>2120.44</v>
      </c>
      <c r="P126" s="121">
        <v>2112.92</v>
      </c>
      <c r="Q126" s="121">
        <v>2106.9899999999998</v>
      </c>
      <c r="R126" s="301">
        <f>IF((Q127=""),"",MAX(E128:Q128))</f>
        <v>415.57999999999993</v>
      </c>
      <c r="S126" s="301">
        <f>IF(Q127="","",MIN(E128:Q128))</f>
        <v>314.98</v>
      </c>
      <c r="T126" s="304">
        <f>IF((Q128=""),"",AVERAGE(E128:Q128))</f>
        <v>354.23769230769233</v>
      </c>
      <c r="U126" s="304">
        <f>IF((Q127=""),"",(R126-S126)/(R126+S126)*100)</f>
        <v>13.770258431887855</v>
      </c>
      <c r="V126" s="304">
        <f>STDEV(E128:Q128)</f>
        <v>35.752295533258142</v>
      </c>
      <c r="W126" s="292" t="str">
        <f>IF(Q127="","",IF(T126&gt;300,IF(U126&lt;14,IF(T126&lt;390,"Pass","Fail"),"Fail"),"Fail"))</f>
        <v>Pass</v>
      </c>
      <c r="X126" s="295"/>
      <c r="Y126" s="309"/>
      <c r="Z126" s="255"/>
      <c r="AA126" s="122">
        <v>270</v>
      </c>
      <c r="AB126" s="122">
        <v>370</v>
      </c>
      <c r="AC126" s="122">
        <v>300</v>
      </c>
      <c r="AD126" s="123">
        <v>390</v>
      </c>
      <c r="AE126" s="123">
        <v>14</v>
      </c>
      <c r="AF126" s="123">
        <v>20</v>
      </c>
    </row>
    <row r="127" spans="1:32" ht="15.55" x14ac:dyDescent="0.25">
      <c r="A127" s="299"/>
      <c r="B127" s="124"/>
      <c r="C127" s="124"/>
      <c r="D127" s="120" t="s">
        <v>193</v>
      </c>
      <c r="E127" s="121">
        <v>1737.72</v>
      </c>
      <c r="F127" s="121">
        <v>1800.86</v>
      </c>
      <c r="G127" s="121">
        <v>1801.63</v>
      </c>
      <c r="H127" s="121">
        <v>1788.66</v>
      </c>
      <c r="I127" s="121">
        <v>1790.17</v>
      </c>
      <c r="J127" s="121">
        <v>1772.78</v>
      </c>
      <c r="K127" s="121">
        <v>1680.76</v>
      </c>
      <c r="L127" s="121">
        <v>1694.65</v>
      </c>
      <c r="M127" s="121">
        <v>1778.69</v>
      </c>
      <c r="N127" s="121">
        <v>1791.16</v>
      </c>
      <c r="O127" s="121">
        <v>1797.25</v>
      </c>
      <c r="P127" s="121">
        <v>1795.8</v>
      </c>
      <c r="Q127" s="121">
        <v>1735.15</v>
      </c>
      <c r="R127" s="302"/>
      <c r="S127" s="302"/>
      <c r="T127" s="305"/>
      <c r="U127" s="305"/>
      <c r="V127" s="307"/>
      <c r="W127" s="293"/>
      <c r="X127" s="296"/>
      <c r="Y127" s="310"/>
      <c r="Z127" s="255"/>
      <c r="AA127" s="122"/>
      <c r="AB127" s="122"/>
      <c r="AC127" s="122"/>
      <c r="AD127" s="123"/>
      <c r="AE127" s="123"/>
      <c r="AF127" s="123"/>
    </row>
    <row r="128" spans="1:32" ht="62.05" x14ac:dyDescent="0.3">
      <c r="A128" s="300"/>
      <c r="B128" s="119"/>
      <c r="C128" s="119"/>
      <c r="D128" s="120" t="s">
        <v>194</v>
      </c>
      <c r="E128" s="125">
        <f t="shared" ref="E128:Q128" si="40">IF(((E126="")*AND(E127="")),"",(E126-E127))</f>
        <v>384.76999999999975</v>
      </c>
      <c r="F128" s="125">
        <f t="shared" si="40"/>
        <v>315.4200000000003</v>
      </c>
      <c r="G128" s="125">
        <f t="shared" si="40"/>
        <v>314.98</v>
      </c>
      <c r="H128" s="125">
        <f t="shared" si="40"/>
        <v>333.91999999999985</v>
      </c>
      <c r="I128" s="125">
        <f t="shared" si="40"/>
        <v>333.88999999999987</v>
      </c>
      <c r="J128" s="125">
        <f t="shared" si="40"/>
        <v>365.66999999999985</v>
      </c>
      <c r="K128" s="125">
        <f t="shared" si="40"/>
        <v>414.83999999999992</v>
      </c>
      <c r="L128" s="125">
        <f t="shared" si="40"/>
        <v>415.57999999999993</v>
      </c>
      <c r="M128" s="125">
        <f t="shared" si="40"/>
        <v>369.17000000000007</v>
      </c>
      <c r="N128" s="125">
        <f t="shared" si="40"/>
        <v>344.70000000000005</v>
      </c>
      <c r="O128" s="125">
        <f t="shared" si="40"/>
        <v>323.19000000000005</v>
      </c>
      <c r="P128" s="125">
        <f t="shared" si="40"/>
        <v>317.12000000000012</v>
      </c>
      <c r="Q128" s="125">
        <f t="shared" si="40"/>
        <v>371.83999999999969</v>
      </c>
      <c r="R128" s="303"/>
      <c r="S128" s="303"/>
      <c r="T128" s="306"/>
      <c r="U128" s="306"/>
      <c r="V128" s="308"/>
      <c r="W128" s="294"/>
      <c r="X128" s="297"/>
      <c r="Y128" s="311"/>
      <c r="Z128" s="255"/>
      <c r="AA128" s="122"/>
      <c r="AB128" s="122"/>
      <c r="AC128" s="122"/>
      <c r="AD128" s="122"/>
      <c r="AE128" s="122"/>
      <c r="AF128" s="126"/>
    </row>
    <row r="129" spans="1:32" ht="15.55" x14ac:dyDescent="0.25">
      <c r="A129" s="298">
        <v>43283</v>
      </c>
      <c r="B129" s="119" t="s">
        <v>242</v>
      </c>
      <c r="C129" s="119" t="s">
        <v>238</v>
      </c>
      <c r="D129" s="120" t="s">
        <v>192</v>
      </c>
      <c r="E129" s="121">
        <v>1737.72</v>
      </c>
      <c r="F129" s="121">
        <v>1803.86</v>
      </c>
      <c r="G129" s="121">
        <v>1801.63</v>
      </c>
      <c r="H129" s="121">
        <v>1788.66</v>
      </c>
      <c r="I129" s="121">
        <v>1790.17</v>
      </c>
      <c r="J129" s="121">
        <v>1772.78</v>
      </c>
      <c r="K129" s="121">
        <v>1680.76</v>
      </c>
      <c r="L129" s="121">
        <v>1694.65</v>
      </c>
      <c r="M129" s="121">
        <v>1778.69</v>
      </c>
      <c r="N129" s="121">
        <v>1791.16</v>
      </c>
      <c r="O129" s="121">
        <v>1797.25</v>
      </c>
      <c r="P129" s="121">
        <v>1795.8</v>
      </c>
      <c r="Q129" s="121">
        <v>1735.15</v>
      </c>
      <c r="R129" s="301">
        <f>IF((Q130=""),"",MAX(E131:Q131))</f>
        <v>376.16000000000008</v>
      </c>
      <c r="S129" s="301">
        <f>IF(Q130="","",MIN(E131:Q131))</f>
        <v>314.49</v>
      </c>
      <c r="T129" s="304">
        <f>IF((Q131=""),"",AVERAGE(E131:Q131))</f>
        <v>337.55230769230764</v>
      </c>
      <c r="U129" s="304">
        <f>IF((Q130=""),"",(R129-S129)/(R129+S129)*100)</f>
        <v>8.9292695287048538</v>
      </c>
      <c r="V129" s="304">
        <f>STDEV(E131:Q131)</f>
        <v>21.73389831340516</v>
      </c>
      <c r="W129" s="292" t="str">
        <f>IF(Q130="","",IF(T129&gt;300,IF(U129&lt;14,IF(T129&lt;390,"Pass","Fail"),"Fail"),"Fail"))</f>
        <v>Pass</v>
      </c>
      <c r="X129" s="295">
        <v>1340</v>
      </c>
      <c r="Y129" s="309"/>
      <c r="Z129" s="255"/>
      <c r="AA129" s="122">
        <v>270</v>
      </c>
      <c r="AB129" s="122">
        <v>370</v>
      </c>
      <c r="AC129" s="122">
        <v>300</v>
      </c>
      <c r="AD129" s="123">
        <v>390</v>
      </c>
      <c r="AE129" s="123">
        <v>14</v>
      </c>
      <c r="AF129" s="123">
        <v>20</v>
      </c>
    </row>
    <row r="130" spans="1:32" ht="15.55" x14ac:dyDescent="0.25">
      <c r="A130" s="299"/>
      <c r="B130" s="124"/>
      <c r="C130" s="124"/>
      <c r="D130" s="120" t="s">
        <v>193</v>
      </c>
      <c r="E130" s="121">
        <v>1372.13</v>
      </c>
      <c r="F130" s="121">
        <v>1470.63</v>
      </c>
      <c r="G130" s="121">
        <v>1478.96</v>
      </c>
      <c r="H130" s="121">
        <v>1474.17</v>
      </c>
      <c r="I130" s="121">
        <v>1470.39</v>
      </c>
      <c r="J130" s="121">
        <v>1442.22</v>
      </c>
      <c r="K130" s="121">
        <v>1312.44</v>
      </c>
      <c r="L130" s="121">
        <v>1336</v>
      </c>
      <c r="M130" s="121">
        <v>1453.31</v>
      </c>
      <c r="N130" s="121">
        <v>1473.35</v>
      </c>
      <c r="O130" s="121">
        <v>1477.66</v>
      </c>
      <c r="P130" s="121">
        <v>1459.85</v>
      </c>
      <c r="Q130" s="121">
        <v>1358.99</v>
      </c>
      <c r="R130" s="302"/>
      <c r="S130" s="302"/>
      <c r="T130" s="305"/>
      <c r="U130" s="305"/>
      <c r="V130" s="307"/>
      <c r="W130" s="293"/>
      <c r="X130" s="296"/>
      <c r="Y130" s="310"/>
      <c r="Z130" s="255"/>
      <c r="AA130" s="122"/>
      <c r="AB130" s="122"/>
      <c r="AC130" s="122"/>
      <c r="AD130" s="123"/>
      <c r="AE130" s="123"/>
      <c r="AF130" s="123"/>
    </row>
    <row r="131" spans="1:32" ht="62.05" x14ac:dyDescent="0.3">
      <c r="A131" s="300"/>
      <c r="B131" s="119"/>
      <c r="C131" s="119"/>
      <c r="D131" s="120" t="s">
        <v>194</v>
      </c>
      <c r="E131" s="125">
        <f t="shared" ref="E131:Q131" si="41">IF(((E129="")*AND(E130="")),"",(E129-E130))</f>
        <v>365.58999999999992</v>
      </c>
      <c r="F131" s="125">
        <f t="shared" si="41"/>
        <v>333.22999999999979</v>
      </c>
      <c r="G131" s="125">
        <f t="shared" si="41"/>
        <v>322.67000000000007</v>
      </c>
      <c r="H131" s="125">
        <f t="shared" si="41"/>
        <v>314.49</v>
      </c>
      <c r="I131" s="125">
        <f t="shared" si="41"/>
        <v>319.77999999999997</v>
      </c>
      <c r="J131" s="125">
        <f t="shared" si="41"/>
        <v>330.55999999999995</v>
      </c>
      <c r="K131" s="125">
        <f t="shared" si="41"/>
        <v>368.31999999999994</v>
      </c>
      <c r="L131" s="125">
        <f t="shared" si="41"/>
        <v>358.65000000000009</v>
      </c>
      <c r="M131" s="125">
        <f t="shared" si="41"/>
        <v>325.38000000000011</v>
      </c>
      <c r="N131" s="125">
        <f t="shared" si="41"/>
        <v>317.81000000000017</v>
      </c>
      <c r="O131" s="125">
        <f t="shared" si="41"/>
        <v>319.58999999999992</v>
      </c>
      <c r="P131" s="125">
        <f t="shared" si="41"/>
        <v>335.95000000000005</v>
      </c>
      <c r="Q131" s="125">
        <f t="shared" si="41"/>
        <v>376.16000000000008</v>
      </c>
      <c r="R131" s="303"/>
      <c r="S131" s="303"/>
      <c r="T131" s="306"/>
      <c r="U131" s="306"/>
      <c r="V131" s="308"/>
      <c r="W131" s="294"/>
      <c r="X131" s="297"/>
      <c r="Y131" s="311"/>
      <c r="Z131" s="255"/>
      <c r="AA131" s="122"/>
      <c r="AB131" s="122"/>
      <c r="AC131" s="122"/>
      <c r="AD131" s="122"/>
      <c r="AE131" s="122"/>
      <c r="AF131" s="126"/>
    </row>
    <row r="132" spans="1:32" ht="15.55" x14ac:dyDescent="0.25">
      <c r="A132" s="298">
        <v>43286</v>
      </c>
      <c r="B132" s="119" t="s">
        <v>242</v>
      </c>
      <c r="C132" s="119" t="s">
        <v>238</v>
      </c>
      <c r="D132" s="120" t="s">
        <v>192</v>
      </c>
      <c r="E132" s="121">
        <v>2042.65</v>
      </c>
      <c r="F132" s="121">
        <v>2060.89</v>
      </c>
      <c r="G132" s="121">
        <v>2079.14</v>
      </c>
      <c r="H132" s="121">
        <v>2084.1799999999998</v>
      </c>
      <c r="I132" s="121">
        <v>2100.1999999999998</v>
      </c>
      <c r="J132" s="121">
        <v>2120.16</v>
      </c>
      <c r="K132" s="121">
        <v>2128.91</v>
      </c>
      <c r="L132" s="121">
        <v>2130.4499999999998</v>
      </c>
      <c r="M132" s="121">
        <v>2125.1999999999998</v>
      </c>
      <c r="N132" s="121">
        <v>2109.46</v>
      </c>
      <c r="O132" s="121">
        <v>2082.06</v>
      </c>
      <c r="P132" s="121">
        <v>2067.9299999999998</v>
      </c>
      <c r="Q132" s="121">
        <v>2059.11</v>
      </c>
      <c r="R132" s="301">
        <f>IF((Q133=""),"",MAX(E134:Q134))</f>
        <v>382.06999999999971</v>
      </c>
      <c r="S132" s="301">
        <f>IF(Q133="","",MIN(E134:Q134))</f>
        <v>312.34999999999991</v>
      </c>
      <c r="T132" s="304">
        <f>IF((Q134=""),"",AVERAGE(E134:Q134))</f>
        <v>339.17923076923063</v>
      </c>
      <c r="U132" s="304">
        <f>IF((Q133=""),"",(R132-S132)/(R132+S132)*100)</f>
        <v>10.04003340917598</v>
      </c>
      <c r="V132" s="304">
        <f>STDEV(E134:Q134)</f>
        <v>23.65144056977589</v>
      </c>
      <c r="W132" s="292" t="str">
        <f>IF(Q133="","",IF(T132&gt;300,IF(U132&lt;14,IF(T132&lt;390,"Pass","Fail"),"Fail"),"Fail"))</f>
        <v>Pass</v>
      </c>
      <c r="X132" s="295">
        <v>121</v>
      </c>
      <c r="Y132" s="309"/>
      <c r="Z132" s="255"/>
      <c r="AA132" s="122">
        <v>270</v>
      </c>
      <c r="AB132" s="122">
        <v>370</v>
      </c>
      <c r="AC132" s="122">
        <v>300</v>
      </c>
      <c r="AD132" s="123">
        <v>390</v>
      </c>
      <c r="AE132" s="123">
        <v>14</v>
      </c>
      <c r="AF132" s="123">
        <v>20</v>
      </c>
    </row>
    <row r="133" spans="1:32" ht="15.55" x14ac:dyDescent="0.25">
      <c r="A133" s="299"/>
      <c r="B133" s="124"/>
      <c r="C133" s="124"/>
      <c r="D133" s="120" t="s">
        <v>193</v>
      </c>
      <c r="E133" s="121">
        <v>1690.6</v>
      </c>
      <c r="F133" s="121">
        <v>1744.05</v>
      </c>
      <c r="G133" s="121">
        <v>1763.54</v>
      </c>
      <c r="H133" s="121">
        <v>1771.83</v>
      </c>
      <c r="I133" s="121">
        <v>1778.22</v>
      </c>
      <c r="J133" s="121">
        <v>1774.49</v>
      </c>
      <c r="K133" s="121">
        <v>1755.47</v>
      </c>
      <c r="L133" s="121">
        <v>1748.38</v>
      </c>
      <c r="M133" s="121">
        <v>1776.47</v>
      </c>
      <c r="N133" s="121">
        <v>1776.09</v>
      </c>
      <c r="O133" s="121">
        <v>1765.67</v>
      </c>
      <c r="P133" s="121">
        <v>1741.2</v>
      </c>
      <c r="Q133" s="121">
        <v>1695</v>
      </c>
      <c r="R133" s="302"/>
      <c r="S133" s="302"/>
      <c r="T133" s="305"/>
      <c r="U133" s="305"/>
      <c r="V133" s="307"/>
      <c r="W133" s="293"/>
      <c r="X133" s="296"/>
      <c r="Y133" s="310"/>
      <c r="Z133" s="255"/>
      <c r="AA133" s="122"/>
      <c r="AB133" s="122"/>
      <c r="AC133" s="122"/>
      <c r="AD133" s="123"/>
      <c r="AE133" s="123"/>
      <c r="AF133" s="123"/>
    </row>
    <row r="134" spans="1:32" ht="62.05" x14ac:dyDescent="0.3">
      <c r="A134" s="300"/>
      <c r="B134" s="119"/>
      <c r="C134" s="119"/>
      <c r="D134" s="120" t="s">
        <v>194</v>
      </c>
      <c r="E134" s="125">
        <f t="shared" ref="E134:Q134" si="42">IF(((E132="")*AND(E133="")),"",(E132-E133))</f>
        <v>352.05000000000018</v>
      </c>
      <c r="F134" s="125">
        <f t="shared" si="42"/>
        <v>316.83999999999992</v>
      </c>
      <c r="G134" s="125">
        <f t="shared" si="42"/>
        <v>315.59999999999991</v>
      </c>
      <c r="H134" s="125">
        <f t="shared" si="42"/>
        <v>312.34999999999991</v>
      </c>
      <c r="I134" s="125">
        <f t="shared" si="42"/>
        <v>321.97999999999979</v>
      </c>
      <c r="J134" s="125">
        <f t="shared" si="42"/>
        <v>345.66999999999985</v>
      </c>
      <c r="K134" s="125">
        <f t="shared" si="42"/>
        <v>373.43999999999983</v>
      </c>
      <c r="L134" s="125">
        <f t="shared" si="42"/>
        <v>382.06999999999971</v>
      </c>
      <c r="M134" s="125">
        <f t="shared" si="42"/>
        <v>348.72999999999979</v>
      </c>
      <c r="N134" s="125">
        <f t="shared" si="42"/>
        <v>333.37000000000012</v>
      </c>
      <c r="O134" s="125">
        <f t="shared" si="42"/>
        <v>316.38999999999987</v>
      </c>
      <c r="P134" s="125">
        <f t="shared" si="42"/>
        <v>326.72999999999979</v>
      </c>
      <c r="Q134" s="125">
        <f t="shared" si="42"/>
        <v>364.11000000000013</v>
      </c>
      <c r="R134" s="303"/>
      <c r="S134" s="303"/>
      <c r="T134" s="306"/>
      <c r="U134" s="306"/>
      <c r="V134" s="308"/>
      <c r="W134" s="294"/>
      <c r="X134" s="297"/>
      <c r="Y134" s="311"/>
      <c r="Z134" s="255"/>
      <c r="AA134" s="122"/>
      <c r="AB134" s="122"/>
      <c r="AC134" s="122"/>
      <c r="AD134" s="122"/>
      <c r="AE134" s="122"/>
      <c r="AF134" s="126"/>
    </row>
    <row r="135" spans="1:32" ht="15.55" x14ac:dyDescent="0.25">
      <c r="A135" s="298">
        <v>43289</v>
      </c>
      <c r="B135" s="119" t="s">
        <v>242</v>
      </c>
      <c r="C135" s="119" t="s">
        <v>238</v>
      </c>
      <c r="D135" s="120" t="s">
        <v>192</v>
      </c>
      <c r="E135" s="121">
        <v>1685.39</v>
      </c>
      <c r="F135" s="121">
        <v>1739.22</v>
      </c>
      <c r="G135" s="121">
        <v>1738.01</v>
      </c>
      <c r="H135" s="121">
        <v>1757.85</v>
      </c>
      <c r="I135" s="121">
        <v>1777.94</v>
      </c>
      <c r="J135" s="121">
        <v>1772.33</v>
      </c>
      <c r="K135" s="121">
        <v>1757.42</v>
      </c>
      <c r="L135" s="121">
        <v>1739.91</v>
      </c>
      <c r="M135" s="121">
        <v>1771.07</v>
      </c>
      <c r="N135" s="121">
        <v>1769.13</v>
      </c>
      <c r="O135" s="121">
        <v>1750.53</v>
      </c>
      <c r="P135" s="121">
        <v>1742.91</v>
      </c>
      <c r="Q135" s="121">
        <v>1703.37</v>
      </c>
      <c r="R135" s="301">
        <f>IF((Q136=""),"",MAX(E137:Q137))</f>
        <v>367.37999999999988</v>
      </c>
      <c r="S135" s="301">
        <f>IF(Q136="","",MIN(E137:Q137))</f>
        <v>289.73</v>
      </c>
      <c r="T135" s="304">
        <f>IF((Q137=""),"",AVERAGE(E137:Q137))</f>
        <v>325.65076923076924</v>
      </c>
      <c r="U135" s="304">
        <f>IF((Q136=""),"",(R135-S135)/(R135+S135)*100)</f>
        <v>11.816895192585697</v>
      </c>
      <c r="V135" s="304">
        <f>STDEV(E137:Q137)</f>
        <v>28.451063677110142</v>
      </c>
      <c r="W135" s="292" t="str">
        <f>IF(Q136="","",IF(T135&gt;300,IF(U135&lt;14,IF(T135&lt;390,"Pass","Fail"),"Fail"),"Fail"))</f>
        <v>Pass</v>
      </c>
      <c r="X135" s="295">
        <v>1428</v>
      </c>
      <c r="Y135" s="261" t="s">
        <v>246</v>
      </c>
      <c r="Z135" s="255"/>
      <c r="AA135" s="122">
        <v>270</v>
      </c>
      <c r="AB135" s="122">
        <v>370</v>
      </c>
      <c r="AC135" s="122">
        <v>300</v>
      </c>
      <c r="AD135" s="123">
        <v>390</v>
      </c>
      <c r="AE135" s="123">
        <v>14</v>
      </c>
      <c r="AF135" s="123">
        <v>20</v>
      </c>
    </row>
    <row r="136" spans="1:32" ht="15.55" x14ac:dyDescent="0.25">
      <c r="A136" s="299"/>
      <c r="B136" s="124"/>
      <c r="C136" s="124"/>
      <c r="D136" s="120" t="s">
        <v>193</v>
      </c>
      <c r="E136" s="121">
        <v>1320.07</v>
      </c>
      <c r="F136" s="121">
        <v>1418.13</v>
      </c>
      <c r="G136" s="121">
        <v>1448.28</v>
      </c>
      <c r="H136" s="121">
        <v>1458.22</v>
      </c>
      <c r="I136" s="121">
        <v>1467.12</v>
      </c>
      <c r="J136" s="121">
        <v>1452.35</v>
      </c>
      <c r="K136" s="121">
        <v>1395.61</v>
      </c>
      <c r="L136" s="121">
        <v>1382.69</v>
      </c>
      <c r="M136" s="121">
        <v>1452.05</v>
      </c>
      <c r="N136" s="121">
        <v>1466.2</v>
      </c>
      <c r="O136" s="121">
        <v>1460.72</v>
      </c>
      <c r="P136" s="121">
        <v>1414.19</v>
      </c>
      <c r="Q136" s="121">
        <v>1335.99</v>
      </c>
      <c r="R136" s="302"/>
      <c r="S136" s="302"/>
      <c r="T136" s="305"/>
      <c r="U136" s="305"/>
      <c r="V136" s="307"/>
      <c r="W136" s="293"/>
      <c r="X136" s="296"/>
      <c r="Y136" s="258"/>
      <c r="Z136" s="255"/>
      <c r="AA136" s="122"/>
      <c r="AB136" s="122"/>
      <c r="AC136" s="122"/>
      <c r="AD136" s="123"/>
      <c r="AE136" s="123"/>
      <c r="AF136" s="123"/>
    </row>
    <row r="137" spans="1:32" ht="62.05" x14ac:dyDescent="0.3">
      <c r="A137" s="300"/>
      <c r="B137" s="119"/>
      <c r="C137" s="119"/>
      <c r="D137" s="120" t="s">
        <v>194</v>
      </c>
      <c r="E137" s="125">
        <f t="shared" ref="E137:Q137" si="43">IF(((E135="")*AND(E136="")),"",(E135-E136))</f>
        <v>365.32000000000016</v>
      </c>
      <c r="F137" s="125">
        <f t="shared" si="43"/>
        <v>321.08999999999992</v>
      </c>
      <c r="G137" s="125">
        <f t="shared" si="43"/>
        <v>289.73</v>
      </c>
      <c r="H137" s="125">
        <f t="shared" si="43"/>
        <v>299.62999999999988</v>
      </c>
      <c r="I137" s="125">
        <f t="shared" si="43"/>
        <v>310.82000000000016</v>
      </c>
      <c r="J137" s="125">
        <f t="shared" si="43"/>
        <v>319.98</v>
      </c>
      <c r="K137" s="125">
        <f t="shared" si="43"/>
        <v>361.81000000000017</v>
      </c>
      <c r="L137" s="125">
        <f t="shared" si="43"/>
        <v>357.22</v>
      </c>
      <c r="M137" s="125">
        <f t="shared" si="43"/>
        <v>319.02</v>
      </c>
      <c r="N137" s="125">
        <f t="shared" si="43"/>
        <v>302.93000000000006</v>
      </c>
      <c r="O137" s="125">
        <f t="shared" si="43"/>
        <v>289.80999999999995</v>
      </c>
      <c r="P137" s="125">
        <f t="shared" si="43"/>
        <v>328.72</v>
      </c>
      <c r="Q137" s="125">
        <f t="shared" si="43"/>
        <v>367.37999999999988</v>
      </c>
      <c r="R137" s="303"/>
      <c r="S137" s="303"/>
      <c r="T137" s="306"/>
      <c r="U137" s="306"/>
      <c r="V137" s="308"/>
      <c r="W137" s="294"/>
      <c r="X137" s="297"/>
      <c r="Y137" s="259"/>
      <c r="Z137" s="255"/>
      <c r="AA137" s="122"/>
      <c r="AB137" s="122"/>
      <c r="AC137" s="122"/>
      <c r="AD137" s="122"/>
      <c r="AE137" s="122"/>
      <c r="AF137" s="126"/>
    </row>
    <row r="138" spans="1:32" ht="15.55" x14ac:dyDescent="0.25">
      <c r="A138" s="298">
        <v>43292</v>
      </c>
      <c r="B138" s="119" t="s">
        <v>242</v>
      </c>
      <c r="C138" s="119" t="s">
        <v>238</v>
      </c>
      <c r="D138" s="120" t="s">
        <v>192</v>
      </c>
      <c r="E138" s="121">
        <v>1860.54</v>
      </c>
      <c r="F138" s="121">
        <v>1770.45</v>
      </c>
      <c r="G138" s="121">
        <v>1738.25</v>
      </c>
      <c r="H138" s="121">
        <v>1727.16</v>
      </c>
      <c r="I138" s="121">
        <v>1728.07</v>
      </c>
      <c r="J138" s="121">
        <v>1759.92</v>
      </c>
      <c r="K138" s="121">
        <v>1865.76</v>
      </c>
      <c r="L138" s="121">
        <v>1836.16</v>
      </c>
      <c r="M138" s="121">
        <v>1750.02</v>
      </c>
      <c r="N138" s="121">
        <v>1725.85</v>
      </c>
      <c r="O138" s="121">
        <v>1746.88</v>
      </c>
      <c r="P138" s="121">
        <v>1797.9</v>
      </c>
      <c r="Q138" s="121">
        <v>1920.09</v>
      </c>
      <c r="R138" s="301">
        <f>IF((Q139=""),"",MAX(E140:Q140))</f>
        <v>356.23</v>
      </c>
      <c r="S138" s="301">
        <f>IF(Q139="","",MIN(E140:Q140))</f>
        <v>310.30000000000018</v>
      </c>
      <c r="T138" s="304">
        <f>IF((Q140=""),"",AVERAGE(E140:Q140))</f>
        <v>328.53230769230771</v>
      </c>
      <c r="U138" s="304">
        <f>IF((Q139=""),"",(R138-S138)/(R138+S138)*100)</f>
        <v>6.8909126370905769</v>
      </c>
      <c r="V138" s="304">
        <f>STDEV(E140:Q140)</f>
        <v>15.347452640881571</v>
      </c>
      <c r="W138" s="292" t="str">
        <f>IF(Q139="","",IF(T138&gt;300,IF(U138&lt;14,IF(T138&lt;390,"Pass","Fail"),"Fail"),"Fail"))</f>
        <v>Pass</v>
      </c>
      <c r="X138" s="295">
        <v>1335</v>
      </c>
      <c r="Y138" s="309"/>
      <c r="Z138" s="255"/>
      <c r="AA138" s="122">
        <v>270</v>
      </c>
      <c r="AB138" s="122">
        <v>370</v>
      </c>
      <c r="AC138" s="122">
        <v>300</v>
      </c>
      <c r="AD138" s="123">
        <v>390</v>
      </c>
      <c r="AE138" s="123">
        <v>14</v>
      </c>
      <c r="AF138" s="123">
        <v>20</v>
      </c>
    </row>
    <row r="139" spans="1:32" ht="15.55" x14ac:dyDescent="0.25">
      <c r="A139" s="299"/>
      <c r="B139" s="124"/>
      <c r="C139" s="124"/>
      <c r="D139" s="120" t="s">
        <v>193</v>
      </c>
      <c r="E139" s="121">
        <v>1504.31</v>
      </c>
      <c r="F139" s="121">
        <v>1443.17</v>
      </c>
      <c r="G139" s="121">
        <v>1424.25</v>
      </c>
      <c r="H139" s="121">
        <v>1416.86</v>
      </c>
      <c r="I139" s="121">
        <v>1414.72</v>
      </c>
      <c r="J139" s="121">
        <v>1432.39</v>
      </c>
      <c r="K139" s="121">
        <v>1519.71</v>
      </c>
      <c r="L139" s="121">
        <v>1485.35</v>
      </c>
      <c r="M139" s="121">
        <v>1424.36</v>
      </c>
      <c r="N139" s="121">
        <v>1412.48</v>
      </c>
      <c r="O139" s="121">
        <v>1429.79</v>
      </c>
      <c r="P139" s="121">
        <v>1467.53</v>
      </c>
      <c r="Q139" s="121">
        <v>1581.21</v>
      </c>
      <c r="R139" s="302"/>
      <c r="S139" s="302"/>
      <c r="T139" s="305"/>
      <c r="U139" s="305"/>
      <c r="V139" s="307"/>
      <c r="W139" s="293"/>
      <c r="X139" s="296"/>
      <c r="Y139" s="310"/>
      <c r="Z139" s="255"/>
      <c r="AA139" s="122"/>
      <c r="AB139" s="122"/>
      <c r="AC139" s="122"/>
      <c r="AD139" s="123"/>
      <c r="AE139" s="123"/>
      <c r="AF139" s="123"/>
    </row>
    <row r="140" spans="1:32" ht="62.05" x14ac:dyDescent="0.3">
      <c r="A140" s="300"/>
      <c r="B140" s="119"/>
      <c r="C140" s="119"/>
      <c r="D140" s="120" t="s">
        <v>194</v>
      </c>
      <c r="E140" s="125">
        <f t="shared" ref="E140:Q140" si="44">IF(((E138="")*AND(E139="")),"",(E138-E139))</f>
        <v>356.23</v>
      </c>
      <c r="F140" s="125">
        <f t="shared" si="44"/>
        <v>327.27999999999997</v>
      </c>
      <c r="G140" s="125">
        <f t="shared" si="44"/>
        <v>314</v>
      </c>
      <c r="H140" s="125">
        <f t="shared" si="44"/>
        <v>310.30000000000018</v>
      </c>
      <c r="I140" s="125">
        <f t="shared" si="44"/>
        <v>313.34999999999991</v>
      </c>
      <c r="J140" s="125">
        <f t="shared" si="44"/>
        <v>327.52999999999997</v>
      </c>
      <c r="K140" s="125">
        <f t="shared" si="44"/>
        <v>346.04999999999995</v>
      </c>
      <c r="L140" s="125">
        <f t="shared" si="44"/>
        <v>350.81000000000017</v>
      </c>
      <c r="M140" s="125">
        <f t="shared" si="44"/>
        <v>325.66000000000008</v>
      </c>
      <c r="N140" s="125">
        <f t="shared" si="44"/>
        <v>313.36999999999989</v>
      </c>
      <c r="O140" s="125">
        <f t="shared" si="44"/>
        <v>317.09000000000015</v>
      </c>
      <c r="P140" s="125">
        <f t="shared" si="44"/>
        <v>330.37000000000012</v>
      </c>
      <c r="Q140" s="125">
        <f t="shared" si="44"/>
        <v>338.87999999999988</v>
      </c>
      <c r="R140" s="303"/>
      <c r="S140" s="303"/>
      <c r="T140" s="306"/>
      <c r="U140" s="306"/>
      <c r="V140" s="308"/>
      <c r="W140" s="294"/>
      <c r="X140" s="297"/>
      <c r="Y140" s="311"/>
      <c r="Z140" s="255"/>
      <c r="AA140" s="122"/>
      <c r="AB140" s="122"/>
      <c r="AC140" s="122"/>
      <c r="AD140" s="122"/>
      <c r="AE140" s="122"/>
      <c r="AF140" s="126"/>
    </row>
    <row r="141" spans="1:32" ht="15.55" x14ac:dyDescent="0.25">
      <c r="A141" s="298">
        <v>43296</v>
      </c>
      <c r="B141" s="119" t="s">
        <v>242</v>
      </c>
      <c r="C141" s="119" t="s">
        <v>238</v>
      </c>
      <c r="D141" s="120" t="s">
        <v>192</v>
      </c>
      <c r="E141" s="121">
        <v>2881.64</v>
      </c>
      <c r="F141" s="121">
        <v>2831.34</v>
      </c>
      <c r="G141" s="121">
        <v>2801.47</v>
      </c>
      <c r="H141" s="121">
        <v>2793.02</v>
      </c>
      <c r="I141" s="121">
        <v>2801</v>
      </c>
      <c r="J141" s="121">
        <v>2822.23</v>
      </c>
      <c r="K141" s="121">
        <v>2865.81</v>
      </c>
      <c r="L141" s="121">
        <v>2879.68</v>
      </c>
      <c r="M141" s="121">
        <v>2822.68</v>
      </c>
      <c r="N141" s="121">
        <v>2793.38</v>
      </c>
      <c r="O141" s="121">
        <v>2815.14</v>
      </c>
      <c r="P141" s="121">
        <v>2856.31</v>
      </c>
      <c r="Q141" s="121">
        <v>2935.58</v>
      </c>
      <c r="R141" s="301">
        <f>IF((Q142=""),"",MAX(E143:Q143))</f>
        <v>377.88000000000011</v>
      </c>
      <c r="S141" s="301">
        <f>IF(Q142="","",MIN(E143:Q143))</f>
        <v>316.14000000000033</v>
      </c>
      <c r="T141" s="304">
        <f>IF((Q143=""),"",AVERAGE(E143:Q143))</f>
        <v>338.86230769230764</v>
      </c>
      <c r="U141" s="304">
        <f>IF((Q142=""),"",(R141-S141)/(R141+S141)*100)</f>
        <v>8.8959972335090836</v>
      </c>
      <c r="V141" s="304">
        <f>STDEV(E143:Q143)</f>
        <v>23.794503270659735</v>
      </c>
      <c r="W141" s="292" t="str">
        <f>IF(Q142="","",IF(T141&gt;300,IF(U141&lt;14,IF(T141&lt;390,"Pass","Fail"),"Fail"),"Fail"))</f>
        <v>Pass</v>
      </c>
      <c r="X141" s="295">
        <v>1335</v>
      </c>
      <c r="Y141" s="309"/>
      <c r="Z141" s="255"/>
      <c r="AA141" s="122">
        <v>270</v>
      </c>
      <c r="AB141" s="122">
        <v>370</v>
      </c>
      <c r="AC141" s="122">
        <v>300</v>
      </c>
      <c r="AD141" s="123">
        <v>390</v>
      </c>
      <c r="AE141" s="123">
        <v>14</v>
      </c>
      <c r="AF141" s="123">
        <v>20</v>
      </c>
    </row>
    <row r="142" spans="1:32" ht="15.55" x14ac:dyDescent="0.25">
      <c r="A142" s="299"/>
      <c r="B142" s="124"/>
      <c r="C142" s="124"/>
      <c r="D142" s="120" t="s">
        <v>193</v>
      </c>
      <c r="E142" s="121">
        <v>2510.17</v>
      </c>
      <c r="F142" s="121">
        <v>2499.92</v>
      </c>
      <c r="G142" s="121">
        <v>2483.13</v>
      </c>
      <c r="H142" s="121">
        <v>2475.37</v>
      </c>
      <c r="I142" s="121">
        <v>2478.62</v>
      </c>
      <c r="J142" s="121">
        <v>2494.63</v>
      </c>
      <c r="K142" s="121">
        <v>2494.9499999999998</v>
      </c>
      <c r="L142" s="121">
        <v>2510.7399999999998</v>
      </c>
      <c r="M142" s="121">
        <v>2491.8200000000002</v>
      </c>
      <c r="N142" s="121">
        <v>2477.2399999999998</v>
      </c>
      <c r="O142" s="121">
        <v>2493.5</v>
      </c>
      <c r="P142" s="121">
        <v>2526.2800000000002</v>
      </c>
      <c r="Q142" s="121">
        <v>2557.6999999999998</v>
      </c>
      <c r="R142" s="302"/>
      <c r="S142" s="302"/>
      <c r="T142" s="305"/>
      <c r="U142" s="305"/>
      <c r="V142" s="307"/>
      <c r="W142" s="293"/>
      <c r="X142" s="296"/>
      <c r="Y142" s="310"/>
      <c r="Z142" s="255"/>
      <c r="AA142" s="122"/>
      <c r="AB142" s="122"/>
      <c r="AC142" s="122"/>
      <c r="AD142" s="123"/>
      <c r="AE142" s="123"/>
      <c r="AF142" s="123"/>
    </row>
    <row r="143" spans="1:32" ht="62.05" x14ac:dyDescent="0.3">
      <c r="A143" s="300"/>
      <c r="B143" s="119"/>
      <c r="C143" s="119"/>
      <c r="D143" s="120" t="s">
        <v>194</v>
      </c>
      <c r="E143" s="125">
        <f t="shared" ref="E143:Q143" si="45">IF(((E141="")*AND(E142="")),"",(E141-E142))</f>
        <v>371.4699999999998</v>
      </c>
      <c r="F143" s="125">
        <f t="shared" si="45"/>
        <v>331.42000000000007</v>
      </c>
      <c r="G143" s="125">
        <f t="shared" si="45"/>
        <v>318.33999999999969</v>
      </c>
      <c r="H143" s="125">
        <f t="shared" si="45"/>
        <v>317.65000000000009</v>
      </c>
      <c r="I143" s="125">
        <f t="shared" si="45"/>
        <v>322.38000000000011</v>
      </c>
      <c r="J143" s="125">
        <f t="shared" si="45"/>
        <v>327.59999999999991</v>
      </c>
      <c r="K143" s="125">
        <f t="shared" si="45"/>
        <v>370.86000000000013</v>
      </c>
      <c r="L143" s="125">
        <f t="shared" si="45"/>
        <v>368.94000000000005</v>
      </c>
      <c r="M143" s="125">
        <f t="shared" si="45"/>
        <v>330.85999999999967</v>
      </c>
      <c r="N143" s="125">
        <f t="shared" si="45"/>
        <v>316.14000000000033</v>
      </c>
      <c r="O143" s="125">
        <f t="shared" si="45"/>
        <v>321.63999999999987</v>
      </c>
      <c r="P143" s="125">
        <f t="shared" si="45"/>
        <v>330.02999999999975</v>
      </c>
      <c r="Q143" s="125">
        <f t="shared" si="45"/>
        <v>377.88000000000011</v>
      </c>
      <c r="R143" s="303"/>
      <c r="S143" s="303"/>
      <c r="T143" s="306"/>
      <c r="U143" s="306"/>
      <c r="V143" s="308"/>
      <c r="W143" s="294"/>
      <c r="X143" s="297"/>
      <c r="Y143" s="311"/>
      <c r="Z143" s="255"/>
      <c r="AA143" s="122"/>
      <c r="AB143" s="122"/>
      <c r="AC143" s="122"/>
      <c r="AD143" s="122"/>
      <c r="AE143" s="122"/>
      <c r="AF143" s="126"/>
    </row>
    <row r="144" spans="1:32" ht="15.55" x14ac:dyDescent="0.25">
      <c r="A144" s="298">
        <v>43300</v>
      </c>
      <c r="B144" s="119" t="s">
        <v>242</v>
      </c>
      <c r="C144" s="119" t="s">
        <v>238</v>
      </c>
      <c r="D144" s="120" t="s">
        <v>192</v>
      </c>
      <c r="E144" s="121">
        <v>2510.17</v>
      </c>
      <c r="F144" s="121">
        <v>2499.92</v>
      </c>
      <c r="G144" s="121">
        <v>2483.13</v>
      </c>
      <c r="H144" s="121">
        <v>2475.37</v>
      </c>
      <c r="I144" s="121">
        <v>2478.62</v>
      </c>
      <c r="J144" s="121">
        <v>2494.63</v>
      </c>
      <c r="K144" s="121">
        <v>2494.9499999999998</v>
      </c>
      <c r="L144" s="121">
        <v>2510.7399999999998</v>
      </c>
      <c r="M144" s="121">
        <v>2491.8200000000002</v>
      </c>
      <c r="N144" s="121">
        <v>2477.2399999999998</v>
      </c>
      <c r="O144" s="121">
        <v>2493.5</v>
      </c>
      <c r="P144" s="121">
        <v>2526.2800000000002</v>
      </c>
      <c r="Q144" s="121">
        <v>2557.6999999999998</v>
      </c>
      <c r="R144" s="301">
        <f>IF((Q145=""),"",MAX(E146:Q146))</f>
        <v>421.38999999999987</v>
      </c>
      <c r="S144" s="301">
        <f>IF(Q145="","",MIN(E146:Q146))</f>
        <v>369.72000000000025</v>
      </c>
      <c r="T144" s="304">
        <f>IF((Q146=""),"",AVERAGE(E146:Q146))</f>
        <v>389.63846153846163</v>
      </c>
      <c r="U144" s="304">
        <f>IF((Q145=""),"",(R144-S144)/(R144+S144)*100)</f>
        <v>6.5313293979344991</v>
      </c>
      <c r="V144" s="304">
        <f>STDEV(E146:Q146)</f>
        <v>16.410502656405633</v>
      </c>
      <c r="W144" s="292" t="str">
        <f>IF(Q145="","",IF(T144&gt;300,IF(U144&lt;14,IF(T144&lt;390,"Pass","Fail"),"Fail"),"Fail"))</f>
        <v>Pass</v>
      </c>
      <c r="X144" s="295">
        <v>1340</v>
      </c>
      <c r="Y144" s="309"/>
      <c r="Z144" s="255"/>
      <c r="AA144" s="122">
        <v>270</v>
      </c>
      <c r="AB144" s="122">
        <v>370</v>
      </c>
      <c r="AC144" s="122">
        <v>300</v>
      </c>
      <c r="AD144" s="123">
        <v>390</v>
      </c>
      <c r="AE144" s="123">
        <v>14</v>
      </c>
      <c r="AF144" s="123">
        <v>20</v>
      </c>
    </row>
    <row r="145" spans="1:32" ht="15.55" x14ac:dyDescent="0.25">
      <c r="A145" s="299"/>
      <c r="B145" s="124"/>
      <c r="C145" s="124"/>
      <c r="D145" s="120" t="s">
        <v>193</v>
      </c>
      <c r="E145" s="121">
        <v>2089.0500000000002</v>
      </c>
      <c r="F145" s="121">
        <v>2098.1999999999998</v>
      </c>
      <c r="G145" s="121">
        <v>2095.7399999999998</v>
      </c>
      <c r="H145" s="121">
        <v>2095.17</v>
      </c>
      <c r="I145" s="121">
        <v>2107.2199999999998</v>
      </c>
      <c r="J145" s="121">
        <v>2113.33</v>
      </c>
      <c r="K145" s="121">
        <v>2112.5500000000002</v>
      </c>
      <c r="L145" s="121">
        <v>2124.62</v>
      </c>
      <c r="M145" s="121">
        <v>2122.1</v>
      </c>
      <c r="N145" s="121">
        <v>2098.08</v>
      </c>
      <c r="O145" s="121">
        <v>2104.09</v>
      </c>
      <c r="P145" s="121">
        <v>2132.31</v>
      </c>
      <c r="Q145" s="121">
        <v>2136.31</v>
      </c>
      <c r="R145" s="302"/>
      <c r="S145" s="302"/>
      <c r="T145" s="305"/>
      <c r="U145" s="305"/>
      <c r="V145" s="307"/>
      <c r="W145" s="293"/>
      <c r="X145" s="296"/>
      <c r="Y145" s="310"/>
      <c r="Z145" s="255"/>
      <c r="AA145" s="122"/>
      <c r="AB145" s="122"/>
      <c r="AC145" s="122"/>
      <c r="AD145" s="123"/>
      <c r="AE145" s="123"/>
      <c r="AF145" s="123"/>
    </row>
    <row r="146" spans="1:32" ht="62.05" x14ac:dyDescent="0.3">
      <c r="A146" s="300"/>
      <c r="B146" s="119"/>
      <c r="C146" s="119"/>
      <c r="D146" s="120" t="s">
        <v>194</v>
      </c>
      <c r="E146" s="125">
        <f t="shared" ref="E146:Q146" si="46">IF(((E144="")*AND(E145="")),"",(E144-E145))</f>
        <v>421.11999999999989</v>
      </c>
      <c r="F146" s="125">
        <f t="shared" si="46"/>
        <v>401.72000000000025</v>
      </c>
      <c r="G146" s="125">
        <f t="shared" si="46"/>
        <v>387.39000000000033</v>
      </c>
      <c r="H146" s="125">
        <f t="shared" si="46"/>
        <v>380.19999999999982</v>
      </c>
      <c r="I146" s="125">
        <f t="shared" si="46"/>
        <v>371.40000000000009</v>
      </c>
      <c r="J146" s="125">
        <f t="shared" si="46"/>
        <v>381.30000000000018</v>
      </c>
      <c r="K146" s="125">
        <f t="shared" si="46"/>
        <v>382.39999999999964</v>
      </c>
      <c r="L146" s="125">
        <f t="shared" si="46"/>
        <v>386.11999999999989</v>
      </c>
      <c r="M146" s="125">
        <f t="shared" si="46"/>
        <v>369.72000000000025</v>
      </c>
      <c r="N146" s="125">
        <f t="shared" si="46"/>
        <v>379.15999999999985</v>
      </c>
      <c r="O146" s="125">
        <f t="shared" si="46"/>
        <v>389.40999999999985</v>
      </c>
      <c r="P146" s="125">
        <f t="shared" si="46"/>
        <v>393.97000000000025</v>
      </c>
      <c r="Q146" s="125">
        <f t="shared" si="46"/>
        <v>421.38999999999987</v>
      </c>
      <c r="R146" s="303"/>
      <c r="S146" s="303"/>
      <c r="T146" s="306"/>
      <c r="U146" s="306"/>
      <c r="V146" s="308"/>
      <c r="W146" s="294"/>
      <c r="X146" s="297"/>
      <c r="Y146" s="311"/>
      <c r="Z146" s="255"/>
      <c r="AA146" s="122"/>
      <c r="AB146" s="122"/>
      <c r="AC146" s="122"/>
      <c r="AD146" s="122"/>
      <c r="AE146" s="122"/>
      <c r="AF146" s="126"/>
    </row>
    <row r="147" spans="1:32" ht="15.55" x14ac:dyDescent="0.25">
      <c r="A147" s="298">
        <v>43303</v>
      </c>
      <c r="B147" s="119" t="s">
        <v>242</v>
      </c>
      <c r="C147" s="119" t="s">
        <v>238</v>
      </c>
      <c r="D147" s="120" t="s">
        <v>192</v>
      </c>
      <c r="E147" s="121">
        <v>2889.27</v>
      </c>
      <c r="F147" s="121">
        <v>2835.39</v>
      </c>
      <c r="G147" s="121">
        <v>2808.55</v>
      </c>
      <c r="H147" s="121">
        <v>2795.47</v>
      </c>
      <c r="I147" s="121">
        <v>2798.09</v>
      </c>
      <c r="J147" s="121">
        <v>2822.43</v>
      </c>
      <c r="K147" s="121">
        <v>2875.52</v>
      </c>
      <c r="L147" s="121">
        <v>2879.35</v>
      </c>
      <c r="M147" s="121">
        <v>2822.42</v>
      </c>
      <c r="N147" s="121">
        <v>2795.97</v>
      </c>
      <c r="O147" s="121">
        <v>2815.3</v>
      </c>
      <c r="P147" s="121">
        <v>2856.66</v>
      </c>
      <c r="Q147" s="121">
        <v>2932.29</v>
      </c>
      <c r="R147" s="301">
        <f>IF((Q148=""),"",MAX(E149:Q149))</f>
        <v>380.07999999999993</v>
      </c>
      <c r="S147" s="301">
        <f>IF(Q148="","",MIN(E149:Q149))</f>
        <v>319.6899999999996</v>
      </c>
      <c r="T147" s="304">
        <f>IF((Q149=""),"",AVERAGE(E149:Q149))</f>
        <v>343.07</v>
      </c>
      <c r="U147" s="304">
        <f>IF((Q148=""),"",(R147-S147)/(R147+S147)*100)</f>
        <v>8.6299784214813968</v>
      </c>
      <c r="V147" s="304">
        <f>STDEV(E149:Q149)</f>
        <v>22.602214493274758</v>
      </c>
      <c r="W147" s="292" t="str">
        <f>IF(Q148="","",IF(T147&gt;300,IF(U147&lt;14,IF(T147&lt;390,"Pass","Fail"),"Fail"),"Fail"))</f>
        <v>Pass</v>
      </c>
      <c r="X147" s="295">
        <v>1335</v>
      </c>
      <c r="Y147" s="309"/>
      <c r="Z147" s="255"/>
      <c r="AA147" s="122">
        <v>270</v>
      </c>
      <c r="AB147" s="122">
        <v>370</v>
      </c>
      <c r="AC147" s="122">
        <v>300</v>
      </c>
      <c r="AD147" s="123">
        <v>390</v>
      </c>
      <c r="AE147" s="123">
        <v>14</v>
      </c>
      <c r="AF147" s="123">
        <v>20</v>
      </c>
    </row>
    <row r="148" spans="1:32" ht="15.55" x14ac:dyDescent="0.3">
      <c r="A148" s="299"/>
      <c r="B148" s="124"/>
      <c r="C148" s="124"/>
      <c r="D148" s="120" t="s">
        <v>193</v>
      </c>
      <c r="E148" s="121">
        <v>2519.48</v>
      </c>
      <c r="F148" s="121">
        <v>2504.1999999999998</v>
      </c>
      <c r="G148" s="121">
        <v>2482.94</v>
      </c>
      <c r="H148" s="121">
        <v>2472.92</v>
      </c>
      <c r="I148" s="121">
        <v>2473.0300000000002</v>
      </c>
      <c r="J148" s="121">
        <v>2483.7199999999998</v>
      </c>
      <c r="K148" s="121">
        <v>2498.71</v>
      </c>
      <c r="L148" s="121">
        <v>2508.27</v>
      </c>
      <c r="M148" s="121">
        <v>2485.6</v>
      </c>
      <c r="N148" s="121">
        <v>2476.2800000000002</v>
      </c>
      <c r="O148" s="121">
        <v>2488.9699999999998</v>
      </c>
      <c r="P148" s="121">
        <v>2520.4699999999998</v>
      </c>
      <c r="Q148" s="121">
        <v>2552.21</v>
      </c>
      <c r="R148" s="302"/>
      <c r="S148" s="302"/>
      <c r="T148" s="305"/>
      <c r="U148" s="305"/>
      <c r="V148" s="307"/>
      <c r="W148" s="293"/>
      <c r="X148" s="296"/>
      <c r="Y148" s="310"/>
      <c r="Z148" s="255"/>
      <c r="AA148" s="122"/>
      <c r="AB148" s="122"/>
      <c r="AC148" s="122"/>
      <c r="AD148" s="122"/>
      <c r="AE148" s="122"/>
      <c r="AF148" s="126"/>
    </row>
    <row r="149" spans="1:32" ht="62.05" x14ac:dyDescent="0.3">
      <c r="A149" s="300"/>
      <c r="B149" s="119"/>
      <c r="C149" s="119"/>
      <c r="D149" s="120" t="s">
        <v>194</v>
      </c>
      <c r="E149" s="125">
        <f t="shared" ref="E149:Q149" si="47">IF(((E147="")*AND(E148="")),"",(E147-E148))</f>
        <v>369.78999999999996</v>
      </c>
      <c r="F149" s="125">
        <f t="shared" si="47"/>
        <v>331.19000000000005</v>
      </c>
      <c r="G149" s="125">
        <f t="shared" si="47"/>
        <v>325.61000000000013</v>
      </c>
      <c r="H149" s="125">
        <f t="shared" si="47"/>
        <v>322.54999999999973</v>
      </c>
      <c r="I149" s="125">
        <f t="shared" si="47"/>
        <v>325.05999999999995</v>
      </c>
      <c r="J149" s="125">
        <f t="shared" si="47"/>
        <v>338.71000000000004</v>
      </c>
      <c r="K149" s="125">
        <f t="shared" si="47"/>
        <v>376.80999999999995</v>
      </c>
      <c r="L149" s="125">
        <f t="shared" si="47"/>
        <v>371.07999999999993</v>
      </c>
      <c r="M149" s="125">
        <f t="shared" si="47"/>
        <v>336.82000000000016</v>
      </c>
      <c r="N149" s="125">
        <f t="shared" si="47"/>
        <v>319.6899999999996</v>
      </c>
      <c r="O149" s="125">
        <f t="shared" si="47"/>
        <v>326.33000000000038</v>
      </c>
      <c r="P149" s="125">
        <f t="shared" si="47"/>
        <v>336.19000000000005</v>
      </c>
      <c r="Q149" s="125">
        <f t="shared" si="47"/>
        <v>380.07999999999993</v>
      </c>
      <c r="R149" s="303"/>
      <c r="S149" s="303"/>
      <c r="T149" s="306"/>
      <c r="U149" s="306"/>
      <c r="V149" s="308"/>
      <c r="W149" s="294"/>
      <c r="X149" s="297"/>
      <c r="Y149" s="311"/>
      <c r="Z149" s="255"/>
      <c r="AA149" s="122"/>
      <c r="AB149" s="122"/>
      <c r="AC149" s="122"/>
      <c r="AD149" s="122"/>
      <c r="AE149" s="122"/>
      <c r="AF149" s="126"/>
    </row>
    <row r="150" spans="1:32" ht="15.55" x14ac:dyDescent="0.25">
      <c r="A150" s="298" t="s">
        <v>247</v>
      </c>
      <c r="B150" s="119" t="s">
        <v>242</v>
      </c>
      <c r="C150" s="119" t="s">
        <v>238</v>
      </c>
      <c r="D150" s="120" t="s">
        <v>192</v>
      </c>
      <c r="E150" s="121">
        <v>2519.48</v>
      </c>
      <c r="F150" s="121">
        <v>2504.1999999999998</v>
      </c>
      <c r="G150" s="121">
        <v>2482.94</v>
      </c>
      <c r="H150" s="121">
        <v>2472.92</v>
      </c>
      <c r="I150" s="121">
        <v>2473.0300000000002</v>
      </c>
      <c r="J150" s="121">
        <v>2483.7199999999998</v>
      </c>
      <c r="K150" s="121">
        <v>2498.71</v>
      </c>
      <c r="L150" s="121">
        <v>2508.27</v>
      </c>
      <c r="M150" s="121">
        <v>2485.6</v>
      </c>
      <c r="N150" s="121">
        <v>2476.2800000000002</v>
      </c>
      <c r="O150" s="121">
        <v>2488.9699999999998</v>
      </c>
      <c r="P150" s="121">
        <v>2520.4699999999998</v>
      </c>
      <c r="Q150" s="121">
        <v>2552.21</v>
      </c>
      <c r="R150" s="301">
        <f>IF((Q151=""),"",MAX(E152:Q152))</f>
        <v>443.99000000000024</v>
      </c>
      <c r="S150" s="301">
        <f>IF(Q151="","",MIN(E152:Q152))</f>
        <v>377.27</v>
      </c>
      <c r="T150" s="304">
        <f>IF((Q152=""),"",AVERAGE(E152:Q152))</f>
        <v>395.53230769230771</v>
      </c>
      <c r="U150" s="304">
        <f>IF((Q151=""),"",(R150-S150)/(R150+S150)*100)</f>
        <v>8.1241019896257267</v>
      </c>
      <c r="V150" s="304">
        <f>STDEV(E152:Q152)</f>
        <v>20.733785292707775</v>
      </c>
      <c r="W150" s="292" t="str">
        <f>IF(Q151="","",IF(T150&gt;300,IF(U150&lt;14,IF(T150&lt;390,"Pass","Fail"),"Fail"),"Fail"))</f>
        <v>Fail</v>
      </c>
      <c r="X150" s="324"/>
      <c r="Y150" s="309"/>
      <c r="Z150" s="255"/>
      <c r="AA150" s="122">
        <v>270</v>
      </c>
      <c r="AB150" s="122">
        <v>370</v>
      </c>
      <c r="AC150" s="122">
        <v>300</v>
      </c>
      <c r="AD150" s="123">
        <v>390</v>
      </c>
      <c r="AE150" s="123">
        <v>14</v>
      </c>
      <c r="AF150" s="123">
        <v>20</v>
      </c>
    </row>
    <row r="151" spans="1:32" ht="15.55" x14ac:dyDescent="0.3">
      <c r="A151" s="299"/>
      <c r="B151" s="124"/>
      <c r="C151" s="124"/>
      <c r="D151" s="120" t="s">
        <v>193</v>
      </c>
      <c r="E151" s="121">
        <v>2075.4899999999998</v>
      </c>
      <c r="F151" s="121">
        <v>2103.88</v>
      </c>
      <c r="G151" s="121">
        <v>2090.4899999999998</v>
      </c>
      <c r="H151" s="121">
        <v>2093.8200000000002</v>
      </c>
      <c r="I151" s="121">
        <v>2095.7600000000002</v>
      </c>
      <c r="J151" s="121">
        <v>2095.23</v>
      </c>
      <c r="K151" s="121">
        <v>2095.44</v>
      </c>
      <c r="L151" s="121">
        <v>2111.87</v>
      </c>
      <c r="M151" s="121">
        <v>2104.86</v>
      </c>
      <c r="N151" s="121">
        <v>2098.96</v>
      </c>
      <c r="O151" s="121">
        <v>2106.62</v>
      </c>
      <c r="P151" s="121">
        <v>2131.75</v>
      </c>
      <c r="Q151" s="121">
        <v>2120.71</v>
      </c>
      <c r="R151" s="302"/>
      <c r="S151" s="302"/>
      <c r="T151" s="305"/>
      <c r="U151" s="305"/>
      <c r="V151" s="307"/>
      <c r="W151" s="293"/>
      <c r="X151" s="296"/>
      <c r="Y151" s="310"/>
      <c r="Z151" s="255"/>
      <c r="AA151" s="122"/>
      <c r="AB151" s="122"/>
      <c r="AC151" s="122"/>
      <c r="AD151" s="122"/>
      <c r="AE151" s="122"/>
      <c r="AF151" s="126"/>
    </row>
    <row r="152" spans="1:32" ht="62.05" x14ac:dyDescent="0.3">
      <c r="A152" s="300"/>
      <c r="B152" s="119"/>
      <c r="C152" s="119"/>
      <c r="D152" s="120" t="s">
        <v>194</v>
      </c>
      <c r="E152" s="125">
        <f t="shared" ref="E152:Q152" si="48">IF(((E150="")*AND(E151="")),"",(E150-E151))</f>
        <v>443.99000000000024</v>
      </c>
      <c r="F152" s="125">
        <f t="shared" si="48"/>
        <v>400.31999999999971</v>
      </c>
      <c r="G152" s="125">
        <f t="shared" si="48"/>
        <v>392.45000000000027</v>
      </c>
      <c r="H152" s="125">
        <f t="shared" si="48"/>
        <v>379.09999999999991</v>
      </c>
      <c r="I152" s="125">
        <f t="shared" si="48"/>
        <v>377.27</v>
      </c>
      <c r="J152" s="125">
        <f t="shared" si="48"/>
        <v>388.48999999999978</v>
      </c>
      <c r="K152" s="125">
        <f t="shared" si="48"/>
        <v>403.27</v>
      </c>
      <c r="L152" s="125">
        <f t="shared" si="48"/>
        <v>396.40000000000009</v>
      </c>
      <c r="M152" s="125">
        <f t="shared" si="48"/>
        <v>380.73999999999978</v>
      </c>
      <c r="N152" s="125">
        <f t="shared" si="48"/>
        <v>377.32000000000016</v>
      </c>
      <c r="O152" s="125">
        <f t="shared" si="48"/>
        <v>382.34999999999991</v>
      </c>
      <c r="P152" s="125">
        <f t="shared" si="48"/>
        <v>388.7199999999998</v>
      </c>
      <c r="Q152" s="125">
        <f t="shared" si="48"/>
        <v>431.5</v>
      </c>
      <c r="R152" s="303"/>
      <c r="S152" s="303"/>
      <c r="T152" s="306"/>
      <c r="U152" s="306"/>
      <c r="V152" s="308"/>
      <c r="W152" s="294"/>
      <c r="X152" s="297"/>
      <c r="Y152" s="311"/>
      <c r="Z152" s="255"/>
      <c r="AA152" s="122"/>
      <c r="AB152" s="122"/>
      <c r="AC152" s="122"/>
      <c r="AD152" s="122"/>
      <c r="AE152" s="122"/>
      <c r="AF152" s="126"/>
    </row>
    <row r="153" spans="1:32" ht="15.55" x14ac:dyDescent="0.25">
      <c r="A153" s="298" t="s">
        <v>247</v>
      </c>
      <c r="B153" s="119" t="s">
        <v>242</v>
      </c>
      <c r="C153" s="119" t="s">
        <v>238</v>
      </c>
      <c r="D153" s="120" t="s">
        <v>192</v>
      </c>
      <c r="E153" s="121">
        <v>2878.04</v>
      </c>
      <c r="F153" s="121">
        <v>2827.07</v>
      </c>
      <c r="G153" s="121">
        <v>2803.11</v>
      </c>
      <c r="H153" s="121">
        <v>2792.89</v>
      </c>
      <c r="I153" s="121">
        <v>2805.52</v>
      </c>
      <c r="J153" s="121">
        <v>2832.1</v>
      </c>
      <c r="K153" s="121">
        <v>2884.91</v>
      </c>
      <c r="L153" s="121">
        <v>2871.85</v>
      </c>
      <c r="M153" s="121">
        <v>2818.23</v>
      </c>
      <c r="N153" s="121">
        <v>2794.92</v>
      </c>
      <c r="O153" s="121">
        <v>2817.87</v>
      </c>
      <c r="P153" s="121">
        <v>2863.91</v>
      </c>
      <c r="Q153" s="121">
        <v>2832</v>
      </c>
      <c r="R153" s="301">
        <f>IF((Q154=""),"",MAX(E155:Q155))</f>
        <v>396.10999999999967</v>
      </c>
      <c r="S153" s="301">
        <f>IF(Q154="","",MIN(E155:Q155))</f>
        <v>313.2199999999998</v>
      </c>
      <c r="T153" s="304">
        <f>IF((Q155=""),"",AVERAGE(E155:Q155))</f>
        <v>343.2676923076923</v>
      </c>
      <c r="U153" s="304">
        <f>IF((Q154=""),"",(R153-S153)/(R153+S153)*100)</f>
        <v>11.685675214639158</v>
      </c>
      <c r="V153" s="304">
        <f>STDEV(E155:Q155)</f>
        <v>29.281744071988495</v>
      </c>
      <c r="W153" s="292" t="str">
        <f>IF(Q154="","",IF(T153&gt;300,IF(U153&lt;14,IF(T153&lt;390,"Pass","Fail"),"Fail"),"Fail"))</f>
        <v>Pass</v>
      </c>
      <c r="X153" s="295"/>
      <c r="Y153" s="309"/>
      <c r="Z153" s="255"/>
      <c r="AA153" s="122">
        <v>270</v>
      </c>
      <c r="AB153" s="122">
        <v>370</v>
      </c>
      <c r="AC153" s="122">
        <v>300</v>
      </c>
      <c r="AD153" s="123">
        <v>390</v>
      </c>
      <c r="AE153" s="123">
        <v>14</v>
      </c>
      <c r="AF153" s="123">
        <v>20</v>
      </c>
    </row>
    <row r="154" spans="1:32" ht="15.55" x14ac:dyDescent="0.3">
      <c r="A154" s="299"/>
      <c r="B154" s="124"/>
      <c r="C154" s="124"/>
      <c r="D154" s="120" t="s">
        <v>193</v>
      </c>
      <c r="E154" s="121">
        <v>2487.04</v>
      </c>
      <c r="F154" s="121">
        <v>2489.63</v>
      </c>
      <c r="G154" s="121">
        <v>2484.65</v>
      </c>
      <c r="H154" s="121">
        <v>2479.67</v>
      </c>
      <c r="I154" s="121">
        <v>2483.39</v>
      </c>
      <c r="J154" s="121">
        <v>2492.54</v>
      </c>
      <c r="K154" s="121">
        <v>2488.8000000000002</v>
      </c>
      <c r="L154" s="121">
        <v>2484.41</v>
      </c>
      <c r="M154" s="121">
        <v>2484.83</v>
      </c>
      <c r="N154" s="121">
        <v>2477.81</v>
      </c>
      <c r="O154" s="121">
        <v>2496.31</v>
      </c>
      <c r="P154" s="121">
        <v>2521.86</v>
      </c>
      <c r="Q154" s="121">
        <v>2489</v>
      </c>
      <c r="R154" s="302"/>
      <c r="S154" s="302"/>
      <c r="T154" s="305"/>
      <c r="U154" s="305"/>
      <c r="V154" s="307"/>
      <c r="W154" s="293"/>
      <c r="X154" s="296"/>
      <c r="Y154" s="310"/>
      <c r="Z154" s="255"/>
      <c r="AA154" s="122"/>
      <c r="AB154" s="122"/>
      <c r="AC154" s="122"/>
      <c r="AD154" s="122"/>
      <c r="AE154" s="122"/>
      <c r="AF154" s="126"/>
    </row>
    <row r="155" spans="1:32" ht="62.05" x14ac:dyDescent="0.3">
      <c r="A155" s="300"/>
      <c r="B155" s="119"/>
      <c r="C155" s="119"/>
      <c r="D155" s="120" t="s">
        <v>194</v>
      </c>
      <c r="E155" s="125">
        <f t="shared" ref="E155:Q155" si="49">IF(((E153="")*AND(E154="")),"",(E153-E154))</f>
        <v>391</v>
      </c>
      <c r="F155" s="125">
        <f t="shared" si="49"/>
        <v>337.44000000000005</v>
      </c>
      <c r="G155" s="125">
        <f t="shared" si="49"/>
        <v>318.46000000000004</v>
      </c>
      <c r="H155" s="125">
        <f t="shared" si="49"/>
        <v>313.2199999999998</v>
      </c>
      <c r="I155" s="125">
        <f t="shared" si="49"/>
        <v>322.13000000000011</v>
      </c>
      <c r="J155" s="125">
        <f t="shared" si="49"/>
        <v>339.55999999999995</v>
      </c>
      <c r="K155" s="125">
        <f t="shared" si="49"/>
        <v>396.10999999999967</v>
      </c>
      <c r="L155" s="125">
        <f t="shared" si="49"/>
        <v>387.44000000000005</v>
      </c>
      <c r="M155" s="125">
        <f t="shared" si="49"/>
        <v>333.40000000000009</v>
      </c>
      <c r="N155" s="125">
        <f t="shared" si="49"/>
        <v>317.11000000000013</v>
      </c>
      <c r="O155" s="125">
        <f t="shared" si="49"/>
        <v>321.55999999999995</v>
      </c>
      <c r="P155" s="125">
        <f t="shared" si="49"/>
        <v>342.04999999999973</v>
      </c>
      <c r="Q155" s="125">
        <f t="shared" si="49"/>
        <v>343</v>
      </c>
      <c r="R155" s="303"/>
      <c r="S155" s="303"/>
      <c r="T155" s="306"/>
      <c r="U155" s="306"/>
      <c r="V155" s="308"/>
      <c r="W155" s="294"/>
      <c r="X155" s="297"/>
      <c r="Y155" s="311"/>
      <c r="Z155" s="255"/>
      <c r="AA155" s="122"/>
      <c r="AB155" s="122"/>
      <c r="AC155" s="122"/>
      <c r="AD155" s="122"/>
      <c r="AE155" s="122"/>
      <c r="AF155" s="126"/>
    </row>
    <row r="156" spans="1:32" ht="15.55" x14ac:dyDescent="0.25">
      <c r="A156" s="298" t="s">
        <v>248</v>
      </c>
      <c r="B156" s="119" t="s">
        <v>242</v>
      </c>
      <c r="C156" s="119" t="s">
        <v>238</v>
      </c>
      <c r="D156" s="120" t="s">
        <v>192</v>
      </c>
      <c r="E156" s="121">
        <v>2487.04</v>
      </c>
      <c r="F156" s="121">
        <v>2489.63</v>
      </c>
      <c r="G156" s="121">
        <v>2484.65</v>
      </c>
      <c r="H156" s="121">
        <v>2479.67</v>
      </c>
      <c r="I156" s="121">
        <v>2483.39</v>
      </c>
      <c r="J156" s="121">
        <v>2492.54</v>
      </c>
      <c r="K156" s="121">
        <v>2488.8000000000002</v>
      </c>
      <c r="L156" s="121">
        <v>2484.41</v>
      </c>
      <c r="M156" s="121">
        <v>2484.83</v>
      </c>
      <c r="N156" s="121">
        <v>2477.81</v>
      </c>
      <c r="O156" s="121">
        <v>2496.31</v>
      </c>
      <c r="P156" s="121">
        <v>2521.86</v>
      </c>
      <c r="Q156" s="121">
        <v>2489</v>
      </c>
      <c r="R156" s="301">
        <f>IF((Q157=""),"",MAX(E158:Q158))</f>
        <v>416.69999999999982</v>
      </c>
      <c r="S156" s="301">
        <f>IF(Q157="","",MIN(E158:Q158))</f>
        <v>362.65999999999985</v>
      </c>
      <c r="T156" s="304">
        <f>IF((Q158=""),"",AVERAGE(E158:Q158))</f>
        <v>381.61307692307685</v>
      </c>
      <c r="U156" s="304">
        <f>IF((Q157=""),"",(R156-S156)/(R156+S156)*100)</f>
        <v>6.9338944775200142</v>
      </c>
      <c r="V156" s="304">
        <f>STDEV(E158:Q158)</f>
        <v>15.717058346806615</v>
      </c>
      <c r="W156" s="292" t="str">
        <f>IF(Q157="","",IF(T156&gt;300,IF(U156&lt;14,IF(T156&lt;390,"Pass","Fail"),"Fail"),"Fail"))</f>
        <v>Pass</v>
      </c>
      <c r="X156" s="295"/>
      <c r="Y156" s="309"/>
      <c r="Z156" s="255"/>
      <c r="AA156" s="122">
        <v>270</v>
      </c>
      <c r="AB156" s="122">
        <v>370</v>
      </c>
      <c r="AC156" s="122">
        <v>300</v>
      </c>
      <c r="AD156" s="123">
        <v>390</v>
      </c>
      <c r="AE156" s="123">
        <v>14</v>
      </c>
      <c r="AF156" s="123">
        <v>20</v>
      </c>
    </row>
    <row r="157" spans="1:32" ht="15.55" x14ac:dyDescent="0.3">
      <c r="A157" s="299"/>
      <c r="B157" s="124"/>
      <c r="C157" s="124"/>
      <c r="D157" s="120" t="s">
        <v>193</v>
      </c>
      <c r="E157" s="121">
        <v>2070.34</v>
      </c>
      <c r="F157" s="121">
        <v>2097.19</v>
      </c>
      <c r="G157" s="121">
        <v>2100.34</v>
      </c>
      <c r="H157" s="121">
        <v>2108.36</v>
      </c>
      <c r="I157" s="121">
        <v>2108.15</v>
      </c>
      <c r="J157" s="121">
        <v>2118.6799999999998</v>
      </c>
      <c r="K157" s="121">
        <v>2111.2399999999998</v>
      </c>
      <c r="L157" s="121">
        <v>2115.4499999999998</v>
      </c>
      <c r="M157" s="121">
        <v>2122.17</v>
      </c>
      <c r="N157" s="121">
        <v>2113.38</v>
      </c>
      <c r="O157" s="121">
        <v>2109.02</v>
      </c>
      <c r="P157" s="121">
        <v>2117.04</v>
      </c>
      <c r="Q157" s="121">
        <v>2107.61</v>
      </c>
      <c r="R157" s="302"/>
      <c r="S157" s="302"/>
      <c r="T157" s="305"/>
      <c r="U157" s="305"/>
      <c r="V157" s="307"/>
      <c r="W157" s="293"/>
      <c r="X157" s="296"/>
      <c r="Y157" s="310"/>
      <c r="Z157" s="255"/>
      <c r="AA157" s="122"/>
      <c r="AB157" s="122"/>
      <c r="AC157" s="122"/>
      <c r="AD157" s="122"/>
      <c r="AE157" s="122"/>
      <c r="AF157" s="126"/>
    </row>
    <row r="158" spans="1:32" ht="62.05" x14ac:dyDescent="0.3">
      <c r="A158" s="300"/>
      <c r="B158" s="119"/>
      <c r="C158" s="119"/>
      <c r="D158" s="120" t="s">
        <v>194</v>
      </c>
      <c r="E158" s="125">
        <f t="shared" ref="E158:Q158" si="50">IF(((E156="")*AND(E157="")),"",(E156-E157))</f>
        <v>416.69999999999982</v>
      </c>
      <c r="F158" s="125">
        <f t="shared" si="50"/>
        <v>392.44000000000005</v>
      </c>
      <c r="G158" s="125">
        <f t="shared" si="50"/>
        <v>384.30999999999995</v>
      </c>
      <c r="H158" s="125">
        <f t="shared" si="50"/>
        <v>371.30999999999995</v>
      </c>
      <c r="I158" s="125">
        <f t="shared" si="50"/>
        <v>375.23999999999978</v>
      </c>
      <c r="J158" s="125">
        <f t="shared" si="50"/>
        <v>373.86000000000013</v>
      </c>
      <c r="K158" s="125">
        <f t="shared" si="50"/>
        <v>377.5600000000004</v>
      </c>
      <c r="L158" s="125">
        <f t="shared" si="50"/>
        <v>368.96000000000004</v>
      </c>
      <c r="M158" s="125">
        <f t="shared" si="50"/>
        <v>362.65999999999985</v>
      </c>
      <c r="N158" s="125">
        <f t="shared" si="50"/>
        <v>364.42999999999984</v>
      </c>
      <c r="O158" s="125">
        <f t="shared" si="50"/>
        <v>387.28999999999996</v>
      </c>
      <c r="P158" s="125">
        <f t="shared" si="50"/>
        <v>404.82000000000016</v>
      </c>
      <c r="Q158" s="125">
        <f t="shared" si="50"/>
        <v>381.38999999999987</v>
      </c>
      <c r="R158" s="303"/>
      <c r="S158" s="303"/>
      <c r="T158" s="306"/>
      <c r="U158" s="306"/>
      <c r="V158" s="308"/>
      <c r="W158" s="294"/>
      <c r="X158" s="297"/>
      <c r="Y158" s="311"/>
      <c r="Z158" s="255"/>
      <c r="AA158" s="122"/>
      <c r="AB158" s="122"/>
      <c r="AC158" s="122"/>
      <c r="AD158" s="122"/>
      <c r="AE158" s="122"/>
      <c r="AF158" s="126"/>
    </row>
    <row r="159" spans="1:32" ht="15.55" x14ac:dyDescent="0.25">
      <c r="A159" s="298">
        <v>43139</v>
      </c>
      <c r="B159" s="119" t="s">
        <v>242</v>
      </c>
      <c r="C159" s="119" t="s">
        <v>238</v>
      </c>
      <c r="D159" s="120" t="s">
        <v>192</v>
      </c>
      <c r="E159" s="121">
        <v>2883.2</v>
      </c>
      <c r="F159" s="121">
        <v>2832.12</v>
      </c>
      <c r="G159" s="121">
        <v>2808.89</v>
      </c>
      <c r="H159" s="121">
        <v>2798.52</v>
      </c>
      <c r="I159" s="121">
        <v>2807.22</v>
      </c>
      <c r="J159" s="121">
        <v>2833.19</v>
      </c>
      <c r="K159" s="121">
        <v>2873.58</v>
      </c>
      <c r="L159" s="121">
        <v>2873.54</v>
      </c>
      <c r="M159" s="121">
        <v>2819.09</v>
      </c>
      <c r="N159" s="121">
        <v>2798.81</v>
      </c>
      <c r="O159" s="121">
        <v>2820.34</v>
      </c>
      <c r="P159" s="121">
        <v>2865.39</v>
      </c>
      <c r="Q159" s="121">
        <v>2816</v>
      </c>
      <c r="R159" s="301">
        <f>IF((Q160=""),"",MAX(E161:Q161))</f>
        <v>380.15999999999985</v>
      </c>
      <c r="S159" s="301">
        <f>IF(Q160="","",MIN(E161:Q161))</f>
        <v>320.77999999999975</v>
      </c>
      <c r="T159" s="304">
        <f>IF((Q161=""),"",AVERAGE(E161:Q161))</f>
        <v>340.61769230769221</v>
      </c>
      <c r="U159" s="304">
        <f>IF((Q160=""),"",(R159-S159)/(R159+S159)*100)</f>
        <v>8.4714811538790968</v>
      </c>
      <c r="V159" s="304">
        <f>STDEV(E161:Q161)</f>
        <v>22.059637407811174</v>
      </c>
      <c r="W159" s="292" t="str">
        <f>IF(Q160="","",IF(T159&gt;300,IF(U159&lt;14,IF(T159&lt;390,"Pass","Fail"),"Fail"),"Fail"))</f>
        <v>Pass</v>
      </c>
      <c r="X159" s="318">
        <v>1340</v>
      </c>
      <c r="Y159" s="321"/>
      <c r="Z159" s="257"/>
      <c r="AA159" s="292">
        <v>270</v>
      </c>
      <c r="AB159" s="122">
        <v>370</v>
      </c>
      <c r="AC159" s="122">
        <v>300</v>
      </c>
      <c r="AD159" s="123">
        <v>390</v>
      </c>
      <c r="AE159" s="123">
        <v>14</v>
      </c>
      <c r="AF159" s="123">
        <v>20</v>
      </c>
    </row>
    <row r="160" spans="1:32" ht="15.55" x14ac:dyDescent="0.3">
      <c r="A160" s="299"/>
      <c r="B160" s="124"/>
      <c r="C160" s="124"/>
      <c r="D160" s="120" t="s">
        <v>193</v>
      </c>
      <c r="E160" s="121">
        <v>2503.04</v>
      </c>
      <c r="F160" s="121">
        <v>2497.2600000000002</v>
      </c>
      <c r="G160" s="121">
        <v>2479.52</v>
      </c>
      <c r="H160" s="121">
        <v>2475.5500000000002</v>
      </c>
      <c r="I160" s="121">
        <v>2486.44</v>
      </c>
      <c r="J160" s="121">
        <v>2493.61</v>
      </c>
      <c r="K160" s="121">
        <v>2494.44</v>
      </c>
      <c r="L160" s="121">
        <v>2500.23</v>
      </c>
      <c r="M160" s="121">
        <v>2482.41</v>
      </c>
      <c r="N160" s="121">
        <v>2475.08</v>
      </c>
      <c r="O160" s="121">
        <v>2496.44</v>
      </c>
      <c r="P160" s="121">
        <v>2525.84</v>
      </c>
      <c r="Q160" s="121">
        <v>2492</v>
      </c>
      <c r="R160" s="302"/>
      <c r="S160" s="302"/>
      <c r="T160" s="305"/>
      <c r="U160" s="305"/>
      <c r="V160" s="307"/>
      <c r="W160" s="293"/>
      <c r="X160" s="319"/>
      <c r="Y160" s="322"/>
      <c r="Z160" s="258"/>
      <c r="AA160" s="293"/>
      <c r="AB160" s="122"/>
      <c r="AC160" s="122"/>
      <c r="AD160" s="122"/>
      <c r="AE160" s="122"/>
      <c r="AF160" s="126"/>
    </row>
    <row r="161" spans="1:32" ht="62.05" x14ac:dyDescent="0.3">
      <c r="A161" s="300"/>
      <c r="B161" s="119"/>
      <c r="C161" s="119"/>
      <c r="D161" s="120" t="s">
        <v>194</v>
      </c>
      <c r="E161" s="125">
        <f t="shared" ref="E161:Q161" si="51">IF(((E159="")*AND(E160="")),"",(E159-E160))</f>
        <v>380.15999999999985</v>
      </c>
      <c r="F161" s="125">
        <f t="shared" si="51"/>
        <v>334.85999999999967</v>
      </c>
      <c r="G161" s="125">
        <f t="shared" si="51"/>
        <v>329.36999999999989</v>
      </c>
      <c r="H161" s="125">
        <f t="shared" si="51"/>
        <v>322.9699999999998</v>
      </c>
      <c r="I161" s="125">
        <f t="shared" si="51"/>
        <v>320.77999999999975</v>
      </c>
      <c r="J161" s="125">
        <f t="shared" si="51"/>
        <v>339.57999999999993</v>
      </c>
      <c r="K161" s="125">
        <f t="shared" si="51"/>
        <v>379.13999999999987</v>
      </c>
      <c r="L161" s="125">
        <f t="shared" si="51"/>
        <v>373.30999999999995</v>
      </c>
      <c r="M161" s="125">
        <f t="shared" si="51"/>
        <v>336.68000000000029</v>
      </c>
      <c r="N161" s="125">
        <f t="shared" si="51"/>
        <v>323.73</v>
      </c>
      <c r="O161" s="125">
        <f t="shared" si="51"/>
        <v>323.90000000000009</v>
      </c>
      <c r="P161" s="125">
        <f t="shared" si="51"/>
        <v>339.54999999999973</v>
      </c>
      <c r="Q161" s="125">
        <f t="shared" si="51"/>
        <v>324</v>
      </c>
      <c r="R161" s="303"/>
      <c r="S161" s="303"/>
      <c r="T161" s="306"/>
      <c r="U161" s="306"/>
      <c r="V161" s="308"/>
      <c r="W161" s="294"/>
      <c r="X161" s="320"/>
      <c r="Y161" s="323"/>
      <c r="Z161" s="259"/>
      <c r="AA161" s="294"/>
      <c r="AB161" s="122"/>
      <c r="AC161" s="122"/>
      <c r="AD161" s="122"/>
      <c r="AE161" s="122"/>
      <c r="AF161" s="126"/>
    </row>
    <row r="162" spans="1:32" ht="15.55" x14ac:dyDescent="0.25">
      <c r="A162" s="298">
        <v>43317</v>
      </c>
      <c r="B162" s="119" t="s">
        <v>242</v>
      </c>
      <c r="C162" s="119" t="s">
        <v>238</v>
      </c>
      <c r="D162" s="120" t="s">
        <v>192</v>
      </c>
      <c r="E162" s="121">
        <v>2503.04</v>
      </c>
      <c r="F162" s="121">
        <v>2497.2600000000002</v>
      </c>
      <c r="G162" s="121">
        <v>2479.52</v>
      </c>
      <c r="H162" s="121">
        <v>2475.5500000000002</v>
      </c>
      <c r="I162" s="121">
        <v>2486.44</v>
      </c>
      <c r="J162" s="121">
        <v>2493.61</v>
      </c>
      <c r="K162" s="121">
        <v>2494.44</v>
      </c>
      <c r="L162" s="121">
        <v>2500.23</v>
      </c>
      <c r="M162" s="121">
        <v>2482.41</v>
      </c>
      <c r="N162" s="121">
        <v>2475.08</v>
      </c>
      <c r="O162" s="121">
        <v>2496.44</v>
      </c>
      <c r="P162" s="121">
        <v>2525.84</v>
      </c>
      <c r="Q162" s="121">
        <v>2492</v>
      </c>
      <c r="R162" s="301">
        <f>IF((Q163=""),"",MAX(E164:Q164))</f>
        <v>401</v>
      </c>
      <c r="S162" s="301">
        <f>IF(Q163="","",MIN(E164:Q164))</f>
        <v>334.83999999999969</v>
      </c>
      <c r="T162" s="304">
        <f>IF((Q164=""),"",AVERAGE(E164:Q164))</f>
        <v>360.94384615384621</v>
      </c>
      <c r="U162" s="304">
        <f>IF((Q163=""),"",(R162-S162)/(R162+S162)*100)</f>
        <v>8.9910850184823232</v>
      </c>
      <c r="V162" s="304">
        <f>STDEV(E164:Q164)</f>
        <v>20.465314778286707</v>
      </c>
      <c r="W162" s="292" t="str">
        <f>IF(Q163="","",IF(T162&gt;300,IF(U162&lt;14,IF(T162&lt;390,"Pass","Fail"),"Fail"),"Fail"))</f>
        <v>Pass</v>
      </c>
      <c r="X162" s="318">
        <v>1340</v>
      </c>
      <c r="Y162" s="309"/>
      <c r="Z162" s="255"/>
      <c r="AA162" s="122">
        <v>270</v>
      </c>
      <c r="AB162" s="122">
        <v>370</v>
      </c>
      <c r="AC162" s="122">
        <v>300</v>
      </c>
      <c r="AD162" s="123">
        <v>390</v>
      </c>
      <c r="AE162" s="123">
        <v>14</v>
      </c>
      <c r="AF162" s="123">
        <v>20</v>
      </c>
    </row>
    <row r="163" spans="1:32" ht="15.55" x14ac:dyDescent="0.3">
      <c r="A163" s="299"/>
      <c r="B163" s="124"/>
      <c r="C163" s="124"/>
      <c r="D163" s="120" t="s">
        <v>193</v>
      </c>
      <c r="E163" s="121">
        <v>2111.71</v>
      </c>
      <c r="F163" s="121">
        <v>2115.5</v>
      </c>
      <c r="G163" s="121">
        <v>2117.87</v>
      </c>
      <c r="H163" s="121">
        <v>2127.58</v>
      </c>
      <c r="I163" s="121">
        <v>2134.8200000000002</v>
      </c>
      <c r="J163" s="121">
        <v>2138.2600000000002</v>
      </c>
      <c r="K163" s="121">
        <v>2148.21</v>
      </c>
      <c r="L163" s="121">
        <v>2148.4</v>
      </c>
      <c r="M163" s="121">
        <v>2147.5700000000002</v>
      </c>
      <c r="N163" s="121">
        <v>2139.89</v>
      </c>
      <c r="O163" s="121">
        <v>2123.94</v>
      </c>
      <c r="P163" s="121">
        <v>2124.84</v>
      </c>
      <c r="Q163" s="121">
        <v>2131</v>
      </c>
      <c r="R163" s="302"/>
      <c r="S163" s="302"/>
      <c r="T163" s="305"/>
      <c r="U163" s="305"/>
      <c r="V163" s="307"/>
      <c r="W163" s="293"/>
      <c r="X163" s="319"/>
      <c r="Y163" s="310"/>
      <c r="Z163" s="255"/>
      <c r="AA163" s="122"/>
      <c r="AB163" s="122"/>
      <c r="AC163" s="122"/>
      <c r="AD163" s="122"/>
      <c r="AE163" s="122"/>
      <c r="AF163" s="126"/>
    </row>
    <row r="164" spans="1:32" ht="62.05" x14ac:dyDescent="0.3">
      <c r="A164" s="300"/>
      <c r="B164" s="119"/>
      <c r="C164" s="119"/>
      <c r="D164" s="120" t="s">
        <v>194</v>
      </c>
      <c r="E164" s="125">
        <f t="shared" ref="E164:Q164" si="52">IF(((E162="")*AND(E163="")),"",(E162-E163))</f>
        <v>391.32999999999993</v>
      </c>
      <c r="F164" s="125">
        <f t="shared" si="52"/>
        <v>381.76000000000022</v>
      </c>
      <c r="G164" s="125">
        <f t="shared" si="52"/>
        <v>361.65000000000009</v>
      </c>
      <c r="H164" s="125">
        <f t="shared" si="52"/>
        <v>347.97000000000025</v>
      </c>
      <c r="I164" s="125">
        <f t="shared" si="52"/>
        <v>351.61999999999989</v>
      </c>
      <c r="J164" s="125">
        <f t="shared" si="52"/>
        <v>355.34999999999991</v>
      </c>
      <c r="K164" s="125">
        <f t="shared" si="52"/>
        <v>346.23</v>
      </c>
      <c r="L164" s="125">
        <f t="shared" si="52"/>
        <v>351.82999999999993</v>
      </c>
      <c r="M164" s="125">
        <f t="shared" si="52"/>
        <v>334.83999999999969</v>
      </c>
      <c r="N164" s="125">
        <f t="shared" si="52"/>
        <v>335.19000000000005</v>
      </c>
      <c r="O164" s="125">
        <f t="shared" si="52"/>
        <v>372.5</v>
      </c>
      <c r="P164" s="125">
        <f t="shared" si="52"/>
        <v>401</v>
      </c>
      <c r="Q164" s="125">
        <f t="shared" si="52"/>
        <v>361</v>
      </c>
      <c r="R164" s="303"/>
      <c r="S164" s="303"/>
      <c r="T164" s="306"/>
      <c r="U164" s="306"/>
      <c r="V164" s="308"/>
      <c r="W164" s="294"/>
      <c r="X164" s="320"/>
      <c r="Y164" s="311"/>
      <c r="Z164" s="255"/>
      <c r="AA164" s="122"/>
      <c r="AB164" s="122"/>
      <c r="AC164" s="122"/>
      <c r="AD164" s="122"/>
      <c r="AE164" s="122"/>
      <c r="AF164" s="126"/>
    </row>
    <row r="165" spans="1:32" ht="15.55" x14ac:dyDescent="0.25">
      <c r="A165" s="298">
        <v>43320</v>
      </c>
      <c r="B165" s="119" t="s">
        <v>242</v>
      </c>
      <c r="C165" s="119" t="s">
        <v>238</v>
      </c>
      <c r="D165" s="120" t="s">
        <v>192</v>
      </c>
      <c r="E165" s="121">
        <v>2871.85</v>
      </c>
      <c r="F165" s="121">
        <v>2805.2</v>
      </c>
      <c r="G165" s="121">
        <v>2796.28</v>
      </c>
      <c r="H165" s="121">
        <v>2803.08</v>
      </c>
      <c r="I165" s="121">
        <v>2863.49</v>
      </c>
      <c r="J165" s="121">
        <v>2864.37</v>
      </c>
      <c r="K165" s="121">
        <v>2798.13</v>
      </c>
      <c r="L165" s="121">
        <v>2818.78</v>
      </c>
      <c r="M165" s="121">
        <v>2920.3</v>
      </c>
      <c r="N165" s="121">
        <v>2806.06</v>
      </c>
      <c r="O165" s="121">
        <v>2825.74</v>
      </c>
      <c r="P165" s="121">
        <v>2802</v>
      </c>
      <c r="Q165" s="121">
        <v>2824.26</v>
      </c>
      <c r="R165" s="301">
        <f>IF((Q166=""),"",MAX(E167:Q167))</f>
        <v>370.4699999999998</v>
      </c>
      <c r="S165" s="301">
        <f>IF(Q166="","",MIN(E167:Q167))</f>
        <v>322.26000000000022</v>
      </c>
      <c r="T165" s="304">
        <f>IF((Q167=""),"",AVERAGE(E167:Q167))</f>
        <v>339.26923076923077</v>
      </c>
      <c r="U165" s="304">
        <f>IF((Q166=""),"",(R165-S165)/(R165+S165)*100)</f>
        <v>6.9594214196006492</v>
      </c>
      <c r="V165" s="304">
        <f>STDEV(E167:Q167)</f>
        <v>19.57756090593606</v>
      </c>
      <c r="W165" s="292" t="str">
        <f>IF(Q166="","",IF(T165&gt;300,IF(U165&lt;14,IF(T165&lt;390,"Pass","Fail"),"Fail"),"Fail"))</f>
        <v>Pass</v>
      </c>
      <c r="X165" s="318" t="s">
        <v>53</v>
      </c>
      <c r="Y165" s="261" t="s">
        <v>210</v>
      </c>
      <c r="Z165" s="255"/>
      <c r="AA165" s="122">
        <v>270</v>
      </c>
      <c r="AB165" s="122">
        <v>370</v>
      </c>
      <c r="AC165" s="122">
        <v>300</v>
      </c>
      <c r="AD165" s="123">
        <v>390</v>
      </c>
      <c r="AE165" s="123">
        <v>14</v>
      </c>
      <c r="AF165" s="123">
        <v>20</v>
      </c>
    </row>
    <row r="166" spans="1:32" ht="15.55" x14ac:dyDescent="0.3">
      <c r="A166" s="299"/>
      <c r="B166" s="124"/>
      <c r="C166" s="124"/>
      <c r="D166" s="120" t="s">
        <v>193</v>
      </c>
      <c r="E166" s="121">
        <v>2501.38</v>
      </c>
      <c r="F166" s="121">
        <v>2478.4499999999998</v>
      </c>
      <c r="G166" s="121">
        <v>2474.02</v>
      </c>
      <c r="H166" s="121">
        <v>2479.25</v>
      </c>
      <c r="I166" s="121">
        <v>2495.9</v>
      </c>
      <c r="J166" s="121">
        <v>2502.5100000000002</v>
      </c>
      <c r="K166" s="121">
        <v>2473.6</v>
      </c>
      <c r="L166" s="121">
        <v>2491.37</v>
      </c>
      <c r="M166" s="121">
        <v>2551.63</v>
      </c>
      <c r="N166" s="121">
        <v>2474.79</v>
      </c>
      <c r="O166" s="121">
        <v>2498.0500000000002</v>
      </c>
      <c r="P166" s="121">
        <v>2472.12</v>
      </c>
      <c r="Q166" s="121">
        <v>2495.9699999999998</v>
      </c>
      <c r="R166" s="302"/>
      <c r="S166" s="302"/>
      <c r="T166" s="305"/>
      <c r="U166" s="305"/>
      <c r="V166" s="307"/>
      <c r="W166" s="293"/>
      <c r="X166" s="319"/>
      <c r="Y166" s="258"/>
      <c r="Z166" s="255"/>
      <c r="AA166" s="122"/>
      <c r="AB166" s="122"/>
      <c r="AC166" s="122"/>
      <c r="AD166" s="122"/>
      <c r="AE166" s="122"/>
      <c r="AF166" s="126"/>
    </row>
    <row r="167" spans="1:32" ht="62.05" x14ac:dyDescent="0.3">
      <c r="A167" s="300"/>
      <c r="B167" s="119"/>
      <c r="C167" s="119"/>
      <c r="D167" s="120" t="s">
        <v>194</v>
      </c>
      <c r="E167" s="125">
        <f t="shared" ref="E167:Q167" si="53">IF(((E165="")*AND(E166="")),"",(E165-E166))</f>
        <v>370.4699999999998</v>
      </c>
      <c r="F167" s="125">
        <f t="shared" si="53"/>
        <v>326.75</v>
      </c>
      <c r="G167" s="125">
        <f t="shared" si="53"/>
        <v>322.26000000000022</v>
      </c>
      <c r="H167" s="125">
        <f t="shared" si="53"/>
        <v>323.82999999999993</v>
      </c>
      <c r="I167" s="125">
        <f t="shared" si="53"/>
        <v>367.58999999999969</v>
      </c>
      <c r="J167" s="125">
        <f t="shared" si="53"/>
        <v>361.85999999999967</v>
      </c>
      <c r="K167" s="125">
        <f t="shared" si="53"/>
        <v>324.5300000000002</v>
      </c>
      <c r="L167" s="125">
        <f t="shared" si="53"/>
        <v>327.41000000000031</v>
      </c>
      <c r="M167" s="125">
        <f t="shared" si="53"/>
        <v>368.67000000000007</v>
      </c>
      <c r="N167" s="125">
        <f t="shared" si="53"/>
        <v>331.27</v>
      </c>
      <c r="O167" s="125">
        <f t="shared" si="53"/>
        <v>327.6899999999996</v>
      </c>
      <c r="P167" s="125">
        <f t="shared" si="53"/>
        <v>329.88000000000011</v>
      </c>
      <c r="Q167" s="125">
        <f t="shared" si="53"/>
        <v>328.29000000000042</v>
      </c>
      <c r="R167" s="303"/>
      <c r="S167" s="303"/>
      <c r="T167" s="306"/>
      <c r="U167" s="306"/>
      <c r="V167" s="308"/>
      <c r="W167" s="294"/>
      <c r="X167" s="320"/>
      <c r="Y167" s="259"/>
      <c r="Z167" s="255"/>
      <c r="AA167" s="122"/>
      <c r="AB167" s="122"/>
      <c r="AC167" s="122"/>
      <c r="AD167" s="122"/>
      <c r="AE167" s="122"/>
      <c r="AF167" s="126"/>
    </row>
    <row r="168" spans="1:32" ht="15.55" x14ac:dyDescent="0.25">
      <c r="A168" s="298">
        <v>43322</v>
      </c>
      <c r="B168" s="119" t="s">
        <v>242</v>
      </c>
      <c r="C168" s="119" t="s">
        <v>238</v>
      </c>
      <c r="D168" s="120" t="s">
        <v>192</v>
      </c>
      <c r="E168" s="121">
        <v>2501.17</v>
      </c>
      <c r="F168" s="121">
        <v>2478.6</v>
      </c>
      <c r="G168" s="121">
        <v>2471.2399999999998</v>
      </c>
      <c r="H168" s="121">
        <v>2473.69</v>
      </c>
      <c r="I168" s="121">
        <v>2495.11</v>
      </c>
      <c r="J168" s="121">
        <v>2500.2800000000002</v>
      </c>
      <c r="K168" s="121">
        <v>2474.6999999999998</v>
      </c>
      <c r="L168" s="121">
        <v>2490.9499999999998</v>
      </c>
      <c r="M168" s="121">
        <v>2554.4899999999998</v>
      </c>
      <c r="N168" s="121">
        <v>2476.25</v>
      </c>
      <c r="O168" s="121">
        <v>2495.36</v>
      </c>
      <c r="P168" s="121">
        <v>2470.92</v>
      </c>
      <c r="Q168" s="121">
        <v>2497.44</v>
      </c>
      <c r="R168" s="301">
        <f>IF((Q169=""),"",MAX(E170:Q170))</f>
        <v>414.5</v>
      </c>
      <c r="S168" s="301">
        <f>IF(Q169="","",MIN(E170:Q170))</f>
        <v>353.19000000000005</v>
      </c>
      <c r="T168" s="304">
        <f>IF((Q170=""),"",AVERAGE(E170:Q170))</f>
        <v>374.51692307692315</v>
      </c>
      <c r="U168" s="304">
        <f>IF((Q169=""),"",(R168-S168)/(R168+S168)*100)</f>
        <v>7.9862965519936351</v>
      </c>
      <c r="V168" s="304">
        <f>STDEV(E170:Q170)</f>
        <v>18.28849519261372</v>
      </c>
      <c r="W168" s="292" t="str">
        <f>IF(Q169="","",IF(T168&gt;300,IF(U168&lt;14,IF(T168&lt;390,"Pass","Fail"),"Fail"),"Fail"))</f>
        <v>Pass</v>
      </c>
      <c r="X168" s="295">
        <v>1428</v>
      </c>
      <c r="Y168" s="261" t="s">
        <v>249</v>
      </c>
      <c r="Z168" s="255"/>
      <c r="AA168" s="122">
        <v>270</v>
      </c>
      <c r="AB168" s="122">
        <v>370</v>
      </c>
      <c r="AC168" s="122">
        <v>300</v>
      </c>
      <c r="AD168" s="123">
        <v>390</v>
      </c>
      <c r="AE168" s="123">
        <v>14</v>
      </c>
      <c r="AF168" s="123">
        <v>20</v>
      </c>
    </row>
    <row r="169" spans="1:32" ht="15.55" x14ac:dyDescent="0.3">
      <c r="A169" s="299"/>
      <c r="B169" s="124"/>
      <c r="C169" s="124"/>
      <c r="D169" s="120" t="s">
        <v>193</v>
      </c>
      <c r="E169" s="121">
        <v>2093.2800000000002</v>
      </c>
      <c r="F169" s="121">
        <v>2102.2800000000002</v>
      </c>
      <c r="G169" s="121">
        <v>2111.5</v>
      </c>
      <c r="H169" s="121">
        <v>2111.35</v>
      </c>
      <c r="I169" s="121">
        <v>2130.87</v>
      </c>
      <c r="J169" s="121">
        <v>2132.85</v>
      </c>
      <c r="K169" s="121">
        <v>2116.58</v>
      </c>
      <c r="L169" s="121">
        <v>2113.6</v>
      </c>
      <c r="M169" s="121">
        <v>2139.9899999999998</v>
      </c>
      <c r="N169" s="121">
        <v>2104.89</v>
      </c>
      <c r="O169" s="121">
        <v>2119.2199999999998</v>
      </c>
      <c r="P169" s="121">
        <v>2117.73</v>
      </c>
      <c r="Q169" s="121">
        <v>2117.34</v>
      </c>
      <c r="R169" s="302"/>
      <c r="S169" s="302"/>
      <c r="T169" s="305"/>
      <c r="U169" s="305"/>
      <c r="V169" s="307"/>
      <c r="W169" s="293"/>
      <c r="X169" s="296"/>
      <c r="Y169" s="258"/>
      <c r="Z169" s="255"/>
      <c r="AA169" s="122"/>
      <c r="AB169" s="122"/>
      <c r="AC169" s="122"/>
      <c r="AD169" s="122"/>
      <c r="AE169" s="122"/>
      <c r="AF169" s="126"/>
    </row>
    <row r="170" spans="1:32" ht="62.05" x14ac:dyDescent="0.3">
      <c r="A170" s="300"/>
      <c r="B170" s="119"/>
      <c r="C170" s="119"/>
      <c r="D170" s="120" t="s">
        <v>194</v>
      </c>
      <c r="E170" s="125">
        <f t="shared" ref="E170:Q170" si="54">IF(((E168="")*AND(E169="")),"",(E168-E169))</f>
        <v>407.88999999999987</v>
      </c>
      <c r="F170" s="125">
        <f t="shared" si="54"/>
        <v>376.31999999999971</v>
      </c>
      <c r="G170" s="125">
        <f t="shared" si="54"/>
        <v>359.73999999999978</v>
      </c>
      <c r="H170" s="125">
        <f t="shared" si="54"/>
        <v>362.34000000000015</v>
      </c>
      <c r="I170" s="125">
        <f t="shared" si="54"/>
        <v>364.24000000000024</v>
      </c>
      <c r="J170" s="125">
        <f t="shared" si="54"/>
        <v>367.43000000000029</v>
      </c>
      <c r="K170" s="125">
        <f t="shared" si="54"/>
        <v>358.11999999999989</v>
      </c>
      <c r="L170" s="125">
        <f t="shared" si="54"/>
        <v>377.34999999999991</v>
      </c>
      <c r="M170" s="125">
        <f t="shared" si="54"/>
        <v>414.5</v>
      </c>
      <c r="N170" s="125">
        <f t="shared" si="54"/>
        <v>371.36000000000013</v>
      </c>
      <c r="O170" s="125">
        <f t="shared" si="54"/>
        <v>376.14000000000033</v>
      </c>
      <c r="P170" s="125">
        <f t="shared" si="54"/>
        <v>353.19000000000005</v>
      </c>
      <c r="Q170" s="125">
        <f t="shared" si="54"/>
        <v>380.09999999999991</v>
      </c>
      <c r="R170" s="303"/>
      <c r="S170" s="303"/>
      <c r="T170" s="306"/>
      <c r="U170" s="306"/>
      <c r="V170" s="308"/>
      <c r="W170" s="294"/>
      <c r="X170" s="297"/>
      <c r="Y170" s="259"/>
      <c r="Z170" s="255"/>
      <c r="AA170" s="122"/>
      <c r="AB170" s="122"/>
      <c r="AC170" s="122"/>
      <c r="AD170" s="122"/>
      <c r="AE170" s="122"/>
      <c r="AF170" s="126"/>
    </row>
    <row r="171" spans="1:32" ht="15.55" x14ac:dyDescent="0.25">
      <c r="A171" s="298">
        <v>43328</v>
      </c>
      <c r="B171" s="119" t="s">
        <v>242</v>
      </c>
      <c r="C171" s="119" t="s">
        <v>238</v>
      </c>
      <c r="D171" s="120" t="s">
        <v>192</v>
      </c>
      <c r="E171" s="121">
        <v>2876.69</v>
      </c>
      <c r="F171" s="121">
        <v>2811.12</v>
      </c>
      <c r="G171" s="121">
        <v>2799.38</v>
      </c>
      <c r="H171" s="121">
        <v>2802.74</v>
      </c>
      <c r="I171" s="121">
        <v>2863.93</v>
      </c>
      <c r="J171" s="121">
        <v>2870.54</v>
      </c>
      <c r="K171" s="121">
        <v>2799.94</v>
      </c>
      <c r="L171" s="121">
        <v>2822.51</v>
      </c>
      <c r="M171" s="121">
        <v>2924.07</v>
      </c>
      <c r="N171" s="121">
        <v>2810.91</v>
      </c>
      <c r="O171" s="121">
        <v>2825.02</v>
      </c>
      <c r="P171" s="121">
        <v>2801.45</v>
      </c>
      <c r="Q171" s="121">
        <v>2830.77</v>
      </c>
      <c r="R171" s="301">
        <f>IF((Q172=""),"",MAX(E173:Q173))</f>
        <v>372.46000000000004</v>
      </c>
      <c r="S171" s="301">
        <f>IF(Q172="","",MIN(E173:Q173))</f>
        <v>318.62999999999965</v>
      </c>
      <c r="T171" s="304">
        <f>IF((Q173=""),"",AVERAGE(E173:Q173))</f>
        <v>336.11846153846147</v>
      </c>
      <c r="U171" s="304">
        <f>IF((Q172=""),"",(R171-S171)/(R171+S171)*100)</f>
        <v>7.7891446844839898</v>
      </c>
      <c r="V171" s="304">
        <f>STDEV(E173:Q173)</f>
        <v>21.194429239053168</v>
      </c>
      <c r="W171" s="292" t="str">
        <f>IF(Q172="","",IF(T171&gt;300,IF(U171&lt;14,IF(T171&lt;390,"Pass","Fail"),"Fail"),"Fail"))</f>
        <v>Pass</v>
      </c>
      <c r="X171" s="295">
        <v>1335</v>
      </c>
      <c r="Y171" s="309"/>
      <c r="Z171" s="255"/>
      <c r="AA171" s="122">
        <v>270</v>
      </c>
      <c r="AB171" s="122">
        <v>370</v>
      </c>
      <c r="AC171" s="122">
        <v>300</v>
      </c>
      <c r="AD171" s="123">
        <v>390</v>
      </c>
      <c r="AE171" s="123">
        <v>14</v>
      </c>
      <c r="AF171" s="123">
        <v>20</v>
      </c>
    </row>
    <row r="172" spans="1:32" ht="15.55" x14ac:dyDescent="0.3">
      <c r="A172" s="299"/>
      <c r="B172" s="124"/>
      <c r="C172" s="124"/>
      <c r="D172" s="120" t="s">
        <v>193</v>
      </c>
      <c r="E172" s="121">
        <v>2509.02</v>
      </c>
      <c r="F172" s="121">
        <v>2487.85</v>
      </c>
      <c r="G172" s="121">
        <v>2478.33</v>
      </c>
      <c r="H172" s="121">
        <v>2484.11</v>
      </c>
      <c r="I172" s="121">
        <v>2500.36</v>
      </c>
      <c r="J172" s="121">
        <v>2509.16</v>
      </c>
      <c r="K172" s="121">
        <v>2479.81</v>
      </c>
      <c r="L172" s="121">
        <v>2496.4699999999998</v>
      </c>
      <c r="M172" s="121">
        <v>2551.61</v>
      </c>
      <c r="N172" s="121">
        <v>2486.0500000000002</v>
      </c>
      <c r="O172" s="121">
        <v>2501.5300000000002</v>
      </c>
      <c r="P172" s="121">
        <v>2481.3000000000002</v>
      </c>
      <c r="Q172" s="121">
        <v>2503.9299999999998</v>
      </c>
      <c r="R172" s="302"/>
      <c r="S172" s="302"/>
      <c r="T172" s="305"/>
      <c r="U172" s="305"/>
      <c r="V172" s="307"/>
      <c r="W172" s="293"/>
      <c r="X172" s="296"/>
      <c r="Y172" s="310"/>
      <c r="Z172" s="255"/>
      <c r="AA172" s="122"/>
      <c r="AB172" s="122"/>
      <c r="AC172" s="122"/>
      <c r="AD172" s="122"/>
      <c r="AE172" s="122"/>
      <c r="AF172" s="126"/>
    </row>
    <row r="173" spans="1:32" ht="62.05" x14ac:dyDescent="0.3">
      <c r="A173" s="300"/>
      <c r="B173" s="119"/>
      <c r="C173" s="119"/>
      <c r="D173" s="120" t="s">
        <v>194</v>
      </c>
      <c r="E173" s="125">
        <f t="shared" ref="E173:Q173" si="55">IF(((E171="")*AND(E172="")),"",(E171-E172))</f>
        <v>367.67000000000007</v>
      </c>
      <c r="F173" s="125">
        <f t="shared" si="55"/>
        <v>323.27</v>
      </c>
      <c r="G173" s="125">
        <f t="shared" si="55"/>
        <v>321.05000000000018</v>
      </c>
      <c r="H173" s="125">
        <f t="shared" si="55"/>
        <v>318.62999999999965</v>
      </c>
      <c r="I173" s="125">
        <f t="shared" si="55"/>
        <v>363.56999999999971</v>
      </c>
      <c r="J173" s="125">
        <f t="shared" si="55"/>
        <v>361.38000000000011</v>
      </c>
      <c r="K173" s="125">
        <f t="shared" si="55"/>
        <v>320.13000000000011</v>
      </c>
      <c r="L173" s="125">
        <f t="shared" si="55"/>
        <v>326.04000000000042</v>
      </c>
      <c r="M173" s="125">
        <f t="shared" si="55"/>
        <v>372.46000000000004</v>
      </c>
      <c r="N173" s="125">
        <f t="shared" si="55"/>
        <v>324.85999999999967</v>
      </c>
      <c r="O173" s="125">
        <f t="shared" si="55"/>
        <v>323.48999999999978</v>
      </c>
      <c r="P173" s="125">
        <f t="shared" si="55"/>
        <v>320.14999999999964</v>
      </c>
      <c r="Q173" s="125">
        <f t="shared" si="55"/>
        <v>326.84000000000015</v>
      </c>
      <c r="R173" s="303"/>
      <c r="S173" s="303"/>
      <c r="T173" s="306"/>
      <c r="U173" s="306"/>
      <c r="V173" s="308"/>
      <c r="W173" s="294"/>
      <c r="X173" s="297"/>
      <c r="Y173" s="311"/>
      <c r="Z173" s="255"/>
      <c r="AA173" s="122"/>
      <c r="AB173" s="122"/>
      <c r="AC173" s="122"/>
      <c r="AD173" s="122"/>
      <c r="AE173" s="122"/>
      <c r="AF173" s="126"/>
    </row>
    <row r="174" spans="1:32" ht="15.55" x14ac:dyDescent="0.25">
      <c r="A174" s="298">
        <v>43332</v>
      </c>
      <c r="B174" s="119" t="s">
        <v>242</v>
      </c>
      <c r="C174" s="119" t="s">
        <v>238</v>
      </c>
      <c r="D174" s="120" t="s">
        <v>192</v>
      </c>
      <c r="E174" s="121">
        <v>2509.02</v>
      </c>
      <c r="F174" s="121">
        <v>2487.85</v>
      </c>
      <c r="G174" s="121">
        <v>2478.33</v>
      </c>
      <c r="H174" s="121">
        <v>2484.11</v>
      </c>
      <c r="I174" s="121">
        <v>2500.36</v>
      </c>
      <c r="J174" s="121">
        <v>2509.16</v>
      </c>
      <c r="K174" s="121">
        <v>2479.81</v>
      </c>
      <c r="L174" s="121">
        <v>2496.4699999999998</v>
      </c>
      <c r="M174" s="121">
        <v>2551.61</v>
      </c>
      <c r="N174" s="121">
        <v>2486.0500000000002</v>
      </c>
      <c r="O174" s="121">
        <v>2501.5300000000002</v>
      </c>
      <c r="P174" s="121">
        <v>2481.3000000000002</v>
      </c>
      <c r="Q174" s="121">
        <v>2503.9299999999998</v>
      </c>
      <c r="R174" s="301">
        <f>IF((Q175=""),"",MAX(E176:Q176))</f>
        <v>430.61000000000013</v>
      </c>
      <c r="S174" s="301">
        <f>IF(Q175="","",MIN(E176:Q176))</f>
        <v>354.10000000000036</v>
      </c>
      <c r="T174" s="304">
        <f>IF((Q176=""),"",AVERAGE(E176:Q176))</f>
        <v>378.94461538461542</v>
      </c>
      <c r="U174" s="304">
        <f>IF((Q175=""),"",(R174-S174)/(R174+S174)*100)</f>
        <v>9.7500987626001603</v>
      </c>
      <c r="V174" s="304">
        <f>STDEV(E176:Q176)</f>
        <v>21.668073524344745</v>
      </c>
      <c r="W174" s="292" t="str">
        <f>IF(Q175="","",IF(T174&gt;300,IF(U174&lt;14,IF(T174&lt;390,"Pass","Fail"),"Fail"),"Fail"))</f>
        <v>Pass</v>
      </c>
      <c r="X174" s="295">
        <v>1340</v>
      </c>
      <c r="Y174" s="309"/>
      <c r="Z174" s="255"/>
      <c r="AA174" s="122">
        <v>270</v>
      </c>
      <c r="AB174" s="122">
        <v>370</v>
      </c>
      <c r="AC174" s="122">
        <v>300</v>
      </c>
      <c r="AD174" s="123">
        <v>390</v>
      </c>
      <c r="AE174" s="123">
        <v>14</v>
      </c>
      <c r="AF174" s="123">
        <v>20</v>
      </c>
    </row>
    <row r="175" spans="1:32" ht="15.55" x14ac:dyDescent="0.3">
      <c r="A175" s="299"/>
      <c r="B175" s="124"/>
      <c r="C175" s="124"/>
      <c r="D175" s="120" t="s">
        <v>193</v>
      </c>
      <c r="E175" s="121">
        <v>2100.69</v>
      </c>
      <c r="F175" s="121">
        <v>2108.7800000000002</v>
      </c>
      <c r="G175" s="121">
        <v>2112.02</v>
      </c>
      <c r="H175" s="121">
        <v>2118.98</v>
      </c>
      <c r="I175" s="121">
        <v>2135.34</v>
      </c>
      <c r="J175" s="121">
        <v>2140.9499999999998</v>
      </c>
      <c r="K175" s="121">
        <v>2124.21</v>
      </c>
      <c r="L175" s="121">
        <v>2112.58</v>
      </c>
      <c r="M175" s="121">
        <v>2121</v>
      </c>
      <c r="N175" s="121">
        <v>2113.91</v>
      </c>
      <c r="O175" s="121">
        <v>2114.7199999999998</v>
      </c>
      <c r="P175" s="121">
        <v>2127.1999999999998</v>
      </c>
      <c r="Q175" s="121">
        <v>2112.87</v>
      </c>
      <c r="R175" s="302"/>
      <c r="S175" s="302"/>
      <c r="T175" s="305"/>
      <c r="U175" s="305"/>
      <c r="V175" s="307"/>
      <c r="W175" s="293"/>
      <c r="X175" s="296"/>
      <c r="Y175" s="310"/>
      <c r="Z175" s="255"/>
      <c r="AA175" s="122"/>
      <c r="AB175" s="122"/>
      <c r="AC175" s="122"/>
      <c r="AD175" s="122"/>
      <c r="AE175" s="122"/>
      <c r="AF175" s="126"/>
    </row>
    <row r="176" spans="1:32" ht="62.05" x14ac:dyDescent="0.3">
      <c r="A176" s="300"/>
      <c r="B176" s="119"/>
      <c r="C176" s="119"/>
      <c r="D176" s="120" t="s">
        <v>194</v>
      </c>
      <c r="E176" s="125">
        <f t="shared" ref="E176:Q176" si="56">IF(((E174="")*AND(E175="")),"",(E174-E175))</f>
        <v>408.32999999999993</v>
      </c>
      <c r="F176" s="125">
        <f t="shared" si="56"/>
        <v>379.06999999999971</v>
      </c>
      <c r="G176" s="125">
        <f t="shared" si="56"/>
        <v>366.30999999999995</v>
      </c>
      <c r="H176" s="125">
        <f t="shared" si="56"/>
        <v>365.13000000000011</v>
      </c>
      <c r="I176" s="125">
        <f t="shared" si="56"/>
        <v>365.02</v>
      </c>
      <c r="J176" s="125">
        <f t="shared" si="56"/>
        <v>368.21000000000004</v>
      </c>
      <c r="K176" s="125">
        <f t="shared" si="56"/>
        <v>355.59999999999991</v>
      </c>
      <c r="L176" s="125">
        <f t="shared" si="56"/>
        <v>383.88999999999987</v>
      </c>
      <c r="M176" s="125">
        <f t="shared" si="56"/>
        <v>430.61000000000013</v>
      </c>
      <c r="N176" s="125">
        <f t="shared" si="56"/>
        <v>372.14000000000033</v>
      </c>
      <c r="O176" s="125">
        <f t="shared" si="56"/>
        <v>386.8100000000004</v>
      </c>
      <c r="P176" s="125">
        <f t="shared" si="56"/>
        <v>354.10000000000036</v>
      </c>
      <c r="Q176" s="125">
        <f t="shared" si="56"/>
        <v>391.05999999999995</v>
      </c>
      <c r="R176" s="303"/>
      <c r="S176" s="303"/>
      <c r="T176" s="306"/>
      <c r="U176" s="306"/>
      <c r="V176" s="308"/>
      <c r="W176" s="294"/>
      <c r="X176" s="297"/>
      <c r="Y176" s="311"/>
      <c r="Z176" s="255"/>
      <c r="AA176" s="122"/>
      <c r="AB176" s="122"/>
      <c r="AC176" s="122"/>
      <c r="AD176" s="122"/>
      <c r="AE176" s="122"/>
      <c r="AF176" s="126"/>
    </row>
    <row r="177" spans="1:32" ht="15.55" x14ac:dyDescent="0.25">
      <c r="A177" s="298">
        <v>43335</v>
      </c>
      <c r="B177" s="119" t="s">
        <v>242</v>
      </c>
      <c r="C177" s="119" t="s">
        <v>238</v>
      </c>
      <c r="D177" s="120" t="s">
        <v>192</v>
      </c>
      <c r="E177" s="121">
        <v>2779</v>
      </c>
      <c r="F177" s="121">
        <v>2717</v>
      </c>
      <c r="G177" s="121">
        <v>2708</v>
      </c>
      <c r="H177" s="121">
        <v>2713</v>
      </c>
      <c r="I177" s="121">
        <v>2781</v>
      </c>
      <c r="J177" s="121">
        <v>2822</v>
      </c>
      <c r="K177" s="121">
        <v>2726</v>
      </c>
      <c r="L177" s="121">
        <v>2711</v>
      </c>
      <c r="M177" s="121">
        <v>2790</v>
      </c>
      <c r="N177" s="121">
        <v>2733</v>
      </c>
      <c r="O177" s="121">
        <v>2718</v>
      </c>
      <c r="P177" s="121">
        <v>2731</v>
      </c>
      <c r="Q177" s="121">
        <v>2719</v>
      </c>
      <c r="R177" s="301">
        <f>IF((Q178=""),"",MAX(E179:Q179))</f>
        <v>371</v>
      </c>
      <c r="S177" s="301">
        <f>IF(Q178="","",MIN(E179:Q179))</f>
        <v>324</v>
      </c>
      <c r="T177" s="304">
        <f>IF((Q179=""),"",AVERAGE(E179:Q179))</f>
        <v>340.23076923076923</v>
      </c>
      <c r="U177" s="304">
        <f>IF((Q178=""),"",(R177-S177)/(R177+S177)*100)</f>
        <v>6.7625899280575537</v>
      </c>
      <c r="V177" s="304">
        <f>STDEV(E179:Q179)</f>
        <v>20.20376964064646</v>
      </c>
      <c r="W177" s="292" t="str">
        <f>IF(Q178="","",IF(T177&gt;300,IF(U177&lt;14,IF(T177&lt;390,"Pass","Fail"),"Fail"),"Fail"))</f>
        <v>Pass</v>
      </c>
      <c r="X177" s="295">
        <v>1340</v>
      </c>
      <c r="Y177" s="309"/>
      <c r="Z177" s="255"/>
      <c r="AA177" s="122">
        <v>270</v>
      </c>
      <c r="AB177" s="122">
        <v>370</v>
      </c>
      <c r="AC177" s="122">
        <v>300</v>
      </c>
      <c r="AD177" s="123">
        <v>390</v>
      </c>
      <c r="AE177" s="123">
        <v>14</v>
      </c>
      <c r="AF177" s="123">
        <v>20</v>
      </c>
    </row>
    <row r="178" spans="1:32" ht="15.55" x14ac:dyDescent="0.3">
      <c r="A178" s="299"/>
      <c r="B178" s="124"/>
      <c r="C178" s="124"/>
      <c r="D178" s="120" t="s">
        <v>193</v>
      </c>
      <c r="E178" s="121">
        <v>2408</v>
      </c>
      <c r="F178" s="121">
        <v>2388</v>
      </c>
      <c r="G178" s="121">
        <v>2382</v>
      </c>
      <c r="H178" s="121">
        <v>2389</v>
      </c>
      <c r="I178" s="121">
        <v>2414</v>
      </c>
      <c r="J178" s="121">
        <v>2454</v>
      </c>
      <c r="K178" s="121">
        <v>2398</v>
      </c>
      <c r="L178" s="121">
        <v>2384</v>
      </c>
      <c r="M178" s="121">
        <v>2419</v>
      </c>
      <c r="N178" s="121">
        <v>2405</v>
      </c>
      <c r="O178" s="121">
        <v>2390</v>
      </c>
      <c r="P178" s="121">
        <v>2404</v>
      </c>
      <c r="Q178" s="121">
        <v>2390</v>
      </c>
      <c r="R178" s="302"/>
      <c r="S178" s="302"/>
      <c r="T178" s="305"/>
      <c r="U178" s="305"/>
      <c r="V178" s="307"/>
      <c r="W178" s="293"/>
      <c r="X178" s="296"/>
      <c r="Y178" s="310"/>
      <c r="Z178" s="255"/>
      <c r="AA178" s="122"/>
      <c r="AB178" s="122"/>
      <c r="AC178" s="122"/>
      <c r="AD178" s="122"/>
      <c r="AE178" s="122"/>
      <c r="AF178" s="126"/>
    </row>
    <row r="179" spans="1:32" ht="62.05" x14ac:dyDescent="0.3">
      <c r="A179" s="300"/>
      <c r="B179" s="119"/>
      <c r="C179" s="119"/>
      <c r="D179" s="120" t="s">
        <v>194</v>
      </c>
      <c r="E179" s="125">
        <f t="shared" ref="E179:Q179" si="57">IF(((E177="")*AND(E178="")),"",(E177-E178))</f>
        <v>371</v>
      </c>
      <c r="F179" s="125">
        <f t="shared" si="57"/>
        <v>329</v>
      </c>
      <c r="G179" s="125">
        <f t="shared" si="57"/>
        <v>326</v>
      </c>
      <c r="H179" s="125">
        <f t="shared" si="57"/>
        <v>324</v>
      </c>
      <c r="I179" s="125">
        <f t="shared" si="57"/>
        <v>367</v>
      </c>
      <c r="J179" s="125">
        <f t="shared" si="57"/>
        <v>368</v>
      </c>
      <c r="K179" s="125">
        <f t="shared" si="57"/>
        <v>328</v>
      </c>
      <c r="L179" s="125">
        <f t="shared" si="57"/>
        <v>327</v>
      </c>
      <c r="M179" s="125">
        <f t="shared" si="57"/>
        <v>371</v>
      </c>
      <c r="N179" s="125">
        <f t="shared" si="57"/>
        <v>328</v>
      </c>
      <c r="O179" s="125">
        <f t="shared" si="57"/>
        <v>328</v>
      </c>
      <c r="P179" s="125">
        <f t="shared" si="57"/>
        <v>327</v>
      </c>
      <c r="Q179" s="125">
        <f t="shared" si="57"/>
        <v>329</v>
      </c>
      <c r="R179" s="303"/>
      <c r="S179" s="303"/>
      <c r="T179" s="306"/>
      <c r="U179" s="306"/>
      <c r="V179" s="308"/>
      <c r="W179" s="294"/>
      <c r="X179" s="297"/>
      <c r="Y179" s="311"/>
      <c r="Z179" s="255"/>
      <c r="AA179" s="122"/>
      <c r="AB179" s="122"/>
      <c r="AC179" s="122"/>
      <c r="AD179" s="122"/>
      <c r="AE179" s="122"/>
      <c r="AF179" s="126"/>
    </row>
    <row r="180" spans="1:32" ht="15.55" x14ac:dyDescent="0.25">
      <c r="A180" s="298">
        <v>43338</v>
      </c>
      <c r="B180" s="119" t="s">
        <v>242</v>
      </c>
      <c r="C180" s="119" t="s">
        <v>238</v>
      </c>
      <c r="D180" s="120" t="s">
        <v>192</v>
      </c>
      <c r="E180" s="121">
        <v>2406.9299999999998</v>
      </c>
      <c r="F180" s="121">
        <v>2384.1999999999998</v>
      </c>
      <c r="G180" s="121">
        <v>2384.7399999999998</v>
      </c>
      <c r="H180" s="121">
        <v>2383.9499999999998</v>
      </c>
      <c r="I180" s="121">
        <v>2414.65</v>
      </c>
      <c r="J180" s="121">
        <v>2452.36</v>
      </c>
      <c r="K180" s="121">
        <v>2397.83</v>
      </c>
      <c r="L180" s="121">
        <v>2363.16</v>
      </c>
      <c r="M180" s="121">
        <v>2318.09</v>
      </c>
      <c r="N180" s="121">
        <v>2403.2800000000002</v>
      </c>
      <c r="O180" s="121">
        <v>2392.04</v>
      </c>
      <c r="P180" s="121">
        <v>2467.5500000000002</v>
      </c>
      <c r="Q180" s="121">
        <v>2389.81</v>
      </c>
      <c r="R180" s="301">
        <f>IF((Q181=""),"",MAX(E182:Q182))</f>
        <v>420.33999999999992</v>
      </c>
      <c r="S180" s="301">
        <f>IF(Q181="","",MIN(E182:Q182))</f>
        <v>319.71000000000004</v>
      </c>
      <c r="T180" s="304">
        <f>IF((Q182=""),"",AVERAGE(E182:Q182))</f>
        <v>348.14692307692309</v>
      </c>
      <c r="U180" s="304">
        <f>IF((Q181=""),"",(R180-S180)/(R180+S180)*100)</f>
        <v>13.597729883115992</v>
      </c>
      <c r="V180" s="304">
        <f>STDEV(E182:Q182)</f>
        <v>28.341255672198496</v>
      </c>
      <c r="W180" s="292" t="str">
        <f>IF(Q181="","",IF(T180&gt;300,IF(U180&lt;14,IF(T180&lt;390,"Pass","Fail"),"Fail"),"Fail"))</f>
        <v>Pass</v>
      </c>
      <c r="X180" s="295">
        <v>102</v>
      </c>
      <c r="Y180" s="309"/>
      <c r="Z180" s="255"/>
      <c r="AA180" s="122">
        <v>270</v>
      </c>
      <c r="AB180" s="122">
        <v>370</v>
      </c>
      <c r="AC180" s="122">
        <v>300</v>
      </c>
      <c r="AD180" s="123">
        <v>390</v>
      </c>
      <c r="AE180" s="123">
        <v>14</v>
      </c>
      <c r="AF180" s="123">
        <v>20</v>
      </c>
    </row>
    <row r="181" spans="1:32" ht="15.55" x14ac:dyDescent="0.3">
      <c r="A181" s="299"/>
      <c r="B181" s="124"/>
      <c r="C181" s="124"/>
      <c r="D181" s="120" t="s">
        <v>193</v>
      </c>
      <c r="E181" s="121">
        <v>1986.59</v>
      </c>
      <c r="F181" s="121">
        <v>2041.75</v>
      </c>
      <c r="G181" s="121">
        <v>2043.8</v>
      </c>
      <c r="H181" s="121">
        <v>2058.3200000000002</v>
      </c>
      <c r="I181" s="121">
        <v>2056.9699999999998</v>
      </c>
      <c r="J181" s="121">
        <v>2121.35</v>
      </c>
      <c r="K181" s="121">
        <v>2078.12</v>
      </c>
      <c r="L181" s="121">
        <v>2030.18</v>
      </c>
      <c r="M181" s="121">
        <v>1995.86</v>
      </c>
      <c r="N181" s="121">
        <v>2066.12</v>
      </c>
      <c r="O181" s="121">
        <v>2048.33</v>
      </c>
      <c r="P181" s="121">
        <v>2086.79</v>
      </c>
      <c r="Q181" s="121">
        <v>2018.5</v>
      </c>
      <c r="R181" s="302"/>
      <c r="S181" s="302"/>
      <c r="T181" s="305"/>
      <c r="U181" s="305"/>
      <c r="V181" s="307"/>
      <c r="W181" s="293"/>
      <c r="X181" s="296"/>
      <c r="Y181" s="310"/>
      <c r="Z181" s="255"/>
      <c r="AA181" s="122"/>
      <c r="AB181" s="122"/>
      <c r="AC181" s="122"/>
      <c r="AD181" s="122"/>
      <c r="AE181" s="122"/>
      <c r="AF181" s="126"/>
    </row>
    <row r="182" spans="1:32" ht="62.05" x14ac:dyDescent="0.3">
      <c r="A182" s="300"/>
      <c r="B182" s="119"/>
      <c r="C182" s="119"/>
      <c r="D182" s="120" t="s">
        <v>194</v>
      </c>
      <c r="E182" s="125">
        <f t="shared" ref="E182:Q182" si="58">IF(((E180="")*AND(E181="")),"",(E180-E181))</f>
        <v>420.33999999999992</v>
      </c>
      <c r="F182" s="125">
        <f t="shared" si="58"/>
        <v>342.44999999999982</v>
      </c>
      <c r="G182" s="125">
        <f t="shared" si="58"/>
        <v>340.93999999999983</v>
      </c>
      <c r="H182" s="125">
        <f t="shared" si="58"/>
        <v>325.62999999999965</v>
      </c>
      <c r="I182" s="125">
        <f t="shared" si="58"/>
        <v>357.68000000000029</v>
      </c>
      <c r="J182" s="125">
        <f t="shared" si="58"/>
        <v>331.01000000000022</v>
      </c>
      <c r="K182" s="125">
        <f t="shared" si="58"/>
        <v>319.71000000000004</v>
      </c>
      <c r="L182" s="125">
        <f t="shared" si="58"/>
        <v>332.97999999999979</v>
      </c>
      <c r="M182" s="125">
        <f t="shared" si="58"/>
        <v>322.23000000000025</v>
      </c>
      <c r="N182" s="125">
        <f t="shared" si="58"/>
        <v>337.16000000000031</v>
      </c>
      <c r="O182" s="125">
        <f t="shared" si="58"/>
        <v>343.71000000000004</v>
      </c>
      <c r="P182" s="125">
        <f t="shared" si="58"/>
        <v>380.76000000000022</v>
      </c>
      <c r="Q182" s="125">
        <f t="shared" si="58"/>
        <v>371.30999999999995</v>
      </c>
      <c r="R182" s="303"/>
      <c r="S182" s="303"/>
      <c r="T182" s="306"/>
      <c r="U182" s="306"/>
      <c r="V182" s="308"/>
      <c r="W182" s="294"/>
      <c r="X182" s="297"/>
      <c r="Y182" s="311"/>
      <c r="Z182" s="255"/>
      <c r="AA182" s="122"/>
      <c r="AB182" s="122"/>
      <c r="AC182" s="122"/>
      <c r="AD182" s="122"/>
      <c r="AE182" s="122"/>
      <c r="AF182" s="126"/>
    </row>
    <row r="183" spans="1:32" ht="15.55" x14ac:dyDescent="0.25">
      <c r="A183" s="298">
        <v>43341</v>
      </c>
      <c r="B183" s="119" t="s">
        <v>242</v>
      </c>
      <c r="C183" s="119" t="s">
        <v>238</v>
      </c>
      <c r="D183" s="120" t="s">
        <v>192</v>
      </c>
      <c r="E183" s="121">
        <v>1989.07</v>
      </c>
      <c r="F183" s="121">
        <v>2047.09</v>
      </c>
      <c r="G183" s="121">
        <v>2045.88</v>
      </c>
      <c r="H183" s="121">
        <v>2048.15</v>
      </c>
      <c r="I183" s="121">
        <v>2062.6799999999998</v>
      </c>
      <c r="J183" s="121">
        <v>2125.58</v>
      </c>
      <c r="K183" s="121">
        <v>2074.48</v>
      </c>
      <c r="L183" s="121">
        <v>2039.27</v>
      </c>
      <c r="M183" s="121">
        <v>1997.98</v>
      </c>
      <c r="N183" s="121">
        <v>2074.1999999999998</v>
      </c>
      <c r="O183" s="121">
        <v>2052.16</v>
      </c>
      <c r="P183" s="121">
        <v>2081.67</v>
      </c>
      <c r="Q183" s="121">
        <v>2025.37</v>
      </c>
      <c r="R183" s="301">
        <f>IF((Q184=""),"",MAX(E185:Q185))</f>
        <v>429.09999999999991</v>
      </c>
      <c r="S183" s="301">
        <f>IF(Q184="","",MIN(E185:Q185))</f>
        <v>333.08999999999992</v>
      </c>
      <c r="T183" s="304">
        <f>IF((Q185=""),"",AVERAGE(E185:Q185))</f>
        <v>363.50923076923067</v>
      </c>
      <c r="U183" s="304">
        <f>IF((Q184=""),"",(R183-S183)/(R183+S183)*100)</f>
        <v>12.596596649129484</v>
      </c>
      <c r="V183" s="304">
        <f>STDEV(E185:Q185)</f>
        <v>27.129560587895742</v>
      </c>
      <c r="W183" s="292" t="str">
        <f>IF(Q184="","",IF(T183&gt;300,IF(U183&lt;14,IF(T183&lt;390,"Pass","Fail"),"Fail"),"Fail"))</f>
        <v>Pass</v>
      </c>
      <c r="X183" s="295">
        <v>121</v>
      </c>
      <c r="Y183" s="309"/>
      <c r="Z183" s="255"/>
      <c r="AA183" s="122">
        <v>270</v>
      </c>
      <c r="AB183" s="122">
        <v>370</v>
      </c>
      <c r="AC183" s="122">
        <v>300</v>
      </c>
      <c r="AD183" s="123">
        <v>390</v>
      </c>
      <c r="AE183" s="123">
        <v>14</v>
      </c>
      <c r="AF183" s="123">
        <v>20</v>
      </c>
    </row>
    <row r="184" spans="1:32" ht="15.55" x14ac:dyDescent="0.3">
      <c r="A184" s="299"/>
      <c r="B184" s="124"/>
      <c r="C184" s="124"/>
      <c r="D184" s="120" t="s">
        <v>193</v>
      </c>
      <c r="E184" s="121">
        <v>1637.06</v>
      </c>
      <c r="F184" s="121">
        <v>1699.28</v>
      </c>
      <c r="G184" s="121">
        <v>1698.04</v>
      </c>
      <c r="H184" s="121">
        <v>1697.52</v>
      </c>
      <c r="I184" s="121">
        <v>1652.28</v>
      </c>
      <c r="J184" s="121">
        <v>1696.48</v>
      </c>
      <c r="K184" s="121">
        <v>1708.53</v>
      </c>
      <c r="L184" s="121">
        <v>1694.94</v>
      </c>
      <c r="M184" s="121">
        <v>1646.53</v>
      </c>
      <c r="N184" s="121">
        <v>1712.35</v>
      </c>
      <c r="O184" s="121">
        <v>1693.11</v>
      </c>
      <c r="P184" s="121">
        <v>1709.56</v>
      </c>
      <c r="Q184" s="121">
        <v>1692.28</v>
      </c>
      <c r="R184" s="302"/>
      <c r="S184" s="302"/>
      <c r="T184" s="305"/>
      <c r="U184" s="305"/>
      <c r="V184" s="307"/>
      <c r="W184" s="293"/>
      <c r="X184" s="296"/>
      <c r="Y184" s="310"/>
      <c r="Z184" s="255"/>
      <c r="AA184" s="122"/>
      <c r="AB184" s="122"/>
      <c r="AC184" s="122"/>
      <c r="AD184" s="122"/>
      <c r="AE184" s="122"/>
      <c r="AF184" s="126"/>
    </row>
    <row r="185" spans="1:32" ht="62.05" x14ac:dyDescent="0.3">
      <c r="A185" s="300"/>
      <c r="B185" s="119"/>
      <c r="C185" s="119"/>
      <c r="D185" s="120" t="s">
        <v>194</v>
      </c>
      <c r="E185" s="125">
        <f t="shared" ref="E185:Q185" si="59">IF(((E183="")*AND(E184="")),"",(E183-E184))</f>
        <v>352.01</v>
      </c>
      <c r="F185" s="125">
        <f t="shared" si="59"/>
        <v>347.80999999999995</v>
      </c>
      <c r="G185" s="125">
        <f t="shared" si="59"/>
        <v>347.84000000000015</v>
      </c>
      <c r="H185" s="125">
        <f t="shared" si="59"/>
        <v>350.63000000000011</v>
      </c>
      <c r="I185" s="125">
        <f t="shared" si="59"/>
        <v>410.39999999999986</v>
      </c>
      <c r="J185" s="125">
        <f t="shared" si="59"/>
        <v>429.09999999999991</v>
      </c>
      <c r="K185" s="125">
        <f t="shared" si="59"/>
        <v>365.95000000000005</v>
      </c>
      <c r="L185" s="125">
        <f t="shared" si="59"/>
        <v>344.32999999999993</v>
      </c>
      <c r="M185" s="125">
        <f t="shared" si="59"/>
        <v>351.45000000000005</v>
      </c>
      <c r="N185" s="125">
        <f t="shared" si="59"/>
        <v>361.84999999999991</v>
      </c>
      <c r="O185" s="125">
        <f t="shared" si="59"/>
        <v>359.04999999999995</v>
      </c>
      <c r="P185" s="125">
        <f t="shared" si="59"/>
        <v>372.11000000000013</v>
      </c>
      <c r="Q185" s="125">
        <f t="shared" si="59"/>
        <v>333.08999999999992</v>
      </c>
      <c r="R185" s="303"/>
      <c r="S185" s="303"/>
      <c r="T185" s="306"/>
      <c r="U185" s="306"/>
      <c r="V185" s="308"/>
      <c r="W185" s="294"/>
      <c r="X185" s="297"/>
      <c r="Y185" s="311"/>
      <c r="Z185" s="255"/>
      <c r="AA185" s="122"/>
      <c r="AB185" s="122"/>
      <c r="AC185" s="122"/>
      <c r="AD185" s="122"/>
      <c r="AE185" s="122"/>
      <c r="AF185" s="126"/>
    </row>
    <row r="186" spans="1:32" ht="15.55" x14ac:dyDescent="0.25">
      <c r="A186" s="316">
        <v>43344</v>
      </c>
      <c r="B186" s="119" t="s">
        <v>242</v>
      </c>
      <c r="C186" s="119" t="s">
        <v>238</v>
      </c>
      <c r="D186" s="120" t="s">
        <v>192</v>
      </c>
      <c r="E186" s="121">
        <v>2442.25</v>
      </c>
      <c r="F186" s="121">
        <v>2357.94</v>
      </c>
      <c r="G186" s="121">
        <v>2342.2399999999998</v>
      </c>
      <c r="H186" s="121">
        <v>2343.9499999999998</v>
      </c>
      <c r="I186" s="121">
        <v>2403.2800000000002</v>
      </c>
      <c r="J186" s="121">
        <v>2399.73</v>
      </c>
      <c r="K186" s="121">
        <v>2345.96</v>
      </c>
      <c r="L186" s="121">
        <v>2348.2800000000002</v>
      </c>
      <c r="M186" s="121">
        <v>2401.33</v>
      </c>
      <c r="N186" s="121">
        <v>2363.79</v>
      </c>
      <c r="O186" s="121">
        <v>2347.7199999999998</v>
      </c>
      <c r="P186" s="121">
        <v>2348.63</v>
      </c>
      <c r="Q186" s="121">
        <v>2363.86</v>
      </c>
      <c r="R186" s="301">
        <f>IF((Q187=""),"",MAX(E188:Q188))</f>
        <v>417.09999999999991</v>
      </c>
      <c r="S186" s="301">
        <f>IF(Q187="","",MIN(E188:Q188))</f>
        <v>340.52</v>
      </c>
      <c r="T186" s="304">
        <f>IF((Q188=""),"",AVERAGE(E188:Q188))</f>
        <v>360.67384615384617</v>
      </c>
      <c r="U186" s="304">
        <f>IF((Q187=""),"",(R186-S186)/(R186+S186)*100)</f>
        <v>10.10796969456983</v>
      </c>
      <c r="V186" s="304">
        <f>STDEV(E188:Q188)</f>
        <v>19.204050153748593</v>
      </c>
      <c r="W186" s="292" t="str">
        <f>IF(Q187="","",IF(T186&gt;300,IF(U186&lt;14,IF(T186&lt;390,"Pass","Fail"),"Fail"),"Fail"))</f>
        <v>Pass</v>
      </c>
      <c r="X186" s="295">
        <v>1335</v>
      </c>
      <c r="Y186" s="309"/>
      <c r="Z186" s="255"/>
      <c r="AA186" s="122">
        <v>270</v>
      </c>
      <c r="AB186" s="122">
        <v>370</v>
      </c>
      <c r="AC186" s="122">
        <v>300</v>
      </c>
      <c r="AD186" s="123">
        <v>390</v>
      </c>
      <c r="AE186" s="123">
        <v>14</v>
      </c>
      <c r="AF186" s="123">
        <v>20</v>
      </c>
    </row>
    <row r="187" spans="1:32" ht="15.55" x14ac:dyDescent="0.3">
      <c r="A187" s="317"/>
      <c r="B187" s="124"/>
      <c r="C187" s="124"/>
      <c r="D187" s="120" t="s">
        <v>193</v>
      </c>
      <c r="E187" s="121">
        <v>2064.2800000000002</v>
      </c>
      <c r="F187" s="121">
        <v>2002.77</v>
      </c>
      <c r="G187" s="121">
        <v>1985.58</v>
      </c>
      <c r="H187" s="121">
        <v>1989</v>
      </c>
      <c r="I187" s="121">
        <v>2048.39</v>
      </c>
      <c r="J187" s="121">
        <v>2046.17</v>
      </c>
      <c r="K187" s="121">
        <v>2005.44</v>
      </c>
      <c r="L187" s="121">
        <v>1982.07</v>
      </c>
      <c r="M187" s="121">
        <v>1984.23</v>
      </c>
      <c r="N187" s="121">
        <v>2013.06</v>
      </c>
      <c r="O187" s="121">
        <v>1994.88</v>
      </c>
      <c r="P187" s="121">
        <v>2001.45</v>
      </c>
      <c r="Q187" s="121">
        <v>2002.88</v>
      </c>
      <c r="R187" s="302"/>
      <c r="S187" s="302"/>
      <c r="T187" s="305"/>
      <c r="U187" s="305"/>
      <c r="V187" s="307"/>
      <c r="W187" s="293"/>
      <c r="X187" s="296"/>
      <c r="Y187" s="310"/>
      <c r="Z187" s="255"/>
      <c r="AA187" s="122"/>
      <c r="AB187" s="122"/>
      <c r="AC187" s="122"/>
      <c r="AD187" s="122"/>
      <c r="AE187" s="122"/>
      <c r="AF187" s="126"/>
    </row>
    <row r="188" spans="1:32" ht="62.05" x14ac:dyDescent="0.3">
      <c r="A188" s="317"/>
      <c r="B188" s="119"/>
      <c r="C188" s="119"/>
      <c r="D188" s="120" t="s">
        <v>194</v>
      </c>
      <c r="E188" s="125">
        <f t="shared" ref="E188:Q188" si="60">IF(((E186="")*AND(E187="")),"",(E186-E187))</f>
        <v>377.9699999999998</v>
      </c>
      <c r="F188" s="125">
        <f t="shared" si="60"/>
        <v>355.17000000000007</v>
      </c>
      <c r="G188" s="125">
        <f t="shared" si="60"/>
        <v>356.65999999999985</v>
      </c>
      <c r="H188" s="125">
        <f t="shared" si="60"/>
        <v>354.94999999999982</v>
      </c>
      <c r="I188" s="125">
        <f t="shared" si="60"/>
        <v>354.89000000000033</v>
      </c>
      <c r="J188" s="125">
        <f t="shared" si="60"/>
        <v>353.55999999999995</v>
      </c>
      <c r="K188" s="125">
        <f t="shared" si="60"/>
        <v>340.52</v>
      </c>
      <c r="L188" s="125">
        <f t="shared" si="60"/>
        <v>366.21000000000026</v>
      </c>
      <c r="M188" s="125">
        <f t="shared" si="60"/>
        <v>417.09999999999991</v>
      </c>
      <c r="N188" s="125">
        <f t="shared" si="60"/>
        <v>350.73</v>
      </c>
      <c r="O188" s="125">
        <f t="shared" si="60"/>
        <v>352.83999999999969</v>
      </c>
      <c r="P188" s="125">
        <f t="shared" si="60"/>
        <v>347.18000000000006</v>
      </c>
      <c r="Q188" s="125">
        <f t="shared" si="60"/>
        <v>360.98</v>
      </c>
      <c r="R188" s="303"/>
      <c r="S188" s="303"/>
      <c r="T188" s="306"/>
      <c r="U188" s="306"/>
      <c r="V188" s="308"/>
      <c r="W188" s="294"/>
      <c r="X188" s="297"/>
      <c r="Y188" s="311"/>
      <c r="Z188" s="255"/>
      <c r="AA188" s="122"/>
      <c r="AB188" s="122"/>
      <c r="AC188" s="122"/>
      <c r="AD188" s="122"/>
      <c r="AE188" s="122"/>
      <c r="AF188" s="126"/>
    </row>
    <row r="189" spans="1:32" ht="15.55" x14ac:dyDescent="0.25">
      <c r="A189" s="298">
        <v>43199</v>
      </c>
      <c r="B189" s="119" t="s">
        <v>242</v>
      </c>
      <c r="C189" s="119" t="s">
        <v>238</v>
      </c>
      <c r="D189" s="120" t="s">
        <v>192</v>
      </c>
      <c r="E189" s="121">
        <v>2064.2800000000002</v>
      </c>
      <c r="F189" s="121">
        <v>2002.77</v>
      </c>
      <c r="G189" s="121">
        <v>1985.58</v>
      </c>
      <c r="H189" s="121">
        <v>1989</v>
      </c>
      <c r="I189" s="121">
        <v>2048.39</v>
      </c>
      <c r="J189" s="121">
        <v>2046.17</v>
      </c>
      <c r="K189" s="121">
        <v>2005.44</v>
      </c>
      <c r="L189" s="121">
        <v>1982.07</v>
      </c>
      <c r="M189" s="121">
        <v>1984.23</v>
      </c>
      <c r="N189" s="121">
        <v>2013.06</v>
      </c>
      <c r="O189" s="121">
        <v>1994.88</v>
      </c>
      <c r="P189" s="121">
        <v>2001.45</v>
      </c>
      <c r="Q189" s="121">
        <v>2002.88</v>
      </c>
      <c r="R189" s="301">
        <f>IF((Q190=""),"",MAX(E191:Q191))</f>
        <v>410.89999999999986</v>
      </c>
      <c r="S189" s="301">
        <f>IF(Q190="","",MIN(E191:Q191))</f>
        <v>316.11999999999989</v>
      </c>
      <c r="T189" s="304">
        <f>IF((Q191=""),"",AVERAGE(E191:Q191))</f>
        <v>350.06461538461542</v>
      </c>
      <c r="U189" s="304">
        <f>IF((Q190=""),"",(R189-S189)/(R189+S189)*100)</f>
        <v>13.036780281147701</v>
      </c>
      <c r="V189" s="304">
        <f>STDEV(E191:Q191)</f>
        <v>31.67255873659526</v>
      </c>
      <c r="W189" s="292" t="str">
        <f>IF(Q190="","",IF(T189&gt;300,IF(U189&lt;14,IF(T189&lt;390,"Pass","Fail"),"Fail"),"Fail"))</f>
        <v>Pass</v>
      </c>
      <c r="X189" s="295"/>
      <c r="Y189" s="309"/>
      <c r="Z189" s="255"/>
      <c r="AA189" s="122">
        <v>270</v>
      </c>
      <c r="AB189" s="122">
        <v>370</v>
      </c>
      <c r="AC189" s="122">
        <v>300</v>
      </c>
      <c r="AD189" s="123">
        <v>390</v>
      </c>
      <c r="AE189" s="123">
        <v>14</v>
      </c>
      <c r="AF189" s="123">
        <v>20</v>
      </c>
    </row>
    <row r="190" spans="1:32" ht="15.55" x14ac:dyDescent="0.3">
      <c r="A190" s="299"/>
      <c r="B190" s="124"/>
      <c r="C190" s="124"/>
      <c r="D190" s="120" t="s">
        <v>193</v>
      </c>
      <c r="E190" s="121">
        <v>1670.72</v>
      </c>
      <c r="F190" s="121">
        <v>1674.86</v>
      </c>
      <c r="G190" s="121">
        <v>1660.73</v>
      </c>
      <c r="H190" s="121">
        <v>1652.09</v>
      </c>
      <c r="I190" s="121">
        <v>1637.49</v>
      </c>
      <c r="J190" s="121">
        <v>1643.24</v>
      </c>
      <c r="K190" s="121">
        <v>1671.82</v>
      </c>
      <c r="L190" s="121">
        <v>1665.95</v>
      </c>
      <c r="M190" s="121">
        <v>1629.1</v>
      </c>
      <c r="N190" s="121">
        <v>1663.97</v>
      </c>
      <c r="O190" s="121">
        <v>1658.58</v>
      </c>
      <c r="P190" s="121">
        <v>1665.12</v>
      </c>
      <c r="Q190" s="121">
        <v>1675.69</v>
      </c>
      <c r="R190" s="302"/>
      <c r="S190" s="302"/>
      <c r="T190" s="305"/>
      <c r="U190" s="305"/>
      <c r="V190" s="307"/>
      <c r="W190" s="293"/>
      <c r="X190" s="296"/>
      <c r="Y190" s="310"/>
      <c r="Z190" s="255"/>
      <c r="AA190" s="122"/>
      <c r="AB190" s="122"/>
      <c r="AC190" s="122"/>
      <c r="AD190" s="122"/>
      <c r="AE190" s="122"/>
      <c r="AF190" s="126"/>
    </row>
    <row r="191" spans="1:32" ht="62.05" x14ac:dyDescent="0.3">
      <c r="A191" s="300"/>
      <c r="B191" s="119"/>
      <c r="C191" s="119"/>
      <c r="D191" s="120" t="s">
        <v>194</v>
      </c>
      <c r="E191" s="125">
        <f t="shared" ref="E191:Q191" si="61">IF(((E189="")*AND(E190="")),"",(E189-E190))</f>
        <v>393.56000000000017</v>
      </c>
      <c r="F191" s="125">
        <f t="shared" si="61"/>
        <v>327.91000000000008</v>
      </c>
      <c r="G191" s="125">
        <f t="shared" si="61"/>
        <v>324.84999999999991</v>
      </c>
      <c r="H191" s="125">
        <f t="shared" si="61"/>
        <v>336.91000000000008</v>
      </c>
      <c r="I191" s="125">
        <f t="shared" si="61"/>
        <v>410.89999999999986</v>
      </c>
      <c r="J191" s="125">
        <f t="shared" si="61"/>
        <v>402.93000000000006</v>
      </c>
      <c r="K191" s="125">
        <f t="shared" si="61"/>
        <v>333.62000000000012</v>
      </c>
      <c r="L191" s="125">
        <f t="shared" si="61"/>
        <v>316.11999999999989</v>
      </c>
      <c r="M191" s="125">
        <f t="shared" si="61"/>
        <v>355.13000000000011</v>
      </c>
      <c r="N191" s="125">
        <f t="shared" si="61"/>
        <v>349.08999999999992</v>
      </c>
      <c r="O191" s="125">
        <f t="shared" si="61"/>
        <v>336.30000000000018</v>
      </c>
      <c r="P191" s="125">
        <f t="shared" si="61"/>
        <v>336.33000000000015</v>
      </c>
      <c r="Q191" s="125">
        <f t="shared" si="61"/>
        <v>327.19000000000005</v>
      </c>
      <c r="R191" s="303"/>
      <c r="S191" s="303"/>
      <c r="T191" s="306"/>
      <c r="U191" s="306"/>
      <c r="V191" s="308"/>
      <c r="W191" s="294"/>
      <c r="X191" s="297"/>
      <c r="Y191" s="311"/>
      <c r="Z191" s="255"/>
      <c r="AA191" s="122"/>
      <c r="AB191" s="122"/>
      <c r="AC191" s="122"/>
      <c r="AD191" s="122"/>
      <c r="AE191" s="122"/>
      <c r="AF191" s="126"/>
    </row>
    <row r="192" spans="1:32" ht="15.55" x14ac:dyDescent="0.25">
      <c r="A192" s="298">
        <v>43353</v>
      </c>
      <c r="B192" s="119" t="s">
        <v>242</v>
      </c>
      <c r="C192" s="119" t="s">
        <v>238</v>
      </c>
      <c r="D192" s="120" t="s">
        <v>192</v>
      </c>
      <c r="E192" s="121">
        <v>2444.0700000000002</v>
      </c>
      <c r="F192" s="121">
        <v>2356.61</v>
      </c>
      <c r="G192" s="121">
        <v>2339.23</v>
      </c>
      <c r="H192" s="121">
        <v>2341.46</v>
      </c>
      <c r="I192" s="121">
        <v>2400.5700000000002</v>
      </c>
      <c r="J192" s="121">
        <v>2398.85</v>
      </c>
      <c r="K192" s="121">
        <v>2346.4499999999998</v>
      </c>
      <c r="L192" s="121">
        <v>2347.37</v>
      </c>
      <c r="M192" s="121">
        <v>2403.2399999999998</v>
      </c>
      <c r="N192" s="121">
        <v>2362.71</v>
      </c>
      <c r="O192" s="121">
        <v>2348.0500000000002</v>
      </c>
      <c r="P192" s="121">
        <v>2344.41</v>
      </c>
      <c r="Q192" s="121">
        <v>2366.13</v>
      </c>
      <c r="R192" s="301">
        <f>IF((Q193=""),"",MAX(E194:Q194))</f>
        <v>431.64999999999986</v>
      </c>
      <c r="S192" s="301">
        <f>IF(Q193="","",MIN(E194:Q194))</f>
        <v>376.04999999999995</v>
      </c>
      <c r="T192" s="304">
        <f>IF((Q194=""),"",AVERAGE(E194:Q194))</f>
        <v>388.12846153846152</v>
      </c>
      <c r="U192" s="304">
        <f>IF((Q193=""),"",(R192-S192)/(R192+S192)*100)</f>
        <v>6.8837439643431866</v>
      </c>
      <c r="V192" s="304">
        <f>STDEV(E194:Q194)</f>
        <v>14.686452286690301</v>
      </c>
      <c r="W192" s="292" t="str">
        <f>IF(Q193="","",IF(T192&gt;300,IF(U192&lt;14,IF(T192&lt;390,"Pass","Fail"),"Fail"),"Fail"))</f>
        <v>Pass</v>
      </c>
      <c r="X192" s="295" t="s">
        <v>250</v>
      </c>
      <c r="Y192" s="309"/>
      <c r="Z192" s="255"/>
      <c r="AA192" s="122">
        <v>270</v>
      </c>
      <c r="AB192" s="122">
        <v>370</v>
      </c>
      <c r="AC192" s="122">
        <v>300</v>
      </c>
      <c r="AD192" s="123">
        <v>390</v>
      </c>
      <c r="AE192" s="123">
        <v>14</v>
      </c>
      <c r="AF192" s="123">
        <v>20</v>
      </c>
    </row>
    <row r="193" spans="1:32" ht="15.55" x14ac:dyDescent="0.3">
      <c r="A193" s="299"/>
      <c r="B193" s="124"/>
      <c r="C193" s="124"/>
      <c r="D193" s="120" t="s">
        <v>193</v>
      </c>
      <c r="E193" s="121">
        <v>2046.18</v>
      </c>
      <c r="F193" s="121">
        <v>1973.24</v>
      </c>
      <c r="G193" s="121">
        <v>1956.71</v>
      </c>
      <c r="H193" s="121">
        <v>1951.04</v>
      </c>
      <c r="I193" s="121">
        <v>2008.68</v>
      </c>
      <c r="J193" s="121">
        <v>2019.77</v>
      </c>
      <c r="K193" s="121">
        <v>1968.13</v>
      </c>
      <c r="L193" s="121">
        <v>1969.77</v>
      </c>
      <c r="M193" s="121">
        <v>1971.59</v>
      </c>
      <c r="N193" s="121">
        <v>1983.44</v>
      </c>
      <c r="O193" s="121">
        <v>1961.61</v>
      </c>
      <c r="P193" s="121">
        <v>1968.36</v>
      </c>
      <c r="Q193" s="121">
        <v>1974.96</v>
      </c>
      <c r="R193" s="302"/>
      <c r="S193" s="302"/>
      <c r="T193" s="305"/>
      <c r="U193" s="305"/>
      <c r="V193" s="307"/>
      <c r="W193" s="293"/>
      <c r="X193" s="296"/>
      <c r="Y193" s="310"/>
      <c r="Z193" s="255"/>
      <c r="AA193" s="122"/>
      <c r="AB193" s="122"/>
      <c r="AC193" s="122"/>
      <c r="AD193" s="122"/>
      <c r="AE193" s="122"/>
      <c r="AF193" s="126"/>
    </row>
    <row r="194" spans="1:32" ht="62.05" x14ac:dyDescent="0.3">
      <c r="A194" s="300"/>
      <c r="B194" s="119"/>
      <c r="C194" s="119"/>
      <c r="D194" s="120" t="s">
        <v>194</v>
      </c>
      <c r="E194" s="125">
        <f t="shared" ref="E194:Q194" si="62">IF(((E192="")*AND(E193="")),"",(E192-E193))</f>
        <v>397.8900000000001</v>
      </c>
      <c r="F194" s="125">
        <f t="shared" si="62"/>
        <v>383.37000000000012</v>
      </c>
      <c r="G194" s="125">
        <f t="shared" si="62"/>
        <v>382.52</v>
      </c>
      <c r="H194" s="125">
        <f t="shared" si="62"/>
        <v>390.42000000000007</v>
      </c>
      <c r="I194" s="125">
        <f t="shared" si="62"/>
        <v>391.8900000000001</v>
      </c>
      <c r="J194" s="125">
        <f t="shared" si="62"/>
        <v>379.07999999999993</v>
      </c>
      <c r="K194" s="125">
        <f t="shared" si="62"/>
        <v>378.31999999999971</v>
      </c>
      <c r="L194" s="125">
        <f t="shared" si="62"/>
        <v>377.59999999999991</v>
      </c>
      <c r="M194" s="125">
        <f t="shared" si="62"/>
        <v>431.64999999999986</v>
      </c>
      <c r="N194" s="125">
        <f t="shared" si="62"/>
        <v>379.27</v>
      </c>
      <c r="O194" s="125">
        <f t="shared" si="62"/>
        <v>386.44000000000028</v>
      </c>
      <c r="P194" s="125">
        <f t="shared" si="62"/>
        <v>376.04999999999995</v>
      </c>
      <c r="Q194" s="125">
        <f t="shared" si="62"/>
        <v>391.17000000000007</v>
      </c>
      <c r="R194" s="303"/>
      <c r="S194" s="303"/>
      <c r="T194" s="306"/>
      <c r="U194" s="306"/>
      <c r="V194" s="308"/>
      <c r="W194" s="294"/>
      <c r="X194" s="297"/>
      <c r="Y194" s="311"/>
      <c r="Z194" s="255"/>
      <c r="AA194" s="122"/>
      <c r="AB194" s="122"/>
      <c r="AC194" s="122"/>
      <c r="AD194" s="122"/>
      <c r="AE194" s="122"/>
      <c r="AF194" s="126"/>
    </row>
    <row r="195" spans="1:32" ht="15.55" x14ac:dyDescent="0.25">
      <c r="A195" s="298">
        <v>43353</v>
      </c>
      <c r="B195" s="119" t="s">
        <v>242</v>
      </c>
      <c r="C195" s="119" t="s">
        <v>238</v>
      </c>
      <c r="D195" s="120" t="s">
        <v>192</v>
      </c>
      <c r="E195" s="133">
        <v>2026</v>
      </c>
      <c r="F195" s="133">
        <v>1961</v>
      </c>
      <c r="G195" s="133">
        <v>1950</v>
      </c>
      <c r="H195" s="133">
        <v>1948</v>
      </c>
      <c r="I195" s="133">
        <v>2000</v>
      </c>
      <c r="J195" s="133">
        <v>2008</v>
      </c>
      <c r="K195" s="133">
        <v>1961</v>
      </c>
      <c r="L195" s="133">
        <v>1952</v>
      </c>
      <c r="M195" s="133">
        <v>1962</v>
      </c>
      <c r="N195" s="133">
        <v>1970</v>
      </c>
      <c r="O195" s="133">
        <v>1957</v>
      </c>
      <c r="P195" s="133">
        <v>1962</v>
      </c>
      <c r="Q195" s="133">
        <v>1965</v>
      </c>
      <c r="R195" s="301">
        <f>IF((Q196=""),"",MAX(E197:Q197))</f>
        <v>370</v>
      </c>
      <c r="S195" s="301">
        <f>IF(Q196="","",MIN(E197:Q197))</f>
        <v>286</v>
      </c>
      <c r="T195" s="304">
        <f>IF((Q197=""),"",AVERAGE(E197:Q197))</f>
        <v>311.61538461538464</v>
      </c>
      <c r="U195" s="304">
        <f>IF((Q196=""),"",(R195-S195)/(R195+S195)*100)</f>
        <v>12.804878048780488</v>
      </c>
      <c r="V195" s="304">
        <f>STDEV(E197:Q197)</f>
        <v>33.302999017952565</v>
      </c>
      <c r="W195" s="292" t="str">
        <f>IF(Q196="","",IF(T195&gt;300,IF(U195&lt;14,IF(T195&lt;390,"Pass","Fail"),"Fail"),"Fail"))</f>
        <v>Pass</v>
      </c>
      <c r="X195" s="295" t="s">
        <v>250</v>
      </c>
      <c r="Y195" s="309"/>
      <c r="Z195" s="255"/>
      <c r="AA195" s="122">
        <v>270</v>
      </c>
      <c r="AB195" s="122">
        <v>370</v>
      </c>
      <c r="AC195" s="122">
        <v>300</v>
      </c>
      <c r="AD195" s="123">
        <v>390</v>
      </c>
      <c r="AE195" s="123">
        <v>14</v>
      </c>
      <c r="AF195" s="123">
        <v>20</v>
      </c>
    </row>
    <row r="196" spans="1:32" ht="15.55" x14ac:dyDescent="0.3">
      <c r="A196" s="299"/>
      <c r="B196" s="124"/>
      <c r="C196" s="124"/>
      <c r="D196" s="120" t="s">
        <v>193</v>
      </c>
      <c r="E196" s="133">
        <v>1666</v>
      </c>
      <c r="F196" s="133">
        <v>1675</v>
      </c>
      <c r="G196" s="133">
        <v>1662</v>
      </c>
      <c r="H196" s="133">
        <v>1661</v>
      </c>
      <c r="I196" s="133">
        <v>1635</v>
      </c>
      <c r="J196" s="133">
        <v>1638</v>
      </c>
      <c r="K196" s="133">
        <v>1664</v>
      </c>
      <c r="L196" s="133">
        <v>1666</v>
      </c>
      <c r="M196" s="133">
        <v>1625</v>
      </c>
      <c r="N196" s="133">
        <v>1677</v>
      </c>
      <c r="O196" s="133">
        <v>1660</v>
      </c>
      <c r="P196" s="133">
        <v>1663</v>
      </c>
      <c r="Q196" s="133">
        <v>1679</v>
      </c>
      <c r="R196" s="302"/>
      <c r="S196" s="302"/>
      <c r="T196" s="305"/>
      <c r="U196" s="305"/>
      <c r="V196" s="307"/>
      <c r="W196" s="293"/>
      <c r="X196" s="296"/>
      <c r="Y196" s="310"/>
      <c r="Z196" s="255"/>
      <c r="AA196" s="122"/>
      <c r="AB196" s="122"/>
      <c r="AC196" s="122"/>
      <c r="AD196" s="122"/>
      <c r="AE196" s="122"/>
      <c r="AF196" s="126"/>
    </row>
    <row r="197" spans="1:32" ht="62.05" x14ac:dyDescent="0.3">
      <c r="A197" s="300"/>
      <c r="B197" s="119"/>
      <c r="C197" s="119"/>
      <c r="D197" s="120" t="s">
        <v>194</v>
      </c>
      <c r="E197" s="125">
        <f t="shared" ref="E197:Q197" si="63">IF(((E195="")*AND(E196="")),"",(E195-E196))</f>
        <v>360</v>
      </c>
      <c r="F197" s="125">
        <f t="shared" si="63"/>
        <v>286</v>
      </c>
      <c r="G197" s="125">
        <f t="shared" si="63"/>
        <v>288</v>
      </c>
      <c r="H197" s="125">
        <f t="shared" si="63"/>
        <v>287</v>
      </c>
      <c r="I197" s="125">
        <f t="shared" si="63"/>
        <v>365</v>
      </c>
      <c r="J197" s="125">
        <f t="shared" si="63"/>
        <v>370</v>
      </c>
      <c r="K197" s="125">
        <f t="shared" si="63"/>
        <v>297</v>
      </c>
      <c r="L197" s="125">
        <f t="shared" si="63"/>
        <v>286</v>
      </c>
      <c r="M197" s="125">
        <f t="shared" si="63"/>
        <v>337</v>
      </c>
      <c r="N197" s="125">
        <f t="shared" si="63"/>
        <v>293</v>
      </c>
      <c r="O197" s="125">
        <f t="shared" si="63"/>
        <v>297</v>
      </c>
      <c r="P197" s="125">
        <f t="shared" si="63"/>
        <v>299</v>
      </c>
      <c r="Q197" s="125">
        <f t="shared" si="63"/>
        <v>286</v>
      </c>
      <c r="R197" s="303"/>
      <c r="S197" s="303"/>
      <c r="T197" s="306"/>
      <c r="U197" s="306"/>
      <c r="V197" s="308"/>
      <c r="W197" s="294"/>
      <c r="X197" s="297"/>
      <c r="Y197" s="311"/>
      <c r="Z197" s="255"/>
      <c r="AA197" s="122"/>
      <c r="AB197" s="122"/>
      <c r="AC197" s="122"/>
      <c r="AD197" s="122"/>
      <c r="AE197" s="122"/>
      <c r="AF197" s="126"/>
    </row>
    <row r="198" spans="1:32" ht="15.55" x14ac:dyDescent="0.25">
      <c r="A198" s="298">
        <v>43357</v>
      </c>
      <c r="B198" s="119" t="s">
        <v>242</v>
      </c>
      <c r="C198" s="119" t="s">
        <v>238</v>
      </c>
      <c r="D198" s="120" t="s">
        <v>192</v>
      </c>
      <c r="E198" s="121">
        <v>2439.0300000000002</v>
      </c>
      <c r="F198" s="121">
        <v>2352.64</v>
      </c>
      <c r="G198" s="121">
        <v>2337.04</v>
      </c>
      <c r="H198" s="121">
        <v>2336.73</v>
      </c>
      <c r="I198" s="121">
        <v>2392.04</v>
      </c>
      <c r="J198" s="121">
        <v>2395.63</v>
      </c>
      <c r="K198" s="121">
        <v>2343.02</v>
      </c>
      <c r="L198" s="121">
        <v>2345.2399999999998</v>
      </c>
      <c r="M198" s="121">
        <v>2396.16</v>
      </c>
      <c r="N198" s="121">
        <v>2360.7800000000002</v>
      </c>
      <c r="O198" s="121">
        <v>2343.67</v>
      </c>
      <c r="P198" s="121">
        <v>2343.19</v>
      </c>
      <c r="Q198" s="121">
        <v>2362.06</v>
      </c>
      <c r="R198" s="301">
        <f>IF((Q199=""),"",MAX(E200:Q200))</f>
        <v>438.44999999999982</v>
      </c>
      <c r="S198" s="301">
        <f>IF(Q199="","",MIN(E200:Q200))</f>
        <v>381.96000000000004</v>
      </c>
      <c r="T198" s="304">
        <f>IF((Q200=""),"",AVERAGE(E200:Q200))</f>
        <v>395.62307692307695</v>
      </c>
      <c r="U198" s="304">
        <f>IF((Q199=""),"",(R198-S198)/(R198+S198)*100)</f>
        <v>6.885581599444154</v>
      </c>
      <c r="V198" s="304">
        <f>STDEV(E200:Q200)</f>
        <v>15.009239590229816</v>
      </c>
      <c r="W198" s="292" t="str">
        <f>IF(Q199="","",IF(T198&gt;300,IF(U198&lt;14,IF(T198&lt;390,"Pass","Fail"),"Fail"),"Fail"))</f>
        <v>Fail</v>
      </c>
      <c r="X198" s="295">
        <v>1335</v>
      </c>
      <c r="Y198" s="309"/>
      <c r="Z198" s="255"/>
      <c r="AA198" s="122">
        <v>270</v>
      </c>
      <c r="AB198" s="122">
        <v>370</v>
      </c>
      <c r="AC198" s="122">
        <v>300</v>
      </c>
      <c r="AD198" s="123">
        <v>390</v>
      </c>
      <c r="AE198" s="123">
        <v>14</v>
      </c>
      <c r="AF198" s="123">
        <v>20</v>
      </c>
    </row>
    <row r="199" spans="1:32" ht="15.55" x14ac:dyDescent="0.3">
      <c r="A199" s="299"/>
      <c r="B199" s="124"/>
      <c r="C199" s="124"/>
      <c r="D199" s="120" t="s">
        <v>193</v>
      </c>
      <c r="E199" s="121">
        <v>2028.95</v>
      </c>
      <c r="F199" s="121">
        <v>1961.96</v>
      </c>
      <c r="G199" s="121">
        <v>1950.69</v>
      </c>
      <c r="H199" s="121">
        <v>1948.69</v>
      </c>
      <c r="I199" s="121">
        <v>1991.19</v>
      </c>
      <c r="J199" s="121">
        <v>2000.78</v>
      </c>
      <c r="K199" s="121">
        <v>1961.06</v>
      </c>
      <c r="L199" s="121">
        <v>1952.97</v>
      </c>
      <c r="M199" s="121">
        <v>1957.71</v>
      </c>
      <c r="N199" s="121">
        <v>1972.74</v>
      </c>
      <c r="O199" s="121">
        <v>1952.33</v>
      </c>
      <c r="P199" s="121">
        <v>1961.14</v>
      </c>
      <c r="Q199" s="121">
        <v>1963.92</v>
      </c>
      <c r="R199" s="302"/>
      <c r="S199" s="302"/>
      <c r="T199" s="305"/>
      <c r="U199" s="305"/>
      <c r="V199" s="307"/>
      <c r="W199" s="293"/>
      <c r="X199" s="296"/>
      <c r="Y199" s="310"/>
      <c r="Z199" s="255"/>
      <c r="AA199" s="122"/>
      <c r="AB199" s="122"/>
      <c r="AC199" s="122"/>
      <c r="AD199" s="122"/>
      <c r="AE199" s="122"/>
      <c r="AF199" s="126"/>
    </row>
    <row r="200" spans="1:32" ht="62.05" x14ac:dyDescent="0.3">
      <c r="A200" s="300"/>
      <c r="B200" s="119"/>
      <c r="C200" s="119"/>
      <c r="D200" s="120" t="s">
        <v>194</v>
      </c>
      <c r="E200" s="125">
        <f t="shared" ref="E200:Q200" si="64">IF(((E198="")*AND(E199="")),"",(E198-E199))</f>
        <v>410.08000000000015</v>
      </c>
      <c r="F200" s="125">
        <f t="shared" si="64"/>
        <v>390.67999999999984</v>
      </c>
      <c r="G200" s="125">
        <f t="shared" si="64"/>
        <v>386.34999999999991</v>
      </c>
      <c r="H200" s="125">
        <f t="shared" si="64"/>
        <v>388.03999999999996</v>
      </c>
      <c r="I200" s="125">
        <f t="shared" si="64"/>
        <v>400.84999999999991</v>
      </c>
      <c r="J200" s="125">
        <f t="shared" si="64"/>
        <v>394.85000000000014</v>
      </c>
      <c r="K200" s="125">
        <f t="shared" si="64"/>
        <v>381.96000000000004</v>
      </c>
      <c r="L200" s="125">
        <f t="shared" si="64"/>
        <v>392.26999999999975</v>
      </c>
      <c r="M200" s="125">
        <f t="shared" si="64"/>
        <v>438.44999999999982</v>
      </c>
      <c r="N200" s="125">
        <f t="shared" si="64"/>
        <v>388.04000000000019</v>
      </c>
      <c r="O200" s="125">
        <f t="shared" si="64"/>
        <v>391.34000000000015</v>
      </c>
      <c r="P200" s="125">
        <f t="shared" si="64"/>
        <v>382.04999999999995</v>
      </c>
      <c r="Q200" s="125">
        <f t="shared" si="64"/>
        <v>398.13999999999987</v>
      </c>
      <c r="R200" s="303"/>
      <c r="S200" s="303"/>
      <c r="T200" s="306"/>
      <c r="U200" s="306"/>
      <c r="V200" s="308"/>
      <c r="W200" s="294"/>
      <c r="X200" s="297"/>
      <c r="Y200" s="311"/>
      <c r="Z200" s="255"/>
      <c r="AA200" s="122"/>
      <c r="AB200" s="122"/>
      <c r="AC200" s="122"/>
      <c r="AD200" s="122"/>
      <c r="AE200" s="122"/>
      <c r="AF200" s="126"/>
    </row>
    <row r="201" spans="1:32" ht="15.55" x14ac:dyDescent="0.25">
      <c r="A201" s="298">
        <v>43357</v>
      </c>
      <c r="B201" s="119" t="s">
        <v>242</v>
      </c>
      <c r="C201" s="119" t="s">
        <v>238</v>
      </c>
      <c r="D201" s="120" t="s">
        <v>192</v>
      </c>
      <c r="E201" s="121">
        <v>2028.95</v>
      </c>
      <c r="F201" s="121">
        <v>1961.96</v>
      </c>
      <c r="G201" s="121">
        <v>1950.69</v>
      </c>
      <c r="H201" s="121">
        <v>1948.69</v>
      </c>
      <c r="I201" s="121">
        <v>1991.19</v>
      </c>
      <c r="J201" s="121">
        <v>2000.78</v>
      </c>
      <c r="K201" s="121">
        <v>1961.06</v>
      </c>
      <c r="L201" s="121">
        <v>1952.97</v>
      </c>
      <c r="M201" s="121">
        <v>1957.71</v>
      </c>
      <c r="N201" s="121">
        <v>1972.74</v>
      </c>
      <c r="O201" s="121">
        <v>1952.33</v>
      </c>
      <c r="P201" s="121">
        <v>1961.14</v>
      </c>
      <c r="Q201" s="121">
        <v>1963.92</v>
      </c>
      <c r="R201" s="301">
        <f>IF((Q202=""),"",MAX(E203:Q203))</f>
        <v>376.98</v>
      </c>
      <c r="S201" s="301">
        <f>IF(Q202="","",MIN(E203:Q203))</f>
        <v>293.57000000000016</v>
      </c>
      <c r="T201" s="304">
        <f>IF((Q203=""),"",AVERAGE(E203:Q203))</f>
        <v>320.95615384615388</v>
      </c>
      <c r="U201" s="304">
        <f>IF((Q202=""),"",(R201-S201)/(R201+S201)*100)</f>
        <v>12.439042576989014</v>
      </c>
      <c r="V201" s="304">
        <f>STDEV(E203:Q203)</f>
        <v>34.650322398322707</v>
      </c>
      <c r="W201" s="292" t="str">
        <f>IF(Q202="","",IF(T201&gt;300,IF(U201&lt;14,IF(T201&lt;390,"Pass","Fail"),"Fail"),"Fail"))</f>
        <v>Pass</v>
      </c>
      <c r="X201" s="295">
        <v>121</v>
      </c>
      <c r="Y201" s="309"/>
      <c r="Z201" s="255"/>
      <c r="AA201" s="122">
        <v>270</v>
      </c>
      <c r="AB201" s="122">
        <v>370</v>
      </c>
      <c r="AC201" s="122">
        <v>300</v>
      </c>
      <c r="AD201" s="123">
        <v>390</v>
      </c>
      <c r="AE201" s="123">
        <v>14</v>
      </c>
      <c r="AF201" s="123">
        <v>20</v>
      </c>
    </row>
    <row r="202" spans="1:32" ht="15.55" x14ac:dyDescent="0.3">
      <c r="A202" s="299"/>
      <c r="B202" s="124"/>
      <c r="C202" s="124"/>
      <c r="D202" s="120" t="s">
        <v>193</v>
      </c>
      <c r="E202" s="121">
        <v>1652.42</v>
      </c>
      <c r="F202" s="121">
        <v>1666.89</v>
      </c>
      <c r="G202" s="121">
        <v>1657.12</v>
      </c>
      <c r="H202" s="121">
        <v>1652.1</v>
      </c>
      <c r="I202" s="121">
        <v>1614.27</v>
      </c>
      <c r="J202" s="121">
        <v>1623.8</v>
      </c>
      <c r="K202" s="121">
        <v>1660.02</v>
      </c>
      <c r="L202" s="121">
        <v>1653.65</v>
      </c>
      <c r="M202" s="121">
        <v>1610.31</v>
      </c>
      <c r="N202" s="121">
        <v>1670.31</v>
      </c>
      <c r="O202" s="121">
        <v>1653.35</v>
      </c>
      <c r="P202" s="121">
        <v>1652.05</v>
      </c>
      <c r="Q202" s="121">
        <v>1665.41</v>
      </c>
      <c r="R202" s="302"/>
      <c r="S202" s="302"/>
      <c r="T202" s="305"/>
      <c r="U202" s="305"/>
      <c r="V202" s="307"/>
      <c r="W202" s="293"/>
      <c r="X202" s="296"/>
      <c r="Y202" s="310"/>
      <c r="Z202" s="255"/>
      <c r="AA202" s="122"/>
      <c r="AB202" s="122"/>
      <c r="AC202" s="122"/>
      <c r="AD202" s="122"/>
      <c r="AE202" s="122"/>
      <c r="AF202" s="126"/>
    </row>
    <row r="203" spans="1:32" ht="62.05" x14ac:dyDescent="0.3">
      <c r="A203" s="300"/>
      <c r="B203" s="119"/>
      <c r="C203" s="119"/>
      <c r="D203" s="120" t="s">
        <v>194</v>
      </c>
      <c r="E203" s="125">
        <f t="shared" ref="E203:Q203" si="65">IF(((E201="")*AND(E202="")),"",(E201-E202))</f>
        <v>376.53</v>
      </c>
      <c r="F203" s="125">
        <f t="shared" si="65"/>
        <v>295.06999999999994</v>
      </c>
      <c r="G203" s="125">
        <f t="shared" si="65"/>
        <v>293.57000000000016</v>
      </c>
      <c r="H203" s="125">
        <f t="shared" si="65"/>
        <v>296.59000000000015</v>
      </c>
      <c r="I203" s="125">
        <f t="shared" si="65"/>
        <v>376.92000000000007</v>
      </c>
      <c r="J203" s="125">
        <f t="shared" si="65"/>
        <v>376.98</v>
      </c>
      <c r="K203" s="125">
        <f t="shared" si="65"/>
        <v>301.03999999999996</v>
      </c>
      <c r="L203" s="125">
        <f t="shared" si="65"/>
        <v>299.31999999999994</v>
      </c>
      <c r="M203" s="125">
        <f t="shared" si="65"/>
        <v>347.40000000000009</v>
      </c>
      <c r="N203" s="125">
        <f t="shared" si="65"/>
        <v>302.43000000000006</v>
      </c>
      <c r="O203" s="125">
        <f t="shared" si="65"/>
        <v>298.98</v>
      </c>
      <c r="P203" s="125">
        <f t="shared" si="65"/>
        <v>309.09000000000015</v>
      </c>
      <c r="Q203" s="125">
        <f t="shared" si="65"/>
        <v>298.51</v>
      </c>
      <c r="R203" s="303"/>
      <c r="S203" s="303"/>
      <c r="T203" s="306"/>
      <c r="U203" s="306"/>
      <c r="V203" s="308"/>
      <c r="W203" s="294"/>
      <c r="X203" s="297"/>
      <c r="Y203" s="311"/>
      <c r="Z203" s="255"/>
      <c r="AA203" s="122"/>
      <c r="AB203" s="122"/>
      <c r="AC203" s="122"/>
      <c r="AD203" s="122"/>
      <c r="AE203" s="122"/>
      <c r="AF203" s="126"/>
    </row>
    <row r="204" spans="1:32" ht="15.55" x14ac:dyDescent="0.25">
      <c r="A204" s="298">
        <v>43360</v>
      </c>
      <c r="B204" s="119" t="s">
        <v>242</v>
      </c>
      <c r="C204" s="119" t="s">
        <v>238</v>
      </c>
      <c r="D204" s="120" t="s">
        <v>192</v>
      </c>
      <c r="E204" s="121">
        <v>2409.86</v>
      </c>
      <c r="F204" s="121">
        <v>2321.7199999999998</v>
      </c>
      <c r="G204" s="121">
        <v>2304.41</v>
      </c>
      <c r="H204" s="121">
        <v>2312.35</v>
      </c>
      <c r="I204" s="121">
        <v>2388.38</v>
      </c>
      <c r="J204" s="121">
        <v>2382.81</v>
      </c>
      <c r="K204" s="121">
        <v>2316.06</v>
      </c>
      <c r="L204" s="121">
        <v>2310.15</v>
      </c>
      <c r="M204" s="121">
        <v>2368.96</v>
      </c>
      <c r="N204" s="121">
        <v>2329.34</v>
      </c>
      <c r="O204" s="121">
        <v>2314.37</v>
      </c>
      <c r="P204" s="121">
        <v>2318.13</v>
      </c>
      <c r="Q204" s="121">
        <v>2323.84</v>
      </c>
      <c r="R204" s="301">
        <f>IF((Q205=""),"",MAX(E206:Q206))</f>
        <v>434.35000000000014</v>
      </c>
      <c r="S204" s="301">
        <f>IF(Q205="","",MIN(E206:Q206))</f>
        <v>377.51999999999975</v>
      </c>
      <c r="T204" s="304">
        <f>IF((Q206=""),"",AVERAGE(E206:Q206))</f>
        <v>398.8692307692308</v>
      </c>
      <c r="U204" s="304">
        <f>IF((Q205=""),"",(R204-S204)/(R204+S204)*100)</f>
        <v>6.9998891448138725</v>
      </c>
      <c r="V204" s="304">
        <f>STDEV(E206:Q206)</f>
        <v>18.23530525360928</v>
      </c>
      <c r="W204" s="292" t="str">
        <f>IF(Q205="","",IF(T204&gt;300,IF(U204&lt;14,IF(T204&lt;390,"Pass","Fail"),"Fail"),"Fail"))</f>
        <v>Fail</v>
      </c>
      <c r="X204" s="295">
        <v>1340</v>
      </c>
      <c r="Y204" s="309"/>
      <c r="Z204" s="255"/>
      <c r="AA204" s="122">
        <v>270</v>
      </c>
      <c r="AB204" s="122">
        <v>370</v>
      </c>
      <c r="AC204" s="122">
        <v>300</v>
      </c>
      <c r="AD204" s="123">
        <v>390</v>
      </c>
      <c r="AE204" s="123">
        <v>14</v>
      </c>
      <c r="AF204" s="123">
        <v>20</v>
      </c>
    </row>
    <row r="205" spans="1:32" ht="15.55" x14ac:dyDescent="0.3">
      <c r="A205" s="299"/>
      <c r="B205" s="124"/>
      <c r="C205" s="124"/>
      <c r="D205" s="120" t="s">
        <v>193</v>
      </c>
      <c r="E205" s="121">
        <v>1975.51</v>
      </c>
      <c r="F205" s="121">
        <v>1931.67</v>
      </c>
      <c r="G205" s="121">
        <v>1926.89</v>
      </c>
      <c r="H205" s="121">
        <v>1921.42</v>
      </c>
      <c r="I205" s="121">
        <v>1971.78</v>
      </c>
      <c r="J205" s="121">
        <v>1965.45</v>
      </c>
      <c r="K205" s="121">
        <v>1924.19</v>
      </c>
      <c r="L205" s="121">
        <v>1926.93</v>
      </c>
      <c r="M205" s="121">
        <v>1941.82</v>
      </c>
      <c r="N205" s="121">
        <v>1940.03</v>
      </c>
      <c r="O205" s="121">
        <v>1924.92</v>
      </c>
      <c r="P205" s="121">
        <v>1929.89</v>
      </c>
      <c r="Q205" s="121">
        <v>1934.58</v>
      </c>
      <c r="R205" s="302"/>
      <c r="S205" s="302"/>
      <c r="T205" s="305"/>
      <c r="U205" s="305"/>
      <c r="V205" s="307"/>
      <c r="W205" s="293"/>
      <c r="X205" s="296"/>
      <c r="Y205" s="310"/>
      <c r="Z205" s="255"/>
      <c r="AA205" s="122"/>
      <c r="AB205" s="122"/>
      <c r="AC205" s="122"/>
      <c r="AD205" s="122"/>
      <c r="AE205" s="122"/>
      <c r="AF205" s="126"/>
    </row>
    <row r="206" spans="1:32" ht="62.05" x14ac:dyDescent="0.3">
      <c r="A206" s="300"/>
      <c r="B206" s="119"/>
      <c r="C206" s="119"/>
      <c r="D206" s="120" t="s">
        <v>194</v>
      </c>
      <c r="E206" s="125">
        <f t="shared" ref="E206:Q206" si="66">IF(((E204="")*AND(E205="")),"",(E204-E205))</f>
        <v>434.35000000000014</v>
      </c>
      <c r="F206" s="125">
        <f t="shared" si="66"/>
        <v>390.04999999999973</v>
      </c>
      <c r="G206" s="125">
        <f t="shared" si="66"/>
        <v>377.51999999999975</v>
      </c>
      <c r="H206" s="125">
        <f t="shared" si="66"/>
        <v>390.92999999999984</v>
      </c>
      <c r="I206" s="125">
        <f t="shared" si="66"/>
        <v>416.60000000000014</v>
      </c>
      <c r="J206" s="125">
        <f t="shared" si="66"/>
        <v>417.3599999999999</v>
      </c>
      <c r="K206" s="125">
        <f t="shared" si="66"/>
        <v>391.86999999999989</v>
      </c>
      <c r="L206" s="125">
        <f t="shared" si="66"/>
        <v>383.22</v>
      </c>
      <c r="M206" s="125">
        <f t="shared" si="66"/>
        <v>427.1400000000001</v>
      </c>
      <c r="N206" s="125">
        <f t="shared" si="66"/>
        <v>389.31000000000017</v>
      </c>
      <c r="O206" s="125">
        <f t="shared" si="66"/>
        <v>389.44999999999982</v>
      </c>
      <c r="P206" s="125">
        <f t="shared" si="66"/>
        <v>388.24</v>
      </c>
      <c r="Q206" s="125">
        <f t="shared" si="66"/>
        <v>389.26000000000022</v>
      </c>
      <c r="R206" s="303"/>
      <c r="S206" s="303"/>
      <c r="T206" s="306"/>
      <c r="U206" s="306"/>
      <c r="V206" s="308"/>
      <c r="W206" s="294"/>
      <c r="X206" s="297"/>
      <c r="Y206" s="311"/>
      <c r="Z206" s="255"/>
      <c r="AA206" s="122"/>
      <c r="AB206" s="122"/>
      <c r="AC206" s="122"/>
      <c r="AD206" s="122"/>
      <c r="AE206" s="122"/>
      <c r="AF206" s="126"/>
    </row>
    <row r="207" spans="1:32" ht="15.55" x14ac:dyDescent="0.25">
      <c r="A207" s="298">
        <v>43360</v>
      </c>
      <c r="B207" s="119" t="s">
        <v>242</v>
      </c>
      <c r="C207" s="119" t="s">
        <v>238</v>
      </c>
      <c r="D207" s="120" t="s">
        <v>192</v>
      </c>
      <c r="E207" s="121">
        <v>1975.51</v>
      </c>
      <c r="F207" s="121">
        <v>1931.67</v>
      </c>
      <c r="G207" s="121">
        <v>1926.89</v>
      </c>
      <c r="H207" s="121">
        <v>1921.42</v>
      </c>
      <c r="I207" s="121">
        <v>1971.78</v>
      </c>
      <c r="J207" s="121">
        <v>1965.45</v>
      </c>
      <c r="K207" s="121">
        <v>1924.19</v>
      </c>
      <c r="L207" s="121">
        <v>1926.93</v>
      </c>
      <c r="M207" s="121">
        <v>1941.82</v>
      </c>
      <c r="N207" s="121">
        <v>1940.03</v>
      </c>
      <c r="O207" s="121">
        <v>1924.92</v>
      </c>
      <c r="P207" s="121">
        <v>1929.89</v>
      </c>
      <c r="Q207" s="121">
        <v>1934.58</v>
      </c>
      <c r="R207" s="301">
        <f>IF((Q208=""),"",MAX(E209:Q209))</f>
        <v>356.75</v>
      </c>
      <c r="S207" s="301">
        <f>IF(Q208="","",MIN(E209:Q209))</f>
        <v>286.32000000000016</v>
      </c>
      <c r="T207" s="304">
        <f>IF((Q209=""),"",AVERAGE(E209:Q209))</f>
        <v>312.36846153846159</v>
      </c>
      <c r="U207" s="304">
        <f>IF((Q208=""),"",(R207-S207)/(R207+S207)*100)</f>
        <v>10.95215139875905</v>
      </c>
      <c r="V207" s="304">
        <f>STDEV(E209:Q209)</f>
        <v>27.375044549782221</v>
      </c>
      <c r="W207" s="292" t="str">
        <f>IF(Q208="","",IF(T207&gt;300,IF(U207&lt;14,IF(T207&lt;390,"Pass","Fail"),"Fail"),"Fail"))</f>
        <v>Pass</v>
      </c>
      <c r="X207" s="295">
        <v>1340</v>
      </c>
      <c r="Y207" s="261" t="s">
        <v>211</v>
      </c>
      <c r="Z207" s="255"/>
      <c r="AA207" s="122">
        <v>270</v>
      </c>
      <c r="AB207" s="122">
        <v>370</v>
      </c>
      <c r="AC207" s="122">
        <v>300</v>
      </c>
      <c r="AD207" s="123">
        <v>390</v>
      </c>
      <c r="AE207" s="123">
        <v>14</v>
      </c>
      <c r="AF207" s="123">
        <v>20</v>
      </c>
    </row>
    <row r="208" spans="1:32" ht="15.55" x14ac:dyDescent="0.3">
      <c r="A208" s="299"/>
      <c r="B208" s="124"/>
      <c r="C208" s="124"/>
      <c r="D208" s="120" t="s">
        <v>193</v>
      </c>
      <c r="E208" s="121">
        <v>1630.21</v>
      </c>
      <c r="F208" s="121">
        <v>1634.83</v>
      </c>
      <c r="G208" s="121">
        <v>1631.2</v>
      </c>
      <c r="H208" s="121">
        <v>1630.27</v>
      </c>
      <c r="I208" s="121">
        <v>1615.03</v>
      </c>
      <c r="J208" s="121">
        <v>1614.77</v>
      </c>
      <c r="K208" s="121">
        <v>1637.87</v>
      </c>
      <c r="L208" s="121">
        <v>1630.49</v>
      </c>
      <c r="M208" s="121">
        <v>1588.92</v>
      </c>
      <c r="N208" s="121">
        <v>1643.37</v>
      </c>
      <c r="O208" s="121">
        <v>1628.97</v>
      </c>
      <c r="P208" s="121">
        <v>1631.62</v>
      </c>
      <c r="Q208" s="121">
        <v>1636.74</v>
      </c>
      <c r="R208" s="302"/>
      <c r="S208" s="302"/>
      <c r="T208" s="305"/>
      <c r="U208" s="305"/>
      <c r="V208" s="307"/>
      <c r="W208" s="293"/>
      <c r="X208" s="296"/>
      <c r="Y208" s="258"/>
      <c r="Z208" s="255"/>
      <c r="AA208" s="122"/>
      <c r="AB208" s="122"/>
      <c r="AC208" s="122"/>
      <c r="AD208" s="122"/>
      <c r="AE208" s="122"/>
      <c r="AF208" s="126"/>
    </row>
    <row r="209" spans="1:32" ht="62.05" x14ac:dyDescent="0.3">
      <c r="A209" s="300"/>
      <c r="B209" s="119"/>
      <c r="C209" s="119"/>
      <c r="D209" s="120" t="s">
        <v>194</v>
      </c>
      <c r="E209" s="125">
        <f t="shared" ref="E209:Q209" si="67">IF(((E207="")*AND(E208="")),"",(E207-E208))</f>
        <v>345.29999999999995</v>
      </c>
      <c r="F209" s="125">
        <f t="shared" si="67"/>
        <v>296.84000000000015</v>
      </c>
      <c r="G209" s="125">
        <f t="shared" si="67"/>
        <v>295.69000000000005</v>
      </c>
      <c r="H209" s="125">
        <f t="shared" si="67"/>
        <v>291.15000000000009</v>
      </c>
      <c r="I209" s="125">
        <f t="shared" si="67"/>
        <v>356.75</v>
      </c>
      <c r="J209" s="125">
        <f t="shared" si="67"/>
        <v>350.68000000000006</v>
      </c>
      <c r="K209" s="125">
        <f t="shared" si="67"/>
        <v>286.32000000000016</v>
      </c>
      <c r="L209" s="125">
        <f t="shared" si="67"/>
        <v>296.44000000000005</v>
      </c>
      <c r="M209" s="125">
        <f t="shared" si="67"/>
        <v>352.89999999999986</v>
      </c>
      <c r="N209" s="125">
        <f t="shared" si="67"/>
        <v>296.66000000000008</v>
      </c>
      <c r="O209" s="125">
        <f t="shared" si="67"/>
        <v>295.95000000000005</v>
      </c>
      <c r="P209" s="125">
        <f t="shared" si="67"/>
        <v>298.27000000000021</v>
      </c>
      <c r="Q209" s="125">
        <f t="shared" si="67"/>
        <v>297.83999999999992</v>
      </c>
      <c r="R209" s="303"/>
      <c r="S209" s="303"/>
      <c r="T209" s="306"/>
      <c r="U209" s="306"/>
      <c r="V209" s="308"/>
      <c r="W209" s="294"/>
      <c r="X209" s="297"/>
      <c r="Y209" s="259"/>
      <c r="Z209" s="255"/>
      <c r="AA209" s="122"/>
      <c r="AB209" s="122"/>
      <c r="AC209" s="122"/>
      <c r="AD209" s="122"/>
      <c r="AE209" s="122"/>
      <c r="AF209" s="126"/>
    </row>
    <row r="210" spans="1:32" ht="15.55" x14ac:dyDescent="0.25">
      <c r="A210" s="298">
        <v>43363</v>
      </c>
      <c r="B210" s="119" t="s">
        <v>242</v>
      </c>
      <c r="C210" s="119" t="s">
        <v>238</v>
      </c>
      <c r="D210" s="120" t="s">
        <v>192</v>
      </c>
      <c r="E210" s="121">
        <v>2410.54</v>
      </c>
      <c r="F210" s="121">
        <v>2315.52</v>
      </c>
      <c r="G210" s="121">
        <v>2299.81</v>
      </c>
      <c r="H210" s="121">
        <v>2303.2399999999998</v>
      </c>
      <c r="I210" s="121">
        <v>2377.21</v>
      </c>
      <c r="J210" s="121">
        <v>2376.08</v>
      </c>
      <c r="K210" s="121">
        <v>2309.67</v>
      </c>
      <c r="L210" s="121">
        <v>2306.62</v>
      </c>
      <c r="M210" s="121">
        <v>2369.14</v>
      </c>
      <c r="N210" s="121">
        <v>2324.11</v>
      </c>
      <c r="O210" s="121">
        <v>2310.4</v>
      </c>
      <c r="P210" s="121">
        <v>2312.41</v>
      </c>
      <c r="Q210" s="121">
        <v>2323.23</v>
      </c>
      <c r="R210" s="301">
        <f>IF((Q211=""),"",MAX(E212:Q212))</f>
        <v>437.83999999999992</v>
      </c>
      <c r="S210" s="301">
        <f>IF(Q211="","",MIN(E212:Q212))</f>
        <v>383.33999999999969</v>
      </c>
      <c r="T210" s="304">
        <f>IF((Q212=""),"",AVERAGE(E212:Q212))</f>
        <v>399.36999999999989</v>
      </c>
      <c r="U210" s="304">
        <f>IF((Q211=""),"",(R210-S210)/(R210+S210)*100)</f>
        <v>6.6367909593512087</v>
      </c>
      <c r="V210" s="304">
        <f>STDEV(E212:Q212)</f>
        <v>19.829420482370786</v>
      </c>
      <c r="W210" s="292" t="str">
        <f>IF(Q211="","",IF(T210&gt;300,IF(U210&lt;14,IF(T210&lt;390,"Pass","Fail"),"Fail"),"Fail"))</f>
        <v>Fail</v>
      </c>
      <c r="X210" s="295">
        <v>1340</v>
      </c>
      <c r="Y210" s="309"/>
      <c r="Z210" s="255"/>
      <c r="AA210" s="122">
        <v>270</v>
      </c>
      <c r="AB210" s="122">
        <v>370</v>
      </c>
      <c r="AC210" s="122">
        <v>300</v>
      </c>
      <c r="AD210" s="123">
        <v>390</v>
      </c>
      <c r="AE210" s="123">
        <v>14</v>
      </c>
      <c r="AF210" s="123">
        <v>20</v>
      </c>
    </row>
    <row r="211" spans="1:32" ht="15.55" x14ac:dyDescent="0.25">
      <c r="A211" s="299"/>
      <c r="B211" s="124"/>
      <c r="C211" s="124"/>
      <c r="D211" s="120" t="s">
        <v>193</v>
      </c>
      <c r="E211" s="121">
        <v>1972.7</v>
      </c>
      <c r="F211" s="121">
        <v>1929.08</v>
      </c>
      <c r="G211" s="121">
        <v>1915.09</v>
      </c>
      <c r="H211" s="121">
        <v>1919.9</v>
      </c>
      <c r="I211" s="121">
        <v>1954.18</v>
      </c>
      <c r="J211" s="121">
        <v>1958.27</v>
      </c>
      <c r="K211" s="121">
        <v>1924</v>
      </c>
      <c r="L211" s="121">
        <v>1919.44</v>
      </c>
      <c r="M211" s="121">
        <v>1939.51</v>
      </c>
      <c r="N211" s="121">
        <v>1935.66</v>
      </c>
      <c r="O211" s="121">
        <v>1922.42</v>
      </c>
      <c r="P211" s="121">
        <v>1925.56</v>
      </c>
      <c r="Q211" s="121">
        <v>1930.36</v>
      </c>
      <c r="R211" s="302"/>
      <c r="S211" s="302"/>
      <c r="T211" s="305"/>
      <c r="U211" s="305"/>
      <c r="V211" s="307"/>
      <c r="W211" s="293"/>
      <c r="X211" s="296"/>
      <c r="Y211" s="310"/>
      <c r="Z211" s="255"/>
      <c r="AA211" s="122"/>
      <c r="AB211" s="122"/>
      <c r="AC211" s="122"/>
      <c r="AD211" s="123"/>
      <c r="AE211" s="123"/>
      <c r="AF211" s="123"/>
    </row>
    <row r="212" spans="1:32" ht="62.05" x14ac:dyDescent="0.3">
      <c r="A212" s="300"/>
      <c r="B212" s="119"/>
      <c r="C212" s="119"/>
      <c r="D212" s="120" t="s">
        <v>194</v>
      </c>
      <c r="E212" s="125">
        <f t="shared" ref="E212:Q212" si="68">IF(((E210="")*AND(E211="")),"",(E210-E211))</f>
        <v>437.83999999999992</v>
      </c>
      <c r="F212" s="125">
        <f t="shared" si="68"/>
        <v>386.44000000000005</v>
      </c>
      <c r="G212" s="125">
        <f t="shared" si="68"/>
        <v>384.72</v>
      </c>
      <c r="H212" s="125">
        <f t="shared" si="68"/>
        <v>383.33999999999969</v>
      </c>
      <c r="I212" s="125">
        <f t="shared" si="68"/>
        <v>423.03</v>
      </c>
      <c r="J212" s="125">
        <f t="shared" si="68"/>
        <v>417.80999999999995</v>
      </c>
      <c r="K212" s="125">
        <f t="shared" si="68"/>
        <v>385.67000000000007</v>
      </c>
      <c r="L212" s="125">
        <f t="shared" si="68"/>
        <v>387.17999999999984</v>
      </c>
      <c r="M212" s="125">
        <f t="shared" si="68"/>
        <v>429.62999999999988</v>
      </c>
      <c r="N212" s="125">
        <f t="shared" si="68"/>
        <v>388.45000000000005</v>
      </c>
      <c r="O212" s="125">
        <f t="shared" si="68"/>
        <v>387.98</v>
      </c>
      <c r="P212" s="125">
        <f t="shared" si="68"/>
        <v>386.84999999999991</v>
      </c>
      <c r="Q212" s="125">
        <f t="shared" si="68"/>
        <v>392.87000000000012</v>
      </c>
      <c r="R212" s="303"/>
      <c r="S212" s="303"/>
      <c r="T212" s="306"/>
      <c r="U212" s="306"/>
      <c r="V212" s="308"/>
      <c r="W212" s="294"/>
      <c r="X212" s="297"/>
      <c r="Y212" s="311"/>
      <c r="Z212" s="255"/>
      <c r="AA212" s="122"/>
      <c r="AB212" s="122"/>
      <c r="AC212" s="122"/>
      <c r="AD212" s="122"/>
      <c r="AE212" s="122"/>
      <c r="AF212" s="126"/>
    </row>
    <row r="213" spans="1:32" ht="15.55" x14ac:dyDescent="0.25">
      <c r="A213" s="298">
        <v>43363</v>
      </c>
      <c r="B213" s="119" t="s">
        <v>242</v>
      </c>
      <c r="C213" s="119" t="s">
        <v>238</v>
      </c>
      <c r="D213" s="120" t="s">
        <v>192</v>
      </c>
      <c r="E213" s="121">
        <v>1972.7</v>
      </c>
      <c r="F213" s="121">
        <v>1929.08</v>
      </c>
      <c r="G213" s="121">
        <v>1915.09</v>
      </c>
      <c r="H213" s="121">
        <v>1919.9</v>
      </c>
      <c r="I213" s="121">
        <v>1954.18</v>
      </c>
      <c r="J213" s="121">
        <v>1958.27</v>
      </c>
      <c r="K213" s="121">
        <v>1924</v>
      </c>
      <c r="L213" s="121">
        <v>1919.44</v>
      </c>
      <c r="M213" s="121">
        <v>1939.51</v>
      </c>
      <c r="N213" s="121">
        <v>1935.66</v>
      </c>
      <c r="O213" s="121">
        <v>1922.42</v>
      </c>
      <c r="P213" s="121">
        <v>1925.56</v>
      </c>
      <c r="Q213" s="121">
        <v>1930.36</v>
      </c>
      <c r="R213" s="301">
        <f>IF((Q214=""),"",MAX(E215:Q215))</f>
        <v>346.8900000000001</v>
      </c>
      <c r="S213" s="301">
        <f>IF(Q214="","",MIN(E215:Q215))</f>
        <v>291.55999999999995</v>
      </c>
      <c r="T213" s="304">
        <f>IF((Q215=""),"",AVERAGE(E215:Q215))</f>
        <v>311.76538461538462</v>
      </c>
      <c r="U213" s="304">
        <f>IF((Q214=""),"",(R213-S213)/(R213+S213)*100)</f>
        <v>8.6663011982144482</v>
      </c>
      <c r="V213" s="304">
        <f>STDEV(E215:Q215)</f>
        <v>23.059483810132104</v>
      </c>
      <c r="W213" s="292" t="str">
        <f>IF(Q214="","",IF(T213&gt;300,IF(U213&lt;14,IF(T213&lt;390,"Pass","Fail"),"Fail"),"Fail"))</f>
        <v>Pass</v>
      </c>
      <c r="X213" s="295">
        <v>1340</v>
      </c>
      <c r="Y213" s="309"/>
      <c r="Z213" s="255"/>
      <c r="AA213" s="122">
        <v>270</v>
      </c>
      <c r="AB213" s="122">
        <v>370</v>
      </c>
      <c r="AC213" s="122">
        <v>300</v>
      </c>
      <c r="AD213" s="123">
        <v>390</v>
      </c>
      <c r="AE213" s="123">
        <v>14</v>
      </c>
      <c r="AF213" s="123">
        <v>20</v>
      </c>
    </row>
    <row r="214" spans="1:32" ht="15.55" x14ac:dyDescent="0.25">
      <c r="A214" s="299"/>
      <c r="B214" s="124"/>
      <c r="C214" s="124"/>
      <c r="D214" s="120" t="s">
        <v>193</v>
      </c>
      <c r="E214" s="121">
        <v>1631.5</v>
      </c>
      <c r="F214" s="121">
        <v>1631.93</v>
      </c>
      <c r="G214" s="121">
        <v>1623.53</v>
      </c>
      <c r="H214" s="121">
        <v>1620.31</v>
      </c>
      <c r="I214" s="121">
        <v>1607.29</v>
      </c>
      <c r="J214" s="121">
        <v>1612.85</v>
      </c>
      <c r="K214" s="121">
        <v>1629.86</v>
      </c>
      <c r="L214" s="121">
        <v>1624.84</v>
      </c>
      <c r="M214" s="121">
        <v>1594.1</v>
      </c>
      <c r="N214" s="121">
        <v>1636.17</v>
      </c>
      <c r="O214" s="121">
        <v>1621.13</v>
      </c>
      <c r="P214" s="121">
        <v>1629.34</v>
      </c>
      <c r="Q214" s="121">
        <v>1630.37</v>
      </c>
      <c r="R214" s="302"/>
      <c r="S214" s="302"/>
      <c r="T214" s="305"/>
      <c r="U214" s="305"/>
      <c r="V214" s="307"/>
      <c r="W214" s="293"/>
      <c r="X214" s="296"/>
      <c r="Y214" s="310"/>
      <c r="Z214" s="255"/>
      <c r="AA214" s="122"/>
      <c r="AB214" s="122"/>
      <c r="AC214" s="122"/>
      <c r="AD214" s="123"/>
      <c r="AE214" s="123"/>
      <c r="AF214" s="123"/>
    </row>
    <row r="215" spans="1:32" ht="62.05" x14ac:dyDescent="0.3">
      <c r="A215" s="300"/>
      <c r="B215" s="119"/>
      <c r="C215" s="119"/>
      <c r="D215" s="120" t="s">
        <v>194</v>
      </c>
      <c r="E215" s="125">
        <f t="shared" ref="E215:Q215" si="69">IF(((E213="")*AND(E214="")),"",(E213-E214))</f>
        <v>341.20000000000005</v>
      </c>
      <c r="F215" s="125">
        <f t="shared" si="69"/>
        <v>297.14999999999986</v>
      </c>
      <c r="G215" s="125">
        <f t="shared" si="69"/>
        <v>291.55999999999995</v>
      </c>
      <c r="H215" s="125">
        <f t="shared" si="69"/>
        <v>299.59000000000015</v>
      </c>
      <c r="I215" s="125">
        <f t="shared" si="69"/>
        <v>346.8900000000001</v>
      </c>
      <c r="J215" s="125">
        <f t="shared" si="69"/>
        <v>345.42000000000007</v>
      </c>
      <c r="K215" s="125">
        <f t="shared" si="69"/>
        <v>294.1400000000001</v>
      </c>
      <c r="L215" s="125">
        <f t="shared" si="69"/>
        <v>294.60000000000014</v>
      </c>
      <c r="M215" s="125">
        <f t="shared" si="69"/>
        <v>345.41000000000008</v>
      </c>
      <c r="N215" s="125">
        <f t="shared" si="69"/>
        <v>299.49</v>
      </c>
      <c r="O215" s="125">
        <f t="shared" si="69"/>
        <v>301.28999999999996</v>
      </c>
      <c r="P215" s="125">
        <f t="shared" si="69"/>
        <v>296.22000000000003</v>
      </c>
      <c r="Q215" s="125">
        <f t="shared" si="69"/>
        <v>299.99</v>
      </c>
      <c r="R215" s="303"/>
      <c r="S215" s="303"/>
      <c r="T215" s="306"/>
      <c r="U215" s="306"/>
      <c r="V215" s="308"/>
      <c r="W215" s="294"/>
      <c r="X215" s="297"/>
      <c r="Y215" s="311"/>
      <c r="Z215" s="255"/>
      <c r="AA215" s="122"/>
      <c r="AB215" s="122"/>
      <c r="AC215" s="122"/>
      <c r="AD215" s="122"/>
      <c r="AE215" s="122"/>
      <c r="AF215" s="126"/>
    </row>
    <row r="216" spans="1:32" ht="15.55" x14ac:dyDescent="0.25">
      <c r="A216" s="298">
        <v>43367</v>
      </c>
      <c r="B216" s="119" t="s">
        <v>242</v>
      </c>
      <c r="C216" s="119" t="s">
        <v>238</v>
      </c>
      <c r="D216" s="120" t="s">
        <v>192</v>
      </c>
      <c r="E216" s="133">
        <v>2407</v>
      </c>
      <c r="F216" s="133">
        <v>2310</v>
      </c>
      <c r="G216" s="133">
        <v>2294</v>
      </c>
      <c r="H216" s="133">
        <v>2298</v>
      </c>
      <c r="I216" s="133">
        <v>2374</v>
      </c>
      <c r="J216" s="133">
        <v>2374</v>
      </c>
      <c r="K216" s="133">
        <v>2302</v>
      </c>
      <c r="L216" s="133">
        <v>2301</v>
      </c>
      <c r="M216" s="133">
        <v>2366</v>
      </c>
      <c r="N216" s="133">
        <v>2317</v>
      </c>
      <c r="O216" s="133">
        <v>2307</v>
      </c>
      <c r="P216" s="133">
        <v>2309</v>
      </c>
      <c r="Q216" s="133">
        <v>2316</v>
      </c>
      <c r="R216" s="301">
        <f>IF((Q217=""),"",MAX(E218:Q218))</f>
        <v>426</v>
      </c>
      <c r="S216" s="301">
        <f>IF(Q217="","",MIN(E218:Q218))</f>
        <v>366</v>
      </c>
      <c r="T216" s="304">
        <f>IF((Q218=""),"",AVERAGE(E218:Q218))</f>
        <v>382.15384615384613</v>
      </c>
      <c r="U216" s="304">
        <f>IF((Q217=""),"",(R216-S216)/(R216+S216)*100)</f>
        <v>7.5757575757575761</v>
      </c>
      <c r="V216" s="304">
        <f>STDEV(E218:Q218)</f>
        <v>15.043526591450965</v>
      </c>
      <c r="W216" s="292" t="str">
        <f>IF(Q217="","",IF(T216&gt;300,IF(U216&lt;14,IF(T216&lt;390,"Pass","Fail"),"Fail"),"Fail"))</f>
        <v>Pass</v>
      </c>
      <c r="X216" s="295">
        <v>1340</v>
      </c>
      <c r="Y216" s="309"/>
      <c r="Z216" s="255"/>
      <c r="AA216" s="122">
        <v>270</v>
      </c>
      <c r="AB216" s="122">
        <v>370</v>
      </c>
      <c r="AC216" s="122">
        <v>300</v>
      </c>
      <c r="AD216" s="123">
        <v>390</v>
      </c>
      <c r="AE216" s="123">
        <v>14</v>
      </c>
      <c r="AF216" s="123">
        <v>20</v>
      </c>
    </row>
    <row r="217" spans="1:32" ht="15.55" x14ac:dyDescent="0.25">
      <c r="A217" s="299"/>
      <c r="B217" s="124"/>
      <c r="C217" s="124"/>
      <c r="D217" s="120" t="s">
        <v>193</v>
      </c>
      <c r="E217" s="133">
        <v>2013</v>
      </c>
      <c r="F217" s="133">
        <v>1928</v>
      </c>
      <c r="G217" s="133">
        <v>1928</v>
      </c>
      <c r="H217" s="133">
        <v>1922</v>
      </c>
      <c r="I217" s="133">
        <v>1997</v>
      </c>
      <c r="J217" s="133">
        <v>2000</v>
      </c>
      <c r="K217" s="133">
        <v>1932</v>
      </c>
      <c r="L217" s="133">
        <v>1918</v>
      </c>
      <c r="M217" s="133">
        <v>1940</v>
      </c>
      <c r="N217" s="133">
        <v>1939</v>
      </c>
      <c r="O217" s="133">
        <v>1922</v>
      </c>
      <c r="P217" s="133">
        <v>1936</v>
      </c>
      <c r="Q217" s="133">
        <v>1932</v>
      </c>
      <c r="R217" s="302"/>
      <c r="S217" s="302"/>
      <c r="T217" s="305"/>
      <c r="U217" s="305"/>
      <c r="V217" s="307"/>
      <c r="W217" s="293"/>
      <c r="X217" s="296"/>
      <c r="Y217" s="310"/>
      <c r="Z217" s="255"/>
      <c r="AA217" s="122"/>
      <c r="AB217" s="122"/>
      <c r="AC217" s="122"/>
      <c r="AD217" s="123"/>
      <c r="AE217" s="123"/>
      <c r="AF217" s="123"/>
    </row>
    <row r="218" spans="1:32" ht="62.05" x14ac:dyDescent="0.3">
      <c r="A218" s="300"/>
      <c r="B218" s="119"/>
      <c r="C218" s="119"/>
      <c r="D218" s="120" t="s">
        <v>194</v>
      </c>
      <c r="E218" s="125">
        <f t="shared" ref="E218:Q218" si="70">IF(((E216="")*AND(E217="")),"",(E216-E217))</f>
        <v>394</v>
      </c>
      <c r="F218" s="125">
        <f t="shared" si="70"/>
        <v>382</v>
      </c>
      <c r="G218" s="125">
        <f t="shared" si="70"/>
        <v>366</v>
      </c>
      <c r="H218" s="125">
        <f t="shared" si="70"/>
        <v>376</v>
      </c>
      <c r="I218" s="125">
        <f t="shared" si="70"/>
        <v>377</v>
      </c>
      <c r="J218" s="125">
        <f t="shared" si="70"/>
        <v>374</v>
      </c>
      <c r="K218" s="125">
        <f t="shared" si="70"/>
        <v>370</v>
      </c>
      <c r="L218" s="125">
        <f t="shared" si="70"/>
        <v>383</v>
      </c>
      <c r="M218" s="125">
        <f t="shared" si="70"/>
        <v>426</v>
      </c>
      <c r="N218" s="125">
        <f t="shared" si="70"/>
        <v>378</v>
      </c>
      <c r="O218" s="125">
        <f t="shared" si="70"/>
        <v>385</v>
      </c>
      <c r="P218" s="125">
        <f t="shared" si="70"/>
        <v>373</v>
      </c>
      <c r="Q218" s="125">
        <f t="shared" si="70"/>
        <v>384</v>
      </c>
      <c r="R218" s="303"/>
      <c r="S218" s="303"/>
      <c r="T218" s="306"/>
      <c r="U218" s="306"/>
      <c r="V218" s="308"/>
      <c r="W218" s="294"/>
      <c r="X218" s="297"/>
      <c r="Y218" s="311"/>
      <c r="Z218" s="255"/>
      <c r="AA218" s="122"/>
      <c r="AB218" s="122"/>
      <c r="AC218" s="122"/>
      <c r="AD218" s="122"/>
      <c r="AE218" s="122"/>
      <c r="AF218" s="126"/>
    </row>
    <row r="219" spans="1:32" ht="15.55" x14ac:dyDescent="0.25">
      <c r="A219" s="298">
        <v>43370</v>
      </c>
      <c r="B219" s="119" t="s">
        <v>242</v>
      </c>
      <c r="C219" s="119" t="s">
        <v>238</v>
      </c>
      <c r="D219" s="120" t="s">
        <v>192</v>
      </c>
      <c r="E219" s="121">
        <v>1893.08</v>
      </c>
      <c r="F219" s="121">
        <v>1900.83</v>
      </c>
      <c r="G219" s="121">
        <v>1907.01</v>
      </c>
      <c r="H219" s="121">
        <v>1907.67</v>
      </c>
      <c r="I219" s="121">
        <v>1907</v>
      </c>
      <c r="J219" s="121">
        <v>1904.08</v>
      </c>
      <c r="K219" s="121">
        <v>1904</v>
      </c>
      <c r="L219" s="121">
        <v>1906.31</v>
      </c>
      <c r="M219" s="121">
        <v>1903.65</v>
      </c>
      <c r="N219" s="121">
        <v>1903.1</v>
      </c>
      <c r="O219" s="121">
        <v>1905.5</v>
      </c>
      <c r="P219" s="121">
        <v>1906.02</v>
      </c>
      <c r="Q219" s="121">
        <v>1904.4</v>
      </c>
      <c r="R219" s="301">
        <f>IF((Q220=""),"",MAX(E221:Q221))</f>
        <v>141.15000000000009</v>
      </c>
      <c r="S219" s="301">
        <f>IF(Q220="","",MIN(E221:Q221))</f>
        <v>99.319999999999936</v>
      </c>
      <c r="T219" s="304">
        <f>IF((Q221=""),"",AVERAGE(E221:Q221))</f>
        <v>125.04846153846152</v>
      </c>
      <c r="U219" s="304">
        <f>IF((Q220=""),"",(R219-S219)/(R219+S219)*100)</f>
        <v>17.395101260032501</v>
      </c>
      <c r="V219" s="304">
        <f>STDEV(E221:Q221)</f>
        <v>11.265327962494682</v>
      </c>
      <c r="W219" s="292" t="str">
        <f>IF(Q220="","",IF(T219&gt;300,IF(U219&lt;14,IF(T219&lt;390,"Pass","Fail"),"Fail"),"Fail"))</f>
        <v>Fail</v>
      </c>
      <c r="X219" s="295">
        <v>1340</v>
      </c>
      <c r="Y219" s="309"/>
      <c r="Z219" s="255"/>
      <c r="AA219" s="122">
        <v>270</v>
      </c>
      <c r="AB219" s="122">
        <v>370</v>
      </c>
      <c r="AC219" s="122">
        <v>300</v>
      </c>
      <c r="AD219" s="123">
        <v>390</v>
      </c>
      <c r="AE219" s="123">
        <v>14</v>
      </c>
      <c r="AF219" s="123">
        <v>20</v>
      </c>
    </row>
    <row r="220" spans="1:32" ht="15.55" x14ac:dyDescent="0.25">
      <c r="A220" s="299"/>
      <c r="B220" s="124"/>
      <c r="C220" s="124"/>
      <c r="D220" s="120" t="s">
        <v>193</v>
      </c>
      <c r="E220" s="121">
        <v>1793.76</v>
      </c>
      <c r="F220" s="121">
        <v>1788.47</v>
      </c>
      <c r="G220" s="121">
        <v>1791</v>
      </c>
      <c r="H220" s="121">
        <v>1772.97</v>
      </c>
      <c r="I220" s="121">
        <v>1765.85</v>
      </c>
      <c r="J220" s="121">
        <v>1766.96</v>
      </c>
      <c r="K220" s="121">
        <v>1777.42</v>
      </c>
      <c r="L220" s="121">
        <v>1775.91</v>
      </c>
      <c r="M220" s="121">
        <v>1775.61</v>
      </c>
      <c r="N220" s="121">
        <v>1778</v>
      </c>
      <c r="O220" s="121">
        <v>1776.34</v>
      </c>
      <c r="P220" s="121">
        <v>1778</v>
      </c>
      <c r="Q220" s="121">
        <v>1786.73</v>
      </c>
      <c r="R220" s="302"/>
      <c r="S220" s="302"/>
      <c r="T220" s="305"/>
      <c r="U220" s="305"/>
      <c r="V220" s="307"/>
      <c r="W220" s="293"/>
      <c r="X220" s="296"/>
      <c r="Y220" s="310"/>
      <c r="Z220" s="255"/>
      <c r="AA220" s="122"/>
      <c r="AB220" s="122"/>
      <c r="AC220" s="122"/>
      <c r="AD220" s="123"/>
      <c r="AE220" s="123"/>
      <c r="AF220" s="123"/>
    </row>
    <row r="221" spans="1:32" ht="62.05" x14ac:dyDescent="0.3">
      <c r="A221" s="300"/>
      <c r="B221" s="119"/>
      <c r="C221" s="119"/>
      <c r="D221" s="120" t="s">
        <v>194</v>
      </c>
      <c r="E221" s="125">
        <f t="shared" ref="E221:Q221" si="71">IF(((E219="")*AND(E220="")),"",(E219-E220))</f>
        <v>99.319999999999936</v>
      </c>
      <c r="F221" s="125">
        <f t="shared" si="71"/>
        <v>112.3599999999999</v>
      </c>
      <c r="G221" s="125">
        <f t="shared" si="71"/>
        <v>116.00999999999999</v>
      </c>
      <c r="H221" s="125">
        <f t="shared" si="71"/>
        <v>134.70000000000005</v>
      </c>
      <c r="I221" s="125">
        <f t="shared" si="71"/>
        <v>141.15000000000009</v>
      </c>
      <c r="J221" s="125">
        <f t="shared" si="71"/>
        <v>137.11999999999989</v>
      </c>
      <c r="K221" s="125">
        <f t="shared" si="71"/>
        <v>126.57999999999993</v>
      </c>
      <c r="L221" s="125">
        <f t="shared" si="71"/>
        <v>130.39999999999986</v>
      </c>
      <c r="M221" s="125">
        <f t="shared" si="71"/>
        <v>128.04000000000019</v>
      </c>
      <c r="N221" s="125">
        <f t="shared" si="71"/>
        <v>125.09999999999991</v>
      </c>
      <c r="O221" s="125">
        <f t="shared" si="71"/>
        <v>129.16000000000008</v>
      </c>
      <c r="P221" s="125">
        <f t="shared" si="71"/>
        <v>128.01999999999998</v>
      </c>
      <c r="Q221" s="125">
        <f t="shared" si="71"/>
        <v>117.67000000000007</v>
      </c>
      <c r="R221" s="303"/>
      <c r="S221" s="303"/>
      <c r="T221" s="306"/>
      <c r="U221" s="306"/>
      <c r="V221" s="308"/>
      <c r="W221" s="294"/>
      <c r="X221" s="297"/>
      <c r="Y221" s="311"/>
      <c r="Z221" s="255"/>
      <c r="AA221" s="122"/>
      <c r="AB221" s="122"/>
      <c r="AC221" s="122"/>
      <c r="AD221" s="122"/>
      <c r="AE221" s="122"/>
      <c r="AF221" s="126"/>
    </row>
    <row r="222" spans="1:32" ht="15.55" x14ac:dyDescent="0.25">
      <c r="A222" s="298">
        <v>43370</v>
      </c>
      <c r="B222" s="119" t="s">
        <v>242</v>
      </c>
      <c r="C222" s="119" t="s">
        <v>238</v>
      </c>
      <c r="D222" s="120" t="s">
        <v>192</v>
      </c>
      <c r="E222" s="121">
        <v>2417.3000000000002</v>
      </c>
      <c r="F222" s="121">
        <v>2325.4299999999998</v>
      </c>
      <c r="G222" s="121">
        <v>2308.64</v>
      </c>
      <c r="H222" s="121">
        <v>2309.64</v>
      </c>
      <c r="I222" s="121">
        <v>2379.3200000000002</v>
      </c>
      <c r="J222" s="121">
        <v>2379.98</v>
      </c>
      <c r="K222" s="121">
        <v>2314.4</v>
      </c>
      <c r="L222" s="121">
        <v>2315.2600000000002</v>
      </c>
      <c r="M222" s="121">
        <v>2386.48</v>
      </c>
      <c r="N222" s="121">
        <v>2328.91</v>
      </c>
      <c r="O222" s="121">
        <v>2317.08</v>
      </c>
      <c r="P222" s="121">
        <v>2319.16</v>
      </c>
      <c r="Q222" s="121">
        <v>2333.4699999999998</v>
      </c>
      <c r="R222" s="301">
        <f>IF((Q223=""),"",MAX(E224:Q224))</f>
        <v>443.31999999999994</v>
      </c>
      <c r="S222" s="301">
        <f>IF(Q223="","",MIN(E224:Q224))</f>
        <v>379.5300000000002</v>
      </c>
      <c r="T222" s="304">
        <f>IF((Q224=""),"",AVERAGE(E224:Q224))</f>
        <v>398.89307692307682</v>
      </c>
      <c r="U222" s="304">
        <f>IF((Q223=""),"",(R222-S222)/(R222+S222)*100)</f>
        <v>7.7523242389256524</v>
      </c>
      <c r="V222" s="304">
        <f>STDEV(E224:Q224)</f>
        <v>21.296376602846259</v>
      </c>
      <c r="W222" s="292" t="str">
        <f>IF(Q223="","",IF(T222&gt;300,IF(U222&lt;14,IF(T222&lt;390,"Pass","Fail"),"Fail"),"Fail"))</f>
        <v>Fail</v>
      </c>
      <c r="X222" s="295">
        <v>1340</v>
      </c>
      <c r="Y222" s="309"/>
      <c r="Z222" s="255"/>
      <c r="AA222" s="122">
        <v>270</v>
      </c>
      <c r="AB222" s="122">
        <v>370</v>
      </c>
      <c r="AC222" s="122">
        <v>300</v>
      </c>
      <c r="AD222" s="123">
        <v>390</v>
      </c>
      <c r="AE222" s="123">
        <v>14</v>
      </c>
      <c r="AF222" s="123">
        <v>20</v>
      </c>
    </row>
    <row r="223" spans="1:32" ht="15.55" x14ac:dyDescent="0.25">
      <c r="A223" s="299"/>
      <c r="B223" s="124"/>
      <c r="C223" s="124"/>
      <c r="D223" s="120" t="s">
        <v>193</v>
      </c>
      <c r="E223" s="121">
        <v>1986.72</v>
      </c>
      <c r="F223" s="121">
        <v>1937.43</v>
      </c>
      <c r="G223" s="121">
        <v>1924.86</v>
      </c>
      <c r="H223" s="121">
        <v>1925.1</v>
      </c>
      <c r="I223" s="121">
        <v>1953.16</v>
      </c>
      <c r="J223" s="121">
        <v>1970.23</v>
      </c>
      <c r="K223" s="121">
        <v>1934.87</v>
      </c>
      <c r="L223" s="121">
        <v>1929.45</v>
      </c>
      <c r="M223" s="121">
        <v>1943.16</v>
      </c>
      <c r="N223" s="121">
        <v>1941.15</v>
      </c>
      <c r="O223" s="121">
        <v>1925.57</v>
      </c>
      <c r="P223" s="121">
        <v>1937.34</v>
      </c>
      <c r="Q223" s="121">
        <v>1940.42</v>
      </c>
      <c r="R223" s="302"/>
      <c r="S223" s="302"/>
      <c r="T223" s="305"/>
      <c r="U223" s="305"/>
      <c r="V223" s="307"/>
      <c r="W223" s="293"/>
      <c r="X223" s="296"/>
      <c r="Y223" s="310"/>
      <c r="Z223" s="255"/>
      <c r="AA223" s="122"/>
      <c r="AB223" s="122"/>
      <c r="AC223" s="122"/>
      <c r="AD223" s="123"/>
      <c r="AE223" s="123"/>
      <c r="AF223" s="123"/>
    </row>
    <row r="224" spans="1:32" ht="62.05" x14ac:dyDescent="0.3">
      <c r="A224" s="300"/>
      <c r="B224" s="119"/>
      <c r="C224" s="119"/>
      <c r="D224" s="120" t="s">
        <v>194</v>
      </c>
      <c r="E224" s="125">
        <f t="shared" ref="E224:Q224" si="72">IF(((E222="")*AND(E223="")),"",(E222-E223))</f>
        <v>430.58000000000015</v>
      </c>
      <c r="F224" s="125">
        <f t="shared" si="72"/>
        <v>387.99999999999977</v>
      </c>
      <c r="G224" s="125">
        <f t="shared" si="72"/>
        <v>383.78</v>
      </c>
      <c r="H224" s="125">
        <f t="shared" si="72"/>
        <v>384.53999999999996</v>
      </c>
      <c r="I224" s="125">
        <f t="shared" si="72"/>
        <v>426.16000000000008</v>
      </c>
      <c r="J224" s="125">
        <f t="shared" si="72"/>
        <v>409.75</v>
      </c>
      <c r="K224" s="125">
        <f t="shared" si="72"/>
        <v>379.5300000000002</v>
      </c>
      <c r="L224" s="125">
        <f t="shared" si="72"/>
        <v>385.81000000000017</v>
      </c>
      <c r="M224" s="125">
        <f t="shared" si="72"/>
        <v>443.31999999999994</v>
      </c>
      <c r="N224" s="125">
        <f t="shared" si="72"/>
        <v>387.75999999999976</v>
      </c>
      <c r="O224" s="125">
        <f t="shared" si="72"/>
        <v>391.51</v>
      </c>
      <c r="P224" s="125">
        <f t="shared" si="72"/>
        <v>381.81999999999994</v>
      </c>
      <c r="Q224" s="125">
        <f t="shared" si="72"/>
        <v>393.04999999999973</v>
      </c>
      <c r="R224" s="303"/>
      <c r="S224" s="303"/>
      <c r="T224" s="306"/>
      <c r="U224" s="306"/>
      <c r="V224" s="308"/>
      <c r="W224" s="294"/>
      <c r="X224" s="297"/>
      <c r="Y224" s="311"/>
      <c r="Z224" s="255"/>
      <c r="AA224" s="122"/>
      <c r="AB224" s="122"/>
      <c r="AC224" s="122"/>
      <c r="AD224" s="122"/>
      <c r="AE224" s="122"/>
      <c r="AF224" s="126"/>
    </row>
    <row r="225" spans="1:32" ht="15.55" x14ac:dyDescent="0.25">
      <c r="A225" s="316">
        <v>43370</v>
      </c>
      <c r="B225" s="119" t="s">
        <v>242</v>
      </c>
      <c r="C225" s="119" t="s">
        <v>238</v>
      </c>
      <c r="D225" s="120" t="s">
        <v>192</v>
      </c>
      <c r="E225" s="121">
        <v>1986.72</v>
      </c>
      <c r="F225" s="121">
        <v>1937.43</v>
      </c>
      <c r="G225" s="121">
        <v>1924.86</v>
      </c>
      <c r="H225" s="121">
        <v>1925.1</v>
      </c>
      <c r="I225" s="121">
        <v>1953.16</v>
      </c>
      <c r="J225" s="121">
        <v>1970.23</v>
      </c>
      <c r="K225" s="121">
        <v>1934.87</v>
      </c>
      <c r="L225" s="121">
        <v>1929.45</v>
      </c>
      <c r="M225" s="121">
        <v>1943.16</v>
      </c>
      <c r="N225" s="121">
        <v>1941.15</v>
      </c>
      <c r="O225" s="121">
        <v>1925.57</v>
      </c>
      <c r="P225" s="121">
        <v>1937.34</v>
      </c>
      <c r="Q225" s="121">
        <v>1940.42</v>
      </c>
      <c r="R225" s="301">
        <f>IF((Q226=""),"",MAX(E227:Q227))</f>
        <v>356.25</v>
      </c>
      <c r="S225" s="301">
        <f>IF(Q226="","",MIN(E227:Q227))</f>
        <v>289.06999999999994</v>
      </c>
      <c r="T225" s="304">
        <f>IF((Q227=""),"",AVERAGE(E227:Q227))</f>
        <v>310.89538461538461</v>
      </c>
      <c r="U225" s="304">
        <f>IF((Q226=""),"",(R225-S225)/(R225+S225)*100)</f>
        <v>10.41033905659209</v>
      </c>
      <c r="V225" s="304">
        <f>STDEV(E227:Q227)</f>
        <v>26.181476790339389</v>
      </c>
      <c r="W225" s="292" t="str">
        <f>IF(Q226="","",IF(T225&gt;300,IF(U225&lt;14,IF(T225&lt;390,"Pass","Fail"),"Fail"),"Fail"))</f>
        <v>Pass</v>
      </c>
      <c r="X225" s="295">
        <v>1335</v>
      </c>
      <c r="Y225" s="309"/>
      <c r="Z225" s="255"/>
      <c r="AA225" s="122">
        <v>270</v>
      </c>
      <c r="AB225" s="122">
        <v>370</v>
      </c>
      <c r="AC225" s="122">
        <v>300</v>
      </c>
      <c r="AD225" s="123">
        <v>390</v>
      </c>
      <c r="AE225" s="123">
        <v>14</v>
      </c>
      <c r="AF225" s="123">
        <v>20</v>
      </c>
    </row>
    <row r="226" spans="1:32" ht="15.55" x14ac:dyDescent="0.25">
      <c r="A226" s="317"/>
      <c r="B226" s="124"/>
      <c r="C226" s="124"/>
      <c r="D226" s="120" t="s">
        <v>193</v>
      </c>
      <c r="E226" s="121">
        <v>1637.76</v>
      </c>
      <c r="F226" s="121">
        <v>1646.4</v>
      </c>
      <c r="G226" s="121">
        <v>1635.79</v>
      </c>
      <c r="H226" s="121">
        <v>1629.98</v>
      </c>
      <c r="I226" s="121">
        <v>1604.62</v>
      </c>
      <c r="J226" s="121">
        <v>1613.98</v>
      </c>
      <c r="K226" s="121">
        <v>1639.05</v>
      </c>
      <c r="L226" s="121">
        <v>1636.22</v>
      </c>
      <c r="M226" s="121">
        <v>1604.84</v>
      </c>
      <c r="N226" s="121">
        <v>1642.99</v>
      </c>
      <c r="O226" s="121">
        <v>1632.4</v>
      </c>
      <c r="P226" s="121">
        <v>1636.62</v>
      </c>
      <c r="Q226" s="121">
        <v>1647.17</v>
      </c>
      <c r="R226" s="302"/>
      <c r="S226" s="302"/>
      <c r="T226" s="305"/>
      <c r="U226" s="305"/>
      <c r="V226" s="307"/>
      <c r="W226" s="293"/>
      <c r="X226" s="296"/>
      <c r="Y226" s="310"/>
      <c r="Z226" s="255"/>
      <c r="AA226" s="122"/>
      <c r="AB226" s="122"/>
      <c r="AC226" s="122"/>
      <c r="AD226" s="123"/>
      <c r="AE226" s="123"/>
      <c r="AF226" s="123"/>
    </row>
    <row r="227" spans="1:32" ht="62.05" x14ac:dyDescent="0.3">
      <c r="A227" s="317"/>
      <c r="B227" s="119"/>
      <c r="C227" s="119"/>
      <c r="D227" s="120" t="s">
        <v>194</v>
      </c>
      <c r="E227" s="125">
        <f t="shared" ref="E227:Q227" si="73">IF(((E225="")*AND(E226="")),"",(E225-E226))</f>
        <v>348.96000000000004</v>
      </c>
      <c r="F227" s="125">
        <f t="shared" si="73"/>
        <v>291.02999999999997</v>
      </c>
      <c r="G227" s="125">
        <f t="shared" si="73"/>
        <v>289.06999999999994</v>
      </c>
      <c r="H227" s="125">
        <f t="shared" si="73"/>
        <v>295.11999999999989</v>
      </c>
      <c r="I227" s="125">
        <f t="shared" si="73"/>
        <v>348.54000000000019</v>
      </c>
      <c r="J227" s="125">
        <f t="shared" si="73"/>
        <v>356.25</v>
      </c>
      <c r="K227" s="125">
        <f t="shared" si="73"/>
        <v>295.81999999999994</v>
      </c>
      <c r="L227" s="125">
        <f t="shared" si="73"/>
        <v>293.23</v>
      </c>
      <c r="M227" s="125">
        <f t="shared" si="73"/>
        <v>338.32000000000016</v>
      </c>
      <c r="N227" s="125">
        <f t="shared" si="73"/>
        <v>298.16000000000008</v>
      </c>
      <c r="O227" s="125">
        <f t="shared" si="73"/>
        <v>293.16999999999985</v>
      </c>
      <c r="P227" s="125">
        <f t="shared" si="73"/>
        <v>300.72000000000003</v>
      </c>
      <c r="Q227" s="125">
        <f t="shared" si="73"/>
        <v>293.25</v>
      </c>
      <c r="R227" s="303"/>
      <c r="S227" s="303"/>
      <c r="T227" s="306"/>
      <c r="U227" s="306"/>
      <c r="V227" s="308"/>
      <c r="W227" s="294"/>
      <c r="X227" s="297"/>
      <c r="Y227" s="311"/>
      <c r="Z227" s="255"/>
      <c r="AA227" s="122"/>
      <c r="AB227" s="122"/>
      <c r="AC227" s="122"/>
      <c r="AD227" s="122"/>
      <c r="AE227" s="122"/>
      <c r="AF227" s="126"/>
    </row>
    <row r="228" spans="1:32" ht="15.55" x14ac:dyDescent="0.25">
      <c r="A228" s="298">
        <v>43373</v>
      </c>
      <c r="B228" s="119" t="s">
        <v>242</v>
      </c>
      <c r="C228" s="119" t="s">
        <v>238</v>
      </c>
      <c r="D228" s="120" t="s">
        <v>192</v>
      </c>
      <c r="E228" s="121">
        <v>2425.5300000000002</v>
      </c>
      <c r="F228" s="121">
        <v>2334.84</v>
      </c>
      <c r="G228" s="121">
        <v>2318.02</v>
      </c>
      <c r="H228" s="121">
        <v>2319.6999999999998</v>
      </c>
      <c r="I228" s="121">
        <v>2397.06</v>
      </c>
      <c r="J228" s="121">
        <v>2389.25</v>
      </c>
      <c r="K228" s="121">
        <v>2327.5300000000002</v>
      </c>
      <c r="L228" s="121">
        <v>2324.33</v>
      </c>
      <c r="M228" s="121">
        <v>2380.44</v>
      </c>
      <c r="N228" s="121">
        <v>2344.52</v>
      </c>
      <c r="O228" s="121">
        <v>2328.04</v>
      </c>
      <c r="P228" s="121">
        <v>2329.5300000000002</v>
      </c>
      <c r="Q228" s="121">
        <v>2339.7399999999998</v>
      </c>
      <c r="R228" s="301">
        <f>IF((Q229=""),"",MAX(E230:Q230))</f>
        <v>445.50000000000023</v>
      </c>
      <c r="S228" s="301">
        <f>IF(Q229="","",MIN(E230:Q230))</f>
        <v>385.27</v>
      </c>
      <c r="T228" s="304">
        <f>IF((Q230=""),"",AVERAGE(E230:Q230))</f>
        <v>402.95000000000005</v>
      </c>
      <c r="U228" s="304">
        <f>IF((Q229=""),"",(R228-S228)/(R228+S228)*100)</f>
        <v>7.2499006945364224</v>
      </c>
      <c r="V228" s="304">
        <f>STDEV(E230:Q230)</f>
        <v>20.974717717607916</v>
      </c>
      <c r="W228" s="292" t="str">
        <f>IF(Q229="","",IF(T228&gt;300,IF(U228&lt;14,IF(T228&lt;390,"Pass","Fail"),"Fail"),"Fail"))</f>
        <v>Fail</v>
      </c>
      <c r="X228" s="295">
        <v>74</v>
      </c>
      <c r="Y228" s="309"/>
      <c r="Z228" s="255"/>
      <c r="AA228" s="122">
        <v>270</v>
      </c>
      <c r="AB228" s="122">
        <v>370</v>
      </c>
      <c r="AC228" s="122">
        <v>300</v>
      </c>
      <c r="AD228" s="123">
        <v>390</v>
      </c>
      <c r="AE228" s="123">
        <v>14</v>
      </c>
      <c r="AF228" s="123">
        <v>20</v>
      </c>
    </row>
    <row r="229" spans="1:32" ht="15.55" x14ac:dyDescent="0.25">
      <c r="A229" s="299"/>
      <c r="B229" s="124"/>
      <c r="C229" s="124"/>
      <c r="D229" s="120" t="s">
        <v>193</v>
      </c>
      <c r="E229" s="121">
        <v>1980.03</v>
      </c>
      <c r="F229" s="121">
        <v>1946.98</v>
      </c>
      <c r="G229" s="121">
        <v>1930.17</v>
      </c>
      <c r="H229" s="121">
        <v>1932.2</v>
      </c>
      <c r="I229" s="121">
        <v>1967.87</v>
      </c>
      <c r="J229" s="121">
        <v>1965.43</v>
      </c>
      <c r="K229" s="121">
        <v>1935.85</v>
      </c>
      <c r="L229" s="121">
        <v>1939.06</v>
      </c>
      <c r="M229" s="121">
        <v>1950.47</v>
      </c>
      <c r="N229" s="121">
        <v>1946.98</v>
      </c>
      <c r="O229" s="121">
        <v>1938.69</v>
      </c>
      <c r="P229" s="121">
        <v>1938.14</v>
      </c>
      <c r="Q229" s="121">
        <v>1948.31</v>
      </c>
      <c r="R229" s="302"/>
      <c r="S229" s="302"/>
      <c r="T229" s="305"/>
      <c r="U229" s="305"/>
      <c r="V229" s="307"/>
      <c r="W229" s="293"/>
      <c r="X229" s="296"/>
      <c r="Y229" s="310"/>
      <c r="Z229" s="255"/>
      <c r="AA229" s="122"/>
      <c r="AB229" s="122"/>
      <c r="AC229" s="122"/>
      <c r="AD229" s="123"/>
      <c r="AE229" s="123"/>
      <c r="AF229" s="123"/>
    </row>
    <row r="230" spans="1:32" ht="62.05" x14ac:dyDescent="0.3">
      <c r="A230" s="300"/>
      <c r="B230" s="119"/>
      <c r="C230" s="119"/>
      <c r="D230" s="120" t="s">
        <v>194</v>
      </c>
      <c r="E230" s="125">
        <f t="shared" ref="E230:Q230" si="74">IF(((E228="")*AND(E229="")),"",(E228-E229))</f>
        <v>445.50000000000023</v>
      </c>
      <c r="F230" s="125">
        <f t="shared" si="74"/>
        <v>387.86000000000013</v>
      </c>
      <c r="G230" s="125">
        <f t="shared" si="74"/>
        <v>387.84999999999991</v>
      </c>
      <c r="H230" s="125">
        <f t="shared" si="74"/>
        <v>387.49999999999977</v>
      </c>
      <c r="I230" s="125">
        <f t="shared" si="74"/>
        <v>429.19000000000005</v>
      </c>
      <c r="J230" s="125">
        <f t="shared" si="74"/>
        <v>423.81999999999994</v>
      </c>
      <c r="K230" s="125">
        <f t="shared" si="74"/>
        <v>391.68000000000029</v>
      </c>
      <c r="L230" s="125">
        <f t="shared" si="74"/>
        <v>385.27</v>
      </c>
      <c r="M230" s="125">
        <f t="shared" si="74"/>
        <v>429.97</v>
      </c>
      <c r="N230" s="125">
        <f t="shared" si="74"/>
        <v>397.53999999999996</v>
      </c>
      <c r="O230" s="125">
        <f t="shared" si="74"/>
        <v>389.34999999999991</v>
      </c>
      <c r="P230" s="125">
        <f t="shared" si="74"/>
        <v>391.3900000000001</v>
      </c>
      <c r="Q230" s="125">
        <f t="shared" si="74"/>
        <v>391.42999999999984</v>
      </c>
      <c r="R230" s="303"/>
      <c r="S230" s="303"/>
      <c r="T230" s="306"/>
      <c r="U230" s="306"/>
      <c r="V230" s="308"/>
      <c r="W230" s="294"/>
      <c r="X230" s="297"/>
      <c r="Y230" s="311"/>
      <c r="Z230" s="255"/>
      <c r="AA230" s="122"/>
      <c r="AB230" s="122"/>
      <c r="AC230" s="122"/>
      <c r="AD230" s="122"/>
      <c r="AE230" s="122"/>
      <c r="AF230" s="126"/>
    </row>
    <row r="231" spans="1:32" ht="15.55" x14ac:dyDescent="0.25">
      <c r="A231" s="298">
        <v>43377</v>
      </c>
      <c r="B231" s="119" t="s">
        <v>242</v>
      </c>
      <c r="C231" s="119" t="s">
        <v>238</v>
      </c>
      <c r="D231" s="120" t="s">
        <v>192</v>
      </c>
      <c r="E231" s="121">
        <v>1980.03</v>
      </c>
      <c r="F231" s="121">
        <v>1946.98</v>
      </c>
      <c r="G231" s="121">
        <v>1930.17</v>
      </c>
      <c r="H231" s="121">
        <v>1932.2</v>
      </c>
      <c r="I231" s="121">
        <v>1967.87</v>
      </c>
      <c r="J231" s="121">
        <v>1965.43</v>
      </c>
      <c r="K231" s="121">
        <v>1935.85</v>
      </c>
      <c r="L231" s="121">
        <v>1939.06</v>
      </c>
      <c r="M231" s="121">
        <v>1950.47</v>
      </c>
      <c r="N231" s="121">
        <v>1946.98</v>
      </c>
      <c r="O231" s="121">
        <v>1938.69</v>
      </c>
      <c r="P231" s="121">
        <v>1938.14</v>
      </c>
      <c r="Q231" s="121">
        <v>1948.31</v>
      </c>
      <c r="R231" s="301">
        <f>IF((Q232=""),"",MAX(E233:Q233))</f>
        <v>347.62000000000012</v>
      </c>
      <c r="S231" s="301">
        <f>IF(Q232="","",MIN(E233:Q233))</f>
        <v>288.17000000000007</v>
      </c>
      <c r="T231" s="304">
        <f>IF((Q233=""),"",AVERAGE(E233:Q233))</f>
        <v>310.15615384615381</v>
      </c>
      <c r="U231" s="304">
        <f>IF((Q232=""),"",(R231-S231)/(R231+S231)*100)</f>
        <v>9.3505717296591691</v>
      </c>
      <c r="V231" s="304">
        <f>STDEV(E233:Q233)</f>
        <v>20.644528951783464</v>
      </c>
      <c r="W231" s="292" t="str">
        <f>IF(Q232="","",IF(T231&gt;300,IF(U231&lt;14,IF(T231&lt;390,"Pass","Fail"),"Fail"),"Fail"))</f>
        <v>Pass</v>
      </c>
      <c r="X231" s="295">
        <v>1340</v>
      </c>
      <c r="Y231" s="261" t="s">
        <v>212</v>
      </c>
      <c r="Z231" s="255"/>
      <c r="AA231" s="122">
        <v>270</v>
      </c>
      <c r="AB231" s="122">
        <v>370</v>
      </c>
      <c r="AC231" s="122">
        <v>300</v>
      </c>
      <c r="AD231" s="123">
        <v>390</v>
      </c>
      <c r="AE231" s="123">
        <v>14</v>
      </c>
      <c r="AF231" s="123">
        <v>20</v>
      </c>
    </row>
    <row r="232" spans="1:32" ht="15.55" x14ac:dyDescent="0.25">
      <c r="A232" s="299"/>
      <c r="B232" s="124"/>
      <c r="C232" s="124"/>
      <c r="D232" s="120" t="s">
        <v>193</v>
      </c>
      <c r="E232" s="121">
        <v>1651.51</v>
      </c>
      <c r="F232" s="121">
        <v>1650.08</v>
      </c>
      <c r="G232" s="121">
        <v>1637.75</v>
      </c>
      <c r="H232" s="121">
        <v>1644.03</v>
      </c>
      <c r="I232" s="121">
        <v>1628.19</v>
      </c>
      <c r="J232" s="121">
        <v>1626.35</v>
      </c>
      <c r="K232" s="121">
        <v>1641.08</v>
      </c>
      <c r="L232" s="121">
        <v>1636.4</v>
      </c>
      <c r="M232" s="121">
        <v>1602.85</v>
      </c>
      <c r="N232" s="121">
        <v>1650.6</v>
      </c>
      <c r="O232" s="121">
        <v>1634.9</v>
      </c>
      <c r="P232" s="121">
        <v>1637.98</v>
      </c>
      <c r="Q232" s="121">
        <v>1646.43</v>
      </c>
      <c r="R232" s="302"/>
      <c r="S232" s="302"/>
      <c r="T232" s="305"/>
      <c r="U232" s="305"/>
      <c r="V232" s="307"/>
      <c r="W232" s="293"/>
      <c r="X232" s="296"/>
      <c r="Y232" s="258"/>
      <c r="Z232" s="255"/>
      <c r="AA232" s="122"/>
      <c r="AB232" s="122"/>
      <c r="AC232" s="122"/>
      <c r="AD232" s="123"/>
      <c r="AE232" s="123"/>
      <c r="AF232" s="123"/>
    </row>
    <row r="233" spans="1:32" ht="62.05" x14ac:dyDescent="0.3">
      <c r="A233" s="300"/>
      <c r="B233" s="119"/>
      <c r="C233" s="119"/>
      <c r="D233" s="120" t="s">
        <v>194</v>
      </c>
      <c r="E233" s="125">
        <f t="shared" ref="E233:Q233" si="75">IF(((E231="")*AND(E232="")),"",(E231-E232))</f>
        <v>328.52</v>
      </c>
      <c r="F233" s="125">
        <f t="shared" si="75"/>
        <v>296.90000000000009</v>
      </c>
      <c r="G233" s="125">
        <f t="shared" si="75"/>
        <v>292.42000000000007</v>
      </c>
      <c r="H233" s="125">
        <f t="shared" si="75"/>
        <v>288.17000000000007</v>
      </c>
      <c r="I233" s="125">
        <f t="shared" si="75"/>
        <v>339.67999999999984</v>
      </c>
      <c r="J233" s="125">
        <f t="shared" si="75"/>
        <v>339.08000000000015</v>
      </c>
      <c r="K233" s="125">
        <f t="shared" si="75"/>
        <v>294.77</v>
      </c>
      <c r="L233" s="125">
        <f t="shared" si="75"/>
        <v>302.65999999999985</v>
      </c>
      <c r="M233" s="125">
        <f t="shared" si="75"/>
        <v>347.62000000000012</v>
      </c>
      <c r="N233" s="125">
        <f t="shared" si="75"/>
        <v>296.38000000000011</v>
      </c>
      <c r="O233" s="125">
        <f t="shared" si="75"/>
        <v>303.78999999999996</v>
      </c>
      <c r="P233" s="125">
        <f t="shared" si="75"/>
        <v>300.16000000000008</v>
      </c>
      <c r="Q233" s="125">
        <f t="shared" si="75"/>
        <v>301.87999999999988</v>
      </c>
      <c r="R233" s="303"/>
      <c r="S233" s="303"/>
      <c r="T233" s="306"/>
      <c r="U233" s="306"/>
      <c r="V233" s="308"/>
      <c r="W233" s="294"/>
      <c r="X233" s="297"/>
      <c r="Y233" s="259"/>
      <c r="Z233" s="255"/>
      <c r="AA233" s="122"/>
      <c r="AB233" s="122"/>
      <c r="AC233" s="122"/>
      <c r="AD233" s="122"/>
      <c r="AE233" s="122"/>
      <c r="AF233" s="126"/>
    </row>
    <row r="234" spans="1:32" ht="15.55" x14ac:dyDescent="0.25">
      <c r="A234" s="298">
        <v>43380</v>
      </c>
      <c r="B234" s="119" t="s">
        <v>242</v>
      </c>
      <c r="C234" s="119" t="s">
        <v>238</v>
      </c>
      <c r="D234" s="120" t="s">
        <v>192</v>
      </c>
      <c r="E234" s="121">
        <v>1643.58</v>
      </c>
      <c r="F234" s="121">
        <v>1661.7</v>
      </c>
      <c r="G234" s="121">
        <v>1632.55</v>
      </c>
      <c r="H234" s="121">
        <v>1624.62</v>
      </c>
      <c r="I234" s="121">
        <v>1624.18</v>
      </c>
      <c r="J234" s="121">
        <v>1626.82</v>
      </c>
      <c r="K234" s="121">
        <v>1628.62</v>
      </c>
      <c r="L234" s="121">
        <v>1620</v>
      </c>
      <c r="M234" s="121">
        <v>1605.22</v>
      </c>
      <c r="N234" s="121">
        <v>1659.06</v>
      </c>
      <c r="O234" s="121">
        <v>1626.69</v>
      </c>
      <c r="P234" s="121">
        <v>1620</v>
      </c>
      <c r="Q234" s="121">
        <v>1645.31</v>
      </c>
      <c r="R234" s="301">
        <f>IF((Q235=""),"",MAX(E236:Q236))</f>
        <v>381.28</v>
      </c>
      <c r="S234" s="301">
        <f>IF(Q235="","",MIN(E236:Q236))</f>
        <v>303.13000000000011</v>
      </c>
      <c r="T234" s="304">
        <f>IF((Q236=""),"",AVERAGE(E236:Q236))</f>
        <v>333.11615384615379</v>
      </c>
      <c r="U234" s="304">
        <f>IF((Q235=""),"",(R234-S234)/(R234+S234)*100)</f>
        <v>11.41859411756109</v>
      </c>
      <c r="V234" s="304">
        <f>STDEV(E236:Q236)</f>
        <v>27.294910862180132</v>
      </c>
      <c r="W234" s="292" t="str">
        <f>IF(Q235="","",IF(T234&gt;300,IF(U234&lt;14,IF(T234&lt;390,"Pass","Fail"),"Fail"),"Fail"))</f>
        <v>Pass</v>
      </c>
      <c r="X234" s="295">
        <v>1428</v>
      </c>
      <c r="Y234" s="309"/>
      <c r="Z234" s="255"/>
      <c r="AA234" s="122">
        <v>270</v>
      </c>
      <c r="AB234" s="122">
        <v>370</v>
      </c>
      <c r="AC234" s="122">
        <v>300</v>
      </c>
      <c r="AD234" s="123">
        <v>390</v>
      </c>
      <c r="AE234" s="123">
        <v>14</v>
      </c>
      <c r="AF234" s="123">
        <v>20</v>
      </c>
    </row>
    <row r="235" spans="1:32" ht="15.55" x14ac:dyDescent="0.25">
      <c r="A235" s="299"/>
      <c r="B235" s="124"/>
      <c r="C235" s="124"/>
      <c r="D235" s="120" t="s">
        <v>193</v>
      </c>
      <c r="E235" s="121">
        <v>1275.3499999999999</v>
      </c>
      <c r="F235" s="121">
        <v>1328.87</v>
      </c>
      <c r="G235" s="121">
        <v>1318.32</v>
      </c>
      <c r="H235" s="121">
        <v>1318.58</v>
      </c>
      <c r="I235" s="121">
        <v>1257.9000000000001</v>
      </c>
      <c r="J235" s="121">
        <v>1263.51</v>
      </c>
      <c r="K235" s="121">
        <v>1319.21</v>
      </c>
      <c r="L235" s="121">
        <v>1311.66</v>
      </c>
      <c r="M235" s="121">
        <v>1223.94</v>
      </c>
      <c r="N235" s="121">
        <v>1328.11</v>
      </c>
      <c r="O235" s="121">
        <v>1305.82</v>
      </c>
      <c r="P235" s="121">
        <v>1316.87</v>
      </c>
      <c r="Q235" s="121">
        <v>1319.7</v>
      </c>
      <c r="R235" s="302"/>
      <c r="S235" s="302"/>
      <c r="T235" s="305"/>
      <c r="U235" s="305"/>
      <c r="V235" s="307"/>
      <c r="W235" s="293"/>
      <c r="X235" s="296"/>
      <c r="Y235" s="310"/>
      <c r="Z235" s="255"/>
      <c r="AA235" s="122"/>
      <c r="AB235" s="122"/>
      <c r="AC235" s="122"/>
      <c r="AD235" s="123"/>
      <c r="AE235" s="123"/>
      <c r="AF235" s="123"/>
    </row>
    <row r="236" spans="1:32" ht="62.05" x14ac:dyDescent="0.3">
      <c r="A236" s="300"/>
      <c r="B236" s="119"/>
      <c r="C236" s="119"/>
      <c r="D236" s="120" t="s">
        <v>194</v>
      </c>
      <c r="E236" s="125">
        <f t="shared" ref="E236:Q236" si="76">IF(((E234="")*AND(E235="")),"",(E234-E235))</f>
        <v>368.23</v>
      </c>
      <c r="F236" s="125">
        <f t="shared" si="76"/>
        <v>332.83000000000015</v>
      </c>
      <c r="G236" s="125">
        <f t="shared" si="76"/>
        <v>314.23</v>
      </c>
      <c r="H236" s="125">
        <f t="shared" si="76"/>
        <v>306.03999999999996</v>
      </c>
      <c r="I236" s="125">
        <f t="shared" si="76"/>
        <v>366.28</v>
      </c>
      <c r="J236" s="125">
        <f t="shared" si="76"/>
        <v>363.30999999999995</v>
      </c>
      <c r="K236" s="125">
        <f t="shared" si="76"/>
        <v>309.40999999999985</v>
      </c>
      <c r="L236" s="125">
        <f t="shared" si="76"/>
        <v>308.33999999999992</v>
      </c>
      <c r="M236" s="125">
        <f t="shared" si="76"/>
        <v>381.28</v>
      </c>
      <c r="N236" s="125">
        <f t="shared" si="76"/>
        <v>330.95000000000005</v>
      </c>
      <c r="O236" s="125">
        <f t="shared" si="76"/>
        <v>320.87000000000012</v>
      </c>
      <c r="P236" s="125">
        <f t="shared" si="76"/>
        <v>303.13000000000011</v>
      </c>
      <c r="Q236" s="125">
        <f t="shared" si="76"/>
        <v>325.6099999999999</v>
      </c>
      <c r="R236" s="303"/>
      <c r="S236" s="303"/>
      <c r="T236" s="306"/>
      <c r="U236" s="306"/>
      <c r="V236" s="308"/>
      <c r="W236" s="294"/>
      <c r="X236" s="297"/>
      <c r="Y236" s="311"/>
      <c r="Z236" s="255"/>
      <c r="AA236" s="122"/>
      <c r="AB236" s="122"/>
      <c r="AC236" s="122"/>
      <c r="AD236" s="122"/>
      <c r="AE236" s="122"/>
      <c r="AF236" s="126"/>
    </row>
    <row r="237" spans="1:32" ht="15.55" x14ac:dyDescent="0.25">
      <c r="A237" s="298">
        <v>43383</v>
      </c>
      <c r="B237" s="119" t="s">
        <v>242</v>
      </c>
      <c r="C237" s="119" t="s">
        <v>238</v>
      </c>
      <c r="D237" s="120" t="s">
        <v>192</v>
      </c>
      <c r="E237" s="121">
        <v>2910.11</v>
      </c>
      <c r="F237" s="121">
        <v>2849.82</v>
      </c>
      <c r="G237" s="121">
        <v>2845.99</v>
      </c>
      <c r="H237" s="121">
        <v>2859.16</v>
      </c>
      <c r="I237" s="121">
        <v>2949.81</v>
      </c>
      <c r="J237" s="121">
        <v>2968.09</v>
      </c>
      <c r="K237" s="121">
        <v>2864.78</v>
      </c>
      <c r="L237" s="121">
        <v>2847.9</v>
      </c>
      <c r="M237" s="121">
        <v>2908.96</v>
      </c>
      <c r="N237" s="121">
        <v>2862.68</v>
      </c>
      <c r="O237" s="121">
        <v>2858.86</v>
      </c>
      <c r="P237" s="121">
        <v>2878.27</v>
      </c>
      <c r="Q237" s="121">
        <v>2850.7</v>
      </c>
      <c r="R237" s="301">
        <f>IF((Q238=""),"",MAX(E239:Q239))</f>
        <v>379.76000000000022</v>
      </c>
      <c r="S237" s="301">
        <f>IF(Q238="","",MIN(E239:Q239))</f>
        <v>332.23999999999978</v>
      </c>
      <c r="T237" s="304">
        <f>IF((Q239=""),"",AVERAGE(E239:Q239))</f>
        <v>347.82</v>
      </c>
      <c r="U237" s="304">
        <f>IF((Q238=""),"",(R237-S237)/(R237+S237)*100)</f>
        <v>6.6741573033708477</v>
      </c>
      <c r="V237" s="304">
        <f>STDEV(E239:Q239)</f>
        <v>21.165119497260928</v>
      </c>
      <c r="W237" s="292" t="str">
        <f>IF(Q238="","",IF(T237&gt;300,IF(U237&lt;14,IF(T237&lt;390,"Pass","Fail"),"Fail"),"Fail"))</f>
        <v>Pass</v>
      </c>
      <c r="X237" s="295">
        <v>1340</v>
      </c>
      <c r="Y237" s="261" t="s">
        <v>214</v>
      </c>
      <c r="Z237" s="255"/>
      <c r="AA237" s="122">
        <v>270</v>
      </c>
      <c r="AB237" s="122">
        <v>370</v>
      </c>
      <c r="AC237" s="122">
        <v>300</v>
      </c>
      <c r="AD237" s="123">
        <v>390</v>
      </c>
      <c r="AE237" s="123">
        <v>14</v>
      </c>
      <c r="AF237" s="123">
        <v>20</v>
      </c>
    </row>
    <row r="238" spans="1:32" ht="15.55" x14ac:dyDescent="0.25">
      <c r="A238" s="299"/>
      <c r="B238" s="124"/>
      <c r="C238" s="124"/>
      <c r="D238" s="120" t="s">
        <v>193</v>
      </c>
      <c r="E238" s="121">
        <v>2530.35</v>
      </c>
      <c r="F238" s="121">
        <v>2516.12</v>
      </c>
      <c r="G238" s="121">
        <v>2513.75</v>
      </c>
      <c r="H238" s="121">
        <v>2526.3200000000002</v>
      </c>
      <c r="I238" s="121">
        <v>2571.84</v>
      </c>
      <c r="J238" s="121">
        <v>2591.64</v>
      </c>
      <c r="K238" s="121">
        <v>2532.21</v>
      </c>
      <c r="L238" s="121">
        <v>2511.56</v>
      </c>
      <c r="M238" s="121">
        <v>2530.2800000000002</v>
      </c>
      <c r="N238" s="121">
        <v>2527.5500000000002</v>
      </c>
      <c r="O238" s="121">
        <v>2520.5700000000002</v>
      </c>
      <c r="P238" s="121">
        <v>2545.14</v>
      </c>
      <c r="Q238" s="121">
        <v>2516.14</v>
      </c>
      <c r="R238" s="302"/>
      <c r="S238" s="302"/>
      <c r="T238" s="305"/>
      <c r="U238" s="305"/>
      <c r="V238" s="307"/>
      <c r="W238" s="293"/>
      <c r="X238" s="296"/>
      <c r="Y238" s="258"/>
      <c r="Z238" s="255"/>
      <c r="AA238" s="122"/>
      <c r="AB238" s="122"/>
      <c r="AC238" s="122"/>
      <c r="AD238" s="123"/>
      <c r="AE238" s="123"/>
      <c r="AF238" s="123"/>
    </row>
    <row r="239" spans="1:32" ht="62.05" x14ac:dyDescent="0.3">
      <c r="A239" s="300"/>
      <c r="B239" s="119"/>
      <c r="C239" s="119"/>
      <c r="D239" s="120" t="s">
        <v>194</v>
      </c>
      <c r="E239" s="125">
        <f t="shared" ref="E239:Q239" si="77">IF(((E237="")*AND(E238="")),"",(E237-E238))</f>
        <v>379.76000000000022</v>
      </c>
      <c r="F239" s="125">
        <f t="shared" si="77"/>
        <v>333.70000000000027</v>
      </c>
      <c r="G239" s="125">
        <f t="shared" si="77"/>
        <v>332.23999999999978</v>
      </c>
      <c r="H239" s="125">
        <f t="shared" si="77"/>
        <v>332.83999999999969</v>
      </c>
      <c r="I239" s="125">
        <f t="shared" si="77"/>
        <v>377.9699999999998</v>
      </c>
      <c r="J239" s="125">
        <f t="shared" si="77"/>
        <v>376.45000000000027</v>
      </c>
      <c r="K239" s="125">
        <f t="shared" si="77"/>
        <v>332.57000000000016</v>
      </c>
      <c r="L239" s="125">
        <f t="shared" si="77"/>
        <v>336.34000000000015</v>
      </c>
      <c r="M239" s="125">
        <f t="shared" si="77"/>
        <v>378.67999999999984</v>
      </c>
      <c r="N239" s="125">
        <f t="shared" si="77"/>
        <v>335.12999999999965</v>
      </c>
      <c r="O239" s="125">
        <f t="shared" si="77"/>
        <v>338.28999999999996</v>
      </c>
      <c r="P239" s="125">
        <f t="shared" si="77"/>
        <v>333.13000000000011</v>
      </c>
      <c r="Q239" s="125">
        <f t="shared" si="77"/>
        <v>334.55999999999995</v>
      </c>
      <c r="R239" s="303"/>
      <c r="S239" s="303"/>
      <c r="T239" s="306"/>
      <c r="U239" s="306"/>
      <c r="V239" s="308"/>
      <c r="W239" s="294"/>
      <c r="X239" s="297"/>
      <c r="Y239" s="259"/>
      <c r="Z239" s="255"/>
      <c r="AA239" s="122"/>
      <c r="AB239" s="122"/>
      <c r="AC239" s="122"/>
      <c r="AD239" s="122"/>
      <c r="AE239" s="122"/>
      <c r="AF239" s="126"/>
    </row>
    <row r="240" spans="1:32" ht="15.55" x14ac:dyDescent="0.25">
      <c r="A240" s="298">
        <v>43387</v>
      </c>
      <c r="B240" s="119" t="s">
        <v>242</v>
      </c>
      <c r="C240" s="119" t="s">
        <v>238</v>
      </c>
      <c r="D240" s="120" t="s">
        <v>192</v>
      </c>
      <c r="E240" s="121">
        <v>2912.84</v>
      </c>
      <c r="F240" s="121">
        <v>2845.61</v>
      </c>
      <c r="G240" s="121">
        <v>2834.01</v>
      </c>
      <c r="H240" s="121">
        <v>2845.04</v>
      </c>
      <c r="I240" s="121">
        <v>2929.65</v>
      </c>
      <c r="J240" s="121">
        <v>2958.39</v>
      </c>
      <c r="K240" s="121">
        <v>2851.63</v>
      </c>
      <c r="L240" s="121">
        <v>2834.4</v>
      </c>
      <c r="M240" s="121">
        <v>2910.28</v>
      </c>
      <c r="N240" s="121">
        <v>2850.62</v>
      </c>
      <c r="O240" s="121">
        <v>2846.24</v>
      </c>
      <c r="P240" s="121">
        <v>2859.51</v>
      </c>
      <c r="Q240" s="121">
        <v>2843.76</v>
      </c>
      <c r="R240" s="301">
        <f>IF((Q241=""),"",MAX(E242:Q242))</f>
        <v>382.96000000000004</v>
      </c>
      <c r="S240" s="301">
        <f>IF(Q241="","",MIN(E242:Q242))</f>
        <v>329.83999999999969</v>
      </c>
      <c r="T240" s="304">
        <v>348.82</v>
      </c>
      <c r="U240" s="304">
        <f>IF((Q241=""),"",(R240-S240)/(R240+S240)*100)</f>
        <v>7.4523007856341712</v>
      </c>
      <c r="V240" s="304">
        <f>STDEV(E242:Q242)</f>
        <v>21.780982089181229</v>
      </c>
      <c r="W240" s="292" t="str">
        <f>IF(Q241="","",IF(T240&gt;300,IF(U240&lt;14,IF(T240&lt;390,"Pass","Fail"),"Fail"),"Fail"))</f>
        <v>Pass</v>
      </c>
      <c r="X240" s="295">
        <v>1340</v>
      </c>
      <c r="Y240" s="261" t="s">
        <v>215</v>
      </c>
      <c r="Z240" s="255"/>
      <c r="AA240" s="122">
        <v>270</v>
      </c>
      <c r="AB240" s="122">
        <v>370</v>
      </c>
      <c r="AC240" s="122">
        <v>300</v>
      </c>
      <c r="AD240" s="123">
        <v>390</v>
      </c>
      <c r="AE240" s="123">
        <v>14</v>
      </c>
      <c r="AF240" s="123">
        <v>20</v>
      </c>
    </row>
    <row r="241" spans="1:32" ht="15.55" x14ac:dyDescent="0.25">
      <c r="A241" s="299"/>
      <c r="B241" s="124"/>
      <c r="C241" s="124"/>
      <c r="D241" s="120" t="s">
        <v>193</v>
      </c>
      <c r="E241" s="121">
        <v>2530.66</v>
      </c>
      <c r="F241" s="121">
        <v>2509.35</v>
      </c>
      <c r="G241" s="121">
        <v>2498.25</v>
      </c>
      <c r="H241" s="121">
        <v>2511.37</v>
      </c>
      <c r="I241" s="121">
        <v>2551.9699999999998</v>
      </c>
      <c r="J241" s="121">
        <v>2581.87</v>
      </c>
      <c r="K241" s="121">
        <v>2518.71</v>
      </c>
      <c r="L241" s="121">
        <v>2495.79</v>
      </c>
      <c r="M241" s="121">
        <v>2527.3200000000002</v>
      </c>
      <c r="N241" s="121">
        <v>2520.7800000000002</v>
      </c>
      <c r="O241" s="121">
        <v>2505.88</v>
      </c>
      <c r="P241" s="121">
        <v>2529.09</v>
      </c>
      <c r="Q241" s="121">
        <v>2506.3000000000002</v>
      </c>
      <c r="R241" s="302"/>
      <c r="S241" s="302"/>
      <c r="T241" s="305"/>
      <c r="U241" s="305"/>
      <c r="V241" s="307"/>
      <c r="W241" s="293"/>
      <c r="X241" s="296"/>
      <c r="Y241" s="258"/>
      <c r="Z241" s="255"/>
      <c r="AA241" s="122"/>
      <c r="AB241" s="122"/>
      <c r="AC241" s="122"/>
      <c r="AD241" s="123"/>
      <c r="AE241" s="123"/>
      <c r="AF241" s="123"/>
    </row>
    <row r="242" spans="1:32" ht="62.05" x14ac:dyDescent="0.3">
      <c r="A242" s="300"/>
      <c r="B242" s="119"/>
      <c r="C242" s="119"/>
      <c r="D242" s="120" t="s">
        <v>194</v>
      </c>
      <c r="E242" s="125">
        <f t="shared" ref="E242:Q242" si="78">IF(((E240="")*AND(E241="")),"",(E240-E241))</f>
        <v>382.18000000000029</v>
      </c>
      <c r="F242" s="125">
        <f t="shared" si="78"/>
        <v>336.26000000000022</v>
      </c>
      <c r="G242" s="125">
        <f t="shared" si="78"/>
        <v>335.76000000000022</v>
      </c>
      <c r="H242" s="125">
        <f t="shared" si="78"/>
        <v>333.67000000000007</v>
      </c>
      <c r="I242" s="125">
        <f t="shared" si="78"/>
        <v>377.68000000000029</v>
      </c>
      <c r="J242" s="125">
        <f t="shared" si="78"/>
        <v>376.52</v>
      </c>
      <c r="K242" s="125">
        <f t="shared" si="78"/>
        <v>332.92000000000007</v>
      </c>
      <c r="L242" s="125">
        <f t="shared" si="78"/>
        <v>338.61000000000013</v>
      </c>
      <c r="M242" s="125">
        <f t="shared" si="78"/>
        <v>382.96000000000004</v>
      </c>
      <c r="N242" s="125">
        <f t="shared" si="78"/>
        <v>329.83999999999969</v>
      </c>
      <c r="O242" s="125">
        <f t="shared" si="78"/>
        <v>340.35999999999967</v>
      </c>
      <c r="P242" s="125">
        <f t="shared" si="78"/>
        <v>330.42000000000007</v>
      </c>
      <c r="Q242" s="125">
        <f t="shared" si="78"/>
        <v>337.46000000000004</v>
      </c>
      <c r="R242" s="303"/>
      <c r="S242" s="303"/>
      <c r="T242" s="306"/>
      <c r="U242" s="306"/>
      <c r="V242" s="308"/>
      <c r="W242" s="294"/>
      <c r="X242" s="297"/>
      <c r="Y242" s="259"/>
      <c r="Z242" s="255"/>
      <c r="AA242" s="122"/>
      <c r="AB242" s="122"/>
      <c r="AC242" s="122"/>
      <c r="AD242" s="122"/>
      <c r="AE242" s="122"/>
      <c r="AF242" s="126"/>
    </row>
    <row r="243" spans="1:32" ht="15.55" x14ac:dyDescent="0.25">
      <c r="A243" s="298">
        <v>43390</v>
      </c>
      <c r="B243" s="119" t="s">
        <v>242</v>
      </c>
      <c r="C243" s="119" t="s">
        <v>238</v>
      </c>
      <c r="D243" s="120" t="s">
        <v>192</v>
      </c>
      <c r="E243" s="121">
        <v>2534.2199999999998</v>
      </c>
      <c r="F243" s="121">
        <v>2505.66</v>
      </c>
      <c r="G243" s="121">
        <v>2496.36</v>
      </c>
      <c r="H243" s="121">
        <v>2508.87</v>
      </c>
      <c r="I243" s="121">
        <v>2553.0300000000002</v>
      </c>
      <c r="J243" s="121">
        <v>2588.6799999999998</v>
      </c>
      <c r="K243" s="121">
        <v>2518.33</v>
      </c>
      <c r="L243" s="121">
        <v>2500.11</v>
      </c>
      <c r="M243" s="121">
        <v>2530.0100000000002</v>
      </c>
      <c r="N243" s="121">
        <v>2538.27</v>
      </c>
      <c r="O243" s="121">
        <v>2511.8200000000002</v>
      </c>
      <c r="P243" s="121">
        <v>2525.8000000000002</v>
      </c>
      <c r="Q243" s="121">
        <v>2506.58</v>
      </c>
      <c r="R243" s="301">
        <f>IF((Q244=""),"",MAX(E245:Q245))</f>
        <v>430.52</v>
      </c>
      <c r="S243" s="301">
        <f>IF(Q244="","",MIN(E245:Q245))</f>
        <v>336.27</v>
      </c>
      <c r="T243" s="304">
        <f>IF((Q245=""),"",AVERAGE(E245:Q245))</f>
        <v>387.41076923076929</v>
      </c>
      <c r="U243" s="304">
        <f>IF((Q244=""),"",(R243-S243)/(R243+S243)*100)</f>
        <v>12.291500932458693</v>
      </c>
      <c r="V243" s="304">
        <f>STDEV(E245:Q245)</f>
        <v>25.342602951531493</v>
      </c>
      <c r="W243" s="292" t="str">
        <f>IF(Q244="","",IF(T243&gt;300,IF(U243&lt;14,IF(T243&lt;390,"Pass","Fail"),"Fail"),"Fail"))</f>
        <v>Pass</v>
      </c>
      <c r="X243" s="295">
        <v>102</v>
      </c>
      <c r="Y243" s="261" t="s">
        <v>216</v>
      </c>
      <c r="Z243" s="255"/>
      <c r="AA243" s="122">
        <v>270</v>
      </c>
      <c r="AB243" s="122">
        <v>370</v>
      </c>
      <c r="AC243" s="122">
        <v>300</v>
      </c>
      <c r="AD243" s="123">
        <v>390</v>
      </c>
      <c r="AE243" s="123">
        <v>14</v>
      </c>
      <c r="AF243" s="123">
        <v>20</v>
      </c>
    </row>
    <row r="244" spans="1:32" ht="15.55" x14ac:dyDescent="0.25">
      <c r="A244" s="299"/>
      <c r="B244" s="124"/>
      <c r="C244" s="124"/>
      <c r="D244" s="120" t="s">
        <v>193</v>
      </c>
      <c r="E244" s="121">
        <v>2197.9499999999998</v>
      </c>
      <c r="F244" s="121">
        <v>2107.8000000000002</v>
      </c>
      <c r="G244" s="121">
        <v>2111.77</v>
      </c>
      <c r="H244" s="121">
        <v>2117.83</v>
      </c>
      <c r="I244" s="121">
        <v>2181.09</v>
      </c>
      <c r="J244" s="121">
        <v>2158.16</v>
      </c>
      <c r="K244" s="121">
        <v>2130.16</v>
      </c>
      <c r="L244" s="121">
        <v>2108.79</v>
      </c>
      <c r="M244" s="121">
        <v>2186.29</v>
      </c>
      <c r="N244" s="121">
        <v>2126.91</v>
      </c>
      <c r="O244" s="121">
        <v>2110.15</v>
      </c>
      <c r="P244" s="121">
        <v>2138.0500000000002</v>
      </c>
      <c r="Q244" s="121">
        <v>2106.4499999999998</v>
      </c>
      <c r="R244" s="302"/>
      <c r="S244" s="302"/>
      <c r="T244" s="305"/>
      <c r="U244" s="305"/>
      <c r="V244" s="307"/>
      <c r="W244" s="293"/>
      <c r="X244" s="296"/>
      <c r="Y244" s="258"/>
      <c r="Z244" s="255"/>
      <c r="AA244" s="122"/>
      <c r="AB244" s="122"/>
      <c r="AC244" s="122"/>
      <c r="AD244" s="123"/>
      <c r="AE244" s="123"/>
      <c r="AF244" s="123"/>
    </row>
    <row r="245" spans="1:32" ht="62.05" x14ac:dyDescent="0.3">
      <c r="A245" s="300"/>
      <c r="B245" s="119"/>
      <c r="C245" s="119"/>
      <c r="D245" s="120" t="s">
        <v>194</v>
      </c>
      <c r="E245" s="125">
        <f t="shared" ref="E245:Q245" si="79">IF(((E243="")*AND(E244="")),"",(E243-E244))</f>
        <v>336.27</v>
      </c>
      <c r="F245" s="125">
        <f t="shared" si="79"/>
        <v>397.85999999999967</v>
      </c>
      <c r="G245" s="125">
        <f t="shared" si="79"/>
        <v>384.59000000000015</v>
      </c>
      <c r="H245" s="125">
        <f t="shared" si="79"/>
        <v>391.03999999999996</v>
      </c>
      <c r="I245" s="125">
        <f t="shared" si="79"/>
        <v>371.94000000000005</v>
      </c>
      <c r="J245" s="125">
        <f t="shared" si="79"/>
        <v>430.52</v>
      </c>
      <c r="K245" s="125">
        <f t="shared" si="79"/>
        <v>388.17000000000007</v>
      </c>
      <c r="L245" s="125">
        <f t="shared" si="79"/>
        <v>391.32000000000016</v>
      </c>
      <c r="M245" s="125">
        <f t="shared" si="79"/>
        <v>343.72000000000025</v>
      </c>
      <c r="N245" s="125">
        <f t="shared" si="79"/>
        <v>411.36000000000013</v>
      </c>
      <c r="O245" s="125">
        <f t="shared" si="79"/>
        <v>401.67000000000007</v>
      </c>
      <c r="P245" s="125">
        <f t="shared" si="79"/>
        <v>387.75</v>
      </c>
      <c r="Q245" s="125">
        <f t="shared" si="79"/>
        <v>400.13000000000011</v>
      </c>
      <c r="R245" s="303"/>
      <c r="S245" s="303"/>
      <c r="T245" s="306"/>
      <c r="U245" s="306"/>
      <c r="V245" s="308"/>
      <c r="W245" s="294"/>
      <c r="X245" s="297"/>
      <c r="Y245" s="259"/>
      <c r="Z245" s="255"/>
      <c r="AA245" s="122"/>
      <c r="AB245" s="122"/>
      <c r="AC245" s="122"/>
      <c r="AD245" s="122"/>
      <c r="AE245" s="122"/>
      <c r="AF245" s="126"/>
    </row>
    <row r="246" spans="1:32" ht="15.55" x14ac:dyDescent="0.25">
      <c r="A246" s="298">
        <v>43394</v>
      </c>
      <c r="B246" s="119" t="s">
        <v>242</v>
      </c>
      <c r="C246" s="119" t="s">
        <v>238</v>
      </c>
      <c r="D246" s="120" t="s">
        <v>192</v>
      </c>
      <c r="E246" s="10">
        <v>2096.56</v>
      </c>
      <c r="F246" s="10">
        <v>2104.8200000000002</v>
      </c>
      <c r="G246" s="10">
        <v>2104.0300000000002</v>
      </c>
      <c r="H246" s="10">
        <v>2105.83</v>
      </c>
      <c r="I246" s="10">
        <v>2129.31</v>
      </c>
      <c r="J246" s="10">
        <v>2141.6</v>
      </c>
      <c r="K246" s="10">
        <v>2129.5700000000002</v>
      </c>
      <c r="L246" s="10">
        <v>2098.5300000000002</v>
      </c>
      <c r="M246" s="10">
        <v>2085.31</v>
      </c>
      <c r="N246" s="10">
        <v>2171.25</v>
      </c>
      <c r="O246" s="10">
        <v>2113</v>
      </c>
      <c r="P246" s="10">
        <v>2131.91</v>
      </c>
      <c r="Q246" s="10">
        <v>2098.81</v>
      </c>
      <c r="R246" s="301">
        <f>IF((Q247=""),"",MAX(E248:Q248))</f>
        <v>360.29999999999995</v>
      </c>
      <c r="S246" s="301">
        <f>IF(Q247="","",MIN(E248:Q248))</f>
        <v>295.58000000000015</v>
      </c>
      <c r="T246" s="304">
        <f>IF((Q248=""),"",AVERAGE(E248:Q248))</f>
        <v>323.80615384615379</v>
      </c>
      <c r="U246" s="304">
        <f>IF((Q247=""),"",(R246-S246)/(R246+S246)*100)</f>
        <v>9.8676587180581485</v>
      </c>
      <c r="V246" s="304">
        <f>STDEV(E248:Q248)</f>
        <v>25.384122510755102</v>
      </c>
      <c r="W246" s="292" t="str">
        <f>IF(Q247="","",IF(T246&gt;300,IF(U246&lt;14,IF(T246&lt;390,"Pass","Fail"),"Fail"),"Fail"))</f>
        <v>Pass</v>
      </c>
      <c r="X246" s="295">
        <v>121</v>
      </c>
      <c r="Y246" s="261" t="s">
        <v>217</v>
      </c>
      <c r="Z246" s="255"/>
      <c r="AA246" s="122">
        <v>270</v>
      </c>
      <c r="AB246" s="122">
        <v>370</v>
      </c>
      <c r="AC246" s="122">
        <v>300</v>
      </c>
      <c r="AD246" s="123">
        <v>390</v>
      </c>
      <c r="AE246" s="123">
        <v>14</v>
      </c>
      <c r="AF246" s="123">
        <v>20</v>
      </c>
    </row>
    <row r="247" spans="1:32" ht="15.55" x14ac:dyDescent="0.25">
      <c r="A247" s="299"/>
      <c r="B247" s="124"/>
      <c r="C247" s="124"/>
      <c r="D247" s="120" t="s">
        <v>193</v>
      </c>
      <c r="E247" s="10">
        <v>1739.49</v>
      </c>
      <c r="F247" s="10">
        <v>1801.92</v>
      </c>
      <c r="G247" s="10">
        <v>1808.45</v>
      </c>
      <c r="H247" s="10">
        <v>1803.01</v>
      </c>
      <c r="I247" s="10">
        <v>1769.01</v>
      </c>
      <c r="J247" s="10">
        <v>1802.86</v>
      </c>
      <c r="K247" s="10">
        <v>1813.84</v>
      </c>
      <c r="L247" s="10">
        <v>1802.16</v>
      </c>
      <c r="M247" s="10">
        <v>1729.59</v>
      </c>
      <c r="N247" s="10">
        <v>1817.64</v>
      </c>
      <c r="O247" s="10">
        <v>1795.89</v>
      </c>
      <c r="P247" s="10">
        <v>1829.96</v>
      </c>
      <c r="Q247" s="10">
        <v>1787.23</v>
      </c>
      <c r="R247" s="302"/>
      <c r="S247" s="302"/>
      <c r="T247" s="305"/>
      <c r="U247" s="305"/>
      <c r="V247" s="307"/>
      <c r="W247" s="293"/>
      <c r="X247" s="296"/>
      <c r="Y247" s="258"/>
      <c r="Z247" s="255"/>
      <c r="AA247" s="122"/>
      <c r="AB247" s="122"/>
      <c r="AC247" s="122"/>
      <c r="AD247" s="123"/>
      <c r="AE247" s="123"/>
      <c r="AF247" s="123"/>
    </row>
    <row r="248" spans="1:32" ht="62.05" x14ac:dyDescent="0.3">
      <c r="A248" s="300"/>
      <c r="B248" s="119"/>
      <c r="C248" s="119"/>
      <c r="D248" s="120" t="s">
        <v>194</v>
      </c>
      <c r="E248" s="125">
        <f t="shared" ref="E248:Q248" si="80">IF(((E246="")*AND(E247="")),"",(E246-E247))</f>
        <v>357.06999999999994</v>
      </c>
      <c r="F248" s="125">
        <f t="shared" si="80"/>
        <v>302.90000000000009</v>
      </c>
      <c r="G248" s="125">
        <f t="shared" si="80"/>
        <v>295.58000000000015</v>
      </c>
      <c r="H248" s="125">
        <f t="shared" si="80"/>
        <v>302.81999999999994</v>
      </c>
      <c r="I248" s="125">
        <f t="shared" si="80"/>
        <v>360.29999999999995</v>
      </c>
      <c r="J248" s="125">
        <f t="shared" si="80"/>
        <v>338.74</v>
      </c>
      <c r="K248" s="125">
        <f t="shared" si="80"/>
        <v>315.73000000000025</v>
      </c>
      <c r="L248" s="125">
        <f t="shared" si="80"/>
        <v>296.37000000000012</v>
      </c>
      <c r="M248" s="125">
        <f t="shared" si="80"/>
        <v>355.72</v>
      </c>
      <c r="N248" s="125">
        <f t="shared" si="80"/>
        <v>353.6099999999999</v>
      </c>
      <c r="O248" s="125">
        <f t="shared" si="80"/>
        <v>317.1099999999999</v>
      </c>
      <c r="P248" s="125">
        <f t="shared" si="80"/>
        <v>301.94999999999982</v>
      </c>
      <c r="Q248" s="125">
        <f t="shared" si="80"/>
        <v>311.57999999999993</v>
      </c>
      <c r="R248" s="303"/>
      <c r="S248" s="303"/>
      <c r="T248" s="306"/>
      <c r="U248" s="306"/>
      <c r="V248" s="308"/>
      <c r="W248" s="294"/>
      <c r="X248" s="297"/>
      <c r="Y248" s="259"/>
      <c r="Z248" s="255"/>
      <c r="AA248" s="122"/>
      <c r="AB248" s="122"/>
      <c r="AC248" s="122"/>
      <c r="AD248" s="122"/>
      <c r="AE248" s="122"/>
      <c r="AF248" s="126"/>
    </row>
    <row r="249" spans="1:32" ht="15.55" x14ac:dyDescent="0.25">
      <c r="A249" s="298">
        <v>43397</v>
      </c>
      <c r="B249" s="119" t="s">
        <v>242</v>
      </c>
      <c r="C249" s="119" t="s">
        <v>238</v>
      </c>
      <c r="D249" s="120" t="s">
        <v>192</v>
      </c>
      <c r="E249" s="10">
        <v>2907.08</v>
      </c>
      <c r="F249" s="10">
        <v>2843.56</v>
      </c>
      <c r="G249" s="10">
        <v>2837.83</v>
      </c>
      <c r="H249" s="10">
        <v>2851.88</v>
      </c>
      <c r="I249" s="10">
        <v>2940.8</v>
      </c>
      <c r="J249" s="10">
        <v>2960.8</v>
      </c>
      <c r="K249" s="10">
        <v>2854.91</v>
      </c>
      <c r="L249" s="10">
        <v>2841.21</v>
      </c>
      <c r="M249" s="10">
        <v>2913.02</v>
      </c>
      <c r="N249" s="10">
        <v>2859.11</v>
      </c>
      <c r="O249" s="10">
        <v>2848.22</v>
      </c>
      <c r="P249" s="10">
        <v>2868.93</v>
      </c>
      <c r="Q249" s="10">
        <v>2849.57</v>
      </c>
      <c r="R249" s="301">
        <f>IF((Q250=""),"",MAX(E251:Q251))</f>
        <v>381.36000000000013</v>
      </c>
      <c r="S249" s="301">
        <f>IF(Q250="","",MIN(E251:Q251))</f>
        <v>330.54999999999973</v>
      </c>
      <c r="T249" s="304">
        <f>IF((Q251=""),"",AVERAGE(E251:Q251))</f>
        <v>347.63538461538462</v>
      </c>
      <c r="U249" s="304">
        <f>IF((Q250=""),"",(R249-S249)/(R249+S249)*100)</f>
        <v>7.1371381213918061</v>
      </c>
      <c r="V249" s="304">
        <f>STDEV(E251:Q251)</f>
        <v>19.608845204560378</v>
      </c>
      <c r="W249" s="292" t="str">
        <f>IF(Q250="","",IF(T249&gt;300,IF(U249&lt;14,IF(T249&lt;390,"Pass","Fail"),"Fail"),"Fail"))</f>
        <v>Pass</v>
      </c>
      <c r="X249" s="295">
        <v>1159</v>
      </c>
      <c r="Y249" s="261" t="s">
        <v>218</v>
      </c>
      <c r="Z249" s="255"/>
      <c r="AA249" s="122">
        <v>270</v>
      </c>
      <c r="AB249" s="122">
        <v>370</v>
      </c>
      <c r="AC249" s="122">
        <v>300</v>
      </c>
      <c r="AD249" s="123">
        <v>390</v>
      </c>
      <c r="AE249" s="123">
        <v>14</v>
      </c>
      <c r="AF249" s="123">
        <v>20</v>
      </c>
    </row>
    <row r="250" spans="1:32" ht="15.55" x14ac:dyDescent="0.25">
      <c r="A250" s="299"/>
      <c r="B250" s="124"/>
      <c r="C250" s="124"/>
      <c r="D250" s="120" t="s">
        <v>193</v>
      </c>
      <c r="E250" s="10">
        <v>2535.27</v>
      </c>
      <c r="F250" s="10">
        <v>2507.9299999999998</v>
      </c>
      <c r="G250" s="10">
        <v>2507.2800000000002</v>
      </c>
      <c r="H250" s="10">
        <v>2515.6799999999998</v>
      </c>
      <c r="I250" s="10">
        <v>2562.2600000000002</v>
      </c>
      <c r="J250" s="10">
        <v>2590.7600000000002</v>
      </c>
      <c r="K250" s="10">
        <v>2521.69</v>
      </c>
      <c r="L250" s="10">
        <v>2506.15</v>
      </c>
      <c r="M250" s="10">
        <v>2531.66</v>
      </c>
      <c r="N250" s="10">
        <v>2523.5500000000002</v>
      </c>
      <c r="O250" s="10">
        <v>2509.7199999999998</v>
      </c>
      <c r="P250" s="10">
        <v>2535.7399999999998</v>
      </c>
      <c r="Q250" s="10">
        <v>2509.9699999999998</v>
      </c>
      <c r="R250" s="302"/>
      <c r="S250" s="302"/>
      <c r="T250" s="305"/>
      <c r="U250" s="305"/>
      <c r="V250" s="307"/>
      <c r="W250" s="293"/>
      <c r="X250" s="296"/>
      <c r="Y250" s="258"/>
      <c r="Z250" s="255"/>
      <c r="AA250" s="122"/>
      <c r="AB250" s="122"/>
      <c r="AC250" s="122"/>
      <c r="AD250" s="123"/>
      <c r="AE250" s="123"/>
      <c r="AF250" s="123"/>
    </row>
    <row r="251" spans="1:32" ht="62.05" x14ac:dyDescent="0.3">
      <c r="A251" s="300"/>
      <c r="B251" s="119"/>
      <c r="C251" s="119"/>
      <c r="D251" s="120" t="s">
        <v>194</v>
      </c>
      <c r="E251" s="125">
        <f t="shared" ref="E251:Q251" si="81">IF(((E249="")*AND(E250="")),"",(E249-E250))</f>
        <v>371.80999999999995</v>
      </c>
      <c r="F251" s="125">
        <f t="shared" si="81"/>
        <v>335.63000000000011</v>
      </c>
      <c r="G251" s="125">
        <f t="shared" si="81"/>
        <v>330.54999999999973</v>
      </c>
      <c r="H251" s="125">
        <f t="shared" si="81"/>
        <v>336.20000000000027</v>
      </c>
      <c r="I251" s="125">
        <f t="shared" si="81"/>
        <v>378.53999999999996</v>
      </c>
      <c r="J251" s="125">
        <f t="shared" si="81"/>
        <v>370.03999999999996</v>
      </c>
      <c r="K251" s="125">
        <f t="shared" si="81"/>
        <v>333.2199999999998</v>
      </c>
      <c r="L251" s="125">
        <f t="shared" si="81"/>
        <v>335.05999999999995</v>
      </c>
      <c r="M251" s="125">
        <f t="shared" si="81"/>
        <v>381.36000000000013</v>
      </c>
      <c r="N251" s="125">
        <f t="shared" si="81"/>
        <v>335.55999999999995</v>
      </c>
      <c r="O251" s="125">
        <f t="shared" si="81"/>
        <v>338.5</v>
      </c>
      <c r="P251" s="125">
        <f t="shared" si="81"/>
        <v>333.19000000000005</v>
      </c>
      <c r="Q251" s="125">
        <f t="shared" si="81"/>
        <v>339.60000000000036</v>
      </c>
      <c r="R251" s="303"/>
      <c r="S251" s="303"/>
      <c r="T251" s="306"/>
      <c r="U251" s="306"/>
      <c r="V251" s="308"/>
      <c r="W251" s="294"/>
      <c r="X251" s="297"/>
      <c r="Y251" s="259"/>
      <c r="Z251" s="255"/>
      <c r="AA251" s="122"/>
      <c r="AB251" s="122"/>
      <c r="AC251" s="122"/>
      <c r="AD251" s="122"/>
      <c r="AE251" s="122"/>
      <c r="AF251" s="126"/>
    </row>
    <row r="252" spans="1:32" ht="15.55" x14ac:dyDescent="0.25">
      <c r="A252" s="315">
        <v>43401</v>
      </c>
      <c r="B252" s="119" t="s">
        <v>242</v>
      </c>
      <c r="C252" s="119" t="s">
        <v>238</v>
      </c>
      <c r="D252" s="120" t="s">
        <v>192</v>
      </c>
      <c r="E252" s="10">
        <v>2545.6799999999998</v>
      </c>
      <c r="F252" s="10">
        <v>2509.88</v>
      </c>
      <c r="G252" s="10">
        <v>2506.15</v>
      </c>
      <c r="H252" s="10">
        <v>2520.29</v>
      </c>
      <c r="I252" s="10">
        <v>2565.38</v>
      </c>
      <c r="J252" s="10">
        <v>2591.7399999999998</v>
      </c>
      <c r="K252" s="10">
        <v>2525.7800000000002</v>
      </c>
      <c r="L252" s="10">
        <v>2504.58</v>
      </c>
      <c r="M252" s="10">
        <v>2537.14</v>
      </c>
      <c r="N252" s="10">
        <v>2523.12</v>
      </c>
      <c r="O252" s="10">
        <v>2515.6799999999998</v>
      </c>
      <c r="P252" s="10">
        <v>2523.56</v>
      </c>
      <c r="Q252" s="10">
        <v>2512.3200000000002</v>
      </c>
      <c r="R252" s="301">
        <f>IF((Q253=""),"",MAX(E254:Q254))</f>
        <v>445.54999999999973</v>
      </c>
      <c r="S252" s="301">
        <f>IF(Q253="","",MIN(E254:Q254))</f>
        <v>378.23999999999978</v>
      </c>
      <c r="T252" s="304">
        <f>IF((Q254=""),"",AVERAGE(E254:Q254))</f>
        <v>403.03</v>
      </c>
      <c r="U252" s="304">
        <f>IF((Q253=""),"",(R252-S252)/(R252+S252)*100)</f>
        <v>8.1707716772478403</v>
      </c>
      <c r="V252" s="304">
        <f>STDEV(E254:Q254)</f>
        <v>20.556193308424824</v>
      </c>
      <c r="W252" s="292" t="str">
        <f>IF(Q253="","",IF(T252&gt;300,IF(U252&lt;14,IF(T252&lt;390,"Pass","Fail"),"Fail"),"Fail"))</f>
        <v>Fail</v>
      </c>
      <c r="X252" s="295">
        <v>1335</v>
      </c>
      <c r="Y252" s="309"/>
      <c r="Z252" s="255"/>
      <c r="AA252" s="122">
        <v>270</v>
      </c>
      <c r="AB252" s="122">
        <v>370</v>
      </c>
      <c r="AC252" s="122">
        <v>300</v>
      </c>
      <c r="AD252" s="123">
        <v>390</v>
      </c>
      <c r="AE252" s="123">
        <v>14</v>
      </c>
      <c r="AF252" s="123">
        <v>20</v>
      </c>
    </row>
    <row r="253" spans="1:32" ht="15.55" x14ac:dyDescent="0.25">
      <c r="A253" s="299"/>
      <c r="B253" s="124"/>
      <c r="C253" s="124"/>
      <c r="D253" s="120" t="s">
        <v>193</v>
      </c>
      <c r="E253" s="10">
        <v>2100.13</v>
      </c>
      <c r="F253" s="10">
        <v>2122.54</v>
      </c>
      <c r="G253" s="10">
        <v>2117.94</v>
      </c>
      <c r="H253" s="10">
        <v>2124.7199999999998</v>
      </c>
      <c r="I253" s="10">
        <v>2143.0700000000002</v>
      </c>
      <c r="J253" s="10">
        <v>2172.36</v>
      </c>
      <c r="K253" s="10">
        <v>2130.8200000000002</v>
      </c>
      <c r="L253" s="10">
        <v>2119.1</v>
      </c>
      <c r="M253" s="10">
        <v>2103.21</v>
      </c>
      <c r="N253" s="10">
        <v>2127.16</v>
      </c>
      <c r="O253" s="10">
        <v>2122.39</v>
      </c>
      <c r="P253" s="10">
        <v>2145.3200000000002</v>
      </c>
      <c r="Q253" s="10">
        <v>2113.15</v>
      </c>
      <c r="R253" s="302"/>
      <c r="S253" s="302"/>
      <c r="T253" s="305"/>
      <c r="U253" s="305"/>
      <c r="V253" s="307"/>
      <c r="W253" s="293"/>
      <c r="X253" s="296"/>
      <c r="Y253" s="310"/>
      <c r="Z253" s="255"/>
      <c r="AA253" s="122"/>
      <c r="AB253" s="122"/>
      <c r="AC253" s="122"/>
      <c r="AD253" s="123"/>
      <c r="AE253" s="123"/>
      <c r="AF253" s="123"/>
    </row>
    <row r="254" spans="1:32" ht="62.05" x14ac:dyDescent="0.3">
      <c r="A254" s="300"/>
      <c r="B254" s="119"/>
      <c r="C254" s="119"/>
      <c r="D254" s="120" t="s">
        <v>194</v>
      </c>
      <c r="E254" s="125">
        <f t="shared" ref="E254:Q254" si="82">IF(((E252="")*AND(E253="")),"",(E252-E253))</f>
        <v>445.54999999999973</v>
      </c>
      <c r="F254" s="125">
        <f t="shared" si="82"/>
        <v>387.34000000000015</v>
      </c>
      <c r="G254" s="125">
        <f t="shared" si="82"/>
        <v>388.21000000000004</v>
      </c>
      <c r="H254" s="125">
        <f t="shared" si="82"/>
        <v>395.57000000000016</v>
      </c>
      <c r="I254" s="125">
        <f t="shared" si="82"/>
        <v>422.30999999999995</v>
      </c>
      <c r="J254" s="125">
        <f t="shared" si="82"/>
        <v>419.37999999999965</v>
      </c>
      <c r="K254" s="125">
        <f t="shared" si="82"/>
        <v>394.96000000000004</v>
      </c>
      <c r="L254" s="125">
        <f t="shared" si="82"/>
        <v>385.48</v>
      </c>
      <c r="M254" s="125">
        <f t="shared" si="82"/>
        <v>433.92999999999984</v>
      </c>
      <c r="N254" s="125">
        <f t="shared" si="82"/>
        <v>395.96000000000004</v>
      </c>
      <c r="O254" s="125">
        <f t="shared" si="82"/>
        <v>393.28999999999996</v>
      </c>
      <c r="P254" s="125">
        <f t="shared" si="82"/>
        <v>378.23999999999978</v>
      </c>
      <c r="Q254" s="125">
        <f t="shared" si="82"/>
        <v>399.17000000000007</v>
      </c>
      <c r="R254" s="303"/>
      <c r="S254" s="303"/>
      <c r="T254" s="306"/>
      <c r="U254" s="306"/>
      <c r="V254" s="308"/>
      <c r="W254" s="294"/>
      <c r="X254" s="297"/>
      <c r="Y254" s="311"/>
      <c r="Z254" s="255"/>
      <c r="AA254" s="122"/>
      <c r="AB254" s="122"/>
      <c r="AC254" s="122"/>
      <c r="AD254" s="122"/>
      <c r="AE254" s="122"/>
      <c r="AF254" s="126"/>
    </row>
    <row r="255" spans="1:32" ht="15.55" x14ac:dyDescent="0.25">
      <c r="A255" s="298">
        <v>43401</v>
      </c>
      <c r="B255" s="119" t="s">
        <v>242</v>
      </c>
      <c r="C255" s="119" t="s">
        <v>238</v>
      </c>
      <c r="D255" s="120" t="s">
        <v>192</v>
      </c>
      <c r="E255" s="10">
        <v>2913.34</v>
      </c>
      <c r="F255" s="10">
        <v>2852.1</v>
      </c>
      <c r="G255" s="10">
        <v>2845.42</v>
      </c>
      <c r="H255" s="10">
        <v>2859.6</v>
      </c>
      <c r="I255" s="10">
        <v>2945.24</v>
      </c>
      <c r="J255" s="10">
        <v>2973.7</v>
      </c>
      <c r="K255" s="10">
        <v>2863.21</v>
      </c>
      <c r="L255" s="10">
        <v>2849.49</v>
      </c>
      <c r="M255" s="10">
        <v>2914.93</v>
      </c>
      <c r="N255" s="10">
        <v>2867.68</v>
      </c>
      <c r="O255" s="10">
        <v>2857.3</v>
      </c>
      <c r="P255" s="10">
        <v>2877.33</v>
      </c>
      <c r="Q255" s="10">
        <v>2855.88</v>
      </c>
      <c r="R255" s="301">
        <f>IF((Q256=""),"",MAX(E257:Q257))</f>
        <v>396.62999999999965</v>
      </c>
      <c r="S255" s="301">
        <f>IF(Q256="","",MIN(E257:Q257))</f>
        <v>331.94000000000005</v>
      </c>
      <c r="T255" s="304">
        <f>IF((Q257=""),"",AVERAGE(E257:Q257))</f>
        <v>354.94769230769231</v>
      </c>
      <c r="U255" s="304">
        <f>IF((Q256=""),"",(R255-S255)/(R255+S255)*100)</f>
        <v>8.8790370177195914</v>
      </c>
      <c r="V255" s="304">
        <f>STDEV(E257:Q257)</f>
        <v>27.700847506242422</v>
      </c>
      <c r="W255" s="292" t="str">
        <f>IF(Q256="","",IF(T255&gt;300,IF(U255&lt;14,IF(T255&lt;390,"Pass","Fail"),"Fail"),"Fail"))</f>
        <v>Pass</v>
      </c>
      <c r="X255" s="295">
        <v>1335</v>
      </c>
      <c r="Y255" s="261" t="s">
        <v>251</v>
      </c>
      <c r="Z255" s="255"/>
      <c r="AA255" s="122">
        <v>270</v>
      </c>
      <c r="AB255" s="122">
        <v>370</v>
      </c>
      <c r="AC255" s="122">
        <v>300</v>
      </c>
      <c r="AD255" s="123">
        <v>390</v>
      </c>
      <c r="AE255" s="123">
        <v>14</v>
      </c>
      <c r="AF255" s="123">
        <v>20</v>
      </c>
    </row>
    <row r="256" spans="1:32" ht="15.55" x14ac:dyDescent="0.25">
      <c r="A256" s="299"/>
      <c r="B256" s="124"/>
      <c r="C256" s="124"/>
      <c r="D256" s="120" t="s">
        <v>193</v>
      </c>
      <c r="E256" s="10">
        <v>2518.86</v>
      </c>
      <c r="F256" s="10">
        <v>2517.08</v>
      </c>
      <c r="G256" s="10">
        <v>2512.08</v>
      </c>
      <c r="H256" s="10">
        <v>2520.29</v>
      </c>
      <c r="I256" s="10">
        <v>2554.06</v>
      </c>
      <c r="J256" s="10">
        <v>2577.36</v>
      </c>
      <c r="K256" s="10">
        <v>2531.27</v>
      </c>
      <c r="L256" s="10">
        <v>2511.4699999999998</v>
      </c>
      <c r="M256" s="10">
        <v>2518.3000000000002</v>
      </c>
      <c r="N256" s="10">
        <v>2529.2800000000002</v>
      </c>
      <c r="O256" s="10">
        <v>2516.54</v>
      </c>
      <c r="P256" s="10">
        <v>2538.83</v>
      </c>
      <c r="Q256" s="10">
        <v>2515.48</v>
      </c>
      <c r="R256" s="302"/>
      <c r="S256" s="302"/>
      <c r="T256" s="305"/>
      <c r="U256" s="305"/>
      <c r="V256" s="307"/>
      <c r="W256" s="293"/>
      <c r="X256" s="296"/>
      <c r="Y256" s="258"/>
      <c r="Z256" s="255"/>
      <c r="AA256" s="122"/>
      <c r="AB256" s="122"/>
      <c r="AC256" s="122"/>
      <c r="AD256" s="123"/>
      <c r="AE256" s="123"/>
      <c r="AF256" s="123"/>
    </row>
    <row r="257" spans="1:32" ht="62.05" x14ac:dyDescent="0.3">
      <c r="A257" s="300"/>
      <c r="B257" s="119"/>
      <c r="C257" s="119"/>
      <c r="D257" s="120" t="s">
        <v>194</v>
      </c>
      <c r="E257" s="125">
        <f t="shared" ref="E257:Q257" si="83">IF(((E255="")*AND(E256="")),"",(E255-E256))</f>
        <v>394.48</v>
      </c>
      <c r="F257" s="125">
        <f t="shared" si="83"/>
        <v>335.02</v>
      </c>
      <c r="G257" s="125">
        <f t="shared" si="83"/>
        <v>333.34000000000015</v>
      </c>
      <c r="H257" s="125">
        <f t="shared" si="83"/>
        <v>339.30999999999995</v>
      </c>
      <c r="I257" s="125">
        <f t="shared" si="83"/>
        <v>391.17999999999984</v>
      </c>
      <c r="J257" s="125">
        <f t="shared" si="83"/>
        <v>396.33999999999969</v>
      </c>
      <c r="K257" s="125">
        <f t="shared" si="83"/>
        <v>331.94000000000005</v>
      </c>
      <c r="L257" s="125">
        <f t="shared" si="83"/>
        <v>338.02</v>
      </c>
      <c r="M257" s="125">
        <f t="shared" si="83"/>
        <v>396.62999999999965</v>
      </c>
      <c r="N257" s="125">
        <f t="shared" si="83"/>
        <v>338.39999999999964</v>
      </c>
      <c r="O257" s="125">
        <f t="shared" si="83"/>
        <v>340.76000000000022</v>
      </c>
      <c r="P257" s="125">
        <f t="shared" si="83"/>
        <v>338.5</v>
      </c>
      <c r="Q257" s="125">
        <f t="shared" si="83"/>
        <v>340.40000000000009</v>
      </c>
      <c r="R257" s="303"/>
      <c r="S257" s="303"/>
      <c r="T257" s="306"/>
      <c r="U257" s="306"/>
      <c r="V257" s="308"/>
      <c r="W257" s="294"/>
      <c r="X257" s="297"/>
      <c r="Y257" s="259"/>
      <c r="Z257" s="255"/>
      <c r="AA257" s="122"/>
      <c r="AB257" s="122"/>
      <c r="AC257" s="122"/>
      <c r="AD257" s="122"/>
      <c r="AE257" s="122"/>
      <c r="AF257" s="126"/>
    </row>
    <row r="258" spans="1:32" ht="15.55" x14ac:dyDescent="0.25">
      <c r="A258" s="315">
        <v>43404</v>
      </c>
      <c r="B258" s="119" t="s">
        <v>242</v>
      </c>
      <c r="C258" s="119" t="s">
        <v>238</v>
      </c>
      <c r="D258" s="120" t="s">
        <v>192</v>
      </c>
      <c r="E258" s="10">
        <v>2519.83</v>
      </c>
      <c r="F258" s="10">
        <v>2514</v>
      </c>
      <c r="G258" s="10">
        <v>2512.9499999999998</v>
      </c>
      <c r="H258" s="10">
        <v>2523.17</v>
      </c>
      <c r="I258" s="10">
        <v>2555.6999999999998</v>
      </c>
      <c r="J258" s="10">
        <v>2583.0100000000002</v>
      </c>
      <c r="K258" s="10">
        <v>2530.0500000000002</v>
      </c>
      <c r="L258" s="10">
        <v>2516.84</v>
      </c>
      <c r="M258" s="10">
        <v>2523.75</v>
      </c>
      <c r="N258" s="10">
        <v>2528.67</v>
      </c>
      <c r="O258" s="10">
        <v>2517.2199999999998</v>
      </c>
      <c r="P258" s="10">
        <v>2542.96</v>
      </c>
      <c r="Q258" s="10">
        <v>2514</v>
      </c>
      <c r="R258" s="301">
        <f>IF((Q259=""),"",MAX(E260:Q260))</f>
        <v>422.5300000000002</v>
      </c>
      <c r="S258" s="301">
        <f>IF(Q259="","",MIN(E260:Q260))</f>
        <v>387.08000000000038</v>
      </c>
      <c r="T258" s="304">
        <f>IF((Q260=""),"",AVERAGE(E260:Q260))</f>
        <v>397.41384615384607</v>
      </c>
      <c r="U258" s="304">
        <f>IF((Q259=""),"",(R258-S258)/(R258+S258)*100)</f>
        <v>4.3786514494632964</v>
      </c>
      <c r="V258" s="304">
        <f>STDEV(E260:Q260)</f>
        <v>9.9050782753609141</v>
      </c>
      <c r="W258" s="292" t="str">
        <f>IF(Q259="","",IF(T258&gt;300,IF(U258&lt;14,IF(T258&lt;390,"Pass","Fail"),"Fail"),"Fail"))</f>
        <v>Fail</v>
      </c>
      <c r="X258" s="295">
        <v>64</v>
      </c>
      <c r="Y258" s="309"/>
      <c r="Z258" s="255"/>
      <c r="AA258" s="122">
        <v>270</v>
      </c>
      <c r="AB258" s="122">
        <v>370</v>
      </c>
      <c r="AC258" s="122">
        <v>300</v>
      </c>
      <c r="AD258" s="123">
        <v>390</v>
      </c>
      <c r="AE258" s="123">
        <v>14</v>
      </c>
      <c r="AF258" s="123">
        <v>20</v>
      </c>
    </row>
    <row r="259" spans="1:32" ht="15.55" x14ac:dyDescent="0.25">
      <c r="A259" s="299"/>
      <c r="B259" s="124"/>
      <c r="C259" s="124"/>
      <c r="D259" s="120" t="s">
        <v>193</v>
      </c>
      <c r="E259" s="10">
        <v>2124.21</v>
      </c>
      <c r="F259" s="10">
        <v>2118.71</v>
      </c>
      <c r="G259" s="10">
        <v>2121.96</v>
      </c>
      <c r="H259" s="10">
        <v>2131.23</v>
      </c>
      <c r="I259" s="10">
        <v>2149.6999999999998</v>
      </c>
      <c r="J259" s="10">
        <v>2160.48</v>
      </c>
      <c r="K259" s="10">
        <v>2142.9699999999998</v>
      </c>
      <c r="L259" s="10">
        <v>2115.11</v>
      </c>
      <c r="M259" s="10">
        <v>2115.9899999999998</v>
      </c>
      <c r="N259" s="10">
        <v>2138.25</v>
      </c>
      <c r="O259" s="10">
        <v>2125.83</v>
      </c>
      <c r="P259" s="10">
        <v>2154.2600000000002</v>
      </c>
      <c r="Q259" s="10">
        <v>2117.0700000000002</v>
      </c>
      <c r="R259" s="302"/>
      <c r="S259" s="302"/>
      <c r="T259" s="305"/>
      <c r="U259" s="305"/>
      <c r="V259" s="307"/>
      <c r="W259" s="293"/>
      <c r="X259" s="296"/>
      <c r="Y259" s="310"/>
      <c r="Z259" s="255"/>
      <c r="AA259" s="122"/>
      <c r="AB259" s="122"/>
      <c r="AC259" s="122"/>
      <c r="AD259" s="123"/>
      <c r="AE259" s="123"/>
      <c r="AF259" s="123"/>
    </row>
    <row r="260" spans="1:32" ht="62.05" x14ac:dyDescent="0.3">
      <c r="A260" s="300"/>
      <c r="B260" s="119"/>
      <c r="C260" s="119"/>
      <c r="D260" s="120" t="s">
        <v>194</v>
      </c>
      <c r="E260" s="125">
        <f t="shared" ref="E260:Q260" si="84">IF(((E258="")*AND(E259="")),"",(E258-E259))</f>
        <v>395.61999999999989</v>
      </c>
      <c r="F260" s="125">
        <f t="shared" si="84"/>
        <v>395.28999999999996</v>
      </c>
      <c r="G260" s="125">
        <f t="shared" si="84"/>
        <v>390.98999999999978</v>
      </c>
      <c r="H260" s="125">
        <f t="shared" si="84"/>
        <v>391.94000000000005</v>
      </c>
      <c r="I260" s="125">
        <f t="shared" si="84"/>
        <v>406</v>
      </c>
      <c r="J260" s="125">
        <f t="shared" si="84"/>
        <v>422.5300000000002</v>
      </c>
      <c r="K260" s="125">
        <f t="shared" si="84"/>
        <v>387.08000000000038</v>
      </c>
      <c r="L260" s="125">
        <f t="shared" si="84"/>
        <v>401.73</v>
      </c>
      <c r="M260" s="125">
        <f t="shared" si="84"/>
        <v>407.76000000000022</v>
      </c>
      <c r="N260" s="125">
        <f t="shared" si="84"/>
        <v>390.42000000000007</v>
      </c>
      <c r="O260" s="125">
        <f t="shared" si="84"/>
        <v>391.38999999999987</v>
      </c>
      <c r="P260" s="125">
        <f t="shared" si="84"/>
        <v>388.69999999999982</v>
      </c>
      <c r="Q260" s="125">
        <f t="shared" si="84"/>
        <v>396.92999999999984</v>
      </c>
      <c r="R260" s="303"/>
      <c r="S260" s="303"/>
      <c r="T260" s="306"/>
      <c r="U260" s="306"/>
      <c r="V260" s="308"/>
      <c r="W260" s="294"/>
      <c r="X260" s="297"/>
      <c r="Y260" s="311"/>
      <c r="Z260" s="255"/>
      <c r="AA260" s="122"/>
      <c r="AB260" s="122"/>
      <c r="AC260" s="122"/>
      <c r="AD260" s="122"/>
      <c r="AE260" s="122"/>
      <c r="AF260" s="126"/>
    </row>
    <row r="261" spans="1:32" ht="15.55" x14ac:dyDescent="0.25">
      <c r="A261" s="298">
        <v>43404</v>
      </c>
      <c r="B261" s="119" t="s">
        <v>242</v>
      </c>
      <c r="C261" s="119" t="s">
        <v>238</v>
      </c>
      <c r="D261" s="120" t="s">
        <v>192</v>
      </c>
      <c r="E261" s="10">
        <v>2913.88</v>
      </c>
      <c r="F261" s="10">
        <v>2853.87</v>
      </c>
      <c r="G261" s="10">
        <v>2847.6</v>
      </c>
      <c r="H261" s="10">
        <v>2862.61</v>
      </c>
      <c r="I261" s="10">
        <v>2947.7</v>
      </c>
      <c r="J261" s="10">
        <v>2972.33</v>
      </c>
      <c r="K261" s="10">
        <v>2864.31</v>
      </c>
      <c r="L261" s="10">
        <v>2853.08</v>
      </c>
      <c r="M261" s="10">
        <v>2913.66</v>
      </c>
      <c r="N261" s="10">
        <v>2868.29</v>
      </c>
      <c r="O261" s="10">
        <v>2860.98</v>
      </c>
      <c r="P261" s="10">
        <v>2879.04</v>
      </c>
      <c r="Q261" s="10">
        <v>2856.77</v>
      </c>
      <c r="R261" s="301">
        <f>IF((Q262=""),"",MAX(E263:Q263))</f>
        <v>392.75</v>
      </c>
      <c r="S261" s="301">
        <f>IF(Q262="","",MIN(E263:Q263))</f>
        <v>334.11999999999989</v>
      </c>
      <c r="T261" s="304">
        <f>IF((Q263=""),"",AVERAGE(E263:Q263))</f>
        <v>354.87615384615378</v>
      </c>
      <c r="U261" s="304">
        <f>IF((Q262=""),"",(R261-S261)/(R261+S261)*100)</f>
        <v>8.0660915982225312</v>
      </c>
      <c r="V261" s="304">
        <f>STDEV(E263:Q263)</f>
        <v>24.868508043461183</v>
      </c>
      <c r="W261" s="292" t="str">
        <f>IF(Q262="","",IF(T261&gt;300,IF(U261&lt;14,IF(T261&lt;390,"Pass","Fail"),"Fail"),"Fail"))</f>
        <v>Pass</v>
      </c>
      <c r="X261" s="295">
        <v>64</v>
      </c>
      <c r="Y261" s="309"/>
      <c r="Z261" s="255"/>
      <c r="AA261" s="122">
        <v>270</v>
      </c>
      <c r="AB261" s="122">
        <v>370</v>
      </c>
      <c r="AC261" s="122">
        <v>300</v>
      </c>
      <c r="AD261" s="123">
        <v>390</v>
      </c>
      <c r="AE261" s="123">
        <v>14</v>
      </c>
      <c r="AF261" s="123">
        <v>20</v>
      </c>
    </row>
    <row r="262" spans="1:32" ht="15.55" x14ac:dyDescent="0.25">
      <c r="A262" s="299"/>
      <c r="B262" s="124"/>
      <c r="C262" s="124"/>
      <c r="D262" s="120" t="s">
        <v>193</v>
      </c>
      <c r="E262" s="10">
        <v>2523.35</v>
      </c>
      <c r="F262" s="10">
        <v>2515.33</v>
      </c>
      <c r="G262" s="10">
        <v>2513.36</v>
      </c>
      <c r="H262" s="10">
        <v>2524.2399999999998</v>
      </c>
      <c r="I262" s="10">
        <v>2557.75</v>
      </c>
      <c r="J262" s="10">
        <v>2583.91</v>
      </c>
      <c r="K262" s="10">
        <v>2530.19</v>
      </c>
      <c r="L262" s="10">
        <v>2513.42</v>
      </c>
      <c r="M262" s="10">
        <v>2520.91</v>
      </c>
      <c r="N262" s="10">
        <v>2526.35</v>
      </c>
      <c r="O262" s="10">
        <v>2516.15</v>
      </c>
      <c r="P262" s="10">
        <v>2542.42</v>
      </c>
      <c r="Q262" s="10">
        <v>2513.35</v>
      </c>
      <c r="R262" s="302"/>
      <c r="S262" s="302"/>
      <c r="T262" s="305"/>
      <c r="U262" s="305"/>
      <c r="V262" s="307"/>
      <c r="W262" s="293"/>
      <c r="X262" s="296"/>
      <c r="Y262" s="310"/>
      <c r="Z262" s="255"/>
      <c r="AA262" s="122"/>
      <c r="AB262" s="122"/>
      <c r="AC262" s="122"/>
      <c r="AD262" s="123"/>
      <c r="AE262" s="123"/>
      <c r="AF262" s="123"/>
    </row>
    <row r="263" spans="1:32" ht="62.05" x14ac:dyDescent="0.3">
      <c r="A263" s="300"/>
      <c r="B263" s="119"/>
      <c r="C263" s="119"/>
      <c r="D263" s="120" t="s">
        <v>194</v>
      </c>
      <c r="E263" s="125">
        <f t="shared" ref="E263:Q263" si="85">IF(((E261="")*AND(E262="")),"",(E261-E262))</f>
        <v>390.5300000000002</v>
      </c>
      <c r="F263" s="125">
        <f t="shared" si="85"/>
        <v>338.53999999999996</v>
      </c>
      <c r="G263" s="125">
        <f t="shared" si="85"/>
        <v>334.23999999999978</v>
      </c>
      <c r="H263" s="125">
        <f t="shared" si="85"/>
        <v>338.37000000000035</v>
      </c>
      <c r="I263" s="125">
        <f t="shared" si="85"/>
        <v>389.94999999999982</v>
      </c>
      <c r="J263" s="125">
        <f t="shared" si="85"/>
        <v>388.42000000000007</v>
      </c>
      <c r="K263" s="125">
        <f t="shared" si="85"/>
        <v>334.11999999999989</v>
      </c>
      <c r="L263" s="125">
        <f t="shared" si="85"/>
        <v>339.65999999999985</v>
      </c>
      <c r="M263" s="125">
        <f t="shared" si="85"/>
        <v>392.75</v>
      </c>
      <c r="N263" s="125">
        <f t="shared" si="85"/>
        <v>341.94000000000005</v>
      </c>
      <c r="O263" s="125">
        <f t="shared" si="85"/>
        <v>344.82999999999993</v>
      </c>
      <c r="P263" s="125">
        <f t="shared" si="85"/>
        <v>336.61999999999989</v>
      </c>
      <c r="Q263" s="125">
        <f t="shared" si="85"/>
        <v>343.42000000000007</v>
      </c>
      <c r="R263" s="303"/>
      <c r="S263" s="303"/>
      <c r="T263" s="306"/>
      <c r="U263" s="306"/>
      <c r="V263" s="308"/>
      <c r="W263" s="294"/>
      <c r="X263" s="297"/>
      <c r="Y263" s="311"/>
      <c r="Z263" s="255"/>
      <c r="AA263" s="122"/>
      <c r="AB263" s="122"/>
      <c r="AC263" s="122"/>
      <c r="AD263" s="122"/>
      <c r="AE263" s="122"/>
      <c r="AF263" s="126"/>
    </row>
    <row r="264" spans="1:32" ht="15.55" x14ac:dyDescent="0.25">
      <c r="A264" s="298">
        <v>43408</v>
      </c>
      <c r="B264" s="119" t="s">
        <v>242</v>
      </c>
      <c r="C264" s="119" t="s">
        <v>238</v>
      </c>
      <c r="D264" s="120" t="s">
        <v>192</v>
      </c>
      <c r="E264" s="10">
        <v>2111.13</v>
      </c>
      <c r="F264" s="10">
        <v>2110.79</v>
      </c>
      <c r="G264" s="10">
        <v>2118.56</v>
      </c>
      <c r="H264" s="10">
        <v>2119.65</v>
      </c>
      <c r="I264" s="10">
        <v>2139.46</v>
      </c>
      <c r="J264" s="10">
        <v>2150.88</v>
      </c>
      <c r="K264" s="10">
        <v>2130.2600000000002</v>
      </c>
      <c r="L264" s="10">
        <v>2107.63</v>
      </c>
      <c r="M264" s="10">
        <v>2104.12</v>
      </c>
      <c r="N264" s="10">
        <v>2133.08</v>
      </c>
      <c r="O264" s="10">
        <v>2125.9499999999998</v>
      </c>
      <c r="P264" s="10">
        <v>2183.06</v>
      </c>
      <c r="Q264" s="10">
        <v>2103.11</v>
      </c>
      <c r="R264" s="301">
        <f>IF((Q265=""),"",MAX(E266:Q266))</f>
        <v>389.49</v>
      </c>
      <c r="S264" s="301">
        <f>IF(Q265="","",MIN(E266:Q266))</f>
        <v>294.26</v>
      </c>
      <c r="T264" s="304">
        <f>IF((Q266=""),"",AVERAGE(E266:Q266))</f>
        <v>340.5992307692307</v>
      </c>
      <c r="U264" s="304">
        <f>IF((Q265=""),"",(R264-S264)/(R264+S264)*100)</f>
        <v>13.927605118829984</v>
      </c>
      <c r="V264" s="304">
        <f>STDEV(E266:Q266)</f>
        <v>37.184360391061915</v>
      </c>
      <c r="W264" s="292" t="str">
        <f>IF(Q265="","",IF(T264&gt;300,IF(U264&lt;14,IF(T264&lt;390,"Pass","Fail"),"Fail"),"Fail"))</f>
        <v>Pass</v>
      </c>
      <c r="X264" s="295">
        <v>121</v>
      </c>
      <c r="Y264" s="261" t="s">
        <v>219</v>
      </c>
      <c r="Z264" s="255"/>
      <c r="AA264" s="122">
        <v>270</v>
      </c>
      <c r="AB264" s="122">
        <v>370</v>
      </c>
      <c r="AC264" s="122">
        <v>300</v>
      </c>
      <c r="AD264" s="123">
        <v>390</v>
      </c>
      <c r="AE264" s="123">
        <v>14</v>
      </c>
      <c r="AF264" s="123">
        <v>20</v>
      </c>
    </row>
    <row r="265" spans="1:32" ht="15.55" x14ac:dyDescent="0.25">
      <c r="A265" s="299"/>
      <c r="B265" s="124"/>
      <c r="C265" s="124"/>
      <c r="D265" s="120" t="s">
        <v>193</v>
      </c>
      <c r="E265" s="10">
        <v>1722.6</v>
      </c>
      <c r="F265" s="10">
        <v>1809.16</v>
      </c>
      <c r="G265" s="10">
        <v>1824.3</v>
      </c>
      <c r="H265" s="10">
        <v>1819.83</v>
      </c>
      <c r="I265" s="10">
        <v>1749.97</v>
      </c>
      <c r="J265" s="10">
        <v>1788.9</v>
      </c>
      <c r="K265" s="10">
        <v>1749.87</v>
      </c>
      <c r="L265" s="10">
        <v>1793.59</v>
      </c>
      <c r="M265" s="10">
        <v>1720.03</v>
      </c>
      <c r="N265" s="10">
        <v>1809.64</v>
      </c>
      <c r="O265" s="10">
        <v>1806.09</v>
      </c>
      <c r="P265" s="10">
        <v>1823.91</v>
      </c>
      <c r="Q265" s="10">
        <v>1792</v>
      </c>
      <c r="R265" s="302"/>
      <c r="S265" s="302"/>
      <c r="T265" s="305"/>
      <c r="U265" s="305"/>
      <c r="V265" s="307"/>
      <c r="W265" s="293"/>
      <c r="X265" s="296"/>
      <c r="Y265" s="258"/>
      <c r="Z265" s="255"/>
      <c r="AA265" s="122"/>
      <c r="AB265" s="122"/>
      <c r="AC265" s="122"/>
      <c r="AD265" s="123"/>
      <c r="AE265" s="123"/>
      <c r="AF265" s="123"/>
    </row>
    <row r="266" spans="1:32" ht="62.05" x14ac:dyDescent="0.3">
      <c r="A266" s="300"/>
      <c r="B266" s="119"/>
      <c r="C266" s="119"/>
      <c r="D266" s="120" t="s">
        <v>194</v>
      </c>
      <c r="E266" s="125">
        <f t="shared" ref="E266:Q266" si="86">IF(((E264="")*AND(E265="")),"",(E264-E265))</f>
        <v>388.5300000000002</v>
      </c>
      <c r="F266" s="125">
        <f t="shared" si="86"/>
        <v>301.62999999999988</v>
      </c>
      <c r="G266" s="125">
        <f t="shared" si="86"/>
        <v>294.26</v>
      </c>
      <c r="H266" s="125">
        <f t="shared" si="86"/>
        <v>299.82000000000016</v>
      </c>
      <c r="I266" s="125">
        <f t="shared" si="86"/>
        <v>389.49</v>
      </c>
      <c r="J266" s="125">
        <f t="shared" si="86"/>
        <v>361.98</v>
      </c>
      <c r="K266" s="125">
        <f t="shared" si="86"/>
        <v>380.39000000000033</v>
      </c>
      <c r="L266" s="125">
        <f t="shared" si="86"/>
        <v>314.04000000000019</v>
      </c>
      <c r="M266" s="125">
        <f t="shared" si="86"/>
        <v>384.08999999999992</v>
      </c>
      <c r="N266" s="125">
        <f t="shared" si="86"/>
        <v>323.43999999999983</v>
      </c>
      <c r="O266" s="125">
        <f t="shared" si="86"/>
        <v>319.8599999999999</v>
      </c>
      <c r="P266" s="125">
        <f t="shared" si="86"/>
        <v>359.14999999999986</v>
      </c>
      <c r="Q266" s="125">
        <f t="shared" si="86"/>
        <v>311.11000000000013</v>
      </c>
      <c r="R266" s="303"/>
      <c r="S266" s="303"/>
      <c r="T266" s="306"/>
      <c r="U266" s="306"/>
      <c r="V266" s="308"/>
      <c r="W266" s="294"/>
      <c r="X266" s="297"/>
      <c r="Y266" s="259"/>
      <c r="Z266" s="255"/>
      <c r="AA266" s="122"/>
      <c r="AB266" s="122"/>
      <c r="AC266" s="122"/>
      <c r="AD266" s="122"/>
      <c r="AE266" s="122"/>
      <c r="AF266" s="126"/>
    </row>
    <row r="267" spans="1:32" ht="15.55" x14ac:dyDescent="0.25">
      <c r="A267" s="298">
        <v>43412</v>
      </c>
      <c r="B267" s="119" t="s">
        <v>242</v>
      </c>
      <c r="C267" s="119" t="s">
        <v>238</v>
      </c>
      <c r="D267" s="120" t="s">
        <v>192</v>
      </c>
      <c r="E267" s="10">
        <v>2916.75</v>
      </c>
      <c r="F267" s="10">
        <v>2819.14</v>
      </c>
      <c r="G267" s="10">
        <v>2803.27</v>
      </c>
      <c r="H267" s="10">
        <v>2810.7</v>
      </c>
      <c r="I267" s="10">
        <v>2890.8</v>
      </c>
      <c r="J267" s="10">
        <v>2873.86</v>
      </c>
      <c r="K267" s="10">
        <v>2805.27</v>
      </c>
      <c r="L267" s="10">
        <v>2827.59</v>
      </c>
      <c r="M267" s="10">
        <v>2953.25</v>
      </c>
      <c r="N267" s="10">
        <v>2813.94</v>
      </c>
      <c r="O267" s="10">
        <v>2831.25</v>
      </c>
      <c r="P267" s="10">
        <v>2810.28</v>
      </c>
      <c r="Q267" s="10">
        <v>2847.35</v>
      </c>
      <c r="R267" s="301">
        <f>IF((Q268=""),"",MAX(E269:Q269))</f>
        <v>377.7800000000002</v>
      </c>
      <c r="S267" s="301">
        <f>IF(Q268="","",MIN(E269:Q269))</f>
        <v>331.42000000000007</v>
      </c>
      <c r="T267" s="304">
        <f>IF((Q269=""),"",AVERAGE(E269:Q269))</f>
        <v>349.14230769230778</v>
      </c>
      <c r="U267" s="304">
        <f>IF((Q268=""),"",(R267-S267)/(R267+S267)*100)</f>
        <v>6.5369430344049784</v>
      </c>
      <c r="V267" s="304">
        <f>STDEV(E269:Q269)</f>
        <v>18.704226418043536</v>
      </c>
      <c r="W267" s="292" t="str">
        <f>IF(Q268="","",IF(T267&gt;300,IF(U267&lt;14,IF(T267&lt;390,"Pass","Fail"),"Fail"),"Fail"))</f>
        <v>Pass</v>
      </c>
      <c r="X267" s="295">
        <v>1335</v>
      </c>
      <c r="Y267" s="309"/>
      <c r="Z267" s="255"/>
      <c r="AA267" s="122">
        <v>270</v>
      </c>
      <c r="AB267" s="122">
        <v>370</v>
      </c>
      <c r="AC267" s="122">
        <v>300</v>
      </c>
      <c r="AD267" s="123">
        <v>390</v>
      </c>
      <c r="AE267" s="123">
        <v>14</v>
      </c>
      <c r="AF267" s="123">
        <v>20</v>
      </c>
    </row>
    <row r="268" spans="1:32" ht="15.55" x14ac:dyDescent="0.25">
      <c r="A268" s="299"/>
      <c r="B268" s="124"/>
      <c r="C268" s="124"/>
      <c r="D268" s="120" t="s">
        <v>193</v>
      </c>
      <c r="E268" s="10">
        <v>2539</v>
      </c>
      <c r="F268" s="10">
        <v>2481.16</v>
      </c>
      <c r="G268" s="10">
        <v>2471.69</v>
      </c>
      <c r="H268" s="10">
        <v>2475.73</v>
      </c>
      <c r="I268" s="10">
        <v>2514.91</v>
      </c>
      <c r="J268" s="10">
        <v>2503.5500000000002</v>
      </c>
      <c r="K268" s="10">
        <v>2468.27</v>
      </c>
      <c r="L268" s="10">
        <v>2490.5</v>
      </c>
      <c r="M268" s="10">
        <v>2575.4699999999998</v>
      </c>
      <c r="N268" s="10">
        <v>2474.37</v>
      </c>
      <c r="O268" s="10">
        <v>2489.1999999999998</v>
      </c>
      <c r="P268" s="10">
        <v>2478.86</v>
      </c>
      <c r="Q268" s="10">
        <v>2501.89</v>
      </c>
      <c r="R268" s="302"/>
      <c r="S268" s="302"/>
      <c r="T268" s="305"/>
      <c r="U268" s="305"/>
      <c r="V268" s="307"/>
      <c r="W268" s="293"/>
      <c r="X268" s="296"/>
      <c r="Y268" s="310"/>
      <c r="Z268" s="255"/>
      <c r="AA268" s="122"/>
      <c r="AB268" s="122"/>
      <c r="AC268" s="122"/>
      <c r="AD268" s="123"/>
      <c r="AE268" s="123"/>
      <c r="AF268" s="123"/>
    </row>
    <row r="269" spans="1:32" ht="62.05" x14ac:dyDescent="0.3">
      <c r="A269" s="300"/>
      <c r="B269" s="119"/>
      <c r="C269" s="119"/>
      <c r="D269" s="120" t="s">
        <v>194</v>
      </c>
      <c r="E269" s="125">
        <f t="shared" ref="E269:Q269" si="87">IF(((E267="")*AND(E268="")),"",(E267-E268))</f>
        <v>377.75</v>
      </c>
      <c r="F269" s="125">
        <f t="shared" si="87"/>
        <v>337.98</v>
      </c>
      <c r="G269" s="125">
        <f t="shared" si="87"/>
        <v>331.57999999999993</v>
      </c>
      <c r="H269" s="125">
        <f t="shared" si="87"/>
        <v>334.9699999999998</v>
      </c>
      <c r="I269" s="125">
        <f t="shared" si="87"/>
        <v>375.89000000000033</v>
      </c>
      <c r="J269" s="125">
        <f t="shared" si="87"/>
        <v>370.30999999999995</v>
      </c>
      <c r="K269" s="125">
        <f t="shared" si="87"/>
        <v>337</v>
      </c>
      <c r="L269" s="125">
        <f t="shared" si="87"/>
        <v>337.09000000000015</v>
      </c>
      <c r="M269" s="125">
        <f t="shared" si="87"/>
        <v>377.7800000000002</v>
      </c>
      <c r="N269" s="125">
        <f t="shared" si="87"/>
        <v>339.57000000000016</v>
      </c>
      <c r="O269" s="125">
        <f t="shared" si="87"/>
        <v>342.05000000000018</v>
      </c>
      <c r="P269" s="125">
        <f t="shared" si="87"/>
        <v>331.42000000000007</v>
      </c>
      <c r="Q269" s="125">
        <f t="shared" si="87"/>
        <v>345.46000000000004</v>
      </c>
      <c r="R269" s="303"/>
      <c r="S269" s="303"/>
      <c r="T269" s="306"/>
      <c r="U269" s="306"/>
      <c r="V269" s="308"/>
      <c r="W269" s="294"/>
      <c r="X269" s="297"/>
      <c r="Y269" s="311"/>
      <c r="Z269" s="255"/>
      <c r="AA269" s="122"/>
      <c r="AB269" s="122"/>
      <c r="AC269" s="122"/>
      <c r="AD269" s="122"/>
      <c r="AE269" s="122"/>
      <c r="AF269" s="126"/>
    </row>
    <row r="270" spans="1:32" ht="15.55" x14ac:dyDescent="0.25">
      <c r="A270" s="298">
        <v>43445</v>
      </c>
      <c r="B270" s="119" t="s">
        <v>242</v>
      </c>
      <c r="C270" s="119" t="s">
        <v>238</v>
      </c>
      <c r="D270" s="120" t="s">
        <v>192</v>
      </c>
      <c r="E270" s="10">
        <v>2539</v>
      </c>
      <c r="F270" s="10">
        <v>2481.16</v>
      </c>
      <c r="G270" s="10">
        <v>2471.69</v>
      </c>
      <c r="H270" s="10">
        <v>2475.73</v>
      </c>
      <c r="I270" s="10">
        <v>2514.91</v>
      </c>
      <c r="J270" s="10">
        <v>2503.5500000000002</v>
      </c>
      <c r="K270" s="10">
        <v>2468.27</v>
      </c>
      <c r="L270" s="10">
        <v>2490.5</v>
      </c>
      <c r="M270" s="10">
        <v>2575.4699999999998</v>
      </c>
      <c r="N270" s="10">
        <v>2474.37</v>
      </c>
      <c r="O270" s="10">
        <v>2489.1999999999998</v>
      </c>
      <c r="P270" s="10">
        <v>2478.86</v>
      </c>
      <c r="Q270" s="10">
        <v>2501.89</v>
      </c>
      <c r="R270" s="301">
        <f>IF((Q271=""),"",MAX(E272:Q272))</f>
        <v>424.15999999999985</v>
      </c>
      <c r="S270" s="301">
        <f>IF(Q271="","",MIN(E272:Q272))</f>
        <v>331.2199999999998</v>
      </c>
      <c r="T270" s="304">
        <f>IF((Q272=""),"",AVERAGE(E272:Q272))</f>
        <v>365.59307692307686</v>
      </c>
      <c r="U270" s="304">
        <f>IF((Q271=""),"",(R270-S270)/(R270+S270)*100)</f>
        <v>12.303741163387977</v>
      </c>
      <c r="V270" s="304">
        <f>STDEV(E272:Q272)</f>
        <v>28.275412577188934</v>
      </c>
      <c r="W270" s="292" t="str">
        <f>IF(Q271="","",IF(T270&gt;300,IF(U270&lt;14,IF(T270&lt;390,"Pass","Fail"),"Fail"),"Fail"))</f>
        <v>Pass</v>
      </c>
      <c r="X270" s="295">
        <v>121</v>
      </c>
      <c r="Y270" s="261" t="s">
        <v>221</v>
      </c>
      <c r="Z270" s="255"/>
      <c r="AA270" s="122">
        <v>270</v>
      </c>
      <c r="AB270" s="122">
        <v>370</v>
      </c>
      <c r="AC270" s="122">
        <v>300</v>
      </c>
      <c r="AD270" s="123">
        <v>390</v>
      </c>
      <c r="AE270" s="123">
        <v>14</v>
      </c>
      <c r="AF270" s="123">
        <v>20</v>
      </c>
    </row>
    <row r="271" spans="1:32" ht="15.55" x14ac:dyDescent="0.25">
      <c r="A271" s="299"/>
      <c r="B271" s="124"/>
      <c r="C271" s="124"/>
      <c r="D271" s="120" t="s">
        <v>193</v>
      </c>
      <c r="E271" s="10">
        <v>2122.5</v>
      </c>
      <c r="F271" s="10">
        <v>2118.37</v>
      </c>
      <c r="G271" s="10">
        <v>2124.2199999999998</v>
      </c>
      <c r="H271" s="10">
        <v>2127.6</v>
      </c>
      <c r="I271" s="10">
        <v>2150.2199999999998</v>
      </c>
      <c r="J271" s="10">
        <v>2153.5</v>
      </c>
      <c r="K271" s="10">
        <v>2137.0500000000002</v>
      </c>
      <c r="L271" s="10">
        <v>2121.11</v>
      </c>
      <c r="M271" s="10">
        <v>2151.31</v>
      </c>
      <c r="N271" s="10">
        <v>2122.9299999999998</v>
      </c>
      <c r="O271" s="10">
        <v>2128.69</v>
      </c>
      <c r="P271" s="10">
        <v>2140.73</v>
      </c>
      <c r="Q271" s="10">
        <v>2113.66</v>
      </c>
      <c r="R271" s="302"/>
      <c r="S271" s="302"/>
      <c r="T271" s="305"/>
      <c r="U271" s="305"/>
      <c r="V271" s="307"/>
      <c r="W271" s="293"/>
      <c r="X271" s="296"/>
      <c r="Y271" s="258"/>
      <c r="Z271" s="255"/>
      <c r="AA271" s="122"/>
      <c r="AB271" s="122"/>
      <c r="AC271" s="122"/>
      <c r="AD271" s="123"/>
      <c r="AE271" s="123"/>
      <c r="AF271" s="123"/>
    </row>
    <row r="272" spans="1:32" ht="62.05" x14ac:dyDescent="0.3">
      <c r="A272" s="300"/>
      <c r="B272" s="119"/>
      <c r="C272" s="119"/>
      <c r="D272" s="120" t="s">
        <v>194</v>
      </c>
      <c r="E272" s="125">
        <f t="shared" ref="E272:Q272" si="88">IF(((E270="")*AND(E271="")),"",(E270-E271))</f>
        <v>416.5</v>
      </c>
      <c r="F272" s="125">
        <f t="shared" si="88"/>
        <v>362.78999999999996</v>
      </c>
      <c r="G272" s="125">
        <f t="shared" si="88"/>
        <v>347.47000000000025</v>
      </c>
      <c r="H272" s="125">
        <f t="shared" si="88"/>
        <v>348.13000000000011</v>
      </c>
      <c r="I272" s="125">
        <f t="shared" si="88"/>
        <v>364.69000000000005</v>
      </c>
      <c r="J272" s="125">
        <f t="shared" si="88"/>
        <v>350.05000000000018</v>
      </c>
      <c r="K272" s="125">
        <f t="shared" si="88"/>
        <v>331.2199999999998</v>
      </c>
      <c r="L272" s="125">
        <f t="shared" si="88"/>
        <v>369.38999999999987</v>
      </c>
      <c r="M272" s="125">
        <f t="shared" si="88"/>
        <v>424.15999999999985</v>
      </c>
      <c r="N272" s="125">
        <f t="shared" si="88"/>
        <v>351.44000000000005</v>
      </c>
      <c r="O272" s="125">
        <f t="shared" si="88"/>
        <v>360.50999999999976</v>
      </c>
      <c r="P272" s="125">
        <f t="shared" si="88"/>
        <v>338.13000000000011</v>
      </c>
      <c r="Q272" s="125">
        <f t="shared" si="88"/>
        <v>388.23</v>
      </c>
      <c r="R272" s="303"/>
      <c r="S272" s="303"/>
      <c r="T272" s="306"/>
      <c r="U272" s="306"/>
      <c r="V272" s="308"/>
      <c r="W272" s="294"/>
      <c r="X272" s="297"/>
      <c r="Y272" s="259"/>
      <c r="Z272" s="255"/>
      <c r="AA272" s="122"/>
      <c r="AB272" s="122"/>
      <c r="AC272" s="122"/>
      <c r="AD272" s="122"/>
      <c r="AE272" s="122"/>
      <c r="AF272" s="126"/>
    </row>
    <row r="273" spans="1:32" ht="15.55" x14ac:dyDescent="0.25">
      <c r="A273" s="298">
        <v>43424</v>
      </c>
      <c r="B273" s="119" t="s">
        <v>242</v>
      </c>
      <c r="C273" s="119" t="s">
        <v>238</v>
      </c>
      <c r="D273" s="120" t="s">
        <v>192</v>
      </c>
      <c r="E273" s="10">
        <v>2108.5100000000002</v>
      </c>
      <c r="F273" s="10">
        <v>2106.9299999999998</v>
      </c>
      <c r="G273" s="10">
        <v>2097.7199999999998</v>
      </c>
      <c r="H273" s="10">
        <v>2116.19</v>
      </c>
      <c r="I273" s="10">
        <v>2138.6799999999998</v>
      </c>
      <c r="J273" s="10">
        <v>2144.0300000000002</v>
      </c>
      <c r="K273" s="10">
        <v>2121.34</v>
      </c>
      <c r="L273" s="10">
        <v>2105.5</v>
      </c>
      <c r="M273" s="10">
        <v>2143.35</v>
      </c>
      <c r="N273" s="10">
        <v>2106.79</v>
      </c>
      <c r="O273" s="10">
        <v>2122.0500000000002</v>
      </c>
      <c r="P273" s="10">
        <v>2123.1799999999998</v>
      </c>
      <c r="Q273" s="10">
        <v>2089.48</v>
      </c>
      <c r="R273" s="301">
        <f>IF((Q274=""),"",MAX(E275:Q275))</f>
        <v>404.41000000000031</v>
      </c>
      <c r="S273" s="301">
        <f>IF(Q274="","",MIN(E275:Q275))</f>
        <v>306.08999999999992</v>
      </c>
      <c r="T273" s="304">
        <f>IF((Q275=""),"",AVERAGE(E275:Q275))</f>
        <v>347.6438461538462</v>
      </c>
      <c r="U273" s="304">
        <f>IF((Q274=""),"",(R273-S273)/(R273+S273)*100)</f>
        <v>13.838142153413141</v>
      </c>
      <c r="V273" s="304">
        <f>STDEV(E275:Q275)</f>
        <v>27.414085047186251</v>
      </c>
      <c r="W273" s="292" t="str">
        <f>IF(Q274="","",IF(T273&gt;300,IF(U273&lt;14,IF(T273&lt;390,"Pass","Fail"),"Fail"),"Fail"))</f>
        <v>Pass</v>
      </c>
      <c r="X273" s="295">
        <v>121</v>
      </c>
      <c r="Y273" s="261" t="s">
        <v>222</v>
      </c>
      <c r="Z273" s="255"/>
      <c r="AA273" s="122">
        <v>270</v>
      </c>
      <c r="AB273" s="122">
        <v>370</v>
      </c>
      <c r="AC273" s="122">
        <v>300</v>
      </c>
      <c r="AD273" s="123">
        <v>390</v>
      </c>
      <c r="AE273" s="123">
        <v>14</v>
      </c>
      <c r="AF273" s="123">
        <v>20</v>
      </c>
    </row>
    <row r="274" spans="1:32" ht="15.55" x14ac:dyDescent="0.25">
      <c r="A274" s="299"/>
      <c r="B274" s="124"/>
      <c r="C274" s="124"/>
      <c r="D274" s="120" t="s">
        <v>193</v>
      </c>
      <c r="E274" s="10">
        <v>1758.75</v>
      </c>
      <c r="F274" s="10">
        <v>1783.12</v>
      </c>
      <c r="G274" s="10">
        <v>1765.68</v>
      </c>
      <c r="H274" s="10">
        <v>1769.92</v>
      </c>
      <c r="I274" s="10">
        <v>1741.67</v>
      </c>
      <c r="J274" s="10">
        <v>1739.62</v>
      </c>
      <c r="K274" s="10">
        <v>1775.87</v>
      </c>
      <c r="L274" s="10">
        <v>1744.71</v>
      </c>
      <c r="M274" s="10">
        <v>1791.59</v>
      </c>
      <c r="N274" s="10">
        <v>1775.08</v>
      </c>
      <c r="O274" s="10">
        <v>1792.05</v>
      </c>
      <c r="P274" s="10">
        <v>1782.93</v>
      </c>
      <c r="Q274" s="10">
        <v>1783.39</v>
      </c>
      <c r="R274" s="302"/>
      <c r="S274" s="302"/>
      <c r="T274" s="305"/>
      <c r="U274" s="305"/>
      <c r="V274" s="307"/>
      <c r="W274" s="293"/>
      <c r="X274" s="296"/>
      <c r="Y274" s="258"/>
      <c r="Z274" s="255"/>
      <c r="AA274" s="122"/>
      <c r="AB274" s="122"/>
      <c r="AC274" s="122"/>
      <c r="AD274" s="123"/>
      <c r="AE274" s="123"/>
      <c r="AF274" s="123"/>
    </row>
    <row r="275" spans="1:32" ht="62.05" x14ac:dyDescent="0.3">
      <c r="A275" s="300"/>
      <c r="B275" s="119"/>
      <c r="C275" s="119"/>
      <c r="D275" s="120" t="s">
        <v>194</v>
      </c>
      <c r="E275" s="125">
        <f t="shared" ref="E275:Q275" si="89">IF(((E273="")*AND(E274="")),"",(E273-E274))</f>
        <v>349.76000000000022</v>
      </c>
      <c r="F275" s="125">
        <f t="shared" si="89"/>
        <v>323.80999999999995</v>
      </c>
      <c r="G275" s="125">
        <f t="shared" si="89"/>
        <v>332.03999999999974</v>
      </c>
      <c r="H275" s="125">
        <f t="shared" si="89"/>
        <v>346.27</v>
      </c>
      <c r="I275" s="125">
        <f t="shared" si="89"/>
        <v>397.00999999999976</v>
      </c>
      <c r="J275" s="125">
        <f t="shared" si="89"/>
        <v>404.41000000000031</v>
      </c>
      <c r="K275" s="125">
        <f t="shared" si="89"/>
        <v>345.47000000000025</v>
      </c>
      <c r="L275" s="125">
        <f t="shared" si="89"/>
        <v>360.78999999999996</v>
      </c>
      <c r="M275" s="125">
        <f t="shared" si="89"/>
        <v>351.76</v>
      </c>
      <c r="N275" s="125">
        <f t="shared" si="89"/>
        <v>331.71000000000004</v>
      </c>
      <c r="O275" s="125">
        <f t="shared" si="89"/>
        <v>330.00000000000023</v>
      </c>
      <c r="P275" s="125">
        <f t="shared" si="89"/>
        <v>340.24999999999977</v>
      </c>
      <c r="Q275" s="125">
        <f t="shared" si="89"/>
        <v>306.08999999999992</v>
      </c>
      <c r="R275" s="303"/>
      <c r="S275" s="303"/>
      <c r="T275" s="306"/>
      <c r="U275" s="306"/>
      <c r="V275" s="308"/>
      <c r="W275" s="294"/>
      <c r="X275" s="297"/>
      <c r="Y275" s="259"/>
      <c r="Z275" s="255"/>
      <c r="AA275" s="122"/>
      <c r="AB275" s="122"/>
      <c r="AC275" s="122"/>
      <c r="AD275" s="122"/>
      <c r="AE275" s="122"/>
      <c r="AF275" s="126"/>
    </row>
    <row r="276" spans="1:32" ht="15.55" x14ac:dyDescent="0.25">
      <c r="A276" s="298">
        <v>43430</v>
      </c>
      <c r="B276" s="119" t="s">
        <v>242</v>
      </c>
      <c r="C276" s="119" t="s">
        <v>238</v>
      </c>
      <c r="D276" s="120" t="s">
        <v>192</v>
      </c>
      <c r="E276" s="10">
        <v>2901.55</v>
      </c>
      <c r="F276" s="10">
        <v>2850.62</v>
      </c>
      <c r="G276" s="10">
        <v>2848.22</v>
      </c>
      <c r="H276" s="10">
        <v>2866.25</v>
      </c>
      <c r="I276" s="10">
        <v>2969.03</v>
      </c>
      <c r="J276" s="10">
        <v>2901.39</v>
      </c>
      <c r="K276" s="10">
        <v>2849.89</v>
      </c>
      <c r="L276" s="10">
        <v>2864.58</v>
      </c>
      <c r="M276" s="10">
        <v>2964.78</v>
      </c>
      <c r="N276" s="10">
        <v>2852.2</v>
      </c>
      <c r="O276" s="10">
        <v>2885.96</v>
      </c>
      <c r="P276" s="10">
        <v>2864.27</v>
      </c>
      <c r="Q276" s="10">
        <v>2865.83</v>
      </c>
      <c r="R276" s="301">
        <f>IF((Q277=""),"",MAX(E278:Q278))</f>
        <v>381.40000000000009</v>
      </c>
      <c r="S276" s="301">
        <f>IF(Q277="","",MIN(E278:Q278))</f>
        <v>334.25</v>
      </c>
      <c r="T276" s="304">
        <f>IF((Q278=""),"",AVERAGE(E278:Q278))</f>
        <v>351.10846153846154</v>
      </c>
      <c r="U276" s="304">
        <f>IF((Q277=""),"",(R276-S276)/(R276+S276)*100)</f>
        <v>6.5884161252008786</v>
      </c>
      <c r="V276" s="304">
        <f>STDEV(E278:Q278)</f>
        <v>19.990716531327795</v>
      </c>
      <c r="W276" s="292" t="str">
        <f>IF(Q277="","",IF(T276&gt;300,IF(U276&lt;14,IF(T276&lt;390,"Pass","Fail"),"Fail"),"Fail"))</f>
        <v>Pass</v>
      </c>
      <c r="X276" s="295">
        <v>1340</v>
      </c>
      <c r="Y276" s="309"/>
      <c r="Z276" s="255"/>
      <c r="AA276" s="122">
        <v>270</v>
      </c>
      <c r="AB276" s="122">
        <v>370</v>
      </c>
      <c r="AC276" s="122">
        <v>300</v>
      </c>
      <c r="AD276" s="123">
        <v>390</v>
      </c>
      <c r="AE276" s="123">
        <v>14</v>
      </c>
      <c r="AF276" s="123">
        <v>20</v>
      </c>
    </row>
    <row r="277" spans="1:32" ht="15.55" x14ac:dyDescent="0.25">
      <c r="A277" s="299"/>
      <c r="B277" s="124"/>
      <c r="C277" s="124"/>
      <c r="D277" s="120" t="s">
        <v>193</v>
      </c>
      <c r="E277" s="10">
        <v>2520.37</v>
      </c>
      <c r="F277" s="10">
        <v>2511.02</v>
      </c>
      <c r="G277" s="10">
        <v>2513.9699999999998</v>
      </c>
      <c r="H277" s="10">
        <v>2528.5700000000002</v>
      </c>
      <c r="I277" s="10">
        <v>2587.63</v>
      </c>
      <c r="J277" s="10">
        <v>2522.83</v>
      </c>
      <c r="K277" s="10">
        <v>2514.35</v>
      </c>
      <c r="L277" s="10">
        <v>2528.77</v>
      </c>
      <c r="M277" s="10">
        <v>2587.1999999999998</v>
      </c>
      <c r="N277" s="10">
        <v>2512.13</v>
      </c>
      <c r="O277" s="10">
        <v>2545.88</v>
      </c>
      <c r="P277" s="10">
        <v>2525.31</v>
      </c>
      <c r="Q277" s="10">
        <v>2522.13</v>
      </c>
      <c r="R277" s="302"/>
      <c r="S277" s="302"/>
      <c r="T277" s="305"/>
      <c r="U277" s="305"/>
      <c r="V277" s="307"/>
      <c r="W277" s="293"/>
      <c r="X277" s="296"/>
      <c r="Y277" s="310"/>
      <c r="Z277" s="255"/>
      <c r="AA277" s="122"/>
      <c r="AB277" s="122"/>
      <c r="AC277" s="122"/>
      <c r="AD277" s="123"/>
      <c r="AE277" s="123"/>
      <c r="AF277" s="123"/>
    </row>
    <row r="278" spans="1:32" ht="62.05" x14ac:dyDescent="0.3">
      <c r="A278" s="300"/>
      <c r="B278" s="119"/>
      <c r="C278" s="119"/>
      <c r="D278" s="120" t="s">
        <v>194</v>
      </c>
      <c r="E278" s="125">
        <f t="shared" ref="E278:Q278" si="90">IF(((E276="")*AND(E277="")),"",(E276-E277))</f>
        <v>381.18000000000029</v>
      </c>
      <c r="F278" s="125">
        <f t="shared" si="90"/>
        <v>339.59999999999991</v>
      </c>
      <c r="G278" s="125">
        <f t="shared" si="90"/>
        <v>334.25</v>
      </c>
      <c r="H278" s="125">
        <f t="shared" si="90"/>
        <v>337.67999999999984</v>
      </c>
      <c r="I278" s="125">
        <f t="shared" si="90"/>
        <v>381.40000000000009</v>
      </c>
      <c r="J278" s="125">
        <f t="shared" si="90"/>
        <v>378.55999999999995</v>
      </c>
      <c r="K278" s="125">
        <f t="shared" si="90"/>
        <v>335.53999999999996</v>
      </c>
      <c r="L278" s="125">
        <f t="shared" si="90"/>
        <v>335.80999999999995</v>
      </c>
      <c r="M278" s="125">
        <f t="shared" si="90"/>
        <v>377.58000000000038</v>
      </c>
      <c r="N278" s="125">
        <f t="shared" si="90"/>
        <v>340.06999999999971</v>
      </c>
      <c r="O278" s="125">
        <f t="shared" si="90"/>
        <v>340.07999999999993</v>
      </c>
      <c r="P278" s="125">
        <f t="shared" si="90"/>
        <v>338.96000000000004</v>
      </c>
      <c r="Q278" s="125">
        <f t="shared" si="90"/>
        <v>343.69999999999982</v>
      </c>
      <c r="R278" s="303"/>
      <c r="S278" s="303"/>
      <c r="T278" s="306"/>
      <c r="U278" s="306"/>
      <c r="V278" s="308"/>
      <c r="W278" s="294"/>
      <c r="X278" s="297"/>
      <c r="Y278" s="311"/>
      <c r="Z278" s="255"/>
      <c r="AA278" s="122"/>
      <c r="AB278" s="122"/>
      <c r="AC278" s="122"/>
      <c r="AD278" s="122"/>
      <c r="AE278" s="122"/>
      <c r="AF278" s="126"/>
    </row>
    <row r="279" spans="1:32" ht="15.55" x14ac:dyDescent="0.25">
      <c r="A279" s="298">
        <v>43438</v>
      </c>
      <c r="B279" s="119" t="s">
        <v>242</v>
      </c>
      <c r="C279" s="119" t="s">
        <v>238</v>
      </c>
      <c r="D279" s="120" t="s">
        <v>192</v>
      </c>
      <c r="E279" s="10">
        <v>2520.73</v>
      </c>
      <c r="F279" s="10">
        <v>2512.75</v>
      </c>
      <c r="G279" s="10">
        <v>2513.67</v>
      </c>
      <c r="H279" s="10">
        <v>2530.17</v>
      </c>
      <c r="I279" s="10">
        <v>2590.42</v>
      </c>
      <c r="J279" s="10">
        <v>2524.0500000000002</v>
      </c>
      <c r="K279" s="10">
        <v>2516.15</v>
      </c>
      <c r="L279" s="10">
        <v>2524.9499999999998</v>
      </c>
      <c r="M279" s="10">
        <v>2590.4299999999998</v>
      </c>
      <c r="N279" s="10">
        <v>2511.33</v>
      </c>
      <c r="O279" s="10">
        <v>2540.13</v>
      </c>
      <c r="P279" s="10">
        <v>2527.0700000000002</v>
      </c>
      <c r="Q279" s="10">
        <v>2524.4</v>
      </c>
      <c r="R279" s="301">
        <f>IF((Q280=""),"",MAX(E281:Q281))</f>
        <v>415.61999999999989</v>
      </c>
      <c r="S279" s="301">
        <f>IF(Q280="","",MIN(E281:Q281))</f>
        <v>369.28999999999996</v>
      </c>
      <c r="T279" s="304">
        <f>IF((Q281=""),"",AVERAGE(E281:Q281))</f>
        <v>389.30615384615379</v>
      </c>
      <c r="U279" s="304">
        <f>IF((Q280=""),"",(R279-S279)/(R279+S279)*100)</f>
        <v>5.9025875578091673</v>
      </c>
      <c r="V279" s="304">
        <f>STDEV(E281:Q281)</f>
        <v>12.520960119243714</v>
      </c>
      <c r="W279" s="292" t="str">
        <f>IF(Q280="","",IF(T279&gt;300,IF(U279&lt;14,IF(T279&lt;390,"Pass","Fail"),"Fail"),"Fail"))</f>
        <v>Pass</v>
      </c>
      <c r="X279" s="295">
        <v>74</v>
      </c>
      <c r="Y279" s="309"/>
      <c r="Z279" s="255"/>
      <c r="AA279" s="122">
        <v>270</v>
      </c>
      <c r="AB279" s="122">
        <v>370</v>
      </c>
      <c r="AC279" s="122">
        <v>300</v>
      </c>
      <c r="AD279" s="123">
        <v>390</v>
      </c>
      <c r="AE279" s="123">
        <v>14</v>
      </c>
      <c r="AF279" s="123">
        <v>20</v>
      </c>
    </row>
    <row r="280" spans="1:32" ht="15.55" x14ac:dyDescent="0.25">
      <c r="A280" s="299"/>
      <c r="B280" s="124"/>
      <c r="C280" s="124"/>
      <c r="D280" s="120" t="s">
        <v>193</v>
      </c>
      <c r="E280" s="10">
        <v>2130.94</v>
      </c>
      <c r="F280" s="10">
        <v>2120.61</v>
      </c>
      <c r="G280" s="10">
        <v>2128.5500000000002</v>
      </c>
      <c r="H280" s="10">
        <v>2149.36</v>
      </c>
      <c r="I280" s="10">
        <v>2174.8000000000002</v>
      </c>
      <c r="J280" s="10">
        <v>2136.71</v>
      </c>
      <c r="K280" s="10">
        <v>2125.89</v>
      </c>
      <c r="L280" s="10">
        <v>2151.29</v>
      </c>
      <c r="M280" s="10">
        <v>2180.9</v>
      </c>
      <c r="N280" s="10">
        <v>2119.1999999999998</v>
      </c>
      <c r="O280" s="10">
        <v>2170.84</v>
      </c>
      <c r="P280" s="10">
        <v>2142.44</v>
      </c>
      <c r="Q280" s="10">
        <v>2133.7399999999998</v>
      </c>
      <c r="R280" s="302"/>
      <c r="S280" s="302"/>
      <c r="T280" s="305"/>
      <c r="U280" s="305"/>
      <c r="V280" s="307"/>
      <c r="W280" s="293"/>
      <c r="X280" s="296"/>
      <c r="Y280" s="310"/>
      <c r="Z280" s="255"/>
      <c r="AA280" s="122"/>
      <c r="AB280" s="122"/>
      <c r="AC280" s="122"/>
      <c r="AD280" s="123"/>
      <c r="AE280" s="123"/>
      <c r="AF280" s="123"/>
    </row>
    <row r="281" spans="1:32" ht="62.05" x14ac:dyDescent="0.3">
      <c r="A281" s="300"/>
      <c r="B281" s="119"/>
      <c r="C281" s="119"/>
      <c r="D281" s="120" t="s">
        <v>194</v>
      </c>
      <c r="E281" s="125">
        <f t="shared" ref="E281:Q281" si="91">IF(((E279="")*AND(E280="")),"",(E279-E280))</f>
        <v>389.78999999999996</v>
      </c>
      <c r="F281" s="125">
        <f t="shared" si="91"/>
        <v>392.13999999999987</v>
      </c>
      <c r="G281" s="125">
        <f t="shared" si="91"/>
        <v>385.11999999999989</v>
      </c>
      <c r="H281" s="125">
        <f t="shared" si="91"/>
        <v>380.80999999999995</v>
      </c>
      <c r="I281" s="125">
        <f t="shared" si="91"/>
        <v>415.61999999999989</v>
      </c>
      <c r="J281" s="125">
        <f t="shared" si="91"/>
        <v>387.34000000000015</v>
      </c>
      <c r="K281" s="125">
        <f t="shared" si="91"/>
        <v>390.26000000000022</v>
      </c>
      <c r="L281" s="125">
        <f t="shared" si="91"/>
        <v>373.65999999999985</v>
      </c>
      <c r="M281" s="125">
        <f t="shared" si="91"/>
        <v>409.52999999999975</v>
      </c>
      <c r="N281" s="125">
        <f t="shared" si="91"/>
        <v>392.13000000000011</v>
      </c>
      <c r="O281" s="125">
        <f t="shared" si="91"/>
        <v>369.28999999999996</v>
      </c>
      <c r="P281" s="125">
        <f t="shared" si="91"/>
        <v>384.63000000000011</v>
      </c>
      <c r="Q281" s="125">
        <f t="shared" si="91"/>
        <v>390.66000000000031</v>
      </c>
      <c r="R281" s="303"/>
      <c r="S281" s="303"/>
      <c r="T281" s="306"/>
      <c r="U281" s="306"/>
      <c r="V281" s="308"/>
      <c r="W281" s="294"/>
      <c r="X281" s="297"/>
      <c r="Y281" s="311"/>
      <c r="Z281" s="255"/>
      <c r="AA281" s="122"/>
      <c r="AB281" s="122"/>
      <c r="AC281" s="122"/>
      <c r="AD281" s="122"/>
      <c r="AE281" s="122"/>
      <c r="AF281" s="126"/>
    </row>
    <row r="282" spans="1:32" ht="15.55" x14ac:dyDescent="0.25">
      <c r="A282" s="298">
        <v>43445</v>
      </c>
      <c r="B282" s="119" t="s">
        <v>242</v>
      </c>
      <c r="C282" s="119" t="s">
        <v>238</v>
      </c>
      <c r="D282" s="120" t="s">
        <v>192</v>
      </c>
      <c r="E282" s="10">
        <v>2943</v>
      </c>
      <c r="F282" s="10">
        <v>2833.9</v>
      </c>
      <c r="G282" s="10">
        <v>2821.75</v>
      </c>
      <c r="H282" s="10">
        <v>2831.88</v>
      </c>
      <c r="I282" s="10">
        <v>2884.77</v>
      </c>
      <c r="J282" s="10">
        <v>2878.21</v>
      </c>
      <c r="K282" s="10">
        <v>2818.52</v>
      </c>
      <c r="L282" s="10">
        <v>2839.71</v>
      </c>
      <c r="M282" s="10">
        <v>2952.47</v>
      </c>
      <c r="N282" s="10">
        <v>2836.81</v>
      </c>
      <c r="O282" s="10">
        <v>2839.88</v>
      </c>
      <c r="P282" s="10">
        <v>2828.02</v>
      </c>
      <c r="Q282" s="10">
        <v>2859.78</v>
      </c>
      <c r="R282" s="301">
        <f>IF((Q283=""),"",MAX(E284:Q284))</f>
        <v>372.57999999999993</v>
      </c>
      <c r="S282" s="301">
        <f>IF(Q283="","",MIN(E284:Q284))</f>
        <v>313.19000000000005</v>
      </c>
      <c r="T282" s="304">
        <f>IF((Q284=""),"",AVERAGE(E284:Q284))</f>
        <v>332.80923076923079</v>
      </c>
      <c r="U282" s="304">
        <f>IF((Q283=""),"",(R282-S282)/(R282+S282)*100)</f>
        <v>8.6603380142029938</v>
      </c>
      <c r="V282" s="304">
        <f>STDEV(E284:Q284)</f>
        <v>22.905303411196531</v>
      </c>
      <c r="W282" s="292" t="str">
        <f>IF(Q283="","",IF(T282&gt;300,IF(U282&lt;14,IF(T282&lt;390,"Pass","Fail"),"Fail"),"Fail"))</f>
        <v>Pass</v>
      </c>
      <c r="X282" s="295" t="s">
        <v>223</v>
      </c>
      <c r="Y282" s="309"/>
      <c r="Z282" s="255"/>
      <c r="AA282" s="122">
        <v>270</v>
      </c>
      <c r="AB282" s="122">
        <v>370</v>
      </c>
      <c r="AC282" s="122">
        <v>300</v>
      </c>
      <c r="AD282" s="123">
        <v>390</v>
      </c>
      <c r="AE282" s="123">
        <v>14</v>
      </c>
      <c r="AF282" s="123">
        <v>20</v>
      </c>
    </row>
    <row r="283" spans="1:32" ht="15.55" x14ac:dyDescent="0.25">
      <c r="A283" s="299"/>
      <c r="B283" s="124"/>
      <c r="C283" s="124"/>
      <c r="D283" s="120" t="s">
        <v>193</v>
      </c>
      <c r="E283" s="10">
        <v>2570.42</v>
      </c>
      <c r="F283" s="10">
        <v>2519.31</v>
      </c>
      <c r="G283" s="10">
        <v>2507.86</v>
      </c>
      <c r="H283" s="10">
        <v>2509.92</v>
      </c>
      <c r="I283" s="10">
        <v>2531.58</v>
      </c>
      <c r="J283" s="10">
        <v>2513.02</v>
      </c>
      <c r="K283" s="10">
        <v>2505.33</v>
      </c>
      <c r="L283" s="10">
        <v>2523.17</v>
      </c>
      <c r="M283" s="10">
        <v>2584.0500000000002</v>
      </c>
      <c r="N283" s="10">
        <v>2512.13</v>
      </c>
      <c r="O283" s="10">
        <v>2523.0700000000002</v>
      </c>
      <c r="P283" s="10">
        <v>2505.08</v>
      </c>
      <c r="Q283" s="10">
        <v>2537.2399999999998</v>
      </c>
      <c r="R283" s="302"/>
      <c r="S283" s="302"/>
      <c r="T283" s="305"/>
      <c r="U283" s="305"/>
      <c r="V283" s="307"/>
      <c r="W283" s="293"/>
      <c r="X283" s="296"/>
      <c r="Y283" s="310"/>
      <c r="Z283" s="255"/>
      <c r="AA283" s="122"/>
      <c r="AB283" s="122"/>
      <c r="AC283" s="122"/>
      <c r="AD283" s="123"/>
      <c r="AE283" s="123"/>
      <c r="AF283" s="123"/>
    </row>
    <row r="284" spans="1:32" ht="62.05" x14ac:dyDescent="0.3">
      <c r="A284" s="300"/>
      <c r="B284" s="119"/>
      <c r="C284" s="119"/>
      <c r="D284" s="120" t="s">
        <v>194</v>
      </c>
      <c r="E284" s="125">
        <f t="shared" ref="E284:Q284" si="92">IF(((E282="")*AND(E283="")),"",(E282-E283))</f>
        <v>372.57999999999993</v>
      </c>
      <c r="F284" s="125">
        <f t="shared" si="92"/>
        <v>314.59000000000015</v>
      </c>
      <c r="G284" s="125">
        <f t="shared" si="92"/>
        <v>313.88999999999987</v>
      </c>
      <c r="H284" s="125">
        <f t="shared" si="92"/>
        <v>321.96000000000004</v>
      </c>
      <c r="I284" s="125">
        <f t="shared" si="92"/>
        <v>353.19000000000005</v>
      </c>
      <c r="J284" s="125">
        <f t="shared" si="92"/>
        <v>365.19000000000005</v>
      </c>
      <c r="K284" s="125">
        <f t="shared" si="92"/>
        <v>313.19000000000005</v>
      </c>
      <c r="L284" s="125">
        <f t="shared" si="92"/>
        <v>316.53999999999996</v>
      </c>
      <c r="M284" s="125">
        <f t="shared" si="92"/>
        <v>368.41999999999962</v>
      </c>
      <c r="N284" s="125">
        <f t="shared" si="92"/>
        <v>324.67999999999984</v>
      </c>
      <c r="O284" s="125">
        <f t="shared" si="92"/>
        <v>316.80999999999995</v>
      </c>
      <c r="P284" s="125">
        <f t="shared" si="92"/>
        <v>322.94000000000005</v>
      </c>
      <c r="Q284" s="125">
        <f t="shared" si="92"/>
        <v>322.54000000000042</v>
      </c>
      <c r="R284" s="303"/>
      <c r="S284" s="303"/>
      <c r="T284" s="306"/>
      <c r="U284" s="306"/>
      <c r="V284" s="308"/>
      <c r="W284" s="294"/>
      <c r="X284" s="297"/>
      <c r="Y284" s="311"/>
      <c r="Z284" s="255"/>
      <c r="AA284" s="122"/>
      <c r="AB284" s="122"/>
      <c r="AC284" s="122"/>
      <c r="AD284" s="122"/>
      <c r="AE284" s="122"/>
      <c r="AF284" s="126"/>
    </row>
    <row r="285" spans="1:32" ht="15.55" x14ac:dyDescent="0.25">
      <c r="A285" s="298">
        <v>43451</v>
      </c>
      <c r="B285" s="119" t="s">
        <v>242</v>
      </c>
      <c r="C285" s="119" t="s">
        <v>238</v>
      </c>
      <c r="D285" s="120" t="s">
        <v>192</v>
      </c>
      <c r="E285" s="82">
        <v>2924</v>
      </c>
      <c r="F285" s="82">
        <v>2823</v>
      </c>
      <c r="G285" s="82">
        <v>2805</v>
      </c>
      <c r="H285" s="82">
        <v>2810</v>
      </c>
      <c r="I285" s="82">
        <v>2881</v>
      </c>
      <c r="J285" s="82">
        <v>2871</v>
      </c>
      <c r="K285" s="82">
        <v>2807</v>
      </c>
      <c r="L285" s="82">
        <v>2830</v>
      </c>
      <c r="M285" s="82">
        <v>2947</v>
      </c>
      <c r="N285" s="82">
        <v>2820</v>
      </c>
      <c r="O285" s="82">
        <v>2830</v>
      </c>
      <c r="P285" s="82">
        <v>2819</v>
      </c>
      <c r="Q285" s="82">
        <v>2842</v>
      </c>
      <c r="R285" s="301">
        <f>IF((Q286=""),"",MAX(E287:Q287))</f>
        <v>364</v>
      </c>
      <c r="S285" s="301">
        <f>IF(Q286="","",MIN(E287:Q287))</f>
        <v>309</v>
      </c>
      <c r="T285" s="304">
        <f>IF((Q287=""),"",AVERAGE(E287:Q287))</f>
        <v>330.15384615384613</v>
      </c>
      <c r="U285" s="304">
        <f>IF((Q286=""),"",(R285-S285)/(R285+S285)*100)</f>
        <v>8.1723625557206532</v>
      </c>
      <c r="V285" s="304">
        <f>STDEV(E287:Q287)</f>
        <v>22.659972616363834</v>
      </c>
      <c r="W285" s="292" t="str">
        <f>IF(Q286="","",IF(T285&gt;300,IF(U285&lt;14,IF(T285&lt;390,"Pass","Fail"),"Fail"),"Fail"))</f>
        <v>Pass</v>
      </c>
      <c r="X285" s="295" t="s">
        <v>223</v>
      </c>
      <c r="Y285" s="309"/>
      <c r="Z285" s="255"/>
      <c r="AA285" s="122">
        <v>270</v>
      </c>
      <c r="AB285" s="122">
        <v>370</v>
      </c>
      <c r="AC285" s="122">
        <v>300</v>
      </c>
      <c r="AD285" s="123">
        <v>390</v>
      </c>
      <c r="AE285" s="123">
        <v>14</v>
      </c>
      <c r="AF285" s="123">
        <v>20</v>
      </c>
    </row>
    <row r="286" spans="1:32" ht="15.55" x14ac:dyDescent="0.25">
      <c r="A286" s="299"/>
      <c r="B286" s="124"/>
      <c r="C286" s="124"/>
      <c r="D286" s="120" t="s">
        <v>193</v>
      </c>
      <c r="E286" s="82">
        <v>2560</v>
      </c>
      <c r="F286" s="82">
        <v>2506</v>
      </c>
      <c r="G286" s="82">
        <v>2496</v>
      </c>
      <c r="H286" s="82">
        <v>2498</v>
      </c>
      <c r="I286" s="82">
        <v>2518</v>
      </c>
      <c r="J286" s="82">
        <v>2511</v>
      </c>
      <c r="K286" s="82">
        <v>2494</v>
      </c>
      <c r="L286" s="82">
        <v>2511</v>
      </c>
      <c r="M286" s="82">
        <v>2584</v>
      </c>
      <c r="N286" s="82">
        <v>2502</v>
      </c>
      <c r="O286" s="82">
        <v>2514</v>
      </c>
      <c r="P286" s="82">
        <v>2501</v>
      </c>
      <c r="Q286" s="82">
        <v>2522</v>
      </c>
      <c r="R286" s="302"/>
      <c r="S286" s="302"/>
      <c r="T286" s="305"/>
      <c r="U286" s="305"/>
      <c r="V286" s="307"/>
      <c r="W286" s="293"/>
      <c r="X286" s="296"/>
      <c r="Y286" s="310"/>
      <c r="Z286" s="255"/>
      <c r="AA286" s="122"/>
      <c r="AB286" s="122"/>
      <c r="AC286" s="122"/>
      <c r="AD286" s="123"/>
      <c r="AE286" s="123"/>
      <c r="AF286" s="123"/>
    </row>
    <row r="287" spans="1:32" ht="62.05" x14ac:dyDescent="0.3">
      <c r="A287" s="300"/>
      <c r="B287" s="119"/>
      <c r="C287" s="119"/>
      <c r="D287" s="120" t="s">
        <v>194</v>
      </c>
      <c r="E287" s="125">
        <f t="shared" ref="E287:Q287" si="93">IF(((E285="")*AND(E286="")),"",(E285-E286))</f>
        <v>364</v>
      </c>
      <c r="F287" s="125">
        <f t="shared" si="93"/>
        <v>317</v>
      </c>
      <c r="G287" s="125">
        <f t="shared" si="93"/>
        <v>309</v>
      </c>
      <c r="H287" s="125">
        <f t="shared" si="93"/>
        <v>312</v>
      </c>
      <c r="I287" s="125">
        <f t="shared" si="93"/>
        <v>363</v>
      </c>
      <c r="J287" s="125">
        <f t="shared" si="93"/>
        <v>360</v>
      </c>
      <c r="K287" s="125">
        <f t="shared" si="93"/>
        <v>313</v>
      </c>
      <c r="L287" s="125">
        <f t="shared" si="93"/>
        <v>319</v>
      </c>
      <c r="M287" s="125">
        <f t="shared" si="93"/>
        <v>363</v>
      </c>
      <c r="N287" s="125">
        <f t="shared" si="93"/>
        <v>318</v>
      </c>
      <c r="O287" s="125">
        <f t="shared" si="93"/>
        <v>316</v>
      </c>
      <c r="P287" s="125">
        <f t="shared" si="93"/>
        <v>318</v>
      </c>
      <c r="Q287" s="125">
        <f t="shared" si="93"/>
        <v>320</v>
      </c>
      <c r="R287" s="303"/>
      <c r="S287" s="303"/>
      <c r="T287" s="306"/>
      <c r="U287" s="306"/>
      <c r="V287" s="308"/>
      <c r="W287" s="294"/>
      <c r="X287" s="297"/>
      <c r="Y287" s="311"/>
      <c r="Z287" s="255"/>
      <c r="AA287" s="122"/>
      <c r="AB287" s="122"/>
      <c r="AC287" s="122"/>
      <c r="AD287" s="122"/>
      <c r="AE287" s="122"/>
      <c r="AF287" s="126"/>
    </row>
    <row r="288" spans="1:32" ht="15.55" x14ac:dyDescent="0.25">
      <c r="A288" s="298">
        <v>43460</v>
      </c>
      <c r="B288" s="119" t="s">
        <v>242</v>
      </c>
      <c r="C288" s="119" t="s">
        <v>238</v>
      </c>
      <c r="D288" s="120" t="s">
        <v>192</v>
      </c>
      <c r="E288" s="10">
        <v>2558.4499999999998</v>
      </c>
      <c r="F288" s="10">
        <v>2504.46</v>
      </c>
      <c r="G288" s="10">
        <v>2492.1799999999998</v>
      </c>
      <c r="H288" s="10">
        <v>2496.92</v>
      </c>
      <c r="I288" s="10">
        <v>2517.9</v>
      </c>
      <c r="J288" s="10">
        <v>2511.48</v>
      </c>
      <c r="K288" s="10">
        <v>2492.5300000000002</v>
      </c>
      <c r="L288" s="10">
        <v>2514.04</v>
      </c>
      <c r="M288" s="10">
        <v>2581.02</v>
      </c>
      <c r="N288" s="10">
        <v>2497.92</v>
      </c>
      <c r="O288" s="10">
        <v>2502.4299999999998</v>
      </c>
      <c r="P288" s="10">
        <v>2497.81</v>
      </c>
      <c r="Q288" s="10">
        <v>2522.98</v>
      </c>
      <c r="R288" s="301">
        <f>IF((Q289=""),"",MAX(E290:Q290))</f>
        <v>417.9699999999998</v>
      </c>
      <c r="S288" s="301">
        <f>IF(Q289="","",MIN(E290:Q290))</f>
        <v>328.5300000000002</v>
      </c>
      <c r="T288" s="304">
        <f>IF((Q290=""),"",AVERAGE(E290:Q290))</f>
        <v>361.55153846153848</v>
      </c>
      <c r="U288" s="304">
        <f>IF((Q289=""),"",(R288-S288)/(R288+S288)*100)</f>
        <v>11.981245813797671</v>
      </c>
      <c r="V288" s="304">
        <f>STDEV(E290:Q290)</f>
        <v>28.490204996967428</v>
      </c>
      <c r="W288" s="292" t="str">
        <f>IF(Q289="","",IF(T288&gt;300,IF(U288&lt;14,IF(T288&lt;390,"Pass","Fail"),"Fail"),"Fail"))</f>
        <v>Pass</v>
      </c>
      <c r="X288" s="295">
        <v>74</v>
      </c>
      <c r="Y288" s="309"/>
      <c r="Z288" s="255"/>
      <c r="AA288" s="122">
        <v>270</v>
      </c>
      <c r="AB288" s="122">
        <v>370</v>
      </c>
      <c r="AC288" s="122">
        <v>300</v>
      </c>
      <c r="AD288" s="123">
        <v>390</v>
      </c>
      <c r="AE288" s="123">
        <v>14</v>
      </c>
      <c r="AF288" s="123">
        <v>20</v>
      </c>
    </row>
    <row r="289" spans="1:32" ht="15.55" x14ac:dyDescent="0.25">
      <c r="A289" s="299"/>
      <c r="B289" s="124"/>
      <c r="C289" s="124"/>
      <c r="D289" s="120" t="s">
        <v>193</v>
      </c>
      <c r="E289" s="10">
        <v>2140.48</v>
      </c>
      <c r="F289" s="10">
        <v>2133.5300000000002</v>
      </c>
      <c r="G289" s="10">
        <v>2146.6799999999998</v>
      </c>
      <c r="H289" s="10">
        <v>2148.8000000000002</v>
      </c>
      <c r="I289" s="10">
        <v>2177.71</v>
      </c>
      <c r="J289" s="10">
        <v>2182.9499999999998</v>
      </c>
      <c r="K289" s="10">
        <v>2157</v>
      </c>
      <c r="L289" s="10">
        <v>2144.19</v>
      </c>
      <c r="M289" s="10">
        <v>2164.64</v>
      </c>
      <c r="N289" s="10">
        <v>2143.66</v>
      </c>
      <c r="O289" s="10">
        <v>2145.73</v>
      </c>
      <c r="P289" s="10">
        <v>2157.48</v>
      </c>
      <c r="Q289" s="10">
        <v>2147.1</v>
      </c>
      <c r="R289" s="302"/>
      <c r="S289" s="302"/>
      <c r="T289" s="305"/>
      <c r="U289" s="305"/>
      <c r="V289" s="307"/>
      <c r="W289" s="293"/>
      <c r="X289" s="296"/>
      <c r="Y289" s="310"/>
      <c r="Z289" s="255"/>
      <c r="AA289" s="122"/>
      <c r="AB289" s="122"/>
      <c r="AC289" s="122"/>
      <c r="AD289" s="123"/>
      <c r="AE289" s="123"/>
      <c r="AF289" s="123"/>
    </row>
    <row r="290" spans="1:32" ht="62.05" x14ac:dyDescent="0.3">
      <c r="A290" s="300"/>
      <c r="B290" s="119"/>
      <c r="C290" s="119"/>
      <c r="D290" s="120" t="s">
        <v>194</v>
      </c>
      <c r="E290" s="125">
        <f t="shared" ref="E290:Q290" si="94">IF(((E288="")*AND(E289="")),"",(E288-E289))</f>
        <v>417.9699999999998</v>
      </c>
      <c r="F290" s="125">
        <f t="shared" si="94"/>
        <v>370.92999999999984</v>
      </c>
      <c r="G290" s="125">
        <f t="shared" si="94"/>
        <v>345.5</v>
      </c>
      <c r="H290" s="125">
        <f t="shared" si="94"/>
        <v>348.11999999999989</v>
      </c>
      <c r="I290" s="125">
        <f t="shared" si="94"/>
        <v>340.19000000000005</v>
      </c>
      <c r="J290" s="125">
        <f t="shared" si="94"/>
        <v>328.5300000000002</v>
      </c>
      <c r="K290" s="125">
        <f t="shared" si="94"/>
        <v>335.5300000000002</v>
      </c>
      <c r="L290" s="125">
        <f t="shared" si="94"/>
        <v>369.84999999999991</v>
      </c>
      <c r="M290" s="125">
        <f t="shared" si="94"/>
        <v>416.38000000000011</v>
      </c>
      <c r="N290" s="125">
        <f t="shared" si="94"/>
        <v>354.26000000000022</v>
      </c>
      <c r="O290" s="125">
        <f t="shared" si="94"/>
        <v>356.69999999999982</v>
      </c>
      <c r="P290" s="125">
        <f t="shared" si="94"/>
        <v>340.32999999999993</v>
      </c>
      <c r="Q290" s="125">
        <f t="shared" si="94"/>
        <v>375.88000000000011</v>
      </c>
      <c r="R290" s="303"/>
      <c r="S290" s="303"/>
      <c r="T290" s="306"/>
      <c r="U290" s="306"/>
      <c r="V290" s="308"/>
      <c r="W290" s="294"/>
      <c r="X290" s="297"/>
      <c r="Y290" s="311"/>
      <c r="Z290" s="255"/>
      <c r="AA290" s="122"/>
      <c r="AB290" s="122"/>
      <c r="AC290" s="122"/>
      <c r="AD290" s="122"/>
      <c r="AE290" s="122"/>
      <c r="AF290" s="126"/>
    </row>
    <row r="291" spans="1:32" ht="15.55" x14ac:dyDescent="0.25">
      <c r="A291" s="298">
        <v>43465</v>
      </c>
      <c r="B291" s="119" t="s">
        <v>242</v>
      </c>
      <c r="C291" s="119" t="s">
        <v>238</v>
      </c>
      <c r="D291" s="120" t="s">
        <v>192</v>
      </c>
      <c r="E291" s="10">
        <v>2140.1799999999998</v>
      </c>
      <c r="F291" s="10">
        <v>2136.62</v>
      </c>
      <c r="G291" s="10">
        <v>2138.5</v>
      </c>
      <c r="H291" s="10">
        <v>2150.4299999999998</v>
      </c>
      <c r="I291" s="10">
        <v>2182.8000000000002</v>
      </c>
      <c r="J291" s="10">
        <v>2185.81</v>
      </c>
      <c r="K291" s="10">
        <v>2156.42</v>
      </c>
      <c r="L291" s="10">
        <v>2131.44</v>
      </c>
      <c r="M291" s="10">
        <v>2159.7199999999998</v>
      </c>
      <c r="N291" s="10">
        <v>2143.34</v>
      </c>
      <c r="O291" s="10">
        <v>2140.3000000000002</v>
      </c>
      <c r="P291" s="10">
        <v>2160.85</v>
      </c>
      <c r="Q291" s="10">
        <v>2143.5</v>
      </c>
      <c r="R291" s="301">
        <f>IF((Q292=""),"",MAX(E293:Q293))</f>
        <v>431.96000000000004</v>
      </c>
      <c r="S291" s="301">
        <f>IF(Q292="","",MIN(E293:Q293))</f>
        <v>298.91000000000008</v>
      </c>
      <c r="T291" s="304">
        <f>IF((Q293=""),"",AVERAGE(E293:Q293))</f>
        <v>339.74076923076922</v>
      </c>
      <c r="U291" s="304">
        <f>IF((Q292=""),"",(R291-S291)/(R291+S291)*100)</f>
        <v>18.204331823716931</v>
      </c>
      <c r="V291" s="304">
        <f>STDEV(E293:Q293)</f>
        <v>42.669916307538081</v>
      </c>
      <c r="W291" s="292" t="str">
        <f>IF(Q292="","",IF(T291&gt;300,IF(U291&lt;14,IF(T291&lt;390,"Pass","Fail"),"Fail"),"Fail"))</f>
        <v>Fail</v>
      </c>
      <c r="X291" s="295">
        <v>121</v>
      </c>
      <c r="Y291" s="309"/>
      <c r="Z291" s="255"/>
      <c r="AA291" s="122">
        <v>270</v>
      </c>
      <c r="AB291" s="122">
        <v>370</v>
      </c>
      <c r="AC291" s="122">
        <v>300</v>
      </c>
      <c r="AD291" s="123">
        <v>390</v>
      </c>
      <c r="AE291" s="123">
        <v>14</v>
      </c>
      <c r="AF291" s="123">
        <v>20</v>
      </c>
    </row>
    <row r="292" spans="1:32" ht="15.55" x14ac:dyDescent="0.25">
      <c r="A292" s="299"/>
      <c r="B292" s="124"/>
      <c r="C292" s="124"/>
      <c r="D292" s="120" t="s">
        <v>193</v>
      </c>
      <c r="E292" s="10">
        <v>1798.55</v>
      </c>
      <c r="F292" s="10">
        <v>1830.88</v>
      </c>
      <c r="G292" s="10">
        <v>1824.11</v>
      </c>
      <c r="H292" s="10">
        <v>1821.6</v>
      </c>
      <c r="I292" s="10">
        <v>1756.59</v>
      </c>
      <c r="J292" s="10">
        <v>1753.85</v>
      </c>
      <c r="K292" s="10">
        <v>1815.4</v>
      </c>
      <c r="L292" s="10">
        <v>1832.53</v>
      </c>
      <c r="M292" s="10">
        <v>1815.92</v>
      </c>
      <c r="N292" s="10">
        <v>1820.79</v>
      </c>
      <c r="O292" s="10">
        <v>1825.84</v>
      </c>
      <c r="P292" s="10">
        <v>1817.25</v>
      </c>
      <c r="Q292" s="10">
        <v>1839.97</v>
      </c>
      <c r="R292" s="302"/>
      <c r="S292" s="302"/>
      <c r="T292" s="305"/>
      <c r="U292" s="305"/>
      <c r="V292" s="307"/>
      <c r="W292" s="293"/>
      <c r="X292" s="296"/>
      <c r="Y292" s="310"/>
      <c r="Z292" s="255"/>
      <c r="AA292" s="122"/>
      <c r="AB292" s="122"/>
      <c r="AC292" s="122"/>
      <c r="AD292" s="123"/>
      <c r="AE292" s="123"/>
      <c r="AF292" s="123"/>
    </row>
    <row r="293" spans="1:32" ht="62.05" x14ac:dyDescent="0.3">
      <c r="A293" s="300"/>
      <c r="B293" s="119"/>
      <c r="C293" s="119"/>
      <c r="D293" s="120" t="s">
        <v>194</v>
      </c>
      <c r="E293" s="125">
        <f t="shared" ref="E293:Q293" si="95">IF(((E291="")*AND(E292="")),"",(E291-E292))</f>
        <v>341.62999999999988</v>
      </c>
      <c r="F293" s="125">
        <f t="shared" si="95"/>
        <v>305.73999999999978</v>
      </c>
      <c r="G293" s="125">
        <f t="shared" si="95"/>
        <v>314.3900000000001</v>
      </c>
      <c r="H293" s="125">
        <f t="shared" si="95"/>
        <v>328.82999999999993</v>
      </c>
      <c r="I293" s="125">
        <f t="shared" si="95"/>
        <v>426.21000000000026</v>
      </c>
      <c r="J293" s="125">
        <f t="shared" si="95"/>
        <v>431.96000000000004</v>
      </c>
      <c r="K293" s="125">
        <f t="shared" si="95"/>
        <v>341.02</v>
      </c>
      <c r="L293" s="125">
        <f t="shared" si="95"/>
        <v>298.91000000000008</v>
      </c>
      <c r="M293" s="125">
        <f t="shared" si="95"/>
        <v>343.79999999999973</v>
      </c>
      <c r="N293" s="125">
        <f t="shared" si="95"/>
        <v>322.55000000000018</v>
      </c>
      <c r="O293" s="125">
        <f t="shared" si="95"/>
        <v>314.46000000000026</v>
      </c>
      <c r="P293" s="125">
        <f t="shared" si="95"/>
        <v>343.59999999999991</v>
      </c>
      <c r="Q293" s="125">
        <f t="shared" si="95"/>
        <v>303.52999999999997</v>
      </c>
      <c r="R293" s="303"/>
      <c r="S293" s="303"/>
      <c r="T293" s="306"/>
      <c r="U293" s="306"/>
      <c r="V293" s="308"/>
      <c r="W293" s="294"/>
      <c r="X293" s="297"/>
      <c r="Y293" s="311"/>
      <c r="Z293" s="255"/>
      <c r="AA293" s="122"/>
      <c r="AB293" s="122"/>
      <c r="AC293" s="122"/>
      <c r="AD293" s="122"/>
      <c r="AE293" s="122"/>
      <c r="AF293" s="126"/>
    </row>
    <row r="294" spans="1:32" ht="15.55" x14ac:dyDescent="0.25">
      <c r="A294" s="298">
        <v>43466</v>
      </c>
      <c r="B294" s="119" t="s">
        <v>242</v>
      </c>
      <c r="C294" s="119" t="s">
        <v>238</v>
      </c>
      <c r="D294" s="120" t="s">
        <v>192</v>
      </c>
      <c r="E294" s="10">
        <v>2881.43</v>
      </c>
      <c r="F294" s="10">
        <v>2758.4</v>
      </c>
      <c r="G294" s="10">
        <v>2734.98</v>
      </c>
      <c r="H294" s="10">
        <v>2739.34</v>
      </c>
      <c r="I294" s="10">
        <v>2838.07</v>
      </c>
      <c r="J294" s="10">
        <v>2815.4</v>
      </c>
      <c r="K294" s="10">
        <v>2742.08</v>
      </c>
      <c r="L294" s="10">
        <v>2753.31</v>
      </c>
      <c r="M294" s="10">
        <v>2847.88</v>
      </c>
      <c r="N294" s="10">
        <v>2760.52</v>
      </c>
      <c r="O294" s="10">
        <v>2753.87</v>
      </c>
      <c r="P294" s="10">
        <v>2744.38</v>
      </c>
      <c r="Q294" s="10">
        <v>2775.65</v>
      </c>
      <c r="R294" s="301">
        <f>IF((Q295=""),"",MAX(E296:Q296))</f>
        <v>388.47000000000025</v>
      </c>
      <c r="S294" s="301">
        <f>IF(Q295="","",MIN(E296:Q296))</f>
        <v>316.13999999999987</v>
      </c>
      <c r="T294" s="304">
        <f>IF((Q296=""),"",AVERAGE(E296:Q296))</f>
        <v>341.78461538461545</v>
      </c>
      <c r="U294" s="304">
        <f>IF((Q295=""),"",(R294-S294)/(R294+S294)*100)</f>
        <v>10.265253118746594</v>
      </c>
      <c r="V294" s="304">
        <f>STDEV(E296:Q296)</f>
        <v>28.560371033824921</v>
      </c>
      <c r="W294" s="292" t="str">
        <f>IF(Q295="","",IF(T294&gt;300,IF(U294&lt;14,IF(T294&lt;390,"Pass","Fail"),"Fail"),"Fail"))</f>
        <v>Pass</v>
      </c>
      <c r="X294" s="295" t="s">
        <v>252</v>
      </c>
      <c r="Y294" s="261" t="s">
        <v>224</v>
      </c>
      <c r="Z294" s="255"/>
      <c r="AA294" s="122">
        <v>270</v>
      </c>
      <c r="AB294" s="122">
        <v>370</v>
      </c>
      <c r="AC294" s="122">
        <v>300</v>
      </c>
      <c r="AD294" s="123">
        <v>390</v>
      </c>
      <c r="AE294" s="123">
        <v>14</v>
      </c>
      <c r="AF294" s="123">
        <v>20</v>
      </c>
    </row>
    <row r="295" spans="1:32" ht="15.55" x14ac:dyDescent="0.25">
      <c r="A295" s="299"/>
      <c r="B295" s="124"/>
      <c r="C295" s="124"/>
      <c r="D295" s="120" t="s">
        <v>193</v>
      </c>
      <c r="E295" s="10">
        <v>2496.83</v>
      </c>
      <c r="F295" s="10">
        <v>2436.33</v>
      </c>
      <c r="G295" s="10">
        <v>2418.84</v>
      </c>
      <c r="H295" s="10">
        <v>2419.0300000000002</v>
      </c>
      <c r="I295" s="10">
        <v>2454.83</v>
      </c>
      <c r="J295" s="10">
        <v>2442.11</v>
      </c>
      <c r="K295" s="10">
        <v>2418.79</v>
      </c>
      <c r="L295" s="10">
        <v>2427.66</v>
      </c>
      <c r="M295" s="10">
        <v>2459.41</v>
      </c>
      <c r="N295" s="10">
        <v>2436.89</v>
      </c>
      <c r="O295" s="10">
        <v>2426.1</v>
      </c>
      <c r="P295" s="10">
        <v>2419.5700000000002</v>
      </c>
      <c r="Q295" s="10">
        <v>2445.7199999999998</v>
      </c>
      <c r="R295" s="302"/>
      <c r="S295" s="302"/>
      <c r="T295" s="305"/>
      <c r="U295" s="305"/>
      <c r="V295" s="307"/>
      <c r="W295" s="293"/>
      <c r="X295" s="296"/>
      <c r="Y295" s="258"/>
      <c r="Z295" s="255"/>
      <c r="AA295" s="122"/>
      <c r="AB295" s="122"/>
      <c r="AC295" s="122"/>
      <c r="AD295" s="123"/>
      <c r="AE295" s="123"/>
      <c r="AF295" s="123"/>
    </row>
    <row r="296" spans="1:32" ht="62.05" x14ac:dyDescent="0.3">
      <c r="A296" s="300"/>
      <c r="B296" s="119"/>
      <c r="C296" s="119"/>
      <c r="D296" s="120" t="s">
        <v>194</v>
      </c>
      <c r="E296" s="125">
        <f t="shared" ref="E296:Q296" si="96">IF(((E294="")*AND(E295="")),"",(E294-E295))</f>
        <v>384.59999999999991</v>
      </c>
      <c r="F296" s="125">
        <f t="shared" si="96"/>
        <v>322.07000000000016</v>
      </c>
      <c r="G296" s="125">
        <f t="shared" si="96"/>
        <v>316.13999999999987</v>
      </c>
      <c r="H296" s="125">
        <f t="shared" si="96"/>
        <v>320.30999999999995</v>
      </c>
      <c r="I296" s="125">
        <f t="shared" si="96"/>
        <v>383.24000000000024</v>
      </c>
      <c r="J296" s="125">
        <f t="shared" si="96"/>
        <v>373.28999999999996</v>
      </c>
      <c r="K296" s="125">
        <f t="shared" si="96"/>
        <v>323.28999999999996</v>
      </c>
      <c r="L296" s="125">
        <f t="shared" si="96"/>
        <v>325.65000000000009</v>
      </c>
      <c r="M296" s="125">
        <f t="shared" si="96"/>
        <v>388.47000000000025</v>
      </c>
      <c r="N296" s="125">
        <f t="shared" si="96"/>
        <v>323.63000000000011</v>
      </c>
      <c r="O296" s="125">
        <f t="shared" si="96"/>
        <v>327.77</v>
      </c>
      <c r="P296" s="125">
        <f t="shared" si="96"/>
        <v>324.80999999999995</v>
      </c>
      <c r="Q296" s="125">
        <f t="shared" si="96"/>
        <v>329.93000000000029</v>
      </c>
      <c r="R296" s="303"/>
      <c r="S296" s="303"/>
      <c r="T296" s="306"/>
      <c r="U296" s="306"/>
      <c r="V296" s="308"/>
      <c r="W296" s="294"/>
      <c r="X296" s="297"/>
      <c r="Y296" s="259"/>
      <c r="Z296" s="255"/>
      <c r="AA296" s="122"/>
      <c r="AB296" s="122"/>
      <c r="AC296" s="122"/>
      <c r="AD296" s="122"/>
      <c r="AE296" s="122"/>
      <c r="AF296" s="126"/>
    </row>
    <row r="297" spans="1:32" ht="15.55" x14ac:dyDescent="0.25">
      <c r="A297" s="298">
        <v>43476</v>
      </c>
      <c r="B297" s="119" t="s">
        <v>242</v>
      </c>
      <c r="C297" s="119" t="s">
        <v>238</v>
      </c>
      <c r="D297" s="120" t="s">
        <v>192</v>
      </c>
      <c r="E297" s="10">
        <v>2496.65</v>
      </c>
      <c r="F297" s="10">
        <v>2434.31</v>
      </c>
      <c r="G297" s="10">
        <v>2418.62</v>
      </c>
      <c r="H297" s="10">
        <v>2418.81</v>
      </c>
      <c r="I297" s="10">
        <v>2454.73</v>
      </c>
      <c r="J297" s="10">
        <v>2440.35</v>
      </c>
      <c r="K297" s="10">
        <v>2417.79</v>
      </c>
      <c r="L297" s="10">
        <v>2426.7199999999998</v>
      </c>
      <c r="M297" s="10">
        <v>2459.25</v>
      </c>
      <c r="N297" s="10">
        <v>2435.02</v>
      </c>
      <c r="O297" s="10">
        <v>2424.23</v>
      </c>
      <c r="P297" s="10">
        <v>2420.5</v>
      </c>
      <c r="Q297" s="10">
        <v>2445.11</v>
      </c>
      <c r="R297" s="301">
        <f>IF((Q298=""),"",MAX(E299:Q299))</f>
        <v>397.86000000000013</v>
      </c>
      <c r="S297" s="301">
        <f>IF(Q298="","",MIN(E299:Q299))</f>
        <v>240.28999999999996</v>
      </c>
      <c r="T297" s="304">
        <f>IF((Q299=""),"",AVERAGE(E299:Q299))</f>
        <v>279.86769230769227</v>
      </c>
      <c r="U297" s="304">
        <f>IF((Q298=""),"",(R297-S297)/(R297+S297)*100)</f>
        <v>24.69168690746692</v>
      </c>
      <c r="V297" s="304">
        <f>STDEV(E299:Q299)</f>
        <v>42.079464935176667</v>
      </c>
      <c r="W297" s="292" t="str">
        <f>IF(Q298="","",IF(T297&gt;300,IF(U297&lt;14,IF(T297&lt;390,"Pass","Fail"),"Fail"),"Fail"))</f>
        <v>Fail</v>
      </c>
      <c r="X297" s="295"/>
      <c r="Y297" s="309"/>
      <c r="Z297" s="255"/>
      <c r="AA297" s="122">
        <v>270</v>
      </c>
      <c r="AB297" s="122">
        <v>370</v>
      </c>
      <c r="AC297" s="122">
        <v>300</v>
      </c>
      <c r="AD297" s="123">
        <v>390</v>
      </c>
      <c r="AE297" s="123">
        <v>14</v>
      </c>
      <c r="AF297" s="123">
        <v>20</v>
      </c>
    </row>
    <row r="298" spans="1:32" ht="15.55" x14ac:dyDescent="0.25">
      <c r="A298" s="299"/>
      <c r="B298" s="124"/>
      <c r="C298" s="124"/>
      <c r="D298" s="120" t="s">
        <v>193</v>
      </c>
      <c r="E298" s="10">
        <v>2098.79</v>
      </c>
      <c r="F298" s="10">
        <v>2164.12</v>
      </c>
      <c r="G298" s="10">
        <v>2162.5500000000002</v>
      </c>
      <c r="H298" s="10">
        <v>2165.2800000000002</v>
      </c>
      <c r="I298" s="10">
        <v>2160.6</v>
      </c>
      <c r="J298" s="10">
        <v>2156.79</v>
      </c>
      <c r="K298" s="10">
        <v>2177.5</v>
      </c>
      <c r="L298" s="10">
        <v>2166.21</v>
      </c>
      <c r="M298" s="10">
        <v>2131.7800000000002</v>
      </c>
      <c r="N298" s="10">
        <v>2165.64</v>
      </c>
      <c r="O298" s="10">
        <v>2167.77</v>
      </c>
      <c r="P298" s="10">
        <v>2170.4499999999998</v>
      </c>
      <c r="Q298" s="10">
        <v>2166.33</v>
      </c>
      <c r="R298" s="302"/>
      <c r="S298" s="302"/>
      <c r="T298" s="305"/>
      <c r="U298" s="305"/>
      <c r="V298" s="307"/>
      <c r="W298" s="293"/>
      <c r="X298" s="296"/>
      <c r="Y298" s="310"/>
      <c r="Z298" s="255"/>
      <c r="AA298" s="122"/>
      <c r="AB298" s="122"/>
      <c r="AC298" s="122"/>
      <c r="AD298" s="123"/>
      <c r="AE298" s="123"/>
      <c r="AF298" s="123"/>
    </row>
    <row r="299" spans="1:32" ht="62.05" x14ac:dyDescent="0.3">
      <c r="A299" s="300"/>
      <c r="B299" s="119"/>
      <c r="C299" s="119"/>
      <c r="D299" s="120" t="s">
        <v>194</v>
      </c>
      <c r="E299" s="125">
        <f t="shared" ref="E299:Q299" si="97">IF(((E297="")*AND(E298="")),"",(E297-E298))</f>
        <v>397.86000000000013</v>
      </c>
      <c r="F299" s="125">
        <f t="shared" si="97"/>
        <v>270.19000000000005</v>
      </c>
      <c r="G299" s="125">
        <f t="shared" si="97"/>
        <v>256.06999999999971</v>
      </c>
      <c r="H299" s="125">
        <f t="shared" si="97"/>
        <v>253.52999999999975</v>
      </c>
      <c r="I299" s="125">
        <f t="shared" si="97"/>
        <v>294.13000000000011</v>
      </c>
      <c r="J299" s="125">
        <f t="shared" si="97"/>
        <v>283.55999999999995</v>
      </c>
      <c r="K299" s="125">
        <f t="shared" si="97"/>
        <v>240.28999999999996</v>
      </c>
      <c r="L299" s="125">
        <f t="shared" si="97"/>
        <v>260.50999999999976</v>
      </c>
      <c r="M299" s="125">
        <f t="shared" si="97"/>
        <v>327.4699999999998</v>
      </c>
      <c r="N299" s="125">
        <f t="shared" si="97"/>
        <v>269.38000000000011</v>
      </c>
      <c r="O299" s="125">
        <f t="shared" si="97"/>
        <v>256.46000000000004</v>
      </c>
      <c r="P299" s="125">
        <f t="shared" si="97"/>
        <v>250.05000000000018</v>
      </c>
      <c r="Q299" s="125">
        <f t="shared" si="97"/>
        <v>278.7800000000002</v>
      </c>
      <c r="R299" s="303"/>
      <c r="S299" s="303"/>
      <c r="T299" s="306"/>
      <c r="U299" s="306"/>
      <c r="V299" s="308"/>
      <c r="W299" s="294"/>
      <c r="X299" s="297"/>
      <c r="Y299" s="311"/>
      <c r="Z299" s="255"/>
      <c r="AA299" s="122"/>
      <c r="AB299" s="122"/>
      <c r="AC299" s="122"/>
      <c r="AD299" s="122"/>
      <c r="AE299" s="122"/>
      <c r="AF299" s="126"/>
    </row>
    <row r="300" spans="1:32" ht="15.55" x14ac:dyDescent="0.25">
      <c r="A300" s="298">
        <v>43476</v>
      </c>
      <c r="B300" s="119" t="s">
        <v>242</v>
      </c>
      <c r="C300" s="119" t="s">
        <v>238</v>
      </c>
      <c r="D300" s="120" t="s">
        <v>192</v>
      </c>
      <c r="E300" s="10">
        <v>2098.79</v>
      </c>
      <c r="F300" s="10">
        <v>2164.12</v>
      </c>
      <c r="G300" s="10">
        <v>2162.5500000000002</v>
      </c>
      <c r="H300" s="10">
        <v>2165.2800000000002</v>
      </c>
      <c r="I300" s="10">
        <v>2160.6</v>
      </c>
      <c r="J300" s="10">
        <v>2156.79</v>
      </c>
      <c r="K300" s="10">
        <v>2177.5</v>
      </c>
      <c r="L300" s="10">
        <v>2166.21</v>
      </c>
      <c r="M300" s="10">
        <v>2131.7800000000002</v>
      </c>
      <c r="N300" s="10">
        <v>2165.64</v>
      </c>
      <c r="O300" s="10">
        <v>2167.77</v>
      </c>
      <c r="P300" s="10">
        <v>2170.4499999999998</v>
      </c>
      <c r="Q300" s="10">
        <v>2166.33</v>
      </c>
      <c r="R300" s="301">
        <f>IF((Q301=""),"",MAX(E302:Q302))</f>
        <v>488.83999999999992</v>
      </c>
      <c r="S300" s="301">
        <f>IF(Q301="","",MIN(E302:Q302))</f>
        <v>379.07999999999993</v>
      </c>
      <c r="T300" s="304">
        <f>IF((Q302=""),"",AVERAGE(E302:Q302))</f>
        <v>426.39923076923071</v>
      </c>
      <c r="U300" s="304">
        <f>IF((Q301=""),"",(R300-S300)/(R300+S300)*100)</f>
        <v>12.64632685040096</v>
      </c>
      <c r="V300" s="304">
        <f>STDEV(E302:Q302)</f>
        <v>31.331002872963403</v>
      </c>
      <c r="W300" s="292" t="str">
        <f>IF(Q301="","",IF(T300&gt;300,IF(U300&lt;14,IF(T300&lt;390,"Pass","Fail"),"Fail"),"Fail"))</f>
        <v>Fail</v>
      </c>
      <c r="X300" s="295">
        <v>1340</v>
      </c>
      <c r="Y300" s="309"/>
      <c r="Z300" s="255"/>
      <c r="AA300" s="122">
        <v>270</v>
      </c>
      <c r="AB300" s="122">
        <v>370</v>
      </c>
      <c r="AC300" s="122">
        <v>300</v>
      </c>
      <c r="AD300" s="123">
        <v>390</v>
      </c>
      <c r="AE300" s="123">
        <v>14</v>
      </c>
      <c r="AF300" s="123">
        <v>20</v>
      </c>
    </row>
    <row r="301" spans="1:32" ht="15.55" x14ac:dyDescent="0.25">
      <c r="A301" s="299"/>
      <c r="B301" s="124"/>
      <c r="C301" s="124"/>
      <c r="D301" s="120" t="s">
        <v>193</v>
      </c>
      <c r="E301" s="10">
        <v>1719.71</v>
      </c>
      <c r="F301" s="10">
        <v>1761.95</v>
      </c>
      <c r="G301" s="10">
        <v>1753.31</v>
      </c>
      <c r="H301" s="10">
        <v>1745.82</v>
      </c>
      <c r="I301" s="10">
        <v>1678.71</v>
      </c>
      <c r="J301" s="10">
        <v>1667.95</v>
      </c>
      <c r="K301" s="10">
        <v>1746.02</v>
      </c>
      <c r="L301" s="10">
        <v>1753.41</v>
      </c>
      <c r="M301" s="10">
        <v>1682.11</v>
      </c>
      <c r="N301" s="10">
        <v>1756.98</v>
      </c>
      <c r="O301" s="10">
        <v>1741.72</v>
      </c>
      <c r="P301" s="10">
        <v>1739.63</v>
      </c>
      <c r="Q301" s="10">
        <v>1763.3</v>
      </c>
      <c r="R301" s="302"/>
      <c r="S301" s="302"/>
      <c r="T301" s="305"/>
      <c r="U301" s="305"/>
      <c r="V301" s="307"/>
      <c r="W301" s="293"/>
      <c r="X301" s="296"/>
      <c r="Y301" s="310"/>
      <c r="Z301" s="255"/>
      <c r="AA301" s="122"/>
      <c r="AB301" s="122"/>
      <c r="AC301" s="122"/>
      <c r="AD301" s="123"/>
      <c r="AE301" s="123"/>
      <c r="AF301" s="123"/>
    </row>
    <row r="302" spans="1:32" ht="62.05" x14ac:dyDescent="0.3">
      <c r="A302" s="300"/>
      <c r="B302" s="119"/>
      <c r="C302" s="119"/>
      <c r="D302" s="120" t="s">
        <v>194</v>
      </c>
      <c r="E302" s="125">
        <f t="shared" ref="E302:Q302" si="98">IF(((E300="")*AND(E301="")),"",(E300-E301))</f>
        <v>379.07999999999993</v>
      </c>
      <c r="F302" s="125">
        <f t="shared" si="98"/>
        <v>402.16999999999985</v>
      </c>
      <c r="G302" s="125">
        <f t="shared" si="98"/>
        <v>409.24000000000024</v>
      </c>
      <c r="H302" s="125">
        <f t="shared" si="98"/>
        <v>419.46000000000026</v>
      </c>
      <c r="I302" s="125">
        <f t="shared" si="98"/>
        <v>481.88999999999987</v>
      </c>
      <c r="J302" s="125">
        <f t="shared" si="98"/>
        <v>488.83999999999992</v>
      </c>
      <c r="K302" s="125">
        <f t="shared" si="98"/>
        <v>431.48</v>
      </c>
      <c r="L302" s="125">
        <f t="shared" si="98"/>
        <v>412.79999999999995</v>
      </c>
      <c r="M302" s="125">
        <f t="shared" si="98"/>
        <v>449.6700000000003</v>
      </c>
      <c r="N302" s="125">
        <f t="shared" si="98"/>
        <v>408.65999999999985</v>
      </c>
      <c r="O302" s="125">
        <f t="shared" si="98"/>
        <v>426.04999999999995</v>
      </c>
      <c r="P302" s="125">
        <f t="shared" si="98"/>
        <v>430.81999999999971</v>
      </c>
      <c r="Q302" s="125">
        <f t="shared" si="98"/>
        <v>403.03</v>
      </c>
      <c r="R302" s="303"/>
      <c r="S302" s="303"/>
      <c r="T302" s="306"/>
      <c r="U302" s="306"/>
      <c r="V302" s="308"/>
      <c r="W302" s="294"/>
      <c r="X302" s="297"/>
      <c r="Y302" s="311"/>
      <c r="Z302" s="255"/>
      <c r="AA302" s="122"/>
      <c r="AB302" s="122"/>
      <c r="AC302" s="122"/>
      <c r="AD302" s="122"/>
      <c r="AE302" s="122"/>
      <c r="AF302" s="126"/>
    </row>
    <row r="303" spans="1:32" ht="15.55" x14ac:dyDescent="0.25">
      <c r="A303" s="298">
        <v>43115</v>
      </c>
      <c r="B303" s="119" t="s">
        <v>242</v>
      </c>
      <c r="C303" s="119" t="s">
        <v>238</v>
      </c>
      <c r="D303" s="120" t="s">
        <v>192</v>
      </c>
      <c r="E303" s="10">
        <v>2881.6</v>
      </c>
      <c r="F303" s="10">
        <v>2760.23</v>
      </c>
      <c r="G303" s="10">
        <v>2740.67</v>
      </c>
      <c r="H303" s="10">
        <v>2747.87</v>
      </c>
      <c r="I303" s="10">
        <v>2838.99</v>
      </c>
      <c r="J303" s="10">
        <v>2817.5</v>
      </c>
      <c r="K303" s="10">
        <v>2746.5</v>
      </c>
      <c r="L303" s="10">
        <v>2753.84</v>
      </c>
      <c r="M303" s="10">
        <v>2850.01</v>
      </c>
      <c r="N303" s="10">
        <v>2763.04</v>
      </c>
      <c r="O303" s="10">
        <v>2759.88</v>
      </c>
      <c r="P303" s="10">
        <v>2748.01</v>
      </c>
      <c r="Q303" s="10">
        <v>2775.94</v>
      </c>
      <c r="R303" s="301">
        <f>IF((Q304=""),"",MAX(E305:Q305))</f>
        <v>369.84000000000015</v>
      </c>
      <c r="S303" s="301">
        <f>IF(Q304="","",MIN(E305:Q305))</f>
        <v>313.70000000000027</v>
      </c>
      <c r="T303" s="304">
        <f>IF((Q305=""),"",AVERAGE(E305:Q305))</f>
        <v>332.48538461538465</v>
      </c>
      <c r="U303" s="304">
        <f>IF((Q304=""),"",(R303-S303)/(R303+S303)*100)</f>
        <v>8.2131257863475184</v>
      </c>
      <c r="V303" s="304">
        <f>STDEV(E305:Q305)</f>
        <v>22.033252375816101</v>
      </c>
      <c r="W303" s="292" t="str">
        <f>IF(Q304="","",IF(T303&gt;300,IF(U303&lt;14,IF(T303&lt;390,"Pass","Fail"),"Fail"),"Fail"))</f>
        <v>Pass</v>
      </c>
      <c r="X303" s="295">
        <v>1159</v>
      </c>
      <c r="Y303" s="309"/>
      <c r="Z303" s="255"/>
      <c r="AA303" s="122">
        <v>270</v>
      </c>
      <c r="AB303" s="122">
        <v>370</v>
      </c>
      <c r="AC303" s="122">
        <v>300</v>
      </c>
      <c r="AD303" s="123">
        <v>390</v>
      </c>
      <c r="AE303" s="123">
        <v>14</v>
      </c>
      <c r="AF303" s="123">
        <v>20</v>
      </c>
    </row>
    <row r="304" spans="1:32" ht="15.55" x14ac:dyDescent="0.25">
      <c r="A304" s="299"/>
      <c r="B304" s="124"/>
      <c r="C304" s="124"/>
      <c r="D304" s="120" t="s">
        <v>193</v>
      </c>
      <c r="E304" s="10">
        <v>2513.7800000000002</v>
      </c>
      <c r="F304" s="10">
        <v>2442.44</v>
      </c>
      <c r="G304" s="10">
        <v>2426.9699999999998</v>
      </c>
      <c r="H304" s="10">
        <v>2426.66</v>
      </c>
      <c r="I304" s="10">
        <v>2477.5500000000002</v>
      </c>
      <c r="J304" s="10">
        <v>2461.85</v>
      </c>
      <c r="K304" s="10">
        <v>2429.02</v>
      </c>
      <c r="L304" s="10">
        <v>2436.88</v>
      </c>
      <c r="M304" s="10">
        <v>2480.17</v>
      </c>
      <c r="N304" s="10">
        <v>2444.41</v>
      </c>
      <c r="O304" s="10">
        <v>2436.02</v>
      </c>
      <c r="P304" s="10">
        <v>2431.5500000000002</v>
      </c>
      <c r="Q304" s="10">
        <v>2454.4699999999998</v>
      </c>
      <c r="R304" s="302"/>
      <c r="S304" s="302"/>
      <c r="T304" s="305"/>
      <c r="U304" s="305"/>
      <c r="V304" s="307"/>
      <c r="W304" s="293"/>
      <c r="X304" s="296"/>
      <c r="Y304" s="310"/>
      <c r="Z304" s="255"/>
      <c r="AA304" s="122"/>
      <c r="AB304" s="122"/>
      <c r="AC304" s="122"/>
      <c r="AD304" s="123"/>
      <c r="AE304" s="123"/>
      <c r="AF304" s="123"/>
    </row>
    <row r="305" spans="1:32" ht="62.05" x14ac:dyDescent="0.3">
      <c r="A305" s="300"/>
      <c r="B305" s="119"/>
      <c r="C305" s="119"/>
      <c r="D305" s="120" t="s">
        <v>194</v>
      </c>
      <c r="E305" s="125">
        <f t="shared" ref="E305:Q305" si="99">IF(((E303="")*AND(E304="")),"",(E303-E304))</f>
        <v>367.81999999999971</v>
      </c>
      <c r="F305" s="125">
        <f t="shared" si="99"/>
        <v>317.78999999999996</v>
      </c>
      <c r="G305" s="125">
        <f t="shared" si="99"/>
        <v>313.70000000000027</v>
      </c>
      <c r="H305" s="125">
        <f t="shared" si="99"/>
        <v>321.21000000000004</v>
      </c>
      <c r="I305" s="125">
        <f t="shared" si="99"/>
        <v>361.4399999999996</v>
      </c>
      <c r="J305" s="125">
        <f t="shared" si="99"/>
        <v>355.65000000000009</v>
      </c>
      <c r="K305" s="125">
        <f t="shared" si="99"/>
        <v>317.48</v>
      </c>
      <c r="L305" s="125">
        <f t="shared" si="99"/>
        <v>316.96000000000004</v>
      </c>
      <c r="M305" s="125">
        <f t="shared" si="99"/>
        <v>369.84000000000015</v>
      </c>
      <c r="N305" s="125">
        <f t="shared" si="99"/>
        <v>318.63000000000011</v>
      </c>
      <c r="O305" s="125">
        <f t="shared" si="99"/>
        <v>323.86000000000013</v>
      </c>
      <c r="P305" s="125">
        <f t="shared" si="99"/>
        <v>316.46000000000004</v>
      </c>
      <c r="Q305" s="125">
        <f t="shared" si="99"/>
        <v>321.47000000000025</v>
      </c>
      <c r="R305" s="303"/>
      <c r="S305" s="303"/>
      <c r="T305" s="306"/>
      <c r="U305" s="306"/>
      <c r="V305" s="308"/>
      <c r="W305" s="294"/>
      <c r="X305" s="297"/>
      <c r="Y305" s="311"/>
      <c r="Z305" s="255"/>
      <c r="AA305" s="122"/>
      <c r="AB305" s="122"/>
      <c r="AC305" s="122"/>
      <c r="AD305" s="122"/>
      <c r="AE305" s="122"/>
      <c r="AF305" s="126"/>
    </row>
    <row r="306" spans="1:32" ht="15.55" x14ac:dyDescent="0.25">
      <c r="A306" s="298">
        <v>43486</v>
      </c>
      <c r="B306" s="119" t="s">
        <v>242</v>
      </c>
      <c r="C306" s="119" t="s">
        <v>238</v>
      </c>
      <c r="D306" s="120" t="s">
        <v>192</v>
      </c>
      <c r="E306" s="10">
        <v>2514.8200000000002</v>
      </c>
      <c r="F306" s="10">
        <v>2442.5300000000002</v>
      </c>
      <c r="G306" s="10">
        <v>2426.73</v>
      </c>
      <c r="H306" s="10">
        <v>2427.91</v>
      </c>
      <c r="I306" s="10">
        <v>2477.41</v>
      </c>
      <c r="J306" s="10">
        <v>2462.19</v>
      </c>
      <c r="K306" s="10">
        <v>2428.34</v>
      </c>
      <c r="L306" s="10">
        <v>2436.5100000000002</v>
      </c>
      <c r="M306" s="10">
        <v>2484.33</v>
      </c>
      <c r="N306" s="10">
        <v>2443.66</v>
      </c>
      <c r="O306" s="10">
        <v>2436.1999999999998</v>
      </c>
      <c r="P306" s="10">
        <v>2430.6799999999998</v>
      </c>
      <c r="Q306" s="10">
        <v>2452.96</v>
      </c>
      <c r="R306" s="301">
        <f>IF((Q307=""),"",MAX(E308:Q308))</f>
        <v>355.70000000000027</v>
      </c>
      <c r="S306" s="301">
        <f>IF(Q307="","",MIN(E308:Q308))</f>
        <v>236.35000000000036</v>
      </c>
      <c r="T306" s="304">
        <f>IF((Q308=""),"",AVERAGE(E308:Q308))</f>
        <v>271.3630769230769</v>
      </c>
      <c r="U306" s="304">
        <f>IF((Q307=""),"",(R306-S306)/(R306+S306)*100)</f>
        <v>20.158770374123769</v>
      </c>
      <c r="V306" s="304">
        <f>STDEV(E308:Q308)</f>
        <v>37.647524572144974</v>
      </c>
      <c r="W306" s="292" t="str">
        <f>IF(Q307="","",IF(T306&gt;300,IF(U306&lt;14,IF(T306&lt;390,"Pass","Fail"),"Fail"),"Fail"))</f>
        <v>Fail</v>
      </c>
      <c r="X306" s="295">
        <v>1428</v>
      </c>
      <c r="Y306" s="309"/>
      <c r="Z306" s="255"/>
      <c r="AA306" s="122">
        <v>270</v>
      </c>
      <c r="AB306" s="122">
        <v>370</v>
      </c>
      <c r="AC306" s="122">
        <v>300</v>
      </c>
      <c r="AD306" s="123">
        <v>390</v>
      </c>
      <c r="AE306" s="123">
        <v>14</v>
      </c>
      <c r="AF306" s="123">
        <v>20</v>
      </c>
    </row>
    <row r="307" spans="1:32" ht="15.55" x14ac:dyDescent="0.25">
      <c r="A307" s="299"/>
      <c r="B307" s="124"/>
      <c r="C307" s="124"/>
      <c r="D307" s="120" t="s">
        <v>193</v>
      </c>
      <c r="E307" s="10">
        <v>2159.12</v>
      </c>
      <c r="F307" s="10">
        <v>2182.6799999999998</v>
      </c>
      <c r="G307" s="10">
        <v>2183.0300000000002</v>
      </c>
      <c r="H307" s="10">
        <v>2186.77</v>
      </c>
      <c r="I307" s="10">
        <v>2177.5500000000002</v>
      </c>
      <c r="J307" s="10">
        <v>2176.1</v>
      </c>
      <c r="K307" s="10">
        <v>2191.9899999999998</v>
      </c>
      <c r="L307" s="10">
        <v>2184.52</v>
      </c>
      <c r="M307" s="10">
        <v>2151.38</v>
      </c>
      <c r="N307" s="10">
        <v>2185.29</v>
      </c>
      <c r="O307" s="10">
        <v>2188.42</v>
      </c>
      <c r="P307" s="10">
        <v>2189.86</v>
      </c>
      <c r="Q307" s="10">
        <v>2179.84</v>
      </c>
      <c r="R307" s="302"/>
      <c r="S307" s="302"/>
      <c r="T307" s="305"/>
      <c r="U307" s="305"/>
      <c r="V307" s="307"/>
      <c r="W307" s="293"/>
      <c r="X307" s="296"/>
      <c r="Y307" s="310"/>
      <c r="Z307" s="255"/>
      <c r="AA307" s="122"/>
      <c r="AB307" s="122"/>
      <c r="AC307" s="122"/>
      <c r="AD307" s="123"/>
      <c r="AE307" s="123"/>
      <c r="AF307" s="123"/>
    </row>
    <row r="308" spans="1:32" ht="62.05" x14ac:dyDescent="0.3">
      <c r="A308" s="300"/>
      <c r="B308" s="119"/>
      <c r="C308" s="119"/>
      <c r="D308" s="120" t="s">
        <v>194</v>
      </c>
      <c r="E308" s="125">
        <f t="shared" ref="E308:Q308" si="100">IF(((E306="")*AND(E307="")),"",(E306-E307))</f>
        <v>355.70000000000027</v>
      </c>
      <c r="F308" s="125">
        <f t="shared" si="100"/>
        <v>259.85000000000036</v>
      </c>
      <c r="G308" s="125">
        <f t="shared" si="100"/>
        <v>243.69999999999982</v>
      </c>
      <c r="H308" s="125">
        <f t="shared" si="100"/>
        <v>241.13999999999987</v>
      </c>
      <c r="I308" s="125">
        <f t="shared" si="100"/>
        <v>299.85999999999967</v>
      </c>
      <c r="J308" s="125">
        <f t="shared" si="100"/>
        <v>286.09000000000015</v>
      </c>
      <c r="K308" s="125">
        <f t="shared" si="100"/>
        <v>236.35000000000036</v>
      </c>
      <c r="L308" s="125">
        <f t="shared" si="100"/>
        <v>251.99000000000024</v>
      </c>
      <c r="M308" s="125">
        <f t="shared" si="100"/>
        <v>332.94999999999982</v>
      </c>
      <c r="N308" s="125">
        <f t="shared" si="100"/>
        <v>258.36999999999989</v>
      </c>
      <c r="O308" s="125">
        <f t="shared" si="100"/>
        <v>247.77999999999975</v>
      </c>
      <c r="P308" s="125">
        <f t="shared" si="100"/>
        <v>240.81999999999971</v>
      </c>
      <c r="Q308" s="125">
        <f t="shared" si="100"/>
        <v>273.11999999999989</v>
      </c>
      <c r="R308" s="303"/>
      <c r="S308" s="303"/>
      <c r="T308" s="306"/>
      <c r="U308" s="306"/>
      <c r="V308" s="308"/>
      <c r="W308" s="294"/>
      <c r="X308" s="297"/>
      <c r="Y308" s="311"/>
      <c r="Z308" s="255"/>
      <c r="AA308" s="122"/>
      <c r="AB308" s="122"/>
      <c r="AC308" s="122"/>
      <c r="AD308" s="122"/>
      <c r="AE308" s="122"/>
      <c r="AF308" s="126"/>
    </row>
    <row r="309" spans="1:32" ht="15.55" x14ac:dyDescent="0.25">
      <c r="A309" s="298">
        <v>43486</v>
      </c>
      <c r="B309" s="119" t="s">
        <v>242</v>
      </c>
      <c r="C309" s="119" t="s">
        <v>238</v>
      </c>
      <c r="D309" s="120" t="s">
        <v>192</v>
      </c>
      <c r="E309" s="10">
        <v>2880.52</v>
      </c>
      <c r="F309" s="10">
        <v>2754.3</v>
      </c>
      <c r="G309" s="10">
        <v>2738.04</v>
      </c>
      <c r="H309" s="10">
        <v>2742.33</v>
      </c>
      <c r="I309" s="10">
        <v>2840.39</v>
      </c>
      <c r="J309" s="10">
        <v>2814.97</v>
      </c>
      <c r="K309" s="10">
        <v>2742.96</v>
      </c>
      <c r="L309" s="10">
        <v>2749.83</v>
      </c>
      <c r="M309" s="10">
        <v>2837.92</v>
      </c>
      <c r="N309" s="10">
        <v>2765.55</v>
      </c>
      <c r="O309" s="10">
        <v>2754.22</v>
      </c>
      <c r="P309" s="10">
        <v>2750.76</v>
      </c>
      <c r="Q309" s="10">
        <v>2768.24</v>
      </c>
      <c r="R309" s="301">
        <f>IF((Q310=""),"",MAX(E311:Q311))</f>
        <v>389.84999999999991</v>
      </c>
      <c r="S309" s="301">
        <f>IF(Q310="","",MIN(E311:Q311))</f>
        <v>311.57000000000016</v>
      </c>
      <c r="T309" s="304">
        <f>IF((Q311=""),"",AVERAGE(E311:Q311))</f>
        <v>337.61692307692306</v>
      </c>
      <c r="U309" s="304">
        <f>IF((Q310=""),"",(R309-S309)/(R309+S309)*100)</f>
        <v>11.160217843802535</v>
      </c>
      <c r="V309" s="304">
        <f>STDEV(E311:Q311)</f>
        <v>32.14500800658768</v>
      </c>
      <c r="W309" s="292" t="str">
        <f>IF(Q310="","",IF(T309&gt;300,IF(U309&lt;14,IF(T309&lt;390,"Pass","Fail"),"Fail"),"Fail"))</f>
        <v>Pass</v>
      </c>
      <c r="X309" s="295">
        <v>1428</v>
      </c>
      <c r="Y309" s="261" t="s">
        <v>253</v>
      </c>
      <c r="Z309" s="255"/>
      <c r="AA309" s="122">
        <v>270</v>
      </c>
      <c r="AB309" s="122">
        <v>370</v>
      </c>
      <c r="AC309" s="122">
        <v>300</v>
      </c>
      <c r="AD309" s="123">
        <v>390</v>
      </c>
      <c r="AE309" s="123">
        <v>14</v>
      </c>
      <c r="AF309" s="123">
        <v>20</v>
      </c>
    </row>
    <row r="310" spans="1:32" ht="15.55" x14ac:dyDescent="0.25">
      <c r="A310" s="299"/>
      <c r="B310" s="124"/>
      <c r="C310" s="124"/>
      <c r="D310" s="120" t="s">
        <v>193</v>
      </c>
      <c r="E310" s="10">
        <v>2493.15</v>
      </c>
      <c r="F310" s="10">
        <v>2440.1799999999998</v>
      </c>
      <c r="G310" s="10">
        <v>2426.46</v>
      </c>
      <c r="H310" s="10">
        <v>2427.54</v>
      </c>
      <c r="I310" s="10">
        <v>2459.83</v>
      </c>
      <c r="J310" s="10">
        <v>2439.21</v>
      </c>
      <c r="K310" s="10">
        <v>2431.39</v>
      </c>
      <c r="L310" s="10">
        <v>2433.0500000000002</v>
      </c>
      <c r="M310" s="10">
        <v>2448.0700000000002</v>
      </c>
      <c r="N310" s="10">
        <v>2445.36</v>
      </c>
      <c r="O310" s="10">
        <v>2430.12</v>
      </c>
      <c r="P310" s="10">
        <v>2427.83</v>
      </c>
      <c r="Q310" s="10">
        <v>2448.8200000000002</v>
      </c>
      <c r="R310" s="302"/>
      <c r="S310" s="302"/>
      <c r="T310" s="305"/>
      <c r="U310" s="305"/>
      <c r="V310" s="307"/>
      <c r="W310" s="293"/>
      <c r="X310" s="296"/>
      <c r="Y310" s="258"/>
      <c r="Z310" s="255"/>
      <c r="AA310" s="122"/>
      <c r="AB310" s="122"/>
      <c r="AC310" s="122"/>
      <c r="AD310" s="123"/>
      <c r="AE310" s="123"/>
      <c r="AF310" s="123"/>
    </row>
    <row r="311" spans="1:32" ht="62.05" x14ac:dyDescent="0.3">
      <c r="A311" s="300"/>
      <c r="B311" s="119"/>
      <c r="C311" s="119"/>
      <c r="D311" s="120" t="s">
        <v>194</v>
      </c>
      <c r="E311" s="125">
        <f t="shared" ref="E311:Q311" si="101">IF(((E309="")*AND(E310="")),"",(E309-E310))</f>
        <v>387.36999999999989</v>
      </c>
      <c r="F311" s="125">
        <f t="shared" si="101"/>
        <v>314.12000000000035</v>
      </c>
      <c r="G311" s="125">
        <f t="shared" si="101"/>
        <v>311.57999999999993</v>
      </c>
      <c r="H311" s="125">
        <f t="shared" si="101"/>
        <v>314.78999999999996</v>
      </c>
      <c r="I311" s="125">
        <f t="shared" si="101"/>
        <v>380.55999999999995</v>
      </c>
      <c r="J311" s="125">
        <f t="shared" si="101"/>
        <v>375.75999999999976</v>
      </c>
      <c r="K311" s="125">
        <f t="shared" si="101"/>
        <v>311.57000000000016</v>
      </c>
      <c r="L311" s="125">
        <f t="shared" si="101"/>
        <v>316.77999999999975</v>
      </c>
      <c r="M311" s="125">
        <f t="shared" si="101"/>
        <v>389.84999999999991</v>
      </c>
      <c r="N311" s="125">
        <f t="shared" si="101"/>
        <v>320.19000000000005</v>
      </c>
      <c r="O311" s="125">
        <f t="shared" si="101"/>
        <v>324.09999999999991</v>
      </c>
      <c r="P311" s="125">
        <f t="shared" si="101"/>
        <v>322.93000000000029</v>
      </c>
      <c r="Q311" s="125">
        <f t="shared" si="101"/>
        <v>319.41999999999962</v>
      </c>
      <c r="R311" s="303"/>
      <c r="S311" s="303"/>
      <c r="T311" s="306"/>
      <c r="U311" s="306"/>
      <c r="V311" s="308"/>
      <c r="W311" s="294"/>
      <c r="X311" s="297"/>
      <c r="Y311" s="259"/>
      <c r="Z311" s="255"/>
      <c r="AA311" s="122"/>
      <c r="AB311" s="122"/>
      <c r="AC311" s="122"/>
      <c r="AD311" s="122"/>
      <c r="AE311" s="122"/>
      <c r="AF311" s="126"/>
    </row>
    <row r="312" spans="1:32" ht="15.55" x14ac:dyDescent="0.25">
      <c r="A312" s="298">
        <v>43489</v>
      </c>
      <c r="B312" s="119" t="s">
        <v>242</v>
      </c>
      <c r="C312" s="119" t="s">
        <v>238</v>
      </c>
      <c r="D312" s="120" t="s">
        <v>192</v>
      </c>
      <c r="E312" s="10">
        <v>2886.13</v>
      </c>
      <c r="F312" s="10">
        <v>2764.83</v>
      </c>
      <c r="G312" s="10">
        <v>2744.24</v>
      </c>
      <c r="H312" s="10">
        <v>2749.48</v>
      </c>
      <c r="I312" s="10">
        <v>2844.91</v>
      </c>
      <c r="J312" s="10">
        <v>2827.59</v>
      </c>
      <c r="K312" s="10">
        <v>2752.72</v>
      </c>
      <c r="L312" s="10">
        <v>2757.31</v>
      </c>
      <c r="M312" s="10">
        <v>2845.54</v>
      </c>
      <c r="N312" s="10">
        <v>2768.65</v>
      </c>
      <c r="O312" s="10">
        <v>2759.82</v>
      </c>
      <c r="P312" s="10">
        <v>2755.65</v>
      </c>
      <c r="Q312" s="10">
        <v>2777.92</v>
      </c>
      <c r="R312" s="301">
        <f>IF((Q313=""),"",MAX(E314:Q314))</f>
        <v>372.59000000000015</v>
      </c>
      <c r="S312" s="301">
        <f>IF(Q313="","",MIN(E314:Q314))</f>
        <v>316.70999999999958</v>
      </c>
      <c r="T312" s="304">
        <f>IF((Q314=""),"",AVERAGE(E314:Q314))</f>
        <v>335.55923076923074</v>
      </c>
      <c r="U312" s="304">
        <f>IF((Q313=""),"",(R312-S312)/(R312+S312)*100)</f>
        <v>8.1067749891194829</v>
      </c>
      <c r="V312" s="304">
        <f>STDEV(E314:Q314)</f>
        <v>23.306301172836836</v>
      </c>
      <c r="W312" s="292" t="str">
        <f>IF(Q313="","",IF(T312&gt;300,IF(U312&lt;14,IF(T312&lt;390,"Pass","Fail"),"Fail"),"Fail"))</f>
        <v>Pass</v>
      </c>
      <c r="X312" s="295">
        <v>1340</v>
      </c>
      <c r="Y312" s="261" t="s">
        <v>225</v>
      </c>
      <c r="Z312" s="255"/>
      <c r="AA312" s="122">
        <v>270</v>
      </c>
      <c r="AB312" s="122">
        <v>370</v>
      </c>
      <c r="AC312" s="122">
        <v>300</v>
      </c>
      <c r="AD312" s="123">
        <v>390</v>
      </c>
      <c r="AE312" s="123">
        <v>14</v>
      </c>
      <c r="AF312" s="123">
        <v>20</v>
      </c>
    </row>
    <row r="313" spans="1:32" ht="15.55" x14ac:dyDescent="0.25">
      <c r="A313" s="299"/>
      <c r="B313" s="124"/>
      <c r="C313" s="124"/>
      <c r="D313" s="120" t="s">
        <v>193</v>
      </c>
      <c r="E313" s="10">
        <v>2513.54</v>
      </c>
      <c r="F313" s="10">
        <v>2445.94</v>
      </c>
      <c r="G313" s="10">
        <v>2427.5300000000002</v>
      </c>
      <c r="H313" s="10">
        <v>2428.56</v>
      </c>
      <c r="I313" s="10">
        <v>2478.27</v>
      </c>
      <c r="J313" s="10">
        <v>2463.44</v>
      </c>
      <c r="K313" s="10">
        <v>2431.17</v>
      </c>
      <c r="L313" s="10">
        <v>2440.44</v>
      </c>
      <c r="M313" s="10">
        <v>2473.61</v>
      </c>
      <c r="N313" s="10">
        <v>2448.86</v>
      </c>
      <c r="O313" s="10">
        <v>2437.1999999999998</v>
      </c>
      <c r="P313" s="10">
        <v>2430.5</v>
      </c>
      <c r="Q313" s="10">
        <v>2453.46</v>
      </c>
      <c r="R313" s="302"/>
      <c r="S313" s="302"/>
      <c r="T313" s="305"/>
      <c r="U313" s="305"/>
      <c r="V313" s="307"/>
      <c r="W313" s="293"/>
      <c r="X313" s="296"/>
      <c r="Y313" s="258"/>
      <c r="Z313" s="255"/>
      <c r="AA313" s="122"/>
      <c r="AB313" s="122"/>
      <c r="AC313" s="122"/>
      <c r="AD313" s="123"/>
      <c r="AE313" s="123"/>
      <c r="AF313" s="123"/>
    </row>
    <row r="314" spans="1:32" ht="62.05" x14ac:dyDescent="0.3">
      <c r="A314" s="300"/>
      <c r="B314" s="119"/>
      <c r="C314" s="119"/>
      <c r="D314" s="120" t="s">
        <v>194</v>
      </c>
      <c r="E314" s="125">
        <f t="shared" ref="E314:Q314" si="102">IF(((E312="")*AND(E313="")),"",(E312-E313))</f>
        <v>372.59000000000015</v>
      </c>
      <c r="F314" s="125">
        <f t="shared" si="102"/>
        <v>318.88999999999987</v>
      </c>
      <c r="G314" s="125">
        <f t="shared" si="102"/>
        <v>316.70999999999958</v>
      </c>
      <c r="H314" s="125">
        <f t="shared" si="102"/>
        <v>320.92000000000007</v>
      </c>
      <c r="I314" s="125">
        <f t="shared" si="102"/>
        <v>366.63999999999987</v>
      </c>
      <c r="J314" s="125">
        <f t="shared" si="102"/>
        <v>364.15000000000009</v>
      </c>
      <c r="K314" s="125">
        <f t="shared" si="102"/>
        <v>321.54999999999973</v>
      </c>
      <c r="L314" s="125">
        <f t="shared" si="102"/>
        <v>316.86999999999989</v>
      </c>
      <c r="M314" s="125">
        <f t="shared" si="102"/>
        <v>371.92999999999984</v>
      </c>
      <c r="N314" s="125">
        <f t="shared" si="102"/>
        <v>319.78999999999996</v>
      </c>
      <c r="O314" s="125">
        <f t="shared" si="102"/>
        <v>322.62000000000035</v>
      </c>
      <c r="P314" s="125">
        <f t="shared" si="102"/>
        <v>325.15000000000009</v>
      </c>
      <c r="Q314" s="125">
        <f t="shared" si="102"/>
        <v>324.46000000000004</v>
      </c>
      <c r="R314" s="303"/>
      <c r="S314" s="303"/>
      <c r="T314" s="306"/>
      <c r="U314" s="306"/>
      <c r="V314" s="308"/>
      <c r="W314" s="294"/>
      <c r="X314" s="297"/>
      <c r="Y314" s="259"/>
      <c r="Z314" s="255"/>
      <c r="AA314" s="122"/>
      <c r="AB314" s="122"/>
      <c r="AC314" s="122"/>
      <c r="AD314" s="122"/>
      <c r="AE314" s="122"/>
      <c r="AF314" s="126"/>
    </row>
    <row r="315" spans="1:32" ht="15.55" x14ac:dyDescent="0.25">
      <c r="A315" s="298">
        <v>43493</v>
      </c>
      <c r="B315" s="119" t="s">
        <v>242</v>
      </c>
      <c r="C315" s="119" t="s">
        <v>238</v>
      </c>
      <c r="D315" s="120" t="s">
        <v>192</v>
      </c>
      <c r="E315" s="10">
        <v>2513.54</v>
      </c>
      <c r="F315" s="10">
        <v>2445.94</v>
      </c>
      <c r="G315" s="10">
        <v>2427.5300000000002</v>
      </c>
      <c r="H315" s="10">
        <v>2428.56</v>
      </c>
      <c r="I315" s="10">
        <v>2478.27</v>
      </c>
      <c r="J315" s="10">
        <v>2463.44</v>
      </c>
      <c r="K315" s="10">
        <v>2431.17</v>
      </c>
      <c r="L315" s="10">
        <v>2440.44</v>
      </c>
      <c r="M315" s="10">
        <v>2473.61</v>
      </c>
      <c r="N315" s="10">
        <v>2448.86</v>
      </c>
      <c r="O315" s="10">
        <v>2437.1999999999998</v>
      </c>
      <c r="P315" s="10">
        <v>2430.5</v>
      </c>
      <c r="Q315" s="10">
        <v>2453.46</v>
      </c>
      <c r="R315" s="301">
        <f>IF((Q316=""),"",MAX(E317:Q317))</f>
        <v>371.65999999999985</v>
      </c>
      <c r="S315" s="301">
        <f>IF(Q316="","",MIN(E317:Q317))</f>
        <v>232.67000000000007</v>
      </c>
      <c r="T315" s="304">
        <f>IF((Q317=""),"",AVERAGE(E317:Q317))</f>
        <v>274.73615384615391</v>
      </c>
      <c r="U315" s="304">
        <f>IF((Q316=""),"",(R315-S315)/(R315+S315)*100)</f>
        <v>22.999023712210185</v>
      </c>
      <c r="V315" s="304">
        <f>STDEV(E317:Q317)</f>
        <v>42.759912016291892</v>
      </c>
      <c r="W315" s="292" t="str">
        <f>IF(Q316="","",IF(T315&gt;300,IF(U315&lt;14,IF(T315&lt;390,"Pass","Fail"),"Fail"),"Fail"))</f>
        <v>Fail</v>
      </c>
      <c r="X315" s="295">
        <v>1340</v>
      </c>
      <c r="Y315" s="309"/>
      <c r="Z315" s="255"/>
      <c r="AA315" s="122">
        <v>270</v>
      </c>
      <c r="AB315" s="122">
        <v>370</v>
      </c>
      <c r="AC315" s="122">
        <v>300</v>
      </c>
      <c r="AD315" s="123">
        <v>390</v>
      </c>
      <c r="AE315" s="123">
        <v>14</v>
      </c>
      <c r="AF315" s="123">
        <v>20</v>
      </c>
    </row>
    <row r="316" spans="1:32" ht="15.55" x14ac:dyDescent="0.25">
      <c r="A316" s="299"/>
      <c r="B316" s="124"/>
      <c r="C316" s="124"/>
      <c r="D316" s="120" t="s">
        <v>193</v>
      </c>
      <c r="E316" s="10">
        <v>2141.88</v>
      </c>
      <c r="F316" s="10">
        <v>2182.94</v>
      </c>
      <c r="G316" s="10">
        <v>2191.58</v>
      </c>
      <c r="H316" s="10">
        <v>2189.06</v>
      </c>
      <c r="I316" s="10">
        <v>2165.21</v>
      </c>
      <c r="J316" s="10">
        <v>2167.91</v>
      </c>
      <c r="K316" s="10">
        <v>2198.5</v>
      </c>
      <c r="L316" s="10">
        <v>2182.83</v>
      </c>
      <c r="M316" s="10">
        <v>2138.46</v>
      </c>
      <c r="N316" s="10">
        <v>2185.4899999999998</v>
      </c>
      <c r="O316" s="10">
        <v>2184.92</v>
      </c>
      <c r="P316" s="10">
        <v>2193.39</v>
      </c>
      <c r="Q316" s="10">
        <v>2178.7800000000002</v>
      </c>
      <c r="R316" s="302"/>
      <c r="S316" s="302"/>
      <c r="T316" s="305"/>
      <c r="U316" s="305"/>
      <c r="V316" s="307"/>
      <c r="W316" s="293"/>
      <c r="X316" s="296"/>
      <c r="Y316" s="310"/>
      <c r="Z316" s="255"/>
      <c r="AA316" s="122"/>
      <c r="AB316" s="122"/>
      <c r="AC316" s="122"/>
      <c r="AD316" s="123"/>
      <c r="AE316" s="123"/>
      <c r="AF316" s="123"/>
    </row>
    <row r="317" spans="1:32" ht="62.05" x14ac:dyDescent="0.3">
      <c r="A317" s="300"/>
      <c r="B317" s="119"/>
      <c r="C317" s="119"/>
      <c r="D317" s="120" t="s">
        <v>194</v>
      </c>
      <c r="E317" s="125">
        <f t="shared" ref="E317:Q317" si="103">IF(((E315="")*AND(E316="")),"",(E315-E316))</f>
        <v>371.65999999999985</v>
      </c>
      <c r="F317" s="125">
        <f t="shared" si="103"/>
        <v>263</v>
      </c>
      <c r="G317" s="125">
        <f t="shared" si="103"/>
        <v>235.95000000000027</v>
      </c>
      <c r="H317" s="125">
        <f t="shared" si="103"/>
        <v>239.5</v>
      </c>
      <c r="I317" s="125">
        <f t="shared" si="103"/>
        <v>313.05999999999995</v>
      </c>
      <c r="J317" s="125">
        <f t="shared" si="103"/>
        <v>295.5300000000002</v>
      </c>
      <c r="K317" s="125">
        <f t="shared" si="103"/>
        <v>232.67000000000007</v>
      </c>
      <c r="L317" s="125">
        <f t="shared" si="103"/>
        <v>257.61000000000013</v>
      </c>
      <c r="M317" s="125">
        <f t="shared" si="103"/>
        <v>335.15000000000009</v>
      </c>
      <c r="N317" s="125">
        <f t="shared" si="103"/>
        <v>263.37000000000035</v>
      </c>
      <c r="O317" s="125">
        <f t="shared" si="103"/>
        <v>252.27999999999975</v>
      </c>
      <c r="P317" s="125">
        <f t="shared" si="103"/>
        <v>237.11000000000013</v>
      </c>
      <c r="Q317" s="125">
        <f t="shared" si="103"/>
        <v>274.67999999999984</v>
      </c>
      <c r="R317" s="303"/>
      <c r="S317" s="303"/>
      <c r="T317" s="306"/>
      <c r="U317" s="306"/>
      <c r="V317" s="308"/>
      <c r="W317" s="294"/>
      <c r="X317" s="297"/>
      <c r="Y317" s="311"/>
      <c r="Z317" s="255"/>
      <c r="AA317" s="122"/>
      <c r="AB317" s="122"/>
      <c r="AC317" s="122"/>
      <c r="AD317" s="122"/>
      <c r="AE317" s="122"/>
      <c r="AF317" s="126"/>
    </row>
    <row r="318" spans="1:32" ht="15.55" x14ac:dyDescent="0.25">
      <c r="A318" s="298">
        <v>43493</v>
      </c>
      <c r="B318" s="119" t="s">
        <v>242</v>
      </c>
      <c r="C318" s="119" t="s">
        <v>238</v>
      </c>
      <c r="D318" s="120" t="s">
        <v>192</v>
      </c>
      <c r="E318" s="10">
        <v>2881.63</v>
      </c>
      <c r="F318" s="10">
        <v>2758.92</v>
      </c>
      <c r="G318" s="10">
        <v>2740.67</v>
      </c>
      <c r="H318" s="10">
        <v>2743.19</v>
      </c>
      <c r="I318" s="10">
        <v>2843.4</v>
      </c>
      <c r="J318" s="10">
        <v>2823.04</v>
      </c>
      <c r="K318" s="10">
        <v>2745.31</v>
      </c>
      <c r="L318" s="10">
        <v>2752.13</v>
      </c>
      <c r="M318" s="10">
        <v>2842.53</v>
      </c>
      <c r="N318" s="10">
        <v>2765.93</v>
      </c>
      <c r="O318" s="10">
        <v>2756.93</v>
      </c>
      <c r="P318" s="10">
        <v>2750.3</v>
      </c>
      <c r="Q318" s="10">
        <v>2773</v>
      </c>
      <c r="R318" s="301">
        <f>IF((Q319=""),"",MAX(E320:Q320))</f>
        <v>389.39000000000033</v>
      </c>
      <c r="S318" s="301">
        <f>IF(Q319="","",MIN(E320:Q320))</f>
        <v>313.57000000000016</v>
      </c>
      <c r="T318" s="304">
        <f>IF((Q320=""),"",AVERAGE(E320:Q320))</f>
        <v>339.87692307692311</v>
      </c>
      <c r="U318" s="304">
        <f>IF((Q319=""),"",(R318-S318)/(R318+S318)*100)</f>
        <v>10.78581996130649</v>
      </c>
      <c r="V318" s="304">
        <f>STDEV(E320:Q320)</f>
        <v>30.788273033904602</v>
      </c>
      <c r="W318" s="292" t="str">
        <f>IF(Q319="","",IF(T318&gt;300,IF(U318&lt;14,IF(T318&lt;390,"Pass","Fail"),"Fail"),"Fail"))</f>
        <v>Pass</v>
      </c>
      <c r="X318" s="295">
        <v>121</v>
      </c>
      <c r="Y318" s="261" t="s">
        <v>226</v>
      </c>
      <c r="Z318" s="255"/>
      <c r="AA318" s="122">
        <v>270</v>
      </c>
      <c r="AB318" s="122">
        <v>370</v>
      </c>
      <c r="AC318" s="122">
        <v>300</v>
      </c>
      <c r="AD318" s="123">
        <v>390</v>
      </c>
      <c r="AE318" s="123">
        <v>14</v>
      </c>
      <c r="AF318" s="123">
        <v>20</v>
      </c>
    </row>
    <row r="319" spans="1:32" ht="15.55" x14ac:dyDescent="0.25">
      <c r="A319" s="299"/>
      <c r="B319" s="124"/>
      <c r="C319" s="124"/>
      <c r="D319" s="120" t="s">
        <v>193</v>
      </c>
      <c r="E319" s="10">
        <v>2498.15</v>
      </c>
      <c r="F319" s="10">
        <v>2441.0700000000002</v>
      </c>
      <c r="G319" s="10">
        <v>2427.1</v>
      </c>
      <c r="H319" s="10">
        <v>2424.9499999999998</v>
      </c>
      <c r="I319" s="10">
        <v>2458.84</v>
      </c>
      <c r="J319" s="10">
        <v>2444.98</v>
      </c>
      <c r="K319" s="10">
        <v>2428.1</v>
      </c>
      <c r="L319" s="10">
        <v>2431.3200000000002</v>
      </c>
      <c r="M319" s="10">
        <v>2453.14</v>
      </c>
      <c r="N319" s="10">
        <v>2441</v>
      </c>
      <c r="O319" s="10">
        <v>2431.2199999999998</v>
      </c>
      <c r="P319" s="10">
        <v>2429.15</v>
      </c>
      <c r="Q319" s="10">
        <v>2449.56</v>
      </c>
      <c r="R319" s="302"/>
      <c r="S319" s="302"/>
      <c r="T319" s="305"/>
      <c r="U319" s="305"/>
      <c r="V319" s="307"/>
      <c r="W319" s="293"/>
      <c r="X319" s="296"/>
      <c r="Y319" s="258"/>
      <c r="Z319" s="255"/>
      <c r="AA319" s="122"/>
      <c r="AB319" s="122"/>
      <c r="AC319" s="122"/>
      <c r="AD319" s="123"/>
      <c r="AE319" s="123"/>
      <c r="AF319" s="123"/>
    </row>
    <row r="320" spans="1:32" ht="62.05" x14ac:dyDescent="0.3">
      <c r="A320" s="300"/>
      <c r="B320" s="119"/>
      <c r="C320" s="119"/>
      <c r="D320" s="120" t="s">
        <v>194</v>
      </c>
      <c r="E320" s="125">
        <f t="shared" ref="E320:Q320" si="104">IF(((E318="")*AND(E319="")),"",(E318-E319))</f>
        <v>383.48</v>
      </c>
      <c r="F320" s="125">
        <f t="shared" si="104"/>
        <v>317.84999999999991</v>
      </c>
      <c r="G320" s="125">
        <f t="shared" si="104"/>
        <v>313.57000000000016</v>
      </c>
      <c r="H320" s="125">
        <f t="shared" si="104"/>
        <v>318.24000000000024</v>
      </c>
      <c r="I320" s="125">
        <f t="shared" si="104"/>
        <v>384.55999999999995</v>
      </c>
      <c r="J320" s="125">
        <f t="shared" si="104"/>
        <v>378.05999999999995</v>
      </c>
      <c r="K320" s="125">
        <f t="shared" si="104"/>
        <v>317.21000000000004</v>
      </c>
      <c r="L320" s="125">
        <f t="shared" si="104"/>
        <v>320.80999999999995</v>
      </c>
      <c r="M320" s="125">
        <f t="shared" si="104"/>
        <v>389.39000000000033</v>
      </c>
      <c r="N320" s="125">
        <f t="shared" si="104"/>
        <v>324.92999999999984</v>
      </c>
      <c r="O320" s="125">
        <f t="shared" si="104"/>
        <v>325.71000000000004</v>
      </c>
      <c r="P320" s="125">
        <f t="shared" si="104"/>
        <v>321.15000000000009</v>
      </c>
      <c r="Q320" s="125">
        <f t="shared" si="104"/>
        <v>323.44000000000005</v>
      </c>
      <c r="R320" s="303"/>
      <c r="S320" s="303"/>
      <c r="T320" s="306"/>
      <c r="U320" s="306"/>
      <c r="V320" s="308"/>
      <c r="W320" s="294"/>
      <c r="X320" s="297"/>
      <c r="Y320" s="259"/>
      <c r="Z320" s="255"/>
      <c r="AA320" s="122"/>
      <c r="AB320" s="122"/>
      <c r="AC320" s="122"/>
      <c r="AD320" s="122"/>
      <c r="AE320" s="122"/>
      <c r="AF320" s="126"/>
    </row>
    <row r="321" spans="1:32" ht="15.55" x14ac:dyDescent="0.25">
      <c r="A321" s="298">
        <v>43497</v>
      </c>
      <c r="B321" s="119" t="s">
        <v>242</v>
      </c>
      <c r="C321" s="119" t="s">
        <v>238</v>
      </c>
      <c r="D321" s="120" t="s">
        <v>192</v>
      </c>
      <c r="E321" s="10">
        <v>2886.16</v>
      </c>
      <c r="F321" s="10">
        <v>2765.74</v>
      </c>
      <c r="G321" s="10">
        <v>2747.14</v>
      </c>
      <c r="H321" s="10">
        <v>2753.39</v>
      </c>
      <c r="I321" s="10">
        <v>2847.27</v>
      </c>
      <c r="J321" s="10">
        <v>2830.6</v>
      </c>
      <c r="K321" s="10">
        <v>2753.05</v>
      </c>
      <c r="L321" s="10">
        <v>2757.49</v>
      </c>
      <c r="M321" s="10">
        <v>2845.34</v>
      </c>
      <c r="N321" s="10">
        <v>2771.57</v>
      </c>
      <c r="O321" s="10">
        <v>2763.73</v>
      </c>
      <c r="P321" s="10">
        <v>2758.67</v>
      </c>
      <c r="Q321" s="10">
        <v>2778.96</v>
      </c>
      <c r="R321" s="301">
        <f>IF((Q322=""),"",MAX(E323:Q323))</f>
        <v>369.55999999999995</v>
      </c>
      <c r="S321" s="301">
        <f>IF(Q322="","",MIN(E323:Q323))</f>
        <v>313.77</v>
      </c>
      <c r="T321" s="304">
        <f>IF((Q323=""),"",AVERAGE(E323:Q323))</f>
        <v>333.0661538461539</v>
      </c>
      <c r="U321" s="304">
        <f>IF((Q322=""),"",(R321-S321)/(R321+S321)*100)</f>
        <v>8.1644300703905834</v>
      </c>
      <c r="V321" s="304">
        <f>STDEV(E323:Q323)</f>
        <v>23.089464241821659</v>
      </c>
      <c r="W321" s="292" t="str">
        <f>IF(Q322="","",IF(T321&gt;300,IF(U321&lt;14,IF(T321&lt;390,"Pass","Fail"),"Fail"),"Fail"))</f>
        <v>Pass</v>
      </c>
      <c r="X321" s="295">
        <v>1159</v>
      </c>
      <c r="Y321" s="261" t="s">
        <v>227</v>
      </c>
      <c r="Z321" s="255"/>
      <c r="AA321" s="122">
        <v>270</v>
      </c>
      <c r="AB321" s="122">
        <v>370</v>
      </c>
      <c r="AC321" s="122">
        <v>300</v>
      </c>
      <c r="AD321" s="123">
        <v>390</v>
      </c>
      <c r="AE321" s="123">
        <v>14</v>
      </c>
      <c r="AF321" s="123">
        <v>20</v>
      </c>
    </row>
    <row r="322" spans="1:32" ht="15.55" x14ac:dyDescent="0.25">
      <c r="A322" s="299"/>
      <c r="B322" s="124"/>
      <c r="C322" s="124"/>
      <c r="D322" s="120" t="s">
        <v>193</v>
      </c>
      <c r="E322" s="10">
        <v>2516.6</v>
      </c>
      <c r="F322" s="10">
        <v>2451.21</v>
      </c>
      <c r="G322" s="10">
        <v>2433.37</v>
      </c>
      <c r="H322" s="10">
        <v>2436.42</v>
      </c>
      <c r="I322" s="10">
        <v>2484.7199999999998</v>
      </c>
      <c r="J322" s="10">
        <v>2467.2199999999998</v>
      </c>
      <c r="K322" s="10">
        <v>2435.87</v>
      </c>
      <c r="L322" s="10">
        <v>2439.9</v>
      </c>
      <c r="M322" s="10">
        <v>2476.75</v>
      </c>
      <c r="N322" s="10">
        <v>2451.67</v>
      </c>
      <c r="O322" s="10">
        <v>2441.2399999999998</v>
      </c>
      <c r="P322" s="10">
        <v>2435.6</v>
      </c>
      <c r="Q322" s="10">
        <v>2458.6799999999998</v>
      </c>
      <c r="R322" s="302"/>
      <c r="S322" s="302"/>
      <c r="T322" s="305"/>
      <c r="U322" s="305"/>
      <c r="V322" s="307"/>
      <c r="W322" s="293"/>
      <c r="X322" s="296"/>
      <c r="Y322" s="258"/>
      <c r="Z322" s="255"/>
      <c r="AA322" s="122"/>
      <c r="AB322" s="122"/>
      <c r="AC322" s="122"/>
      <c r="AD322" s="123"/>
      <c r="AE322" s="123"/>
      <c r="AF322" s="123"/>
    </row>
    <row r="323" spans="1:32" ht="62.05" x14ac:dyDescent="0.3">
      <c r="A323" s="300"/>
      <c r="B323" s="119"/>
      <c r="C323" s="119"/>
      <c r="D323" s="120" t="s">
        <v>194</v>
      </c>
      <c r="E323" s="125">
        <f t="shared" ref="E323:Q323" si="105">IF(((E321="")*AND(E322="")),"",(E321-E322))</f>
        <v>369.55999999999995</v>
      </c>
      <c r="F323" s="125">
        <f t="shared" si="105"/>
        <v>314.52999999999975</v>
      </c>
      <c r="G323" s="125">
        <f t="shared" si="105"/>
        <v>313.77</v>
      </c>
      <c r="H323" s="125">
        <f t="shared" si="105"/>
        <v>316.9699999999998</v>
      </c>
      <c r="I323" s="125">
        <f t="shared" si="105"/>
        <v>362.55000000000018</v>
      </c>
      <c r="J323" s="125">
        <f t="shared" si="105"/>
        <v>363.38000000000011</v>
      </c>
      <c r="K323" s="125">
        <f t="shared" si="105"/>
        <v>317.18000000000029</v>
      </c>
      <c r="L323" s="125">
        <f t="shared" si="105"/>
        <v>317.58999999999969</v>
      </c>
      <c r="M323" s="125">
        <f t="shared" si="105"/>
        <v>368.59000000000015</v>
      </c>
      <c r="N323" s="125">
        <f t="shared" si="105"/>
        <v>319.90000000000009</v>
      </c>
      <c r="O323" s="125">
        <f t="shared" si="105"/>
        <v>322.49000000000024</v>
      </c>
      <c r="P323" s="125">
        <f t="shared" si="105"/>
        <v>323.07000000000016</v>
      </c>
      <c r="Q323" s="125">
        <f t="shared" si="105"/>
        <v>320.2800000000002</v>
      </c>
      <c r="R323" s="303"/>
      <c r="S323" s="303"/>
      <c r="T323" s="306"/>
      <c r="U323" s="306"/>
      <c r="V323" s="308"/>
      <c r="W323" s="294"/>
      <c r="X323" s="297"/>
      <c r="Y323" s="259"/>
      <c r="Z323" s="255"/>
      <c r="AA323" s="122"/>
      <c r="AB323" s="122"/>
      <c r="AC323" s="122"/>
      <c r="AD323" s="122"/>
      <c r="AE323" s="122"/>
      <c r="AF323" s="126"/>
    </row>
    <row r="324" spans="1:32" ht="15.55" x14ac:dyDescent="0.25">
      <c r="A324" s="298">
        <v>43503</v>
      </c>
      <c r="B324" s="119" t="s">
        <v>242</v>
      </c>
      <c r="C324" s="119" t="s">
        <v>238</v>
      </c>
      <c r="D324" s="120" t="s">
        <v>192</v>
      </c>
      <c r="E324" s="10">
        <v>2844.9</v>
      </c>
      <c r="F324" s="10">
        <v>2751.2</v>
      </c>
      <c r="G324" s="10">
        <v>2747.68</v>
      </c>
      <c r="H324" s="10">
        <v>2768.58</v>
      </c>
      <c r="I324" s="10">
        <v>2885.23</v>
      </c>
      <c r="J324" s="10">
        <v>2831.46</v>
      </c>
      <c r="K324" s="10">
        <v>2753.58</v>
      </c>
      <c r="L324" s="10">
        <v>2757.56</v>
      </c>
      <c r="M324" s="10">
        <v>2831.25</v>
      </c>
      <c r="N324" s="10">
        <v>2757.33</v>
      </c>
      <c r="O324" s="10">
        <v>2783.74</v>
      </c>
      <c r="P324" s="10">
        <v>2776.8</v>
      </c>
      <c r="Q324" s="10">
        <v>2759.87</v>
      </c>
      <c r="R324" s="301">
        <f>IF((Q325=""),"",MAX(E326:Q326))</f>
        <v>367.23</v>
      </c>
      <c r="S324" s="301">
        <f>IF(Q325="","",MIN(E326:Q326))</f>
        <v>306.21000000000004</v>
      </c>
      <c r="T324" s="304">
        <f>IF((Q326=""),"",AVERAGE(E326:Q326))</f>
        <v>328.39923076923066</v>
      </c>
      <c r="U324" s="304">
        <f>IF((Q325=""),"",(R324-S324)/(R324+S324)*100)</f>
        <v>9.0609408410548795</v>
      </c>
      <c r="V324" s="304">
        <f>STDEV(E326:Q326)</f>
        <v>22.686261430484947</v>
      </c>
      <c r="W324" s="292" t="str">
        <f>IF(Q325="","",IF(T324&gt;300,IF(U324&lt;14,IF(T324&lt;390,"Pass","Fail"),"Fail"),"Fail"))</f>
        <v>Pass</v>
      </c>
      <c r="X324" s="295">
        <v>1340</v>
      </c>
      <c r="Y324" s="261" t="s">
        <v>228</v>
      </c>
      <c r="Z324" s="255"/>
      <c r="AA324" s="122">
        <v>270</v>
      </c>
      <c r="AB324" s="122">
        <v>370</v>
      </c>
      <c r="AC324" s="122">
        <v>300</v>
      </c>
      <c r="AD324" s="123">
        <v>390</v>
      </c>
      <c r="AE324" s="123">
        <v>14</v>
      </c>
      <c r="AF324" s="123">
        <v>20</v>
      </c>
    </row>
    <row r="325" spans="1:32" ht="15.55" x14ac:dyDescent="0.25">
      <c r="A325" s="299"/>
      <c r="B325" s="124"/>
      <c r="C325" s="124"/>
      <c r="D325" s="120" t="s">
        <v>193</v>
      </c>
      <c r="E325" s="10">
        <v>2477.67</v>
      </c>
      <c r="F325" s="10">
        <v>2438.73</v>
      </c>
      <c r="G325" s="10">
        <v>2441.4699999999998</v>
      </c>
      <c r="H325" s="10">
        <v>2455.58</v>
      </c>
      <c r="I325" s="10">
        <v>2528.48</v>
      </c>
      <c r="J325" s="10">
        <v>2474.23</v>
      </c>
      <c r="K325" s="10">
        <v>2442.6</v>
      </c>
      <c r="L325" s="10">
        <v>2442.8200000000002</v>
      </c>
      <c r="M325" s="10">
        <v>2471.17</v>
      </c>
      <c r="N325" s="10">
        <v>2445.9499999999998</v>
      </c>
      <c r="O325" s="10">
        <v>2458.92</v>
      </c>
      <c r="P325" s="10">
        <v>2459.0500000000002</v>
      </c>
      <c r="Q325" s="10">
        <v>2443.3200000000002</v>
      </c>
      <c r="R325" s="302"/>
      <c r="S325" s="302"/>
      <c r="T325" s="305"/>
      <c r="U325" s="305"/>
      <c r="V325" s="307"/>
      <c r="W325" s="293"/>
      <c r="X325" s="296"/>
      <c r="Y325" s="258"/>
      <c r="Z325" s="255"/>
      <c r="AA325" s="122"/>
      <c r="AB325" s="122"/>
      <c r="AC325" s="122"/>
      <c r="AD325" s="123"/>
      <c r="AE325" s="123"/>
      <c r="AF325" s="123"/>
    </row>
    <row r="326" spans="1:32" ht="62.05" x14ac:dyDescent="0.3">
      <c r="A326" s="300"/>
      <c r="B326" s="119"/>
      <c r="C326" s="119"/>
      <c r="D326" s="120" t="s">
        <v>194</v>
      </c>
      <c r="E326" s="125">
        <f t="shared" ref="E326:Q326" si="106">IF(((E324="")*AND(E325="")),"",(E324-E325))</f>
        <v>367.23</v>
      </c>
      <c r="F326" s="125">
        <f t="shared" si="106"/>
        <v>312.4699999999998</v>
      </c>
      <c r="G326" s="125">
        <f t="shared" si="106"/>
        <v>306.21000000000004</v>
      </c>
      <c r="H326" s="125">
        <f t="shared" si="106"/>
        <v>313</v>
      </c>
      <c r="I326" s="125">
        <f t="shared" si="106"/>
        <v>356.75</v>
      </c>
      <c r="J326" s="125">
        <f t="shared" si="106"/>
        <v>357.23</v>
      </c>
      <c r="K326" s="125">
        <f t="shared" si="106"/>
        <v>310.98</v>
      </c>
      <c r="L326" s="125">
        <f t="shared" si="106"/>
        <v>314.73999999999978</v>
      </c>
      <c r="M326" s="125">
        <f t="shared" si="106"/>
        <v>360.07999999999993</v>
      </c>
      <c r="N326" s="125">
        <f t="shared" si="106"/>
        <v>311.38000000000011</v>
      </c>
      <c r="O326" s="125">
        <f t="shared" si="106"/>
        <v>324.81999999999971</v>
      </c>
      <c r="P326" s="125">
        <f t="shared" si="106"/>
        <v>317.75</v>
      </c>
      <c r="Q326" s="125">
        <f t="shared" si="106"/>
        <v>316.54999999999973</v>
      </c>
      <c r="R326" s="303"/>
      <c r="S326" s="303"/>
      <c r="T326" s="306"/>
      <c r="U326" s="306"/>
      <c r="V326" s="308"/>
      <c r="W326" s="294"/>
      <c r="X326" s="297"/>
      <c r="Y326" s="259"/>
      <c r="Z326" s="255"/>
      <c r="AA326" s="122"/>
      <c r="AB326" s="122"/>
      <c r="AC326" s="122"/>
      <c r="AD326" s="122"/>
      <c r="AE326" s="122"/>
      <c r="AF326" s="126"/>
    </row>
    <row r="327" spans="1:32" ht="15.55" x14ac:dyDescent="0.25">
      <c r="A327" s="298">
        <v>43507</v>
      </c>
      <c r="B327" s="119" t="s">
        <v>242</v>
      </c>
      <c r="C327" s="119" t="s">
        <v>238</v>
      </c>
      <c r="D327" s="120" t="s">
        <v>192</v>
      </c>
      <c r="E327" s="10">
        <v>2483.5</v>
      </c>
      <c r="F327" s="10">
        <v>2445.89</v>
      </c>
      <c r="G327" s="10">
        <v>2433.29</v>
      </c>
      <c r="H327" s="10">
        <v>2457.41</v>
      </c>
      <c r="I327" s="10">
        <v>2530.19</v>
      </c>
      <c r="J327" s="10">
        <v>2473.25</v>
      </c>
      <c r="K327" s="10">
        <v>2445.66</v>
      </c>
      <c r="L327" s="10">
        <v>2449.37</v>
      </c>
      <c r="M327" s="10">
        <v>2472.88</v>
      </c>
      <c r="N327" s="10">
        <v>2444.9</v>
      </c>
      <c r="O327" s="10">
        <v>2460.67</v>
      </c>
      <c r="P327" s="10">
        <v>2461.58</v>
      </c>
      <c r="Q327" s="10">
        <v>2435.83</v>
      </c>
      <c r="R327" s="301">
        <f>IF((Q328=""),"",MAX(E329:Q329))</f>
        <v>314.38999999999987</v>
      </c>
      <c r="S327" s="301">
        <f>IF(Q328="","",MIN(E329:Q329))</f>
        <v>235.44000000000005</v>
      </c>
      <c r="T327" s="304">
        <f>IF((Q329=""),"",AVERAGE(E329:Q329))</f>
        <v>265.0884615384615</v>
      </c>
      <c r="U327" s="304">
        <f>IF((Q328=""),"",(R327-S327)/(R327+S327)*100)</f>
        <v>14.358983685866509</v>
      </c>
      <c r="V327" s="304">
        <f>STDEV(E329:Q329)</f>
        <v>24.989597784596281</v>
      </c>
      <c r="W327" s="292" t="str">
        <f>IF(Q328="","",IF(T327&gt;300,IF(U327&lt;14,IF(T327&lt;390,"Pass","Fail"),"Fail"),"Fail"))</f>
        <v>Fail</v>
      </c>
      <c r="X327" s="295">
        <v>1159</v>
      </c>
      <c r="Y327" s="309"/>
      <c r="Z327" s="255"/>
      <c r="AA327" s="122">
        <v>270</v>
      </c>
      <c r="AB327" s="122">
        <v>370</v>
      </c>
      <c r="AC327" s="122">
        <v>300</v>
      </c>
      <c r="AD327" s="123">
        <v>390</v>
      </c>
      <c r="AE327" s="123">
        <v>14</v>
      </c>
      <c r="AF327" s="123">
        <v>20</v>
      </c>
    </row>
    <row r="328" spans="1:32" ht="15.55" x14ac:dyDescent="0.25">
      <c r="A328" s="299"/>
      <c r="B328" s="124"/>
      <c r="C328" s="124"/>
      <c r="D328" s="120" t="s">
        <v>193</v>
      </c>
      <c r="E328" s="10">
        <v>2185.7199999999998</v>
      </c>
      <c r="F328" s="10">
        <v>2189.09</v>
      </c>
      <c r="G328" s="10">
        <v>2197.85</v>
      </c>
      <c r="H328" s="10">
        <v>2206.0700000000002</v>
      </c>
      <c r="I328" s="10">
        <v>2215.8000000000002</v>
      </c>
      <c r="J328" s="10">
        <v>2192.8200000000002</v>
      </c>
      <c r="K328" s="10">
        <v>2204.02</v>
      </c>
      <c r="L328" s="10">
        <v>2191.2199999999998</v>
      </c>
      <c r="M328" s="10">
        <v>2171.81</v>
      </c>
      <c r="N328" s="10">
        <v>2194.41</v>
      </c>
      <c r="O328" s="10">
        <v>2201.4299999999998</v>
      </c>
      <c r="P328" s="10">
        <v>2209.88</v>
      </c>
      <c r="Q328" s="10">
        <v>2188.15</v>
      </c>
      <c r="R328" s="302"/>
      <c r="S328" s="302"/>
      <c r="T328" s="305"/>
      <c r="U328" s="305"/>
      <c r="V328" s="307"/>
      <c r="W328" s="293"/>
      <c r="X328" s="296"/>
      <c r="Y328" s="310"/>
      <c r="Z328" s="255"/>
      <c r="AA328" s="122"/>
      <c r="AB328" s="122"/>
      <c r="AC328" s="122"/>
      <c r="AD328" s="123"/>
      <c r="AE328" s="123"/>
      <c r="AF328" s="123"/>
    </row>
    <row r="329" spans="1:32" ht="62.05" x14ac:dyDescent="0.3">
      <c r="A329" s="300"/>
      <c r="B329" s="119"/>
      <c r="C329" s="119"/>
      <c r="D329" s="120" t="s">
        <v>194</v>
      </c>
      <c r="E329" s="125">
        <f t="shared" ref="E329:Q329" si="107">IF(((E327="")*AND(E328="")),"",(E327-E328))</f>
        <v>297.7800000000002</v>
      </c>
      <c r="F329" s="125">
        <f t="shared" si="107"/>
        <v>256.79999999999973</v>
      </c>
      <c r="G329" s="125">
        <f t="shared" si="107"/>
        <v>235.44000000000005</v>
      </c>
      <c r="H329" s="125">
        <f t="shared" si="107"/>
        <v>251.33999999999969</v>
      </c>
      <c r="I329" s="125">
        <f t="shared" si="107"/>
        <v>314.38999999999987</v>
      </c>
      <c r="J329" s="125">
        <f t="shared" si="107"/>
        <v>280.42999999999984</v>
      </c>
      <c r="K329" s="125">
        <f t="shared" si="107"/>
        <v>241.63999999999987</v>
      </c>
      <c r="L329" s="125">
        <f t="shared" si="107"/>
        <v>258.15000000000009</v>
      </c>
      <c r="M329" s="125">
        <f t="shared" si="107"/>
        <v>301.07000000000016</v>
      </c>
      <c r="N329" s="125">
        <f t="shared" si="107"/>
        <v>250.49000000000024</v>
      </c>
      <c r="O329" s="125">
        <f t="shared" si="107"/>
        <v>259.24000000000024</v>
      </c>
      <c r="P329" s="125">
        <f t="shared" si="107"/>
        <v>251.69999999999982</v>
      </c>
      <c r="Q329" s="125">
        <f t="shared" si="107"/>
        <v>247.67999999999984</v>
      </c>
      <c r="R329" s="303"/>
      <c r="S329" s="303"/>
      <c r="T329" s="306"/>
      <c r="U329" s="306"/>
      <c r="V329" s="308"/>
      <c r="W329" s="294"/>
      <c r="X329" s="297"/>
      <c r="Y329" s="311"/>
      <c r="Z329" s="255"/>
      <c r="AA329" s="122"/>
      <c r="AB329" s="122"/>
      <c r="AC329" s="122"/>
      <c r="AD329" s="122"/>
      <c r="AE329" s="122"/>
      <c r="AF329" s="126"/>
    </row>
    <row r="330" spans="1:32" ht="15.55" x14ac:dyDescent="0.25">
      <c r="A330" s="298">
        <v>43507</v>
      </c>
      <c r="B330" s="119" t="s">
        <v>242</v>
      </c>
      <c r="C330" s="119" t="s">
        <v>238</v>
      </c>
      <c r="D330" s="120" t="s">
        <v>192</v>
      </c>
      <c r="E330" s="10">
        <v>2849.96</v>
      </c>
      <c r="F330" s="10">
        <v>2755.01</v>
      </c>
      <c r="G330" s="10">
        <v>2753.85</v>
      </c>
      <c r="H330" s="10">
        <v>2771.65</v>
      </c>
      <c r="I330" s="10">
        <v>2885.12</v>
      </c>
      <c r="J330" s="10">
        <v>2834.1</v>
      </c>
      <c r="K330" s="10">
        <v>2762.27</v>
      </c>
      <c r="L330" s="10">
        <v>2762.72</v>
      </c>
      <c r="M330" s="10">
        <v>2841.26</v>
      </c>
      <c r="N330" s="10">
        <v>2763.81</v>
      </c>
      <c r="O330" s="10">
        <v>2782.77</v>
      </c>
      <c r="P330" s="10">
        <v>2780.46</v>
      </c>
      <c r="Q330" s="10">
        <v>2763.88</v>
      </c>
      <c r="R330" s="301">
        <f>IF((Q331=""),"",MAX(E332:Q332))</f>
        <v>379.95000000000027</v>
      </c>
      <c r="S330" s="301">
        <f>IF(Q331="","",MIN(E332:Q332))</f>
        <v>311.88000000000011</v>
      </c>
      <c r="T330" s="304">
        <f>IF((Q332=""),"",AVERAGE(E332:Q332))</f>
        <v>335.15999999999997</v>
      </c>
      <c r="U330" s="304">
        <f>IF((Q331=""),"",(R330-S330)/(R330+S330)*100)</f>
        <v>9.8391223277394921</v>
      </c>
      <c r="V330" s="304">
        <f>STDEV(E332:Q332)</f>
        <v>27.721439055960566</v>
      </c>
      <c r="W330" s="292" t="str">
        <f>IF(Q331="","",IF(T330&gt;300,IF(U330&lt;14,IF(T330&lt;390,"Pass","Fail"),"Fail"),"Fail"))</f>
        <v>Pass</v>
      </c>
      <c r="X330" s="295">
        <v>1159</v>
      </c>
      <c r="Y330" s="261" t="s">
        <v>229</v>
      </c>
      <c r="Z330" s="255"/>
      <c r="AA330" s="122">
        <v>270</v>
      </c>
      <c r="AB330" s="122">
        <v>370</v>
      </c>
      <c r="AC330" s="122">
        <v>300</v>
      </c>
      <c r="AD330" s="123">
        <v>390</v>
      </c>
      <c r="AE330" s="123">
        <v>14</v>
      </c>
      <c r="AF330" s="123">
        <v>20</v>
      </c>
    </row>
    <row r="331" spans="1:32" ht="15.55" x14ac:dyDescent="0.25">
      <c r="A331" s="299"/>
      <c r="B331" s="124"/>
      <c r="C331" s="124"/>
      <c r="D331" s="120" t="s">
        <v>193</v>
      </c>
      <c r="E331" s="10">
        <v>2471.85</v>
      </c>
      <c r="F331" s="10">
        <v>2442.09</v>
      </c>
      <c r="G331" s="10">
        <v>2441.9699999999998</v>
      </c>
      <c r="H331" s="10">
        <v>2453.15</v>
      </c>
      <c r="I331" s="10">
        <v>2513.2199999999998</v>
      </c>
      <c r="J331" s="10">
        <v>2465.42</v>
      </c>
      <c r="K331" s="10">
        <v>2448.17</v>
      </c>
      <c r="L331" s="10">
        <v>2445.3000000000002</v>
      </c>
      <c r="M331" s="10">
        <v>2461.31</v>
      </c>
      <c r="N331" s="10">
        <v>2441.4299999999998</v>
      </c>
      <c r="O331" s="10">
        <v>2460.9299999999998</v>
      </c>
      <c r="P331" s="10">
        <v>2462.54</v>
      </c>
      <c r="Q331" s="10">
        <v>2442.4</v>
      </c>
      <c r="R331" s="302"/>
      <c r="S331" s="302"/>
      <c r="T331" s="305"/>
      <c r="U331" s="305"/>
      <c r="V331" s="307"/>
      <c r="W331" s="293"/>
      <c r="X331" s="296"/>
      <c r="Y331" s="258"/>
      <c r="Z331" s="255"/>
      <c r="AA331" s="122"/>
      <c r="AB331" s="122"/>
      <c r="AC331" s="122"/>
      <c r="AD331" s="123"/>
      <c r="AE331" s="123"/>
      <c r="AF331" s="123"/>
    </row>
    <row r="332" spans="1:32" ht="62.05" x14ac:dyDescent="0.3">
      <c r="A332" s="300"/>
      <c r="B332" s="119"/>
      <c r="C332" s="119"/>
      <c r="D332" s="120" t="s">
        <v>194</v>
      </c>
      <c r="E332" s="125">
        <f t="shared" ref="E332:Q332" si="108">IF(((E330="")*AND(E331="")),"",(E330-E331))</f>
        <v>378.11000000000013</v>
      </c>
      <c r="F332" s="125">
        <f t="shared" si="108"/>
        <v>312.92000000000007</v>
      </c>
      <c r="G332" s="125">
        <f t="shared" si="108"/>
        <v>311.88000000000011</v>
      </c>
      <c r="H332" s="125">
        <f t="shared" si="108"/>
        <v>318.5</v>
      </c>
      <c r="I332" s="125">
        <f t="shared" si="108"/>
        <v>371.90000000000009</v>
      </c>
      <c r="J332" s="125">
        <f t="shared" si="108"/>
        <v>368.67999999999984</v>
      </c>
      <c r="K332" s="125">
        <f t="shared" si="108"/>
        <v>314.09999999999991</v>
      </c>
      <c r="L332" s="125">
        <f t="shared" si="108"/>
        <v>317.41999999999962</v>
      </c>
      <c r="M332" s="125">
        <f t="shared" si="108"/>
        <v>379.95000000000027</v>
      </c>
      <c r="N332" s="125">
        <f t="shared" si="108"/>
        <v>322.38000000000011</v>
      </c>
      <c r="O332" s="125">
        <f t="shared" si="108"/>
        <v>321.84000000000015</v>
      </c>
      <c r="P332" s="125">
        <f t="shared" si="108"/>
        <v>317.92000000000007</v>
      </c>
      <c r="Q332" s="125">
        <f t="shared" si="108"/>
        <v>321.48</v>
      </c>
      <c r="R332" s="303"/>
      <c r="S332" s="303"/>
      <c r="T332" s="306"/>
      <c r="U332" s="306"/>
      <c r="V332" s="308"/>
      <c r="W332" s="294"/>
      <c r="X332" s="297"/>
      <c r="Y332" s="259"/>
      <c r="Z332" s="255"/>
      <c r="AA332" s="122"/>
      <c r="AB332" s="122"/>
      <c r="AC332" s="122"/>
      <c r="AD332" s="122"/>
      <c r="AE332" s="122"/>
      <c r="AF332" s="126"/>
    </row>
    <row r="333" spans="1:32" ht="15.55" x14ac:dyDescent="0.25">
      <c r="A333" s="298">
        <v>43514</v>
      </c>
      <c r="B333" s="119" t="s">
        <v>242</v>
      </c>
      <c r="C333" s="119" t="s">
        <v>238</v>
      </c>
      <c r="D333" s="120" t="s">
        <v>192</v>
      </c>
      <c r="E333" s="10">
        <v>2865.7</v>
      </c>
      <c r="F333" s="10">
        <v>2776.84</v>
      </c>
      <c r="G333" s="10">
        <v>2774.41</v>
      </c>
      <c r="H333" s="10">
        <v>2794.03</v>
      </c>
      <c r="I333" s="10">
        <v>2902.48</v>
      </c>
      <c r="J333" s="10">
        <v>2853.69</v>
      </c>
      <c r="K333" s="10">
        <v>2786.07</v>
      </c>
      <c r="L333" s="10">
        <v>2783.87</v>
      </c>
      <c r="M333" s="10">
        <v>2858.26</v>
      </c>
      <c r="N333" s="10">
        <v>2784.71</v>
      </c>
      <c r="O333" s="10">
        <v>2801.67</v>
      </c>
      <c r="P333" s="10">
        <v>2803.93</v>
      </c>
      <c r="Q333" s="10">
        <v>2784.52</v>
      </c>
      <c r="R333" s="301">
        <f>IF((Q334=""),"",MAX(E335:Q335))</f>
        <v>356.27000000000044</v>
      </c>
      <c r="S333" s="301">
        <f>IF(Q334="","",MIN(E335:Q335))</f>
        <v>299.75</v>
      </c>
      <c r="T333" s="304">
        <f>IF((Q335=""),"",AVERAGE(E335:Q335))</f>
        <v>325.31846153846158</v>
      </c>
      <c r="U333" s="304">
        <f>IF((Q334=""),"",(R333-S333)/(R333+S333)*100)</f>
        <v>8.6155909880796919</v>
      </c>
      <c r="V333" s="304">
        <f>STDEV(E335:Q335)</f>
        <v>19.74067790382497</v>
      </c>
      <c r="W333" s="292" t="str">
        <f>IF(Q334="","",IF(T333&gt;300,IF(U333&lt;14,IF(T333&lt;390,"Pass","Fail"),"Fail"),"Fail"))</f>
        <v>Pass</v>
      </c>
      <c r="X333" s="295">
        <v>1428</v>
      </c>
      <c r="Y333" s="309"/>
      <c r="Z333" s="255"/>
      <c r="AA333" s="122">
        <v>270</v>
      </c>
      <c r="AB333" s="122">
        <v>370</v>
      </c>
      <c r="AC333" s="122">
        <v>300</v>
      </c>
      <c r="AD333" s="123">
        <v>390</v>
      </c>
      <c r="AE333" s="123">
        <v>14</v>
      </c>
      <c r="AF333" s="123">
        <v>20</v>
      </c>
    </row>
    <row r="334" spans="1:32" ht="15.55" x14ac:dyDescent="0.25">
      <c r="A334" s="299"/>
      <c r="B334" s="124"/>
      <c r="C334" s="124"/>
      <c r="D334" s="120" t="s">
        <v>193</v>
      </c>
      <c r="E334" s="10">
        <v>2509.5100000000002</v>
      </c>
      <c r="F334" s="10">
        <v>2467.7399999999998</v>
      </c>
      <c r="G334" s="10">
        <v>2474.66</v>
      </c>
      <c r="H334" s="10">
        <v>2477.3000000000002</v>
      </c>
      <c r="I334" s="10">
        <v>2552.41</v>
      </c>
      <c r="J334" s="10">
        <v>2504.7800000000002</v>
      </c>
      <c r="K334" s="10">
        <v>2472.6999999999998</v>
      </c>
      <c r="L334" s="10">
        <v>2468.36</v>
      </c>
      <c r="M334" s="10">
        <v>2501.9899999999998</v>
      </c>
      <c r="N334" s="10">
        <v>2469.77</v>
      </c>
      <c r="O334" s="10">
        <v>2487.15</v>
      </c>
      <c r="P334" s="10">
        <v>2487.33</v>
      </c>
      <c r="Q334" s="10">
        <v>2467.34</v>
      </c>
      <c r="R334" s="302"/>
      <c r="S334" s="302"/>
      <c r="T334" s="305"/>
      <c r="U334" s="305"/>
      <c r="V334" s="307"/>
      <c r="W334" s="293"/>
      <c r="X334" s="296"/>
      <c r="Y334" s="310"/>
      <c r="Z334" s="255"/>
      <c r="AA334" s="122"/>
      <c r="AB334" s="122"/>
      <c r="AC334" s="122"/>
      <c r="AD334" s="123"/>
      <c r="AE334" s="123"/>
      <c r="AF334" s="123"/>
    </row>
    <row r="335" spans="1:32" ht="62.05" x14ac:dyDescent="0.3">
      <c r="A335" s="300"/>
      <c r="B335" s="119"/>
      <c r="C335" s="119"/>
      <c r="D335" s="120" t="s">
        <v>194</v>
      </c>
      <c r="E335" s="134">
        <f t="shared" ref="E335:Q335" si="109">IF(((E333="")*AND(E334="")),"",(E333-E334))</f>
        <v>356.1899999999996</v>
      </c>
      <c r="F335" s="134">
        <f t="shared" si="109"/>
        <v>309.10000000000036</v>
      </c>
      <c r="G335" s="134">
        <f t="shared" si="109"/>
        <v>299.75</v>
      </c>
      <c r="H335" s="134">
        <f t="shared" si="109"/>
        <v>316.73</v>
      </c>
      <c r="I335" s="134">
        <f t="shared" si="109"/>
        <v>350.07000000000016</v>
      </c>
      <c r="J335" s="134">
        <f t="shared" si="109"/>
        <v>348.90999999999985</v>
      </c>
      <c r="K335" s="134">
        <f t="shared" si="109"/>
        <v>313.37000000000035</v>
      </c>
      <c r="L335" s="134">
        <f t="shared" si="109"/>
        <v>315.50999999999976</v>
      </c>
      <c r="M335" s="134">
        <f t="shared" si="109"/>
        <v>356.27000000000044</v>
      </c>
      <c r="N335" s="134">
        <f t="shared" si="109"/>
        <v>314.94000000000005</v>
      </c>
      <c r="O335" s="134">
        <f t="shared" si="109"/>
        <v>314.52</v>
      </c>
      <c r="P335" s="134">
        <f t="shared" si="109"/>
        <v>316.59999999999991</v>
      </c>
      <c r="Q335" s="134">
        <f t="shared" si="109"/>
        <v>317.17999999999984</v>
      </c>
      <c r="R335" s="303"/>
      <c r="S335" s="303"/>
      <c r="T335" s="306"/>
      <c r="U335" s="306"/>
      <c r="V335" s="308"/>
      <c r="W335" s="294"/>
      <c r="X335" s="297"/>
      <c r="Y335" s="311"/>
      <c r="Z335" s="255"/>
      <c r="AA335" s="122"/>
      <c r="AB335" s="122"/>
      <c r="AC335" s="122"/>
      <c r="AD335" s="122"/>
      <c r="AE335" s="122"/>
      <c r="AF335" s="126"/>
    </row>
    <row r="336" spans="1:32" ht="15.55" x14ac:dyDescent="0.25">
      <c r="A336" s="298">
        <v>43517</v>
      </c>
      <c r="B336" s="119" t="s">
        <v>242</v>
      </c>
      <c r="C336" s="119" t="s">
        <v>238</v>
      </c>
      <c r="D336" s="120" t="s">
        <v>192</v>
      </c>
      <c r="E336" s="10">
        <v>2509.2600000000002</v>
      </c>
      <c r="F336" s="10">
        <v>2464.9699999999998</v>
      </c>
      <c r="G336" s="10">
        <v>2464.36</v>
      </c>
      <c r="H336" s="10">
        <v>2479.5500000000002</v>
      </c>
      <c r="I336" s="10">
        <v>2553.2199999999998</v>
      </c>
      <c r="J336" s="10">
        <v>2502.77</v>
      </c>
      <c r="K336" s="10">
        <v>2472.21</v>
      </c>
      <c r="L336" s="10">
        <v>2521.14</v>
      </c>
      <c r="M336" s="10">
        <v>2500.04</v>
      </c>
      <c r="N336" s="10">
        <v>2469.91</v>
      </c>
      <c r="O336" s="10">
        <v>2498.75</v>
      </c>
      <c r="P336" s="10">
        <v>2485.67</v>
      </c>
      <c r="Q336" s="10">
        <v>2470.04</v>
      </c>
      <c r="R336" s="301">
        <f>IF((Q337=""),"",MAX(E338:Q338))</f>
        <v>336.25</v>
      </c>
      <c r="S336" s="301">
        <f>IF(Q337="","",MIN(E338:Q338))</f>
        <v>258.59999999999991</v>
      </c>
      <c r="T336" s="304">
        <f>IF((Q338=""),"",AVERAGE(E338:Q338))</f>
        <v>281.53769230769234</v>
      </c>
      <c r="U336" s="304">
        <f>IF((Q337=""),"",(R336-S336)/(R336+S336)*100)</f>
        <v>13.053711019584787</v>
      </c>
      <c r="V336" s="304">
        <f>STDEV(E338:Q338)</f>
        <v>24.639860035399984</v>
      </c>
      <c r="W336" s="292" t="str">
        <f>IF(Q337="","",IF(T336&gt;300,IF(U336&lt;14,IF(T336&lt;390,"Pass","Fail"),"Fail"),"Fail"))</f>
        <v>Fail</v>
      </c>
      <c r="X336" s="295">
        <v>1428</v>
      </c>
      <c r="Y336" s="309"/>
      <c r="Z336" s="255"/>
      <c r="AA336" s="122">
        <v>270</v>
      </c>
      <c r="AB336" s="122">
        <v>370</v>
      </c>
      <c r="AC336" s="122">
        <v>300</v>
      </c>
      <c r="AD336" s="123">
        <v>390</v>
      </c>
      <c r="AE336" s="123">
        <v>14</v>
      </c>
      <c r="AF336" s="123">
        <v>20</v>
      </c>
    </row>
    <row r="337" spans="1:32" ht="15.55" x14ac:dyDescent="0.25">
      <c r="A337" s="299"/>
      <c r="B337" s="124"/>
      <c r="C337" s="124"/>
      <c r="D337" s="120" t="s">
        <v>193</v>
      </c>
      <c r="E337" s="10">
        <v>2209.5</v>
      </c>
      <c r="F337" s="10">
        <v>2206.1</v>
      </c>
      <c r="G337" s="10">
        <v>2205.7600000000002</v>
      </c>
      <c r="H337" s="10">
        <v>2211.3000000000002</v>
      </c>
      <c r="I337" s="10">
        <v>2216.9699999999998</v>
      </c>
      <c r="J337" s="10">
        <v>2214.09</v>
      </c>
      <c r="K337" s="10">
        <v>2213.4699999999998</v>
      </c>
      <c r="L337" s="10">
        <v>2208.38</v>
      </c>
      <c r="M337" s="10">
        <v>2202.1999999999998</v>
      </c>
      <c r="N337" s="10">
        <v>2211.1999999999998</v>
      </c>
      <c r="O337" s="10">
        <v>2212.92</v>
      </c>
      <c r="P337" s="10">
        <v>2214.83</v>
      </c>
      <c r="Q337" s="10">
        <v>2205.1799999999998</v>
      </c>
      <c r="R337" s="302"/>
      <c r="S337" s="302"/>
      <c r="T337" s="305"/>
      <c r="U337" s="305"/>
      <c r="V337" s="307"/>
      <c r="W337" s="293"/>
      <c r="X337" s="296"/>
      <c r="Y337" s="310"/>
      <c r="Z337" s="255"/>
      <c r="AA337" s="122"/>
      <c r="AB337" s="122"/>
      <c r="AC337" s="122"/>
      <c r="AD337" s="123"/>
      <c r="AE337" s="123"/>
      <c r="AF337" s="123"/>
    </row>
    <row r="338" spans="1:32" ht="62.05" x14ac:dyDescent="0.3">
      <c r="A338" s="300"/>
      <c r="B338" s="119"/>
      <c r="C338" s="119"/>
      <c r="D338" s="120" t="s">
        <v>194</v>
      </c>
      <c r="E338" s="134">
        <f t="shared" ref="E338:Q338" si="110">IF(((E336="")*AND(E337="")),"",(E336-E337))</f>
        <v>299.76000000000022</v>
      </c>
      <c r="F338" s="134">
        <f t="shared" si="110"/>
        <v>258.86999999999989</v>
      </c>
      <c r="G338" s="134">
        <f t="shared" si="110"/>
        <v>258.59999999999991</v>
      </c>
      <c r="H338" s="134">
        <f t="shared" si="110"/>
        <v>268.25</v>
      </c>
      <c r="I338" s="134">
        <f t="shared" si="110"/>
        <v>336.25</v>
      </c>
      <c r="J338" s="134">
        <f t="shared" si="110"/>
        <v>288.67999999999984</v>
      </c>
      <c r="K338" s="134">
        <f t="shared" si="110"/>
        <v>258.74000000000024</v>
      </c>
      <c r="L338" s="134">
        <f t="shared" si="110"/>
        <v>312.75999999999976</v>
      </c>
      <c r="M338" s="134">
        <f t="shared" si="110"/>
        <v>297.84000000000015</v>
      </c>
      <c r="N338" s="134">
        <f t="shared" si="110"/>
        <v>258.71000000000004</v>
      </c>
      <c r="O338" s="134">
        <f t="shared" si="110"/>
        <v>285.82999999999993</v>
      </c>
      <c r="P338" s="134">
        <f t="shared" si="110"/>
        <v>270.84000000000015</v>
      </c>
      <c r="Q338" s="134">
        <f t="shared" si="110"/>
        <v>264.86000000000013</v>
      </c>
      <c r="R338" s="303"/>
      <c r="S338" s="303"/>
      <c r="T338" s="306"/>
      <c r="U338" s="306"/>
      <c r="V338" s="308"/>
      <c r="W338" s="294"/>
      <c r="X338" s="297"/>
      <c r="Y338" s="311"/>
      <c r="Z338" s="255"/>
      <c r="AA338" s="122"/>
      <c r="AB338" s="122"/>
      <c r="AC338" s="122"/>
      <c r="AD338" s="122"/>
      <c r="AE338" s="122"/>
      <c r="AF338" s="126"/>
    </row>
    <row r="339" spans="1:32" ht="15.55" x14ac:dyDescent="0.25">
      <c r="A339" s="298">
        <v>43517</v>
      </c>
      <c r="B339" s="119" t="s">
        <v>242</v>
      </c>
      <c r="C339" s="119" t="s">
        <v>238</v>
      </c>
      <c r="D339" s="120" t="s">
        <v>192</v>
      </c>
      <c r="E339" s="10">
        <v>2874.82</v>
      </c>
      <c r="F339" s="10">
        <v>2785.29</v>
      </c>
      <c r="G339" s="10">
        <v>2783.36</v>
      </c>
      <c r="H339" s="10">
        <v>2802.65</v>
      </c>
      <c r="I339" s="10">
        <v>2906.51</v>
      </c>
      <c r="J339" s="10">
        <v>2861.7</v>
      </c>
      <c r="K339" s="10">
        <v>2793.16</v>
      </c>
      <c r="L339" s="10">
        <v>2788.1</v>
      </c>
      <c r="M339" s="10">
        <v>2864.04</v>
      </c>
      <c r="N339" s="10">
        <v>2794.07</v>
      </c>
      <c r="O339" s="10">
        <v>2808.44</v>
      </c>
      <c r="P339" s="10">
        <v>2811.81</v>
      </c>
      <c r="Q339" s="10">
        <v>2792.13</v>
      </c>
      <c r="R339" s="301">
        <f>IF((Q340=""),"",MAX(E341:Q341))</f>
        <v>378.26000000000022</v>
      </c>
      <c r="S339" s="301">
        <f>IF(Q340="","",MIN(E341:Q341))</f>
        <v>313.40000000000009</v>
      </c>
      <c r="T339" s="304">
        <f>IF((Q341=""),"",AVERAGE(E341:Q341))</f>
        <v>336.07615384615389</v>
      </c>
      <c r="U339" s="304">
        <f>IF((Q340=""),"",(R339-S339)/(R339+S339)*100)</f>
        <v>9.3774397825521358</v>
      </c>
      <c r="V339" s="304">
        <f>STDEV(E341:Q341)</f>
        <v>26.634633949822348</v>
      </c>
      <c r="W339" s="292" t="str">
        <f>IF(Q340="","",IF(T339&gt;300,IF(U339&lt;14,IF(T339&lt;390,"Pass","Fail"),"Fail"),"Fail"))</f>
        <v>Pass</v>
      </c>
      <c r="X339" s="295">
        <v>1428</v>
      </c>
      <c r="Y339" s="261" t="s">
        <v>254</v>
      </c>
      <c r="Z339" s="255"/>
      <c r="AA339" s="122">
        <v>270</v>
      </c>
      <c r="AB339" s="122">
        <v>370</v>
      </c>
      <c r="AC339" s="122">
        <v>300</v>
      </c>
      <c r="AD339" s="123">
        <v>390</v>
      </c>
      <c r="AE339" s="123">
        <v>14</v>
      </c>
      <c r="AF339" s="123">
        <v>20</v>
      </c>
    </row>
    <row r="340" spans="1:32" ht="15.55" x14ac:dyDescent="0.25">
      <c r="A340" s="299"/>
      <c r="B340" s="124"/>
      <c r="C340" s="124"/>
      <c r="D340" s="120" t="s">
        <v>193</v>
      </c>
      <c r="E340" s="10">
        <v>2496.56</v>
      </c>
      <c r="F340" s="10">
        <v>2466.3000000000002</v>
      </c>
      <c r="G340" s="10">
        <v>2469.96</v>
      </c>
      <c r="H340" s="10">
        <v>2483.04</v>
      </c>
      <c r="I340" s="10">
        <v>2531.7199999999998</v>
      </c>
      <c r="J340" s="10">
        <v>2492.4499999999998</v>
      </c>
      <c r="K340" s="10">
        <v>2472.39</v>
      </c>
      <c r="L340" s="10">
        <v>2472.4299999999998</v>
      </c>
      <c r="M340" s="10">
        <v>2489.48</v>
      </c>
      <c r="N340" s="10">
        <v>2472.7600000000002</v>
      </c>
      <c r="O340" s="10">
        <v>2489.1</v>
      </c>
      <c r="P340" s="10">
        <v>2489.02</v>
      </c>
      <c r="Q340" s="10">
        <v>2471.88</v>
      </c>
      <c r="R340" s="302"/>
      <c r="S340" s="302"/>
      <c r="T340" s="305"/>
      <c r="U340" s="305"/>
      <c r="V340" s="307"/>
      <c r="W340" s="293"/>
      <c r="X340" s="296"/>
      <c r="Y340" s="258"/>
      <c r="Z340" s="255"/>
      <c r="AA340" s="122"/>
      <c r="AB340" s="122"/>
      <c r="AC340" s="122"/>
      <c r="AD340" s="123"/>
      <c r="AE340" s="123"/>
      <c r="AF340" s="123"/>
    </row>
    <row r="341" spans="1:32" ht="62.05" x14ac:dyDescent="0.3">
      <c r="A341" s="300"/>
      <c r="B341" s="119"/>
      <c r="C341" s="119"/>
      <c r="D341" s="120" t="s">
        <v>194</v>
      </c>
      <c r="E341" s="134">
        <f t="shared" ref="E341:Q341" si="111">IF(((E339="")*AND(E340="")),"",(E339-E340))</f>
        <v>378.26000000000022</v>
      </c>
      <c r="F341" s="134">
        <f t="shared" si="111"/>
        <v>318.98999999999978</v>
      </c>
      <c r="G341" s="134">
        <f t="shared" si="111"/>
        <v>313.40000000000009</v>
      </c>
      <c r="H341" s="134">
        <f t="shared" si="111"/>
        <v>319.61000000000013</v>
      </c>
      <c r="I341" s="134">
        <f t="shared" si="111"/>
        <v>374.79000000000042</v>
      </c>
      <c r="J341" s="134">
        <f t="shared" si="111"/>
        <v>369.25</v>
      </c>
      <c r="K341" s="134">
        <f t="shared" si="111"/>
        <v>320.77</v>
      </c>
      <c r="L341" s="134">
        <f t="shared" si="111"/>
        <v>315.67000000000007</v>
      </c>
      <c r="M341" s="134">
        <f t="shared" si="111"/>
        <v>374.55999999999995</v>
      </c>
      <c r="N341" s="134">
        <f t="shared" si="111"/>
        <v>321.30999999999995</v>
      </c>
      <c r="O341" s="134">
        <f t="shared" si="111"/>
        <v>319.34000000000015</v>
      </c>
      <c r="P341" s="134">
        <f t="shared" si="111"/>
        <v>322.78999999999996</v>
      </c>
      <c r="Q341" s="134">
        <f t="shared" si="111"/>
        <v>320.25</v>
      </c>
      <c r="R341" s="303"/>
      <c r="S341" s="303"/>
      <c r="T341" s="306"/>
      <c r="U341" s="306"/>
      <c r="V341" s="308"/>
      <c r="W341" s="294"/>
      <c r="X341" s="297"/>
      <c r="Y341" s="259"/>
      <c r="Z341" s="255"/>
      <c r="AA341" s="122"/>
      <c r="AB341" s="122"/>
      <c r="AC341" s="122"/>
      <c r="AD341" s="122"/>
      <c r="AE341" s="122"/>
      <c r="AF341" s="126"/>
    </row>
    <row r="342" spans="1:32" ht="15.55" x14ac:dyDescent="0.25">
      <c r="A342" s="298">
        <v>43521</v>
      </c>
      <c r="B342" s="119" t="s">
        <v>242</v>
      </c>
      <c r="C342" s="119" t="s">
        <v>238</v>
      </c>
      <c r="D342" s="120" t="s">
        <v>192</v>
      </c>
      <c r="E342" s="10">
        <v>2498.13</v>
      </c>
      <c r="F342" s="10">
        <v>2467.84</v>
      </c>
      <c r="G342" s="10">
        <v>2470.7399999999998</v>
      </c>
      <c r="H342" s="10">
        <v>2483.67</v>
      </c>
      <c r="I342" s="10">
        <v>2537.8200000000002</v>
      </c>
      <c r="J342" s="10">
        <v>2490.69</v>
      </c>
      <c r="K342" s="10">
        <v>2473.23</v>
      </c>
      <c r="L342" s="10">
        <v>2472.91</v>
      </c>
      <c r="M342" s="10">
        <v>2489.1999999999998</v>
      </c>
      <c r="N342" s="10">
        <v>2471.1</v>
      </c>
      <c r="O342" s="10">
        <v>2487.77</v>
      </c>
      <c r="P342" s="10">
        <v>2489.58</v>
      </c>
      <c r="Q342" s="10">
        <v>2472.94</v>
      </c>
      <c r="R342" s="301">
        <f>IF((Q343=""),"",MAX(E344:Q344))</f>
        <v>320.86000000000013</v>
      </c>
      <c r="S342" s="301">
        <f>IF(Q343="","",MIN(E344:Q344))</f>
        <v>265.53999999999996</v>
      </c>
      <c r="T342" s="304">
        <f>IF((Q344=""),"",AVERAGE(E344:Q344))</f>
        <v>283.18999999999994</v>
      </c>
      <c r="U342" s="304">
        <f>IF((Q343=""),"",(R342-S342)/(R342+S342)*100)</f>
        <v>9.4338335607094397</v>
      </c>
      <c r="V342" s="304">
        <f>STDEV(E344:Q344)</f>
        <v>14.642079770305905</v>
      </c>
      <c r="W342" s="292" t="str">
        <f>IF(Q343="","",IF(T342&gt;300,IF(U342&lt;14,IF(T342&lt;390,"Pass","Fail"),"Fail"),"Fail"))</f>
        <v>Fail</v>
      </c>
      <c r="X342" s="295">
        <v>121</v>
      </c>
      <c r="Y342" s="309"/>
      <c r="Z342" s="255"/>
      <c r="AA342" s="122">
        <v>270</v>
      </c>
      <c r="AB342" s="122">
        <v>370</v>
      </c>
      <c r="AC342" s="122">
        <v>300</v>
      </c>
      <c r="AD342" s="123">
        <v>390</v>
      </c>
      <c r="AE342" s="123">
        <v>14</v>
      </c>
      <c r="AF342" s="123">
        <v>20</v>
      </c>
    </row>
    <row r="343" spans="1:32" ht="15.55" x14ac:dyDescent="0.25">
      <c r="A343" s="299"/>
      <c r="B343" s="124"/>
      <c r="C343" s="124"/>
      <c r="D343" s="120" t="s">
        <v>193</v>
      </c>
      <c r="E343" s="10">
        <v>2203.5500000000002</v>
      </c>
      <c r="F343" s="10">
        <v>2196.4</v>
      </c>
      <c r="G343" s="10">
        <v>2195.98</v>
      </c>
      <c r="H343" s="10">
        <v>2198.12</v>
      </c>
      <c r="I343" s="10">
        <v>2216.96</v>
      </c>
      <c r="J343" s="10">
        <v>2210.39</v>
      </c>
      <c r="K343" s="10">
        <v>2207.69</v>
      </c>
      <c r="L343" s="10">
        <v>2195.5100000000002</v>
      </c>
      <c r="M343" s="10">
        <v>2194.5100000000002</v>
      </c>
      <c r="N343" s="10">
        <v>2204.5100000000002</v>
      </c>
      <c r="O343" s="10">
        <v>2202.39</v>
      </c>
      <c r="P343" s="10">
        <v>2202.85</v>
      </c>
      <c r="Q343" s="10">
        <v>2195.29</v>
      </c>
      <c r="R343" s="302"/>
      <c r="S343" s="302"/>
      <c r="T343" s="305"/>
      <c r="U343" s="305"/>
      <c r="V343" s="307"/>
      <c r="W343" s="293"/>
      <c r="X343" s="296"/>
      <c r="Y343" s="310"/>
      <c r="Z343" s="255"/>
      <c r="AA343" s="122"/>
      <c r="AB343" s="122"/>
      <c r="AC343" s="122"/>
      <c r="AD343" s="123"/>
      <c r="AE343" s="123"/>
      <c r="AF343" s="123"/>
    </row>
    <row r="344" spans="1:32" ht="62.05" x14ac:dyDescent="0.3">
      <c r="A344" s="300"/>
      <c r="B344" s="119"/>
      <c r="C344" s="119"/>
      <c r="D344" s="120" t="s">
        <v>194</v>
      </c>
      <c r="E344" s="134">
        <f t="shared" ref="E344:Q344" si="112">IF(((E342="")*AND(E343="")),"",(E342-E343))</f>
        <v>294.57999999999993</v>
      </c>
      <c r="F344" s="134">
        <f t="shared" si="112"/>
        <v>271.44000000000005</v>
      </c>
      <c r="G344" s="134">
        <f t="shared" si="112"/>
        <v>274.75999999999976</v>
      </c>
      <c r="H344" s="134">
        <f t="shared" si="112"/>
        <v>285.55000000000018</v>
      </c>
      <c r="I344" s="134">
        <f t="shared" si="112"/>
        <v>320.86000000000013</v>
      </c>
      <c r="J344" s="134">
        <f t="shared" si="112"/>
        <v>280.30000000000018</v>
      </c>
      <c r="K344" s="134">
        <f t="shared" si="112"/>
        <v>265.53999999999996</v>
      </c>
      <c r="L344" s="134">
        <f t="shared" si="112"/>
        <v>277.39999999999964</v>
      </c>
      <c r="M344" s="134">
        <f t="shared" si="112"/>
        <v>294.6899999999996</v>
      </c>
      <c r="N344" s="134">
        <f t="shared" si="112"/>
        <v>266.58999999999969</v>
      </c>
      <c r="O344" s="134">
        <f t="shared" si="112"/>
        <v>285.38000000000011</v>
      </c>
      <c r="P344" s="134">
        <f t="shared" si="112"/>
        <v>286.73</v>
      </c>
      <c r="Q344" s="134">
        <f t="shared" si="112"/>
        <v>277.65000000000009</v>
      </c>
      <c r="R344" s="303"/>
      <c r="S344" s="303"/>
      <c r="T344" s="306"/>
      <c r="U344" s="306"/>
      <c r="V344" s="308"/>
      <c r="W344" s="294"/>
      <c r="X344" s="297"/>
      <c r="Y344" s="311"/>
      <c r="Z344" s="255"/>
      <c r="AA344" s="122"/>
      <c r="AB344" s="122"/>
      <c r="AC344" s="122"/>
      <c r="AD344" s="122"/>
      <c r="AE344" s="122"/>
      <c r="AF344" s="126"/>
    </row>
    <row r="345" spans="1:32" ht="15.55" x14ac:dyDescent="0.25">
      <c r="A345" s="298">
        <v>43521</v>
      </c>
      <c r="B345" s="119" t="s">
        <v>242</v>
      </c>
      <c r="C345" s="119" t="s">
        <v>238</v>
      </c>
      <c r="D345" s="120" t="s">
        <v>192</v>
      </c>
      <c r="E345" s="10">
        <v>2875.42</v>
      </c>
      <c r="F345" s="10">
        <v>2793.37</v>
      </c>
      <c r="G345" s="10">
        <v>2791.22</v>
      </c>
      <c r="H345" s="10">
        <v>2805.69</v>
      </c>
      <c r="I345" s="10">
        <v>2911.96</v>
      </c>
      <c r="J345" s="10">
        <v>2865.66</v>
      </c>
      <c r="K345" s="10">
        <v>2798.54</v>
      </c>
      <c r="L345" s="10">
        <v>2798.8</v>
      </c>
      <c r="M345" s="10">
        <v>2876.61</v>
      </c>
      <c r="N345" s="10">
        <v>2802.08</v>
      </c>
      <c r="O345" s="10">
        <v>2821.55</v>
      </c>
      <c r="P345" s="10">
        <v>2814.7</v>
      </c>
      <c r="Q345" s="10">
        <v>2796.65</v>
      </c>
      <c r="R345" s="301">
        <f>IF((Q346=""),"",MAX(E347:Q347))</f>
        <v>381.74000000000024</v>
      </c>
      <c r="S345" s="301">
        <f>IF(Q346="","",MIN(E347:Q347))</f>
        <v>313.26000000000022</v>
      </c>
      <c r="T345" s="304">
        <f>IF((Q347=""),"",AVERAGE(E347:Q347))</f>
        <v>336.78769230769228</v>
      </c>
      <c r="U345" s="304">
        <f>IF((Q346=""),"",(R345-S345)/(R345+S345)*100)</f>
        <v>9.8532374100719391</v>
      </c>
      <c r="V345" s="304">
        <f>STDEV(E347:Q347)</f>
        <v>28.313722866555434</v>
      </c>
      <c r="W345" s="292" t="str">
        <f>IF(Q346="","",IF(T345&gt;300,IF(U345&lt;14,IF(T345&lt;390,"Pass","Fail"),"Fail"),"Fail"))</f>
        <v>Pass</v>
      </c>
      <c r="X345" s="295">
        <v>121</v>
      </c>
      <c r="Y345" s="261" t="s">
        <v>230</v>
      </c>
      <c r="Z345" s="255"/>
      <c r="AA345" s="122">
        <v>270</v>
      </c>
      <c r="AB345" s="122">
        <v>370</v>
      </c>
      <c r="AC345" s="122">
        <v>300</v>
      </c>
      <c r="AD345" s="123">
        <v>390</v>
      </c>
      <c r="AE345" s="123">
        <v>14</v>
      </c>
      <c r="AF345" s="123">
        <v>20</v>
      </c>
    </row>
    <row r="346" spans="1:32" ht="15.55" x14ac:dyDescent="0.25">
      <c r="A346" s="299"/>
      <c r="B346" s="124"/>
      <c r="C346" s="124"/>
      <c r="D346" s="120" t="s">
        <v>193</v>
      </c>
      <c r="E346" s="10">
        <v>2499.6</v>
      </c>
      <c r="F346" s="10">
        <v>2476.63</v>
      </c>
      <c r="G346" s="10">
        <v>2476.3200000000002</v>
      </c>
      <c r="H346" s="10">
        <v>2492.4299999999998</v>
      </c>
      <c r="I346" s="10">
        <v>2535.46</v>
      </c>
      <c r="J346" s="10">
        <v>2490.8000000000002</v>
      </c>
      <c r="K346" s="10">
        <v>2477.25</v>
      </c>
      <c r="L346" s="10">
        <v>2481.16</v>
      </c>
      <c r="M346" s="10">
        <v>2494.87</v>
      </c>
      <c r="N346" s="10">
        <v>2476.0500000000002</v>
      </c>
      <c r="O346" s="10">
        <v>2497.48</v>
      </c>
      <c r="P346" s="10">
        <v>2496.19</v>
      </c>
      <c r="Q346" s="10">
        <v>2479.77</v>
      </c>
      <c r="R346" s="302"/>
      <c r="S346" s="302"/>
      <c r="T346" s="305"/>
      <c r="U346" s="305"/>
      <c r="V346" s="307"/>
      <c r="W346" s="293"/>
      <c r="X346" s="296"/>
      <c r="Y346" s="258"/>
      <c r="Z346" s="255"/>
      <c r="AA346" s="122"/>
      <c r="AB346" s="122"/>
      <c r="AC346" s="122"/>
      <c r="AD346" s="123"/>
      <c r="AE346" s="123"/>
      <c r="AF346" s="123"/>
    </row>
    <row r="347" spans="1:32" ht="62.05" x14ac:dyDescent="0.3">
      <c r="A347" s="300"/>
      <c r="B347" s="119"/>
      <c r="C347" s="119"/>
      <c r="D347" s="120" t="s">
        <v>194</v>
      </c>
      <c r="E347" s="134">
        <f t="shared" ref="E347:Q347" si="113">IF(((E345="")*AND(E346="")),"",(E345-E346))</f>
        <v>375.82000000000016</v>
      </c>
      <c r="F347" s="134">
        <f t="shared" si="113"/>
        <v>316.73999999999978</v>
      </c>
      <c r="G347" s="134">
        <f t="shared" si="113"/>
        <v>314.89999999999964</v>
      </c>
      <c r="H347" s="134">
        <f t="shared" si="113"/>
        <v>313.26000000000022</v>
      </c>
      <c r="I347" s="134">
        <f t="shared" si="113"/>
        <v>376.5</v>
      </c>
      <c r="J347" s="134">
        <f t="shared" si="113"/>
        <v>374.85999999999967</v>
      </c>
      <c r="K347" s="134">
        <f t="shared" si="113"/>
        <v>321.28999999999996</v>
      </c>
      <c r="L347" s="134">
        <f t="shared" si="113"/>
        <v>317.64000000000033</v>
      </c>
      <c r="M347" s="134">
        <f t="shared" si="113"/>
        <v>381.74000000000024</v>
      </c>
      <c r="N347" s="134">
        <f t="shared" si="113"/>
        <v>326.02999999999975</v>
      </c>
      <c r="O347" s="134">
        <f t="shared" si="113"/>
        <v>324.07000000000016</v>
      </c>
      <c r="P347" s="134">
        <f t="shared" si="113"/>
        <v>318.50999999999976</v>
      </c>
      <c r="Q347" s="134">
        <f t="shared" si="113"/>
        <v>316.88000000000011</v>
      </c>
      <c r="R347" s="303"/>
      <c r="S347" s="303"/>
      <c r="T347" s="306"/>
      <c r="U347" s="306"/>
      <c r="V347" s="308"/>
      <c r="W347" s="294"/>
      <c r="X347" s="297"/>
      <c r="Y347" s="259"/>
      <c r="Z347" s="255"/>
      <c r="AA347" s="122"/>
      <c r="AB347" s="122"/>
      <c r="AC347" s="122"/>
      <c r="AD347" s="122"/>
      <c r="AE347" s="122"/>
      <c r="AF347" s="126"/>
    </row>
    <row r="348" spans="1:32" ht="15.55" x14ac:dyDescent="0.25">
      <c r="A348" s="298">
        <v>43524</v>
      </c>
      <c r="B348" s="119" t="s">
        <v>242</v>
      </c>
      <c r="C348" s="119" t="s">
        <v>238</v>
      </c>
      <c r="D348" s="120" t="s">
        <v>192</v>
      </c>
      <c r="E348" s="10">
        <v>2878.46</v>
      </c>
      <c r="F348" s="10">
        <v>2788.89</v>
      </c>
      <c r="G348" s="10">
        <v>2786.74</v>
      </c>
      <c r="H348" s="10">
        <v>2802.45</v>
      </c>
      <c r="I348" s="10">
        <v>2907.56</v>
      </c>
      <c r="J348" s="10">
        <v>2861.27</v>
      </c>
      <c r="K348" s="10">
        <v>2791.39</v>
      </c>
      <c r="L348" s="10">
        <v>2792.67</v>
      </c>
      <c r="M348" s="10">
        <v>2868.27</v>
      </c>
      <c r="N348" s="10">
        <v>2798.63</v>
      </c>
      <c r="O348" s="10">
        <v>2811.25</v>
      </c>
      <c r="P348" s="10">
        <v>2811.48</v>
      </c>
      <c r="Q348" s="10">
        <v>2799.22</v>
      </c>
      <c r="R348" s="301">
        <f>IF((Q349=""),"",MAX(E350:Q350))</f>
        <v>373.17000000000007</v>
      </c>
      <c r="S348" s="301">
        <f>IF(Q349="","",MIN(E350:Q350))</f>
        <v>319.69999999999982</v>
      </c>
      <c r="T348" s="304">
        <f>IF((Q350=""),"",AVERAGE(E350:Q350))</f>
        <v>337.88538461538457</v>
      </c>
      <c r="U348" s="304">
        <f>IF((Q349=""),"",(R348-S348)/(R348+S348)*100)</f>
        <v>7.7171763822939745</v>
      </c>
      <c r="V348" s="304">
        <f>STDEV(E350:Q350)</f>
        <v>20.498719315843715</v>
      </c>
      <c r="W348" s="292" t="str">
        <f>IF(Q349="","",IF(T348&gt;300,IF(U348&lt;14,IF(T348&lt;390,"Pass","Fail"),"Fail"),"Fail"))</f>
        <v>Pass</v>
      </c>
      <c r="X348" s="295" t="s">
        <v>99</v>
      </c>
      <c r="Y348" s="261" t="s">
        <v>231</v>
      </c>
      <c r="Z348" s="255"/>
      <c r="AA348" s="122">
        <v>270</v>
      </c>
      <c r="AB348" s="122">
        <v>370</v>
      </c>
      <c r="AC348" s="122">
        <v>300</v>
      </c>
      <c r="AD348" s="123">
        <v>390</v>
      </c>
      <c r="AE348" s="123">
        <v>14</v>
      </c>
      <c r="AF348" s="123">
        <v>20</v>
      </c>
    </row>
    <row r="349" spans="1:32" ht="15.55" x14ac:dyDescent="0.25">
      <c r="A349" s="299"/>
      <c r="B349" s="124"/>
      <c r="C349" s="124"/>
      <c r="D349" s="120" t="s">
        <v>193</v>
      </c>
      <c r="E349" s="10">
        <v>2505.29</v>
      </c>
      <c r="F349" s="10">
        <v>2465.83</v>
      </c>
      <c r="G349" s="10">
        <v>2465.5700000000002</v>
      </c>
      <c r="H349" s="10">
        <v>2477.1</v>
      </c>
      <c r="I349" s="10">
        <v>2545.7800000000002</v>
      </c>
      <c r="J349" s="10">
        <v>2498.65</v>
      </c>
      <c r="K349" s="10">
        <v>2471.69</v>
      </c>
      <c r="L349" s="10">
        <v>2465.21</v>
      </c>
      <c r="M349" s="10">
        <v>2498.31</v>
      </c>
      <c r="N349" s="10">
        <v>2471.35</v>
      </c>
      <c r="O349" s="10">
        <v>2484.79</v>
      </c>
      <c r="P349" s="10">
        <v>2487.46</v>
      </c>
      <c r="Q349" s="10">
        <v>2468.7399999999998</v>
      </c>
      <c r="R349" s="302"/>
      <c r="S349" s="302"/>
      <c r="T349" s="305"/>
      <c r="U349" s="305"/>
      <c r="V349" s="307"/>
      <c r="W349" s="293"/>
      <c r="X349" s="296"/>
      <c r="Y349" s="258"/>
      <c r="Z349" s="255"/>
      <c r="AA349" s="122"/>
      <c r="AB349" s="122"/>
      <c r="AC349" s="122"/>
      <c r="AD349" s="123"/>
      <c r="AE349" s="123"/>
      <c r="AF349" s="123"/>
    </row>
    <row r="350" spans="1:32" ht="62.05" x14ac:dyDescent="0.3">
      <c r="A350" s="300"/>
      <c r="B350" s="119"/>
      <c r="C350" s="119"/>
      <c r="D350" s="120" t="s">
        <v>194</v>
      </c>
      <c r="E350" s="134">
        <f t="shared" ref="E350:Q350" si="114">IF(((E348="")*AND(E349="")),"",(E348-E349))</f>
        <v>373.17000000000007</v>
      </c>
      <c r="F350" s="134">
        <f t="shared" si="114"/>
        <v>323.05999999999995</v>
      </c>
      <c r="G350" s="134">
        <f t="shared" si="114"/>
        <v>321.16999999999962</v>
      </c>
      <c r="H350" s="134">
        <f t="shared" si="114"/>
        <v>325.34999999999991</v>
      </c>
      <c r="I350" s="134">
        <f t="shared" si="114"/>
        <v>361.77999999999975</v>
      </c>
      <c r="J350" s="134">
        <f t="shared" si="114"/>
        <v>362.61999999999989</v>
      </c>
      <c r="K350" s="134">
        <f t="shared" si="114"/>
        <v>319.69999999999982</v>
      </c>
      <c r="L350" s="134">
        <f t="shared" si="114"/>
        <v>327.46000000000004</v>
      </c>
      <c r="M350" s="134">
        <f t="shared" si="114"/>
        <v>369.96000000000004</v>
      </c>
      <c r="N350" s="134">
        <f t="shared" si="114"/>
        <v>327.2800000000002</v>
      </c>
      <c r="O350" s="134">
        <f t="shared" si="114"/>
        <v>326.46000000000004</v>
      </c>
      <c r="P350" s="134">
        <f t="shared" si="114"/>
        <v>324.02</v>
      </c>
      <c r="Q350" s="134">
        <f t="shared" si="114"/>
        <v>330.48</v>
      </c>
      <c r="R350" s="303"/>
      <c r="S350" s="303"/>
      <c r="T350" s="306"/>
      <c r="U350" s="306"/>
      <c r="V350" s="308"/>
      <c r="W350" s="294"/>
      <c r="X350" s="297"/>
      <c r="Y350" s="259"/>
      <c r="Z350" s="255"/>
      <c r="AA350" s="122"/>
      <c r="AB350" s="122"/>
      <c r="AC350" s="122"/>
      <c r="AD350" s="122"/>
      <c r="AE350" s="122"/>
      <c r="AF350" s="126"/>
    </row>
    <row r="351" spans="1:32" ht="15.55" x14ac:dyDescent="0.25">
      <c r="A351" s="298">
        <v>43528</v>
      </c>
      <c r="B351" s="119" t="s">
        <v>242</v>
      </c>
      <c r="C351" s="119" t="s">
        <v>238</v>
      </c>
      <c r="D351" s="120" t="s">
        <v>192</v>
      </c>
      <c r="E351" s="10">
        <v>2504.58</v>
      </c>
      <c r="F351" s="10">
        <v>2461.31</v>
      </c>
      <c r="G351" s="10">
        <v>2463.25</v>
      </c>
      <c r="H351" s="10">
        <v>2474.88</v>
      </c>
      <c r="I351" s="10">
        <v>2544.9899999999998</v>
      </c>
      <c r="J351" s="10">
        <v>2499.89</v>
      </c>
      <c r="K351" s="10">
        <v>2472.29</v>
      </c>
      <c r="L351" s="10">
        <v>2457.3200000000002</v>
      </c>
      <c r="M351" s="10">
        <v>2498.12</v>
      </c>
      <c r="N351" s="10">
        <v>2469.38</v>
      </c>
      <c r="O351" s="10">
        <v>2480.23</v>
      </c>
      <c r="P351" s="10">
        <v>2489.9699999999998</v>
      </c>
      <c r="Q351" s="10">
        <v>2471.4</v>
      </c>
      <c r="R351" s="301">
        <f>IF((Q352=""),"",MAX(E353:Q353))</f>
        <v>338.52</v>
      </c>
      <c r="S351" s="301">
        <f>IF(Q352="","",MIN(E353:Q353))</f>
        <v>252.43000000000029</v>
      </c>
      <c r="T351" s="304">
        <f>IF((Q353=""),"",AVERAGE(E353:Q353))</f>
        <v>276.28307692307692</v>
      </c>
      <c r="U351" s="304">
        <f>IF((Q352=""),"",(R351-S351)/(R351+S351)*100)</f>
        <v>14.568068364497783</v>
      </c>
      <c r="V351" s="304">
        <f>STDEV(E353:Q353)</f>
        <v>23.696987988847578</v>
      </c>
      <c r="W351" s="292" t="str">
        <f>IF(Q352="","",IF(T351&gt;300,IF(U351&lt;14,IF(T351&lt;390,"Pass","Fail"),"Fail"),"Fail"))</f>
        <v>Fail</v>
      </c>
      <c r="X351" s="295">
        <v>74</v>
      </c>
      <c r="Y351" s="309"/>
      <c r="Z351" s="255"/>
      <c r="AA351" s="122">
        <v>270</v>
      </c>
      <c r="AB351" s="122">
        <v>370</v>
      </c>
      <c r="AC351" s="122">
        <v>300</v>
      </c>
      <c r="AD351" s="123">
        <v>390</v>
      </c>
      <c r="AE351" s="123">
        <v>14</v>
      </c>
      <c r="AF351" s="123">
        <v>20</v>
      </c>
    </row>
    <row r="352" spans="1:32" ht="15.55" x14ac:dyDescent="0.25">
      <c r="A352" s="299"/>
      <c r="B352" s="124"/>
      <c r="C352" s="124"/>
      <c r="D352" s="120" t="s">
        <v>193</v>
      </c>
      <c r="E352" s="10">
        <v>2206.25</v>
      </c>
      <c r="F352" s="10">
        <v>2203.42</v>
      </c>
      <c r="G352" s="10">
        <v>2207.64</v>
      </c>
      <c r="H352" s="10">
        <v>2209.9299999999998</v>
      </c>
      <c r="I352" s="10">
        <v>2206.4699999999998</v>
      </c>
      <c r="J352" s="10">
        <v>2211.13</v>
      </c>
      <c r="K352" s="10">
        <v>2213.21</v>
      </c>
      <c r="L352" s="10">
        <v>2204.89</v>
      </c>
      <c r="M352" s="10">
        <v>2206.6</v>
      </c>
      <c r="N352" s="10">
        <v>2206.08</v>
      </c>
      <c r="O352" s="10">
        <v>2207.23</v>
      </c>
      <c r="P352" s="10">
        <v>2211.15</v>
      </c>
      <c r="Q352" s="10">
        <v>2201.9299999999998</v>
      </c>
      <c r="R352" s="302"/>
      <c r="S352" s="302"/>
      <c r="T352" s="305"/>
      <c r="U352" s="305"/>
      <c r="V352" s="307"/>
      <c r="W352" s="293"/>
      <c r="X352" s="296"/>
      <c r="Y352" s="310"/>
      <c r="Z352" s="255"/>
      <c r="AA352" s="122"/>
      <c r="AB352" s="122"/>
      <c r="AC352" s="122"/>
      <c r="AD352" s="123"/>
      <c r="AE352" s="123"/>
      <c r="AF352" s="123"/>
    </row>
    <row r="353" spans="1:32" ht="62.05" x14ac:dyDescent="0.3">
      <c r="A353" s="300"/>
      <c r="B353" s="119"/>
      <c r="C353" s="119"/>
      <c r="D353" s="120" t="s">
        <v>194</v>
      </c>
      <c r="E353" s="134">
        <f t="shared" ref="E353:Q353" si="115">IF(((E351="")*AND(E352="")),"",(E351-E352))</f>
        <v>298.32999999999993</v>
      </c>
      <c r="F353" s="134">
        <f t="shared" si="115"/>
        <v>257.88999999999987</v>
      </c>
      <c r="G353" s="134">
        <f t="shared" si="115"/>
        <v>255.61000000000013</v>
      </c>
      <c r="H353" s="134">
        <f t="shared" si="115"/>
        <v>264.95000000000027</v>
      </c>
      <c r="I353" s="134">
        <f t="shared" si="115"/>
        <v>338.52</v>
      </c>
      <c r="J353" s="134">
        <f t="shared" si="115"/>
        <v>288.75999999999976</v>
      </c>
      <c r="K353" s="134">
        <f t="shared" si="115"/>
        <v>259.07999999999993</v>
      </c>
      <c r="L353" s="134">
        <f t="shared" si="115"/>
        <v>252.43000000000029</v>
      </c>
      <c r="M353" s="134">
        <f t="shared" si="115"/>
        <v>291.52</v>
      </c>
      <c r="N353" s="134">
        <f t="shared" si="115"/>
        <v>263.30000000000018</v>
      </c>
      <c r="O353" s="134">
        <f t="shared" si="115"/>
        <v>273</v>
      </c>
      <c r="P353" s="134">
        <f t="shared" si="115"/>
        <v>278.81999999999971</v>
      </c>
      <c r="Q353" s="134">
        <f t="shared" si="115"/>
        <v>269.47000000000025</v>
      </c>
      <c r="R353" s="303"/>
      <c r="S353" s="303"/>
      <c r="T353" s="306"/>
      <c r="U353" s="306"/>
      <c r="V353" s="308"/>
      <c r="W353" s="294"/>
      <c r="X353" s="297"/>
      <c r="Y353" s="311"/>
      <c r="Z353" s="255"/>
      <c r="AA353" s="122"/>
      <c r="AB353" s="122"/>
      <c r="AC353" s="122"/>
      <c r="AD353" s="122"/>
      <c r="AE353" s="122"/>
      <c r="AF353" s="126"/>
    </row>
    <row r="354" spans="1:32" ht="15.55" x14ac:dyDescent="0.25">
      <c r="A354" s="298">
        <v>43529</v>
      </c>
      <c r="B354" s="119" t="s">
        <v>242</v>
      </c>
      <c r="C354" s="119" t="s">
        <v>238</v>
      </c>
      <c r="D354" s="120" t="s">
        <v>192</v>
      </c>
      <c r="E354" s="10">
        <v>2880.36</v>
      </c>
      <c r="F354" s="10">
        <v>2797.64</v>
      </c>
      <c r="G354" s="10">
        <v>2795.71</v>
      </c>
      <c r="H354" s="10">
        <v>2811.92</v>
      </c>
      <c r="I354" s="10">
        <v>2915.07</v>
      </c>
      <c r="J354" s="10">
        <v>2878.49</v>
      </c>
      <c r="K354" s="10">
        <v>2805.31</v>
      </c>
      <c r="L354" s="10">
        <v>2798.34</v>
      </c>
      <c r="M354" s="10">
        <v>2870.47</v>
      </c>
      <c r="N354" s="10">
        <v>2806.53</v>
      </c>
      <c r="O354" s="10">
        <v>2819.35</v>
      </c>
      <c r="P354" s="10">
        <v>2821.44</v>
      </c>
      <c r="Q354" s="10">
        <v>2806.55</v>
      </c>
      <c r="R354" s="301">
        <f>IF((Q355=""),"",MAX(E356:Q356))</f>
        <v>372.95000000000027</v>
      </c>
      <c r="S354" s="301">
        <f>IF(Q355="","",MIN(E356:Q356))</f>
        <v>315.92999999999984</v>
      </c>
      <c r="T354" s="304">
        <f>IF((Q356=""),"",AVERAGE(E356:Q356))</f>
        <v>335.38076923076926</v>
      </c>
      <c r="U354" s="304">
        <f>IF((Q355=""),"",(R354-S354)/(R354+S354)*100)</f>
        <v>8.2772035768204084</v>
      </c>
      <c r="V354" s="304">
        <f>STDEV(E356:Q356)</f>
        <v>24.232359721915394</v>
      </c>
      <c r="W354" s="292" t="str">
        <f>IF(Q355="","",IF(T354&gt;300,IF(U354&lt;14,IF(T354&lt;390,"Pass","Fail"),"Fail"),"Fail"))</f>
        <v>Pass</v>
      </c>
      <c r="X354" s="295" t="s">
        <v>223</v>
      </c>
      <c r="Y354" s="309"/>
      <c r="Z354" s="255"/>
      <c r="AA354" s="122">
        <v>270</v>
      </c>
      <c r="AB354" s="122">
        <v>370</v>
      </c>
      <c r="AC354" s="122">
        <v>300</v>
      </c>
      <c r="AD354" s="123">
        <v>390</v>
      </c>
      <c r="AE354" s="123">
        <v>14</v>
      </c>
      <c r="AF354" s="123">
        <v>20</v>
      </c>
    </row>
    <row r="355" spans="1:32" ht="15.55" x14ac:dyDescent="0.25">
      <c r="A355" s="299"/>
      <c r="B355" s="124"/>
      <c r="C355" s="124"/>
      <c r="D355" s="120" t="s">
        <v>193</v>
      </c>
      <c r="E355" s="10">
        <v>2513.86</v>
      </c>
      <c r="F355" s="10">
        <v>2477.39</v>
      </c>
      <c r="G355" s="10">
        <v>2479.11</v>
      </c>
      <c r="H355" s="10">
        <v>2491.87</v>
      </c>
      <c r="I355" s="10">
        <v>2542.12</v>
      </c>
      <c r="J355" s="10">
        <v>2509.37</v>
      </c>
      <c r="K355" s="10">
        <v>2489.38</v>
      </c>
      <c r="L355" s="10">
        <v>2481.4899999999998</v>
      </c>
      <c r="M355" s="10">
        <v>2498.9899999999998</v>
      </c>
      <c r="N355" s="10">
        <v>2487.23</v>
      </c>
      <c r="O355" s="10">
        <v>2492.6799999999998</v>
      </c>
      <c r="P355" s="10">
        <v>2499.96</v>
      </c>
      <c r="Q355" s="10">
        <v>2483.7800000000002</v>
      </c>
      <c r="R355" s="302"/>
      <c r="S355" s="302"/>
      <c r="T355" s="305"/>
      <c r="U355" s="305"/>
      <c r="V355" s="307"/>
      <c r="W355" s="293"/>
      <c r="X355" s="296"/>
      <c r="Y355" s="310"/>
      <c r="Z355" s="255"/>
      <c r="AA355" s="122"/>
      <c r="AB355" s="122"/>
      <c r="AC355" s="122"/>
      <c r="AD355" s="123"/>
      <c r="AE355" s="123"/>
      <c r="AF355" s="123"/>
    </row>
    <row r="356" spans="1:32" ht="62.05" x14ac:dyDescent="0.3">
      <c r="A356" s="300"/>
      <c r="B356" s="119"/>
      <c r="C356" s="119"/>
      <c r="D356" s="120" t="s">
        <v>194</v>
      </c>
      <c r="E356" s="134">
        <f t="shared" ref="E356:Q356" si="116">IF(((E354="")*AND(E355="")),"",(E354-E355))</f>
        <v>366.5</v>
      </c>
      <c r="F356" s="134">
        <f t="shared" si="116"/>
        <v>320.25</v>
      </c>
      <c r="G356" s="134">
        <f t="shared" si="116"/>
        <v>316.59999999999991</v>
      </c>
      <c r="H356" s="134">
        <f t="shared" si="116"/>
        <v>320.05000000000018</v>
      </c>
      <c r="I356" s="134">
        <f t="shared" si="116"/>
        <v>372.95000000000027</v>
      </c>
      <c r="J356" s="134">
        <f t="shared" si="116"/>
        <v>369.11999999999989</v>
      </c>
      <c r="K356" s="134">
        <f t="shared" si="116"/>
        <v>315.92999999999984</v>
      </c>
      <c r="L356" s="134">
        <f t="shared" si="116"/>
        <v>316.85000000000036</v>
      </c>
      <c r="M356" s="134">
        <f t="shared" si="116"/>
        <v>371.48</v>
      </c>
      <c r="N356" s="134">
        <f t="shared" si="116"/>
        <v>319.30000000000018</v>
      </c>
      <c r="O356" s="134">
        <f t="shared" si="116"/>
        <v>326.67000000000007</v>
      </c>
      <c r="P356" s="134">
        <f t="shared" si="116"/>
        <v>321.48</v>
      </c>
      <c r="Q356" s="134">
        <f t="shared" si="116"/>
        <v>322.77</v>
      </c>
      <c r="R356" s="303"/>
      <c r="S356" s="303"/>
      <c r="T356" s="306"/>
      <c r="U356" s="306"/>
      <c r="V356" s="308"/>
      <c r="W356" s="294"/>
      <c r="X356" s="297"/>
      <c r="Y356" s="311"/>
      <c r="Z356" s="255"/>
      <c r="AA356" s="122"/>
      <c r="AB356" s="122"/>
      <c r="AC356" s="122"/>
      <c r="AD356" s="122"/>
      <c r="AE356" s="122"/>
      <c r="AF356" s="126"/>
    </row>
    <row r="357" spans="1:32" ht="15.55" x14ac:dyDescent="0.25">
      <c r="A357" s="298">
        <v>43531</v>
      </c>
      <c r="B357" s="119" t="s">
        <v>242</v>
      </c>
      <c r="C357" s="119" t="s">
        <v>238</v>
      </c>
      <c r="D357" s="120" t="s">
        <v>192</v>
      </c>
      <c r="E357" s="10">
        <v>2883.59</v>
      </c>
      <c r="F357" s="10">
        <v>2800.27</v>
      </c>
      <c r="G357" s="10">
        <v>2801.02</v>
      </c>
      <c r="H357" s="10">
        <v>2814.63</v>
      </c>
      <c r="I357" s="10">
        <v>2918.37</v>
      </c>
      <c r="J357" s="10">
        <v>2872.09</v>
      </c>
      <c r="K357" s="10">
        <v>2807.22</v>
      </c>
      <c r="L357" s="10">
        <v>2803.17</v>
      </c>
      <c r="M357" s="10">
        <v>2830</v>
      </c>
      <c r="N357" s="10">
        <v>2807.93</v>
      </c>
      <c r="O357" s="10">
        <v>2824.01</v>
      </c>
      <c r="P357" s="10">
        <v>2821.66</v>
      </c>
      <c r="Q357" s="10">
        <v>2808.39</v>
      </c>
      <c r="R357" s="301">
        <f>IF((Q358=""),"",MAX(E359:Q359))</f>
        <v>370.5300000000002</v>
      </c>
      <c r="S357" s="301">
        <f>IF(Q358="","",MIN(E359:Q359))</f>
        <v>323.48999999999978</v>
      </c>
      <c r="T357" s="304">
        <f>IF((Q359=""),"",AVERAGE(E359:Q359))</f>
        <v>337.09769230769234</v>
      </c>
      <c r="U357" s="304">
        <f>IF((Q358=""),"",(R357-S357)/(R357+S357)*100)</f>
        <v>6.777902654102248</v>
      </c>
      <c r="V357" s="304">
        <f>STDEV(E359:Q359)</f>
        <v>18.453248654300346</v>
      </c>
      <c r="W357" s="292" t="str">
        <f>IF(Q358="","",IF(T357&gt;300,IF(U357&lt;14,IF(T357&lt;390,"Pass","Fail"),"Fail"),"Fail"))</f>
        <v>Pass</v>
      </c>
      <c r="X357" s="295" t="s">
        <v>223</v>
      </c>
      <c r="Y357" s="261" t="s">
        <v>233</v>
      </c>
      <c r="Z357" s="255"/>
      <c r="AA357" s="122">
        <v>270</v>
      </c>
      <c r="AB357" s="122">
        <v>370</v>
      </c>
      <c r="AC357" s="122">
        <v>300</v>
      </c>
      <c r="AD357" s="123">
        <v>390</v>
      </c>
      <c r="AE357" s="123">
        <v>14</v>
      </c>
      <c r="AF357" s="123">
        <v>20</v>
      </c>
    </row>
    <row r="358" spans="1:32" ht="15.55" x14ac:dyDescent="0.25">
      <c r="A358" s="299"/>
      <c r="B358" s="124"/>
      <c r="C358" s="124"/>
      <c r="D358" s="120" t="s">
        <v>193</v>
      </c>
      <c r="E358" s="10">
        <v>2513.06</v>
      </c>
      <c r="F358" s="10">
        <v>2475.81</v>
      </c>
      <c r="G358" s="10">
        <v>2472.9899999999998</v>
      </c>
      <c r="H358" s="10">
        <v>2488.27</v>
      </c>
      <c r="I358" s="10">
        <v>2549.4899999999998</v>
      </c>
      <c r="J358" s="10">
        <v>2504.73</v>
      </c>
      <c r="K358" s="10">
        <v>2483.73</v>
      </c>
      <c r="L358" s="10">
        <v>2478.56</v>
      </c>
      <c r="M358" s="10">
        <v>2493</v>
      </c>
      <c r="N358" s="10">
        <v>2480.6999999999998</v>
      </c>
      <c r="O358" s="10">
        <v>2496.19</v>
      </c>
      <c r="P358" s="10">
        <v>2491.9499999999998</v>
      </c>
      <c r="Q358" s="10">
        <v>2481.6</v>
      </c>
      <c r="R358" s="302"/>
      <c r="S358" s="302"/>
      <c r="T358" s="305"/>
      <c r="U358" s="305"/>
      <c r="V358" s="307"/>
      <c r="W358" s="293"/>
      <c r="X358" s="296"/>
      <c r="Y358" s="258"/>
      <c r="Z358" s="255"/>
      <c r="AA358" s="122"/>
      <c r="AB358" s="122"/>
      <c r="AC358" s="122"/>
      <c r="AD358" s="123"/>
      <c r="AE358" s="123"/>
      <c r="AF358" s="123"/>
    </row>
    <row r="359" spans="1:32" ht="62.05" x14ac:dyDescent="0.3">
      <c r="A359" s="300"/>
      <c r="B359" s="119"/>
      <c r="C359" s="119"/>
      <c r="D359" s="120" t="s">
        <v>194</v>
      </c>
      <c r="E359" s="134">
        <f t="shared" ref="E359:Q359" si="117">IF(((E357="")*AND(E358="")),"",(E357-E358))</f>
        <v>370.5300000000002</v>
      </c>
      <c r="F359" s="134">
        <f t="shared" si="117"/>
        <v>324.46000000000004</v>
      </c>
      <c r="G359" s="134">
        <f t="shared" si="117"/>
        <v>328.0300000000002</v>
      </c>
      <c r="H359" s="134">
        <f t="shared" si="117"/>
        <v>326.36000000000013</v>
      </c>
      <c r="I359" s="134">
        <f t="shared" si="117"/>
        <v>368.88000000000011</v>
      </c>
      <c r="J359" s="134">
        <f t="shared" si="117"/>
        <v>367.36000000000013</v>
      </c>
      <c r="K359" s="134">
        <f t="shared" si="117"/>
        <v>323.48999999999978</v>
      </c>
      <c r="L359" s="134">
        <f t="shared" si="117"/>
        <v>324.61000000000013</v>
      </c>
      <c r="M359" s="134">
        <f t="shared" si="117"/>
        <v>337</v>
      </c>
      <c r="N359" s="134">
        <f t="shared" si="117"/>
        <v>327.23</v>
      </c>
      <c r="O359" s="134">
        <f t="shared" si="117"/>
        <v>327.82000000000016</v>
      </c>
      <c r="P359" s="134">
        <f t="shared" si="117"/>
        <v>329.71000000000004</v>
      </c>
      <c r="Q359" s="134">
        <f t="shared" si="117"/>
        <v>326.78999999999996</v>
      </c>
      <c r="R359" s="303"/>
      <c r="S359" s="303"/>
      <c r="T359" s="306"/>
      <c r="U359" s="306"/>
      <c r="V359" s="308"/>
      <c r="W359" s="294"/>
      <c r="X359" s="297"/>
      <c r="Y359" s="259"/>
      <c r="Z359" s="255"/>
      <c r="AA359" s="122"/>
      <c r="AB359" s="122"/>
      <c r="AC359" s="122"/>
      <c r="AD359" s="122"/>
      <c r="AE359" s="122"/>
      <c r="AF359" s="126"/>
    </row>
    <row r="360" spans="1:32" ht="15.55" x14ac:dyDescent="0.25">
      <c r="A360" s="298">
        <v>43535</v>
      </c>
      <c r="B360" s="119" t="s">
        <v>242</v>
      </c>
      <c r="C360" s="119" t="s">
        <v>238</v>
      </c>
      <c r="D360" s="120" t="s">
        <v>192</v>
      </c>
      <c r="E360" s="10">
        <v>2507.5700000000002</v>
      </c>
      <c r="F360" s="10">
        <v>2476.4299999999998</v>
      </c>
      <c r="G360" s="10">
        <v>2507.37</v>
      </c>
      <c r="H360" s="10">
        <v>2486.52</v>
      </c>
      <c r="I360" s="10">
        <v>2540.64</v>
      </c>
      <c r="J360" s="10">
        <v>2505.27</v>
      </c>
      <c r="K360" s="10">
        <v>2478.0300000000002</v>
      </c>
      <c r="L360" s="10">
        <v>2476.69</v>
      </c>
      <c r="M360" s="10">
        <v>2497</v>
      </c>
      <c r="N360" s="10">
        <v>2482.5100000000002</v>
      </c>
      <c r="O360" s="10">
        <v>2490.71</v>
      </c>
      <c r="P360" s="10">
        <v>2488.16</v>
      </c>
      <c r="Q360" s="10">
        <v>2482.04</v>
      </c>
      <c r="R360" s="301">
        <f>IF((Q361=""),"",MAX(E362:Q362))</f>
        <v>323.9699999999998</v>
      </c>
      <c r="S360" s="301">
        <f>IF(Q361="","",MIN(E362:Q362))</f>
        <v>253.40000000000009</v>
      </c>
      <c r="T360" s="304">
        <f>IF((Q362=""),"",AVERAGE(E362:Q362))</f>
        <v>277.46538461538455</v>
      </c>
      <c r="U360" s="304">
        <f>IF((Q361=""),"",(R360-S360)/(R360+S360)*100)</f>
        <v>12.222664842302116</v>
      </c>
      <c r="V360" s="304">
        <f>STDEV(E362:Q362)</f>
        <v>20.611611862970378</v>
      </c>
      <c r="W360" s="292" t="str">
        <f>IF(Q361="","",IF(T360&gt;300,IF(U360&lt;14,IF(T360&lt;390,"Pass","Fail"),"Fail"),"Fail"))</f>
        <v>Fail</v>
      </c>
      <c r="X360" s="295">
        <v>74</v>
      </c>
      <c r="Y360" s="309"/>
      <c r="Z360" s="255"/>
      <c r="AA360" s="122">
        <v>270</v>
      </c>
      <c r="AB360" s="122">
        <v>370</v>
      </c>
      <c r="AC360" s="122">
        <v>300</v>
      </c>
      <c r="AD360" s="123">
        <v>390</v>
      </c>
      <c r="AE360" s="123">
        <v>14</v>
      </c>
      <c r="AF360" s="123">
        <v>20</v>
      </c>
    </row>
    <row r="361" spans="1:32" ht="15.55" x14ac:dyDescent="0.25">
      <c r="A361" s="299"/>
      <c r="B361" s="124"/>
      <c r="C361" s="124"/>
      <c r="D361" s="120" t="s">
        <v>193</v>
      </c>
      <c r="E361" s="10">
        <v>2216.5500000000002</v>
      </c>
      <c r="F361" s="10">
        <v>2217.0500000000002</v>
      </c>
      <c r="G361" s="10">
        <v>2217.86</v>
      </c>
      <c r="H361" s="10">
        <v>2217.7800000000002</v>
      </c>
      <c r="I361" s="10">
        <v>2216.67</v>
      </c>
      <c r="J361" s="10">
        <v>2224.2600000000002</v>
      </c>
      <c r="K361" s="10">
        <v>2224.63</v>
      </c>
      <c r="L361" s="10">
        <v>2218.08</v>
      </c>
      <c r="M361" s="10">
        <v>2190</v>
      </c>
      <c r="N361" s="10">
        <v>2219.9299999999998</v>
      </c>
      <c r="O361" s="10">
        <v>2216.35</v>
      </c>
      <c r="P361" s="10">
        <v>2219.73</v>
      </c>
      <c r="Q361" s="10">
        <v>2213</v>
      </c>
      <c r="R361" s="302"/>
      <c r="S361" s="302"/>
      <c r="T361" s="305"/>
      <c r="U361" s="305"/>
      <c r="V361" s="307"/>
      <c r="W361" s="293"/>
      <c r="X361" s="296"/>
      <c r="Y361" s="310"/>
      <c r="Z361" s="255"/>
      <c r="AA361" s="122"/>
      <c r="AB361" s="122"/>
      <c r="AC361" s="122"/>
      <c r="AD361" s="123"/>
      <c r="AE361" s="123"/>
      <c r="AF361" s="123"/>
    </row>
    <row r="362" spans="1:32" ht="62.05" x14ac:dyDescent="0.3">
      <c r="A362" s="300"/>
      <c r="B362" s="119"/>
      <c r="C362" s="119"/>
      <c r="D362" s="120" t="s">
        <v>194</v>
      </c>
      <c r="E362" s="134">
        <f t="shared" ref="E362:Q362" si="118">IF(((E360="")*AND(E361="")),"",(E360-E361))</f>
        <v>291.02</v>
      </c>
      <c r="F362" s="134">
        <f t="shared" si="118"/>
        <v>259.37999999999965</v>
      </c>
      <c r="G362" s="134">
        <f t="shared" si="118"/>
        <v>289.50999999999976</v>
      </c>
      <c r="H362" s="134">
        <f t="shared" si="118"/>
        <v>268.73999999999978</v>
      </c>
      <c r="I362" s="134">
        <f t="shared" si="118"/>
        <v>323.9699999999998</v>
      </c>
      <c r="J362" s="134">
        <f t="shared" si="118"/>
        <v>281.00999999999976</v>
      </c>
      <c r="K362" s="134">
        <f t="shared" si="118"/>
        <v>253.40000000000009</v>
      </c>
      <c r="L362" s="134">
        <f t="shared" si="118"/>
        <v>258.61000000000013</v>
      </c>
      <c r="M362" s="134">
        <f t="shared" si="118"/>
        <v>307</v>
      </c>
      <c r="N362" s="134">
        <f t="shared" si="118"/>
        <v>262.58000000000038</v>
      </c>
      <c r="O362" s="134">
        <f t="shared" si="118"/>
        <v>274.36000000000013</v>
      </c>
      <c r="P362" s="134">
        <f t="shared" si="118"/>
        <v>268.42999999999984</v>
      </c>
      <c r="Q362" s="134">
        <f t="shared" si="118"/>
        <v>269.03999999999996</v>
      </c>
      <c r="R362" s="303"/>
      <c r="S362" s="303"/>
      <c r="T362" s="306"/>
      <c r="U362" s="306"/>
      <c r="V362" s="308"/>
      <c r="W362" s="294"/>
      <c r="X362" s="297"/>
      <c r="Y362" s="311"/>
      <c r="Z362" s="255"/>
      <c r="AA362" s="122"/>
      <c r="AB362" s="122"/>
      <c r="AC362" s="122"/>
      <c r="AD362" s="122"/>
      <c r="AE362" s="122"/>
      <c r="AF362" s="126"/>
    </row>
    <row r="363" spans="1:32" ht="15.55" x14ac:dyDescent="0.25">
      <c r="A363" s="298">
        <v>43535</v>
      </c>
      <c r="B363" s="119" t="s">
        <v>242</v>
      </c>
      <c r="C363" s="119" t="s">
        <v>238</v>
      </c>
      <c r="D363" s="120" t="s">
        <v>192</v>
      </c>
      <c r="E363" s="10">
        <v>2866.58</v>
      </c>
      <c r="F363" s="10">
        <v>2797.06</v>
      </c>
      <c r="G363" s="10">
        <v>2795.67</v>
      </c>
      <c r="H363" s="10">
        <v>2811.88</v>
      </c>
      <c r="I363" s="10">
        <v>2897.33</v>
      </c>
      <c r="J363" s="10">
        <v>2855.67</v>
      </c>
      <c r="K363" s="10">
        <v>2801.19</v>
      </c>
      <c r="L363" s="10">
        <v>2799.7</v>
      </c>
      <c r="M363" s="10">
        <v>2859.93</v>
      </c>
      <c r="N363" s="10">
        <v>2804.01</v>
      </c>
      <c r="O363" s="10">
        <v>2815.21</v>
      </c>
      <c r="P363" s="10">
        <v>2813.27</v>
      </c>
      <c r="Q363" s="10">
        <v>2804.71</v>
      </c>
      <c r="R363" s="301">
        <f>IF((Q364=""),"",MAX(E365:Q365))</f>
        <v>369.42000000000007</v>
      </c>
      <c r="S363" s="301">
        <f>IF(Q364="","",MIN(E365:Q365))</f>
        <v>316.55000000000018</v>
      </c>
      <c r="T363" s="304">
        <f>IF((Q365=""),"",AVERAGE(E365:Q365))</f>
        <v>334.15923076923076</v>
      </c>
      <c r="U363" s="304">
        <f>IF((Q364=""),"",(R363-S363)/(R363+S363)*100)</f>
        <v>7.7073341399769486</v>
      </c>
      <c r="V363" s="304">
        <f>STDEV(E365:Q365)</f>
        <v>22.468399461443049</v>
      </c>
      <c r="W363" s="292" t="str">
        <f>IF(Q364="","",IF(T363&gt;300,IF(U363&lt;14,IF(T363&lt;390,"Pass","Fail"),"Fail"),"Fail"))</f>
        <v>Pass</v>
      </c>
      <c r="X363" s="295">
        <v>74</v>
      </c>
      <c r="Y363" s="309"/>
      <c r="Z363" s="255"/>
      <c r="AA363" s="122">
        <v>270</v>
      </c>
      <c r="AB363" s="122">
        <v>370</v>
      </c>
      <c r="AC363" s="122">
        <v>300</v>
      </c>
      <c r="AD363" s="123">
        <v>390</v>
      </c>
      <c r="AE363" s="123">
        <v>14</v>
      </c>
      <c r="AF363" s="123">
        <v>20</v>
      </c>
    </row>
    <row r="364" spans="1:32" ht="15.55" x14ac:dyDescent="0.3">
      <c r="A364" s="299"/>
      <c r="B364" s="124"/>
      <c r="C364" s="124"/>
      <c r="D364" s="120" t="s">
        <v>193</v>
      </c>
      <c r="E364" s="10">
        <v>2500.15</v>
      </c>
      <c r="F364" s="10">
        <v>2477.42</v>
      </c>
      <c r="G364" s="10">
        <v>2479.12</v>
      </c>
      <c r="H364" s="10">
        <v>2489.21</v>
      </c>
      <c r="I364" s="10">
        <v>2527.91</v>
      </c>
      <c r="J364" s="10">
        <v>2495.9299999999998</v>
      </c>
      <c r="K364" s="10">
        <v>2482.23</v>
      </c>
      <c r="L364" s="10">
        <v>2482.2800000000002</v>
      </c>
      <c r="M364" s="10">
        <v>2490.81</v>
      </c>
      <c r="N364" s="10">
        <v>2482.39</v>
      </c>
      <c r="O364" s="10">
        <v>2495.12</v>
      </c>
      <c r="P364" s="10">
        <v>2496.63</v>
      </c>
      <c r="Q364" s="10">
        <v>2478.94</v>
      </c>
      <c r="R364" s="302"/>
      <c r="S364" s="302"/>
      <c r="T364" s="305"/>
      <c r="U364" s="305"/>
      <c r="V364" s="307"/>
      <c r="W364" s="293"/>
      <c r="X364" s="296"/>
      <c r="Y364" s="310"/>
      <c r="Z364" s="255"/>
      <c r="AA364" s="122"/>
      <c r="AB364" s="122"/>
      <c r="AC364" s="122"/>
      <c r="AD364" s="122"/>
      <c r="AE364" s="122"/>
      <c r="AF364" s="126"/>
    </row>
    <row r="365" spans="1:32" ht="62.05" x14ac:dyDescent="0.3">
      <c r="A365" s="300"/>
      <c r="B365" s="119"/>
      <c r="C365" s="119"/>
      <c r="D365" s="120" t="s">
        <v>194</v>
      </c>
      <c r="E365" s="134">
        <f t="shared" ref="E365:Q365" si="119">IF(((E363="")*AND(E364="")),"",(E363-E364))</f>
        <v>366.42999999999984</v>
      </c>
      <c r="F365" s="134">
        <f t="shared" si="119"/>
        <v>319.63999999999987</v>
      </c>
      <c r="G365" s="134">
        <f t="shared" si="119"/>
        <v>316.55000000000018</v>
      </c>
      <c r="H365" s="134">
        <f t="shared" si="119"/>
        <v>322.67000000000007</v>
      </c>
      <c r="I365" s="134">
        <f t="shared" si="119"/>
        <v>369.42000000000007</v>
      </c>
      <c r="J365" s="134">
        <f t="shared" si="119"/>
        <v>359.74000000000024</v>
      </c>
      <c r="K365" s="134">
        <f t="shared" si="119"/>
        <v>318.96000000000004</v>
      </c>
      <c r="L365" s="134">
        <f t="shared" si="119"/>
        <v>317.41999999999962</v>
      </c>
      <c r="M365" s="134">
        <f t="shared" si="119"/>
        <v>369.11999999999989</v>
      </c>
      <c r="N365" s="134">
        <f t="shared" si="119"/>
        <v>321.62000000000035</v>
      </c>
      <c r="O365" s="134">
        <f t="shared" si="119"/>
        <v>320.09000000000015</v>
      </c>
      <c r="P365" s="134">
        <f t="shared" si="119"/>
        <v>316.63999999999987</v>
      </c>
      <c r="Q365" s="134">
        <f t="shared" si="119"/>
        <v>325.77</v>
      </c>
      <c r="R365" s="303"/>
      <c r="S365" s="303"/>
      <c r="T365" s="306"/>
      <c r="U365" s="306"/>
      <c r="V365" s="308"/>
      <c r="W365" s="294"/>
      <c r="X365" s="297"/>
      <c r="Y365" s="311"/>
      <c r="Z365" s="255"/>
      <c r="AA365" s="122"/>
      <c r="AB365" s="122"/>
      <c r="AC365" s="122"/>
      <c r="AD365" s="122"/>
      <c r="AE365" s="122"/>
      <c r="AF365" s="126"/>
    </row>
    <row r="366" spans="1:32" ht="15.55" x14ac:dyDescent="0.25">
      <c r="A366" s="298">
        <v>43538</v>
      </c>
      <c r="B366" s="119" t="s">
        <v>242</v>
      </c>
      <c r="C366" s="119" t="s">
        <v>238</v>
      </c>
      <c r="D366" s="120" t="s">
        <v>192</v>
      </c>
      <c r="E366" s="10">
        <v>2861.35</v>
      </c>
      <c r="F366" s="10">
        <v>2790.28</v>
      </c>
      <c r="G366" s="10">
        <v>2793.05</v>
      </c>
      <c r="H366" s="10">
        <v>2807.07</v>
      </c>
      <c r="I366" s="10">
        <v>2896.18</v>
      </c>
      <c r="J366" s="10">
        <v>2860.29</v>
      </c>
      <c r="K366" s="10">
        <v>2801.84</v>
      </c>
      <c r="L366" s="10">
        <v>2796.3</v>
      </c>
      <c r="M366" s="10">
        <v>2853.23</v>
      </c>
      <c r="N366" s="10">
        <v>2801.05</v>
      </c>
      <c r="O366" s="10">
        <v>2811.57</v>
      </c>
      <c r="P366" s="10">
        <v>2815.63</v>
      </c>
      <c r="Q366" s="10">
        <v>2796.4</v>
      </c>
      <c r="R366" s="301">
        <f>IF((Q367=""),"",MAX(E368:Q368))</f>
        <v>361.25</v>
      </c>
      <c r="S366" s="301">
        <f>IF(Q367="","",MIN(E368:Q368))</f>
        <v>321.17000000000007</v>
      </c>
      <c r="T366" s="304">
        <f>IF((Q368=""),"",AVERAGE(E368:Q368))</f>
        <v>336.07230769230773</v>
      </c>
      <c r="U366" s="304">
        <f>IF((Q367=""),"",(R366-S366)/(R366+S366)*100)</f>
        <v>5.8732159080917796</v>
      </c>
      <c r="V366" s="304">
        <f>STDEV(E368:Q368)</f>
        <v>16.646124250530477</v>
      </c>
      <c r="W366" s="292" t="str">
        <f>IF(Q367="","",IF(T366&gt;300,IF(U366&lt;14,IF(T366&lt;390,"Pass","Fail"),"Fail"),"Fail"))</f>
        <v>Pass</v>
      </c>
      <c r="X366" s="295">
        <v>121</v>
      </c>
      <c r="Y366" s="262" t="s">
        <v>234</v>
      </c>
      <c r="Z366" s="260"/>
      <c r="AA366" s="122">
        <v>270</v>
      </c>
      <c r="AB366" s="122">
        <v>370</v>
      </c>
      <c r="AC366" s="122">
        <v>300</v>
      </c>
      <c r="AD366" s="123">
        <v>390</v>
      </c>
      <c r="AE366" s="123">
        <v>14</v>
      </c>
      <c r="AF366" s="123">
        <v>20</v>
      </c>
    </row>
    <row r="367" spans="1:32" ht="15.55" x14ac:dyDescent="0.3">
      <c r="A367" s="299"/>
      <c r="B367" s="124"/>
      <c r="C367" s="124"/>
      <c r="D367" s="120" t="s">
        <v>193</v>
      </c>
      <c r="E367" s="10">
        <v>2500.4</v>
      </c>
      <c r="F367" s="10">
        <v>2469.11</v>
      </c>
      <c r="G367" s="10">
        <v>2469.36</v>
      </c>
      <c r="H367" s="10">
        <v>2482.87</v>
      </c>
      <c r="I367" s="10">
        <v>2537.23</v>
      </c>
      <c r="J367" s="10">
        <v>2502.13</v>
      </c>
      <c r="K367" s="10">
        <v>2473.09</v>
      </c>
      <c r="L367" s="10">
        <v>2469.61</v>
      </c>
      <c r="M367" s="10">
        <v>2491.98</v>
      </c>
      <c r="N367" s="10">
        <v>2476.08</v>
      </c>
      <c r="O367" s="10">
        <v>2482.7399999999998</v>
      </c>
      <c r="P367" s="10">
        <v>2487.65</v>
      </c>
      <c r="Q367" s="10">
        <v>2473.0500000000002</v>
      </c>
      <c r="R367" s="302"/>
      <c r="S367" s="302"/>
      <c r="T367" s="305"/>
      <c r="U367" s="305"/>
      <c r="V367" s="307"/>
      <c r="W367" s="293"/>
      <c r="X367" s="296"/>
      <c r="Y367" s="258"/>
      <c r="Z367" s="255"/>
      <c r="AA367" s="122"/>
      <c r="AB367" s="122"/>
      <c r="AC367" s="122"/>
      <c r="AD367" s="122"/>
      <c r="AE367" s="122"/>
      <c r="AF367" s="126"/>
    </row>
    <row r="368" spans="1:32" ht="62.05" x14ac:dyDescent="0.3">
      <c r="A368" s="300"/>
      <c r="B368" s="119"/>
      <c r="C368" s="119"/>
      <c r="D368" s="120" t="s">
        <v>194</v>
      </c>
      <c r="E368" s="134">
        <f t="shared" ref="E368:Q368" si="120">IF(((E366="")*AND(E367="")),"",(E366-E367))</f>
        <v>360.94999999999982</v>
      </c>
      <c r="F368" s="134">
        <f t="shared" si="120"/>
        <v>321.17000000000007</v>
      </c>
      <c r="G368" s="134">
        <f t="shared" si="120"/>
        <v>323.69000000000005</v>
      </c>
      <c r="H368" s="134">
        <f t="shared" si="120"/>
        <v>324.20000000000027</v>
      </c>
      <c r="I368" s="134">
        <f t="shared" si="120"/>
        <v>358.94999999999982</v>
      </c>
      <c r="J368" s="134">
        <f t="shared" si="120"/>
        <v>358.15999999999985</v>
      </c>
      <c r="K368" s="134">
        <f t="shared" si="120"/>
        <v>328.75</v>
      </c>
      <c r="L368" s="134">
        <f t="shared" si="120"/>
        <v>326.69000000000005</v>
      </c>
      <c r="M368" s="134">
        <f t="shared" si="120"/>
        <v>361.25</v>
      </c>
      <c r="N368" s="134">
        <f t="shared" si="120"/>
        <v>324.97000000000025</v>
      </c>
      <c r="O368" s="134">
        <f t="shared" si="120"/>
        <v>328.83000000000038</v>
      </c>
      <c r="P368" s="134">
        <f t="shared" si="120"/>
        <v>327.98</v>
      </c>
      <c r="Q368" s="134">
        <f t="shared" si="120"/>
        <v>323.34999999999991</v>
      </c>
      <c r="R368" s="303"/>
      <c r="S368" s="303"/>
      <c r="T368" s="306"/>
      <c r="U368" s="306"/>
      <c r="V368" s="308"/>
      <c r="W368" s="294"/>
      <c r="X368" s="297"/>
      <c r="Y368" s="259"/>
      <c r="Z368" s="255"/>
      <c r="AA368" s="122"/>
      <c r="AB368" s="122"/>
      <c r="AC368" s="122"/>
      <c r="AD368" s="122"/>
      <c r="AE368" s="122"/>
      <c r="AF368" s="126"/>
    </row>
    <row r="369" spans="1:32" ht="15.55" x14ac:dyDescent="0.25">
      <c r="A369" s="298">
        <v>43542</v>
      </c>
      <c r="B369" s="119" t="s">
        <v>242</v>
      </c>
      <c r="C369" s="119" t="s">
        <v>238</v>
      </c>
      <c r="D369" s="120" t="s">
        <v>192</v>
      </c>
      <c r="E369" s="10">
        <v>2862.96</v>
      </c>
      <c r="F369" s="10">
        <v>2796.97</v>
      </c>
      <c r="G369" s="10">
        <v>2788.17</v>
      </c>
      <c r="H369" s="10">
        <v>2802.91</v>
      </c>
      <c r="I369" s="10">
        <v>2895.05</v>
      </c>
      <c r="J369" s="10">
        <v>2858.05</v>
      </c>
      <c r="K369" s="10">
        <v>2801.18</v>
      </c>
      <c r="L369" s="10">
        <v>2800.8</v>
      </c>
      <c r="M369" s="10">
        <v>2855.18</v>
      </c>
      <c r="N369" s="10">
        <v>2802.2</v>
      </c>
      <c r="O369" s="10">
        <v>2807.82</v>
      </c>
      <c r="P369" s="10">
        <v>2819.56</v>
      </c>
      <c r="Q369" s="10">
        <v>2805.13</v>
      </c>
      <c r="R369" s="301">
        <f>IF((Q370=""),"",MAX(E371:Q371))</f>
        <v>359.84000000000015</v>
      </c>
      <c r="S369" s="301">
        <f>IF(Q370="","",MIN(E371:Q371))</f>
        <v>312.63999999999987</v>
      </c>
      <c r="T369" s="304">
        <f>IF((Q371=""),"",AVERAGE(E371:Q371))</f>
        <v>333.82230769230773</v>
      </c>
      <c r="U369" s="304">
        <f>IF((Q370=""),"",(R369-S369)/(R369+S369)*100)</f>
        <v>7.0187960980252608</v>
      </c>
      <c r="V369" s="304">
        <f>STDEV(E371:Q371)</f>
        <v>17.340223544236757</v>
      </c>
      <c r="W369" s="292" t="str">
        <f>IF(Q370="","",IF(T369&gt;300,IF(U369&lt;14,IF(T369&lt;390,"Pass","Fail"),"Fail"),"Fail"))</f>
        <v>Pass</v>
      </c>
      <c r="X369" s="295">
        <v>1428</v>
      </c>
      <c r="Y369" s="261" t="s">
        <v>255</v>
      </c>
      <c r="Z369" s="255"/>
      <c r="AA369" s="122">
        <v>270</v>
      </c>
      <c r="AB369" s="122">
        <v>370</v>
      </c>
      <c r="AC369" s="122">
        <v>300</v>
      </c>
      <c r="AD369" s="123">
        <v>390</v>
      </c>
      <c r="AE369" s="123">
        <v>14</v>
      </c>
      <c r="AF369" s="123">
        <v>20</v>
      </c>
    </row>
    <row r="370" spans="1:32" ht="15.55" x14ac:dyDescent="0.3">
      <c r="A370" s="299"/>
      <c r="B370" s="124"/>
      <c r="C370" s="124"/>
      <c r="D370" s="120" t="s">
        <v>193</v>
      </c>
      <c r="E370" s="10">
        <v>2503.12</v>
      </c>
      <c r="F370" s="10">
        <v>2469.64</v>
      </c>
      <c r="G370" s="10">
        <v>2475.5300000000002</v>
      </c>
      <c r="H370" s="10">
        <v>2485.4899999999998</v>
      </c>
      <c r="I370" s="10">
        <v>2535.59</v>
      </c>
      <c r="J370" s="10">
        <v>2501.5</v>
      </c>
      <c r="K370" s="10">
        <v>2480.17</v>
      </c>
      <c r="L370" s="10">
        <v>2473.66</v>
      </c>
      <c r="M370" s="10">
        <v>2499.8000000000002</v>
      </c>
      <c r="N370" s="10">
        <v>2476.1999999999998</v>
      </c>
      <c r="O370" s="10">
        <v>2488.08</v>
      </c>
      <c r="P370" s="10">
        <v>2488.7600000000002</v>
      </c>
      <c r="Q370" s="10">
        <v>2478.75</v>
      </c>
      <c r="R370" s="302"/>
      <c r="S370" s="302"/>
      <c r="T370" s="305"/>
      <c r="U370" s="305"/>
      <c r="V370" s="307"/>
      <c r="W370" s="293"/>
      <c r="X370" s="296"/>
      <c r="Y370" s="258"/>
      <c r="Z370" s="255"/>
      <c r="AA370" s="122"/>
      <c r="AB370" s="122"/>
      <c r="AC370" s="122"/>
      <c r="AD370" s="122"/>
      <c r="AE370" s="122"/>
      <c r="AF370" s="126"/>
    </row>
    <row r="371" spans="1:32" ht="62.05" x14ac:dyDescent="0.3">
      <c r="A371" s="300"/>
      <c r="B371" s="119"/>
      <c r="C371" s="119"/>
      <c r="D371" s="120" t="s">
        <v>194</v>
      </c>
      <c r="E371" s="134">
        <f t="shared" ref="E371:Q371" si="121">IF(((E369="")*AND(E370="")),"",(E369-E370))</f>
        <v>359.84000000000015</v>
      </c>
      <c r="F371" s="134">
        <f t="shared" si="121"/>
        <v>327.32999999999993</v>
      </c>
      <c r="G371" s="134">
        <f t="shared" si="121"/>
        <v>312.63999999999987</v>
      </c>
      <c r="H371" s="134">
        <f t="shared" si="121"/>
        <v>317.42000000000007</v>
      </c>
      <c r="I371" s="134">
        <f t="shared" si="121"/>
        <v>359.46000000000004</v>
      </c>
      <c r="J371" s="134">
        <f t="shared" si="121"/>
        <v>356.55000000000018</v>
      </c>
      <c r="K371" s="134">
        <f t="shared" si="121"/>
        <v>321.00999999999976</v>
      </c>
      <c r="L371" s="134">
        <f t="shared" si="121"/>
        <v>327.14000000000033</v>
      </c>
      <c r="M371" s="134">
        <f t="shared" si="121"/>
        <v>355.37999999999965</v>
      </c>
      <c r="N371" s="134">
        <f t="shared" si="121"/>
        <v>326</v>
      </c>
      <c r="O371" s="134">
        <f t="shared" si="121"/>
        <v>319.74000000000024</v>
      </c>
      <c r="P371" s="134">
        <f t="shared" si="121"/>
        <v>330.79999999999973</v>
      </c>
      <c r="Q371" s="134">
        <f t="shared" si="121"/>
        <v>326.38000000000011</v>
      </c>
      <c r="R371" s="303"/>
      <c r="S371" s="303"/>
      <c r="T371" s="306"/>
      <c r="U371" s="306"/>
      <c r="V371" s="308"/>
      <c r="W371" s="294"/>
      <c r="X371" s="297"/>
      <c r="Y371" s="259"/>
      <c r="Z371" s="255"/>
      <c r="AA371" s="122"/>
      <c r="AB371" s="122"/>
      <c r="AC371" s="122"/>
      <c r="AD371" s="122"/>
      <c r="AE371" s="122"/>
      <c r="AF371" s="126"/>
    </row>
    <row r="372" spans="1:32" ht="15.55" x14ac:dyDescent="0.25">
      <c r="A372" s="298">
        <v>43546</v>
      </c>
      <c r="B372" s="119" t="s">
        <v>242</v>
      </c>
      <c r="C372" s="119" t="s">
        <v>238</v>
      </c>
      <c r="D372" s="120" t="s">
        <v>192</v>
      </c>
      <c r="E372" s="10">
        <v>2505.27</v>
      </c>
      <c r="F372" s="10">
        <v>2476.62</v>
      </c>
      <c r="G372" s="10">
        <v>2483.41</v>
      </c>
      <c r="H372" s="10">
        <v>2479.3000000000002</v>
      </c>
      <c r="I372" s="10">
        <v>2537.34</v>
      </c>
      <c r="J372" s="10">
        <v>2501.9899999999998</v>
      </c>
      <c r="K372" s="10">
        <v>2481.42</v>
      </c>
      <c r="L372" s="10">
        <v>2476.64</v>
      </c>
      <c r="M372" s="10">
        <v>2495.62</v>
      </c>
      <c r="N372" s="10">
        <v>2479.91</v>
      </c>
      <c r="O372" s="10">
        <v>2491.88</v>
      </c>
      <c r="P372" s="10">
        <v>2494.7199999999998</v>
      </c>
      <c r="Q372" s="10">
        <v>2474.85</v>
      </c>
      <c r="R372" s="301">
        <f>IF((Q373=""),"",MAX(E374:Q374))</f>
        <v>316.91000000000031</v>
      </c>
      <c r="S372" s="301">
        <f>IF(Q373="","",MIN(E374:Q374))</f>
        <v>255.78999999999996</v>
      </c>
      <c r="T372" s="304">
        <f>IF((Q374=""),"",AVERAGE(E374:Q374))</f>
        <v>275.25538461538451</v>
      </c>
      <c r="U372" s="304">
        <f>IF((Q373=""),"",(R372-S372)/(R372+S372)*100)</f>
        <v>10.672254234328674</v>
      </c>
      <c r="V372" s="304">
        <f>STDEV(E374:Q374)</f>
        <v>17.023748909187979</v>
      </c>
      <c r="W372" s="292" t="str">
        <f>IF(Q373="","",IF(T372&gt;300,IF(U372&lt;14,IF(T372&lt;390,"Pass","Fail"),"Fail"),"Fail"))</f>
        <v>Fail</v>
      </c>
      <c r="X372" s="295">
        <v>1428</v>
      </c>
      <c r="Y372" s="309"/>
      <c r="Z372" s="255"/>
      <c r="AA372" s="122">
        <v>270</v>
      </c>
      <c r="AB372" s="122">
        <v>370</v>
      </c>
      <c r="AC372" s="122">
        <v>300</v>
      </c>
      <c r="AD372" s="123">
        <v>390</v>
      </c>
      <c r="AE372" s="123">
        <v>14</v>
      </c>
      <c r="AF372" s="123">
        <v>20</v>
      </c>
    </row>
    <row r="373" spans="1:32" ht="15.55" x14ac:dyDescent="0.3">
      <c r="A373" s="299"/>
      <c r="B373" s="124"/>
      <c r="C373" s="124"/>
      <c r="D373" s="120" t="s">
        <v>193</v>
      </c>
      <c r="E373" s="10">
        <v>2211.5700000000002</v>
      </c>
      <c r="F373" s="10">
        <v>2206.0100000000002</v>
      </c>
      <c r="G373" s="10">
        <v>2213.0500000000002</v>
      </c>
      <c r="H373" s="10">
        <v>2216.87</v>
      </c>
      <c r="I373" s="10">
        <v>2220.4299999999998</v>
      </c>
      <c r="J373" s="10">
        <v>2219.27</v>
      </c>
      <c r="K373" s="10">
        <v>2225.63</v>
      </c>
      <c r="L373" s="10">
        <v>2217.42</v>
      </c>
      <c r="M373" s="10">
        <v>2206.36</v>
      </c>
      <c r="N373" s="10">
        <v>2215.48</v>
      </c>
      <c r="O373" s="10">
        <v>2213.1799999999998</v>
      </c>
      <c r="P373" s="10">
        <v>2223.0300000000002</v>
      </c>
      <c r="Q373" s="10">
        <v>2212.35</v>
      </c>
      <c r="R373" s="302"/>
      <c r="S373" s="302"/>
      <c r="T373" s="305"/>
      <c r="U373" s="305"/>
      <c r="V373" s="307"/>
      <c r="W373" s="293"/>
      <c r="X373" s="296"/>
      <c r="Y373" s="310"/>
      <c r="Z373" s="255"/>
      <c r="AA373" s="122"/>
      <c r="AB373" s="122"/>
      <c r="AC373" s="122"/>
      <c r="AD373" s="122"/>
      <c r="AE373" s="122"/>
      <c r="AF373" s="126"/>
    </row>
    <row r="374" spans="1:32" ht="62.05" x14ac:dyDescent="0.3">
      <c r="A374" s="300"/>
      <c r="B374" s="119"/>
      <c r="C374" s="119"/>
      <c r="D374" s="120" t="s">
        <v>194</v>
      </c>
      <c r="E374" s="134">
        <f t="shared" ref="E374:Q374" si="122">IF(((E372="")*AND(E373="")),"",(E372-E373))</f>
        <v>293.69999999999982</v>
      </c>
      <c r="F374" s="134">
        <f t="shared" si="122"/>
        <v>270.60999999999967</v>
      </c>
      <c r="G374" s="134">
        <f t="shared" si="122"/>
        <v>270.35999999999967</v>
      </c>
      <c r="H374" s="134">
        <f t="shared" si="122"/>
        <v>262.43000000000029</v>
      </c>
      <c r="I374" s="134">
        <f t="shared" si="122"/>
        <v>316.91000000000031</v>
      </c>
      <c r="J374" s="134">
        <f t="shared" si="122"/>
        <v>282.7199999999998</v>
      </c>
      <c r="K374" s="134">
        <f t="shared" si="122"/>
        <v>255.78999999999996</v>
      </c>
      <c r="L374" s="134">
        <f t="shared" si="122"/>
        <v>259.2199999999998</v>
      </c>
      <c r="M374" s="134">
        <f t="shared" si="122"/>
        <v>289.25999999999976</v>
      </c>
      <c r="N374" s="134">
        <f t="shared" si="122"/>
        <v>264.42999999999984</v>
      </c>
      <c r="O374" s="134">
        <f t="shared" si="122"/>
        <v>278.70000000000027</v>
      </c>
      <c r="P374" s="134">
        <f t="shared" si="122"/>
        <v>271.6899999999996</v>
      </c>
      <c r="Q374" s="134">
        <f t="shared" si="122"/>
        <v>262.5</v>
      </c>
      <c r="R374" s="303"/>
      <c r="S374" s="303"/>
      <c r="T374" s="306"/>
      <c r="U374" s="306"/>
      <c r="V374" s="308"/>
      <c r="W374" s="294"/>
      <c r="X374" s="297"/>
      <c r="Y374" s="311"/>
      <c r="Z374" s="255"/>
      <c r="AA374" s="122"/>
      <c r="AB374" s="122"/>
      <c r="AC374" s="122"/>
      <c r="AD374" s="122"/>
      <c r="AE374" s="122"/>
      <c r="AF374" s="126"/>
    </row>
    <row r="375" spans="1:32" ht="15.55" x14ac:dyDescent="0.25">
      <c r="A375" s="298">
        <v>43546</v>
      </c>
      <c r="B375" s="119" t="s">
        <v>242</v>
      </c>
      <c r="C375" s="119" t="s">
        <v>238</v>
      </c>
      <c r="D375" s="120" t="s">
        <v>192</v>
      </c>
      <c r="E375" s="10">
        <v>2860.47</v>
      </c>
      <c r="F375" s="10">
        <v>2795.97</v>
      </c>
      <c r="G375" s="10">
        <v>2791.68</v>
      </c>
      <c r="H375" s="10">
        <v>2810.66</v>
      </c>
      <c r="I375" s="10">
        <v>2895.76</v>
      </c>
      <c r="J375" s="10">
        <v>2856.49</v>
      </c>
      <c r="K375" s="10">
        <v>2803.62</v>
      </c>
      <c r="L375" s="10">
        <v>2800.58</v>
      </c>
      <c r="M375" s="10">
        <v>2857.49</v>
      </c>
      <c r="N375" s="10">
        <v>2803.11</v>
      </c>
      <c r="O375" s="10">
        <v>2817.08</v>
      </c>
      <c r="P375" s="10">
        <v>2816.11</v>
      </c>
      <c r="Q375" s="10">
        <v>2800.38</v>
      </c>
      <c r="R375" s="301">
        <f>IF((Q376=""),"",MAX(E377:Q377))</f>
        <v>376.90999999999985</v>
      </c>
      <c r="S375" s="301">
        <f>IF(Q376="","",MIN(E377:Q377))</f>
        <v>317.78999999999996</v>
      </c>
      <c r="T375" s="304">
        <f>IF((Q377=""),"",AVERAGE(E377:Q377))</f>
        <v>340.89538461538456</v>
      </c>
      <c r="U375" s="304">
        <f>IF((Q376=""),"",(R375-S375)/(R375+S375)*100)</f>
        <v>8.5101482654383052</v>
      </c>
      <c r="V375" s="304">
        <f>STDEV(E377:Q377)</f>
        <v>19.889377657175295</v>
      </c>
      <c r="W375" s="292" t="str">
        <f>IF(Q376="","",IF(T375&gt;300,IF(U375&lt;14,IF(T375&lt;390,"Pass","Fail"),"Fail"),"Fail"))</f>
        <v>Pass</v>
      </c>
      <c r="X375" s="295">
        <v>1340</v>
      </c>
      <c r="Y375" s="309"/>
      <c r="Z375" s="255"/>
      <c r="AA375" s="122">
        <v>270</v>
      </c>
      <c r="AB375" s="122">
        <v>370</v>
      </c>
      <c r="AC375" s="122">
        <v>300</v>
      </c>
      <c r="AD375" s="123">
        <v>390</v>
      </c>
      <c r="AE375" s="123">
        <v>14</v>
      </c>
      <c r="AF375" s="123">
        <v>20</v>
      </c>
    </row>
    <row r="376" spans="1:32" ht="15.55" x14ac:dyDescent="0.3">
      <c r="A376" s="299"/>
      <c r="B376" s="124"/>
      <c r="C376" s="124"/>
      <c r="D376" s="120" t="s">
        <v>193</v>
      </c>
      <c r="E376" s="10">
        <v>2495.92</v>
      </c>
      <c r="F376" s="10">
        <v>2469.19</v>
      </c>
      <c r="G376" s="10">
        <v>2473.89</v>
      </c>
      <c r="H376" s="10">
        <v>2479.79</v>
      </c>
      <c r="I376" s="10">
        <v>2524.64</v>
      </c>
      <c r="J376" s="10">
        <v>2495.21</v>
      </c>
      <c r="K376" s="10">
        <v>2475.42</v>
      </c>
      <c r="L376" s="10">
        <v>2474.08</v>
      </c>
      <c r="M376" s="10">
        <v>2480.58</v>
      </c>
      <c r="N376" s="10">
        <v>2473.96</v>
      </c>
      <c r="O376" s="10">
        <v>2480.09</v>
      </c>
      <c r="P376" s="10">
        <v>2484.96</v>
      </c>
      <c r="Q376" s="10">
        <v>2470.0300000000002</v>
      </c>
      <c r="R376" s="302"/>
      <c r="S376" s="302"/>
      <c r="T376" s="305"/>
      <c r="U376" s="305"/>
      <c r="V376" s="307"/>
      <c r="W376" s="293"/>
      <c r="X376" s="296"/>
      <c r="Y376" s="310"/>
      <c r="Z376" s="255"/>
      <c r="AA376" s="122"/>
      <c r="AB376" s="122"/>
      <c r="AC376" s="122"/>
      <c r="AD376" s="122"/>
      <c r="AE376" s="122"/>
      <c r="AF376" s="126"/>
    </row>
    <row r="377" spans="1:32" ht="62.05" x14ac:dyDescent="0.3">
      <c r="A377" s="300"/>
      <c r="B377" s="119"/>
      <c r="C377" s="119"/>
      <c r="D377" s="120" t="s">
        <v>194</v>
      </c>
      <c r="E377" s="134">
        <f t="shared" ref="E377:Q377" si="123">IF(((E375="")*AND(E376="")),"",(E375-E376))</f>
        <v>364.54999999999973</v>
      </c>
      <c r="F377" s="134">
        <f t="shared" si="123"/>
        <v>326.77999999999975</v>
      </c>
      <c r="G377" s="134">
        <f t="shared" si="123"/>
        <v>317.78999999999996</v>
      </c>
      <c r="H377" s="134">
        <f t="shared" si="123"/>
        <v>330.86999999999989</v>
      </c>
      <c r="I377" s="134">
        <f t="shared" si="123"/>
        <v>371.12000000000035</v>
      </c>
      <c r="J377" s="134">
        <f t="shared" si="123"/>
        <v>361.27999999999975</v>
      </c>
      <c r="K377" s="134">
        <f t="shared" si="123"/>
        <v>328.19999999999982</v>
      </c>
      <c r="L377" s="134">
        <f t="shared" si="123"/>
        <v>326.5</v>
      </c>
      <c r="M377" s="134">
        <f t="shared" si="123"/>
        <v>376.90999999999985</v>
      </c>
      <c r="N377" s="134">
        <f t="shared" si="123"/>
        <v>329.15000000000009</v>
      </c>
      <c r="O377" s="134">
        <f t="shared" si="123"/>
        <v>336.98999999999978</v>
      </c>
      <c r="P377" s="134">
        <f t="shared" si="123"/>
        <v>331.15000000000009</v>
      </c>
      <c r="Q377" s="134">
        <f t="shared" si="123"/>
        <v>330.34999999999991</v>
      </c>
      <c r="R377" s="303"/>
      <c r="S377" s="303"/>
      <c r="T377" s="306"/>
      <c r="U377" s="306"/>
      <c r="V377" s="308"/>
      <c r="W377" s="294"/>
      <c r="X377" s="297"/>
      <c r="Y377" s="311"/>
      <c r="Z377" s="255"/>
      <c r="AA377" s="122"/>
      <c r="AB377" s="122"/>
      <c r="AC377" s="122"/>
      <c r="AD377" s="122"/>
      <c r="AE377" s="122"/>
      <c r="AF377" s="126"/>
    </row>
    <row r="378" spans="1:32" ht="15.55" x14ac:dyDescent="0.25">
      <c r="A378" s="298">
        <v>43549</v>
      </c>
      <c r="B378" s="119" t="s">
        <v>242</v>
      </c>
      <c r="C378" s="119" t="s">
        <v>238</v>
      </c>
      <c r="D378" s="120" t="s">
        <v>192</v>
      </c>
      <c r="E378" s="10">
        <v>2850.41</v>
      </c>
      <c r="F378" s="10">
        <v>2787.73</v>
      </c>
      <c r="G378" s="10">
        <v>2786.29</v>
      </c>
      <c r="H378" s="10">
        <v>2801.42</v>
      </c>
      <c r="I378" s="10">
        <v>2880.37</v>
      </c>
      <c r="J378" s="10">
        <v>2860.85</v>
      </c>
      <c r="K378" s="10">
        <v>2800.31</v>
      </c>
      <c r="L378" s="10">
        <v>2790.83</v>
      </c>
      <c r="M378" s="10">
        <v>2849.02</v>
      </c>
      <c r="N378" s="10">
        <v>2797.47</v>
      </c>
      <c r="O378" s="10">
        <v>2806.71</v>
      </c>
      <c r="P378" s="10">
        <v>2812.44</v>
      </c>
      <c r="Q378" s="10">
        <v>2793.6</v>
      </c>
      <c r="R378" s="301">
        <f>IF((Q379=""),"",MAX(E380:Q380))</f>
        <v>360.38999999999987</v>
      </c>
      <c r="S378" s="301">
        <f>IF(Q379="","",MIN(E380:Q380))</f>
        <v>319.15000000000009</v>
      </c>
      <c r="T378" s="304">
        <f>IF((Q380=""),"",AVERAGE(E380:Q380))</f>
        <v>334.39692307692309</v>
      </c>
      <c r="U378" s="304">
        <f>IF((Q379=""),"",(R378-S378)/(R378+S378)*100)</f>
        <v>6.068811254672247</v>
      </c>
      <c r="V378" s="304">
        <f>STDEV(E380:Q380)</f>
        <v>16.38198776330027</v>
      </c>
      <c r="W378" s="292" t="str">
        <f>IF(Q379="","",IF(T378&gt;300,IF(U378&lt;14,IF(T378&lt;390,"Pass","Fail"),"Fail"),"Fail"))</f>
        <v>Pass</v>
      </c>
      <c r="X378" s="295">
        <v>102</v>
      </c>
      <c r="Y378" s="312"/>
      <c r="Z378" s="256" t="s">
        <v>256</v>
      </c>
      <c r="AA378" s="122">
        <v>270</v>
      </c>
      <c r="AB378" s="122">
        <v>370</v>
      </c>
      <c r="AC378" s="122">
        <v>300</v>
      </c>
      <c r="AD378" s="123">
        <v>390</v>
      </c>
      <c r="AE378" s="123">
        <v>14</v>
      </c>
      <c r="AF378" s="123">
        <v>20</v>
      </c>
    </row>
    <row r="379" spans="1:32" ht="15.55" x14ac:dyDescent="0.3">
      <c r="A379" s="299"/>
      <c r="B379" s="124"/>
      <c r="C379" s="124"/>
      <c r="D379" s="120" t="s">
        <v>193</v>
      </c>
      <c r="E379" s="10">
        <v>2493.59</v>
      </c>
      <c r="F379" s="10">
        <v>2467.4499999999998</v>
      </c>
      <c r="G379" s="10">
        <v>2463.52</v>
      </c>
      <c r="H379" s="10">
        <v>2482.27</v>
      </c>
      <c r="I379" s="10">
        <v>2522.27</v>
      </c>
      <c r="J379" s="10">
        <v>2506.69</v>
      </c>
      <c r="K379" s="10">
        <v>2471.2199999999998</v>
      </c>
      <c r="L379" s="10">
        <v>2470.9899999999998</v>
      </c>
      <c r="M379" s="10">
        <v>2488.63</v>
      </c>
      <c r="N379" s="10">
        <v>2470.44</v>
      </c>
      <c r="O379" s="10">
        <v>2478.46</v>
      </c>
      <c r="P379" s="10">
        <v>2482.4899999999998</v>
      </c>
      <c r="Q379" s="10">
        <v>2472.27</v>
      </c>
      <c r="R379" s="302"/>
      <c r="S379" s="302"/>
      <c r="T379" s="305"/>
      <c r="U379" s="305"/>
      <c r="V379" s="307"/>
      <c r="W379" s="293"/>
      <c r="X379" s="296"/>
      <c r="Y379" s="313"/>
      <c r="Z379" s="256"/>
      <c r="AA379" s="122"/>
      <c r="AB379" s="122"/>
      <c r="AC379" s="122"/>
      <c r="AD379" s="122"/>
      <c r="AE379" s="122"/>
      <c r="AF379" s="126"/>
    </row>
    <row r="380" spans="1:32" ht="62.05" x14ac:dyDescent="0.3">
      <c r="A380" s="300"/>
      <c r="B380" s="119"/>
      <c r="C380" s="119"/>
      <c r="D380" s="120" t="s">
        <v>194</v>
      </c>
      <c r="E380" s="134">
        <f t="shared" ref="E380:Q380" si="124">IF(((E378="")*AND(E379="")),"",(E378-E379))</f>
        <v>356.81999999999971</v>
      </c>
      <c r="F380" s="134">
        <f t="shared" si="124"/>
        <v>320.2800000000002</v>
      </c>
      <c r="G380" s="134">
        <f t="shared" si="124"/>
        <v>322.77</v>
      </c>
      <c r="H380" s="134">
        <f t="shared" si="124"/>
        <v>319.15000000000009</v>
      </c>
      <c r="I380" s="134">
        <f t="shared" si="124"/>
        <v>358.09999999999991</v>
      </c>
      <c r="J380" s="134">
        <f t="shared" si="124"/>
        <v>354.15999999999985</v>
      </c>
      <c r="K380" s="134">
        <f t="shared" si="124"/>
        <v>329.09000000000015</v>
      </c>
      <c r="L380" s="134">
        <f t="shared" si="124"/>
        <v>319.84000000000015</v>
      </c>
      <c r="M380" s="134">
        <f t="shared" si="124"/>
        <v>360.38999999999987</v>
      </c>
      <c r="N380" s="134">
        <f t="shared" si="124"/>
        <v>327.02999999999975</v>
      </c>
      <c r="O380" s="134">
        <f t="shared" si="124"/>
        <v>328.25</v>
      </c>
      <c r="P380" s="134">
        <f t="shared" si="124"/>
        <v>329.95000000000027</v>
      </c>
      <c r="Q380" s="134">
        <f t="shared" si="124"/>
        <v>321.32999999999993</v>
      </c>
      <c r="R380" s="303"/>
      <c r="S380" s="303"/>
      <c r="T380" s="306"/>
      <c r="U380" s="306"/>
      <c r="V380" s="308"/>
      <c r="W380" s="294"/>
      <c r="X380" s="297"/>
      <c r="Y380" s="314"/>
      <c r="Z380" s="256"/>
      <c r="AA380" s="122"/>
      <c r="AB380" s="122"/>
      <c r="AC380" s="122"/>
      <c r="AD380" s="122"/>
      <c r="AE380" s="122"/>
      <c r="AF380" s="126"/>
    </row>
    <row r="381" spans="1:32" ht="15.55" x14ac:dyDescent="0.25">
      <c r="A381" s="298">
        <v>43552</v>
      </c>
      <c r="B381" s="119" t="s">
        <v>242</v>
      </c>
      <c r="C381" s="119" t="s">
        <v>238</v>
      </c>
      <c r="D381" s="120" t="s">
        <v>192</v>
      </c>
      <c r="E381" s="10">
        <v>2854.03</v>
      </c>
      <c r="F381" s="10">
        <v>2791.52</v>
      </c>
      <c r="G381" s="10">
        <v>2786.93</v>
      </c>
      <c r="H381" s="10">
        <v>2805.12</v>
      </c>
      <c r="I381" s="10">
        <v>2885.11</v>
      </c>
      <c r="J381" s="10">
        <v>2861.36</v>
      </c>
      <c r="K381" s="10">
        <v>2800.09</v>
      </c>
      <c r="L381" s="10">
        <v>2792.93</v>
      </c>
      <c r="M381" s="10">
        <v>2852.3</v>
      </c>
      <c r="N381" s="10">
        <v>2795.48</v>
      </c>
      <c r="O381" s="10">
        <v>2811.37</v>
      </c>
      <c r="P381" s="10">
        <v>2815.2</v>
      </c>
      <c r="Q381" s="10">
        <v>2800.54</v>
      </c>
      <c r="R381" s="301">
        <f>IF((Q382=""),"",MAX(E383:Q383))</f>
        <v>352.53999999999996</v>
      </c>
      <c r="S381" s="301">
        <f>IF(Q382="","",MIN(E383:Q383))</f>
        <v>309.91999999999962</v>
      </c>
      <c r="T381" s="304">
        <f>IF((Q383=""),"",AVERAGE(E383:Q383))</f>
        <v>327.65615384615381</v>
      </c>
      <c r="U381" s="304">
        <f>IF((Q382=""),"",(R381-S381)/(R381+S381)*100)</f>
        <v>6.4335959907013809</v>
      </c>
      <c r="V381" s="304">
        <f>STDEV(E383:Q383)</f>
        <v>17.209168359947824</v>
      </c>
      <c r="W381" s="292" t="str">
        <f>IF(Q382="","",IF(T381&gt;300,IF(U381&lt;14,IF(T381&lt;390,"Pass","Fail"),"Fail"),"Fail"))</f>
        <v>Pass</v>
      </c>
      <c r="X381" s="295">
        <v>121</v>
      </c>
      <c r="Y381" s="309"/>
      <c r="Z381" s="255"/>
      <c r="AA381" s="122">
        <v>270</v>
      </c>
      <c r="AB381" s="122">
        <v>370</v>
      </c>
      <c r="AC381" s="122">
        <v>300</v>
      </c>
      <c r="AD381" s="123">
        <v>390</v>
      </c>
      <c r="AE381" s="123">
        <v>14</v>
      </c>
      <c r="AF381" s="123">
        <v>20</v>
      </c>
    </row>
    <row r="382" spans="1:32" ht="15.55" x14ac:dyDescent="0.3">
      <c r="A382" s="299"/>
      <c r="B382" s="124"/>
      <c r="C382" s="124"/>
      <c r="D382" s="120" t="s">
        <v>193</v>
      </c>
      <c r="E382" s="10">
        <v>2502.5</v>
      </c>
      <c r="F382" s="10">
        <v>2475.37</v>
      </c>
      <c r="G382" s="10">
        <v>2477.0100000000002</v>
      </c>
      <c r="H382" s="10">
        <v>2488.89</v>
      </c>
      <c r="I382" s="10">
        <v>2532.5700000000002</v>
      </c>
      <c r="J382" s="10">
        <v>2509.15</v>
      </c>
      <c r="K382" s="10">
        <v>2484.46</v>
      </c>
      <c r="L382" s="10">
        <v>2478.0300000000002</v>
      </c>
      <c r="M382" s="10">
        <v>2500.89</v>
      </c>
      <c r="N382" s="10">
        <v>2482.5</v>
      </c>
      <c r="O382" s="10">
        <v>2490.17</v>
      </c>
      <c r="P382" s="10">
        <v>2493.37</v>
      </c>
      <c r="Q382" s="10">
        <v>2477.54</v>
      </c>
      <c r="R382" s="302"/>
      <c r="S382" s="302"/>
      <c r="T382" s="305"/>
      <c r="U382" s="305"/>
      <c r="V382" s="307"/>
      <c r="W382" s="293"/>
      <c r="X382" s="296"/>
      <c r="Y382" s="310"/>
      <c r="Z382" s="255"/>
      <c r="AA382" s="122"/>
      <c r="AB382" s="122"/>
      <c r="AC382" s="122"/>
      <c r="AD382" s="122"/>
      <c r="AE382" s="122"/>
      <c r="AF382" s="126"/>
    </row>
    <row r="383" spans="1:32" ht="62.05" x14ac:dyDescent="0.3">
      <c r="A383" s="300"/>
      <c r="B383" s="119"/>
      <c r="C383" s="119"/>
      <c r="D383" s="120" t="s">
        <v>194</v>
      </c>
      <c r="E383" s="134">
        <f t="shared" ref="E383:Q383" si="125">IF(((E381="")*AND(E382="")),"",(E381-E382))</f>
        <v>351.5300000000002</v>
      </c>
      <c r="F383" s="134">
        <f t="shared" si="125"/>
        <v>316.15000000000009</v>
      </c>
      <c r="G383" s="134">
        <f t="shared" si="125"/>
        <v>309.91999999999962</v>
      </c>
      <c r="H383" s="134">
        <f t="shared" si="125"/>
        <v>316.23</v>
      </c>
      <c r="I383" s="134">
        <f t="shared" si="125"/>
        <v>352.53999999999996</v>
      </c>
      <c r="J383" s="134">
        <f t="shared" si="125"/>
        <v>352.21000000000004</v>
      </c>
      <c r="K383" s="134">
        <f t="shared" si="125"/>
        <v>315.63000000000011</v>
      </c>
      <c r="L383" s="134">
        <f t="shared" si="125"/>
        <v>314.89999999999964</v>
      </c>
      <c r="M383" s="134">
        <f t="shared" si="125"/>
        <v>351.41000000000031</v>
      </c>
      <c r="N383" s="134">
        <f t="shared" si="125"/>
        <v>312.98</v>
      </c>
      <c r="O383" s="134">
        <f t="shared" si="125"/>
        <v>321.19999999999982</v>
      </c>
      <c r="P383" s="134">
        <f t="shared" si="125"/>
        <v>321.82999999999993</v>
      </c>
      <c r="Q383" s="134">
        <f t="shared" si="125"/>
        <v>323</v>
      </c>
      <c r="R383" s="303"/>
      <c r="S383" s="303"/>
      <c r="T383" s="306"/>
      <c r="U383" s="306"/>
      <c r="V383" s="308"/>
      <c r="W383" s="294"/>
      <c r="X383" s="297"/>
      <c r="Y383" s="311"/>
      <c r="Z383" s="255"/>
      <c r="AA383" s="122"/>
      <c r="AB383" s="122"/>
      <c r="AC383" s="122"/>
      <c r="AD383" s="122"/>
      <c r="AE383" s="122"/>
      <c r="AF383" s="126"/>
    </row>
    <row r="384" spans="1:32" ht="15.55" x14ac:dyDescent="0.25">
      <c r="A384" s="298">
        <v>43556</v>
      </c>
      <c r="B384" s="119" t="s">
        <v>242</v>
      </c>
      <c r="C384" s="119" t="s">
        <v>238</v>
      </c>
      <c r="D384" s="120" t="s">
        <v>192</v>
      </c>
      <c r="E384" s="10">
        <v>2852.65</v>
      </c>
      <c r="F384" s="10">
        <v>2793.66</v>
      </c>
      <c r="G384" s="10">
        <v>2787.22</v>
      </c>
      <c r="H384" s="10">
        <v>2802.25</v>
      </c>
      <c r="I384" s="10">
        <v>2883.24</v>
      </c>
      <c r="J384" s="10">
        <v>2860.68</v>
      </c>
      <c r="K384" s="10">
        <v>2799.38</v>
      </c>
      <c r="L384" s="10">
        <v>2795.06</v>
      </c>
      <c r="M384" s="10">
        <v>2853.85</v>
      </c>
      <c r="N384" s="10">
        <v>2796.53</v>
      </c>
      <c r="O384" s="10">
        <v>2806.54</v>
      </c>
      <c r="P384" s="10">
        <v>2813.44</v>
      </c>
      <c r="Q384" s="10">
        <v>2797.88</v>
      </c>
      <c r="R384" s="301">
        <f>IF((Q385=""),"",MAX(E386:Q386))</f>
        <v>362.07999999999993</v>
      </c>
      <c r="S384" s="301">
        <f>IF(Q385="","",MIN(E386:Q386))</f>
        <v>323.30999999999995</v>
      </c>
      <c r="T384" s="304">
        <f>IF((Q386=""),"",AVERAGE(E386:Q386))</f>
        <v>336.78769230769228</v>
      </c>
      <c r="U384" s="304">
        <f>IF((Q385=""),"",(R384-S384)/(R384+S384)*100)</f>
        <v>5.6566334495688571</v>
      </c>
      <c r="V384" s="304">
        <f>STDEV(E386:Q386)</f>
        <v>16.80762880056065</v>
      </c>
      <c r="W384" s="292" t="str">
        <f>IF(Q385="","",IF(T384&gt;300,IF(U384&lt;14,IF(T384&lt;390,"Pass","Fail"),"Fail"),"Fail"))</f>
        <v>Pass</v>
      </c>
      <c r="X384" s="295"/>
      <c r="Y384" s="309"/>
      <c r="Z384" s="255"/>
      <c r="AA384" s="122">
        <v>270</v>
      </c>
      <c r="AB384" s="122">
        <v>370</v>
      </c>
      <c r="AC384" s="122">
        <v>300</v>
      </c>
      <c r="AD384" s="123">
        <v>390</v>
      </c>
      <c r="AE384" s="123">
        <v>14</v>
      </c>
      <c r="AF384" s="123">
        <v>20</v>
      </c>
    </row>
    <row r="385" spans="1:32" ht="15.55" x14ac:dyDescent="0.3">
      <c r="A385" s="299"/>
      <c r="B385" s="124"/>
      <c r="C385" s="124"/>
      <c r="D385" s="120" t="s">
        <v>193</v>
      </c>
      <c r="E385" s="10">
        <v>2494.4499999999998</v>
      </c>
      <c r="F385" s="10">
        <v>2467.5</v>
      </c>
      <c r="G385" s="10">
        <v>2462.66</v>
      </c>
      <c r="H385" s="10">
        <v>2478.14</v>
      </c>
      <c r="I385" s="10">
        <v>2521.77</v>
      </c>
      <c r="J385" s="10">
        <v>2499.14</v>
      </c>
      <c r="K385" s="10">
        <v>2476.0700000000002</v>
      </c>
      <c r="L385" s="10">
        <v>2468.15</v>
      </c>
      <c r="M385" s="10">
        <v>2491.77</v>
      </c>
      <c r="N385" s="10">
        <v>2472.48</v>
      </c>
      <c r="O385" s="10">
        <v>2477.14</v>
      </c>
      <c r="P385" s="10">
        <v>2483.8000000000002</v>
      </c>
      <c r="Q385" s="10">
        <v>2471.0700000000002</v>
      </c>
      <c r="R385" s="302"/>
      <c r="S385" s="302"/>
      <c r="T385" s="305"/>
      <c r="U385" s="305"/>
      <c r="V385" s="307"/>
      <c r="W385" s="293"/>
      <c r="X385" s="296"/>
      <c r="Y385" s="310"/>
      <c r="Z385" s="255"/>
      <c r="AA385" s="122"/>
      <c r="AB385" s="122"/>
      <c r="AC385" s="122"/>
      <c r="AD385" s="122"/>
      <c r="AE385" s="122"/>
      <c r="AF385" s="126"/>
    </row>
    <row r="386" spans="1:32" ht="62.05" x14ac:dyDescent="0.3">
      <c r="A386" s="300"/>
      <c r="B386" s="119"/>
      <c r="C386" s="119"/>
      <c r="D386" s="120" t="s">
        <v>194</v>
      </c>
      <c r="E386" s="134">
        <f t="shared" ref="E386:Q386" si="126">IF(((E384="")*AND(E385="")),"",(E384-E385))</f>
        <v>358.20000000000027</v>
      </c>
      <c r="F386" s="134">
        <f t="shared" si="126"/>
        <v>326.15999999999985</v>
      </c>
      <c r="G386" s="134">
        <f t="shared" si="126"/>
        <v>324.55999999999995</v>
      </c>
      <c r="H386" s="134">
        <f t="shared" si="126"/>
        <v>324.11000000000013</v>
      </c>
      <c r="I386" s="134">
        <f t="shared" si="126"/>
        <v>361.4699999999998</v>
      </c>
      <c r="J386" s="134">
        <f t="shared" si="126"/>
        <v>361.53999999999996</v>
      </c>
      <c r="K386" s="134">
        <f t="shared" si="126"/>
        <v>323.30999999999995</v>
      </c>
      <c r="L386" s="134">
        <f t="shared" si="126"/>
        <v>326.90999999999985</v>
      </c>
      <c r="M386" s="134">
        <f t="shared" si="126"/>
        <v>362.07999999999993</v>
      </c>
      <c r="N386" s="134">
        <f t="shared" si="126"/>
        <v>324.05000000000018</v>
      </c>
      <c r="O386" s="134">
        <f t="shared" si="126"/>
        <v>329.40000000000009</v>
      </c>
      <c r="P386" s="134">
        <f t="shared" si="126"/>
        <v>329.63999999999987</v>
      </c>
      <c r="Q386" s="134">
        <f t="shared" si="126"/>
        <v>326.80999999999995</v>
      </c>
      <c r="R386" s="303"/>
      <c r="S386" s="303"/>
      <c r="T386" s="306"/>
      <c r="U386" s="306"/>
      <c r="V386" s="308"/>
      <c r="W386" s="294"/>
      <c r="X386" s="297"/>
      <c r="Y386" s="311"/>
      <c r="Z386" s="255"/>
      <c r="AA386" s="122"/>
      <c r="AB386" s="122"/>
      <c r="AC386" s="122"/>
      <c r="AD386" s="122"/>
      <c r="AE386" s="122"/>
      <c r="AF386" s="126"/>
    </row>
    <row r="387" spans="1:32" ht="15.55" x14ac:dyDescent="0.25">
      <c r="A387" s="298">
        <v>43559</v>
      </c>
      <c r="B387" s="119" t="s">
        <v>242</v>
      </c>
      <c r="C387" s="119" t="s">
        <v>238</v>
      </c>
      <c r="D387" s="120" t="s">
        <v>192</v>
      </c>
      <c r="E387" s="10">
        <v>2848.48</v>
      </c>
      <c r="F387" s="10">
        <v>2801.06</v>
      </c>
      <c r="G387" s="10">
        <v>2798.21</v>
      </c>
      <c r="H387" s="10">
        <v>2808.33</v>
      </c>
      <c r="I387" s="10">
        <v>2881.93</v>
      </c>
      <c r="J387" s="10">
        <v>2882.11</v>
      </c>
      <c r="K387" s="10">
        <v>2806.97</v>
      </c>
      <c r="L387" s="10">
        <v>2805.37</v>
      </c>
      <c r="M387" s="10">
        <v>2853.71</v>
      </c>
      <c r="N387" s="10">
        <v>2813.04</v>
      </c>
      <c r="O387" s="10">
        <v>2812.43</v>
      </c>
      <c r="P387" s="10">
        <v>2822.02</v>
      </c>
      <c r="Q387" s="10">
        <v>2807.09</v>
      </c>
      <c r="R387" s="301">
        <f>IF((Q388=""),"",MAX(E389:Q389))</f>
        <v>365.59000000000015</v>
      </c>
      <c r="S387" s="301">
        <f>IF(Q388="","",MIN(E389:Q389))</f>
        <v>321.65000000000009</v>
      </c>
      <c r="T387" s="304">
        <f>IF((Q389=""),"",AVERAGE(E389:Q389))</f>
        <v>336.8915384615384</v>
      </c>
      <c r="U387" s="304">
        <f>IF((Q388=""),"",(R387-S387)/(R387+S387)*100)</f>
        <v>6.3936907048483844</v>
      </c>
      <c r="V387" s="304">
        <f>STDEV(E389:Q389)</f>
        <v>19.286235958213801</v>
      </c>
      <c r="W387" s="292" t="str">
        <f>IF(Q388="","",IF(T387&gt;300,IF(U387&lt;14,IF(T387&lt;390,"Pass","Fail"),"Fail"),"Fail"))</f>
        <v>Pass</v>
      </c>
      <c r="X387" s="295"/>
      <c r="Y387" s="309"/>
      <c r="Z387" s="255"/>
      <c r="AA387" s="122">
        <v>270</v>
      </c>
      <c r="AB387" s="122">
        <v>370</v>
      </c>
      <c r="AC387" s="122">
        <v>300</v>
      </c>
      <c r="AD387" s="123">
        <v>390</v>
      </c>
      <c r="AE387" s="123">
        <v>14</v>
      </c>
      <c r="AF387" s="123">
        <v>20</v>
      </c>
    </row>
    <row r="388" spans="1:32" ht="15.55" x14ac:dyDescent="0.3">
      <c r="A388" s="299"/>
      <c r="B388" s="124"/>
      <c r="C388" s="124"/>
      <c r="D388" s="120" t="s">
        <v>193</v>
      </c>
      <c r="E388" s="10">
        <v>2483.67</v>
      </c>
      <c r="F388" s="10">
        <v>2478.4499999999998</v>
      </c>
      <c r="G388" s="10">
        <v>2475.19</v>
      </c>
      <c r="H388" s="10">
        <v>2486.6799999999998</v>
      </c>
      <c r="I388" s="10">
        <v>2516.42</v>
      </c>
      <c r="J388" s="10">
        <v>2520.06</v>
      </c>
      <c r="K388" s="10">
        <v>2485.2800000000002</v>
      </c>
      <c r="L388" s="10">
        <v>2481.13</v>
      </c>
      <c r="M388" s="10">
        <v>2488.12</v>
      </c>
      <c r="N388" s="10">
        <v>2486.23</v>
      </c>
      <c r="O388" s="10">
        <v>2484.59</v>
      </c>
      <c r="P388" s="10">
        <v>2493.58</v>
      </c>
      <c r="Q388" s="10">
        <v>2481.7600000000002</v>
      </c>
      <c r="R388" s="302"/>
      <c r="S388" s="302"/>
      <c r="T388" s="305"/>
      <c r="U388" s="305"/>
      <c r="V388" s="307"/>
      <c r="W388" s="293"/>
      <c r="X388" s="296"/>
      <c r="Y388" s="310"/>
      <c r="Z388" s="255"/>
      <c r="AA388" s="122"/>
      <c r="AB388" s="122"/>
      <c r="AC388" s="122"/>
      <c r="AD388" s="122"/>
      <c r="AE388" s="122"/>
      <c r="AF388" s="126"/>
    </row>
    <row r="389" spans="1:32" ht="62.05" x14ac:dyDescent="0.3">
      <c r="A389" s="300"/>
      <c r="B389" s="119"/>
      <c r="C389" s="119"/>
      <c r="D389" s="120" t="s">
        <v>194</v>
      </c>
      <c r="E389" s="134">
        <f t="shared" ref="E389:Q389" si="127">IF(((E387="")*AND(E388="")),"",(E387-E388))</f>
        <v>364.80999999999995</v>
      </c>
      <c r="F389" s="134">
        <f t="shared" si="127"/>
        <v>322.61000000000013</v>
      </c>
      <c r="G389" s="134">
        <f t="shared" si="127"/>
        <v>323.02</v>
      </c>
      <c r="H389" s="134">
        <f t="shared" si="127"/>
        <v>321.65000000000009</v>
      </c>
      <c r="I389" s="134">
        <f t="shared" si="127"/>
        <v>365.50999999999976</v>
      </c>
      <c r="J389" s="134">
        <f t="shared" si="127"/>
        <v>362.05000000000018</v>
      </c>
      <c r="K389" s="134">
        <f t="shared" si="127"/>
        <v>321.6899999999996</v>
      </c>
      <c r="L389" s="134">
        <f t="shared" si="127"/>
        <v>324.23999999999978</v>
      </c>
      <c r="M389" s="134">
        <f t="shared" si="127"/>
        <v>365.59000000000015</v>
      </c>
      <c r="N389" s="134">
        <f t="shared" si="127"/>
        <v>326.80999999999995</v>
      </c>
      <c r="O389" s="134">
        <f t="shared" si="127"/>
        <v>327.83999999999969</v>
      </c>
      <c r="P389" s="134">
        <f t="shared" si="127"/>
        <v>328.44000000000005</v>
      </c>
      <c r="Q389" s="134">
        <f t="shared" si="127"/>
        <v>325.32999999999993</v>
      </c>
      <c r="R389" s="303"/>
      <c r="S389" s="303"/>
      <c r="T389" s="306"/>
      <c r="U389" s="306"/>
      <c r="V389" s="308"/>
      <c r="W389" s="294"/>
      <c r="X389" s="297"/>
      <c r="Y389" s="311"/>
      <c r="Z389" s="255"/>
      <c r="AA389" s="122"/>
      <c r="AB389" s="122"/>
      <c r="AC389" s="122"/>
      <c r="AD389" s="122"/>
      <c r="AE389" s="122"/>
      <c r="AF389" s="126"/>
    </row>
    <row r="390" spans="1:32" ht="15.55" x14ac:dyDescent="0.3">
      <c r="A390" s="298">
        <v>43565</v>
      </c>
      <c r="B390" s="119" t="s">
        <v>242</v>
      </c>
      <c r="C390" s="119" t="s">
        <v>238</v>
      </c>
      <c r="D390" s="120" t="s">
        <v>192</v>
      </c>
      <c r="E390" s="135">
        <v>2850.53</v>
      </c>
      <c r="F390" s="135">
        <v>2799.07</v>
      </c>
      <c r="G390" s="135">
        <v>2796.19</v>
      </c>
      <c r="H390" s="135">
        <v>2809.67</v>
      </c>
      <c r="I390" s="135">
        <v>2885.98</v>
      </c>
      <c r="J390" s="135">
        <v>2875.47</v>
      </c>
      <c r="K390" s="135">
        <v>2808.11</v>
      </c>
      <c r="L390" s="135">
        <v>2800.28</v>
      </c>
      <c r="M390" s="135">
        <v>2854.28</v>
      </c>
      <c r="N390" s="135">
        <v>2805.34</v>
      </c>
      <c r="O390" s="135">
        <v>2811.04</v>
      </c>
      <c r="P390" s="135">
        <v>2821.99</v>
      </c>
      <c r="Q390" s="135">
        <v>2807.8</v>
      </c>
      <c r="R390" s="301">
        <f>IF((Q391=""),"",MAX(E392:Q392))</f>
        <v>361.82000000000016</v>
      </c>
      <c r="S390" s="301">
        <f>IF(Q391="","",MIN(E392:Q392))</f>
        <v>318.86000000000013</v>
      </c>
      <c r="T390" s="304">
        <f>IF((Q392=""),"",AVERAGE(E392:Q392))</f>
        <v>336.14769230769241</v>
      </c>
      <c r="U390" s="304">
        <f>IF((Q391=""),"",(R390-S390)/(R390+S390)*100)</f>
        <v>6.3113357231004326</v>
      </c>
      <c r="V390" s="304">
        <f>STDEV(E392:Q392)</f>
        <v>16.379790980476606</v>
      </c>
      <c r="W390" s="292" t="str">
        <f>IF(Q391="","",IF(T390&gt;300,IF(U390&lt;14,IF(T390&lt;390,"Pass","Fail"),"Fail"),"Fail"))</f>
        <v>Pass</v>
      </c>
      <c r="X390" s="295">
        <v>1159</v>
      </c>
      <c r="Y390" s="261" t="s">
        <v>235</v>
      </c>
      <c r="Z390" s="255"/>
      <c r="AA390" s="122">
        <v>270</v>
      </c>
      <c r="AB390" s="122">
        <v>370</v>
      </c>
      <c r="AC390" s="122">
        <v>300</v>
      </c>
      <c r="AD390" s="123">
        <v>390</v>
      </c>
      <c r="AE390" s="123">
        <v>14</v>
      </c>
      <c r="AF390" s="123">
        <v>20</v>
      </c>
    </row>
    <row r="391" spans="1:32" ht="15.55" x14ac:dyDescent="0.3">
      <c r="A391" s="299"/>
      <c r="B391" s="124"/>
      <c r="C391" s="124"/>
      <c r="D391" s="120" t="s">
        <v>193</v>
      </c>
      <c r="E391" s="136">
        <v>2494.14</v>
      </c>
      <c r="F391" s="136">
        <v>2473.23</v>
      </c>
      <c r="G391" s="136">
        <v>2477.33</v>
      </c>
      <c r="H391" s="136">
        <v>2483.09</v>
      </c>
      <c r="I391" s="136">
        <v>2524.16</v>
      </c>
      <c r="J391" s="136">
        <v>2518.0500000000002</v>
      </c>
      <c r="K391" s="136">
        <v>2482.0100000000002</v>
      </c>
      <c r="L391" s="136">
        <v>2475.9699999999998</v>
      </c>
      <c r="M391" s="136">
        <v>2492.54</v>
      </c>
      <c r="N391" s="136">
        <v>2481.23</v>
      </c>
      <c r="O391" s="136">
        <v>2483.17</v>
      </c>
      <c r="P391" s="136">
        <v>2493.58</v>
      </c>
      <c r="Q391" s="136">
        <v>2477.33</v>
      </c>
      <c r="R391" s="302"/>
      <c r="S391" s="302"/>
      <c r="T391" s="305"/>
      <c r="U391" s="305"/>
      <c r="V391" s="307"/>
      <c r="W391" s="293"/>
      <c r="X391" s="296"/>
      <c r="Y391" s="258"/>
      <c r="Z391" s="255"/>
      <c r="AA391" s="122"/>
      <c r="AB391" s="122"/>
      <c r="AC391" s="122"/>
      <c r="AD391" s="122"/>
      <c r="AE391" s="122"/>
      <c r="AF391" s="126"/>
    </row>
    <row r="392" spans="1:32" ht="62.05" x14ac:dyDescent="0.3">
      <c r="A392" s="300"/>
      <c r="B392" s="119"/>
      <c r="C392" s="119"/>
      <c r="D392" s="120" t="s">
        <v>194</v>
      </c>
      <c r="E392" s="134">
        <f t="shared" ref="E392:Q392" si="128">IF(((E390="")*AND(E391="")),"",(E390-E391))</f>
        <v>356.39000000000033</v>
      </c>
      <c r="F392" s="134">
        <f t="shared" si="128"/>
        <v>325.84000000000015</v>
      </c>
      <c r="G392" s="134">
        <f t="shared" si="128"/>
        <v>318.86000000000013</v>
      </c>
      <c r="H392" s="134">
        <f t="shared" si="128"/>
        <v>326.57999999999993</v>
      </c>
      <c r="I392" s="134">
        <f t="shared" si="128"/>
        <v>361.82000000000016</v>
      </c>
      <c r="J392" s="134">
        <f t="shared" si="128"/>
        <v>357.41999999999962</v>
      </c>
      <c r="K392" s="134">
        <f t="shared" si="128"/>
        <v>326.09999999999991</v>
      </c>
      <c r="L392" s="134">
        <f t="shared" si="128"/>
        <v>324.3100000000004</v>
      </c>
      <c r="M392" s="134">
        <f t="shared" si="128"/>
        <v>361.74000000000024</v>
      </c>
      <c r="N392" s="134">
        <f t="shared" si="128"/>
        <v>324.11000000000013</v>
      </c>
      <c r="O392" s="134">
        <f t="shared" si="128"/>
        <v>327.86999999999989</v>
      </c>
      <c r="P392" s="134">
        <f t="shared" si="128"/>
        <v>328.40999999999985</v>
      </c>
      <c r="Q392" s="134">
        <f t="shared" si="128"/>
        <v>330.47000000000025</v>
      </c>
      <c r="R392" s="303"/>
      <c r="S392" s="303"/>
      <c r="T392" s="306"/>
      <c r="U392" s="306"/>
      <c r="V392" s="308"/>
      <c r="W392" s="294"/>
      <c r="X392" s="297"/>
      <c r="Y392" s="259"/>
      <c r="Z392" s="255"/>
      <c r="AA392" s="122"/>
      <c r="AB392" s="122"/>
      <c r="AC392" s="122"/>
      <c r="AD392" s="122"/>
      <c r="AE392" s="122"/>
      <c r="AF392" s="126"/>
    </row>
    <row r="393" spans="1:32" ht="15.55" x14ac:dyDescent="0.25">
      <c r="A393" s="298">
        <v>43568</v>
      </c>
      <c r="B393" s="119" t="s">
        <v>242</v>
      </c>
      <c r="C393" s="119" t="s">
        <v>238</v>
      </c>
      <c r="D393" s="120" t="s">
        <v>192</v>
      </c>
      <c r="E393" s="10">
        <v>2496.44</v>
      </c>
      <c r="F393" s="10">
        <v>2475.29</v>
      </c>
      <c r="G393" s="10">
        <v>2478</v>
      </c>
      <c r="H393" s="10">
        <v>2486.14</v>
      </c>
      <c r="I393" s="10">
        <v>2527.4899999999998</v>
      </c>
      <c r="J393" s="10">
        <v>2519.4499999999998</v>
      </c>
      <c r="K393" s="10">
        <v>2474.96</v>
      </c>
      <c r="L393" s="10">
        <v>2473.02</v>
      </c>
      <c r="M393" s="10">
        <v>2493.81</v>
      </c>
      <c r="N393" s="10">
        <v>2481.52</v>
      </c>
      <c r="O393" s="10">
        <v>2483.54</v>
      </c>
      <c r="P393" s="10">
        <v>2496.48</v>
      </c>
      <c r="Q393" s="10">
        <v>2475.6999999999998</v>
      </c>
      <c r="R393" s="301">
        <f>IF((Q394=""),"",MAX(E395:Q395))</f>
        <v>318.75999999999976</v>
      </c>
      <c r="S393" s="301">
        <f>IF(Q394="","",MIN(E395:Q395))</f>
        <v>264.53999999999996</v>
      </c>
      <c r="T393" s="304">
        <f>IF((Q395=""),"",AVERAGE(E395:Q395))</f>
        <v>286.15769230769223</v>
      </c>
      <c r="U393" s="304">
        <f>IF((Q394=""),"",(R393-S393)/(R393+S393)*100)</f>
        <v>9.2953883079032789</v>
      </c>
      <c r="V393" s="304">
        <f>STDEV(E395:Q395)</f>
        <v>14.988103701406047</v>
      </c>
      <c r="W393" s="292" t="str">
        <f>IF(Q394="","",IF(T393&gt;300,IF(U393&lt;14,IF(T393&lt;390,"Pass","Fail"),"Fail"),"Fail"))</f>
        <v>Fail</v>
      </c>
      <c r="X393" s="295">
        <v>1428</v>
      </c>
      <c r="Y393" s="261"/>
      <c r="Z393" s="255"/>
      <c r="AA393" s="122">
        <v>270</v>
      </c>
      <c r="AB393" s="122">
        <v>370</v>
      </c>
      <c r="AC393" s="122">
        <v>300</v>
      </c>
      <c r="AD393" s="123">
        <v>390</v>
      </c>
      <c r="AE393" s="123">
        <v>14</v>
      </c>
      <c r="AF393" s="123">
        <v>20</v>
      </c>
    </row>
    <row r="394" spans="1:32" ht="15.55" x14ac:dyDescent="0.3">
      <c r="A394" s="299"/>
      <c r="B394" s="124"/>
      <c r="C394" s="124"/>
      <c r="D394" s="120" t="s">
        <v>193</v>
      </c>
      <c r="E394" s="10">
        <v>2200.5</v>
      </c>
      <c r="F394" s="10">
        <v>2201.3000000000002</v>
      </c>
      <c r="G394" s="10">
        <v>2202.56</v>
      </c>
      <c r="H394" s="10">
        <v>2206.02</v>
      </c>
      <c r="I394" s="10">
        <v>2208.73</v>
      </c>
      <c r="J394" s="10">
        <v>2213.9299999999998</v>
      </c>
      <c r="K394" s="10">
        <v>2210.42</v>
      </c>
      <c r="L394" s="10">
        <v>2200.42</v>
      </c>
      <c r="M394" s="10">
        <v>2195.5300000000002</v>
      </c>
      <c r="N394" s="10">
        <v>2199.64</v>
      </c>
      <c r="O394" s="10">
        <v>2203.25</v>
      </c>
      <c r="P394" s="10">
        <v>2207.69</v>
      </c>
      <c r="Q394" s="10">
        <v>2191.8000000000002</v>
      </c>
      <c r="R394" s="302"/>
      <c r="S394" s="302"/>
      <c r="T394" s="305"/>
      <c r="U394" s="305"/>
      <c r="V394" s="307"/>
      <c r="W394" s="293"/>
      <c r="X394" s="296"/>
      <c r="Y394" s="258"/>
      <c r="Z394" s="255"/>
      <c r="AA394" s="122"/>
      <c r="AB394" s="122"/>
      <c r="AC394" s="122"/>
      <c r="AD394" s="122"/>
      <c r="AE394" s="122"/>
      <c r="AF394" s="126"/>
    </row>
    <row r="395" spans="1:32" ht="62.05" x14ac:dyDescent="0.3">
      <c r="A395" s="300"/>
      <c r="B395" s="119"/>
      <c r="C395" s="119"/>
      <c r="D395" s="120" t="s">
        <v>194</v>
      </c>
      <c r="E395" s="134">
        <f t="shared" ref="E395:Q395" si="129">IF(((E393="")*AND(E394="")),"",(E393-E394))</f>
        <v>295.94000000000005</v>
      </c>
      <c r="F395" s="134">
        <f t="shared" si="129"/>
        <v>273.98999999999978</v>
      </c>
      <c r="G395" s="134">
        <f t="shared" si="129"/>
        <v>275.44000000000005</v>
      </c>
      <c r="H395" s="134">
        <f t="shared" si="129"/>
        <v>280.11999999999989</v>
      </c>
      <c r="I395" s="134">
        <f t="shared" si="129"/>
        <v>318.75999999999976</v>
      </c>
      <c r="J395" s="134">
        <f t="shared" si="129"/>
        <v>305.52</v>
      </c>
      <c r="K395" s="134">
        <f t="shared" si="129"/>
        <v>264.53999999999996</v>
      </c>
      <c r="L395" s="134">
        <f t="shared" si="129"/>
        <v>272.59999999999991</v>
      </c>
      <c r="M395" s="134">
        <f t="shared" si="129"/>
        <v>298.27999999999975</v>
      </c>
      <c r="N395" s="134">
        <f t="shared" si="129"/>
        <v>281.88000000000011</v>
      </c>
      <c r="O395" s="134">
        <f t="shared" si="129"/>
        <v>280.28999999999996</v>
      </c>
      <c r="P395" s="134">
        <f t="shared" si="129"/>
        <v>288.78999999999996</v>
      </c>
      <c r="Q395" s="134">
        <f t="shared" si="129"/>
        <v>283.89999999999964</v>
      </c>
      <c r="R395" s="303"/>
      <c r="S395" s="303"/>
      <c r="T395" s="306"/>
      <c r="U395" s="306"/>
      <c r="V395" s="308"/>
      <c r="W395" s="294"/>
      <c r="X395" s="297"/>
      <c r="Y395" s="259"/>
      <c r="Z395" s="255"/>
      <c r="AA395" s="122"/>
      <c r="AB395" s="122"/>
      <c r="AC395" s="122"/>
      <c r="AD395" s="122"/>
      <c r="AE395" s="122"/>
      <c r="AF395" s="126"/>
    </row>
    <row r="396" spans="1:32" ht="15.55" x14ac:dyDescent="0.25">
      <c r="A396" s="298">
        <v>43568</v>
      </c>
      <c r="B396" s="119" t="s">
        <v>242</v>
      </c>
      <c r="C396" s="119" t="s">
        <v>238</v>
      </c>
      <c r="D396" s="120" t="s">
        <v>192</v>
      </c>
      <c r="E396" s="10">
        <v>2928.53</v>
      </c>
      <c r="F396" s="10">
        <v>2835.56</v>
      </c>
      <c r="G396" s="10">
        <v>2818.81</v>
      </c>
      <c r="H396" s="10">
        <v>2819.86</v>
      </c>
      <c r="I396" s="10">
        <v>2892.91</v>
      </c>
      <c r="J396" s="10">
        <v>2876.39</v>
      </c>
      <c r="K396" s="10">
        <v>2822.87</v>
      </c>
      <c r="L396" s="10">
        <v>2827.69</v>
      </c>
      <c r="M396" s="10">
        <v>2898.41</v>
      </c>
      <c r="N396" s="10">
        <v>2840.97</v>
      </c>
      <c r="O396" s="10">
        <v>2827.48</v>
      </c>
      <c r="P396" s="10">
        <v>2823.24</v>
      </c>
      <c r="Q396" s="10">
        <v>2846.91</v>
      </c>
      <c r="R396" s="301">
        <f>IF((Q397=""),"",MAX(E398:Q398))</f>
        <v>379.60999999999967</v>
      </c>
      <c r="S396" s="301">
        <f>IF(Q397="","",MIN(E398:Q398))</f>
        <v>320.27999999999975</v>
      </c>
      <c r="T396" s="304">
        <f>IF((Q398=""),"",AVERAGE(E398:Q398))</f>
        <v>340.1946153846153</v>
      </c>
      <c r="U396" s="304">
        <f>IF((Q397=""),"",(R396-S396)/(R396+S396)*100)</f>
        <v>8.4770463930046116</v>
      </c>
      <c r="V396" s="304">
        <f>STDEV(E398:Q398)</f>
        <v>22.33206499460081</v>
      </c>
      <c r="W396" s="292" t="str">
        <f>IF(Q397="","",IF(T396&gt;300,IF(U396&lt;14,IF(T396&lt;390,"Pass","Fail"),"Fail"),"Fail"))</f>
        <v>Pass</v>
      </c>
      <c r="X396" s="295">
        <v>1428</v>
      </c>
      <c r="Y396" s="261" t="s">
        <v>257</v>
      </c>
      <c r="Z396" s="255"/>
      <c r="AA396" s="122">
        <v>270</v>
      </c>
      <c r="AB396" s="122">
        <v>370</v>
      </c>
      <c r="AC396" s="122">
        <v>300</v>
      </c>
      <c r="AD396" s="123">
        <v>390</v>
      </c>
      <c r="AE396" s="123">
        <v>14</v>
      </c>
      <c r="AF396" s="123">
        <v>20</v>
      </c>
    </row>
    <row r="397" spans="1:32" ht="15.55" x14ac:dyDescent="0.3">
      <c r="A397" s="299"/>
      <c r="B397" s="124"/>
      <c r="C397" s="124"/>
      <c r="D397" s="120" t="s">
        <v>193</v>
      </c>
      <c r="E397" s="10">
        <v>2561.8000000000002</v>
      </c>
      <c r="F397" s="10">
        <v>2509.9899999999998</v>
      </c>
      <c r="G397" s="10">
        <v>2498.5300000000002</v>
      </c>
      <c r="H397" s="10">
        <v>2493.91</v>
      </c>
      <c r="I397" s="10">
        <v>2518.35</v>
      </c>
      <c r="J397" s="10">
        <v>2509.79</v>
      </c>
      <c r="K397" s="10">
        <v>2497.84</v>
      </c>
      <c r="L397" s="10">
        <v>2499.77</v>
      </c>
      <c r="M397" s="10">
        <v>2518.8000000000002</v>
      </c>
      <c r="N397" s="10">
        <v>2510.41</v>
      </c>
      <c r="O397" s="10">
        <v>2502.62</v>
      </c>
      <c r="P397" s="10">
        <v>2495.15</v>
      </c>
      <c r="Q397" s="10">
        <v>2520.14</v>
      </c>
      <c r="R397" s="302"/>
      <c r="S397" s="302"/>
      <c r="T397" s="305"/>
      <c r="U397" s="305"/>
      <c r="V397" s="307"/>
      <c r="W397" s="293"/>
      <c r="X397" s="296"/>
      <c r="Y397" s="258"/>
      <c r="Z397" s="255"/>
      <c r="AA397" s="122"/>
      <c r="AB397" s="122"/>
      <c r="AC397" s="122"/>
      <c r="AD397" s="122"/>
      <c r="AE397" s="122"/>
      <c r="AF397" s="126"/>
    </row>
    <row r="398" spans="1:32" ht="62.05" x14ac:dyDescent="0.3">
      <c r="A398" s="300"/>
      <c r="B398" s="119"/>
      <c r="C398" s="119"/>
      <c r="D398" s="120" t="s">
        <v>194</v>
      </c>
      <c r="E398" s="134">
        <f t="shared" ref="E398:Q398" si="130">IF(((E396="")*AND(E397="")),"",(E396-E397))</f>
        <v>366.73</v>
      </c>
      <c r="F398" s="134">
        <f t="shared" si="130"/>
        <v>325.57000000000016</v>
      </c>
      <c r="G398" s="134">
        <f t="shared" si="130"/>
        <v>320.27999999999975</v>
      </c>
      <c r="H398" s="134">
        <f t="shared" si="130"/>
        <v>325.95000000000027</v>
      </c>
      <c r="I398" s="134">
        <f t="shared" si="130"/>
        <v>374.55999999999995</v>
      </c>
      <c r="J398" s="134">
        <f t="shared" si="130"/>
        <v>366.59999999999991</v>
      </c>
      <c r="K398" s="134">
        <f t="shared" si="130"/>
        <v>325.02999999999975</v>
      </c>
      <c r="L398" s="134">
        <f t="shared" si="130"/>
        <v>327.92000000000007</v>
      </c>
      <c r="M398" s="134">
        <f t="shared" si="130"/>
        <v>379.60999999999967</v>
      </c>
      <c r="N398" s="134">
        <f t="shared" si="130"/>
        <v>330.55999999999995</v>
      </c>
      <c r="O398" s="134">
        <f t="shared" si="130"/>
        <v>324.86000000000013</v>
      </c>
      <c r="P398" s="134">
        <f t="shared" si="130"/>
        <v>328.08999999999969</v>
      </c>
      <c r="Q398" s="134">
        <f t="shared" si="130"/>
        <v>326.77</v>
      </c>
      <c r="R398" s="303"/>
      <c r="S398" s="303"/>
      <c r="T398" s="306"/>
      <c r="U398" s="306"/>
      <c r="V398" s="308"/>
      <c r="W398" s="294"/>
      <c r="X398" s="297"/>
      <c r="Y398" s="259"/>
      <c r="Z398" s="255"/>
      <c r="AA398" s="122"/>
      <c r="AB398" s="122"/>
      <c r="AC398" s="122"/>
      <c r="AD398" s="122"/>
      <c r="AE398" s="122"/>
      <c r="AF398" s="126"/>
    </row>
    <row r="399" spans="1:32" ht="15.55" x14ac:dyDescent="0.25">
      <c r="A399" s="298">
        <v>43577</v>
      </c>
      <c r="B399" s="119" t="s">
        <v>242</v>
      </c>
      <c r="C399" s="119" t="s">
        <v>238</v>
      </c>
      <c r="D399" s="120" t="s">
        <v>192</v>
      </c>
      <c r="E399" s="10">
        <v>2568.3000000000002</v>
      </c>
      <c r="F399" s="10">
        <v>2538.1</v>
      </c>
      <c r="G399" s="10">
        <v>2503.3000000000002</v>
      </c>
      <c r="H399" s="10">
        <v>2488</v>
      </c>
      <c r="I399" s="10">
        <v>2481.6999999999998</v>
      </c>
      <c r="J399" s="10">
        <v>2501.1999999999998</v>
      </c>
      <c r="K399" s="10">
        <v>2519.6</v>
      </c>
      <c r="L399" s="10">
        <v>2491.3000000000002</v>
      </c>
      <c r="M399" s="10">
        <v>2495.6999999999998</v>
      </c>
      <c r="N399" s="10">
        <v>2568.3000000000002</v>
      </c>
      <c r="O399" s="10">
        <v>2538.1</v>
      </c>
      <c r="P399" s="10">
        <v>2503.3000000000002</v>
      </c>
      <c r="Q399" s="10">
        <v>2488</v>
      </c>
      <c r="R399" s="301">
        <f>IF((Q400=""),"",MAX(E401:Q401))</f>
        <v>394.90000000000009</v>
      </c>
      <c r="S399" s="301">
        <f>IF(Q400="","",MIN(E401:Q401))</f>
        <v>333.09999999999991</v>
      </c>
      <c r="T399" s="304">
        <f>IF((Q401=""),"",AVERAGE(E401:Q401))</f>
        <v>358.58846153846156</v>
      </c>
      <c r="U399" s="304">
        <f>IF((Q400=""),"",(R399-S399)/(R399+S399)*100)</f>
        <v>8.4890109890110139</v>
      </c>
      <c r="V399" s="304">
        <f>STDEV(E401:Q401)</f>
        <v>23.843367647403159</v>
      </c>
      <c r="W399" s="292" t="str">
        <f>IF(Q400="","",IF(T399&gt;300,IF(U399&lt;14,IF(T399&lt;390,"Pass","Fail"),"Fail"),"Fail"))</f>
        <v>Pass</v>
      </c>
      <c r="X399" s="295">
        <v>1428</v>
      </c>
      <c r="Y399" s="261" t="s">
        <v>258</v>
      </c>
      <c r="Z399" s="255"/>
      <c r="AA399" s="122">
        <v>270</v>
      </c>
      <c r="AB399" s="122">
        <v>370</v>
      </c>
      <c r="AC399" s="122">
        <v>300</v>
      </c>
      <c r="AD399" s="123">
        <v>390</v>
      </c>
      <c r="AE399" s="123">
        <v>14</v>
      </c>
      <c r="AF399" s="123">
        <v>20</v>
      </c>
    </row>
    <row r="400" spans="1:32" ht="15.55" x14ac:dyDescent="0.3">
      <c r="A400" s="299"/>
      <c r="B400" s="124"/>
      <c r="C400" s="124"/>
      <c r="D400" s="120" t="s">
        <v>193</v>
      </c>
      <c r="E400" s="10">
        <v>2173.4</v>
      </c>
      <c r="F400" s="10">
        <v>2180.5</v>
      </c>
      <c r="G400" s="10">
        <v>2165.0700000000002</v>
      </c>
      <c r="H400" s="10">
        <v>2152.1999999999998</v>
      </c>
      <c r="I400" s="10">
        <v>2148.6</v>
      </c>
      <c r="J400" s="10">
        <v>2148.1</v>
      </c>
      <c r="K400" s="10">
        <v>2133.6</v>
      </c>
      <c r="L400" s="10">
        <v>2104.4</v>
      </c>
      <c r="M400" s="10">
        <v>2146.21</v>
      </c>
      <c r="N400" s="10">
        <v>2173.4</v>
      </c>
      <c r="O400" s="10">
        <v>2180.5</v>
      </c>
      <c r="P400" s="10">
        <v>2165.0700000000002</v>
      </c>
      <c r="Q400" s="10">
        <v>2152.1999999999998</v>
      </c>
      <c r="R400" s="302"/>
      <c r="S400" s="302"/>
      <c r="T400" s="305"/>
      <c r="U400" s="305"/>
      <c r="V400" s="307"/>
      <c r="W400" s="293"/>
      <c r="X400" s="296"/>
      <c r="Y400" s="258"/>
      <c r="Z400" s="255"/>
      <c r="AA400" s="122"/>
      <c r="AB400" s="122"/>
      <c r="AC400" s="122"/>
      <c r="AD400" s="122"/>
      <c r="AE400" s="122"/>
      <c r="AF400" s="126"/>
    </row>
    <row r="401" spans="1:32" ht="62.05" x14ac:dyDescent="0.3">
      <c r="A401" s="300"/>
      <c r="B401" s="119"/>
      <c r="C401" s="119"/>
      <c r="D401" s="120" t="s">
        <v>194</v>
      </c>
      <c r="E401" s="134">
        <f t="shared" ref="E401:Q401" si="131">IF(((E399="")*AND(E400="")),"",(E399-E400))</f>
        <v>394.90000000000009</v>
      </c>
      <c r="F401" s="134">
        <f t="shared" si="131"/>
        <v>357.59999999999991</v>
      </c>
      <c r="G401" s="134">
        <f t="shared" si="131"/>
        <v>338.23</v>
      </c>
      <c r="H401" s="134">
        <f t="shared" si="131"/>
        <v>335.80000000000018</v>
      </c>
      <c r="I401" s="134">
        <f t="shared" si="131"/>
        <v>333.09999999999991</v>
      </c>
      <c r="J401" s="134">
        <f t="shared" si="131"/>
        <v>353.09999999999991</v>
      </c>
      <c r="K401" s="134">
        <f t="shared" si="131"/>
        <v>386</v>
      </c>
      <c r="L401" s="134">
        <f t="shared" si="131"/>
        <v>386.90000000000009</v>
      </c>
      <c r="M401" s="134">
        <f t="shared" si="131"/>
        <v>349.48999999999978</v>
      </c>
      <c r="N401" s="134">
        <f t="shared" si="131"/>
        <v>394.90000000000009</v>
      </c>
      <c r="O401" s="134">
        <f t="shared" si="131"/>
        <v>357.59999999999991</v>
      </c>
      <c r="P401" s="134">
        <f t="shared" si="131"/>
        <v>338.23</v>
      </c>
      <c r="Q401" s="134">
        <f t="shared" si="131"/>
        <v>335.80000000000018</v>
      </c>
      <c r="R401" s="303"/>
      <c r="S401" s="303"/>
      <c r="T401" s="306"/>
      <c r="U401" s="306"/>
      <c r="V401" s="308"/>
      <c r="W401" s="294"/>
      <c r="X401" s="297"/>
      <c r="Y401" s="259"/>
      <c r="Z401" s="255"/>
      <c r="AA401" s="122"/>
      <c r="AB401" s="122"/>
      <c r="AC401" s="122"/>
      <c r="AD401" s="122"/>
      <c r="AE401" s="122"/>
      <c r="AF401" s="126"/>
    </row>
    <row r="402" spans="1:32" ht="15.55" x14ac:dyDescent="0.25">
      <c r="A402" s="298">
        <v>43581</v>
      </c>
      <c r="B402" s="119" t="s">
        <v>242</v>
      </c>
      <c r="C402" s="119" t="s">
        <v>238</v>
      </c>
      <c r="D402" s="120" t="s">
        <v>192</v>
      </c>
      <c r="E402" s="10">
        <v>2778.6</v>
      </c>
      <c r="F402" s="10">
        <v>2706.18</v>
      </c>
      <c r="G402" s="10">
        <v>2699.52</v>
      </c>
      <c r="H402" s="10">
        <v>2716.15</v>
      </c>
      <c r="I402" s="10">
        <v>2817.97</v>
      </c>
      <c r="J402" s="10">
        <v>2771.54</v>
      </c>
      <c r="K402" s="10">
        <v>2710.03</v>
      </c>
      <c r="L402" s="10">
        <v>2708.39</v>
      </c>
      <c r="M402" s="10">
        <v>2774.19</v>
      </c>
      <c r="N402" s="10">
        <v>2711.09</v>
      </c>
      <c r="O402" s="10">
        <v>2725.19</v>
      </c>
      <c r="P402" s="10">
        <v>2725.57</v>
      </c>
      <c r="Q402" s="10">
        <v>2713.06</v>
      </c>
      <c r="R402" s="301">
        <f>IF((Q403=""),"",MAX(E404:Q404))</f>
        <v>358.05000000000018</v>
      </c>
      <c r="S402" s="301">
        <f>IF(Q403="","",MIN(E404:Q404))</f>
        <v>315.84999999999991</v>
      </c>
      <c r="T402" s="304">
        <f>IF((Q404=""),"",AVERAGE(E404:Q404))</f>
        <v>332.22923076923081</v>
      </c>
      <c r="U402" s="304">
        <f>IF((Q403=""),"",(R402-S402)/(R402+S402)*100)</f>
        <v>6.2620566849681358</v>
      </c>
      <c r="V402" s="304">
        <f>STDEV(E404:Q404)</f>
        <v>16.030154117339002</v>
      </c>
      <c r="W402" s="292" t="str">
        <f>IF(Q403="","",IF(T402&gt;300,IF(U402&lt;14,IF(T402&lt;390,"Pass","Fail"),"Fail"),"Fail"))</f>
        <v>Pass</v>
      </c>
      <c r="X402" s="295">
        <v>74</v>
      </c>
      <c r="Y402" s="261"/>
      <c r="Z402" s="255"/>
      <c r="AA402" s="122">
        <v>270</v>
      </c>
      <c r="AB402" s="122">
        <v>370</v>
      </c>
      <c r="AC402" s="122">
        <v>300</v>
      </c>
      <c r="AD402" s="123">
        <v>390</v>
      </c>
      <c r="AE402" s="123">
        <v>14</v>
      </c>
      <c r="AF402" s="123">
        <v>20</v>
      </c>
    </row>
    <row r="403" spans="1:32" ht="15.55" x14ac:dyDescent="0.3">
      <c r="A403" s="299"/>
      <c r="B403" s="124"/>
      <c r="C403" s="124"/>
      <c r="D403" s="120" t="s">
        <v>193</v>
      </c>
      <c r="E403" s="10">
        <v>2423.19</v>
      </c>
      <c r="F403" s="10">
        <v>2380.42</v>
      </c>
      <c r="G403" s="10">
        <v>2383.67</v>
      </c>
      <c r="H403" s="10">
        <v>2396.66</v>
      </c>
      <c r="I403" s="10">
        <v>2462.16</v>
      </c>
      <c r="J403" s="10">
        <v>2422.2199999999998</v>
      </c>
      <c r="K403" s="10">
        <v>2389.52</v>
      </c>
      <c r="L403" s="10">
        <v>2388.7199999999998</v>
      </c>
      <c r="M403" s="10">
        <v>2416.14</v>
      </c>
      <c r="N403" s="10">
        <v>2388.71</v>
      </c>
      <c r="O403" s="10">
        <v>2403.14</v>
      </c>
      <c r="P403" s="10">
        <v>2401.0100000000002</v>
      </c>
      <c r="Q403" s="10">
        <v>2382.94</v>
      </c>
      <c r="R403" s="302"/>
      <c r="S403" s="302"/>
      <c r="T403" s="305"/>
      <c r="U403" s="305"/>
      <c r="V403" s="307"/>
      <c r="W403" s="293"/>
      <c r="X403" s="296"/>
      <c r="Y403" s="258"/>
      <c r="Z403" s="255"/>
      <c r="AA403" s="122"/>
      <c r="AB403" s="122"/>
      <c r="AC403" s="122"/>
      <c r="AD403" s="122"/>
      <c r="AE403" s="122"/>
      <c r="AF403" s="126"/>
    </row>
    <row r="404" spans="1:32" ht="62.05" x14ac:dyDescent="0.3">
      <c r="A404" s="300"/>
      <c r="B404" s="119"/>
      <c r="C404" s="119"/>
      <c r="D404" s="120" t="s">
        <v>194</v>
      </c>
      <c r="E404" s="134">
        <f t="shared" ref="E404:Q404" si="132">IF(((E402="")*AND(E403="")),"",(E402-E403))</f>
        <v>355.40999999999985</v>
      </c>
      <c r="F404" s="134">
        <f t="shared" si="132"/>
        <v>325.75999999999976</v>
      </c>
      <c r="G404" s="134">
        <f t="shared" si="132"/>
        <v>315.84999999999991</v>
      </c>
      <c r="H404" s="134">
        <f t="shared" si="132"/>
        <v>319.49000000000024</v>
      </c>
      <c r="I404" s="134">
        <f t="shared" si="132"/>
        <v>355.80999999999995</v>
      </c>
      <c r="J404" s="134">
        <f t="shared" si="132"/>
        <v>349.32000000000016</v>
      </c>
      <c r="K404" s="134">
        <f t="shared" si="132"/>
        <v>320.51000000000022</v>
      </c>
      <c r="L404" s="134">
        <f t="shared" si="132"/>
        <v>319.67000000000007</v>
      </c>
      <c r="M404" s="134">
        <f t="shared" si="132"/>
        <v>358.05000000000018</v>
      </c>
      <c r="N404" s="134">
        <f t="shared" si="132"/>
        <v>322.38000000000011</v>
      </c>
      <c r="O404" s="134">
        <f t="shared" si="132"/>
        <v>322.05000000000018</v>
      </c>
      <c r="P404" s="134">
        <f t="shared" si="132"/>
        <v>324.55999999999995</v>
      </c>
      <c r="Q404" s="134">
        <f t="shared" si="132"/>
        <v>330.11999999999989</v>
      </c>
      <c r="R404" s="303"/>
      <c r="S404" s="303"/>
      <c r="T404" s="306"/>
      <c r="U404" s="306"/>
      <c r="V404" s="308"/>
      <c r="W404" s="294"/>
      <c r="X404" s="297"/>
      <c r="Y404" s="259"/>
      <c r="Z404" s="255"/>
      <c r="AA404" s="122"/>
      <c r="AB404" s="122"/>
      <c r="AC404" s="122"/>
      <c r="AD404" s="122"/>
      <c r="AE404" s="122"/>
      <c r="AF404" s="126"/>
    </row>
    <row r="405" spans="1:32" ht="15.55" x14ac:dyDescent="0.25">
      <c r="A405" s="298">
        <v>43585</v>
      </c>
      <c r="B405" s="119" t="s">
        <v>242</v>
      </c>
      <c r="C405" s="119" t="s">
        <v>238</v>
      </c>
      <c r="D405" s="120" t="s">
        <v>192</v>
      </c>
      <c r="E405" s="82">
        <v>2838</v>
      </c>
      <c r="F405" s="82">
        <v>2762</v>
      </c>
      <c r="G405" s="82">
        <v>2728</v>
      </c>
      <c r="H405" s="82">
        <v>2722</v>
      </c>
      <c r="I405" s="82">
        <v>2744</v>
      </c>
      <c r="J405" s="82">
        <v>2796</v>
      </c>
      <c r="K405" s="82">
        <v>2876</v>
      </c>
      <c r="L405" s="82">
        <v>2822</v>
      </c>
      <c r="M405" s="82">
        <v>2770</v>
      </c>
      <c r="N405" s="82">
        <v>2733</v>
      </c>
      <c r="O405" s="82">
        <v>2731</v>
      </c>
      <c r="P405" s="82">
        <v>2760</v>
      </c>
      <c r="Q405" s="82">
        <v>2820</v>
      </c>
      <c r="R405" s="301">
        <f>IF((Q406=""),"",MAX(E407:Q407))</f>
        <v>421</v>
      </c>
      <c r="S405" s="301">
        <f>IF(Q406="","",MIN(E407:Q407))</f>
        <v>360</v>
      </c>
      <c r="T405" s="304">
        <f>IF((Q407=""),"",AVERAGE(E407:Q407))</f>
        <v>385.30769230769232</v>
      </c>
      <c r="U405" s="304">
        <f>IF((Q406=""),"",(R405-S405)/(R405+S405)*100)</f>
        <v>7.8104993597951342</v>
      </c>
      <c r="V405" s="304">
        <f>STDEV(E407:Q407)</f>
        <v>23.792101684468786</v>
      </c>
      <c r="W405" s="292" t="str">
        <f>IF(Q406="","",IF(T405&gt;300,IF(U405&lt;14,IF(T405&lt;390,"Pass","Fail"),"Fail"),"Fail"))</f>
        <v>Pass</v>
      </c>
      <c r="X405" s="295">
        <v>1340</v>
      </c>
      <c r="AA405" s="122">
        <v>270</v>
      </c>
      <c r="AB405" s="122">
        <v>370</v>
      </c>
      <c r="AC405" s="122">
        <v>300</v>
      </c>
      <c r="AD405" s="123">
        <v>390</v>
      </c>
      <c r="AE405" s="123">
        <v>14</v>
      </c>
      <c r="AF405" s="123">
        <v>20</v>
      </c>
    </row>
    <row r="406" spans="1:32" ht="15.55" x14ac:dyDescent="0.3">
      <c r="A406" s="299"/>
      <c r="B406" s="124"/>
      <c r="C406" s="124"/>
      <c r="D406" s="120" t="s">
        <v>193</v>
      </c>
      <c r="E406" s="82">
        <v>2418</v>
      </c>
      <c r="F406" s="82">
        <v>2383</v>
      </c>
      <c r="G406" s="82">
        <v>2362</v>
      </c>
      <c r="H406" s="82">
        <v>2362</v>
      </c>
      <c r="I406" s="82">
        <v>2379</v>
      </c>
      <c r="J406" s="82">
        <v>2415</v>
      </c>
      <c r="K406" s="82">
        <v>2464</v>
      </c>
      <c r="L406" s="82">
        <v>2401</v>
      </c>
      <c r="M406" s="82">
        <v>2389</v>
      </c>
      <c r="N406" s="82">
        <v>2372</v>
      </c>
      <c r="O406" s="82">
        <v>2366</v>
      </c>
      <c r="P406" s="82">
        <v>2380</v>
      </c>
      <c r="Q406" s="82">
        <v>2402</v>
      </c>
      <c r="R406" s="302"/>
      <c r="S406" s="302"/>
      <c r="T406" s="305"/>
      <c r="U406" s="305"/>
      <c r="V406" s="307"/>
      <c r="W406" s="293"/>
      <c r="X406" s="296"/>
      <c r="AA406" s="122"/>
      <c r="AB406" s="122"/>
      <c r="AC406" s="122"/>
      <c r="AD406" s="122"/>
      <c r="AE406" s="122"/>
      <c r="AF406" s="126"/>
    </row>
    <row r="407" spans="1:32" ht="62.05" x14ac:dyDescent="0.3">
      <c r="A407" s="300"/>
      <c r="B407" s="119"/>
      <c r="C407" s="119"/>
      <c r="D407" s="120" t="s">
        <v>194</v>
      </c>
      <c r="E407" s="134">
        <f t="shared" ref="E407:Q407" si="133">IF(((E405="")*AND(E406="")),"",(E405-E406))</f>
        <v>420</v>
      </c>
      <c r="F407" s="134">
        <f t="shared" si="133"/>
        <v>379</v>
      </c>
      <c r="G407" s="134">
        <f t="shared" si="133"/>
        <v>366</v>
      </c>
      <c r="H407" s="134">
        <f t="shared" si="133"/>
        <v>360</v>
      </c>
      <c r="I407" s="134">
        <f t="shared" si="133"/>
        <v>365</v>
      </c>
      <c r="J407" s="134">
        <f t="shared" si="133"/>
        <v>381</v>
      </c>
      <c r="K407" s="134">
        <f t="shared" si="133"/>
        <v>412</v>
      </c>
      <c r="L407" s="134">
        <f t="shared" si="133"/>
        <v>421</v>
      </c>
      <c r="M407" s="134">
        <f t="shared" si="133"/>
        <v>381</v>
      </c>
      <c r="N407" s="134">
        <f t="shared" si="133"/>
        <v>361</v>
      </c>
      <c r="O407" s="134">
        <f t="shared" si="133"/>
        <v>365</v>
      </c>
      <c r="P407" s="134">
        <f t="shared" si="133"/>
        <v>380</v>
      </c>
      <c r="Q407" s="134">
        <f t="shared" si="133"/>
        <v>418</v>
      </c>
      <c r="R407" s="303"/>
      <c r="S407" s="303"/>
      <c r="T407" s="306"/>
      <c r="U407" s="306"/>
      <c r="V407" s="308"/>
      <c r="W407" s="294"/>
      <c r="X407" s="297"/>
      <c r="AA407" s="122"/>
      <c r="AB407" s="122"/>
      <c r="AC407" s="122"/>
      <c r="AD407" s="122"/>
      <c r="AE407" s="122"/>
      <c r="AF407" s="126"/>
    </row>
    <row r="408" spans="1:32" ht="15.55" x14ac:dyDescent="0.25">
      <c r="A408" s="298">
        <v>43588</v>
      </c>
      <c r="B408" s="119" t="s">
        <v>242</v>
      </c>
      <c r="C408" s="119" t="s">
        <v>238</v>
      </c>
      <c r="D408" s="120" t="s">
        <v>192</v>
      </c>
      <c r="E408" s="10">
        <v>2763.41</v>
      </c>
      <c r="F408" s="10">
        <v>2708.19</v>
      </c>
      <c r="G408" s="10">
        <v>2707.32</v>
      </c>
      <c r="H408" s="10">
        <v>2719.83</v>
      </c>
      <c r="I408" s="10">
        <v>2803.67</v>
      </c>
      <c r="J408" s="10">
        <v>2800.12</v>
      </c>
      <c r="K408" s="10">
        <v>2717.67</v>
      </c>
      <c r="L408" s="10">
        <v>2708.05</v>
      </c>
      <c r="M408" s="10">
        <v>2766.54</v>
      </c>
      <c r="N408" s="10">
        <v>2719.22</v>
      </c>
      <c r="O408" s="10">
        <v>2716.68</v>
      </c>
      <c r="P408" s="10">
        <v>2730.95</v>
      </c>
      <c r="Q408" s="10">
        <v>2715.97</v>
      </c>
      <c r="R408" s="301">
        <f>IF((Q409=""),"",MAX(E410:Q410))</f>
        <v>368.40999999999985</v>
      </c>
      <c r="S408" s="301">
        <f>IF(Q409="","",MIN(E410:Q410))</f>
        <v>326.47000000000025</v>
      </c>
      <c r="T408" s="304">
        <f>IF((Q410=""),"",AVERAGE(E410:Q410))</f>
        <v>344.43846153846147</v>
      </c>
      <c r="U408" s="304">
        <f>IF((Q409=""),"",(R408-S408)/(R408+S408)*100)</f>
        <v>6.0355744876812674</v>
      </c>
      <c r="V408" s="304">
        <f>STDEV(E410:Q410)</f>
        <v>14.91570025518633</v>
      </c>
      <c r="W408" s="292" t="str">
        <f>IF(Q409="","",IF(T408&gt;300,IF(U408&lt;14,IF(T408&lt;390,"Pass","Fail"),"Fail"),"Fail"))</f>
        <v>Pass</v>
      </c>
      <c r="X408" s="295">
        <v>1340</v>
      </c>
      <c r="AA408" s="122">
        <v>270</v>
      </c>
      <c r="AB408" s="122">
        <v>370</v>
      </c>
      <c r="AC408" s="122">
        <v>300</v>
      </c>
      <c r="AD408" s="123">
        <v>390</v>
      </c>
      <c r="AE408" s="123">
        <v>14</v>
      </c>
      <c r="AF408" s="123">
        <v>20</v>
      </c>
    </row>
    <row r="409" spans="1:32" ht="15.55" x14ac:dyDescent="0.3">
      <c r="A409" s="299"/>
      <c r="B409" s="124"/>
      <c r="C409" s="124"/>
      <c r="D409" s="120" t="s">
        <v>193</v>
      </c>
      <c r="E409" s="10">
        <v>2397.4699999999998</v>
      </c>
      <c r="F409" s="10">
        <v>2375.7600000000002</v>
      </c>
      <c r="G409" s="10">
        <v>2369.96</v>
      </c>
      <c r="H409" s="10">
        <v>2384.0500000000002</v>
      </c>
      <c r="I409" s="10">
        <v>2437.2199999999998</v>
      </c>
      <c r="J409" s="10">
        <v>2439.8000000000002</v>
      </c>
      <c r="K409" s="10">
        <v>2378.0300000000002</v>
      </c>
      <c r="L409" s="10">
        <v>2381.58</v>
      </c>
      <c r="M409" s="10">
        <v>2398.13</v>
      </c>
      <c r="N409" s="10">
        <v>2382.21</v>
      </c>
      <c r="O409" s="10">
        <v>2381.0700000000002</v>
      </c>
      <c r="P409" s="10">
        <v>2397.0500000000002</v>
      </c>
      <c r="Q409" s="10">
        <v>2377.59</v>
      </c>
      <c r="R409" s="302"/>
      <c r="S409" s="302"/>
      <c r="T409" s="305"/>
      <c r="U409" s="305"/>
      <c r="V409" s="307"/>
      <c r="W409" s="293"/>
      <c r="X409" s="296"/>
      <c r="AA409" s="122"/>
      <c r="AB409" s="122"/>
      <c r="AC409" s="122"/>
      <c r="AD409" s="122"/>
      <c r="AE409" s="122"/>
      <c r="AF409" s="126"/>
    </row>
    <row r="410" spans="1:32" ht="62.05" x14ac:dyDescent="0.3">
      <c r="A410" s="300"/>
      <c r="B410" s="119"/>
      <c r="C410" s="119"/>
      <c r="D410" s="120" t="s">
        <v>194</v>
      </c>
      <c r="E410" s="134">
        <f t="shared" ref="E410:Q410" si="134">IF(((E408="")*AND(E409="")),"",(E408-E409))</f>
        <v>365.94000000000005</v>
      </c>
      <c r="F410" s="134">
        <f t="shared" si="134"/>
        <v>332.42999999999984</v>
      </c>
      <c r="G410" s="134">
        <f t="shared" si="134"/>
        <v>337.36000000000013</v>
      </c>
      <c r="H410" s="134">
        <f t="shared" si="134"/>
        <v>335.77999999999975</v>
      </c>
      <c r="I410" s="134">
        <f t="shared" si="134"/>
        <v>366.45000000000027</v>
      </c>
      <c r="J410" s="134">
        <f t="shared" si="134"/>
        <v>360.31999999999971</v>
      </c>
      <c r="K410" s="134">
        <f t="shared" si="134"/>
        <v>339.63999999999987</v>
      </c>
      <c r="L410" s="134">
        <f t="shared" si="134"/>
        <v>326.47000000000025</v>
      </c>
      <c r="M410" s="134">
        <f t="shared" si="134"/>
        <v>368.40999999999985</v>
      </c>
      <c r="N410" s="134">
        <f t="shared" si="134"/>
        <v>337.00999999999976</v>
      </c>
      <c r="O410" s="134">
        <f t="shared" si="134"/>
        <v>335.60999999999967</v>
      </c>
      <c r="P410" s="134">
        <f t="shared" si="134"/>
        <v>333.89999999999964</v>
      </c>
      <c r="Q410" s="134">
        <f t="shared" si="134"/>
        <v>338.37999999999965</v>
      </c>
      <c r="R410" s="303"/>
      <c r="S410" s="303"/>
      <c r="T410" s="306"/>
      <c r="U410" s="306"/>
      <c r="V410" s="308"/>
      <c r="W410" s="294"/>
      <c r="X410" s="297"/>
      <c r="AA410" s="122"/>
      <c r="AB410" s="122"/>
      <c r="AC410" s="122"/>
      <c r="AD410" s="122"/>
      <c r="AE410" s="122"/>
      <c r="AF410" s="126"/>
    </row>
  </sheetData>
  <autoFilter ref="A5:AF398"/>
  <mergeCells count="1173">
    <mergeCell ref="X9:X11"/>
    <mergeCell ref="Y9:Y11"/>
    <mergeCell ref="A12:A14"/>
    <mergeCell ref="R12:R14"/>
    <mergeCell ref="S12:S14"/>
    <mergeCell ref="T12:T14"/>
    <mergeCell ref="U12:U14"/>
    <mergeCell ref="V12:V14"/>
    <mergeCell ref="W12:W14"/>
    <mergeCell ref="X12:X14"/>
    <mergeCell ref="W6:W8"/>
    <mergeCell ref="X6:X8"/>
    <mergeCell ref="Y6:Y8"/>
    <mergeCell ref="A9:A11"/>
    <mergeCell ref="R9:R11"/>
    <mergeCell ref="S9:S11"/>
    <mergeCell ref="T9:T11"/>
    <mergeCell ref="U9:U11"/>
    <mergeCell ref="V9:V11"/>
    <mergeCell ref="W9:W11"/>
    <mergeCell ref="A6:A8"/>
    <mergeCell ref="R6:R8"/>
    <mergeCell ref="S6:S8"/>
    <mergeCell ref="T6:T8"/>
    <mergeCell ref="U6:U8"/>
    <mergeCell ref="V6:V8"/>
    <mergeCell ref="W18:W20"/>
    <mergeCell ref="X18:X20"/>
    <mergeCell ref="Y18:Y20"/>
    <mergeCell ref="A21:A23"/>
    <mergeCell ref="R21:R23"/>
    <mergeCell ref="S21:S23"/>
    <mergeCell ref="T21:T23"/>
    <mergeCell ref="U21:U23"/>
    <mergeCell ref="V21:V23"/>
    <mergeCell ref="W21:W23"/>
    <mergeCell ref="A18:A20"/>
    <mergeCell ref="R18:R20"/>
    <mergeCell ref="S18:S20"/>
    <mergeCell ref="T18:T20"/>
    <mergeCell ref="U18:U20"/>
    <mergeCell ref="V18:V20"/>
    <mergeCell ref="Y12:Y14"/>
    <mergeCell ref="A15:A17"/>
    <mergeCell ref="R15:R17"/>
    <mergeCell ref="S15:S17"/>
    <mergeCell ref="T15:T17"/>
    <mergeCell ref="U15:U17"/>
    <mergeCell ref="V15:V17"/>
    <mergeCell ref="W15:W17"/>
    <mergeCell ref="X15:X17"/>
    <mergeCell ref="Y15:Y17"/>
    <mergeCell ref="X27:X29"/>
    <mergeCell ref="Y27:Y29"/>
    <mergeCell ref="A30:A32"/>
    <mergeCell ref="R30:R32"/>
    <mergeCell ref="S30:S32"/>
    <mergeCell ref="T30:T32"/>
    <mergeCell ref="U30:U32"/>
    <mergeCell ref="V30:V32"/>
    <mergeCell ref="W30:W32"/>
    <mergeCell ref="X30:X32"/>
    <mergeCell ref="R27:R29"/>
    <mergeCell ref="S27:S29"/>
    <mergeCell ref="T27:T29"/>
    <mergeCell ref="U27:U29"/>
    <mergeCell ref="V27:V29"/>
    <mergeCell ref="W27:W29"/>
    <mergeCell ref="X21:X23"/>
    <mergeCell ref="Y21:Y23"/>
    <mergeCell ref="R24:R26"/>
    <mergeCell ref="S24:S26"/>
    <mergeCell ref="T24:T26"/>
    <mergeCell ref="U24:U26"/>
    <mergeCell ref="V24:V26"/>
    <mergeCell ref="W24:W26"/>
    <mergeCell ref="X24:X26"/>
    <mergeCell ref="Y24:Y26"/>
    <mergeCell ref="W36:W38"/>
    <mergeCell ref="X36:X38"/>
    <mergeCell ref="Y36:Y38"/>
    <mergeCell ref="A39:A41"/>
    <mergeCell ref="R39:R41"/>
    <mergeCell ref="S39:S41"/>
    <mergeCell ref="T39:T41"/>
    <mergeCell ref="U39:U41"/>
    <mergeCell ref="V39:V41"/>
    <mergeCell ref="W39:W41"/>
    <mergeCell ref="A36:A38"/>
    <mergeCell ref="R36:R38"/>
    <mergeCell ref="S36:S38"/>
    <mergeCell ref="T36:T38"/>
    <mergeCell ref="U36:U38"/>
    <mergeCell ref="V36:V38"/>
    <mergeCell ref="Y30:Y32"/>
    <mergeCell ref="A33:A35"/>
    <mergeCell ref="R33:R35"/>
    <mergeCell ref="S33:S35"/>
    <mergeCell ref="T33:T35"/>
    <mergeCell ref="U33:U35"/>
    <mergeCell ref="V33:V35"/>
    <mergeCell ref="W33:W35"/>
    <mergeCell ref="X33:X35"/>
    <mergeCell ref="Y33:Y35"/>
    <mergeCell ref="Y42:Y44"/>
    <mergeCell ref="A45:A47"/>
    <mergeCell ref="R45:R47"/>
    <mergeCell ref="S45:S47"/>
    <mergeCell ref="T45:T47"/>
    <mergeCell ref="U45:U47"/>
    <mergeCell ref="V45:V47"/>
    <mergeCell ref="W45:W47"/>
    <mergeCell ref="X45:X47"/>
    <mergeCell ref="Y45:Y47"/>
    <mergeCell ref="X39:X41"/>
    <mergeCell ref="Y39:Y41"/>
    <mergeCell ref="A42:A44"/>
    <mergeCell ref="R42:R44"/>
    <mergeCell ref="S42:S44"/>
    <mergeCell ref="T42:T44"/>
    <mergeCell ref="U42:U44"/>
    <mergeCell ref="V42:V44"/>
    <mergeCell ref="W42:W44"/>
    <mergeCell ref="X42:X44"/>
    <mergeCell ref="Y51:Y53"/>
    <mergeCell ref="A54:A56"/>
    <mergeCell ref="R54:R56"/>
    <mergeCell ref="S54:S56"/>
    <mergeCell ref="T54:T56"/>
    <mergeCell ref="U54:U56"/>
    <mergeCell ref="V54:V56"/>
    <mergeCell ref="W54:W56"/>
    <mergeCell ref="X54:X56"/>
    <mergeCell ref="Y54:Y56"/>
    <mergeCell ref="W48:W50"/>
    <mergeCell ref="X48:X50"/>
    <mergeCell ref="A51:A53"/>
    <mergeCell ref="R51:R53"/>
    <mergeCell ref="S51:S53"/>
    <mergeCell ref="T51:T53"/>
    <mergeCell ref="U51:U53"/>
    <mergeCell ref="V51:V53"/>
    <mergeCell ref="W51:W53"/>
    <mergeCell ref="X51:X53"/>
    <mergeCell ref="A48:A50"/>
    <mergeCell ref="R48:R50"/>
    <mergeCell ref="S48:S50"/>
    <mergeCell ref="T48:T50"/>
    <mergeCell ref="U48:U50"/>
    <mergeCell ref="V48:V50"/>
    <mergeCell ref="X60:X62"/>
    <mergeCell ref="Y60:Y62"/>
    <mergeCell ref="A63:A65"/>
    <mergeCell ref="R63:R65"/>
    <mergeCell ref="S63:S65"/>
    <mergeCell ref="T63:T65"/>
    <mergeCell ref="U63:U65"/>
    <mergeCell ref="V63:V65"/>
    <mergeCell ref="W63:W65"/>
    <mergeCell ref="X63:X65"/>
    <mergeCell ref="W57:W59"/>
    <mergeCell ref="X57:X59"/>
    <mergeCell ref="Y57:Y59"/>
    <mergeCell ref="A60:A62"/>
    <mergeCell ref="R60:R62"/>
    <mergeCell ref="S60:S62"/>
    <mergeCell ref="T60:T62"/>
    <mergeCell ref="U60:U62"/>
    <mergeCell ref="V60:V62"/>
    <mergeCell ref="W60:W62"/>
    <mergeCell ref="A57:A59"/>
    <mergeCell ref="R57:R59"/>
    <mergeCell ref="S57:S59"/>
    <mergeCell ref="T57:T59"/>
    <mergeCell ref="U57:U59"/>
    <mergeCell ref="V57:V59"/>
    <mergeCell ref="W69:W71"/>
    <mergeCell ref="X69:X71"/>
    <mergeCell ref="Y69:Y71"/>
    <mergeCell ref="A72:A74"/>
    <mergeCell ref="R72:R74"/>
    <mergeCell ref="S72:S74"/>
    <mergeCell ref="T72:T74"/>
    <mergeCell ref="U72:U74"/>
    <mergeCell ref="V72:V74"/>
    <mergeCell ref="W72:W74"/>
    <mergeCell ref="A69:A71"/>
    <mergeCell ref="R69:R71"/>
    <mergeCell ref="S69:S71"/>
    <mergeCell ref="T69:T71"/>
    <mergeCell ref="U69:U71"/>
    <mergeCell ref="V69:V71"/>
    <mergeCell ref="Y63:Y65"/>
    <mergeCell ref="A66:A68"/>
    <mergeCell ref="R66:R68"/>
    <mergeCell ref="S66:S68"/>
    <mergeCell ref="T66:T68"/>
    <mergeCell ref="U66:U68"/>
    <mergeCell ref="V66:V68"/>
    <mergeCell ref="W66:W68"/>
    <mergeCell ref="X66:X68"/>
    <mergeCell ref="Y66:Y68"/>
    <mergeCell ref="Y75:Y77"/>
    <mergeCell ref="A78:A80"/>
    <mergeCell ref="R78:R80"/>
    <mergeCell ref="S78:S80"/>
    <mergeCell ref="T78:T80"/>
    <mergeCell ref="U78:U80"/>
    <mergeCell ref="V78:V80"/>
    <mergeCell ref="W78:W80"/>
    <mergeCell ref="X78:X80"/>
    <mergeCell ref="X72:X74"/>
    <mergeCell ref="Y72:Y74"/>
    <mergeCell ref="A75:A77"/>
    <mergeCell ref="R75:R77"/>
    <mergeCell ref="S75:S77"/>
    <mergeCell ref="T75:T77"/>
    <mergeCell ref="U75:U77"/>
    <mergeCell ref="V75:V77"/>
    <mergeCell ref="W75:W77"/>
    <mergeCell ref="X75:X77"/>
    <mergeCell ref="X84:X86"/>
    <mergeCell ref="Y84:Y86"/>
    <mergeCell ref="A87:A89"/>
    <mergeCell ref="R87:R89"/>
    <mergeCell ref="S87:S89"/>
    <mergeCell ref="T87:T89"/>
    <mergeCell ref="U87:U89"/>
    <mergeCell ref="V87:V89"/>
    <mergeCell ref="W87:W89"/>
    <mergeCell ref="X87:X89"/>
    <mergeCell ref="W81:W83"/>
    <mergeCell ref="X81:X83"/>
    <mergeCell ref="Y81:Y83"/>
    <mergeCell ref="A84:A86"/>
    <mergeCell ref="R84:R86"/>
    <mergeCell ref="S84:S86"/>
    <mergeCell ref="T84:T86"/>
    <mergeCell ref="U84:U86"/>
    <mergeCell ref="V84:V86"/>
    <mergeCell ref="W84:W86"/>
    <mergeCell ref="A81:A83"/>
    <mergeCell ref="R81:R83"/>
    <mergeCell ref="S81:S83"/>
    <mergeCell ref="T81:T83"/>
    <mergeCell ref="U81:U83"/>
    <mergeCell ref="V81:V83"/>
    <mergeCell ref="W93:W95"/>
    <mergeCell ref="X93:X95"/>
    <mergeCell ref="Y93:Y95"/>
    <mergeCell ref="A96:A98"/>
    <mergeCell ref="R96:R98"/>
    <mergeCell ref="S96:S98"/>
    <mergeCell ref="T96:T98"/>
    <mergeCell ref="U96:U98"/>
    <mergeCell ref="V96:V98"/>
    <mergeCell ref="W96:W98"/>
    <mergeCell ref="A93:A95"/>
    <mergeCell ref="R93:R95"/>
    <mergeCell ref="S93:S95"/>
    <mergeCell ref="T93:T95"/>
    <mergeCell ref="U93:U95"/>
    <mergeCell ref="V93:V95"/>
    <mergeCell ref="Y87:Y89"/>
    <mergeCell ref="A90:A92"/>
    <mergeCell ref="R90:R92"/>
    <mergeCell ref="S90:S92"/>
    <mergeCell ref="T90:T92"/>
    <mergeCell ref="U90:U92"/>
    <mergeCell ref="V90:V92"/>
    <mergeCell ref="W90:W92"/>
    <mergeCell ref="X90:X92"/>
    <mergeCell ref="Y90:Y92"/>
    <mergeCell ref="A102:A104"/>
    <mergeCell ref="R102:R104"/>
    <mergeCell ref="S102:S104"/>
    <mergeCell ref="T102:T104"/>
    <mergeCell ref="U102:U104"/>
    <mergeCell ref="V102:V104"/>
    <mergeCell ref="W102:W104"/>
    <mergeCell ref="X102:X104"/>
    <mergeCell ref="Y102:Y104"/>
    <mergeCell ref="X96:X98"/>
    <mergeCell ref="A99:A101"/>
    <mergeCell ref="R99:R101"/>
    <mergeCell ref="S99:S101"/>
    <mergeCell ref="T99:T101"/>
    <mergeCell ref="U99:U101"/>
    <mergeCell ref="V99:V101"/>
    <mergeCell ref="W99:W101"/>
    <mergeCell ref="X99:X101"/>
    <mergeCell ref="X108:X110"/>
    <mergeCell ref="Y108:Y110"/>
    <mergeCell ref="A111:A113"/>
    <mergeCell ref="R111:R113"/>
    <mergeCell ref="S111:S113"/>
    <mergeCell ref="T111:T113"/>
    <mergeCell ref="U111:U113"/>
    <mergeCell ref="V111:V113"/>
    <mergeCell ref="W111:W113"/>
    <mergeCell ref="X111:X113"/>
    <mergeCell ref="W105:W107"/>
    <mergeCell ref="X105:X107"/>
    <mergeCell ref="Y105:Y107"/>
    <mergeCell ref="A108:A110"/>
    <mergeCell ref="R108:R110"/>
    <mergeCell ref="S108:S110"/>
    <mergeCell ref="T108:T110"/>
    <mergeCell ref="U108:U110"/>
    <mergeCell ref="V108:V110"/>
    <mergeCell ref="W108:W110"/>
    <mergeCell ref="A105:A107"/>
    <mergeCell ref="R105:R107"/>
    <mergeCell ref="S105:S107"/>
    <mergeCell ref="T105:T107"/>
    <mergeCell ref="U105:U107"/>
    <mergeCell ref="V105:V107"/>
    <mergeCell ref="W117:W119"/>
    <mergeCell ref="X117:X119"/>
    <mergeCell ref="Y117:Y119"/>
    <mergeCell ref="A120:A122"/>
    <mergeCell ref="R120:R122"/>
    <mergeCell ref="S120:S122"/>
    <mergeCell ref="T120:T122"/>
    <mergeCell ref="U120:U122"/>
    <mergeCell ref="V120:V122"/>
    <mergeCell ref="W120:W122"/>
    <mergeCell ref="A117:A119"/>
    <mergeCell ref="R117:R119"/>
    <mergeCell ref="S117:S119"/>
    <mergeCell ref="T117:T119"/>
    <mergeCell ref="U117:U119"/>
    <mergeCell ref="V117:V119"/>
    <mergeCell ref="A114:A116"/>
    <mergeCell ref="R114:R116"/>
    <mergeCell ref="S114:S116"/>
    <mergeCell ref="T114:T116"/>
    <mergeCell ref="U114:U116"/>
    <mergeCell ref="V114:V116"/>
    <mergeCell ref="W114:W116"/>
    <mergeCell ref="X114:X116"/>
    <mergeCell ref="Y114:Y116"/>
    <mergeCell ref="A126:A128"/>
    <mergeCell ref="R126:R128"/>
    <mergeCell ref="S126:S128"/>
    <mergeCell ref="T126:T128"/>
    <mergeCell ref="U126:U128"/>
    <mergeCell ref="V126:V128"/>
    <mergeCell ref="W126:W128"/>
    <mergeCell ref="X126:X128"/>
    <mergeCell ref="Y126:Y128"/>
    <mergeCell ref="X120:X122"/>
    <mergeCell ref="A123:A125"/>
    <mergeCell ref="R123:R125"/>
    <mergeCell ref="S123:S125"/>
    <mergeCell ref="T123:T125"/>
    <mergeCell ref="U123:U125"/>
    <mergeCell ref="V123:V125"/>
    <mergeCell ref="W123:W125"/>
    <mergeCell ref="X123:X125"/>
    <mergeCell ref="X132:X134"/>
    <mergeCell ref="Y132:Y134"/>
    <mergeCell ref="A135:A137"/>
    <mergeCell ref="R135:R137"/>
    <mergeCell ref="S135:S137"/>
    <mergeCell ref="T135:T137"/>
    <mergeCell ref="U135:U137"/>
    <mergeCell ref="V135:V137"/>
    <mergeCell ref="W135:W137"/>
    <mergeCell ref="X135:X137"/>
    <mergeCell ref="W129:W131"/>
    <mergeCell ref="X129:X131"/>
    <mergeCell ref="Y129:Y131"/>
    <mergeCell ref="A132:A134"/>
    <mergeCell ref="R132:R134"/>
    <mergeCell ref="S132:S134"/>
    <mergeCell ref="T132:T134"/>
    <mergeCell ref="U132:U134"/>
    <mergeCell ref="V132:V134"/>
    <mergeCell ref="W132:W134"/>
    <mergeCell ref="A129:A131"/>
    <mergeCell ref="R129:R131"/>
    <mergeCell ref="S129:S131"/>
    <mergeCell ref="T129:T131"/>
    <mergeCell ref="U129:U131"/>
    <mergeCell ref="V129:V131"/>
    <mergeCell ref="W141:W143"/>
    <mergeCell ref="X141:X143"/>
    <mergeCell ref="Y141:Y143"/>
    <mergeCell ref="A144:A146"/>
    <mergeCell ref="R144:R146"/>
    <mergeCell ref="S144:S146"/>
    <mergeCell ref="T144:T146"/>
    <mergeCell ref="U144:U146"/>
    <mergeCell ref="V144:V146"/>
    <mergeCell ref="W144:W146"/>
    <mergeCell ref="A141:A143"/>
    <mergeCell ref="R141:R143"/>
    <mergeCell ref="S141:S143"/>
    <mergeCell ref="T141:T143"/>
    <mergeCell ref="U141:U143"/>
    <mergeCell ref="V141:V143"/>
    <mergeCell ref="A138:A140"/>
    <mergeCell ref="R138:R140"/>
    <mergeCell ref="S138:S140"/>
    <mergeCell ref="T138:T140"/>
    <mergeCell ref="U138:U140"/>
    <mergeCell ref="V138:V140"/>
    <mergeCell ref="W138:W140"/>
    <mergeCell ref="X138:X140"/>
    <mergeCell ref="Y138:Y140"/>
    <mergeCell ref="Y147:Y149"/>
    <mergeCell ref="A150:A152"/>
    <mergeCell ref="R150:R152"/>
    <mergeCell ref="S150:S152"/>
    <mergeCell ref="T150:T152"/>
    <mergeCell ref="U150:U152"/>
    <mergeCell ref="V150:V152"/>
    <mergeCell ref="W150:W152"/>
    <mergeCell ref="X150:X152"/>
    <mergeCell ref="Y150:Y152"/>
    <mergeCell ref="X144:X146"/>
    <mergeCell ref="Y144:Y146"/>
    <mergeCell ref="A147:A149"/>
    <mergeCell ref="R147:R149"/>
    <mergeCell ref="S147:S149"/>
    <mergeCell ref="T147:T149"/>
    <mergeCell ref="U147:U149"/>
    <mergeCell ref="V147:V149"/>
    <mergeCell ref="W147:W149"/>
    <mergeCell ref="X147:X149"/>
    <mergeCell ref="X156:X158"/>
    <mergeCell ref="Y156:Y158"/>
    <mergeCell ref="A159:A161"/>
    <mergeCell ref="R159:R161"/>
    <mergeCell ref="S159:S161"/>
    <mergeCell ref="T159:T161"/>
    <mergeCell ref="U159:U161"/>
    <mergeCell ref="V159:V161"/>
    <mergeCell ref="W159:W161"/>
    <mergeCell ref="X159:X161"/>
    <mergeCell ref="W153:W155"/>
    <mergeCell ref="X153:X155"/>
    <mergeCell ref="Y153:Y155"/>
    <mergeCell ref="A156:A158"/>
    <mergeCell ref="R156:R158"/>
    <mergeCell ref="S156:S158"/>
    <mergeCell ref="T156:T158"/>
    <mergeCell ref="U156:U158"/>
    <mergeCell ref="V156:V158"/>
    <mergeCell ref="W156:W158"/>
    <mergeCell ref="A153:A155"/>
    <mergeCell ref="R153:R155"/>
    <mergeCell ref="S153:S155"/>
    <mergeCell ref="T153:T155"/>
    <mergeCell ref="U153:U155"/>
    <mergeCell ref="V153:V155"/>
    <mergeCell ref="Y162:Y164"/>
    <mergeCell ref="A165:A167"/>
    <mergeCell ref="R165:R167"/>
    <mergeCell ref="S165:S167"/>
    <mergeCell ref="T165:T167"/>
    <mergeCell ref="U165:U167"/>
    <mergeCell ref="V165:V167"/>
    <mergeCell ref="W165:W167"/>
    <mergeCell ref="X165:X167"/>
    <mergeCell ref="Y159:Y161"/>
    <mergeCell ref="AA159:AA161"/>
    <mergeCell ref="A162:A164"/>
    <mergeCell ref="R162:R164"/>
    <mergeCell ref="S162:S164"/>
    <mergeCell ref="T162:T164"/>
    <mergeCell ref="U162:U164"/>
    <mergeCell ref="V162:V164"/>
    <mergeCell ref="W162:W164"/>
    <mergeCell ref="X162:X164"/>
    <mergeCell ref="X171:X173"/>
    <mergeCell ref="Y171:Y173"/>
    <mergeCell ref="A174:A176"/>
    <mergeCell ref="R174:R176"/>
    <mergeCell ref="S174:S176"/>
    <mergeCell ref="T174:T176"/>
    <mergeCell ref="U174:U176"/>
    <mergeCell ref="V174:V176"/>
    <mergeCell ref="W174:W176"/>
    <mergeCell ref="X174:X176"/>
    <mergeCell ref="W168:W170"/>
    <mergeCell ref="X168:X170"/>
    <mergeCell ref="A171:A173"/>
    <mergeCell ref="R171:R173"/>
    <mergeCell ref="S171:S173"/>
    <mergeCell ref="T171:T173"/>
    <mergeCell ref="U171:U173"/>
    <mergeCell ref="V171:V173"/>
    <mergeCell ref="W171:W173"/>
    <mergeCell ref="A168:A170"/>
    <mergeCell ref="R168:R170"/>
    <mergeCell ref="S168:S170"/>
    <mergeCell ref="T168:T170"/>
    <mergeCell ref="U168:U170"/>
    <mergeCell ref="V168:V170"/>
    <mergeCell ref="W180:W182"/>
    <mergeCell ref="X180:X182"/>
    <mergeCell ref="Y180:Y182"/>
    <mergeCell ref="A183:A185"/>
    <mergeCell ref="R183:R185"/>
    <mergeCell ref="S183:S185"/>
    <mergeCell ref="T183:T185"/>
    <mergeCell ref="U183:U185"/>
    <mergeCell ref="V183:V185"/>
    <mergeCell ref="W183:W185"/>
    <mergeCell ref="A180:A182"/>
    <mergeCell ref="R180:R182"/>
    <mergeCell ref="S180:S182"/>
    <mergeCell ref="T180:T182"/>
    <mergeCell ref="U180:U182"/>
    <mergeCell ref="V180:V182"/>
    <mergeCell ref="Y174:Y176"/>
    <mergeCell ref="A177:A179"/>
    <mergeCell ref="R177:R179"/>
    <mergeCell ref="S177:S179"/>
    <mergeCell ref="T177:T179"/>
    <mergeCell ref="U177:U179"/>
    <mergeCell ref="V177:V179"/>
    <mergeCell ref="W177:W179"/>
    <mergeCell ref="X177:X179"/>
    <mergeCell ref="Y177:Y179"/>
    <mergeCell ref="Y186:Y188"/>
    <mergeCell ref="A189:A191"/>
    <mergeCell ref="R189:R191"/>
    <mergeCell ref="S189:S191"/>
    <mergeCell ref="T189:T191"/>
    <mergeCell ref="U189:U191"/>
    <mergeCell ref="V189:V191"/>
    <mergeCell ref="W189:W191"/>
    <mergeCell ref="X189:X191"/>
    <mergeCell ref="Y189:Y191"/>
    <mergeCell ref="X183:X185"/>
    <mergeCell ref="Y183:Y185"/>
    <mergeCell ref="A186:A188"/>
    <mergeCell ref="R186:R188"/>
    <mergeCell ref="S186:S188"/>
    <mergeCell ref="T186:T188"/>
    <mergeCell ref="U186:U188"/>
    <mergeCell ref="V186:V188"/>
    <mergeCell ref="W186:W188"/>
    <mergeCell ref="X186:X188"/>
    <mergeCell ref="X195:X197"/>
    <mergeCell ref="Y195:Y197"/>
    <mergeCell ref="A198:A200"/>
    <mergeCell ref="R198:R200"/>
    <mergeCell ref="S198:S200"/>
    <mergeCell ref="T198:T200"/>
    <mergeCell ref="U198:U200"/>
    <mergeCell ref="V198:V200"/>
    <mergeCell ref="W198:W200"/>
    <mergeCell ref="X198:X200"/>
    <mergeCell ref="W192:W194"/>
    <mergeCell ref="X192:X194"/>
    <mergeCell ref="Y192:Y194"/>
    <mergeCell ref="A195:A197"/>
    <mergeCell ref="R195:R197"/>
    <mergeCell ref="S195:S197"/>
    <mergeCell ref="T195:T197"/>
    <mergeCell ref="U195:U197"/>
    <mergeCell ref="V195:V197"/>
    <mergeCell ref="W195:W197"/>
    <mergeCell ref="A192:A194"/>
    <mergeCell ref="R192:R194"/>
    <mergeCell ref="S192:S194"/>
    <mergeCell ref="T192:T194"/>
    <mergeCell ref="U192:U194"/>
    <mergeCell ref="V192:V194"/>
    <mergeCell ref="W204:W206"/>
    <mergeCell ref="X204:X206"/>
    <mergeCell ref="Y204:Y206"/>
    <mergeCell ref="A207:A209"/>
    <mergeCell ref="R207:R209"/>
    <mergeCell ref="S207:S209"/>
    <mergeCell ref="T207:T209"/>
    <mergeCell ref="U207:U209"/>
    <mergeCell ref="V207:V209"/>
    <mergeCell ref="W207:W209"/>
    <mergeCell ref="A204:A206"/>
    <mergeCell ref="R204:R206"/>
    <mergeCell ref="S204:S206"/>
    <mergeCell ref="T204:T206"/>
    <mergeCell ref="U204:U206"/>
    <mergeCell ref="V204:V206"/>
    <mergeCell ref="Y198:Y200"/>
    <mergeCell ref="A201:A203"/>
    <mergeCell ref="R201:R203"/>
    <mergeCell ref="S201:S203"/>
    <mergeCell ref="T201:T203"/>
    <mergeCell ref="U201:U203"/>
    <mergeCell ref="V201:V203"/>
    <mergeCell ref="W201:W203"/>
    <mergeCell ref="X201:X203"/>
    <mergeCell ref="Y201:Y203"/>
    <mergeCell ref="Y210:Y212"/>
    <mergeCell ref="A213:A215"/>
    <mergeCell ref="R213:R215"/>
    <mergeCell ref="S213:S215"/>
    <mergeCell ref="T213:T215"/>
    <mergeCell ref="U213:U215"/>
    <mergeCell ref="V213:V215"/>
    <mergeCell ref="W213:W215"/>
    <mergeCell ref="X213:X215"/>
    <mergeCell ref="Y213:Y215"/>
    <mergeCell ref="X207:X209"/>
    <mergeCell ref="A210:A212"/>
    <mergeCell ref="R210:R212"/>
    <mergeCell ref="S210:S212"/>
    <mergeCell ref="T210:T212"/>
    <mergeCell ref="U210:U212"/>
    <mergeCell ref="V210:V212"/>
    <mergeCell ref="W210:W212"/>
    <mergeCell ref="X210:X212"/>
    <mergeCell ref="X219:X221"/>
    <mergeCell ref="Y219:Y221"/>
    <mergeCell ref="A222:A224"/>
    <mergeCell ref="R222:R224"/>
    <mergeCell ref="S222:S224"/>
    <mergeCell ref="T222:T224"/>
    <mergeCell ref="U222:U224"/>
    <mergeCell ref="V222:V224"/>
    <mergeCell ref="W222:W224"/>
    <mergeCell ref="X222:X224"/>
    <mergeCell ref="W216:W218"/>
    <mergeCell ref="X216:X218"/>
    <mergeCell ref="Y216:Y218"/>
    <mergeCell ref="A219:A221"/>
    <mergeCell ref="R219:R221"/>
    <mergeCell ref="S219:S221"/>
    <mergeCell ref="T219:T221"/>
    <mergeCell ref="U219:U221"/>
    <mergeCell ref="V219:V221"/>
    <mergeCell ref="W219:W221"/>
    <mergeCell ref="A216:A218"/>
    <mergeCell ref="R216:R218"/>
    <mergeCell ref="S216:S218"/>
    <mergeCell ref="T216:T218"/>
    <mergeCell ref="U216:U218"/>
    <mergeCell ref="V216:V218"/>
    <mergeCell ref="W228:W230"/>
    <mergeCell ref="X228:X230"/>
    <mergeCell ref="Y228:Y230"/>
    <mergeCell ref="A231:A233"/>
    <mergeCell ref="R231:R233"/>
    <mergeCell ref="S231:S233"/>
    <mergeCell ref="T231:T233"/>
    <mergeCell ref="U231:U233"/>
    <mergeCell ref="V231:V233"/>
    <mergeCell ref="W231:W233"/>
    <mergeCell ref="A228:A230"/>
    <mergeCell ref="R228:R230"/>
    <mergeCell ref="S228:S230"/>
    <mergeCell ref="T228:T230"/>
    <mergeCell ref="U228:U230"/>
    <mergeCell ref="V228:V230"/>
    <mergeCell ref="Y222:Y224"/>
    <mergeCell ref="A225:A227"/>
    <mergeCell ref="R225:R227"/>
    <mergeCell ref="S225:S227"/>
    <mergeCell ref="T225:T227"/>
    <mergeCell ref="U225:U227"/>
    <mergeCell ref="V225:V227"/>
    <mergeCell ref="W225:W227"/>
    <mergeCell ref="X225:X227"/>
    <mergeCell ref="Y225:Y227"/>
    <mergeCell ref="Y234:Y236"/>
    <mergeCell ref="A237:A239"/>
    <mergeCell ref="R237:R239"/>
    <mergeCell ref="S237:S239"/>
    <mergeCell ref="T237:T239"/>
    <mergeCell ref="U237:U239"/>
    <mergeCell ref="V237:V239"/>
    <mergeCell ref="W237:W239"/>
    <mergeCell ref="X237:X239"/>
    <mergeCell ref="X231:X233"/>
    <mergeCell ref="A234:A236"/>
    <mergeCell ref="R234:R236"/>
    <mergeCell ref="S234:S236"/>
    <mergeCell ref="T234:T236"/>
    <mergeCell ref="U234:U236"/>
    <mergeCell ref="V234:V236"/>
    <mergeCell ref="W234:W236"/>
    <mergeCell ref="X234:X236"/>
    <mergeCell ref="X243:X245"/>
    <mergeCell ref="A246:A248"/>
    <mergeCell ref="R246:R248"/>
    <mergeCell ref="S246:S248"/>
    <mergeCell ref="T246:T248"/>
    <mergeCell ref="U246:U248"/>
    <mergeCell ref="V246:V248"/>
    <mergeCell ref="W246:W248"/>
    <mergeCell ref="X246:X248"/>
    <mergeCell ref="W240:W242"/>
    <mergeCell ref="X240:X242"/>
    <mergeCell ref="A243:A245"/>
    <mergeCell ref="R243:R245"/>
    <mergeCell ref="S243:S245"/>
    <mergeCell ref="T243:T245"/>
    <mergeCell ref="U243:U245"/>
    <mergeCell ref="V243:V245"/>
    <mergeCell ref="W243:W245"/>
    <mergeCell ref="A240:A242"/>
    <mergeCell ref="R240:R242"/>
    <mergeCell ref="S240:S242"/>
    <mergeCell ref="T240:T242"/>
    <mergeCell ref="U240:U242"/>
    <mergeCell ref="V240:V242"/>
    <mergeCell ref="W252:W254"/>
    <mergeCell ref="X252:X254"/>
    <mergeCell ref="Y252:Y254"/>
    <mergeCell ref="A255:A257"/>
    <mergeCell ref="R255:R257"/>
    <mergeCell ref="S255:S257"/>
    <mergeCell ref="T255:T257"/>
    <mergeCell ref="U255:U257"/>
    <mergeCell ref="V255:V257"/>
    <mergeCell ref="W255:W257"/>
    <mergeCell ref="A252:A254"/>
    <mergeCell ref="R252:R254"/>
    <mergeCell ref="S252:S254"/>
    <mergeCell ref="T252:T254"/>
    <mergeCell ref="U252:U254"/>
    <mergeCell ref="V252:V254"/>
    <mergeCell ref="A249:A251"/>
    <mergeCell ref="R249:R251"/>
    <mergeCell ref="S249:S251"/>
    <mergeCell ref="T249:T251"/>
    <mergeCell ref="U249:U251"/>
    <mergeCell ref="V249:V251"/>
    <mergeCell ref="W249:W251"/>
    <mergeCell ref="X249:X251"/>
    <mergeCell ref="Y258:Y260"/>
    <mergeCell ref="A261:A263"/>
    <mergeCell ref="R261:R263"/>
    <mergeCell ref="S261:S263"/>
    <mergeCell ref="T261:T263"/>
    <mergeCell ref="U261:U263"/>
    <mergeCell ref="V261:V263"/>
    <mergeCell ref="W261:W263"/>
    <mergeCell ref="X261:X263"/>
    <mergeCell ref="Y261:Y263"/>
    <mergeCell ref="X255:X257"/>
    <mergeCell ref="A258:A260"/>
    <mergeCell ref="R258:R260"/>
    <mergeCell ref="S258:S260"/>
    <mergeCell ref="T258:T260"/>
    <mergeCell ref="U258:U260"/>
    <mergeCell ref="V258:V260"/>
    <mergeCell ref="W258:W260"/>
    <mergeCell ref="X258:X260"/>
    <mergeCell ref="X267:X269"/>
    <mergeCell ref="Y267:Y269"/>
    <mergeCell ref="A270:A272"/>
    <mergeCell ref="R270:R272"/>
    <mergeCell ref="S270:S272"/>
    <mergeCell ref="T270:T272"/>
    <mergeCell ref="U270:U272"/>
    <mergeCell ref="V270:V272"/>
    <mergeCell ref="W270:W272"/>
    <mergeCell ref="X270:X272"/>
    <mergeCell ref="W264:W266"/>
    <mergeCell ref="X264:X266"/>
    <mergeCell ref="A267:A269"/>
    <mergeCell ref="R267:R269"/>
    <mergeCell ref="S267:S269"/>
    <mergeCell ref="T267:T269"/>
    <mergeCell ref="U267:U269"/>
    <mergeCell ref="V267:V269"/>
    <mergeCell ref="W267:W269"/>
    <mergeCell ref="A264:A266"/>
    <mergeCell ref="R264:R266"/>
    <mergeCell ref="S264:S266"/>
    <mergeCell ref="T264:T266"/>
    <mergeCell ref="U264:U266"/>
    <mergeCell ref="V264:V266"/>
    <mergeCell ref="W276:W278"/>
    <mergeCell ref="X276:X278"/>
    <mergeCell ref="Y276:Y278"/>
    <mergeCell ref="A279:A281"/>
    <mergeCell ref="R279:R281"/>
    <mergeCell ref="S279:S281"/>
    <mergeCell ref="T279:T281"/>
    <mergeCell ref="U279:U281"/>
    <mergeCell ref="V279:V281"/>
    <mergeCell ref="W279:W281"/>
    <mergeCell ref="A276:A278"/>
    <mergeCell ref="R276:R278"/>
    <mergeCell ref="S276:S278"/>
    <mergeCell ref="T276:T278"/>
    <mergeCell ref="U276:U278"/>
    <mergeCell ref="V276:V278"/>
    <mergeCell ref="A273:A275"/>
    <mergeCell ref="R273:R275"/>
    <mergeCell ref="S273:S275"/>
    <mergeCell ref="T273:T275"/>
    <mergeCell ref="U273:U275"/>
    <mergeCell ref="V273:V275"/>
    <mergeCell ref="W273:W275"/>
    <mergeCell ref="X273:X275"/>
    <mergeCell ref="Y282:Y284"/>
    <mergeCell ref="A285:A287"/>
    <mergeCell ref="R285:R287"/>
    <mergeCell ref="S285:S287"/>
    <mergeCell ref="T285:T287"/>
    <mergeCell ref="U285:U287"/>
    <mergeCell ref="V285:V287"/>
    <mergeCell ref="W285:W287"/>
    <mergeCell ref="X285:X287"/>
    <mergeCell ref="Y285:Y287"/>
    <mergeCell ref="X279:X281"/>
    <mergeCell ref="Y279:Y281"/>
    <mergeCell ref="A282:A284"/>
    <mergeCell ref="R282:R284"/>
    <mergeCell ref="S282:S284"/>
    <mergeCell ref="T282:T284"/>
    <mergeCell ref="U282:U284"/>
    <mergeCell ref="V282:V284"/>
    <mergeCell ref="W282:W284"/>
    <mergeCell ref="X282:X284"/>
    <mergeCell ref="X291:X293"/>
    <mergeCell ref="Y291:Y293"/>
    <mergeCell ref="A294:A296"/>
    <mergeCell ref="R294:R296"/>
    <mergeCell ref="S294:S296"/>
    <mergeCell ref="T294:T296"/>
    <mergeCell ref="U294:U296"/>
    <mergeCell ref="V294:V296"/>
    <mergeCell ref="W294:W296"/>
    <mergeCell ref="X294:X296"/>
    <mergeCell ref="W288:W290"/>
    <mergeCell ref="X288:X290"/>
    <mergeCell ref="Y288:Y290"/>
    <mergeCell ref="A291:A293"/>
    <mergeCell ref="R291:R293"/>
    <mergeCell ref="S291:S293"/>
    <mergeCell ref="T291:T293"/>
    <mergeCell ref="U291:U293"/>
    <mergeCell ref="V291:V293"/>
    <mergeCell ref="W291:W293"/>
    <mergeCell ref="A288:A290"/>
    <mergeCell ref="R288:R290"/>
    <mergeCell ref="S288:S290"/>
    <mergeCell ref="T288:T290"/>
    <mergeCell ref="U288:U290"/>
    <mergeCell ref="V288:V290"/>
    <mergeCell ref="W300:W302"/>
    <mergeCell ref="X300:X302"/>
    <mergeCell ref="Y300:Y302"/>
    <mergeCell ref="A303:A305"/>
    <mergeCell ref="R303:R305"/>
    <mergeCell ref="S303:S305"/>
    <mergeCell ref="T303:T305"/>
    <mergeCell ref="U303:U305"/>
    <mergeCell ref="V303:V305"/>
    <mergeCell ref="W303:W305"/>
    <mergeCell ref="A300:A302"/>
    <mergeCell ref="R300:R302"/>
    <mergeCell ref="S300:S302"/>
    <mergeCell ref="T300:T302"/>
    <mergeCell ref="U300:U302"/>
    <mergeCell ref="V300:V302"/>
    <mergeCell ref="A297:A299"/>
    <mergeCell ref="R297:R299"/>
    <mergeCell ref="S297:S299"/>
    <mergeCell ref="T297:T299"/>
    <mergeCell ref="U297:U299"/>
    <mergeCell ref="V297:V299"/>
    <mergeCell ref="W297:W299"/>
    <mergeCell ref="X297:X299"/>
    <mergeCell ref="Y297:Y299"/>
    <mergeCell ref="Y306:Y308"/>
    <mergeCell ref="A309:A311"/>
    <mergeCell ref="R309:R311"/>
    <mergeCell ref="S309:S311"/>
    <mergeCell ref="T309:T311"/>
    <mergeCell ref="U309:U311"/>
    <mergeCell ref="V309:V311"/>
    <mergeCell ref="W309:W311"/>
    <mergeCell ref="X309:X311"/>
    <mergeCell ref="X303:X305"/>
    <mergeCell ref="Y303:Y305"/>
    <mergeCell ref="A306:A308"/>
    <mergeCell ref="R306:R308"/>
    <mergeCell ref="S306:S308"/>
    <mergeCell ref="T306:T308"/>
    <mergeCell ref="U306:U308"/>
    <mergeCell ref="V306:V308"/>
    <mergeCell ref="W306:W308"/>
    <mergeCell ref="X306:X308"/>
    <mergeCell ref="X315:X317"/>
    <mergeCell ref="Y315:Y317"/>
    <mergeCell ref="A318:A320"/>
    <mergeCell ref="R318:R320"/>
    <mergeCell ref="S318:S320"/>
    <mergeCell ref="T318:T320"/>
    <mergeCell ref="U318:U320"/>
    <mergeCell ref="V318:V320"/>
    <mergeCell ref="W318:W320"/>
    <mergeCell ref="X318:X320"/>
    <mergeCell ref="W312:W314"/>
    <mergeCell ref="X312:X314"/>
    <mergeCell ref="A315:A317"/>
    <mergeCell ref="R315:R317"/>
    <mergeCell ref="S315:S317"/>
    <mergeCell ref="T315:T317"/>
    <mergeCell ref="U315:U317"/>
    <mergeCell ref="V315:V317"/>
    <mergeCell ref="W315:W317"/>
    <mergeCell ref="A312:A314"/>
    <mergeCell ref="R312:R314"/>
    <mergeCell ref="S312:S314"/>
    <mergeCell ref="T312:T314"/>
    <mergeCell ref="U312:U314"/>
    <mergeCell ref="V312:V314"/>
    <mergeCell ref="W324:W326"/>
    <mergeCell ref="X324:X326"/>
    <mergeCell ref="A327:A329"/>
    <mergeCell ref="R327:R329"/>
    <mergeCell ref="S327:S329"/>
    <mergeCell ref="T327:T329"/>
    <mergeCell ref="U327:U329"/>
    <mergeCell ref="V327:V329"/>
    <mergeCell ref="W327:W329"/>
    <mergeCell ref="A324:A326"/>
    <mergeCell ref="R324:R326"/>
    <mergeCell ref="S324:S326"/>
    <mergeCell ref="T324:T326"/>
    <mergeCell ref="U324:U326"/>
    <mergeCell ref="V324:V326"/>
    <mergeCell ref="A321:A323"/>
    <mergeCell ref="R321:R323"/>
    <mergeCell ref="S321:S323"/>
    <mergeCell ref="T321:T323"/>
    <mergeCell ref="U321:U323"/>
    <mergeCell ref="V321:V323"/>
    <mergeCell ref="W321:W323"/>
    <mergeCell ref="X321:X323"/>
    <mergeCell ref="A333:A335"/>
    <mergeCell ref="R333:R335"/>
    <mergeCell ref="S333:S335"/>
    <mergeCell ref="T333:T335"/>
    <mergeCell ref="U333:U335"/>
    <mergeCell ref="V333:V335"/>
    <mergeCell ref="W333:W335"/>
    <mergeCell ref="X333:X335"/>
    <mergeCell ref="Y333:Y335"/>
    <mergeCell ref="X327:X329"/>
    <mergeCell ref="Y327:Y329"/>
    <mergeCell ref="A330:A332"/>
    <mergeCell ref="R330:R332"/>
    <mergeCell ref="S330:S332"/>
    <mergeCell ref="T330:T332"/>
    <mergeCell ref="U330:U332"/>
    <mergeCell ref="V330:V332"/>
    <mergeCell ref="W330:W332"/>
    <mergeCell ref="X330:X332"/>
    <mergeCell ref="X339:X341"/>
    <mergeCell ref="A342:A344"/>
    <mergeCell ref="R342:R344"/>
    <mergeCell ref="S342:S344"/>
    <mergeCell ref="T342:T344"/>
    <mergeCell ref="U342:U344"/>
    <mergeCell ref="V342:V344"/>
    <mergeCell ref="W342:W344"/>
    <mergeCell ref="X342:X344"/>
    <mergeCell ref="W336:W338"/>
    <mergeCell ref="X336:X338"/>
    <mergeCell ref="Y336:Y338"/>
    <mergeCell ref="A339:A341"/>
    <mergeCell ref="R339:R341"/>
    <mergeCell ref="S339:S341"/>
    <mergeCell ref="T339:T341"/>
    <mergeCell ref="U339:U341"/>
    <mergeCell ref="V339:V341"/>
    <mergeCell ref="W339:W341"/>
    <mergeCell ref="A336:A338"/>
    <mergeCell ref="R336:R338"/>
    <mergeCell ref="S336:S338"/>
    <mergeCell ref="T336:T338"/>
    <mergeCell ref="U336:U338"/>
    <mergeCell ref="V336:V338"/>
    <mergeCell ref="W348:W350"/>
    <mergeCell ref="X348:X350"/>
    <mergeCell ref="A351:A353"/>
    <mergeCell ref="R351:R353"/>
    <mergeCell ref="S351:S353"/>
    <mergeCell ref="T351:T353"/>
    <mergeCell ref="U351:U353"/>
    <mergeCell ref="V351:V353"/>
    <mergeCell ref="W351:W353"/>
    <mergeCell ref="A348:A350"/>
    <mergeCell ref="R348:R350"/>
    <mergeCell ref="S348:S350"/>
    <mergeCell ref="T348:T350"/>
    <mergeCell ref="U348:U350"/>
    <mergeCell ref="V348:V350"/>
    <mergeCell ref="Y342:Y344"/>
    <mergeCell ref="A345:A347"/>
    <mergeCell ref="R345:R347"/>
    <mergeCell ref="S345:S347"/>
    <mergeCell ref="T345:T347"/>
    <mergeCell ref="U345:U347"/>
    <mergeCell ref="V345:V347"/>
    <mergeCell ref="W345:W347"/>
    <mergeCell ref="X345:X347"/>
    <mergeCell ref="Y354:Y356"/>
    <mergeCell ref="A357:A359"/>
    <mergeCell ref="R357:R359"/>
    <mergeCell ref="S357:S359"/>
    <mergeCell ref="T357:T359"/>
    <mergeCell ref="U357:U359"/>
    <mergeCell ref="V357:V359"/>
    <mergeCell ref="W357:W359"/>
    <mergeCell ref="X357:X359"/>
    <mergeCell ref="X351:X353"/>
    <mergeCell ref="Y351:Y353"/>
    <mergeCell ref="A354:A356"/>
    <mergeCell ref="R354:R356"/>
    <mergeCell ref="S354:S356"/>
    <mergeCell ref="T354:T356"/>
    <mergeCell ref="U354:U356"/>
    <mergeCell ref="V354:V356"/>
    <mergeCell ref="W354:W356"/>
    <mergeCell ref="X354:X356"/>
    <mergeCell ref="X363:X365"/>
    <mergeCell ref="Y363:Y365"/>
    <mergeCell ref="A366:A368"/>
    <mergeCell ref="R366:R368"/>
    <mergeCell ref="S366:S368"/>
    <mergeCell ref="T366:T368"/>
    <mergeCell ref="U366:U368"/>
    <mergeCell ref="V366:V368"/>
    <mergeCell ref="W366:W368"/>
    <mergeCell ref="X366:X368"/>
    <mergeCell ref="W360:W362"/>
    <mergeCell ref="X360:X362"/>
    <mergeCell ref="Y360:Y362"/>
    <mergeCell ref="A363:A365"/>
    <mergeCell ref="R363:R365"/>
    <mergeCell ref="S363:S365"/>
    <mergeCell ref="T363:T365"/>
    <mergeCell ref="U363:U365"/>
    <mergeCell ref="V363:V365"/>
    <mergeCell ref="W363:W365"/>
    <mergeCell ref="A360:A362"/>
    <mergeCell ref="R360:R362"/>
    <mergeCell ref="S360:S362"/>
    <mergeCell ref="T360:T362"/>
    <mergeCell ref="U360:U362"/>
    <mergeCell ref="V360:V362"/>
    <mergeCell ref="W372:W374"/>
    <mergeCell ref="X372:X374"/>
    <mergeCell ref="Y372:Y374"/>
    <mergeCell ref="A375:A377"/>
    <mergeCell ref="R375:R377"/>
    <mergeCell ref="S375:S377"/>
    <mergeCell ref="T375:T377"/>
    <mergeCell ref="U375:U377"/>
    <mergeCell ref="V375:V377"/>
    <mergeCell ref="W375:W377"/>
    <mergeCell ref="A372:A374"/>
    <mergeCell ref="R372:R374"/>
    <mergeCell ref="S372:S374"/>
    <mergeCell ref="T372:T374"/>
    <mergeCell ref="U372:U374"/>
    <mergeCell ref="V372:V374"/>
    <mergeCell ref="A369:A371"/>
    <mergeCell ref="R369:R371"/>
    <mergeCell ref="S369:S371"/>
    <mergeCell ref="T369:T371"/>
    <mergeCell ref="U369:U371"/>
    <mergeCell ref="V369:V371"/>
    <mergeCell ref="W369:W371"/>
    <mergeCell ref="X369:X371"/>
    <mergeCell ref="Y378:Y380"/>
    <mergeCell ref="A381:A383"/>
    <mergeCell ref="R381:R383"/>
    <mergeCell ref="S381:S383"/>
    <mergeCell ref="T381:T383"/>
    <mergeCell ref="U381:U383"/>
    <mergeCell ref="V381:V383"/>
    <mergeCell ref="W381:W383"/>
    <mergeCell ref="X381:X383"/>
    <mergeCell ref="Y381:Y383"/>
    <mergeCell ref="X375:X377"/>
    <mergeCell ref="Y375:Y377"/>
    <mergeCell ref="A378:A380"/>
    <mergeCell ref="R378:R380"/>
    <mergeCell ref="S378:S380"/>
    <mergeCell ref="T378:T380"/>
    <mergeCell ref="U378:U380"/>
    <mergeCell ref="V378:V380"/>
    <mergeCell ref="W378:W380"/>
    <mergeCell ref="X378:X380"/>
    <mergeCell ref="X387:X389"/>
    <mergeCell ref="Y387:Y389"/>
    <mergeCell ref="A390:A392"/>
    <mergeCell ref="R390:R392"/>
    <mergeCell ref="S390:S392"/>
    <mergeCell ref="T390:T392"/>
    <mergeCell ref="U390:U392"/>
    <mergeCell ref="V390:V392"/>
    <mergeCell ref="W390:W392"/>
    <mergeCell ref="X390:X392"/>
    <mergeCell ref="W384:W386"/>
    <mergeCell ref="X384:X386"/>
    <mergeCell ref="Y384:Y386"/>
    <mergeCell ref="A387:A389"/>
    <mergeCell ref="R387:R389"/>
    <mergeCell ref="S387:S389"/>
    <mergeCell ref="T387:T389"/>
    <mergeCell ref="U387:U389"/>
    <mergeCell ref="V387:V389"/>
    <mergeCell ref="W387:W389"/>
    <mergeCell ref="A384:A386"/>
    <mergeCell ref="R384:R386"/>
    <mergeCell ref="S384:S386"/>
    <mergeCell ref="T384:T386"/>
    <mergeCell ref="U384:U386"/>
    <mergeCell ref="V384:V386"/>
    <mergeCell ref="W396:W398"/>
    <mergeCell ref="X396:X398"/>
    <mergeCell ref="A399:A401"/>
    <mergeCell ref="R399:R401"/>
    <mergeCell ref="S399:S401"/>
    <mergeCell ref="T399:T401"/>
    <mergeCell ref="U399:U401"/>
    <mergeCell ref="V399:V401"/>
    <mergeCell ref="W399:W401"/>
    <mergeCell ref="A396:A398"/>
    <mergeCell ref="R396:R398"/>
    <mergeCell ref="S396:S398"/>
    <mergeCell ref="T396:T398"/>
    <mergeCell ref="U396:U398"/>
    <mergeCell ref="V396:V398"/>
    <mergeCell ref="A393:A395"/>
    <mergeCell ref="R393:R395"/>
    <mergeCell ref="S393:S395"/>
    <mergeCell ref="T393:T395"/>
    <mergeCell ref="U393:U395"/>
    <mergeCell ref="V393:V395"/>
    <mergeCell ref="W393:W395"/>
    <mergeCell ref="X393:X395"/>
    <mergeCell ref="W408:W410"/>
    <mergeCell ref="X408:X410"/>
    <mergeCell ref="A408:A410"/>
    <mergeCell ref="R408:R410"/>
    <mergeCell ref="S408:S410"/>
    <mergeCell ref="T408:T410"/>
    <mergeCell ref="U408:U410"/>
    <mergeCell ref="V408:V410"/>
    <mergeCell ref="A405:A407"/>
    <mergeCell ref="R405:R407"/>
    <mergeCell ref="S405:S407"/>
    <mergeCell ref="T405:T407"/>
    <mergeCell ref="U405:U407"/>
    <mergeCell ref="V405:V407"/>
    <mergeCell ref="W405:W407"/>
    <mergeCell ref="X405:X407"/>
    <mergeCell ref="X399:X401"/>
    <mergeCell ref="A402:A404"/>
    <mergeCell ref="R402:R404"/>
    <mergeCell ref="S402:S404"/>
    <mergeCell ref="T402:T404"/>
    <mergeCell ref="U402:U404"/>
    <mergeCell ref="V402:V404"/>
    <mergeCell ref="W402:W404"/>
    <mergeCell ref="X402:X404"/>
  </mergeCells>
  <conditionalFormatting sqref="J35:J84 O195:P196 J195:M196 K216:M217 O216:P217 K219:M220 O219:P220 K285:M286 O285:P286 J86:J194 J197:J398 J6:J33">
    <cfRule type="cellIs" dxfId="161" priority="161" stopIfTrue="1" operator="equal">
      <formula>"Pass"</formula>
    </cfRule>
    <cfRule type="cellIs" dxfId="160" priority="162" stopIfTrue="1" operator="equal">
      <formula>"Fail"</formula>
    </cfRule>
  </conditionalFormatting>
  <conditionalFormatting sqref="W6:W398">
    <cfRule type="cellIs" dxfId="159" priority="159" stopIfTrue="1" operator="equal">
      <formula>"Fail"</formula>
    </cfRule>
    <cfRule type="cellIs" dxfId="158" priority="160" stopIfTrue="1" operator="equal">
      <formula>"Pass"</formula>
    </cfRule>
  </conditionalFormatting>
  <conditionalFormatting sqref="Q6:Q7 Q9:Q10 Q12:Q13 Q15:Q16 Q18:Q19 Q21:Q22 Q24:Q25 Q27:Q28 Q30:Q31 Q33:Q34 Q36:Q37 Q39:Q40 Q42:Q43 N45 Q48:Q49 Q51:Q52 Q54:Q55 Q57:Q58 Q60:Q61 Q63:Q64 Q66:Q67 Q69:Q70 Q72:Q73 Q75:Q76 Q78:Q79 Q81:Q82 Q84:Q85 Q87:Q88 Q90:Q91 Q93:Q94 Q96:Q97 Q99:Q100 Q117:Q118 Q123:Q124 Q126:Q127 Q129:Q130 Q132:Q133 Q135:Q136 Q138:Q139 Q141:Q142 Q147:Q148 Q150:Q151 Q153:Q154 Q168:Q169 Q171:Q172 Q177:Q178 Q180:Q181 Q183:Q184 Q186:Q187 Q189:Q190 Q198:Q199 Q210:Q211 Q228:Q229 Q231:Q232 Q234:Q235 Q237:Q238 Q243:Q244 Q246:Q247 Q249:Q250 Q252:Q253 Q255:Q256 Q258:Q259 Q264:Q265 Q267:Q268 Q270:Q271 Q273:Q274 Q279:Q280 Q288:Q289 Q291:Q292 Q297:Q298 Q303:Q304 Q306:Q307 Q309:Q310 Q312:Q313 Q315:Q316 Q321:Q322 Q324:Q325 Q327:Q328 Q333:Q334 Q336:Q337 Q339:Q340 Q342:Q343 Q345:Q346 Q348:Q349 Q351:Q352 Q354:Q355 Q357:Q358 Q363:Q364 Q366:Q367 Q369:Q370 Q372:Q373 Q378:Q379 Q381:Q382 Q384:Q385 Q387:Q388 Q390:Q391 Q393:Q394 Q396:Q397 N6:N7 N9:N10 N12:N13 N15:N16 N18:N19 N21:N22 N24:N25 N27:N28 N30:N31 N33:N34 N36:N37 N39:N40 N42:N43 N48:N49 N51:N52 N54:N55 N57:N58 N60:N61 N63:N64 N66:N67 N69:N70 N72:N73 N75:N76 N78:N79 N81:N82 Q45 N87:N88 N90:N91 N93:N94 N96:N97 N99:N100 N117:N118 N123:N124 N126:N127 N129:N130 N132:N133 N135:N136 N138:N139 N141:N142 N147:N148 N150:N151 N153:N154 N168:N169 N171:N172 N177:N178 N180:N181 N183:N184 N186:N187 N189:N190 N198:N199 N210:N211 N228:N229 N231:N232 N234:N235 N237:N238 N243:N244 N246:N247 N249:N250 N252:N253 N255:N256 N258:N259 N264:N265 N267:N268 N270:N271 N273:N274 N279:N280 N288:N289 N291:N292 N297:N298 N303:N304 N306:N307 N309:N310 N312:N313 N315:N316 N321:N322 N324:N325 N327:N328 N333:N334 N336:N337 N339:N340 N342:N343 N345:N346 N348:N349 N351:N352 N354:N355 N357:N358 N363:N364 N366:N367 N369:N370 N372:N373 N378:N379 N381:N382 N384:N385 N387:N388 N390:N391 N393:N394 N396:N397 N84 Q102:Q115 N102:N115 Q120:Q121 N120:N121 Q144:Q145 N144:N145 Q156:Q157 N156:N157 T159:T160 Q159:Q160 N159:N160 T162:T163 Q162:Q163 N162:N163 T165:T166 Q165:Q166 N165:N166 Q174:Q175 N174:N175 Q192:Q193 N192:N193 Q195:Q196 N195:N196 Q201:Q202 N201:N202 Q204:Q205 N204:N205 Q207:Q208 N207:N208 Q213:Q214 N213:N214 Q216:Q217 N216:N217 Q219:Q220 N219:N220 Q222:Q223 N222:N223 Q225:Q226 N225:N226 Q240:Q241 N240:N241 Q261:Q262 N261:N262 Q276:Q277 N276:N277 Q282:Q283 N282:N283 Q285:Q286 N285:N286 Q294:Q295 N294:N295 Q300:Q301 N300:N301 Q318:Q319 N318:N319 Q330:Q331 N330:N331 Q360:Q361 N360:N361 Q375:Q376 N375:N376">
    <cfRule type="cellIs" dxfId="157" priority="157" stopIfTrue="1" operator="equal">
      <formula>"Pass"</formula>
    </cfRule>
    <cfRule type="cellIs" dxfId="156" priority="158" stopIfTrue="1" operator="equal">
      <formula>"Fail"</formula>
    </cfRule>
  </conditionalFormatting>
  <conditionalFormatting sqref="W6 W9 W12 W15 W18 W21 W24 W27 W30 W33 W36 W39 W42 W45 W48 W51 W54 W57 W60 W63 W66 W69 W72 W75 W78 W81 W84 W87 W90 W93 W96 W99 W102 W105 W108 W111 W114 W120 W123 W126 W129 W132 W135 W138 W141 W144 W147 W150 W153 W156 W171 W177 W180 W183 W186 W189 W198 W201 W207 W210 W213 W228 W231 W234 W237 W243 W246 W249 W252 W255 W258 W264 W267 W270 W273 W279 W288 W291 W297 W303 W306 W309 W312 W315 W318 W321 W324 W327 W333 W336 W339 W342 W345 W348 W351 W354 W357 W363 W366 W369 W372 W378 W381 W384 W387 W390 W393 W396 W117 W159 W162 W168 W165 W174 W192 W195 W204 W216 W219 W222 W225 W240 W261 W276 W282 W285 W294 W300 W330 W360 W375">
    <cfRule type="cellIs" dxfId="155" priority="155" stopIfTrue="1" operator="equal">
      <formula>"Fail"</formula>
    </cfRule>
    <cfRule type="cellIs" dxfId="154" priority="156" stopIfTrue="1" operator="equal">
      <formula>"Pass"</formula>
    </cfRule>
  </conditionalFormatting>
  <conditionalFormatting sqref="Q6 Q9 Q12 Q15 Q18 Q21 Q24 Q27 Q30 Q33 Q36 Q39 Q42 Q45 Q48 Q51 Q54 Q57 Q60 Q63 Q66 Q69 Q72 Q75 Q78 Q81 Q84 Q87 Q90 Q93 Q96 Q99 Q102 Q105 Q108 Q111 Q117 Q120 Q123 Q126 Q129 Q132 Q135 Q138 Q141 Q144 Q147 Q150 Q153 Q168 Q171 Q177 Q180 Q183 Q186 Q189 Q198 Q201 Q210 Q228 Q231 Q234 Q237 Q243 Q246 Q249 Q252 Q255 Q258 Q264 Q267 Q270 Q273 Q279 Q288 Q291 Q297 Q303 Q306 Q309 Q312 Q315 Q318 Q321 Q324 Q327 Q333 Q336 Q339 Q342 Q345 Q348 Q351 Q354 Q357 Q363 Q366 Q369 Q372 Q378 Q381 Q384 Q387 Q390 Q393 Q396 N6 N9 N12 N15 N18 N21 N24 N27 N30 N33 N36 N39 N42 N45 N48 N51 N54 N57 N60 N63 N66 N69 N72 N75 N78 N81 N84 N87 N90 N93 N96 N99 N102 N105 N108 N111 N117 N120 N123 N126 N129 N132 N135 N138 N141 N144 N147 N150 N153 N168 N171 N177 N180 N183 N186 N189 N198 N201 N210 N228 N231 N234 N237 N243 N246 N249 N252 N255 N258 N264 N267 N270 N273 N279 N288 N291 N297 N303 N306 N309 N312 N315 N318 N321 N324 N327 N333 N336 N339 N342 N345 N348 N351 N354 N357 N363 N366 N369 N372 N378 N381 N384 N387 N390 N393 N396 J6 J9 J12 J15 J18 J21 J24 J27 J30 J33 J36 J39 J42 J45 J48 J51 J54 J57 J60 J63 J66 J69 J72 J75 J78 J81 J84 J87 J90 J93 J96 J99 J102 J105 J108 J111 J117 J120 J123 J126 J129 J132 J135 J138 J141 J144 J147 J150 J153 J168 J171 J177 J180 J183 J186 J189 J198 J201 J210 J228 J231 J234 J237 J243 J246 J249 J252 J255 J258 J264 J267 J270 J273 J279 J288 J291 J297 J303 J306 J309 J312 J315 J318 J321 J324 J327 J333 J336 J339 J342 J345 J348 J351 J354 J357 J363 J366 J369 J372 J378 J381 J384 J387 J390 J393 J396 Q114 N114 J114 Q156 N156 J156 T159 Q159 M159:N159 J159 T162 Q162 M162:N162 J162 T165 Q165 M165:N165 J165 Q174 N174 J174 Q192 N192 J192 K195:M196 O195:P196 J195 N195 Q195 Q204 N204 J204 Q213 N213 J213 Q207 N207 J207 J216:Q216 K217:M217 O217:P217 J219:Q219 K220:M220 O220:P220 Q222 N222 J222 Q225 N225 J225 Q240 N240 J240 Q261 N261 J261 Q276 N276 J276 Q282 N282 J282 J285:Q285 K286:M286 O286:P286 Q294 N294 J294 Q300 N300 J300 Q330 N330 J330 Q360 N360 J360 Q375 N375 J375">
    <cfRule type="cellIs" dxfId="153" priority="153" stopIfTrue="1" operator="equal">
      <formula>"Pass"</formula>
    </cfRule>
    <cfRule type="cellIs" dxfId="152" priority="154" stopIfTrue="1" operator="equal">
      <formula>"Fail"</formula>
    </cfRule>
  </conditionalFormatting>
  <conditionalFormatting sqref="Q7 Q10 Q13 Q16 Q19 Q22 Q25 Q28 Q31 Q34 Q37 Q40 Q43 Q49 Q52 Q55 Q58 Q61 Q64 Q67 Q70 Q73 Q76 Q79 Q82 Q85 Q88 Q91 Q94 Q97 Q100 Q118 Q121 Q124 Q127 Q130 Q133 Q136 Q139 Q142 Q145 Q148 Q151 Q154 Q169 Q172 Q178 Q181 Q184 Q187 Q190 Q199 Q202 Q211 Q229 Q232 Q235 Q238 Q244 Q247 Q250 Q253 Q256 Q259 Q265 Q268 Q271 Q274 Q280 Q289 Q292 Q298 Q304 Q307 Q310 Q313 Q316 Q319 Q322 Q325 Q328 Q334 Q337 Q340 Q343 Q346 Q349 Q352 Q355 Q358 Q364 Q367 Q370 Q373 Q379 Q382 Q385 Q388 Q391 Q394 Q397 N7 N10 N13 N16 N19 N22 N25 N28 N31 N34 N37 N40 N43 N49 N52 N55 N58 N61 N64 N67 N70 N73 N76 N79 N82 N88 N91 N94 N97 N100 N118 N121 N124 N127 N130 N133 N136 N139 N142 N145 N148 N151 N154 N169 N172 N178 N181 N184 N187 N190 N199 N202 N211 N229 N232 N235 N238 N244 N247 N250 N253 N256 N259 N265 N268 N271 N274 N280 N289 N292 N298 N304 N307 N310 N313 N316 N319 N322 N325 N328 N334 N337 N340 N343 N346 N349 N352 N355 N358 N364 N367 N370 N373 N379 N382 N385 N388 N391 N394 N397 J7 J10 J13 J16 J19 J22 J25 J28 J31 J37 J40 J43 J46 J49 J55 J58 J61 J64 J67 J70 J73 J76 J79 J82 J52 J88 J91 J94 J97 J100 J118 J121 J124 J127 J130 J133 J136 J139 J142 J145 J148 J151 J154 J169 J172 J178 J181 J184 J187 J190 J199 J202 J211 J229 J232 J235 J238 J244 J247 J250 J253 J256 J259 J265 J268 J271 J274 J280 J289 J292 J298 J304 J307 J310 J313 J316 J319 J322 J325 J328 J334 J337 J340 J343 J346 J349 J352 J355 J358 J364 J367 J370 J373 J379 J382 J385 J388 J391 J394 J397 Q102:Q115 N102:N115 J102:J115 Q157 N157 J157 T160 Q160 M160:N160 J160 T163 Q163 M163:N163 J163 T166 Q166 M166:N166 J166 Q175 N175 J175 Q193 N193 J193 Q196 N196 J196 Q205 N205 J205 Q214 N214 J214 Q208 N208 J208 Q217 N217 J217 Q220 N220 J220 Q223 N223 J223 Q226 N226 J226 Q241 N241 J241 Q262 N262 J262 Q277 N277 J277 Q283 N283 J283 Q286 N286 J286 Q295 N295 J295 Q301 N301 J301 Q331 N331 J331 Q361 N361 J361 Q376 N376 J376">
    <cfRule type="cellIs" dxfId="151" priority="151" stopIfTrue="1" operator="equal">
      <formula>"Pass"</formula>
    </cfRule>
    <cfRule type="cellIs" dxfId="150" priority="152" stopIfTrue="1" operator="equal">
      <formula>"Fail"</formula>
    </cfRule>
  </conditionalFormatting>
  <conditionalFormatting sqref="J52">
    <cfRule type="cellIs" dxfId="149" priority="149" stopIfTrue="1" operator="equal">
      <formula>"Pass"</formula>
    </cfRule>
    <cfRule type="cellIs" dxfId="148" priority="150" stopIfTrue="1" operator="equal">
      <formula>"Fail"</formula>
    </cfRule>
  </conditionalFormatting>
  <conditionalFormatting sqref="Q120 N120 J120">
    <cfRule type="cellIs" dxfId="147" priority="147" stopIfTrue="1" operator="equal">
      <formula>"Pass"</formula>
    </cfRule>
    <cfRule type="cellIs" dxfId="146" priority="148" stopIfTrue="1" operator="equal">
      <formula>"Fail"</formula>
    </cfRule>
  </conditionalFormatting>
  <conditionalFormatting sqref="Q144 N144 J144">
    <cfRule type="cellIs" dxfId="145" priority="145" stopIfTrue="1" operator="equal">
      <formula>"Pass"</formula>
    </cfRule>
    <cfRule type="cellIs" dxfId="144" priority="146" stopIfTrue="1" operator="equal">
      <formula>"Fail"</formula>
    </cfRule>
  </conditionalFormatting>
  <conditionalFormatting sqref="Q156 N156 J156">
    <cfRule type="cellIs" dxfId="143" priority="143" stopIfTrue="1" operator="equal">
      <formula>"Pass"</formula>
    </cfRule>
    <cfRule type="cellIs" dxfId="142" priority="144" stopIfTrue="1" operator="equal">
      <formula>"Fail"</formula>
    </cfRule>
  </conditionalFormatting>
  <conditionalFormatting sqref="M159:M161">
    <cfRule type="cellIs" dxfId="141" priority="141" stopIfTrue="1" operator="equal">
      <formula>"Pass"</formula>
    </cfRule>
    <cfRule type="cellIs" dxfId="140" priority="142" stopIfTrue="1" operator="equal">
      <formula>"Fail"</formula>
    </cfRule>
  </conditionalFormatting>
  <conditionalFormatting sqref="AA159:AA161">
    <cfRule type="cellIs" dxfId="139" priority="139" stopIfTrue="1" operator="equal">
      <formula>"Fail"</formula>
    </cfRule>
    <cfRule type="cellIs" dxfId="138" priority="140" stopIfTrue="1" operator="equal">
      <formula>"Pass"</formula>
    </cfRule>
  </conditionalFormatting>
  <conditionalFormatting sqref="AA159">
    <cfRule type="cellIs" dxfId="137" priority="137" stopIfTrue="1" operator="equal">
      <formula>"Fail"</formula>
    </cfRule>
    <cfRule type="cellIs" dxfId="136" priority="138" stopIfTrue="1" operator="equal">
      <formula>"Pass"</formula>
    </cfRule>
  </conditionalFormatting>
  <conditionalFormatting sqref="T159 Q159 M159">
    <cfRule type="cellIs" dxfId="135" priority="135" stopIfTrue="1" operator="equal">
      <formula>"Pass"</formula>
    </cfRule>
    <cfRule type="cellIs" dxfId="134" priority="136" stopIfTrue="1" operator="equal">
      <formula>"Fail"</formula>
    </cfRule>
  </conditionalFormatting>
  <conditionalFormatting sqref="Q159 N159 J159">
    <cfRule type="cellIs" dxfId="133" priority="133" stopIfTrue="1" operator="equal">
      <formula>"Pass"</formula>
    </cfRule>
    <cfRule type="cellIs" dxfId="132" priority="134" stopIfTrue="1" operator="equal">
      <formula>"Fail"</formula>
    </cfRule>
  </conditionalFormatting>
  <conditionalFormatting sqref="Q159 N159 J159">
    <cfRule type="cellIs" dxfId="131" priority="131" stopIfTrue="1" operator="equal">
      <formula>"Pass"</formula>
    </cfRule>
    <cfRule type="cellIs" dxfId="130" priority="132" stopIfTrue="1" operator="equal">
      <formula>"Fail"</formula>
    </cfRule>
  </conditionalFormatting>
  <conditionalFormatting sqref="M162:M164">
    <cfRule type="cellIs" dxfId="129" priority="129" stopIfTrue="1" operator="equal">
      <formula>"Pass"</formula>
    </cfRule>
    <cfRule type="cellIs" dxfId="128" priority="130" stopIfTrue="1" operator="equal">
      <formula>"Fail"</formula>
    </cfRule>
  </conditionalFormatting>
  <conditionalFormatting sqref="T162 Q162 M162">
    <cfRule type="cellIs" dxfId="127" priority="127" stopIfTrue="1" operator="equal">
      <formula>"Pass"</formula>
    </cfRule>
    <cfRule type="cellIs" dxfId="126" priority="128" stopIfTrue="1" operator="equal">
      <formula>"Fail"</formula>
    </cfRule>
  </conditionalFormatting>
  <conditionalFormatting sqref="Q162 N162 J162">
    <cfRule type="cellIs" dxfId="125" priority="125" stopIfTrue="1" operator="equal">
      <formula>"Pass"</formula>
    </cfRule>
    <cfRule type="cellIs" dxfId="124" priority="126" stopIfTrue="1" operator="equal">
      <formula>"Fail"</formula>
    </cfRule>
  </conditionalFormatting>
  <conditionalFormatting sqref="Q162 N162 J162">
    <cfRule type="cellIs" dxfId="123" priority="123" stopIfTrue="1" operator="equal">
      <formula>"Pass"</formula>
    </cfRule>
    <cfRule type="cellIs" dxfId="122" priority="124" stopIfTrue="1" operator="equal">
      <formula>"Fail"</formula>
    </cfRule>
  </conditionalFormatting>
  <conditionalFormatting sqref="Q162 M162:N162 J162">
    <cfRule type="cellIs" dxfId="121" priority="121" stopIfTrue="1" operator="equal">
      <formula>"Pass"</formula>
    </cfRule>
    <cfRule type="cellIs" dxfId="120" priority="122" stopIfTrue="1" operator="equal">
      <formula>"Fail"</formula>
    </cfRule>
  </conditionalFormatting>
  <conditionalFormatting sqref="M162">
    <cfRule type="cellIs" dxfId="119" priority="119" stopIfTrue="1" operator="equal">
      <formula>"Pass"</formula>
    </cfRule>
    <cfRule type="cellIs" dxfId="118" priority="120" stopIfTrue="1" operator="equal">
      <formula>"Fail"</formula>
    </cfRule>
  </conditionalFormatting>
  <conditionalFormatting sqref="M162:M164">
    <cfRule type="cellIs" dxfId="117" priority="117" stopIfTrue="1" operator="equal">
      <formula>"Pass"</formula>
    </cfRule>
    <cfRule type="cellIs" dxfId="116" priority="118" stopIfTrue="1" operator="equal">
      <formula>"Fail"</formula>
    </cfRule>
  </conditionalFormatting>
  <conditionalFormatting sqref="T162 Q162 M162">
    <cfRule type="cellIs" dxfId="115" priority="115" stopIfTrue="1" operator="equal">
      <formula>"Pass"</formula>
    </cfRule>
    <cfRule type="cellIs" dxfId="114" priority="116" stopIfTrue="1" operator="equal">
      <formula>"Fail"</formula>
    </cfRule>
  </conditionalFormatting>
  <conditionalFormatting sqref="Q162 N162 J162">
    <cfRule type="cellIs" dxfId="113" priority="113" stopIfTrue="1" operator="equal">
      <formula>"Pass"</formula>
    </cfRule>
    <cfRule type="cellIs" dxfId="112" priority="114" stopIfTrue="1" operator="equal">
      <formula>"Fail"</formula>
    </cfRule>
  </conditionalFormatting>
  <conditionalFormatting sqref="Q162 N162 J162">
    <cfRule type="cellIs" dxfId="111" priority="111" stopIfTrue="1" operator="equal">
      <formula>"Pass"</formula>
    </cfRule>
    <cfRule type="cellIs" dxfId="110" priority="112" stopIfTrue="1" operator="equal">
      <formula>"Fail"</formula>
    </cfRule>
  </conditionalFormatting>
  <conditionalFormatting sqref="Q162 N162 J162">
    <cfRule type="cellIs" dxfId="109" priority="109" stopIfTrue="1" operator="equal">
      <formula>"Pass"</formula>
    </cfRule>
    <cfRule type="cellIs" dxfId="108" priority="110" stopIfTrue="1" operator="equal">
      <formula>"Fail"</formula>
    </cfRule>
  </conditionalFormatting>
  <conditionalFormatting sqref="Q162 M162:N162 J162">
    <cfRule type="cellIs" dxfId="107" priority="107" stopIfTrue="1" operator="equal">
      <formula>"Pass"</formula>
    </cfRule>
    <cfRule type="cellIs" dxfId="106" priority="108" stopIfTrue="1" operator="equal">
      <formula>"Fail"</formula>
    </cfRule>
  </conditionalFormatting>
  <conditionalFormatting sqref="M162">
    <cfRule type="cellIs" dxfId="105" priority="105" stopIfTrue="1" operator="equal">
      <formula>"Pass"</formula>
    </cfRule>
    <cfRule type="cellIs" dxfId="104" priority="106" stopIfTrue="1" operator="equal">
      <formula>"Fail"</formula>
    </cfRule>
  </conditionalFormatting>
  <conditionalFormatting sqref="M165:M167">
    <cfRule type="cellIs" dxfId="103" priority="103" stopIfTrue="1" operator="equal">
      <formula>"Pass"</formula>
    </cfRule>
    <cfRule type="cellIs" dxfId="102" priority="104" stopIfTrue="1" operator="equal">
      <formula>"Fail"</formula>
    </cfRule>
  </conditionalFormatting>
  <conditionalFormatting sqref="T165 Q165 M165">
    <cfRule type="cellIs" dxfId="101" priority="101" stopIfTrue="1" operator="equal">
      <formula>"Pass"</formula>
    </cfRule>
    <cfRule type="cellIs" dxfId="100" priority="102" stopIfTrue="1" operator="equal">
      <formula>"Fail"</formula>
    </cfRule>
  </conditionalFormatting>
  <conditionalFormatting sqref="Q165 N165 J165">
    <cfRule type="cellIs" dxfId="99" priority="99" stopIfTrue="1" operator="equal">
      <formula>"Pass"</formula>
    </cfRule>
    <cfRule type="cellIs" dxfId="98" priority="100" stopIfTrue="1" operator="equal">
      <formula>"Fail"</formula>
    </cfRule>
  </conditionalFormatting>
  <conditionalFormatting sqref="Q165 N165 J165">
    <cfRule type="cellIs" dxfId="97" priority="97" stopIfTrue="1" operator="equal">
      <formula>"Pass"</formula>
    </cfRule>
    <cfRule type="cellIs" dxfId="96" priority="98" stopIfTrue="1" operator="equal">
      <formula>"Fail"</formula>
    </cfRule>
  </conditionalFormatting>
  <conditionalFormatting sqref="Q165 M165:N165 J165">
    <cfRule type="cellIs" dxfId="95" priority="95" stopIfTrue="1" operator="equal">
      <formula>"Pass"</formula>
    </cfRule>
    <cfRule type="cellIs" dxfId="94" priority="96" stopIfTrue="1" operator="equal">
      <formula>"Fail"</formula>
    </cfRule>
  </conditionalFormatting>
  <conditionalFormatting sqref="M165">
    <cfRule type="cellIs" dxfId="93" priority="93" stopIfTrue="1" operator="equal">
      <formula>"Pass"</formula>
    </cfRule>
    <cfRule type="cellIs" dxfId="92" priority="94" stopIfTrue="1" operator="equal">
      <formula>"Fail"</formula>
    </cfRule>
  </conditionalFormatting>
  <conditionalFormatting sqref="M165:M167">
    <cfRule type="cellIs" dxfId="91" priority="91" stopIfTrue="1" operator="equal">
      <formula>"Pass"</formula>
    </cfRule>
    <cfRule type="cellIs" dxfId="90" priority="92" stopIfTrue="1" operator="equal">
      <formula>"Fail"</formula>
    </cfRule>
  </conditionalFormatting>
  <conditionalFormatting sqref="T165 Q165 M165">
    <cfRule type="cellIs" dxfId="89" priority="89" stopIfTrue="1" operator="equal">
      <formula>"Pass"</formula>
    </cfRule>
    <cfRule type="cellIs" dxfId="88" priority="90" stopIfTrue="1" operator="equal">
      <formula>"Fail"</formula>
    </cfRule>
  </conditionalFormatting>
  <conditionalFormatting sqref="Q165 N165 J165">
    <cfRule type="cellIs" dxfId="87" priority="87" stopIfTrue="1" operator="equal">
      <formula>"Pass"</formula>
    </cfRule>
    <cfRule type="cellIs" dxfId="86" priority="88" stopIfTrue="1" operator="equal">
      <formula>"Fail"</formula>
    </cfRule>
  </conditionalFormatting>
  <conditionalFormatting sqref="Q165 N165 J165">
    <cfRule type="cellIs" dxfId="85" priority="85" stopIfTrue="1" operator="equal">
      <formula>"Pass"</formula>
    </cfRule>
    <cfRule type="cellIs" dxfId="84" priority="86" stopIfTrue="1" operator="equal">
      <formula>"Fail"</formula>
    </cfRule>
  </conditionalFormatting>
  <conditionalFormatting sqref="Q165 N165 J165">
    <cfRule type="cellIs" dxfId="83" priority="83" stopIfTrue="1" operator="equal">
      <formula>"Pass"</formula>
    </cfRule>
    <cfRule type="cellIs" dxfId="82" priority="84" stopIfTrue="1" operator="equal">
      <formula>"Fail"</formula>
    </cfRule>
  </conditionalFormatting>
  <conditionalFormatting sqref="Q165 M165:N165 J165">
    <cfRule type="cellIs" dxfId="81" priority="81" stopIfTrue="1" operator="equal">
      <formula>"Pass"</formula>
    </cfRule>
    <cfRule type="cellIs" dxfId="80" priority="82" stopIfTrue="1" operator="equal">
      <formula>"Fail"</formula>
    </cfRule>
  </conditionalFormatting>
  <conditionalFormatting sqref="M165">
    <cfRule type="cellIs" dxfId="79" priority="79" stopIfTrue="1" operator="equal">
      <formula>"Pass"</formula>
    </cfRule>
    <cfRule type="cellIs" dxfId="78" priority="80" stopIfTrue="1" operator="equal">
      <formula>"Fail"</formula>
    </cfRule>
  </conditionalFormatting>
  <conditionalFormatting sqref="Q174 N174 J174">
    <cfRule type="cellIs" dxfId="77" priority="77" stopIfTrue="1" operator="equal">
      <formula>"Pass"</formula>
    </cfRule>
    <cfRule type="cellIs" dxfId="76" priority="78" stopIfTrue="1" operator="equal">
      <formula>"Fail"</formula>
    </cfRule>
  </conditionalFormatting>
  <conditionalFormatting sqref="Q195 N195 J195">
    <cfRule type="cellIs" dxfId="75" priority="75" stopIfTrue="1" operator="equal">
      <formula>"Pass"</formula>
    </cfRule>
    <cfRule type="cellIs" dxfId="74" priority="76" stopIfTrue="1" operator="equal">
      <formula>"Fail"</formula>
    </cfRule>
  </conditionalFormatting>
  <conditionalFormatting sqref="Q201 N201 J201">
    <cfRule type="cellIs" dxfId="73" priority="73" stopIfTrue="1" operator="equal">
      <formula>"Pass"</formula>
    </cfRule>
    <cfRule type="cellIs" dxfId="72" priority="74" stopIfTrue="1" operator="equal">
      <formula>"Fail"</formula>
    </cfRule>
  </conditionalFormatting>
  <conditionalFormatting sqref="Q204 N204 J204">
    <cfRule type="cellIs" dxfId="71" priority="71" stopIfTrue="1" operator="equal">
      <formula>"Pass"</formula>
    </cfRule>
    <cfRule type="cellIs" dxfId="70" priority="72" stopIfTrue="1" operator="equal">
      <formula>"Fail"</formula>
    </cfRule>
  </conditionalFormatting>
  <conditionalFormatting sqref="Q213 N213 J213">
    <cfRule type="cellIs" dxfId="69" priority="69" stopIfTrue="1" operator="equal">
      <formula>"Pass"</formula>
    </cfRule>
    <cfRule type="cellIs" dxfId="68" priority="70" stopIfTrue="1" operator="equal">
      <formula>"Fail"</formula>
    </cfRule>
  </conditionalFormatting>
  <conditionalFormatting sqref="Q207 N207 J207">
    <cfRule type="cellIs" dxfId="67" priority="67" stopIfTrue="1" operator="equal">
      <formula>"Pass"</formula>
    </cfRule>
    <cfRule type="cellIs" dxfId="66" priority="68" stopIfTrue="1" operator="equal">
      <formula>"Fail"</formula>
    </cfRule>
  </conditionalFormatting>
  <conditionalFormatting sqref="Q207 N207 J207">
    <cfRule type="cellIs" dxfId="65" priority="65" stopIfTrue="1" operator="equal">
      <formula>"Pass"</formula>
    </cfRule>
    <cfRule type="cellIs" dxfId="64" priority="66" stopIfTrue="1" operator="equal">
      <formula>"Fail"</formula>
    </cfRule>
  </conditionalFormatting>
  <conditionalFormatting sqref="Q213 N213 J213">
    <cfRule type="cellIs" dxfId="63" priority="63" stopIfTrue="1" operator="equal">
      <formula>"Pass"</formula>
    </cfRule>
    <cfRule type="cellIs" dxfId="62" priority="64" stopIfTrue="1" operator="equal">
      <formula>"Fail"</formula>
    </cfRule>
  </conditionalFormatting>
  <conditionalFormatting sqref="J216:Q216 K217:M217 O217:P217">
    <cfRule type="cellIs" dxfId="61" priority="61" stopIfTrue="1" operator="equal">
      <formula>"Pass"</formula>
    </cfRule>
    <cfRule type="cellIs" dxfId="60" priority="62" stopIfTrue="1" operator="equal">
      <formula>"Fail"</formula>
    </cfRule>
  </conditionalFormatting>
  <conditionalFormatting sqref="J216:Q216 K217:M217 O217:P217">
    <cfRule type="cellIs" dxfId="59" priority="59" stopIfTrue="1" operator="equal">
      <formula>"Pass"</formula>
    </cfRule>
    <cfRule type="cellIs" dxfId="58" priority="60" stopIfTrue="1" operator="equal">
      <formula>"Fail"</formula>
    </cfRule>
  </conditionalFormatting>
  <conditionalFormatting sqref="J219:Q219 K220:M220 O220:P220">
    <cfRule type="cellIs" dxfId="57" priority="57" stopIfTrue="1" operator="equal">
      <formula>"Pass"</formula>
    </cfRule>
    <cfRule type="cellIs" dxfId="56" priority="58" stopIfTrue="1" operator="equal">
      <formula>"Fail"</formula>
    </cfRule>
  </conditionalFormatting>
  <conditionalFormatting sqref="J219:Q219 K220:M220 O220:P220">
    <cfRule type="cellIs" dxfId="55" priority="55" stopIfTrue="1" operator="equal">
      <formula>"Pass"</formula>
    </cfRule>
    <cfRule type="cellIs" dxfId="54" priority="56" stopIfTrue="1" operator="equal">
      <formula>"Fail"</formula>
    </cfRule>
  </conditionalFormatting>
  <conditionalFormatting sqref="Q222 N222 J222">
    <cfRule type="cellIs" dxfId="53" priority="53" stopIfTrue="1" operator="equal">
      <formula>"Pass"</formula>
    </cfRule>
    <cfRule type="cellIs" dxfId="52" priority="54" stopIfTrue="1" operator="equal">
      <formula>"Fail"</formula>
    </cfRule>
  </conditionalFormatting>
  <conditionalFormatting sqref="Q222 N222 J222">
    <cfRule type="cellIs" dxfId="51" priority="51" stopIfTrue="1" operator="equal">
      <formula>"Pass"</formula>
    </cfRule>
    <cfRule type="cellIs" dxfId="50" priority="52" stopIfTrue="1" operator="equal">
      <formula>"Fail"</formula>
    </cfRule>
  </conditionalFormatting>
  <conditionalFormatting sqref="Q231 N231 J231">
    <cfRule type="cellIs" dxfId="49" priority="49" stopIfTrue="1" operator="equal">
      <formula>"Pass"</formula>
    </cfRule>
    <cfRule type="cellIs" dxfId="48" priority="50" stopIfTrue="1" operator="equal">
      <formula>"Fail"</formula>
    </cfRule>
  </conditionalFormatting>
  <conditionalFormatting sqref="Q232 N232 J232">
    <cfRule type="cellIs" dxfId="47" priority="47" stopIfTrue="1" operator="equal">
      <formula>"Pass"</formula>
    </cfRule>
    <cfRule type="cellIs" dxfId="46" priority="48" stopIfTrue="1" operator="equal">
      <formula>"Fail"</formula>
    </cfRule>
  </conditionalFormatting>
  <conditionalFormatting sqref="J399:J401">
    <cfRule type="cellIs" dxfId="45" priority="45" stopIfTrue="1" operator="equal">
      <formula>"Pass"</formula>
    </cfRule>
    <cfRule type="cellIs" dxfId="44" priority="46" stopIfTrue="1" operator="equal">
      <formula>"Fail"</formula>
    </cfRule>
  </conditionalFormatting>
  <conditionalFormatting sqref="W399:W401">
    <cfRule type="cellIs" dxfId="43" priority="43" stopIfTrue="1" operator="equal">
      <formula>"Fail"</formula>
    </cfRule>
    <cfRule type="cellIs" dxfId="42" priority="44" stopIfTrue="1" operator="equal">
      <formula>"Pass"</formula>
    </cfRule>
  </conditionalFormatting>
  <conditionalFormatting sqref="W399">
    <cfRule type="cellIs" dxfId="41" priority="41" stopIfTrue="1" operator="equal">
      <formula>"Fail"</formula>
    </cfRule>
    <cfRule type="cellIs" dxfId="40" priority="42" stopIfTrue="1" operator="equal">
      <formula>"Pass"</formula>
    </cfRule>
  </conditionalFormatting>
  <conditionalFormatting sqref="J399">
    <cfRule type="cellIs" dxfId="39" priority="39" stopIfTrue="1" operator="equal">
      <formula>"Pass"</formula>
    </cfRule>
    <cfRule type="cellIs" dxfId="38" priority="40" stopIfTrue="1" operator="equal">
      <formula>"Fail"</formula>
    </cfRule>
  </conditionalFormatting>
  <conditionalFormatting sqref="J400">
    <cfRule type="cellIs" dxfId="37" priority="37" stopIfTrue="1" operator="equal">
      <formula>"Pass"</formula>
    </cfRule>
    <cfRule type="cellIs" dxfId="36" priority="38" stopIfTrue="1" operator="equal">
      <formula>"Fail"</formula>
    </cfRule>
  </conditionalFormatting>
  <conditionalFormatting sqref="J402:J404">
    <cfRule type="cellIs" dxfId="35" priority="35" stopIfTrue="1" operator="equal">
      <formula>"Pass"</formula>
    </cfRule>
    <cfRule type="cellIs" dxfId="34" priority="36" stopIfTrue="1" operator="equal">
      <formula>"Fail"</formula>
    </cfRule>
  </conditionalFormatting>
  <conditionalFormatting sqref="W402:W404">
    <cfRule type="cellIs" dxfId="33" priority="33" stopIfTrue="1" operator="equal">
      <formula>"Fail"</formula>
    </cfRule>
    <cfRule type="cellIs" dxfId="32" priority="34" stopIfTrue="1" operator="equal">
      <formula>"Pass"</formula>
    </cfRule>
  </conditionalFormatting>
  <conditionalFormatting sqref="Q402:Q403 N402:N403">
    <cfRule type="cellIs" dxfId="31" priority="31" stopIfTrue="1" operator="equal">
      <formula>"Pass"</formula>
    </cfRule>
    <cfRule type="cellIs" dxfId="30" priority="32" stopIfTrue="1" operator="equal">
      <formula>"Fail"</formula>
    </cfRule>
  </conditionalFormatting>
  <conditionalFormatting sqref="W402">
    <cfRule type="cellIs" dxfId="29" priority="29" stopIfTrue="1" operator="equal">
      <formula>"Fail"</formula>
    </cfRule>
    <cfRule type="cellIs" dxfId="28" priority="30" stopIfTrue="1" operator="equal">
      <formula>"Pass"</formula>
    </cfRule>
  </conditionalFormatting>
  <conditionalFormatting sqref="Q402 N402 J402">
    <cfRule type="cellIs" dxfId="27" priority="27" stopIfTrue="1" operator="equal">
      <formula>"Pass"</formula>
    </cfRule>
    <cfRule type="cellIs" dxfId="26" priority="28" stopIfTrue="1" operator="equal">
      <formula>"Fail"</formula>
    </cfRule>
  </conditionalFormatting>
  <conditionalFormatting sqref="Q403 N403 J403">
    <cfRule type="cellIs" dxfId="25" priority="25" stopIfTrue="1" operator="equal">
      <formula>"Pass"</formula>
    </cfRule>
    <cfRule type="cellIs" dxfId="24" priority="26" stopIfTrue="1" operator="equal">
      <formula>"Fail"</formula>
    </cfRule>
  </conditionalFormatting>
  <conditionalFormatting sqref="J405:J407 K405:M406 O405:P406">
    <cfRule type="cellIs" dxfId="23" priority="23" stopIfTrue="1" operator="equal">
      <formula>"Pass"</formula>
    </cfRule>
    <cfRule type="cellIs" dxfId="22" priority="24" stopIfTrue="1" operator="equal">
      <formula>"Fail"</formula>
    </cfRule>
  </conditionalFormatting>
  <conditionalFormatting sqref="W405:W407">
    <cfRule type="cellIs" dxfId="21" priority="21" stopIfTrue="1" operator="equal">
      <formula>"Fail"</formula>
    </cfRule>
    <cfRule type="cellIs" dxfId="20" priority="22" stopIfTrue="1" operator="equal">
      <formula>"Pass"</formula>
    </cfRule>
  </conditionalFormatting>
  <conditionalFormatting sqref="Q405:Q406 N405:N406">
    <cfRule type="cellIs" dxfId="19" priority="19" stopIfTrue="1" operator="equal">
      <formula>"Pass"</formula>
    </cfRule>
    <cfRule type="cellIs" dxfId="18" priority="20" stopIfTrue="1" operator="equal">
      <formula>"Fail"</formula>
    </cfRule>
  </conditionalFormatting>
  <conditionalFormatting sqref="W405">
    <cfRule type="cellIs" dxfId="17" priority="17" stopIfTrue="1" operator="equal">
      <formula>"Fail"</formula>
    </cfRule>
    <cfRule type="cellIs" dxfId="16" priority="18" stopIfTrue="1" operator="equal">
      <formula>"Pass"</formula>
    </cfRule>
  </conditionalFormatting>
  <conditionalFormatting sqref="J405:Q405 K406:M406 O406:P406">
    <cfRule type="cellIs" dxfId="15" priority="15" stopIfTrue="1" operator="equal">
      <formula>"Pass"</formula>
    </cfRule>
    <cfRule type="cellIs" dxfId="14" priority="16" stopIfTrue="1" operator="equal">
      <formula>"Fail"</formula>
    </cfRule>
  </conditionalFormatting>
  <conditionalFormatting sqref="Q406 N406 J406">
    <cfRule type="cellIs" dxfId="13" priority="13" stopIfTrue="1" operator="equal">
      <formula>"Pass"</formula>
    </cfRule>
    <cfRule type="cellIs" dxfId="12" priority="14" stopIfTrue="1" operator="equal">
      <formula>"Fail"</formula>
    </cfRule>
  </conditionalFormatting>
  <conditionalFormatting sqref="J408:J410 K408:M409 O408:P409">
    <cfRule type="cellIs" dxfId="11" priority="11" stopIfTrue="1" operator="equal">
      <formula>"Pass"</formula>
    </cfRule>
    <cfRule type="cellIs" dxfId="10" priority="12" stopIfTrue="1" operator="equal">
      <formula>"Fail"</formula>
    </cfRule>
  </conditionalFormatting>
  <conditionalFormatting sqref="W408:W410">
    <cfRule type="cellIs" dxfId="9" priority="9" stopIfTrue="1" operator="equal">
      <formula>"Fail"</formula>
    </cfRule>
    <cfRule type="cellIs" dxfId="8" priority="10" stopIfTrue="1" operator="equal">
      <formula>"Pass"</formula>
    </cfRule>
  </conditionalFormatting>
  <conditionalFormatting sqref="Q408:Q409 N408:N409">
    <cfRule type="cellIs" dxfId="7" priority="7" stopIfTrue="1" operator="equal">
      <formula>"Pass"</formula>
    </cfRule>
    <cfRule type="cellIs" dxfId="6" priority="8" stopIfTrue="1" operator="equal">
      <formula>"Fail"</formula>
    </cfRule>
  </conditionalFormatting>
  <conditionalFormatting sqref="W408">
    <cfRule type="cellIs" dxfId="5" priority="5" stopIfTrue="1" operator="equal">
      <formula>"Fail"</formula>
    </cfRule>
    <cfRule type="cellIs" dxfId="4" priority="6" stopIfTrue="1" operator="equal">
      <formula>"Pass"</formula>
    </cfRule>
  </conditionalFormatting>
  <conditionalFormatting sqref="J408:Q408 K409:M409 O409:P409">
    <cfRule type="cellIs" dxfId="3" priority="3" stopIfTrue="1" operator="equal">
      <formula>"Pass"</formula>
    </cfRule>
    <cfRule type="cellIs" dxfId="2" priority="4" stopIfTrue="1" operator="equal">
      <formula>"Fail"</formula>
    </cfRule>
  </conditionalFormatting>
  <conditionalFormatting sqref="Q409 N409 J409">
    <cfRule type="cellIs" dxfId="1" priority="1" stopIfTrue="1" operator="equal">
      <formula>"Pass"</formula>
    </cfRule>
    <cfRule type="cellIs" dxfId="0" priority="2" stopIfTrue="1" operator="equal">
      <formula>"Fail"</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6.100000000000001"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H21" sqref="H21"/>
    </sheetView>
  </sheetViews>
  <sheetFormatPr defaultRowHeight="16.10000000000000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UN_Click">
                <anchor moveWithCells="1" sizeWithCells="1">
                  <from>
                    <xdr:col>5</xdr:col>
                    <xdr:colOff>0</xdr:colOff>
                    <xdr:row>5</xdr:row>
                    <xdr:rowOff>84406</xdr:rowOff>
                  </from>
                  <to>
                    <xdr:col>7</xdr:col>
                    <xdr:colOff>126609</xdr:colOff>
                    <xdr:row>9</xdr:row>
                    <xdr:rowOff>14068</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60"/>
  <sheetViews>
    <sheetView topLeftCell="M1" workbookViewId="0">
      <selection activeCell="S19" sqref="S19"/>
    </sheetView>
  </sheetViews>
  <sheetFormatPr defaultRowHeight="12.75" x14ac:dyDescent="0.25"/>
  <cols>
    <col min="1" max="16384" width="8.7265625" style="10"/>
  </cols>
  <sheetData>
    <row r="1" spans="1:23" ht="13.3" thickBot="1" x14ac:dyDescent="0.3">
      <c r="A1" s="10" t="s">
        <v>172</v>
      </c>
      <c r="B1" s="10" t="s">
        <v>191</v>
      </c>
      <c r="C1" s="10" t="s">
        <v>177</v>
      </c>
    </row>
    <row r="2" spans="1:23" ht="13.3" thickBot="1" x14ac:dyDescent="0.3">
      <c r="A2" s="139">
        <v>65.124325140466823</v>
      </c>
      <c r="B2" s="139">
        <v>473.05567169730455</v>
      </c>
      <c r="C2" s="139">
        <v>134.2175662041796</v>
      </c>
      <c r="D2" s="140">
        <v>3.6577805331680335</v>
      </c>
      <c r="E2" s="141">
        <v>10.861366195619416</v>
      </c>
      <c r="F2" s="141">
        <v>4.912789219425405</v>
      </c>
      <c r="G2" s="142">
        <v>331.81153846153842</v>
      </c>
      <c r="H2" s="142">
        <v>12.53719529177229</v>
      </c>
      <c r="I2" s="143"/>
      <c r="O2" s="10" t="s">
        <v>172</v>
      </c>
      <c r="P2" s="10" t="s">
        <v>259</v>
      </c>
      <c r="Q2" s="10" t="s">
        <v>260</v>
      </c>
      <c r="U2" s="10" t="s">
        <v>177</v>
      </c>
      <c r="V2" s="10" t="s">
        <v>259</v>
      </c>
      <c r="W2" s="10" t="s">
        <v>260</v>
      </c>
    </row>
    <row r="3" spans="1:23" ht="13.3" thickBot="1" x14ac:dyDescent="0.3">
      <c r="A3" s="139">
        <v>64.562804500753174</v>
      </c>
      <c r="B3" s="139">
        <v>502.11279069050846</v>
      </c>
      <c r="C3" s="139">
        <v>105.76040615989696</v>
      </c>
      <c r="D3" s="140">
        <v>3.7678642797094959</v>
      </c>
      <c r="E3" s="141">
        <v>11.340397232226804</v>
      </c>
      <c r="F3" s="141">
        <v>3.9426747005305178</v>
      </c>
      <c r="G3" s="142">
        <v>310.42461538461538</v>
      </c>
      <c r="H3" s="142">
        <v>12.692289672190032</v>
      </c>
      <c r="I3" s="143" t="s">
        <v>172</v>
      </c>
      <c r="J3" s="10">
        <v>2180</v>
      </c>
      <c r="K3" s="10">
        <v>31</v>
      </c>
      <c r="L3" s="10">
        <f t="shared" ref="L3:L10" si="0">3*K3</f>
        <v>93</v>
      </c>
      <c r="M3" s="144"/>
      <c r="O3" s="56">
        <v>2047.6299999999999</v>
      </c>
      <c r="P3" s="56">
        <v>2.4397783224039937</v>
      </c>
      <c r="Q3" s="144">
        <v>40.328790894360729</v>
      </c>
      <c r="U3" s="56">
        <v>3851.5244444444447</v>
      </c>
      <c r="V3" s="56">
        <v>5.2792406906484075</v>
      </c>
      <c r="W3" s="144">
        <v>140.58901478343296</v>
      </c>
    </row>
    <row r="4" spans="1:23" ht="13.3" thickBot="1" x14ac:dyDescent="0.3">
      <c r="A4" s="139">
        <v>64.604798002955761</v>
      </c>
      <c r="B4" s="139">
        <v>521.3694655184604</v>
      </c>
      <c r="C4" s="139">
        <v>100.64982585399875</v>
      </c>
      <c r="D4" s="140">
        <v>3.6558190235051384</v>
      </c>
      <c r="E4" s="141">
        <v>12.907756592576957</v>
      </c>
      <c r="F4" s="141">
        <v>4.003793847841</v>
      </c>
      <c r="G4" s="142">
        <v>334.57230769230767</v>
      </c>
      <c r="H4" s="142">
        <v>12.471148402456176</v>
      </c>
      <c r="I4" s="143" t="s">
        <v>191</v>
      </c>
      <c r="J4" s="10">
        <v>4217</v>
      </c>
      <c r="K4" s="10">
        <v>340</v>
      </c>
      <c r="L4" s="10">
        <f t="shared" si="0"/>
        <v>1020</v>
      </c>
      <c r="M4" s="144"/>
      <c r="O4" s="56">
        <v>2040.6866666666667</v>
      </c>
      <c r="P4" s="56">
        <v>1.9610451025595359</v>
      </c>
      <c r="Q4" s="144">
        <v>32.241562074427144</v>
      </c>
      <c r="U4" s="56">
        <v>3947.55111111111</v>
      </c>
      <c r="V4" s="56">
        <v>5.1230474926513754</v>
      </c>
      <c r="W4" s="144">
        <v>141.24001136760333</v>
      </c>
    </row>
    <row r="5" spans="1:23" ht="13.3" thickBot="1" x14ac:dyDescent="0.3">
      <c r="A5" s="139">
        <v>17.648089840017931</v>
      </c>
      <c r="B5" s="139">
        <v>248.17789939878878</v>
      </c>
      <c r="C5" s="139">
        <v>103.78706186761843</v>
      </c>
      <c r="D5" s="140">
        <v>1.4076712406521716</v>
      </c>
      <c r="E5" s="141">
        <v>8.3410305719173135</v>
      </c>
      <c r="F5" s="141">
        <v>3.9731289277766693</v>
      </c>
      <c r="G5" s="142">
        <v>334.14846153846156</v>
      </c>
      <c r="H5" s="142">
        <v>10.111568854549947</v>
      </c>
      <c r="I5" s="143" t="s">
        <v>177</v>
      </c>
      <c r="J5" s="145">
        <v>4130</v>
      </c>
      <c r="K5" s="10">
        <v>110</v>
      </c>
      <c r="L5" s="10">
        <f t="shared" si="0"/>
        <v>330</v>
      </c>
      <c r="M5" s="144"/>
      <c r="O5" s="56">
        <v>2028.9833333333331</v>
      </c>
      <c r="P5" s="56">
        <v>2.7306371983230502</v>
      </c>
      <c r="Q5" s="144">
        <v>36.246368783647235</v>
      </c>
      <c r="U5" s="56">
        <v>3874.5177777777781</v>
      </c>
      <c r="V5" s="56">
        <v>4.9772227002317067</v>
      </c>
      <c r="W5" s="144">
        <v>133.59998893877668</v>
      </c>
    </row>
    <row r="6" spans="1:23" ht="13.3" thickBot="1" x14ac:dyDescent="0.3">
      <c r="A6" s="139">
        <v>22.305283006503181</v>
      </c>
      <c r="B6" s="139">
        <v>234.82426977422764</v>
      </c>
      <c r="C6" s="139">
        <v>106.44290582280983</v>
      </c>
      <c r="D6" s="140">
        <v>1.5962855253521302</v>
      </c>
      <c r="E6" s="141">
        <v>6.5179512958420682</v>
      </c>
      <c r="F6" s="141">
        <v>4.2015771619461075</v>
      </c>
      <c r="G6" s="142">
        <v>337.64923076923066</v>
      </c>
      <c r="H6" s="142">
        <v>12.55352045670791</v>
      </c>
      <c r="I6" s="143" t="s">
        <v>172</v>
      </c>
      <c r="J6" s="145">
        <v>1.98</v>
      </c>
      <c r="K6" s="10">
        <v>1.1399999999999999</v>
      </c>
      <c r="L6" s="10">
        <f t="shared" si="0"/>
        <v>3.42</v>
      </c>
      <c r="M6" s="144"/>
      <c r="O6" s="56">
        <v>2059.8733333333339</v>
      </c>
      <c r="P6" s="56">
        <v>2.3256155070369875</v>
      </c>
      <c r="Q6" s="144">
        <v>36.249107230367173</v>
      </c>
      <c r="U6" s="56">
        <v>3885.6688888888893</v>
      </c>
      <c r="V6" s="56">
        <v>5.1641956126721711</v>
      </c>
      <c r="W6" s="144">
        <v>139.20245978828251</v>
      </c>
    </row>
    <row r="7" spans="1:23" ht="13.3" thickBot="1" x14ac:dyDescent="0.3">
      <c r="A7" s="139">
        <v>27.007573937692001</v>
      </c>
      <c r="B7" s="139">
        <v>218.32015115422166</v>
      </c>
      <c r="C7" s="139">
        <v>106.86136345751814</v>
      </c>
      <c r="D7" s="140">
        <v>1.9321156173482446</v>
      </c>
      <c r="E7" s="141">
        <v>7.6093750000001137</v>
      </c>
      <c r="F7" s="141">
        <v>3.9727043320124533</v>
      </c>
      <c r="G7" s="142">
        <v>335.56000000000006</v>
      </c>
      <c r="H7" s="142">
        <v>13.321654128696943</v>
      </c>
      <c r="I7" s="143" t="s">
        <v>191</v>
      </c>
      <c r="J7" s="145">
        <v>9.25</v>
      </c>
      <c r="K7" s="145">
        <v>2.35</v>
      </c>
      <c r="L7" s="10">
        <f t="shared" si="0"/>
        <v>7.0500000000000007</v>
      </c>
      <c r="M7" s="144"/>
      <c r="O7" s="56">
        <v>2004.613333333333</v>
      </c>
      <c r="P7" s="56">
        <v>4.3874704187868101</v>
      </c>
      <c r="Q7" s="144">
        <v>66.903328018874035</v>
      </c>
      <c r="U7" s="56">
        <v>3899.6911111111112</v>
      </c>
      <c r="V7" s="56">
        <v>3.5976087018704535</v>
      </c>
      <c r="W7" s="144">
        <v>95.920916963458993</v>
      </c>
    </row>
    <row r="8" spans="1:23" ht="13.3" thickBot="1" x14ac:dyDescent="0.3">
      <c r="A8" s="139">
        <v>32.152091300607289</v>
      </c>
      <c r="B8" s="139">
        <v>296.86626117663872</v>
      </c>
      <c r="C8" s="139">
        <v>107.87287286434031</v>
      </c>
      <c r="D8" s="140">
        <v>2.0566267896505286</v>
      </c>
      <c r="E8" s="140">
        <v>9.4671637085256108</v>
      </c>
      <c r="F8" s="141">
        <v>4.0159363330752331</v>
      </c>
      <c r="G8" s="142">
        <v>332.49000000000007</v>
      </c>
      <c r="H8" s="142">
        <v>10.765262756821716</v>
      </c>
      <c r="I8" s="143" t="s">
        <v>177</v>
      </c>
      <c r="J8" s="146">
        <v>4.2</v>
      </c>
      <c r="K8" s="147">
        <v>0.54</v>
      </c>
      <c r="L8" s="10">
        <f t="shared" si="0"/>
        <v>1.62</v>
      </c>
      <c r="M8" s="144"/>
      <c r="O8" s="56">
        <v>2060.8200000000002</v>
      </c>
      <c r="P8" s="56">
        <v>2.5543923265879087</v>
      </c>
      <c r="Q8" s="144">
        <v>36.478384010251936</v>
      </c>
      <c r="U8" s="56">
        <v>3922.9777777777781</v>
      </c>
      <c r="V8" s="56">
        <v>3.463566603774062</v>
      </c>
      <c r="W8" s="144">
        <v>88.50584130125462</v>
      </c>
    </row>
    <row r="9" spans="1:23" ht="13.3" thickBot="1" x14ac:dyDescent="0.3">
      <c r="A9" s="139">
        <v>12.517561663505051</v>
      </c>
      <c r="B9" s="139">
        <v>288.68597982929771</v>
      </c>
      <c r="C9" s="139">
        <v>102.75732598919716</v>
      </c>
      <c r="D9" s="140">
        <v>0.75786733472821222</v>
      </c>
      <c r="E9" s="141">
        <v>9.5578473654603631</v>
      </c>
      <c r="F9" s="141">
        <v>3.8125399528617279</v>
      </c>
      <c r="G9" s="142">
        <v>335.16615384615386</v>
      </c>
      <c r="H9" s="142">
        <v>11.239235148153547</v>
      </c>
      <c r="I9" s="145" t="s">
        <v>237</v>
      </c>
      <c r="J9" s="145">
        <v>336</v>
      </c>
      <c r="K9" s="145">
        <v>4.7</v>
      </c>
      <c r="L9" s="10">
        <f t="shared" si="0"/>
        <v>14.100000000000001</v>
      </c>
      <c r="M9" s="144"/>
      <c r="O9" s="75">
        <v>2071.1499999999996</v>
      </c>
      <c r="P9" s="75">
        <v>3.0471400163761837</v>
      </c>
      <c r="Q9" s="144">
        <v>42.909088198186332</v>
      </c>
      <c r="U9" s="62">
        <v>3924.0177777777781</v>
      </c>
      <c r="V9" s="62">
        <v>3.5583555880927813</v>
      </c>
      <c r="W9" s="144">
        <v>90.582037095876544</v>
      </c>
    </row>
    <row r="10" spans="1:23" ht="13.3" thickBot="1" x14ac:dyDescent="0.3">
      <c r="A10" s="139">
        <v>18.657092485168228</v>
      </c>
      <c r="B10" s="139">
        <v>291.40164631482935</v>
      </c>
      <c r="C10" s="139">
        <v>102.06850629740212</v>
      </c>
      <c r="D10" s="140">
        <v>1.3570496531831546</v>
      </c>
      <c r="E10" s="141">
        <v>8.8656295914812073</v>
      </c>
      <c r="F10" s="141">
        <v>3.8356445613228893</v>
      </c>
      <c r="G10" s="142">
        <v>332.61846153846153</v>
      </c>
      <c r="H10" s="142">
        <v>10.47635865966183</v>
      </c>
      <c r="I10" s="145" t="s">
        <v>261</v>
      </c>
      <c r="J10" s="145">
        <v>11</v>
      </c>
      <c r="K10" s="145">
        <v>1</v>
      </c>
      <c r="L10" s="10">
        <f t="shared" si="0"/>
        <v>3</v>
      </c>
      <c r="M10" s="144"/>
      <c r="O10" s="75">
        <v>2045.5599999999997</v>
      </c>
      <c r="P10" s="75">
        <v>3.0877978949866938</v>
      </c>
      <c r="Q10" s="144">
        <v>45.885627651826688</v>
      </c>
      <c r="U10" s="62">
        <v>3935.1111111111113</v>
      </c>
      <c r="V10" s="62">
        <v>2.9973325665638999</v>
      </c>
      <c r="W10" s="144">
        <v>79.59277675211581</v>
      </c>
    </row>
    <row r="11" spans="1:23" ht="13.3" thickBot="1" x14ac:dyDescent="0.3">
      <c r="A11" s="139">
        <v>25.448670397517247</v>
      </c>
      <c r="B11" s="139">
        <v>340.48985436427375</v>
      </c>
      <c r="C11" s="139">
        <v>101.85507111139847</v>
      </c>
      <c r="D11" s="140">
        <v>1.5039536926972903</v>
      </c>
      <c r="E11" s="141">
        <v>10.229383195385651</v>
      </c>
      <c r="F11" s="141">
        <v>3.7567476630045187</v>
      </c>
      <c r="G11" s="142">
        <v>334.51769230769236</v>
      </c>
      <c r="H11" s="142">
        <v>10.85627801385418</v>
      </c>
      <c r="I11" s="143"/>
      <c r="M11" s="144"/>
      <c r="O11" s="75">
        <v>2044.7266666666667</v>
      </c>
      <c r="P11" s="75">
        <v>1.8957763865620338</v>
      </c>
      <c r="Q11" s="144">
        <v>24.436091647395834</v>
      </c>
      <c r="U11" s="62">
        <v>3965.235555555555</v>
      </c>
      <c r="V11" s="62">
        <v>2.8072970888514992</v>
      </c>
      <c r="W11" s="144">
        <v>77.178004494650125</v>
      </c>
    </row>
    <row r="12" spans="1:23" ht="13.3" thickBot="1" x14ac:dyDescent="0.3">
      <c r="A12" s="139">
        <v>26.311306029917645</v>
      </c>
      <c r="B12" s="139">
        <v>297.09436144093905</v>
      </c>
      <c r="C12" s="139">
        <v>108.64676249202742</v>
      </c>
      <c r="D12" s="140">
        <v>1.602506342099054</v>
      </c>
      <c r="E12" s="141">
        <v>8.3374967155540443</v>
      </c>
      <c r="F12" s="141">
        <v>4.1760177966769216</v>
      </c>
      <c r="G12" s="142"/>
      <c r="H12" s="142"/>
      <c r="I12" s="143"/>
      <c r="M12" s="144"/>
      <c r="O12" s="75">
        <v>2054.7133333333336</v>
      </c>
      <c r="P12" s="75">
        <v>2.9861326480882422</v>
      </c>
      <c r="Q12" s="144">
        <v>42.08046785621427</v>
      </c>
      <c r="U12" s="62">
        <v>3967.1866666666665</v>
      </c>
      <c r="V12" s="62">
        <v>3.1776491665328752</v>
      </c>
      <c r="W12" s="144">
        <v>85.634675219780988</v>
      </c>
    </row>
    <row r="13" spans="1:23" ht="13.3" thickBot="1" x14ac:dyDescent="0.3">
      <c r="A13" s="139">
        <v>14.399644092858111</v>
      </c>
      <c r="B13" s="139">
        <v>290.89981810754517</v>
      </c>
      <c r="C13" s="139">
        <v>111.22863140598204</v>
      </c>
      <c r="D13" s="140">
        <v>1.0521783216540233</v>
      </c>
      <c r="E13" s="141">
        <v>8.8722106068428435</v>
      </c>
      <c r="F13" s="141">
        <v>4.2982854477840835</v>
      </c>
      <c r="G13" s="142">
        <v>341.65461538461545</v>
      </c>
      <c r="H13" s="142">
        <v>10.459835574830985</v>
      </c>
      <c r="I13" s="143"/>
      <c r="M13" s="144"/>
      <c r="O13" s="75">
        <v>2044.2533333333336</v>
      </c>
      <c r="P13" s="75">
        <v>3.1679335948135683</v>
      </c>
      <c r="Q13" s="144">
        <v>40.00389980988087</v>
      </c>
      <c r="U13" s="62">
        <v>3916.2222222222213</v>
      </c>
      <c r="V13" s="62">
        <v>3.1961985292789175</v>
      </c>
      <c r="W13" s="144">
        <v>84.877912583004047</v>
      </c>
    </row>
    <row r="14" spans="1:23" ht="13.3" thickBot="1" x14ac:dyDescent="0.3">
      <c r="A14" s="139">
        <v>24.530747033083692</v>
      </c>
      <c r="B14" s="139">
        <v>291.24542296832266</v>
      </c>
      <c r="C14" s="139">
        <v>104.49729730690068</v>
      </c>
      <c r="D14" s="140">
        <v>1.3983426532906011</v>
      </c>
      <c r="E14" s="141">
        <v>7.3774708178206083</v>
      </c>
      <c r="F14" s="141">
        <v>3.9261991531775395</v>
      </c>
      <c r="G14" s="142">
        <v>337.57230769230773</v>
      </c>
      <c r="H14" s="142">
        <v>9.9368145834846811</v>
      </c>
      <c r="I14" s="143"/>
      <c r="M14" s="144"/>
      <c r="O14" s="75">
        <v>2054.4366666666665</v>
      </c>
      <c r="P14" s="75">
        <v>2.1388307530755264</v>
      </c>
      <c r="Q14" s="144">
        <v>31.845189982157578</v>
      </c>
      <c r="U14" s="62">
        <v>3880.9977777777781</v>
      </c>
      <c r="V14" s="62">
        <v>3.2260749464835121</v>
      </c>
      <c r="W14" s="144">
        <v>82.787649709597886</v>
      </c>
    </row>
    <row r="15" spans="1:23" ht="13.3" thickBot="1" x14ac:dyDescent="0.3">
      <c r="A15" s="139">
        <v>30.183924943570815</v>
      </c>
      <c r="B15" s="139">
        <v>267.27688199692437</v>
      </c>
      <c r="C15" s="139">
        <v>98.297159561087327</v>
      </c>
      <c r="D15" s="140">
        <v>2.082137596725016</v>
      </c>
      <c r="E15" s="141">
        <v>8.6831890543352461</v>
      </c>
      <c r="F15" s="141">
        <v>3.7206413178514786</v>
      </c>
      <c r="G15" s="142">
        <v>335.16999999999996</v>
      </c>
      <c r="H15" s="142">
        <v>10.973325395327254</v>
      </c>
      <c r="I15" s="143"/>
      <c r="M15" s="144"/>
      <c r="O15" s="75"/>
      <c r="P15" s="75"/>
      <c r="Q15" s="144">
        <v>138.47375617784508</v>
      </c>
      <c r="U15" s="62">
        <v>3988.1622222222222</v>
      </c>
      <c r="V15" s="62">
        <v>3.3962742364719412</v>
      </c>
      <c r="W15" s="144">
        <v>88.395009160240718</v>
      </c>
    </row>
    <row r="16" spans="1:23" ht="13.3" thickBot="1" x14ac:dyDescent="0.3">
      <c r="A16" s="139">
        <v>42.643459639204295</v>
      </c>
      <c r="B16" s="139">
        <v>270.01239767832624</v>
      </c>
      <c r="C16" s="139">
        <v>102.93697899411961</v>
      </c>
      <c r="D16" s="140">
        <v>2.4113023833009941</v>
      </c>
      <c r="E16" s="141">
        <v>7.3928544116414683</v>
      </c>
      <c r="F16" s="141">
        <v>3.9346896386179693</v>
      </c>
      <c r="G16" s="142">
        <v>335.6307692307692</v>
      </c>
      <c r="H16" s="142">
        <v>11.312741872363826</v>
      </c>
      <c r="I16" s="143"/>
      <c r="M16" s="144"/>
      <c r="O16" s="75">
        <v>2140.1733333333341</v>
      </c>
      <c r="P16" s="75">
        <v>2.4920163438341132</v>
      </c>
      <c r="Q16" s="144">
        <v>39.538968436185883</v>
      </c>
      <c r="U16" s="62">
        <v>3951.6644444444441</v>
      </c>
      <c r="V16" s="62">
        <v>3.1976402386344334</v>
      </c>
      <c r="W16" s="144">
        <v>83.904864446492368</v>
      </c>
    </row>
    <row r="17" spans="1:23" ht="13.3" thickBot="1" x14ac:dyDescent="0.3">
      <c r="A17" s="139">
        <v>35.197224677494788</v>
      </c>
      <c r="B17" s="139">
        <v>356.09118042292744</v>
      </c>
      <c r="C17" s="139">
        <v>104.11226414040644</v>
      </c>
      <c r="D17" s="140">
        <v>2.0822026970398682</v>
      </c>
      <c r="E17" s="141">
        <v>10.784838467054882</v>
      </c>
      <c r="F17" s="141">
        <v>3.9871198533855829</v>
      </c>
      <c r="G17" s="142">
        <v>336.93769230769226</v>
      </c>
      <c r="H17" s="142">
        <v>9.7715938994780895</v>
      </c>
      <c r="I17" s="143"/>
      <c r="M17" s="144"/>
      <c r="O17" s="75">
        <v>2059.5233333333326</v>
      </c>
      <c r="P17" s="75">
        <v>3.2720092538699008</v>
      </c>
      <c r="Q17" s="144">
        <v>44.640410224389456</v>
      </c>
      <c r="U17" s="62">
        <v>3954.4000000000005</v>
      </c>
      <c r="V17" s="62">
        <v>3.1509935231140194</v>
      </c>
      <c r="W17" s="144">
        <v>87.898112607709294</v>
      </c>
    </row>
    <row r="18" spans="1:23" ht="13.3" thickBot="1" x14ac:dyDescent="0.3">
      <c r="A18" s="139">
        <v>24.019117385940675</v>
      </c>
      <c r="B18" s="139">
        <v>355.06606103653752</v>
      </c>
      <c r="C18" s="139">
        <v>101.51355645650712</v>
      </c>
      <c r="D18" s="140">
        <v>1.6727363363197141</v>
      </c>
      <c r="E18" s="141">
        <v>9.8100608853387232</v>
      </c>
      <c r="F18" s="141">
        <v>3.874190130702059</v>
      </c>
      <c r="G18" s="142">
        <v>336.1023076923077</v>
      </c>
      <c r="H18" s="142">
        <v>10.657774290571451</v>
      </c>
      <c r="I18" s="143"/>
      <c r="M18" s="144"/>
      <c r="O18" s="75">
        <v>2164.8033333333328</v>
      </c>
      <c r="P18" s="75">
        <v>1.5153198699963792</v>
      </c>
      <c r="Q18" s="144">
        <v>23.040763876280888</v>
      </c>
      <c r="U18" s="62">
        <v>3917.0911111111118</v>
      </c>
      <c r="V18" s="62">
        <v>3.0036165152476628</v>
      </c>
      <c r="W18" s="144">
        <v>82.911870749037334</v>
      </c>
    </row>
    <row r="19" spans="1:23" ht="13.3" thickBot="1" x14ac:dyDescent="0.3">
      <c r="A19" s="139">
        <v>22.352184456981504</v>
      </c>
      <c r="B19" s="139">
        <v>327.63232456520421</v>
      </c>
      <c r="C19" s="139">
        <v>102.93436117797455</v>
      </c>
      <c r="D19" s="140">
        <v>1.6228641059015689</v>
      </c>
      <c r="E19" s="141">
        <v>9.6825951194547102</v>
      </c>
      <c r="F19" s="141">
        <v>3.8595871595636058</v>
      </c>
      <c r="G19" s="142">
        <v>334.81538461538463</v>
      </c>
      <c r="H19" s="142">
        <v>10.678962066558141</v>
      </c>
      <c r="I19" s="143"/>
      <c r="M19" s="144"/>
      <c r="O19" s="75">
        <v>2046.7799999999997</v>
      </c>
      <c r="P19" s="75">
        <v>2.7404217732140896</v>
      </c>
      <c r="Q19" s="144">
        <v>43.927865586679133</v>
      </c>
      <c r="U19" s="62">
        <v>3953.8844444444444</v>
      </c>
      <c r="V19" s="62">
        <v>3.4413995689622263</v>
      </c>
      <c r="W19" s="144">
        <v>90.811766185773052</v>
      </c>
    </row>
    <row r="20" spans="1:23" ht="13.3" thickBot="1" x14ac:dyDescent="0.3">
      <c r="A20" s="148">
        <v>30.063995908740431</v>
      </c>
      <c r="B20" s="139">
        <v>384.06966012040238</v>
      </c>
      <c r="C20" s="148">
        <v>104.36015720141401</v>
      </c>
      <c r="D20" s="140">
        <v>2.0110399156750156</v>
      </c>
      <c r="E20" s="140">
        <v>11.156042175679753</v>
      </c>
      <c r="F20" s="141">
        <v>4.0500171964820835</v>
      </c>
      <c r="G20" s="142">
        <v>336.42846153846153</v>
      </c>
      <c r="H20" s="142">
        <v>10.832257409368456</v>
      </c>
      <c r="I20" s="143"/>
      <c r="M20" s="144"/>
      <c r="O20" s="75">
        <v>2048.6566666666672</v>
      </c>
      <c r="P20" s="75">
        <v>3.11592113725575</v>
      </c>
      <c r="Q20" s="144">
        <v>45.486933288568189</v>
      </c>
      <c r="U20" s="62">
        <v>3968.9244444444444</v>
      </c>
      <c r="V20" s="62">
        <v>3.9869475237178</v>
      </c>
      <c r="W20" s="144">
        <v>101.97547537412608</v>
      </c>
    </row>
    <row r="21" spans="1:23" ht="13.3" thickBot="1" x14ac:dyDescent="0.3">
      <c r="A21" s="148">
        <v>25.385064998934123</v>
      </c>
      <c r="B21" s="139">
        <v>339.99601074864808</v>
      </c>
      <c r="C21" s="148">
        <v>105.72146234326225</v>
      </c>
      <c r="D21" s="140">
        <v>1.54415962349797</v>
      </c>
      <c r="E21" s="140" t="s">
        <v>262</v>
      </c>
      <c r="F21" s="141">
        <v>4.1176499676106548</v>
      </c>
      <c r="G21" s="142">
        <v>334.76923076923072</v>
      </c>
      <c r="H21" s="142">
        <v>10.92050939117286</v>
      </c>
      <c r="I21" s="143"/>
      <c r="M21" s="144"/>
      <c r="O21" s="75">
        <v>2063.41</v>
      </c>
      <c r="P21" s="75">
        <v>3.1801860676863503</v>
      </c>
      <c r="Q21" s="144">
        <v>44.626194941999813</v>
      </c>
      <c r="U21" s="62">
        <v>3869.6244444444446</v>
      </c>
      <c r="V21" s="62">
        <v>3.8032070314649697</v>
      </c>
      <c r="W21" s="144">
        <v>97.870439243811632</v>
      </c>
    </row>
    <row r="22" spans="1:23" ht="13.3" thickBot="1" x14ac:dyDescent="0.3">
      <c r="A22" s="148">
        <v>25.570723005002169</v>
      </c>
      <c r="B22" s="148">
        <v>344.77890480713012</v>
      </c>
      <c r="C22" s="148">
        <v>101.84933927674557</v>
      </c>
      <c r="D22" s="140">
        <v>1.6310000970833376</v>
      </c>
      <c r="E22" s="141">
        <v>10.150425477318182</v>
      </c>
      <c r="F22" s="141">
        <v>3.9315816793138496</v>
      </c>
      <c r="G22" s="142">
        <v>335.43307692307684</v>
      </c>
      <c r="H22" s="142">
        <v>11.57215441219409</v>
      </c>
      <c r="I22" s="143"/>
      <c r="M22" s="144"/>
      <c r="O22" s="75">
        <v>2037.2699999999995</v>
      </c>
      <c r="P22" s="75">
        <v>2.6288430120303055</v>
      </c>
      <c r="Q22" s="144">
        <v>40.111755758141065</v>
      </c>
      <c r="U22" s="62">
        <v>3920.815555555555</v>
      </c>
      <c r="V22" s="62">
        <v>2.5120673718804536</v>
      </c>
      <c r="W22" s="144">
        <v>75.042685038478197</v>
      </c>
    </row>
    <row r="23" spans="1:23" ht="13.3" thickBot="1" x14ac:dyDescent="0.3">
      <c r="A23" s="148">
        <v>43.414681272581007</v>
      </c>
      <c r="B23" s="148">
        <v>379.65336772507806</v>
      </c>
      <c r="C23" s="148">
        <v>95.866843996131252</v>
      </c>
      <c r="D23" s="140">
        <v>2.8576148001321533</v>
      </c>
      <c r="E23" s="141">
        <v>9.4140023045633647</v>
      </c>
      <c r="F23" s="141">
        <v>3.5251487633777354</v>
      </c>
      <c r="G23" s="142">
        <v>336.02538461538467</v>
      </c>
      <c r="H23" s="142">
        <v>10.456562354040145</v>
      </c>
      <c r="I23" s="143"/>
      <c r="M23" s="144"/>
      <c r="O23" s="75">
        <v>2053.8666666666668</v>
      </c>
      <c r="P23" s="75">
        <v>2.3034632798259538</v>
      </c>
      <c r="Q23" s="144">
        <v>35.908354529257942</v>
      </c>
      <c r="U23" s="62">
        <v>3944.3088888888888</v>
      </c>
      <c r="V23" s="62">
        <v>3.1482468184519448</v>
      </c>
      <c r="W23" s="144">
        <v>85.209581686037936</v>
      </c>
    </row>
    <row r="24" spans="1:23" ht="13.3" thickBot="1" x14ac:dyDescent="0.3">
      <c r="A24" s="148">
        <v>35.039591535815987</v>
      </c>
      <c r="B24" s="148">
        <v>415.4205872967745</v>
      </c>
      <c r="C24" s="148">
        <v>96.501024749904261</v>
      </c>
      <c r="D24" s="140">
        <v>2.4783164492584366</v>
      </c>
      <c r="E24" s="141">
        <v>9.7366409514732943</v>
      </c>
      <c r="F24" s="141">
        <v>3.5499982911574524</v>
      </c>
      <c r="G24" s="142">
        <v>339.28923076923081</v>
      </c>
      <c r="H24" s="142">
        <v>11.11813013265945</v>
      </c>
      <c r="I24" s="143"/>
      <c r="M24" s="144"/>
      <c r="O24" s="75">
        <v>2041.9366666666663</v>
      </c>
      <c r="P24" s="75">
        <v>2.552796644768593</v>
      </c>
      <c r="Q24" s="144">
        <v>37.764742816552022</v>
      </c>
      <c r="U24" s="62">
        <v>3960.3511111111115</v>
      </c>
      <c r="V24" s="62">
        <v>3.8274929857002946</v>
      </c>
      <c r="W24" s="144">
        <v>99.947547299123073</v>
      </c>
    </row>
    <row r="25" spans="1:23" ht="13.3" thickBot="1" x14ac:dyDescent="0.3">
      <c r="A25" s="148">
        <v>27.194886008196804</v>
      </c>
      <c r="B25" s="148">
        <v>386.62913774053709</v>
      </c>
      <c r="C25" s="148">
        <v>102.22933825473098</v>
      </c>
      <c r="D25" s="140">
        <v>1.7002187577880818</v>
      </c>
      <c r="E25" s="141">
        <v>10.741442732937587</v>
      </c>
      <c r="F25" s="141">
        <v>3.8066480030318122</v>
      </c>
      <c r="G25" s="142">
        <v>347.54076923076923</v>
      </c>
      <c r="H25" s="142">
        <v>11.502041159883813</v>
      </c>
      <c r="I25" s="143"/>
      <c r="M25" s="144"/>
      <c r="O25" s="75">
        <v>2053.0633333333335</v>
      </c>
      <c r="P25" s="75">
        <v>3.8363133421831264</v>
      </c>
      <c r="Q25" s="144">
        <v>58.121829806001877</v>
      </c>
      <c r="U25" s="62">
        <v>3895.7488888888888</v>
      </c>
      <c r="V25" s="62">
        <v>3.5733788218407265</v>
      </c>
      <c r="W25" s="144">
        <v>90.483122244494638</v>
      </c>
    </row>
    <row r="26" spans="1:23" ht="13.3" thickBot="1" x14ac:dyDescent="0.3">
      <c r="A26" s="148">
        <v>23.908030554590585</v>
      </c>
      <c r="B26" s="148">
        <v>352.53345958220513</v>
      </c>
      <c r="C26" s="148">
        <v>118.43576191338309</v>
      </c>
      <c r="D26" s="140">
        <v>1.736575676905898</v>
      </c>
      <c r="E26" s="141">
        <v>9.220171275345578</v>
      </c>
      <c r="F26" s="141">
        <v>4.4999208892053417</v>
      </c>
      <c r="G26" s="142">
        <v>337.74230769230769</v>
      </c>
      <c r="H26" s="142">
        <v>10.772210818468293</v>
      </c>
      <c r="I26" s="143"/>
      <c r="M26" s="144"/>
      <c r="O26" s="75">
        <v>2042.5833333333333</v>
      </c>
      <c r="P26" s="75">
        <v>3.4445116464323209</v>
      </c>
      <c r="Q26" s="144">
        <v>50.785304961174951</v>
      </c>
      <c r="U26" s="62">
        <v>3954.7866666666669</v>
      </c>
      <c r="V26" s="62">
        <v>3.6041620771449336</v>
      </c>
      <c r="W26" s="144">
        <v>96.48851019677447</v>
      </c>
    </row>
    <row r="27" spans="1:23" ht="13.3" thickBot="1" x14ac:dyDescent="0.3">
      <c r="A27" s="148">
        <v>22.787432940126319</v>
      </c>
      <c r="B27" s="148">
        <v>368.62381986925112</v>
      </c>
      <c r="C27" s="148">
        <v>118.87658478905364</v>
      </c>
      <c r="D27" s="140">
        <v>1.5705791553897415</v>
      </c>
      <c r="E27" s="141">
        <v>9.4492722026728284</v>
      </c>
      <c r="F27" s="141">
        <v>4.3731734581856765</v>
      </c>
      <c r="G27" s="142">
        <v>337.70538461538456</v>
      </c>
      <c r="H27" s="142">
        <v>11.641002068489934</v>
      </c>
      <c r="I27" s="143"/>
      <c r="M27" s="144"/>
      <c r="O27" s="75">
        <v>2068.9433333333341</v>
      </c>
      <c r="P27" s="75">
        <v>3.1484652878408634</v>
      </c>
      <c r="Q27" s="144">
        <v>48.1100319579866</v>
      </c>
      <c r="U27" s="62">
        <v>3944.8333333333339</v>
      </c>
      <c r="V27" s="62">
        <v>2.2530708653400726</v>
      </c>
      <c r="W27" s="144">
        <v>64.388099832123117</v>
      </c>
    </row>
    <row r="28" spans="1:23" ht="13.3" thickBot="1" x14ac:dyDescent="0.3">
      <c r="A28" s="148">
        <v>41.549285192398216</v>
      </c>
      <c r="B28" s="148">
        <v>346.20018504473614</v>
      </c>
      <c r="C28" s="148">
        <v>126.89690097782081</v>
      </c>
      <c r="D28" s="140">
        <v>2.5563928613935154</v>
      </c>
      <c r="E28" s="141">
        <v>10.798642939530984</v>
      </c>
      <c r="F28" s="141">
        <v>4.838342469283428</v>
      </c>
      <c r="G28" s="142">
        <v>335.65000000000003</v>
      </c>
      <c r="H28" s="142">
        <v>10.874423194126022</v>
      </c>
      <c r="I28" s="143"/>
      <c r="M28" s="144"/>
      <c r="O28" s="75">
        <v>2085.2366666666667</v>
      </c>
      <c r="P28" s="75">
        <v>1.6351565882522623</v>
      </c>
      <c r="Q28" s="144">
        <v>20.305603906329274</v>
      </c>
      <c r="U28" s="62">
        <v>3903.2488888888888</v>
      </c>
      <c r="V28" s="62">
        <v>3.4454953127113686</v>
      </c>
      <c r="W28" s="144">
        <v>86.466291762231151</v>
      </c>
    </row>
    <row r="29" spans="1:23" ht="13.3" thickBot="1" x14ac:dyDescent="0.3">
      <c r="A29" s="148">
        <v>26.221024484192419</v>
      </c>
      <c r="B29" s="148">
        <v>331.0095434047193</v>
      </c>
      <c r="C29" s="148">
        <v>119.42590831879222</v>
      </c>
      <c r="D29" s="140">
        <v>1.7414735333236946</v>
      </c>
      <c r="E29" s="141">
        <v>9.1405817174515196</v>
      </c>
      <c r="F29" s="141">
        <v>4.3985608565813168</v>
      </c>
      <c r="G29" s="142">
        <v>337.29076923076923</v>
      </c>
      <c r="H29" s="142">
        <v>13.552022657265091</v>
      </c>
      <c r="I29" s="143"/>
      <c r="M29" s="144"/>
      <c r="O29" s="75">
        <v>2095.6566666666663</v>
      </c>
      <c r="P29" s="75">
        <v>1.3158367012914352</v>
      </c>
      <c r="Q29" s="144">
        <v>16.415351808641393</v>
      </c>
      <c r="U29" s="62">
        <v>3955.7644444444441</v>
      </c>
      <c r="V29" s="62">
        <v>3.6695788679864649</v>
      </c>
      <c r="W29" s="144">
        <v>91.969765563363254</v>
      </c>
    </row>
    <row r="30" spans="1:23" ht="13.3" thickBot="1" x14ac:dyDescent="0.3">
      <c r="A30" s="148">
        <v>39.135786053174257</v>
      </c>
      <c r="B30" s="148">
        <v>361.49488319338531</v>
      </c>
      <c r="C30" s="148">
        <v>106.47251638074819</v>
      </c>
      <c r="D30" s="140">
        <v>2.3227700543994438</v>
      </c>
      <c r="E30" s="141">
        <v>8.3239471150259003</v>
      </c>
      <c r="F30" s="141">
        <v>3.702305699418349</v>
      </c>
      <c r="G30" s="142">
        <v>337.83692307692303</v>
      </c>
      <c r="H30" s="142">
        <v>11.06368251038306</v>
      </c>
      <c r="I30" s="143"/>
      <c r="M30" s="144"/>
      <c r="O30" s="75">
        <v>2044.5233333333335</v>
      </c>
      <c r="P30" s="75">
        <v>3.5310839021068152</v>
      </c>
      <c r="Q30" s="144">
        <v>50.332364836158376</v>
      </c>
      <c r="U30" s="62">
        <v>3651.8666666666663</v>
      </c>
      <c r="V30" s="62">
        <v>4.045148011911035</v>
      </c>
      <c r="W30" s="144">
        <v>90.549827167163059</v>
      </c>
    </row>
    <row r="31" spans="1:23" ht="13.3" thickBot="1" x14ac:dyDescent="0.3">
      <c r="A31" s="148">
        <v>52.276766828101955</v>
      </c>
      <c r="B31" s="148">
        <v>337.48845550627163</v>
      </c>
      <c r="C31" s="148">
        <v>78.579452785085579</v>
      </c>
      <c r="D31" s="140">
        <v>2.8422824312524564</v>
      </c>
      <c r="E31" s="141">
        <v>9.8264110536828397</v>
      </c>
      <c r="F31" s="141">
        <v>3.0217176940282435</v>
      </c>
      <c r="G31" s="142">
        <v>334.56076923076932</v>
      </c>
      <c r="H31" s="142">
        <v>11.111758112180206</v>
      </c>
      <c r="I31" s="143"/>
      <c r="M31" s="144"/>
      <c r="O31" s="75">
        <v>2079.3233333333328</v>
      </c>
      <c r="P31" s="75">
        <v>3.4763399604697232</v>
      </c>
      <c r="Q31" s="144">
        <v>49.159356942515878</v>
      </c>
      <c r="U31" s="62">
        <v>3852.5533333333328</v>
      </c>
      <c r="V31" s="62">
        <v>4.0894959912594215</v>
      </c>
      <c r="W31" s="144">
        <v>100.22380854867365</v>
      </c>
    </row>
    <row r="32" spans="1:23" ht="13.3" thickBot="1" x14ac:dyDescent="0.3">
      <c r="A32" s="148">
        <v>39.456409491980359</v>
      </c>
      <c r="B32" s="148">
        <v>330.38507684216938</v>
      </c>
      <c r="C32" s="148">
        <v>119.27526613305903</v>
      </c>
      <c r="D32" s="140">
        <v>2.5425118923943648</v>
      </c>
      <c r="E32" s="141">
        <v>8.6591748768472954</v>
      </c>
      <c r="F32" s="141">
        <v>5.0775387097005122</v>
      </c>
      <c r="G32" s="142">
        <v>337.59999999999997</v>
      </c>
      <c r="H32" s="142">
        <v>11.36824251484091</v>
      </c>
      <c r="I32" s="143"/>
      <c r="M32" s="144"/>
      <c r="O32" s="75">
        <v>2055.8966666666665</v>
      </c>
      <c r="P32" s="75">
        <v>3.5544919322870245</v>
      </c>
      <c r="Q32" s="144">
        <v>45.758798607495258</v>
      </c>
      <c r="U32" s="62">
        <v>3793.3422222222216</v>
      </c>
      <c r="V32" s="62">
        <v>6.6890091623988734</v>
      </c>
      <c r="W32" s="144">
        <v>183.93572693862791</v>
      </c>
    </row>
    <row r="33" spans="1:24" ht="13.3" thickBot="1" x14ac:dyDescent="0.3">
      <c r="A33" s="148">
        <v>42.208569923675135</v>
      </c>
      <c r="B33" s="148">
        <v>361.83399636435058</v>
      </c>
      <c r="C33" s="148">
        <v>78.693957060124603</v>
      </c>
      <c r="D33" s="140">
        <v>2.5053960274309435</v>
      </c>
      <c r="E33" s="141">
        <v>8.1283230019649881</v>
      </c>
      <c r="F33" s="141">
        <v>3.0982425346441125</v>
      </c>
      <c r="G33" s="142"/>
      <c r="H33" s="142"/>
      <c r="I33" s="143"/>
      <c r="M33" s="144"/>
      <c r="O33" s="75">
        <v>2061.23</v>
      </c>
      <c r="P33" s="75">
        <v>4.5547841164222644</v>
      </c>
      <c r="Q33" s="144">
        <v>64.160053576985305</v>
      </c>
      <c r="U33" s="62">
        <v>3960.9755555555553</v>
      </c>
      <c r="V33" s="62">
        <v>3.9626776140185136</v>
      </c>
      <c r="W33" s="144">
        <v>104.95246913617879</v>
      </c>
    </row>
    <row r="34" spans="1:24" ht="13.3" thickBot="1" x14ac:dyDescent="0.3">
      <c r="A34" s="148">
        <v>40.210826278517047</v>
      </c>
      <c r="B34" s="148">
        <v>331.9446844731703</v>
      </c>
      <c r="C34" s="148">
        <v>82.226278713692551</v>
      </c>
      <c r="D34" s="140">
        <v>2.2734301487764395</v>
      </c>
      <c r="E34" s="141">
        <v>10.074783458201788</v>
      </c>
      <c r="F34" s="141">
        <v>2.9948803153902768</v>
      </c>
      <c r="G34" s="142">
        <v>334.11769230769227</v>
      </c>
      <c r="H34" s="142">
        <v>10.206472397129895</v>
      </c>
      <c r="I34" s="143"/>
      <c r="M34" s="144"/>
      <c r="O34" s="75">
        <v>2154.66</v>
      </c>
      <c r="P34" s="75">
        <v>1.9854775699040463</v>
      </c>
      <c r="Q34" s="144">
        <v>33.245895235364046</v>
      </c>
      <c r="U34" s="75"/>
      <c r="V34" s="75"/>
      <c r="W34" s="144"/>
    </row>
    <row r="35" spans="1:24" ht="13.3" thickBot="1" x14ac:dyDescent="0.3">
      <c r="A35" s="148">
        <v>23.364814893325438</v>
      </c>
      <c r="B35" s="148">
        <v>337.00510875207516</v>
      </c>
      <c r="C35" s="148">
        <v>119.56837044599634</v>
      </c>
      <c r="D35" s="140">
        <v>1.5570731168391785</v>
      </c>
      <c r="E35" s="141">
        <v>10.272176476497577</v>
      </c>
      <c r="F35" s="141">
        <v>4.4741130249622731</v>
      </c>
      <c r="G35" s="142">
        <v>330.86076923076922</v>
      </c>
      <c r="H35" s="142">
        <v>11.798828067489193</v>
      </c>
      <c r="I35" s="143"/>
      <c r="N35" s="149" t="s">
        <v>263</v>
      </c>
      <c r="O35" s="150">
        <f>AVERAGE(O3:O34)</f>
        <v>2063.0639784946238</v>
      </c>
      <c r="P35" s="150">
        <f>AVERAGE(P3:P34)</f>
        <v>2.8066447935248982</v>
      </c>
      <c r="Q35" s="150">
        <f>AVERAGE(Q3:Q34)</f>
        <v>43.922570107254437</v>
      </c>
      <c r="R35" s="149">
        <f>3*O36</f>
        <v>103.45612343466694</v>
      </c>
      <c r="T35" s="149" t="s">
        <v>263</v>
      </c>
      <c r="U35" s="150">
        <f>AVERAGE(U3:U34)</f>
        <v>3913.3241577060935</v>
      </c>
      <c r="V35" s="150">
        <f>AVERAGE(V3:V34)</f>
        <v>3.7215384589002838</v>
      </c>
      <c r="W35" s="150">
        <f>AVERAGE(W3:W34)</f>
        <v>98.165685876719166</v>
      </c>
      <c r="X35" s="149">
        <f>3*U36</f>
        <v>195.2443721329908</v>
      </c>
    </row>
    <row r="36" spans="1:24" ht="13.3" thickBot="1" x14ac:dyDescent="0.3">
      <c r="A36" s="148">
        <v>25.834464383801262</v>
      </c>
      <c r="B36" s="148">
        <v>351.4027167296656</v>
      </c>
      <c r="C36" s="148">
        <v>123.0362396929352</v>
      </c>
      <c r="D36" s="140">
        <v>1.7832802469048614</v>
      </c>
      <c r="E36" s="141">
        <v>9.8102686653631235</v>
      </c>
      <c r="F36" s="141">
        <v>4.7399331984057209</v>
      </c>
      <c r="G36" s="142">
        <v>342.64923076923083</v>
      </c>
      <c r="H36" s="142">
        <v>8.8852377975195385</v>
      </c>
      <c r="I36" s="143"/>
      <c r="N36" s="149" t="s">
        <v>186</v>
      </c>
      <c r="O36" s="149">
        <f>STDEV(O3:O34)</f>
        <v>34.485374478222312</v>
      </c>
      <c r="P36" s="149">
        <f>STDEV(P3:P34)</f>
        <v>0.77970776303227962</v>
      </c>
      <c r="Q36" s="150"/>
      <c r="R36" s="149">
        <f>3*P36</f>
        <v>2.3391232890968388</v>
      </c>
      <c r="T36" s="149" t="s">
        <v>186</v>
      </c>
      <c r="U36" s="149">
        <f>STDEV(U3:U34)</f>
        <v>65.081457377663597</v>
      </c>
      <c r="V36" s="149">
        <f>STDEV(V3:V34)</f>
        <v>0.91085064455388076</v>
      </c>
      <c r="W36" s="150"/>
      <c r="X36" s="149">
        <f>3*V36</f>
        <v>2.7325519336616422</v>
      </c>
    </row>
    <row r="37" spans="1:24" ht="13.3" thickBot="1" x14ac:dyDescent="0.3">
      <c r="A37" s="148">
        <v>13.996303083340621</v>
      </c>
      <c r="B37" s="148">
        <v>354.44465710460321</v>
      </c>
      <c r="C37" s="148">
        <v>121.00844020149344</v>
      </c>
      <c r="D37" s="140">
        <v>1.0152884769281083</v>
      </c>
      <c r="E37" s="141">
        <v>10.178023412439304</v>
      </c>
      <c r="F37" s="141">
        <v>4.4814175126430467</v>
      </c>
      <c r="G37" s="142">
        <v>336.44538461538468</v>
      </c>
      <c r="H37" s="142">
        <v>8.8051510938757716</v>
      </c>
      <c r="I37" s="143"/>
      <c r="N37" s="149" t="s">
        <v>188</v>
      </c>
      <c r="O37" s="150">
        <f>O35-R35</f>
        <v>1959.6078550599568</v>
      </c>
      <c r="P37" s="149">
        <f>P36-R36</f>
        <v>-1.559415526064559</v>
      </c>
      <c r="Q37" s="149"/>
      <c r="R37" s="149"/>
      <c r="T37" s="149" t="s">
        <v>188</v>
      </c>
      <c r="U37" s="150">
        <f>U35-X35</f>
        <v>3718.0797855731025</v>
      </c>
      <c r="V37" s="149">
        <f>V36-X36</f>
        <v>-1.8217012891077613</v>
      </c>
      <c r="W37" s="149"/>
      <c r="X37" s="149"/>
    </row>
    <row r="38" spans="1:24" ht="13.3" thickBot="1" x14ac:dyDescent="0.3">
      <c r="A38" s="148">
        <v>16.440420462971414</v>
      </c>
      <c r="B38" s="148">
        <v>244.19165178195865</v>
      </c>
      <c r="C38" s="148">
        <v>120.14202179090886</v>
      </c>
      <c r="D38" s="140">
        <v>1.2683143201696545</v>
      </c>
      <c r="E38" s="141">
        <v>10.263523874050687</v>
      </c>
      <c r="F38" s="141"/>
      <c r="G38" s="142">
        <v>339.23461538461532</v>
      </c>
      <c r="H38" s="142">
        <v>9.6257915947034949</v>
      </c>
      <c r="I38" s="143"/>
      <c r="N38" s="151" t="s">
        <v>189</v>
      </c>
      <c r="O38" s="150">
        <f>O35+R35</f>
        <v>2166.5201019292908</v>
      </c>
      <c r="P38" s="150">
        <f>P35+R36</f>
        <v>5.1457680826217373</v>
      </c>
      <c r="Q38" s="149"/>
      <c r="R38" s="149"/>
      <c r="T38" s="151" t="s">
        <v>189</v>
      </c>
      <c r="U38" s="150">
        <f>U35+X35</f>
        <v>4108.5685298390845</v>
      </c>
      <c r="V38" s="150">
        <f>V35+X36</f>
        <v>6.454090392561926</v>
      </c>
      <c r="W38" s="149"/>
      <c r="X38" s="149"/>
    </row>
    <row r="39" spans="1:24" ht="13.3" thickBot="1" x14ac:dyDescent="0.3">
      <c r="A39" s="148">
        <v>10.936009327004291</v>
      </c>
      <c r="B39" s="148">
        <v>310.56434768015254</v>
      </c>
      <c r="C39" s="148">
        <v>110.50089547150596</v>
      </c>
      <c r="D39" s="140">
        <v>0.7928916982021148</v>
      </c>
      <c r="E39" s="141">
        <v>8.6889697810134425</v>
      </c>
      <c r="F39" s="140">
        <v>4.3648747287678935</v>
      </c>
      <c r="G39" s="142">
        <v>331.91230769230776</v>
      </c>
      <c r="H39" s="142">
        <v>9.5920585039208071</v>
      </c>
      <c r="I39" s="143"/>
    </row>
    <row r="40" spans="1:24" ht="13.3" thickBot="1" x14ac:dyDescent="0.3">
      <c r="A40" s="148">
        <v>23.244716066249751</v>
      </c>
      <c r="B40" s="148">
        <v>286.31506216927301</v>
      </c>
      <c r="C40" s="148">
        <v>123.55069355441579</v>
      </c>
      <c r="D40" s="140">
        <v>1.5598087442988664</v>
      </c>
      <c r="E40" s="141">
        <v>10.155263187310652</v>
      </c>
      <c r="F40" s="141">
        <v>4.1848261140265075</v>
      </c>
      <c r="G40" s="142">
        <v>331.72</v>
      </c>
      <c r="H40" s="142">
        <v>10.309217688075607</v>
      </c>
      <c r="I40" s="143"/>
    </row>
    <row r="41" spans="1:24" ht="13.3" thickBot="1" x14ac:dyDescent="0.3">
      <c r="A41" s="148">
        <v>18.688616187408332</v>
      </c>
      <c r="B41" s="148">
        <v>326.24621273664411</v>
      </c>
      <c r="C41" s="148">
        <v>119.52303771427681</v>
      </c>
      <c r="D41" s="140">
        <v>1.2789070402239044</v>
      </c>
      <c r="E41" s="141">
        <v>8.9913881715391746</v>
      </c>
      <c r="F41" s="141">
        <v>4.6769438796561857</v>
      </c>
      <c r="G41" s="142">
        <v>333.64923076923083</v>
      </c>
      <c r="H41" s="142">
        <v>10.799964849585526</v>
      </c>
      <c r="I41" s="143"/>
    </row>
    <row r="42" spans="1:24" ht="13.3" thickBot="1" x14ac:dyDescent="0.3">
      <c r="A42" s="148">
        <v>35.194018312783506</v>
      </c>
      <c r="B42" s="148">
        <v>315.1222896353093</v>
      </c>
      <c r="C42" s="148">
        <v>120.05525010502708</v>
      </c>
      <c r="D42" s="140">
        <v>2.2192555687831601</v>
      </c>
      <c r="E42" s="141">
        <v>10.526007356312405</v>
      </c>
      <c r="F42" s="141">
        <v>4.7614087559923783</v>
      </c>
      <c r="G42" s="142">
        <v>336.28</v>
      </c>
      <c r="H42" s="142">
        <v>10.511808739047151</v>
      </c>
      <c r="I42" s="143"/>
    </row>
    <row r="43" spans="1:24" ht="13.3" thickBot="1" x14ac:dyDescent="0.3">
      <c r="A43" s="148">
        <v>16.366160209447855</v>
      </c>
      <c r="B43" s="148">
        <v>292.88980261354487</v>
      </c>
      <c r="C43" s="148">
        <v>117.25688257458013</v>
      </c>
      <c r="D43" s="140">
        <v>1.0315728009564877</v>
      </c>
      <c r="E43" s="141">
        <v>7.5114250673170568</v>
      </c>
      <c r="F43" s="141">
        <v>4.4880838701016366</v>
      </c>
      <c r="G43" s="142">
        <v>340.78076923076918</v>
      </c>
      <c r="H43" s="142">
        <v>10.220222658432851</v>
      </c>
      <c r="I43" s="143"/>
    </row>
    <row r="44" spans="1:24" ht="13.3" thickBot="1" x14ac:dyDescent="0.3">
      <c r="A44" s="148">
        <v>28.888428479199572</v>
      </c>
      <c r="B44" s="148">
        <v>335.9447006204955</v>
      </c>
      <c r="C44" s="148">
        <v>114.91070141636878</v>
      </c>
      <c r="D44" s="140">
        <v>1.7397669820550072</v>
      </c>
      <c r="E44" s="141">
        <v>9.3685660329134457</v>
      </c>
      <c r="F44" s="141">
        <v>4.3785849430522124</v>
      </c>
      <c r="G44" s="142">
        <v>333.69846153846152</v>
      </c>
      <c r="H44" s="142">
        <v>10.322816777688338</v>
      </c>
      <c r="I44" s="143"/>
    </row>
    <row r="45" spans="1:24" ht="13.3" thickBot="1" x14ac:dyDescent="0.3">
      <c r="A45" s="148">
        <v>125.9418628772777</v>
      </c>
      <c r="B45" s="148">
        <v>345.59253702880341</v>
      </c>
      <c r="C45" s="148">
        <v>114.74501751468863</v>
      </c>
      <c r="D45" s="140">
        <v>8.7301587301587187</v>
      </c>
      <c r="E45" s="141">
        <v>9.6213841478616011</v>
      </c>
      <c r="F45" s="141">
        <v>4.3504997681551805</v>
      </c>
      <c r="G45" s="142">
        <v>338.09076923076924</v>
      </c>
      <c r="H45" s="142">
        <v>11.017462837350221</v>
      </c>
      <c r="I45" s="143"/>
    </row>
    <row r="46" spans="1:24" ht="13.3" thickBot="1" x14ac:dyDescent="0.3">
      <c r="A46" s="148">
        <v>29.488049698129114</v>
      </c>
      <c r="B46" s="148">
        <v>322.73748500135707</v>
      </c>
      <c r="C46" s="148">
        <v>113.63198757388541</v>
      </c>
      <c r="D46" s="140">
        <v>1.9412273832584637</v>
      </c>
      <c r="E46" s="141">
        <v>9.3814149653400349</v>
      </c>
      <c r="F46" s="141">
        <v>4.4039932452567845</v>
      </c>
      <c r="G46" s="142">
        <v>333.72846153846154</v>
      </c>
      <c r="H46" s="142">
        <v>10.261693797650901</v>
      </c>
      <c r="I46" s="143"/>
    </row>
    <row r="47" spans="1:24" ht="13.3" thickBot="1" x14ac:dyDescent="0.3">
      <c r="A47" s="148">
        <v>28.887312959171911</v>
      </c>
      <c r="B47" s="148">
        <v>821.41065017748372</v>
      </c>
      <c r="C47" s="148">
        <v>121.6303539874658</v>
      </c>
      <c r="D47" s="140">
        <v>1.8375896072656221</v>
      </c>
      <c r="E47" s="141">
        <v>8.8686829213828222</v>
      </c>
      <c r="F47" s="141">
        <v>4.3102720787891693</v>
      </c>
      <c r="G47" s="142">
        <v>339.26153846153841</v>
      </c>
      <c r="H47" s="142">
        <v>11.189818014282432</v>
      </c>
      <c r="I47" s="143"/>
    </row>
    <row r="48" spans="1:24" ht="13.3" thickBot="1" x14ac:dyDescent="0.3">
      <c r="A48" s="148">
        <v>30.226515263921442</v>
      </c>
      <c r="B48" s="148">
        <v>318.80616105244115</v>
      </c>
      <c r="C48" s="148">
        <v>117.03816504788786</v>
      </c>
      <c r="D48" s="140">
        <v>1.9224413352429262</v>
      </c>
      <c r="E48" s="141">
        <v>24.764693760865484</v>
      </c>
      <c r="F48" s="141">
        <v>4.4939706037751703</v>
      </c>
      <c r="G48" s="142">
        <v>335.61692307692317</v>
      </c>
      <c r="H48" s="142">
        <v>10.874718328407122</v>
      </c>
      <c r="I48" s="143"/>
    </row>
    <row r="49" spans="1:9" ht="13.3" thickBot="1" x14ac:dyDescent="0.3">
      <c r="A49" s="148">
        <v>26.640912146555479</v>
      </c>
      <c r="B49" s="148">
        <v>313.42296330198099</v>
      </c>
      <c r="C49" s="148">
        <v>109.14838523769977</v>
      </c>
      <c r="D49" s="140">
        <v>1.6403846419160286</v>
      </c>
      <c r="E49" s="141">
        <v>8.4832588828325992</v>
      </c>
      <c r="F49" s="141">
        <v>4.3218515862614622</v>
      </c>
      <c r="G49" s="142">
        <v>339.39076923076925</v>
      </c>
      <c r="H49" s="142">
        <v>11.306694999210331</v>
      </c>
      <c r="I49" s="143"/>
    </row>
    <row r="50" spans="1:9" ht="13.3" thickBot="1" x14ac:dyDescent="0.3">
      <c r="A50" s="148">
        <v>43.068165447328205</v>
      </c>
      <c r="B50" s="148">
        <v>311.06553212305249</v>
      </c>
      <c r="C50" s="148">
        <v>135.76065560799807</v>
      </c>
      <c r="D50" s="140">
        <v>2.5792860721121027</v>
      </c>
      <c r="E50" s="141">
        <v>9.6355041471144354</v>
      </c>
      <c r="F50" s="141">
        <v>4.029415582470449</v>
      </c>
      <c r="G50" s="142">
        <v>335.03615384615381</v>
      </c>
      <c r="H50" s="142">
        <v>10.560527006150348</v>
      </c>
      <c r="I50" s="143"/>
    </row>
    <row r="51" spans="1:9" ht="13.3" thickBot="1" x14ac:dyDescent="0.3">
      <c r="A51" s="148">
        <v>15.653500407286764</v>
      </c>
      <c r="B51" s="148">
        <v>299.68289695110741</v>
      </c>
      <c r="C51" s="148">
        <v>113.76677727310576</v>
      </c>
      <c r="D51" s="140">
        <v>1.1910941511525039</v>
      </c>
      <c r="E51" s="141">
        <v>8.5691773674907523</v>
      </c>
      <c r="F51" s="141">
        <v>5.7121766116030948</v>
      </c>
      <c r="G51" s="142">
        <v>336.04538461538465</v>
      </c>
      <c r="H51" s="142">
        <v>13.278245192307672</v>
      </c>
      <c r="I51" s="143"/>
    </row>
    <row r="52" spans="1:9" ht="13.3" thickBot="1" x14ac:dyDescent="0.3">
      <c r="A52" s="148">
        <v>20.993934838414692</v>
      </c>
      <c r="B52" s="148">
        <v>275.5820350186147</v>
      </c>
      <c r="C52" s="148">
        <v>131.01272410639947</v>
      </c>
      <c r="D52" s="140">
        <v>1.255370663233178</v>
      </c>
      <c r="E52" s="141">
        <v>9.676540035583999</v>
      </c>
      <c r="F52" s="141">
        <v>4.4917152478008546</v>
      </c>
      <c r="G52" s="142">
        <v>334.51307692307694</v>
      </c>
      <c r="H52" s="142">
        <v>9.6616601480146009</v>
      </c>
      <c r="I52" s="143"/>
    </row>
    <row r="53" spans="1:9" ht="13.3" thickBot="1" x14ac:dyDescent="0.3">
      <c r="A53" s="148">
        <v>24.541503621443656</v>
      </c>
      <c r="B53" s="148">
        <v>332.89306492476999</v>
      </c>
      <c r="C53" s="148">
        <v>115.18053698433471</v>
      </c>
      <c r="D53" s="140">
        <v>1.5638111221298368</v>
      </c>
      <c r="E53" s="141">
        <v>7.0817198821448519</v>
      </c>
      <c r="F53" s="141">
        <v>5.5548991808443686</v>
      </c>
      <c r="G53" s="142">
        <v>336.87230769230769</v>
      </c>
      <c r="H53" s="142">
        <v>10.774308420549767</v>
      </c>
      <c r="I53" s="143"/>
    </row>
    <row r="54" spans="1:9" ht="13.3" thickBot="1" x14ac:dyDescent="0.3">
      <c r="A54" s="148">
        <v>17.747408965798726</v>
      </c>
      <c r="B54" s="148">
        <v>314.72359496070879</v>
      </c>
      <c r="C54" s="148">
        <v>127.30018032630608</v>
      </c>
      <c r="D54" s="140">
        <v>1.4107570222949892</v>
      </c>
      <c r="E54" s="141">
        <v>11.260243729485161</v>
      </c>
      <c r="F54" s="141">
        <v>4.156777037848383</v>
      </c>
      <c r="G54" s="142">
        <v>334.26076923076926</v>
      </c>
      <c r="H54" s="142">
        <v>10.611411060849298</v>
      </c>
      <c r="I54" s="143"/>
    </row>
    <row r="55" spans="1:9" ht="13.3" thickBot="1" x14ac:dyDescent="0.3">
      <c r="A55" s="148">
        <v>20.527032786095532</v>
      </c>
      <c r="B55" s="148">
        <v>298.61553534602558</v>
      </c>
      <c r="C55" s="148">
        <v>114.66075474102971</v>
      </c>
      <c r="D55" s="140">
        <v>1.4605310518592292</v>
      </c>
      <c r="E55" s="141">
        <v>8.7133633491144522</v>
      </c>
      <c r="F55" s="141">
        <v>5.3543252560925323</v>
      </c>
      <c r="G55" s="142">
        <v>341.06384615384616</v>
      </c>
      <c r="H55" s="142">
        <v>11.722740756819295</v>
      </c>
      <c r="I55" s="143"/>
    </row>
    <row r="56" spans="1:9" x14ac:dyDescent="0.25">
      <c r="A56" s="148">
        <v>20.098707669886391</v>
      </c>
      <c r="B56" s="148">
        <v>354.26184239204326</v>
      </c>
      <c r="D56" s="140">
        <v>1.3817866823148208</v>
      </c>
      <c r="E56" s="141">
        <v>9.2711130926475214</v>
      </c>
      <c r="F56" s="141">
        <v>4.4092543128552055</v>
      </c>
      <c r="G56" s="142">
        <v>338.75692307692316</v>
      </c>
      <c r="H56" s="142">
        <v>10.243353576735025</v>
      </c>
      <c r="I56" s="143"/>
    </row>
    <row r="57" spans="1:9" x14ac:dyDescent="0.25">
      <c r="B57" s="148">
        <v>306.02245681485579</v>
      </c>
      <c r="E57" s="141">
        <v>9.8816881145146649</v>
      </c>
      <c r="G57" s="142">
        <v>335.17461538461544</v>
      </c>
      <c r="H57" s="142">
        <v>10.679413564953833</v>
      </c>
      <c r="I57" s="143"/>
    </row>
    <row r="58" spans="1:9" x14ac:dyDescent="0.25">
      <c r="A58" s="152">
        <f>AVERAGE(A2:A56)</f>
        <v>30.924687838129209</v>
      </c>
      <c r="B58" s="152">
        <f>AVERAGE(B2:B56)</f>
        <v>340.10191016284034</v>
      </c>
      <c r="C58" s="152">
        <f>AVERAGE(C2:C56)</f>
        <v>110.46812558195597</v>
      </c>
      <c r="E58" s="141">
        <v>9.174013523923799</v>
      </c>
      <c r="I58" s="143"/>
    </row>
    <row r="59" spans="1:9" x14ac:dyDescent="0.25">
      <c r="E59" s="141">
        <v>8.7098315949281719</v>
      </c>
    </row>
    <row r="60" spans="1:9" x14ac:dyDescent="0.25">
      <c r="D60" s="10">
        <f>STDEV(D2:D56)</f>
        <v>1.1371599906672591</v>
      </c>
      <c r="E60" s="10">
        <f>STDEV(E2:E59)</f>
        <v>2.3468798476854595</v>
      </c>
      <c r="F60" s="10">
        <f>STDEV(F2:F56)</f>
        <v>0.54206237083856768</v>
      </c>
      <c r="G60" s="10">
        <f>STDEV(G2:G56)</f>
        <v>4.6615613759219032</v>
      </c>
      <c r="H60" s="10">
        <f>STDEV(H2:H56)</f>
        <v>1.009289446068379</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81640625" defaultRowHeight="16.100000000000001" x14ac:dyDescent="0.35"/>
  <cols>
    <col min="1" max="1" width="13.453125" bestFit="1" customWidth="1"/>
    <col min="2" max="2" width="9.17968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RESP1B-CP</vt:lpstr>
      <vt:lpstr>ER-BARC,PR &amp; TEOS</vt:lpstr>
      <vt:lpstr>SIN ER</vt:lpstr>
      <vt:lpstr>CP Plot</vt:lpstr>
      <vt:lpstr>BARC Plot</vt:lpstr>
      <vt:lpstr>PR Plot</vt:lpstr>
      <vt:lpstr>TEOS Plot</vt:lpstr>
      <vt:lpstr>SIN Plot</vt:lpstr>
      <vt:lpstr>RUN_code</vt:lpstr>
      <vt:lpstr>CL calculation Sheet</vt:lpstr>
      <vt:lpstr>_xlwings.conf</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2019-05-13T19:32:26Z</dcterms:modified>
</cp:coreProperties>
</file>