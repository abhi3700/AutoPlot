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CNT01_Ch_A_QC_LOG_BOOK\"/>
    </mc:Choice>
  </mc:AlternateContent>
  <bookViews>
    <workbookView xWindow="-5350" yWindow="-21135" windowWidth="20725" windowHeight="11764" tabRatio="564" firstSheet="2" activeTab="2"/>
  </bookViews>
  <sheets>
    <sheet name="REPL1A-WSA" sheetId="1" r:id="rId1"/>
    <sheet name="_xlwings.conf" sheetId="2" state="hidden" r:id="rId2"/>
    <sheet name="REPL1A-CP" sheetId="4" r:id="rId3"/>
    <sheet name="REPL1A-ERNit" sheetId="5" r:id="rId4"/>
    <sheet name="REPL1A-ERPoly" sheetId="6" r:id="rId5"/>
    <sheet name="CP Plot" sheetId="7" state="hidden" r:id="rId6"/>
    <sheet name="SiN Plot" sheetId="8" state="hidden" r:id="rId7"/>
    <sheet name="Poly Plot" sheetId="9" state="hidden" r:id="rId8"/>
    <sheet name="RUN_code" sheetId="3" r:id="rId9"/>
    <sheet name="control limit calculation" sheetId="10" r:id="rId10"/>
    <sheet name="Daily CP monitor" sheetId="11" r:id="rId11"/>
    <sheet name="Sheet6" sheetId="12" r:id="rId12"/>
    <sheet name="Sheet7" sheetId="13" r:id="rId13"/>
  </sheets>
  <definedNames>
    <definedName name="_xlnm._FilterDatabase" localSheetId="2" hidden="1">'REPL1A-CP'!$A$9:$I$136</definedName>
    <definedName name="_xlnm._FilterDatabase" localSheetId="3" hidden="1">'REPL1A-ERNit'!$A$10:$AE$226</definedName>
    <definedName name="_xlnm._FilterDatabase" localSheetId="4" hidden="1">'REPL1A-ERPoly'!$A$10:$AH$244</definedName>
    <definedName name="SIN0902_" localSheetId="11">Sheet6!$A$1:$J$27</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136" i="4" l="1"/>
  <c r="E136" i="4"/>
  <c r="D135" i="4"/>
  <c r="E135" i="4"/>
  <c r="D134" i="4"/>
  <c r="E134" i="4"/>
  <c r="D133" i="4"/>
  <c r="E133" i="4"/>
  <c r="D132" i="4"/>
  <c r="E132" i="4"/>
  <c r="D131" i="4"/>
  <c r="E131" i="4"/>
  <c r="D130" i="4"/>
  <c r="E130" i="4"/>
  <c r="D129" i="4"/>
  <c r="E129" i="4"/>
  <c r="D128" i="4"/>
  <c r="E128" i="4"/>
  <c r="D127" i="4"/>
  <c r="E127" i="4"/>
  <c r="D126" i="4"/>
  <c r="E126" i="4"/>
  <c r="D125" i="4"/>
  <c r="E125" i="4"/>
  <c r="D124" i="4"/>
  <c r="E124" i="4"/>
  <c r="D123" i="4"/>
  <c r="E123" i="4"/>
  <c r="D122" i="4"/>
  <c r="E122" i="4"/>
  <c r="D121" i="4"/>
  <c r="E121" i="4"/>
  <c r="D120" i="4"/>
  <c r="E120" i="4"/>
  <c r="D119" i="4"/>
  <c r="E119" i="4"/>
  <c r="D118" i="4"/>
  <c r="E118" i="4"/>
  <c r="D117" i="4"/>
  <c r="E117" i="4"/>
  <c r="D116" i="4"/>
  <c r="E116" i="4"/>
  <c r="D115" i="4"/>
  <c r="E115" i="4"/>
  <c r="D114" i="4"/>
  <c r="E114" i="4"/>
  <c r="D113" i="4"/>
  <c r="E113" i="4"/>
  <c r="D112" i="4"/>
  <c r="E112" i="4"/>
  <c r="D111" i="4"/>
  <c r="E111" i="4"/>
  <c r="D110" i="4"/>
  <c r="E110" i="4"/>
  <c r="D109" i="4"/>
  <c r="E109" i="4"/>
  <c r="D108" i="4"/>
  <c r="E108" i="4"/>
  <c r="S17" i="13"/>
  <c r="R17" i="13"/>
  <c r="Q17" i="13"/>
  <c r="P17" i="13"/>
  <c r="O17" i="13"/>
  <c r="N17" i="13"/>
  <c r="M17" i="13"/>
  <c r="L17" i="13"/>
  <c r="K17" i="13"/>
  <c r="J17" i="13"/>
  <c r="I17" i="13"/>
  <c r="H17" i="13"/>
  <c r="G17" i="13"/>
  <c r="F17" i="13"/>
  <c r="E17" i="13"/>
  <c r="D17" i="13"/>
  <c r="C17" i="13"/>
  <c r="T15" i="13"/>
  <c r="U15" i="13"/>
  <c r="X15" i="13"/>
  <c r="W15" i="13"/>
  <c r="V15" i="13"/>
  <c r="S11" i="13"/>
  <c r="R11" i="13"/>
  <c r="Q11" i="13"/>
  <c r="P11" i="13"/>
  <c r="O11" i="13"/>
  <c r="N11" i="13"/>
  <c r="M11" i="13"/>
  <c r="L11" i="13"/>
  <c r="K11" i="13"/>
  <c r="J11" i="13"/>
  <c r="I11" i="13"/>
  <c r="H11" i="13"/>
  <c r="G11" i="13"/>
  <c r="F11" i="13"/>
  <c r="E11" i="13"/>
  <c r="D11" i="13"/>
  <c r="C11" i="13"/>
  <c r="T9" i="13"/>
  <c r="U9" i="13"/>
  <c r="X9" i="13"/>
  <c r="W9" i="13"/>
  <c r="V9" i="13"/>
  <c r="S5" i="13"/>
  <c r="R5" i="13"/>
  <c r="Q5" i="13"/>
  <c r="P5" i="13"/>
  <c r="O5" i="13"/>
  <c r="N5" i="13"/>
  <c r="M5" i="13"/>
  <c r="L5" i="13"/>
  <c r="K5" i="13"/>
  <c r="J5" i="13"/>
  <c r="I5" i="13"/>
  <c r="H5" i="13"/>
  <c r="G5" i="13"/>
  <c r="F5" i="13"/>
  <c r="E5" i="13"/>
  <c r="D5" i="13"/>
  <c r="C5" i="13"/>
  <c r="T3" i="13"/>
  <c r="U3" i="13"/>
  <c r="X3" i="13"/>
  <c r="W3" i="13"/>
  <c r="V3" i="13"/>
  <c r="D257" i="11"/>
  <c r="E257" i="11"/>
  <c r="D256" i="11"/>
  <c r="E256" i="11"/>
  <c r="D255" i="11"/>
  <c r="E255" i="11"/>
  <c r="D254" i="11"/>
  <c r="E254" i="11"/>
  <c r="D253" i="11"/>
  <c r="E253" i="11"/>
  <c r="D252" i="11"/>
  <c r="E252" i="11"/>
  <c r="D251" i="11"/>
  <c r="E251" i="11"/>
  <c r="D250" i="11"/>
  <c r="E250" i="11"/>
  <c r="D249" i="11"/>
  <c r="E249" i="11"/>
  <c r="D248" i="11"/>
  <c r="E248" i="11"/>
  <c r="D84" i="11"/>
  <c r="E84" i="11"/>
  <c r="D83" i="11"/>
  <c r="E83" i="11"/>
  <c r="D82" i="11"/>
  <c r="E82" i="11"/>
  <c r="D81" i="11"/>
  <c r="E81" i="11"/>
  <c r="D80" i="11"/>
  <c r="E80" i="11"/>
  <c r="D79" i="11"/>
  <c r="E79" i="11"/>
  <c r="D78" i="11"/>
  <c r="E78" i="11"/>
  <c r="D77" i="11"/>
  <c r="E77" i="11"/>
  <c r="D76" i="11"/>
  <c r="E76" i="11"/>
  <c r="D75" i="11"/>
  <c r="E75" i="11"/>
  <c r="D74" i="11"/>
  <c r="E74" i="11"/>
  <c r="D73" i="11"/>
  <c r="E73" i="11"/>
  <c r="D72" i="11"/>
  <c r="E72" i="11"/>
  <c r="D71" i="11"/>
  <c r="E71" i="11"/>
  <c r="D70" i="11"/>
  <c r="E70" i="11"/>
  <c r="D69" i="11"/>
  <c r="E69" i="11"/>
  <c r="D68" i="11"/>
  <c r="E68" i="11"/>
  <c r="D67" i="11"/>
  <c r="E67" i="11"/>
  <c r="D66" i="11"/>
  <c r="E66" i="11"/>
  <c r="D65" i="11"/>
  <c r="E65" i="11"/>
  <c r="D64" i="11"/>
  <c r="E64" i="11"/>
  <c r="D63" i="11"/>
  <c r="E63" i="11"/>
  <c r="D62" i="11"/>
  <c r="E62" i="11"/>
  <c r="D61" i="11"/>
  <c r="E61" i="11"/>
  <c r="D60" i="11"/>
  <c r="E60" i="11"/>
  <c r="D59" i="11"/>
  <c r="E59" i="11"/>
  <c r="D58" i="11"/>
  <c r="E58" i="11"/>
  <c r="D57" i="11"/>
  <c r="E57" i="11"/>
  <c r="D56" i="11"/>
  <c r="E56" i="11"/>
  <c r="D55" i="11"/>
  <c r="E55" i="11"/>
  <c r="D54" i="11"/>
  <c r="E54" i="11"/>
  <c r="D53" i="11"/>
  <c r="E53" i="11"/>
  <c r="D52" i="11"/>
  <c r="E52" i="11"/>
  <c r="D51" i="11"/>
  <c r="E51" i="11"/>
  <c r="D50" i="11"/>
  <c r="E50" i="11"/>
  <c r="D49" i="11"/>
  <c r="E49" i="11"/>
  <c r="D48" i="11"/>
  <c r="E48" i="11"/>
  <c r="D47" i="11"/>
  <c r="E47" i="11"/>
  <c r="D46" i="11"/>
  <c r="E46" i="11"/>
  <c r="D45" i="11"/>
  <c r="E45" i="11"/>
  <c r="D44" i="11"/>
  <c r="E44" i="11"/>
  <c r="D43" i="11"/>
  <c r="E43" i="11"/>
  <c r="D42" i="11"/>
  <c r="E42" i="11"/>
  <c r="D41" i="11"/>
  <c r="E41" i="11"/>
  <c r="D40" i="11"/>
  <c r="E40" i="11"/>
  <c r="D39" i="11"/>
  <c r="E39" i="11"/>
  <c r="D38" i="11"/>
  <c r="E38" i="11"/>
  <c r="D37" i="11"/>
  <c r="E37" i="11"/>
  <c r="D36" i="11"/>
  <c r="E36" i="11"/>
  <c r="D35" i="11"/>
  <c r="E35" i="11"/>
  <c r="D34" i="11"/>
  <c r="E34" i="11"/>
  <c r="D33" i="11"/>
  <c r="E33" i="11"/>
  <c r="D32" i="11"/>
  <c r="E32" i="11"/>
  <c r="D31" i="11"/>
  <c r="E31" i="11"/>
  <c r="D30" i="11"/>
  <c r="E30" i="11"/>
  <c r="D29" i="11"/>
  <c r="E29" i="11"/>
  <c r="D28" i="11"/>
  <c r="E28" i="11"/>
  <c r="D27" i="11"/>
  <c r="E27" i="11"/>
  <c r="D26" i="11"/>
  <c r="E26" i="11"/>
  <c r="D25" i="11"/>
  <c r="E25" i="11"/>
  <c r="D24" i="11"/>
  <c r="E24" i="11"/>
  <c r="D23" i="11"/>
  <c r="E23" i="11"/>
  <c r="D22" i="11"/>
  <c r="E22" i="11"/>
  <c r="D21" i="11"/>
  <c r="E21" i="11"/>
  <c r="D20" i="11"/>
  <c r="E20" i="11"/>
  <c r="D19" i="11"/>
  <c r="E19" i="11"/>
  <c r="D18" i="11"/>
  <c r="E18" i="11"/>
  <c r="D17" i="11"/>
  <c r="E17" i="11"/>
  <c r="D16" i="11"/>
  <c r="E16" i="11"/>
  <c r="D15" i="11"/>
  <c r="E15" i="11"/>
  <c r="D14" i="11"/>
  <c r="E14" i="11"/>
  <c r="D13" i="11"/>
  <c r="E13" i="11"/>
  <c r="D12" i="11"/>
  <c r="E12" i="11"/>
  <c r="D11" i="11"/>
  <c r="E11" i="11"/>
  <c r="D10" i="11"/>
  <c r="E10" i="11"/>
  <c r="D9" i="11"/>
  <c r="E9" i="11"/>
  <c r="D8" i="11"/>
  <c r="E8" i="11"/>
  <c r="D7" i="11"/>
  <c r="E7" i="11"/>
  <c r="D6" i="11"/>
  <c r="E6" i="11"/>
  <c r="D5" i="11"/>
  <c r="E5" i="11"/>
  <c r="D4" i="11"/>
  <c r="E4" i="11"/>
  <c r="D3" i="11"/>
  <c r="E3" i="11"/>
  <c r="Q41" i="10"/>
  <c r="Q40" i="10"/>
  <c r="Q42" i="10"/>
  <c r="Q44" i="10"/>
  <c r="O41" i="10"/>
  <c r="P41" i="10"/>
  <c r="P42" i="10"/>
  <c r="O44" i="10"/>
  <c r="M41" i="10"/>
  <c r="M40" i="10"/>
  <c r="M42" i="10"/>
  <c r="M44" i="10"/>
  <c r="K41" i="10"/>
  <c r="L41" i="10"/>
  <c r="L42" i="10"/>
  <c r="K44" i="10"/>
  <c r="I41" i="10"/>
  <c r="I40" i="10"/>
  <c r="I42" i="10"/>
  <c r="I44" i="10"/>
  <c r="G41" i="10"/>
  <c r="H41" i="10"/>
  <c r="H42" i="10"/>
  <c r="G44" i="10"/>
  <c r="D41" i="10"/>
  <c r="D40" i="10"/>
  <c r="D42" i="10"/>
  <c r="D44" i="10"/>
  <c r="B41" i="10"/>
  <c r="C41" i="10"/>
  <c r="C42" i="10"/>
  <c r="B44" i="10"/>
  <c r="Q43" i="10"/>
  <c r="O43" i="10"/>
  <c r="M43" i="10"/>
  <c r="K43" i="10"/>
  <c r="I43" i="10"/>
  <c r="G43" i="10"/>
  <c r="D43" i="10"/>
  <c r="B43" i="10"/>
  <c r="S244" i="6"/>
  <c r="R244" i="6"/>
  <c r="Q244" i="6"/>
  <c r="P244" i="6"/>
  <c r="O244" i="6"/>
  <c r="N244" i="6"/>
  <c r="M244" i="6"/>
  <c r="L244" i="6"/>
  <c r="K244" i="6"/>
  <c r="J244" i="6"/>
  <c r="I244" i="6"/>
  <c r="H244" i="6"/>
  <c r="G244" i="6"/>
  <c r="F244" i="6"/>
  <c r="E244" i="6"/>
  <c r="D244" i="6"/>
  <c r="C244" i="6"/>
  <c r="T242" i="6"/>
  <c r="U242" i="6"/>
  <c r="X242" i="6"/>
  <c r="V242" i="6"/>
  <c r="Y242" i="6"/>
  <c r="W242" i="6"/>
  <c r="S241" i="6"/>
  <c r="R241" i="6"/>
  <c r="Q241" i="6"/>
  <c r="P241" i="6"/>
  <c r="O241" i="6"/>
  <c r="N241" i="6"/>
  <c r="M241" i="6"/>
  <c r="L241" i="6"/>
  <c r="K241" i="6"/>
  <c r="J241" i="6"/>
  <c r="I241" i="6"/>
  <c r="H241" i="6"/>
  <c r="G241" i="6"/>
  <c r="F241" i="6"/>
  <c r="E241" i="6"/>
  <c r="D241" i="6"/>
  <c r="C241" i="6"/>
  <c r="T239" i="6"/>
  <c r="U239" i="6"/>
  <c r="X239" i="6"/>
  <c r="V239" i="6"/>
  <c r="Y239" i="6"/>
  <c r="W239" i="6"/>
  <c r="S238" i="6"/>
  <c r="R238" i="6"/>
  <c r="Q238" i="6"/>
  <c r="P238" i="6"/>
  <c r="O238" i="6"/>
  <c r="N238" i="6"/>
  <c r="M238" i="6"/>
  <c r="L238" i="6"/>
  <c r="K238" i="6"/>
  <c r="J238" i="6"/>
  <c r="I238" i="6"/>
  <c r="H238" i="6"/>
  <c r="G238" i="6"/>
  <c r="F238" i="6"/>
  <c r="E238" i="6"/>
  <c r="D238" i="6"/>
  <c r="C238" i="6"/>
  <c r="T236" i="6"/>
  <c r="U236" i="6"/>
  <c r="X236" i="6"/>
  <c r="V236" i="6"/>
  <c r="Y236" i="6"/>
  <c r="W236" i="6"/>
  <c r="S235" i="6"/>
  <c r="R235" i="6"/>
  <c r="Q235" i="6"/>
  <c r="P235" i="6"/>
  <c r="O235" i="6"/>
  <c r="N235" i="6"/>
  <c r="M235" i="6"/>
  <c r="L235" i="6"/>
  <c r="K235" i="6"/>
  <c r="J235" i="6"/>
  <c r="I235" i="6"/>
  <c r="H235" i="6"/>
  <c r="G235" i="6"/>
  <c r="F235" i="6"/>
  <c r="E235" i="6"/>
  <c r="D235" i="6"/>
  <c r="C235" i="6"/>
  <c r="T233" i="6"/>
  <c r="U233" i="6"/>
  <c r="X233" i="6"/>
  <c r="V233" i="6"/>
  <c r="Y233" i="6"/>
  <c r="W233" i="6"/>
  <c r="S232" i="6"/>
  <c r="R232" i="6"/>
  <c r="Q232" i="6"/>
  <c r="P232" i="6"/>
  <c r="O232" i="6"/>
  <c r="N232" i="6"/>
  <c r="M232" i="6"/>
  <c r="L232" i="6"/>
  <c r="K232" i="6"/>
  <c r="J232" i="6"/>
  <c r="I232" i="6"/>
  <c r="H232" i="6"/>
  <c r="G232" i="6"/>
  <c r="F232" i="6"/>
  <c r="E232" i="6"/>
  <c r="D232" i="6"/>
  <c r="C232" i="6"/>
  <c r="T230" i="6"/>
  <c r="U230" i="6"/>
  <c r="X230" i="6"/>
  <c r="V230" i="6"/>
  <c r="Y230" i="6"/>
  <c r="W230" i="6"/>
  <c r="S229" i="6"/>
  <c r="R229" i="6"/>
  <c r="Q229" i="6"/>
  <c r="P229" i="6"/>
  <c r="O229" i="6"/>
  <c r="N229" i="6"/>
  <c r="M229" i="6"/>
  <c r="L229" i="6"/>
  <c r="K229" i="6"/>
  <c r="J229" i="6"/>
  <c r="I229" i="6"/>
  <c r="H229" i="6"/>
  <c r="G229" i="6"/>
  <c r="F229" i="6"/>
  <c r="E229" i="6"/>
  <c r="D229" i="6"/>
  <c r="C229" i="6"/>
  <c r="T227" i="6"/>
  <c r="U227" i="6"/>
  <c r="X227" i="6"/>
  <c r="V227" i="6"/>
  <c r="Y227" i="6"/>
  <c r="W227" i="6"/>
  <c r="S226" i="6"/>
  <c r="R226" i="6"/>
  <c r="Q226" i="6"/>
  <c r="P226" i="6"/>
  <c r="O226" i="6"/>
  <c r="N226" i="6"/>
  <c r="M226" i="6"/>
  <c r="L226" i="6"/>
  <c r="K226" i="6"/>
  <c r="J226" i="6"/>
  <c r="I226" i="6"/>
  <c r="H226" i="6"/>
  <c r="G226" i="6"/>
  <c r="F226" i="6"/>
  <c r="E226" i="6"/>
  <c r="D226" i="6"/>
  <c r="C226" i="6"/>
  <c r="T224" i="6"/>
  <c r="U224" i="6"/>
  <c r="X224" i="6"/>
  <c r="V224" i="6"/>
  <c r="Y224" i="6"/>
  <c r="W224" i="6"/>
  <c r="S223" i="6"/>
  <c r="R223" i="6"/>
  <c r="Q223" i="6"/>
  <c r="P223" i="6"/>
  <c r="O223" i="6"/>
  <c r="N223" i="6"/>
  <c r="M223" i="6"/>
  <c r="L223" i="6"/>
  <c r="K223" i="6"/>
  <c r="J223" i="6"/>
  <c r="I223" i="6"/>
  <c r="H223" i="6"/>
  <c r="G223" i="6"/>
  <c r="F223" i="6"/>
  <c r="E223" i="6"/>
  <c r="D223" i="6"/>
  <c r="C223" i="6"/>
  <c r="T221" i="6"/>
  <c r="U221" i="6"/>
  <c r="X221" i="6"/>
  <c r="V221" i="6"/>
  <c r="Y221" i="6"/>
  <c r="W221" i="6"/>
  <c r="S220" i="6"/>
  <c r="R220" i="6"/>
  <c r="Q220" i="6"/>
  <c r="P220" i="6"/>
  <c r="O220" i="6"/>
  <c r="N220" i="6"/>
  <c r="M220" i="6"/>
  <c r="L220" i="6"/>
  <c r="K220" i="6"/>
  <c r="J220" i="6"/>
  <c r="I220" i="6"/>
  <c r="H220" i="6"/>
  <c r="G220" i="6"/>
  <c r="F220" i="6"/>
  <c r="E220" i="6"/>
  <c r="D220" i="6"/>
  <c r="C220" i="6"/>
  <c r="T218" i="6"/>
  <c r="U218" i="6"/>
  <c r="X218" i="6"/>
  <c r="V218" i="6"/>
  <c r="Y218" i="6"/>
  <c r="W218" i="6"/>
  <c r="S217" i="6"/>
  <c r="R217" i="6"/>
  <c r="Q217" i="6"/>
  <c r="P217" i="6"/>
  <c r="O217" i="6"/>
  <c r="N217" i="6"/>
  <c r="M217" i="6"/>
  <c r="L217" i="6"/>
  <c r="K217" i="6"/>
  <c r="J217" i="6"/>
  <c r="I217" i="6"/>
  <c r="H217" i="6"/>
  <c r="G217" i="6"/>
  <c r="F217" i="6"/>
  <c r="E217" i="6"/>
  <c r="D217" i="6"/>
  <c r="C217" i="6"/>
  <c r="T215" i="6"/>
  <c r="U215" i="6"/>
  <c r="X215" i="6"/>
  <c r="V215" i="6"/>
  <c r="Y215" i="6"/>
  <c r="W215" i="6"/>
  <c r="S214" i="6"/>
  <c r="R214" i="6"/>
  <c r="Q214" i="6"/>
  <c r="P214" i="6"/>
  <c r="O214" i="6"/>
  <c r="N214" i="6"/>
  <c r="M214" i="6"/>
  <c r="L214" i="6"/>
  <c r="K214" i="6"/>
  <c r="J214" i="6"/>
  <c r="I214" i="6"/>
  <c r="H214" i="6"/>
  <c r="G214" i="6"/>
  <c r="F214" i="6"/>
  <c r="E214" i="6"/>
  <c r="D214" i="6"/>
  <c r="C214" i="6"/>
  <c r="T212" i="6"/>
  <c r="U212" i="6"/>
  <c r="X212" i="6"/>
  <c r="V212" i="6"/>
  <c r="Y212" i="6"/>
  <c r="W212" i="6"/>
  <c r="S211" i="6"/>
  <c r="R211" i="6"/>
  <c r="Q211" i="6"/>
  <c r="P211" i="6"/>
  <c r="O211" i="6"/>
  <c r="N211" i="6"/>
  <c r="M211" i="6"/>
  <c r="L211" i="6"/>
  <c r="K211" i="6"/>
  <c r="J211" i="6"/>
  <c r="I211" i="6"/>
  <c r="H211" i="6"/>
  <c r="G211" i="6"/>
  <c r="F211" i="6"/>
  <c r="E211" i="6"/>
  <c r="D211" i="6"/>
  <c r="C211" i="6"/>
  <c r="T209" i="6"/>
  <c r="U209" i="6"/>
  <c r="X209" i="6"/>
  <c r="V209" i="6"/>
  <c r="Y209" i="6"/>
  <c r="W209" i="6"/>
  <c r="S208" i="6"/>
  <c r="R208" i="6"/>
  <c r="Q208" i="6"/>
  <c r="P208" i="6"/>
  <c r="O208" i="6"/>
  <c r="N208" i="6"/>
  <c r="M208" i="6"/>
  <c r="L208" i="6"/>
  <c r="K208" i="6"/>
  <c r="J208" i="6"/>
  <c r="I208" i="6"/>
  <c r="H208" i="6"/>
  <c r="G208" i="6"/>
  <c r="F208" i="6"/>
  <c r="E208" i="6"/>
  <c r="D208" i="6"/>
  <c r="C208" i="6"/>
  <c r="T206" i="6"/>
  <c r="U206" i="6"/>
  <c r="X206" i="6"/>
  <c r="V206" i="6"/>
  <c r="Y206" i="6"/>
  <c r="W206" i="6"/>
  <c r="S205" i="6"/>
  <c r="R205" i="6"/>
  <c r="Q205" i="6"/>
  <c r="P205" i="6"/>
  <c r="O205" i="6"/>
  <c r="N205" i="6"/>
  <c r="M205" i="6"/>
  <c r="L205" i="6"/>
  <c r="K205" i="6"/>
  <c r="J205" i="6"/>
  <c r="I205" i="6"/>
  <c r="H205" i="6"/>
  <c r="G205" i="6"/>
  <c r="F205" i="6"/>
  <c r="E205" i="6"/>
  <c r="D205" i="6"/>
  <c r="C205" i="6"/>
  <c r="T203" i="6"/>
  <c r="U203" i="6"/>
  <c r="X203" i="6"/>
  <c r="V203" i="6"/>
  <c r="Y203" i="6"/>
  <c r="W203" i="6"/>
  <c r="S202" i="6"/>
  <c r="R202" i="6"/>
  <c r="Q202" i="6"/>
  <c r="P202" i="6"/>
  <c r="O202" i="6"/>
  <c r="N202" i="6"/>
  <c r="M202" i="6"/>
  <c r="L202" i="6"/>
  <c r="K202" i="6"/>
  <c r="J202" i="6"/>
  <c r="I202" i="6"/>
  <c r="H202" i="6"/>
  <c r="G202" i="6"/>
  <c r="F202" i="6"/>
  <c r="E202" i="6"/>
  <c r="D202" i="6"/>
  <c r="C202" i="6"/>
  <c r="T200" i="6"/>
  <c r="U200" i="6"/>
  <c r="X200" i="6"/>
  <c r="V200" i="6"/>
  <c r="Y200" i="6"/>
  <c r="W200" i="6"/>
  <c r="S199" i="6"/>
  <c r="R199" i="6"/>
  <c r="Q199" i="6"/>
  <c r="P199" i="6"/>
  <c r="O199" i="6"/>
  <c r="N199" i="6"/>
  <c r="M199" i="6"/>
  <c r="L199" i="6"/>
  <c r="K199" i="6"/>
  <c r="J199" i="6"/>
  <c r="I199" i="6"/>
  <c r="H199" i="6"/>
  <c r="G199" i="6"/>
  <c r="F199" i="6"/>
  <c r="E199" i="6"/>
  <c r="D199" i="6"/>
  <c r="C199" i="6"/>
  <c r="T197" i="6"/>
  <c r="U197" i="6"/>
  <c r="X197" i="6"/>
  <c r="V197" i="6"/>
  <c r="Y197" i="6"/>
  <c r="W197" i="6"/>
  <c r="S196" i="6"/>
  <c r="R196" i="6"/>
  <c r="Q196" i="6"/>
  <c r="P196" i="6"/>
  <c r="O196" i="6"/>
  <c r="N196" i="6"/>
  <c r="M196" i="6"/>
  <c r="L196" i="6"/>
  <c r="K196" i="6"/>
  <c r="J196" i="6"/>
  <c r="I196" i="6"/>
  <c r="H196" i="6"/>
  <c r="G196" i="6"/>
  <c r="F196" i="6"/>
  <c r="E196" i="6"/>
  <c r="D196" i="6"/>
  <c r="C196" i="6"/>
  <c r="T194" i="6"/>
  <c r="U194" i="6"/>
  <c r="X194" i="6"/>
  <c r="V194" i="6"/>
  <c r="Y194" i="6"/>
  <c r="W194" i="6"/>
  <c r="S193" i="6"/>
  <c r="R193" i="6"/>
  <c r="Q193" i="6"/>
  <c r="P193" i="6"/>
  <c r="O193" i="6"/>
  <c r="N193" i="6"/>
  <c r="M193" i="6"/>
  <c r="L193" i="6"/>
  <c r="K193" i="6"/>
  <c r="J193" i="6"/>
  <c r="I193" i="6"/>
  <c r="H193" i="6"/>
  <c r="G193" i="6"/>
  <c r="F193" i="6"/>
  <c r="E193" i="6"/>
  <c r="D193" i="6"/>
  <c r="C193" i="6"/>
  <c r="T191" i="6"/>
  <c r="U191" i="6"/>
  <c r="X191" i="6"/>
  <c r="V191" i="6"/>
  <c r="Y191" i="6"/>
  <c r="W191" i="6"/>
  <c r="S190" i="6"/>
  <c r="R190" i="6"/>
  <c r="Q190" i="6"/>
  <c r="P190" i="6"/>
  <c r="O190" i="6"/>
  <c r="N190" i="6"/>
  <c r="M190" i="6"/>
  <c r="L190" i="6"/>
  <c r="K190" i="6"/>
  <c r="J190" i="6"/>
  <c r="I190" i="6"/>
  <c r="H190" i="6"/>
  <c r="G190" i="6"/>
  <c r="F190" i="6"/>
  <c r="E190" i="6"/>
  <c r="D190" i="6"/>
  <c r="C190" i="6"/>
  <c r="T188" i="6"/>
  <c r="U188" i="6"/>
  <c r="X188" i="6"/>
  <c r="V188" i="6"/>
  <c r="Y188" i="6"/>
  <c r="W188" i="6"/>
  <c r="S187" i="6"/>
  <c r="R187" i="6"/>
  <c r="Q187" i="6"/>
  <c r="P187" i="6"/>
  <c r="O187" i="6"/>
  <c r="N187" i="6"/>
  <c r="M187" i="6"/>
  <c r="L187" i="6"/>
  <c r="K187" i="6"/>
  <c r="J187" i="6"/>
  <c r="I187" i="6"/>
  <c r="H187" i="6"/>
  <c r="G187" i="6"/>
  <c r="F187" i="6"/>
  <c r="E187" i="6"/>
  <c r="D187" i="6"/>
  <c r="C187" i="6"/>
  <c r="T185" i="6"/>
  <c r="U185" i="6"/>
  <c r="X185" i="6"/>
  <c r="V185" i="6"/>
  <c r="Y185" i="6"/>
  <c r="W185" i="6"/>
  <c r="S184" i="6"/>
  <c r="R184" i="6"/>
  <c r="Q184" i="6"/>
  <c r="P184" i="6"/>
  <c r="O184" i="6"/>
  <c r="N184" i="6"/>
  <c r="M184" i="6"/>
  <c r="L184" i="6"/>
  <c r="K184" i="6"/>
  <c r="J184" i="6"/>
  <c r="I184" i="6"/>
  <c r="H184" i="6"/>
  <c r="G184" i="6"/>
  <c r="F184" i="6"/>
  <c r="E184" i="6"/>
  <c r="D184" i="6"/>
  <c r="C184" i="6"/>
  <c r="T182" i="6"/>
  <c r="U182" i="6"/>
  <c r="X182" i="6"/>
  <c r="V182" i="6"/>
  <c r="Y182" i="6"/>
  <c r="W182" i="6"/>
  <c r="S181" i="6"/>
  <c r="R181" i="6"/>
  <c r="Q181" i="6"/>
  <c r="P181" i="6"/>
  <c r="O181" i="6"/>
  <c r="N181" i="6"/>
  <c r="M181" i="6"/>
  <c r="L181" i="6"/>
  <c r="K181" i="6"/>
  <c r="J181" i="6"/>
  <c r="I181" i="6"/>
  <c r="H181" i="6"/>
  <c r="G181" i="6"/>
  <c r="F181" i="6"/>
  <c r="E181" i="6"/>
  <c r="D181" i="6"/>
  <c r="C181" i="6"/>
  <c r="T179" i="6"/>
  <c r="U179" i="6"/>
  <c r="X179" i="6"/>
  <c r="V179" i="6"/>
  <c r="Y179" i="6"/>
  <c r="W179" i="6"/>
  <c r="S178" i="6"/>
  <c r="R178" i="6"/>
  <c r="Q178" i="6"/>
  <c r="P178" i="6"/>
  <c r="O178" i="6"/>
  <c r="N178" i="6"/>
  <c r="M178" i="6"/>
  <c r="L178" i="6"/>
  <c r="K178" i="6"/>
  <c r="J178" i="6"/>
  <c r="I178" i="6"/>
  <c r="H178" i="6"/>
  <c r="G178" i="6"/>
  <c r="F178" i="6"/>
  <c r="E178" i="6"/>
  <c r="D178" i="6"/>
  <c r="C178" i="6"/>
  <c r="T176" i="6"/>
  <c r="U176" i="6"/>
  <c r="X176" i="6"/>
  <c r="V176" i="6"/>
  <c r="Y176" i="6"/>
  <c r="W176" i="6"/>
  <c r="S175" i="6"/>
  <c r="R175" i="6"/>
  <c r="Q175" i="6"/>
  <c r="P175" i="6"/>
  <c r="O175" i="6"/>
  <c r="N175" i="6"/>
  <c r="M175" i="6"/>
  <c r="L175" i="6"/>
  <c r="K175" i="6"/>
  <c r="J175" i="6"/>
  <c r="I175" i="6"/>
  <c r="H175" i="6"/>
  <c r="G175" i="6"/>
  <c r="F175" i="6"/>
  <c r="E175" i="6"/>
  <c r="D175" i="6"/>
  <c r="C175" i="6"/>
  <c r="T173" i="6"/>
  <c r="U173" i="6"/>
  <c r="X173" i="6"/>
  <c r="V173" i="6"/>
  <c r="Y173" i="6"/>
  <c r="W173" i="6"/>
  <c r="S172" i="6"/>
  <c r="R172" i="6"/>
  <c r="Q172" i="6"/>
  <c r="P172" i="6"/>
  <c r="O172" i="6"/>
  <c r="N172" i="6"/>
  <c r="M172" i="6"/>
  <c r="L172" i="6"/>
  <c r="K172" i="6"/>
  <c r="J172" i="6"/>
  <c r="I172" i="6"/>
  <c r="H172" i="6"/>
  <c r="G172" i="6"/>
  <c r="F172" i="6"/>
  <c r="E172" i="6"/>
  <c r="D172" i="6"/>
  <c r="C172" i="6"/>
  <c r="T170" i="6"/>
  <c r="U170" i="6"/>
  <c r="X170" i="6"/>
  <c r="V170" i="6"/>
  <c r="Y170" i="6"/>
  <c r="W170" i="6"/>
  <c r="S169" i="6"/>
  <c r="R169" i="6"/>
  <c r="Q169" i="6"/>
  <c r="P169" i="6"/>
  <c r="O169" i="6"/>
  <c r="N169" i="6"/>
  <c r="M169" i="6"/>
  <c r="L169" i="6"/>
  <c r="K169" i="6"/>
  <c r="J169" i="6"/>
  <c r="I169" i="6"/>
  <c r="H169" i="6"/>
  <c r="G169" i="6"/>
  <c r="F169" i="6"/>
  <c r="E169" i="6"/>
  <c r="D169" i="6"/>
  <c r="C169" i="6"/>
  <c r="T167" i="6"/>
  <c r="U167" i="6"/>
  <c r="X167" i="6"/>
  <c r="V167" i="6"/>
  <c r="Y167" i="6"/>
  <c r="W167" i="6"/>
  <c r="S166" i="6"/>
  <c r="R166" i="6"/>
  <c r="Q166" i="6"/>
  <c r="P166" i="6"/>
  <c r="O166" i="6"/>
  <c r="N166" i="6"/>
  <c r="M166" i="6"/>
  <c r="L166" i="6"/>
  <c r="K166" i="6"/>
  <c r="J166" i="6"/>
  <c r="I166" i="6"/>
  <c r="H166" i="6"/>
  <c r="G166" i="6"/>
  <c r="F166" i="6"/>
  <c r="E166" i="6"/>
  <c r="D166" i="6"/>
  <c r="C166" i="6"/>
  <c r="T164" i="6"/>
  <c r="U164" i="6"/>
  <c r="X164" i="6"/>
  <c r="V164" i="6"/>
  <c r="Y164" i="6"/>
  <c r="W164" i="6"/>
  <c r="S163" i="6"/>
  <c r="R163" i="6"/>
  <c r="Q163" i="6"/>
  <c r="P163" i="6"/>
  <c r="O163" i="6"/>
  <c r="N163" i="6"/>
  <c r="M163" i="6"/>
  <c r="L163" i="6"/>
  <c r="K163" i="6"/>
  <c r="J163" i="6"/>
  <c r="I163" i="6"/>
  <c r="H163" i="6"/>
  <c r="G163" i="6"/>
  <c r="F163" i="6"/>
  <c r="E163" i="6"/>
  <c r="D163" i="6"/>
  <c r="C163" i="6"/>
  <c r="T161" i="6"/>
  <c r="U161" i="6"/>
  <c r="X161" i="6"/>
  <c r="V161" i="6"/>
  <c r="Y161" i="6"/>
  <c r="W161" i="6"/>
  <c r="S160" i="6"/>
  <c r="R160" i="6"/>
  <c r="Q160" i="6"/>
  <c r="P160" i="6"/>
  <c r="O160" i="6"/>
  <c r="N160" i="6"/>
  <c r="M160" i="6"/>
  <c r="L160" i="6"/>
  <c r="K160" i="6"/>
  <c r="J160" i="6"/>
  <c r="I160" i="6"/>
  <c r="H160" i="6"/>
  <c r="G160" i="6"/>
  <c r="F160" i="6"/>
  <c r="E160" i="6"/>
  <c r="D160" i="6"/>
  <c r="C160" i="6"/>
  <c r="T158" i="6"/>
  <c r="U158" i="6"/>
  <c r="X158" i="6"/>
  <c r="V158" i="6"/>
  <c r="Y158" i="6"/>
  <c r="W158" i="6"/>
  <c r="S157" i="6"/>
  <c r="R157" i="6"/>
  <c r="Q157" i="6"/>
  <c r="P157" i="6"/>
  <c r="O157" i="6"/>
  <c r="N157" i="6"/>
  <c r="M157" i="6"/>
  <c r="L157" i="6"/>
  <c r="K157" i="6"/>
  <c r="J157" i="6"/>
  <c r="I157" i="6"/>
  <c r="H157" i="6"/>
  <c r="G157" i="6"/>
  <c r="F157" i="6"/>
  <c r="E157" i="6"/>
  <c r="D157" i="6"/>
  <c r="C157" i="6"/>
  <c r="T155" i="6"/>
  <c r="U155" i="6"/>
  <c r="X155" i="6"/>
  <c r="V155" i="6"/>
  <c r="Y155" i="6"/>
  <c r="W155" i="6"/>
  <c r="S154" i="6"/>
  <c r="R154" i="6"/>
  <c r="Q154" i="6"/>
  <c r="P154" i="6"/>
  <c r="O154" i="6"/>
  <c r="N154" i="6"/>
  <c r="M154" i="6"/>
  <c r="L154" i="6"/>
  <c r="K154" i="6"/>
  <c r="J154" i="6"/>
  <c r="I154" i="6"/>
  <c r="H154" i="6"/>
  <c r="G154" i="6"/>
  <c r="F154" i="6"/>
  <c r="E154" i="6"/>
  <c r="D154" i="6"/>
  <c r="C154" i="6"/>
  <c r="T152" i="6"/>
  <c r="U152" i="6"/>
  <c r="X152" i="6"/>
  <c r="V152" i="6"/>
  <c r="Y152" i="6"/>
  <c r="W152" i="6"/>
  <c r="S151" i="6"/>
  <c r="R151" i="6"/>
  <c r="Q151" i="6"/>
  <c r="P151" i="6"/>
  <c r="O151" i="6"/>
  <c r="N151" i="6"/>
  <c r="M151" i="6"/>
  <c r="L151" i="6"/>
  <c r="K151" i="6"/>
  <c r="J151" i="6"/>
  <c r="I151" i="6"/>
  <c r="H151" i="6"/>
  <c r="G151" i="6"/>
  <c r="F151" i="6"/>
  <c r="E151" i="6"/>
  <c r="D151" i="6"/>
  <c r="C151" i="6"/>
  <c r="T149" i="6"/>
  <c r="U149" i="6"/>
  <c r="X149" i="6"/>
  <c r="V149" i="6"/>
  <c r="Y149" i="6"/>
  <c r="W149" i="6"/>
  <c r="S148" i="6"/>
  <c r="R148" i="6"/>
  <c r="Q148" i="6"/>
  <c r="P148" i="6"/>
  <c r="O148" i="6"/>
  <c r="N148" i="6"/>
  <c r="M148" i="6"/>
  <c r="L148" i="6"/>
  <c r="K148" i="6"/>
  <c r="J148" i="6"/>
  <c r="I148" i="6"/>
  <c r="H148" i="6"/>
  <c r="G148" i="6"/>
  <c r="F148" i="6"/>
  <c r="E148" i="6"/>
  <c r="D148" i="6"/>
  <c r="C148" i="6"/>
  <c r="T146" i="6"/>
  <c r="U146" i="6"/>
  <c r="X146" i="6"/>
  <c r="V146" i="6"/>
  <c r="Y146" i="6"/>
  <c r="W146" i="6"/>
  <c r="S145" i="6"/>
  <c r="R145" i="6"/>
  <c r="Q145" i="6"/>
  <c r="P145" i="6"/>
  <c r="O145" i="6"/>
  <c r="N145" i="6"/>
  <c r="M145" i="6"/>
  <c r="L145" i="6"/>
  <c r="K145" i="6"/>
  <c r="J145" i="6"/>
  <c r="I145" i="6"/>
  <c r="H145" i="6"/>
  <c r="G145" i="6"/>
  <c r="F145" i="6"/>
  <c r="E145" i="6"/>
  <c r="D145" i="6"/>
  <c r="C145" i="6"/>
  <c r="T143" i="6"/>
  <c r="U143" i="6"/>
  <c r="X143" i="6"/>
  <c r="V143" i="6"/>
  <c r="Y143" i="6"/>
  <c r="W143" i="6"/>
  <c r="S142" i="6"/>
  <c r="R142" i="6"/>
  <c r="Q142" i="6"/>
  <c r="P142" i="6"/>
  <c r="O142" i="6"/>
  <c r="N142" i="6"/>
  <c r="M142" i="6"/>
  <c r="L142" i="6"/>
  <c r="K142" i="6"/>
  <c r="J142" i="6"/>
  <c r="I142" i="6"/>
  <c r="H142" i="6"/>
  <c r="G142" i="6"/>
  <c r="F142" i="6"/>
  <c r="E142" i="6"/>
  <c r="D142" i="6"/>
  <c r="C142" i="6"/>
  <c r="T140" i="6"/>
  <c r="U140" i="6"/>
  <c r="X140" i="6"/>
  <c r="V140" i="6"/>
  <c r="Y140" i="6"/>
  <c r="W140" i="6"/>
  <c r="S139" i="6"/>
  <c r="R139" i="6"/>
  <c r="Q139" i="6"/>
  <c r="P139" i="6"/>
  <c r="O139" i="6"/>
  <c r="N139" i="6"/>
  <c r="M139" i="6"/>
  <c r="L139" i="6"/>
  <c r="K139" i="6"/>
  <c r="J139" i="6"/>
  <c r="I139" i="6"/>
  <c r="H139" i="6"/>
  <c r="G139" i="6"/>
  <c r="F139" i="6"/>
  <c r="E139" i="6"/>
  <c r="D139" i="6"/>
  <c r="C139" i="6"/>
  <c r="T137" i="6"/>
  <c r="U137" i="6"/>
  <c r="X137" i="6"/>
  <c r="V137" i="6"/>
  <c r="Y137" i="6"/>
  <c r="W137" i="6"/>
  <c r="S136" i="6"/>
  <c r="R136" i="6"/>
  <c r="Q136" i="6"/>
  <c r="P136" i="6"/>
  <c r="O136" i="6"/>
  <c r="N136" i="6"/>
  <c r="M136" i="6"/>
  <c r="L136" i="6"/>
  <c r="K136" i="6"/>
  <c r="J136" i="6"/>
  <c r="I136" i="6"/>
  <c r="H136" i="6"/>
  <c r="G136" i="6"/>
  <c r="F136" i="6"/>
  <c r="E136" i="6"/>
  <c r="D136" i="6"/>
  <c r="C136" i="6"/>
  <c r="T134" i="6"/>
  <c r="U134" i="6"/>
  <c r="X134" i="6"/>
  <c r="V134" i="6"/>
  <c r="Y134" i="6"/>
  <c r="W134" i="6"/>
  <c r="S133" i="6"/>
  <c r="R133" i="6"/>
  <c r="Q133" i="6"/>
  <c r="P133" i="6"/>
  <c r="O133" i="6"/>
  <c r="N133" i="6"/>
  <c r="M133" i="6"/>
  <c r="L133" i="6"/>
  <c r="K133" i="6"/>
  <c r="J133" i="6"/>
  <c r="I133" i="6"/>
  <c r="H133" i="6"/>
  <c r="G133" i="6"/>
  <c r="F133" i="6"/>
  <c r="E133" i="6"/>
  <c r="D133" i="6"/>
  <c r="C133" i="6"/>
  <c r="T131" i="6"/>
  <c r="U131" i="6"/>
  <c r="X131" i="6"/>
  <c r="V131" i="6"/>
  <c r="Y131" i="6"/>
  <c r="W131" i="6"/>
  <c r="S130" i="6"/>
  <c r="R130" i="6"/>
  <c r="Q130" i="6"/>
  <c r="P130" i="6"/>
  <c r="O130" i="6"/>
  <c r="N130" i="6"/>
  <c r="M130" i="6"/>
  <c r="L130" i="6"/>
  <c r="K130" i="6"/>
  <c r="J130" i="6"/>
  <c r="I130" i="6"/>
  <c r="H130" i="6"/>
  <c r="G130" i="6"/>
  <c r="F130" i="6"/>
  <c r="E130" i="6"/>
  <c r="D130" i="6"/>
  <c r="C130" i="6"/>
  <c r="T128" i="6"/>
  <c r="U128" i="6"/>
  <c r="X128" i="6"/>
  <c r="V128" i="6"/>
  <c r="Y128" i="6"/>
  <c r="W128" i="6"/>
  <c r="S127" i="6"/>
  <c r="R127" i="6"/>
  <c r="Q127" i="6"/>
  <c r="P127" i="6"/>
  <c r="O127" i="6"/>
  <c r="N127" i="6"/>
  <c r="M127" i="6"/>
  <c r="L127" i="6"/>
  <c r="K127" i="6"/>
  <c r="J127" i="6"/>
  <c r="I127" i="6"/>
  <c r="H127" i="6"/>
  <c r="G127" i="6"/>
  <c r="F127" i="6"/>
  <c r="E127" i="6"/>
  <c r="D127" i="6"/>
  <c r="C127" i="6"/>
  <c r="T125" i="6"/>
  <c r="U125" i="6"/>
  <c r="X125" i="6"/>
  <c r="V125" i="6"/>
  <c r="Y125" i="6"/>
  <c r="W125" i="6"/>
  <c r="S124" i="6"/>
  <c r="R124" i="6"/>
  <c r="Q124" i="6"/>
  <c r="P124" i="6"/>
  <c r="O124" i="6"/>
  <c r="N124" i="6"/>
  <c r="M124" i="6"/>
  <c r="L124" i="6"/>
  <c r="K124" i="6"/>
  <c r="J124" i="6"/>
  <c r="I124" i="6"/>
  <c r="H124" i="6"/>
  <c r="G124" i="6"/>
  <c r="F124" i="6"/>
  <c r="E124" i="6"/>
  <c r="D124" i="6"/>
  <c r="C124" i="6"/>
  <c r="T122" i="6"/>
  <c r="U122" i="6"/>
  <c r="X122" i="6"/>
  <c r="V122" i="6"/>
  <c r="Y122" i="6"/>
  <c r="W122" i="6"/>
  <c r="S121" i="6"/>
  <c r="R121" i="6"/>
  <c r="Q121" i="6"/>
  <c r="P121" i="6"/>
  <c r="O121" i="6"/>
  <c r="N121" i="6"/>
  <c r="M121" i="6"/>
  <c r="L121" i="6"/>
  <c r="K121" i="6"/>
  <c r="J121" i="6"/>
  <c r="I121" i="6"/>
  <c r="H121" i="6"/>
  <c r="G121" i="6"/>
  <c r="F121" i="6"/>
  <c r="E121" i="6"/>
  <c r="D121" i="6"/>
  <c r="C121" i="6"/>
  <c r="T119" i="6"/>
  <c r="U119" i="6"/>
  <c r="X119" i="6"/>
  <c r="V119" i="6"/>
  <c r="Y119" i="6"/>
  <c r="W119" i="6"/>
  <c r="S118" i="6"/>
  <c r="R118" i="6"/>
  <c r="Q118" i="6"/>
  <c r="P118" i="6"/>
  <c r="O118" i="6"/>
  <c r="N118" i="6"/>
  <c r="M118" i="6"/>
  <c r="L118" i="6"/>
  <c r="K118" i="6"/>
  <c r="J118" i="6"/>
  <c r="I118" i="6"/>
  <c r="H118" i="6"/>
  <c r="G118" i="6"/>
  <c r="F118" i="6"/>
  <c r="E118" i="6"/>
  <c r="D118" i="6"/>
  <c r="C118" i="6"/>
  <c r="T116" i="6"/>
  <c r="U116" i="6"/>
  <c r="X116" i="6"/>
  <c r="V116" i="6"/>
  <c r="Y116" i="6"/>
  <c r="W116" i="6"/>
  <c r="S115" i="6"/>
  <c r="R115" i="6"/>
  <c r="Q115" i="6"/>
  <c r="P115" i="6"/>
  <c r="O115" i="6"/>
  <c r="N115" i="6"/>
  <c r="M115" i="6"/>
  <c r="L115" i="6"/>
  <c r="K115" i="6"/>
  <c r="J115" i="6"/>
  <c r="I115" i="6"/>
  <c r="H115" i="6"/>
  <c r="G115" i="6"/>
  <c r="F115" i="6"/>
  <c r="E115" i="6"/>
  <c r="D115" i="6"/>
  <c r="C115" i="6"/>
  <c r="T113" i="6"/>
  <c r="U113" i="6"/>
  <c r="X113" i="6"/>
  <c r="V113" i="6"/>
  <c r="Y113" i="6"/>
  <c r="W113" i="6"/>
  <c r="S112" i="6"/>
  <c r="R112" i="6"/>
  <c r="Q112" i="6"/>
  <c r="P112" i="6"/>
  <c r="O112" i="6"/>
  <c r="N112" i="6"/>
  <c r="M112" i="6"/>
  <c r="L112" i="6"/>
  <c r="K112" i="6"/>
  <c r="J112" i="6"/>
  <c r="I112" i="6"/>
  <c r="H112" i="6"/>
  <c r="G112" i="6"/>
  <c r="F112" i="6"/>
  <c r="E112" i="6"/>
  <c r="D112" i="6"/>
  <c r="C112" i="6"/>
  <c r="T110" i="6"/>
  <c r="U110" i="6"/>
  <c r="X110" i="6"/>
  <c r="V110" i="6"/>
  <c r="Y110" i="6"/>
  <c r="W110" i="6"/>
  <c r="S109" i="6"/>
  <c r="R109" i="6"/>
  <c r="Q109" i="6"/>
  <c r="P109" i="6"/>
  <c r="O109" i="6"/>
  <c r="N109" i="6"/>
  <c r="M109" i="6"/>
  <c r="L109" i="6"/>
  <c r="K109" i="6"/>
  <c r="J109" i="6"/>
  <c r="I109" i="6"/>
  <c r="H109" i="6"/>
  <c r="G109" i="6"/>
  <c r="F109" i="6"/>
  <c r="E109" i="6"/>
  <c r="D109" i="6"/>
  <c r="C109" i="6"/>
  <c r="T107" i="6"/>
  <c r="U107" i="6"/>
  <c r="X107" i="6"/>
  <c r="V107" i="6"/>
  <c r="Y107" i="6"/>
  <c r="W107" i="6"/>
  <c r="S106" i="6"/>
  <c r="R106" i="6"/>
  <c r="Q106" i="6"/>
  <c r="P106" i="6"/>
  <c r="O106" i="6"/>
  <c r="N106" i="6"/>
  <c r="M106" i="6"/>
  <c r="L106" i="6"/>
  <c r="K106" i="6"/>
  <c r="J106" i="6"/>
  <c r="I106" i="6"/>
  <c r="H106" i="6"/>
  <c r="G106" i="6"/>
  <c r="F106" i="6"/>
  <c r="E106" i="6"/>
  <c r="D106" i="6"/>
  <c r="C106" i="6"/>
  <c r="T104" i="6"/>
  <c r="U104" i="6"/>
  <c r="X104" i="6"/>
  <c r="V104" i="6"/>
  <c r="Y104" i="6"/>
  <c r="W104" i="6"/>
  <c r="S103" i="6"/>
  <c r="R103" i="6"/>
  <c r="Q103" i="6"/>
  <c r="P103" i="6"/>
  <c r="O103" i="6"/>
  <c r="N103" i="6"/>
  <c r="M103" i="6"/>
  <c r="L103" i="6"/>
  <c r="K103" i="6"/>
  <c r="J103" i="6"/>
  <c r="I103" i="6"/>
  <c r="H103" i="6"/>
  <c r="G103" i="6"/>
  <c r="F103" i="6"/>
  <c r="E103" i="6"/>
  <c r="D103" i="6"/>
  <c r="C103" i="6"/>
  <c r="T101" i="6"/>
  <c r="U101" i="6"/>
  <c r="X101" i="6"/>
  <c r="V101" i="6"/>
  <c r="Y101" i="6"/>
  <c r="W101" i="6"/>
  <c r="S100" i="6"/>
  <c r="R100" i="6"/>
  <c r="Q100" i="6"/>
  <c r="P100" i="6"/>
  <c r="O100" i="6"/>
  <c r="N100" i="6"/>
  <c r="M100" i="6"/>
  <c r="L100" i="6"/>
  <c r="K100" i="6"/>
  <c r="J100" i="6"/>
  <c r="I100" i="6"/>
  <c r="H100" i="6"/>
  <c r="G100" i="6"/>
  <c r="F100" i="6"/>
  <c r="E100" i="6"/>
  <c r="D100" i="6"/>
  <c r="C100" i="6"/>
  <c r="T98" i="6"/>
  <c r="U98" i="6"/>
  <c r="X98" i="6"/>
  <c r="V98" i="6"/>
  <c r="Y98" i="6"/>
  <c r="W98" i="6"/>
  <c r="S97" i="6"/>
  <c r="R97" i="6"/>
  <c r="Q97" i="6"/>
  <c r="P97" i="6"/>
  <c r="O97" i="6"/>
  <c r="N97" i="6"/>
  <c r="M97" i="6"/>
  <c r="L97" i="6"/>
  <c r="K97" i="6"/>
  <c r="J97" i="6"/>
  <c r="I97" i="6"/>
  <c r="H97" i="6"/>
  <c r="G97" i="6"/>
  <c r="F97" i="6"/>
  <c r="E97" i="6"/>
  <c r="D97" i="6"/>
  <c r="C97" i="6"/>
  <c r="T95" i="6"/>
  <c r="U95" i="6"/>
  <c r="X95" i="6"/>
  <c r="V95" i="6"/>
  <c r="Y95" i="6"/>
  <c r="W95" i="6"/>
  <c r="S94" i="6"/>
  <c r="R94" i="6"/>
  <c r="Q94" i="6"/>
  <c r="P94" i="6"/>
  <c r="O94" i="6"/>
  <c r="N94" i="6"/>
  <c r="M94" i="6"/>
  <c r="L94" i="6"/>
  <c r="K94" i="6"/>
  <c r="J94" i="6"/>
  <c r="I94" i="6"/>
  <c r="H94" i="6"/>
  <c r="G94" i="6"/>
  <c r="F94" i="6"/>
  <c r="E94" i="6"/>
  <c r="D94" i="6"/>
  <c r="C94" i="6"/>
  <c r="T92" i="6"/>
  <c r="U92" i="6"/>
  <c r="X92" i="6"/>
  <c r="V92" i="6"/>
  <c r="Y92" i="6"/>
  <c r="W92" i="6"/>
  <c r="S91" i="6"/>
  <c r="R91" i="6"/>
  <c r="Q91" i="6"/>
  <c r="P91" i="6"/>
  <c r="O91" i="6"/>
  <c r="N91" i="6"/>
  <c r="M91" i="6"/>
  <c r="L91" i="6"/>
  <c r="K91" i="6"/>
  <c r="J91" i="6"/>
  <c r="I91" i="6"/>
  <c r="H91" i="6"/>
  <c r="G91" i="6"/>
  <c r="F91" i="6"/>
  <c r="E91" i="6"/>
  <c r="D91" i="6"/>
  <c r="C91" i="6"/>
  <c r="T89" i="6"/>
  <c r="U89" i="6"/>
  <c r="X89" i="6"/>
  <c r="V89" i="6"/>
  <c r="Y89" i="6"/>
  <c r="W89" i="6"/>
  <c r="S88" i="6"/>
  <c r="R88" i="6"/>
  <c r="Q88" i="6"/>
  <c r="P88" i="6"/>
  <c r="O88" i="6"/>
  <c r="N88" i="6"/>
  <c r="M88" i="6"/>
  <c r="L88" i="6"/>
  <c r="K88" i="6"/>
  <c r="J88" i="6"/>
  <c r="I88" i="6"/>
  <c r="H88" i="6"/>
  <c r="G88" i="6"/>
  <c r="F88" i="6"/>
  <c r="E88" i="6"/>
  <c r="D88" i="6"/>
  <c r="C88" i="6"/>
  <c r="T86" i="6"/>
  <c r="U86" i="6"/>
  <c r="X86" i="6"/>
  <c r="V86" i="6"/>
  <c r="Y86" i="6"/>
  <c r="W86" i="6"/>
  <c r="S85" i="6"/>
  <c r="R85" i="6"/>
  <c r="Q85" i="6"/>
  <c r="P85" i="6"/>
  <c r="O85" i="6"/>
  <c r="N85" i="6"/>
  <c r="M85" i="6"/>
  <c r="L85" i="6"/>
  <c r="K85" i="6"/>
  <c r="J85" i="6"/>
  <c r="I85" i="6"/>
  <c r="H85" i="6"/>
  <c r="G85" i="6"/>
  <c r="F85" i="6"/>
  <c r="E85" i="6"/>
  <c r="D85" i="6"/>
  <c r="C85" i="6"/>
  <c r="T83" i="6"/>
  <c r="U83" i="6"/>
  <c r="X83" i="6"/>
  <c r="V83" i="6"/>
  <c r="Y83" i="6"/>
  <c r="W83" i="6"/>
  <c r="S82" i="6"/>
  <c r="R82" i="6"/>
  <c r="Q82" i="6"/>
  <c r="P82" i="6"/>
  <c r="O82" i="6"/>
  <c r="N82" i="6"/>
  <c r="M82" i="6"/>
  <c r="L82" i="6"/>
  <c r="K82" i="6"/>
  <c r="J82" i="6"/>
  <c r="I82" i="6"/>
  <c r="H82" i="6"/>
  <c r="G82" i="6"/>
  <c r="F82" i="6"/>
  <c r="E82" i="6"/>
  <c r="D82" i="6"/>
  <c r="C82" i="6"/>
  <c r="T80" i="6"/>
  <c r="U80" i="6"/>
  <c r="X80" i="6"/>
  <c r="V80" i="6"/>
  <c r="Y80" i="6"/>
  <c r="W80" i="6"/>
  <c r="S79" i="6"/>
  <c r="R79" i="6"/>
  <c r="Q79" i="6"/>
  <c r="P79" i="6"/>
  <c r="O79" i="6"/>
  <c r="N79" i="6"/>
  <c r="M79" i="6"/>
  <c r="L79" i="6"/>
  <c r="K79" i="6"/>
  <c r="J79" i="6"/>
  <c r="I79" i="6"/>
  <c r="H79" i="6"/>
  <c r="G79" i="6"/>
  <c r="F79" i="6"/>
  <c r="E79" i="6"/>
  <c r="D79" i="6"/>
  <c r="C79" i="6"/>
  <c r="T77" i="6"/>
  <c r="U77" i="6"/>
  <c r="X77" i="6"/>
  <c r="V77" i="6"/>
  <c r="Y77" i="6"/>
  <c r="W77" i="6"/>
  <c r="S76" i="6"/>
  <c r="R76" i="6"/>
  <c r="Q76" i="6"/>
  <c r="P76" i="6"/>
  <c r="O76" i="6"/>
  <c r="N76" i="6"/>
  <c r="M76" i="6"/>
  <c r="L76" i="6"/>
  <c r="K76" i="6"/>
  <c r="J76" i="6"/>
  <c r="I76" i="6"/>
  <c r="H76" i="6"/>
  <c r="G76" i="6"/>
  <c r="F76" i="6"/>
  <c r="E76" i="6"/>
  <c r="D76" i="6"/>
  <c r="C76" i="6"/>
  <c r="T74" i="6"/>
  <c r="U74" i="6"/>
  <c r="X74" i="6"/>
  <c r="V74" i="6"/>
  <c r="Y74" i="6"/>
  <c r="W74" i="6"/>
  <c r="S73" i="6"/>
  <c r="R73" i="6"/>
  <c r="Q73" i="6"/>
  <c r="P73" i="6"/>
  <c r="O73" i="6"/>
  <c r="N73" i="6"/>
  <c r="M73" i="6"/>
  <c r="L73" i="6"/>
  <c r="K73" i="6"/>
  <c r="J73" i="6"/>
  <c r="I73" i="6"/>
  <c r="H73" i="6"/>
  <c r="G73" i="6"/>
  <c r="F73" i="6"/>
  <c r="E73" i="6"/>
  <c r="D73" i="6"/>
  <c r="C73" i="6"/>
  <c r="T71" i="6"/>
  <c r="U71" i="6"/>
  <c r="X71" i="6"/>
  <c r="V71" i="6"/>
  <c r="Y71" i="6"/>
  <c r="W71" i="6"/>
  <c r="S70" i="6"/>
  <c r="R70" i="6"/>
  <c r="Q70" i="6"/>
  <c r="P70" i="6"/>
  <c r="O70" i="6"/>
  <c r="N70" i="6"/>
  <c r="M70" i="6"/>
  <c r="L70" i="6"/>
  <c r="K70" i="6"/>
  <c r="J70" i="6"/>
  <c r="I70" i="6"/>
  <c r="H70" i="6"/>
  <c r="G70" i="6"/>
  <c r="F70" i="6"/>
  <c r="E70" i="6"/>
  <c r="D70" i="6"/>
  <c r="C70" i="6"/>
  <c r="T68" i="6"/>
  <c r="U68" i="6"/>
  <c r="X68" i="6"/>
  <c r="V68" i="6"/>
  <c r="Y68" i="6"/>
  <c r="W68" i="6"/>
  <c r="S67" i="6"/>
  <c r="R67" i="6"/>
  <c r="Q67" i="6"/>
  <c r="P67" i="6"/>
  <c r="O67" i="6"/>
  <c r="N67" i="6"/>
  <c r="M67" i="6"/>
  <c r="L67" i="6"/>
  <c r="K67" i="6"/>
  <c r="J67" i="6"/>
  <c r="I67" i="6"/>
  <c r="H67" i="6"/>
  <c r="G67" i="6"/>
  <c r="F67" i="6"/>
  <c r="E67" i="6"/>
  <c r="D67" i="6"/>
  <c r="C67" i="6"/>
  <c r="T65" i="6"/>
  <c r="U65" i="6"/>
  <c r="X65" i="6"/>
  <c r="V65" i="6"/>
  <c r="Y65" i="6"/>
  <c r="W65" i="6"/>
  <c r="S64" i="6"/>
  <c r="R64" i="6"/>
  <c r="Q64" i="6"/>
  <c r="P64" i="6"/>
  <c r="O64" i="6"/>
  <c r="N64" i="6"/>
  <c r="M64" i="6"/>
  <c r="L64" i="6"/>
  <c r="K64" i="6"/>
  <c r="J64" i="6"/>
  <c r="I64" i="6"/>
  <c r="H64" i="6"/>
  <c r="G64" i="6"/>
  <c r="F64" i="6"/>
  <c r="E64" i="6"/>
  <c r="D64" i="6"/>
  <c r="C64" i="6"/>
  <c r="T62" i="6"/>
  <c r="U62" i="6"/>
  <c r="X62" i="6"/>
  <c r="V62" i="6"/>
  <c r="Y62" i="6"/>
  <c r="W62" i="6"/>
  <c r="S61" i="6"/>
  <c r="R61" i="6"/>
  <c r="Q61" i="6"/>
  <c r="P61" i="6"/>
  <c r="O61" i="6"/>
  <c r="N61" i="6"/>
  <c r="M61" i="6"/>
  <c r="L61" i="6"/>
  <c r="K61" i="6"/>
  <c r="J61" i="6"/>
  <c r="I61" i="6"/>
  <c r="H61" i="6"/>
  <c r="G61" i="6"/>
  <c r="F61" i="6"/>
  <c r="E61" i="6"/>
  <c r="D61" i="6"/>
  <c r="C61" i="6"/>
  <c r="T59" i="6"/>
  <c r="U59" i="6"/>
  <c r="X59" i="6"/>
  <c r="V59" i="6"/>
  <c r="Y59" i="6"/>
  <c r="W59" i="6"/>
  <c r="S58" i="6"/>
  <c r="R58" i="6"/>
  <c r="Q58" i="6"/>
  <c r="P58" i="6"/>
  <c r="O58" i="6"/>
  <c r="N58" i="6"/>
  <c r="M58" i="6"/>
  <c r="L58" i="6"/>
  <c r="K58" i="6"/>
  <c r="J58" i="6"/>
  <c r="I58" i="6"/>
  <c r="H58" i="6"/>
  <c r="G58" i="6"/>
  <c r="F58" i="6"/>
  <c r="E58" i="6"/>
  <c r="D58" i="6"/>
  <c r="C58" i="6"/>
  <c r="T56" i="6"/>
  <c r="U56" i="6"/>
  <c r="X56" i="6"/>
  <c r="V56" i="6"/>
  <c r="Y56" i="6"/>
  <c r="W56" i="6"/>
  <c r="S55" i="6"/>
  <c r="R55" i="6"/>
  <c r="Q55" i="6"/>
  <c r="P55" i="6"/>
  <c r="O55" i="6"/>
  <c r="N55" i="6"/>
  <c r="M55" i="6"/>
  <c r="L55" i="6"/>
  <c r="K55" i="6"/>
  <c r="J55" i="6"/>
  <c r="I55" i="6"/>
  <c r="H55" i="6"/>
  <c r="G55" i="6"/>
  <c r="F55" i="6"/>
  <c r="E55" i="6"/>
  <c r="D55" i="6"/>
  <c r="C55" i="6"/>
  <c r="T53" i="6"/>
  <c r="U53" i="6"/>
  <c r="X53" i="6"/>
  <c r="V53" i="6"/>
  <c r="Y53" i="6"/>
  <c r="W53" i="6"/>
  <c r="S52" i="6"/>
  <c r="R52" i="6"/>
  <c r="Q52" i="6"/>
  <c r="P52" i="6"/>
  <c r="O52" i="6"/>
  <c r="N52" i="6"/>
  <c r="M52" i="6"/>
  <c r="L52" i="6"/>
  <c r="K52" i="6"/>
  <c r="J52" i="6"/>
  <c r="I52" i="6"/>
  <c r="H52" i="6"/>
  <c r="G52" i="6"/>
  <c r="F52" i="6"/>
  <c r="E52" i="6"/>
  <c r="D52" i="6"/>
  <c r="C52" i="6"/>
  <c r="T50" i="6"/>
  <c r="U50" i="6"/>
  <c r="X50" i="6"/>
  <c r="V50" i="6"/>
  <c r="Y50" i="6"/>
  <c r="W50" i="6"/>
  <c r="S49" i="6"/>
  <c r="R49" i="6"/>
  <c r="Q49" i="6"/>
  <c r="P49" i="6"/>
  <c r="O49" i="6"/>
  <c r="N49" i="6"/>
  <c r="M49" i="6"/>
  <c r="L49" i="6"/>
  <c r="K49" i="6"/>
  <c r="J49" i="6"/>
  <c r="I49" i="6"/>
  <c r="H49" i="6"/>
  <c r="G49" i="6"/>
  <c r="F49" i="6"/>
  <c r="E49" i="6"/>
  <c r="D49" i="6"/>
  <c r="C49" i="6"/>
  <c r="T47" i="6"/>
  <c r="U47" i="6"/>
  <c r="X47" i="6"/>
  <c r="V47" i="6"/>
  <c r="Y47" i="6"/>
  <c r="W47" i="6"/>
  <c r="S46" i="6"/>
  <c r="R46" i="6"/>
  <c r="Q46" i="6"/>
  <c r="P46" i="6"/>
  <c r="O46" i="6"/>
  <c r="N46" i="6"/>
  <c r="M46" i="6"/>
  <c r="L46" i="6"/>
  <c r="K46" i="6"/>
  <c r="J46" i="6"/>
  <c r="I46" i="6"/>
  <c r="H46" i="6"/>
  <c r="G46" i="6"/>
  <c r="F46" i="6"/>
  <c r="E46" i="6"/>
  <c r="D46" i="6"/>
  <c r="C46" i="6"/>
  <c r="T44" i="6"/>
  <c r="U44" i="6"/>
  <c r="X44" i="6"/>
  <c r="V44" i="6"/>
  <c r="Y44" i="6"/>
  <c r="W44" i="6"/>
  <c r="S43" i="6"/>
  <c r="R43" i="6"/>
  <c r="Q43" i="6"/>
  <c r="P43" i="6"/>
  <c r="O43" i="6"/>
  <c r="N43" i="6"/>
  <c r="M43" i="6"/>
  <c r="L43" i="6"/>
  <c r="K43" i="6"/>
  <c r="J43" i="6"/>
  <c r="I43" i="6"/>
  <c r="H43" i="6"/>
  <c r="G43" i="6"/>
  <c r="F43" i="6"/>
  <c r="E43" i="6"/>
  <c r="D43" i="6"/>
  <c r="C43" i="6"/>
  <c r="T41" i="6"/>
  <c r="U41" i="6"/>
  <c r="X41" i="6"/>
  <c r="V41" i="6"/>
  <c r="Y41" i="6"/>
  <c r="W41" i="6"/>
  <c r="S40" i="6"/>
  <c r="R40" i="6"/>
  <c r="Q40" i="6"/>
  <c r="P40" i="6"/>
  <c r="O40" i="6"/>
  <c r="N40" i="6"/>
  <c r="M40" i="6"/>
  <c r="L40" i="6"/>
  <c r="K40" i="6"/>
  <c r="J40" i="6"/>
  <c r="I40" i="6"/>
  <c r="H40" i="6"/>
  <c r="G40" i="6"/>
  <c r="F40" i="6"/>
  <c r="E40" i="6"/>
  <c r="D40" i="6"/>
  <c r="C40" i="6"/>
  <c r="T38" i="6"/>
  <c r="U38" i="6"/>
  <c r="X38" i="6"/>
  <c r="V38" i="6"/>
  <c r="Y38" i="6"/>
  <c r="W38" i="6"/>
  <c r="S37" i="6"/>
  <c r="R37" i="6"/>
  <c r="Q37" i="6"/>
  <c r="P37" i="6"/>
  <c r="O37" i="6"/>
  <c r="N37" i="6"/>
  <c r="M37" i="6"/>
  <c r="L37" i="6"/>
  <c r="K37" i="6"/>
  <c r="J37" i="6"/>
  <c r="I37" i="6"/>
  <c r="H37" i="6"/>
  <c r="G37" i="6"/>
  <c r="F37" i="6"/>
  <c r="E37" i="6"/>
  <c r="D37" i="6"/>
  <c r="C37" i="6"/>
  <c r="T35" i="6"/>
  <c r="U35" i="6"/>
  <c r="X35" i="6"/>
  <c r="V35" i="6"/>
  <c r="Y35" i="6"/>
  <c r="W35" i="6"/>
  <c r="S34" i="6"/>
  <c r="R34" i="6"/>
  <c r="Q34" i="6"/>
  <c r="P34" i="6"/>
  <c r="O34" i="6"/>
  <c r="N34" i="6"/>
  <c r="M34" i="6"/>
  <c r="L34" i="6"/>
  <c r="K34" i="6"/>
  <c r="J34" i="6"/>
  <c r="I34" i="6"/>
  <c r="H34" i="6"/>
  <c r="G34" i="6"/>
  <c r="F34" i="6"/>
  <c r="E34" i="6"/>
  <c r="D34" i="6"/>
  <c r="C34" i="6"/>
  <c r="T32" i="6"/>
  <c r="U32" i="6"/>
  <c r="X32" i="6"/>
  <c r="V32" i="6"/>
  <c r="Y32" i="6"/>
  <c r="W32" i="6"/>
  <c r="S31" i="6"/>
  <c r="R31" i="6"/>
  <c r="Q31" i="6"/>
  <c r="P31" i="6"/>
  <c r="O31" i="6"/>
  <c r="N31" i="6"/>
  <c r="M31" i="6"/>
  <c r="L31" i="6"/>
  <c r="K31" i="6"/>
  <c r="J31" i="6"/>
  <c r="I31" i="6"/>
  <c r="H31" i="6"/>
  <c r="G31" i="6"/>
  <c r="F31" i="6"/>
  <c r="E31" i="6"/>
  <c r="D31" i="6"/>
  <c r="C31" i="6"/>
  <c r="T29" i="6"/>
  <c r="U29" i="6"/>
  <c r="X29" i="6"/>
  <c r="V29" i="6"/>
  <c r="Y29" i="6"/>
  <c r="W29" i="6"/>
  <c r="S28" i="6"/>
  <c r="R28" i="6"/>
  <c r="Q28" i="6"/>
  <c r="P28" i="6"/>
  <c r="O28" i="6"/>
  <c r="N28" i="6"/>
  <c r="M28" i="6"/>
  <c r="L28" i="6"/>
  <c r="K28" i="6"/>
  <c r="J28" i="6"/>
  <c r="I28" i="6"/>
  <c r="H28" i="6"/>
  <c r="G28" i="6"/>
  <c r="F28" i="6"/>
  <c r="E28" i="6"/>
  <c r="D28" i="6"/>
  <c r="C28" i="6"/>
  <c r="T26" i="6"/>
  <c r="U26" i="6"/>
  <c r="X26" i="6"/>
  <c r="V26" i="6"/>
  <c r="Y26" i="6"/>
  <c r="W26" i="6"/>
  <c r="S25" i="6"/>
  <c r="R25" i="6"/>
  <c r="Q25" i="6"/>
  <c r="P25" i="6"/>
  <c r="O25" i="6"/>
  <c r="N25" i="6"/>
  <c r="M25" i="6"/>
  <c r="L25" i="6"/>
  <c r="K25" i="6"/>
  <c r="J25" i="6"/>
  <c r="I25" i="6"/>
  <c r="H25" i="6"/>
  <c r="G25" i="6"/>
  <c r="F25" i="6"/>
  <c r="E25" i="6"/>
  <c r="D25" i="6"/>
  <c r="C25" i="6"/>
  <c r="T23" i="6"/>
  <c r="U23" i="6"/>
  <c r="X23" i="6"/>
  <c r="V23" i="6"/>
  <c r="Y23" i="6"/>
  <c r="W23" i="6"/>
  <c r="S22" i="6"/>
  <c r="R22" i="6"/>
  <c r="Q22" i="6"/>
  <c r="P22" i="6"/>
  <c r="O22" i="6"/>
  <c r="N22" i="6"/>
  <c r="M22" i="6"/>
  <c r="L22" i="6"/>
  <c r="K22" i="6"/>
  <c r="J22" i="6"/>
  <c r="I22" i="6"/>
  <c r="H22" i="6"/>
  <c r="G22" i="6"/>
  <c r="F22" i="6"/>
  <c r="E22" i="6"/>
  <c r="D22" i="6"/>
  <c r="C22" i="6"/>
  <c r="T20" i="6"/>
  <c r="U20" i="6"/>
  <c r="X20" i="6"/>
  <c r="V20" i="6"/>
  <c r="Y20" i="6"/>
  <c r="W20" i="6"/>
  <c r="S19" i="6"/>
  <c r="R19" i="6"/>
  <c r="Q19" i="6"/>
  <c r="P19" i="6"/>
  <c r="O19" i="6"/>
  <c r="N19" i="6"/>
  <c r="M19" i="6"/>
  <c r="L19" i="6"/>
  <c r="K19" i="6"/>
  <c r="J19" i="6"/>
  <c r="I19" i="6"/>
  <c r="H19" i="6"/>
  <c r="G19" i="6"/>
  <c r="F19" i="6"/>
  <c r="E19" i="6"/>
  <c r="D19" i="6"/>
  <c r="C19" i="6"/>
  <c r="T17" i="6"/>
  <c r="U17" i="6"/>
  <c r="X17" i="6"/>
  <c r="V17" i="6"/>
  <c r="Y17" i="6"/>
  <c r="W17" i="6"/>
  <c r="S16" i="6"/>
  <c r="R16" i="6"/>
  <c r="Q16" i="6"/>
  <c r="P16" i="6"/>
  <c r="O16" i="6"/>
  <c r="N16" i="6"/>
  <c r="M16" i="6"/>
  <c r="L16" i="6"/>
  <c r="K16" i="6"/>
  <c r="J16" i="6"/>
  <c r="I16" i="6"/>
  <c r="H16" i="6"/>
  <c r="G16" i="6"/>
  <c r="F16" i="6"/>
  <c r="E16" i="6"/>
  <c r="D16" i="6"/>
  <c r="C16" i="6"/>
  <c r="T14" i="6"/>
  <c r="U14" i="6"/>
  <c r="X14" i="6"/>
  <c r="V14" i="6"/>
  <c r="Y14" i="6"/>
  <c r="W14" i="6"/>
  <c r="S13" i="6"/>
  <c r="R13" i="6"/>
  <c r="Q13" i="6"/>
  <c r="P13" i="6"/>
  <c r="O13" i="6"/>
  <c r="N13" i="6"/>
  <c r="M13" i="6"/>
  <c r="L13" i="6"/>
  <c r="K13" i="6"/>
  <c r="J13" i="6"/>
  <c r="I13" i="6"/>
  <c r="H13" i="6"/>
  <c r="G13" i="6"/>
  <c r="F13" i="6"/>
  <c r="E13" i="6"/>
  <c r="D13" i="6"/>
  <c r="C13" i="6"/>
  <c r="T11" i="6"/>
  <c r="U11" i="6"/>
  <c r="X11" i="6"/>
  <c r="V11" i="6"/>
  <c r="Y11" i="6"/>
  <c r="W11" i="6"/>
  <c r="P226" i="5"/>
  <c r="O226" i="5"/>
  <c r="N226" i="5"/>
  <c r="M226" i="5"/>
  <c r="L226" i="5"/>
  <c r="K226" i="5"/>
  <c r="J226" i="5"/>
  <c r="I226" i="5"/>
  <c r="H226" i="5"/>
  <c r="G226" i="5"/>
  <c r="F226" i="5"/>
  <c r="E226" i="5"/>
  <c r="D226" i="5"/>
  <c r="Q224" i="5"/>
  <c r="R224" i="5"/>
  <c r="U224" i="5"/>
  <c r="S224" i="5"/>
  <c r="V224" i="5"/>
  <c r="T224" i="5"/>
  <c r="P223" i="5"/>
  <c r="O223" i="5"/>
  <c r="N223" i="5"/>
  <c r="M223" i="5"/>
  <c r="L223" i="5"/>
  <c r="K223" i="5"/>
  <c r="J223" i="5"/>
  <c r="I223" i="5"/>
  <c r="H223" i="5"/>
  <c r="G223" i="5"/>
  <c r="F223" i="5"/>
  <c r="E223" i="5"/>
  <c r="D223" i="5"/>
  <c r="Q221" i="5"/>
  <c r="R221" i="5"/>
  <c r="U221" i="5"/>
  <c r="S221" i="5"/>
  <c r="V221" i="5"/>
  <c r="T221" i="5"/>
  <c r="P220" i="5"/>
  <c r="O220" i="5"/>
  <c r="N220" i="5"/>
  <c r="M220" i="5"/>
  <c r="L220" i="5"/>
  <c r="K220" i="5"/>
  <c r="J220" i="5"/>
  <c r="I220" i="5"/>
  <c r="H220" i="5"/>
  <c r="G220" i="5"/>
  <c r="F220" i="5"/>
  <c r="E220" i="5"/>
  <c r="D220" i="5"/>
  <c r="Q218" i="5"/>
  <c r="R218" i="5"/>
  <c r="U218" i="5"/>
  <c r="S218" i="5"/>
  <c r="V218" i="5"/>
  <c r="T218" i="5"/>
  <c r="P217" i="5"/>
  <c r="O217" i="5"/>
  <c r="N217" i="5"/>
  <c r="M217" i="5"/>
  <c r="L217" i="5"/>
  <c r="K217" i="5"/>
  <c r="J217" i="5"/>
  <c r="I217" i="5"/>
  <c r="H217" i="5"/>
  <c r="G217" i="5"/>
  <c r="F217" i="5"/>
  <c r="E217" i="5"/>
  <c r="D217" i="5"/>
  <c r="Q215" i="5"/>
  <c r="R215" i="5"/>
  <c r="U215" i="5"/>
  <c r="S215" i="5"/>
  <c r="V215" i="5"/>
  <c r="T215" i="5"/>
  <c r="P214" i="5"/>
  <c r="O214" i="5"/>
  <c r="N214" i="5"/>
  <c r="M214" i="5"/>
  <c r="L214" i="5"/>
  <c r="K214" i="5"/>
  <c r="J214" i="5"/>
  <c r="I214" i="5"/>
  <c r="H214" i="5"/>
  <c r="G214" i="5"/>
  <c r="F214" i="5"/>
  <c r="E214" i="5"/>
  <c r="D214" i="5"/>
  <c r="Q212" i="5"/>
  <c r="R212" i="5"/>
  <c r="U212" i="5"/>
  <c r="S212" i="5"/>
  <c r="V212" i="5"/>
  <c r="T212" i="5"/>
  <c r="P211" i="5"/>
  <c r="O211" i="5"/>
  <c r="N211" i="5"/>
  <c r="M211" i="5"/>
  <c r="L211" i="5"/>
  <c r="K211" i="5"/>
  <c r="J211" i="5"/>
  <c r="I211" i="5"/>
  <c r="H211" i="5"/>
  <c r="G211" i="5"/>
  <c r="F211" i="5"/>
  <c r="E211" i="5"/>
  <c r="D211" i="5"/>
  <c r="Q209" i="5"/>
  <c r="R209" i="5"/>
  <c r="U209" i="5"/>
  <c r="S209" i="5"/>
  <c r="V209" i="5"/>
  <c r="T209" i="5"/>
  <c r="P208" i="5"/>
  <c r="O208" i="5"/>
  <c r="N208" i="5"/>
  <c r="M208" i="5"/>
  <c r="L208" i="5"/>
  <c r="K208" i="5"/>
  <c r="J208" i="5"/>
  <c r="I208" i="5"/>
  <c r="H208" i="5"/>
  <c r="G208" i="5"/>
  <c r="F208" i="5"/>
  <c r="E208" i="5"/>
  <c r="D208" i="5"/>
  <c r="Q206" i="5"/>
  <c r="R206" i="5"/>
  <c r="U206" i="5"/>
  <c r="S206" i="5"/>
  <c r="V206" i="5"/>
  <c r="T206" i="5"/>
  <c r="P205" i="5"/>
  <c r="O205" i="5"/>
  <c r="N205" i="5"/>
  <c r="M205" i="5"/>
  <c r="L205" i="5"/>
  <c r="K205" i="5"/>
  <c r="J205" i="5"/>
  <c r="I205" i="5"/>
  <c r="H205" i="5"/>
  <c r="G205" i="5"/>
  <c r="F205" i="5"/>
  <c r="E205" i="5"/>
  <c r="D205" i="5"/>
  <c r="Q203" i="5"/>
  <c r="R203" i="5"/>
  <c r="U203" i="5"/>
  <c r="S203" i="5"/>
  <c r="V203" i="5"/>
  <c r="T203" i="5"/>
  <c r="P202" i="5"/>
  <c r="O202" i="5"/>
  <c r="N202" i="5"/>
  <c r="M202" i="5"/>
  <c r="L202" i="5"/>
  <c r="K202" i="5"/>
  <c r="J202" i="5"/>
  <c r="I202" i="5"/>
  <c r="H202" i="5"/>
  <c r="G202" i="5"/>
  <c r="F202" i="5"/>
  <c r="E202" i="5"/>
  <c r="D202" i="5"/>
  <c r="Q200" i="5"/>
  <c r="R200" i="5"/>
  <c r="U200" i="5"/>
  <c r="S200" i="5"/>
  <c r="V200" i="5"/>
  <c r="T200" i="5"/>
  <c r="P199" i="5"/>
  <c r="O199" i="5"/>
  <c r="N199" i="5"/>
  <c r="M199" i="5"/>
  <c r="L199" i="5"/>
  <c r="K199" i="5"/>
  <c r="J199" i="5"/>
  <c r="I199" i="5"/>
  <c r="H199" i="5"/>
  <c r="G199" i="5"/>
  <c r="F199" i="5"/>
  <c r="E199" i="5"/>
  <c r="D199" i="5"/>
  <c r="Q197" i="5"/>
  <c r="R197" i="5"/>
  <c r="U197" i="5"/>
  <c r="S197" i="5"/>
  <c r="V197" i="5"/>
  <c r="T197" i="5"/>
  <c r="P196" i="5"/>
  <c r="O196" i="5"/>
  <c r="N196" i="5"/>
  <c r="M196" i="5"/>
  <c r="L196" i="5"/>
  <c r="K196" i="5"/>
  <c r="J196" i="5"/>
  <c r="I196" i="5"/>
  <c r="H196" i="5"/>
  <c r="G196" i="5"/>
  <c r="F196" i="5"/>
  <c r="E196" i="5"/>
  <c r="D196" i="5"/>
  <c r="Q194" i="5"/>
  <c r="R194" i="5"/>
  <c r="U194" i="5"/>
  <c r="S194" i="5"/>
  <c r="V194" i="5"/>
  <c r="T194" i="5"/>
  <c r="P193" i="5"/>
  <c r="O193" i="5"/>
  <c r="N193" i="5"/>
  <c r="M193" i="5"/>
  <c r="L193" i="5"/>
  <c r="K193" i="5"/>
  <c r="J193" i="5"/>
  <c r="I193" i="5"/>
  <c r="H193" i="5"/>
  <c r="G193" i="5"/>
  <c r="F193" i="5"/>
  <c r="E193" i="5"/>
  <c r="D193" i="5"/>
  <c r="Q191" i="5"/>
  <c r="R191" i="5"/>
  <c r="U191" i="5"/>
  <c r="S191" i="5"/>
  <c r="V191" i="5"/>
  <c r="T191" i="5"/>
  <c r="P190" i="5"/>
  <c r="O190" i="5"/>
  <c r="N190" i="5"/>
  <c r="M190" i="5"/>
  <c r="L190" i="5"/>
  <c r="K190" i="5"/>
  <c r="J190" i="5"/>
  <c r="I190" i="5"/>
  <c r="H190" i="5"/>
  <c r="G190" i="5"/>
  <c r="F190" i="5"/>
  <c r="E190" i="5"/>
  <c r="D190" i="5"/>
  <c r="Q188" i="5"/>
  <c r="R188" i="5"/>
  <c r="U188" i="5"/>
  <c r="S188" i="5"/>
  <c r="V188" i="5"/>
  <c r="T188" i="5"/>
  <c r="P187" i="5"/>
  <c r="O187" i="5"/>
  <c r="N187" i="5"/>
  <c r="M187" i="5"/>
  <c r="L187" i="5"/>
  <c r="K187" i="5"/>
  <c r="J187" i="5"/>
  <c r="I187" i="5"/>
  <c r="H187" i="5"/>
  <c r="G187" i="5"/>
  <c r="F187" i="5"/>
  <c r="E187" i="5"/>
  <c r="D187" i="5"/>
  <c r="Q185" i="5"/>
  <c r="R185" i="5"/>
  <c r="U185" i="5"/>
  <c r="S185" i="5"/>
  <c r="V185" i="5"/>
  <c r="T185" i="5"/>
  <c r="P184" i="5"/>
  <c r="O184" i="5"/>
  <c r="N184" i="5"/>
  <c r="M184" i="5"/>
  <c r="L184" i="5"/>
  <c r="K184" i="5"/>
  <c r="J184" i="5"/>
  <c r="I184" i="5"/>
  <c r="H184" i="5"/>
  <c r="G184" i="5"/>
  <c r="F184" i="5"/>
  <c r="E184" i="5"/>
  <c r="D184" i="5"/>
  <c r="Q182" i="5"/>
  <c r="R182" i="5"/>
  <c r="U182" i="5"/>
  <c r="S182" i="5"/>
  <c r="V182" i="5"/>
  <c r="T182" i="5"/>
  <c r="P181" i="5"/>
  <c r="O181" i="5"/>
  <c r="N181" i="5"/>
  <c r="M181" i="5"/>
  <c r="L181" i="5"/>
  <c r="K181" i="5"/>
  <c r="J181" i="5"/>
  <c r="I181" i="5"/>
  <c r="H181" i="5"/>
  <c r="G181" i="5"/>
  <c r="F181" i="5"/>
  <c r="E181" i="5"/>
  <c r="D181" i="5"/>
  <c r="Q179" i="5"/>
  <c r="R179" i="5"/>
  <c r="U179" i="5"/>
  <c r="S179" i="5"/>
  <c r="V179" i="5"/>
  <c r="T179" i="5"/>
  <c r="P178" i="5"/>
  <c r="O178" i="5"/>
  <c r="N178" i="5"/>
  <c r="M178" i="5"/>
  <c r="L178" i="5"/>
  <c r="K178" i="5"/>
  <c r="J178" i="5"/>
  <c r="I178" i="5"/>
  <c r="H178" i="5"/>
  <c r="G178" i="5"/>
  <c r="F178" i="5"/>
  <c r="E178" i="5"/>
  <c r="D178" i="5"/>
  <c r="Q176" i="5"/>
  <c r="R176" i="5"/>
  <c r="U176" i="5"/>
  <c r="S176" i="5"/>
  <c r="V176" i="5"/>
  <c r="T176" i="5"/>
  <c r="P175" i="5"/>
  <c r="O175" i="5"/>
  <c r="N175" i="5"/>
  <c r="M175" i="5"/>
  <c r="L175" i="5"/>
  <c r="K175" i="5"/>
  <c r="J175" i="5"/>
  <c r="I175" i="5"/>
  <c r="H175" i="5"/>
  <c r="G175" i="5"/>
  <c r="F175" i="5"/>
  <c r="E175" i="5"/>
  <c r="D175" i="5"/>
  <c r="Q173" i="5"/>
  <c r="R173" i="5"/>
  <c r="U173" i="5"/>
  <c r="S173" i="5"/>
  <c r="V173" i="5"/>
  <c r="T173" i="5"/>
  <c r="P172" i="5"/>
  <c r="O172" i="5"/>
  <c r="N172" i="5"/>
  <c r="M172" i="5"/>
  <c r="L172" i="5"/>
  <c r="K172" i="5"/>
  <c r="J172" i="5"/>
  <c r="I172" i="5"/>
  <c r="H172" i="5"/>
  <c r="G172" i="5"/>
  <c r="F172" i="5"/>
  <c r="E172" i="5"/>
  <c r="D172" i="5"/>
  <c r="Q170" i="5"/>
  <c r="R170" i="5"/>
  <c r="U170" i="5"/>
  <c r="S170" i="5"/>
  <c r="V170" i="5"/>
  <c r="T170" i="5"/>
  <c r="P169" i="5"/>
  <c r="O169" i="5"/>
  <c r="N169" i="5"/>
  <c r="M169" i="5"/>
  <c r="L169" i="5"/>
  <c r="K169" i="5"/>
  <c r="J169" i="5"/>
  <c r="I169" i="5"/>
  <c r="H169" i="5"/>
  <c r="G169" i="5"/>
  <c r="F169" i="5"/>
  <c r="E169" i="5"/>
  <c r="D169" i="5"/>
  <c r="Q167" i="5"/>
  <c r="R167" i="5"/>
  <c r="U167" i="5"/>
  <c r="S167" i="5"/>
  <c r="V167" i="5"/>
  <c r="T167" i="5"/>
  <c r="P166" i="5"/>
  <c r="O166" i="5"/>
  <c r="N166" i="5"/>
  <c r="M166" i="5"/>
  <c r="L166" i="5"/>
  <c r="K166" i="5"/>
  <c r="J166" i="5"/>
  <c r="I166" i="5"/>
  <c r="H166" i="5"/>
  <c r="G166" i="5"/>
  <c r="F166" i="5"/>
  <c r="E166" i="5"/>
  <c r="D166" i="5"/>
  <c r="Q164" i="5"/>
  <c r="R164" i="5"/>
  <c r="U164" i="5"/>
  <c r="S164" i="5"/>
  <c r="V164" i="5"/>
  <c r="T164" i="5"/>
  <c r="P163" i="5"/>
  <c r="O163" i="5"/>
  <c r="N163" i="5"/>
  <c r="M163" i="5"/>
  <c r="L163" i="5"/>
  <c r="K163" i="5"/>
  <c r="J163" i="5"/>
  <c r="I163" i="5"/>
  <c r="H163" i="5"/>
  <c r="G163" i="5"/>
  <c r="F163" i="5"/>
  <c r="E163" i="5"/>
  <c r="D163" i="5"/>
  <c r="Q161" i="5"/>
  <c r="R161" i="5"/>
  <c r="U161" i="5"/>
  <c r="S161" i="5"/>
  <c r="V161" i="5"/>
  <c r="T161" i="5"/>
  <c r="P160" i="5"/>
  <c r="O160" i="5"/>
  <c r="N160" i="5"/>
  <c r="M160" i="5"/>
  <c r="L160" i="5"/>
  <c r="K160" i="5"/>
  <c r="J160" i="5"/>
  <c r="I160" i="5"/>
  <c r="H160" i="5"/>
  <c r="G160" i="5"/>
  <c r="F160" i="5"/>
  <c r="E160" i="5"/>
  <c r="D160" i="5"/>
  <c r="Q158" i="5"/>
  <c r="R158" i="5"/>
  <c r="U158" i="5"/>
  <c r="S158" i="5"/>
  <c r="V158" i="5"/>
  <c r="T158" i="5"/>
  <c r="P157" i="5"/>
  <c r="O157" i="5"/>
  <c r="N157" i="5"/>
  <c r="M157" i="5"/>
  <c r="L157" i="5"/>
  <c r="K157" i="5"/>
  <c r="J157" i="5"/>
  <c r="I157" i="5"/>
  <c r="H157" i="5"/>
  <c r="G157" i="5"/>
  <c r="F157" i="5"/>
  <c r="E157" i="5"/>
  <c r="D157" i="5"/>
  <c r="Q155" i="5"/>
  <c r="R155" i="5"/>
  <c r="U155" i="5"/>
  <c r="S155" i="5"/>
  <c r="V155" i="5"/>
  <c r="T155" i="5"/>
  <c r="P154" i="5"/>
  <c r="O154" i="5"/>
  <c r="N154" i="5"/>
  <c r="M154" i="5"/>
  <c r="L154" i="5"/>
  <c r="K154" i="5"/>
  <c r="J154" i="5"/>
  <c r="I154" i="5"/>
  <c r="H154" i="5"/>
  <c r="G154" i="5"/>
  <c r="F154" i="5"/>
  <c r="E154" i="5"/>
  <c r="D154" i="5"/>
  <c r="Q152" i="5"/>
  <c r="R152" i="5"/>
  <c r="U152" i="5"/>
  <c r="S152" i="5"/>
  <c r="V152" i="5"/>
  <c r="T152" i="5"/>
  <c r="P151" i="5"/>
  <c r="O151" i="5"/>
  <c r="N151" i="5"/>
  <c r="M151" i="5"/>
  <c r="L151" i="5"/>
  <c r="K151" i="5"/>
  <c r="J151" i="5"/>
  <c r="I151" i="5"/>
  <c r="H151" i="5"/>
  <c r="G151" i="5"/>
  <c r="F151" i="5"/>
  <c r="E151" i="5"/>
  <c r="D151" i="5"/>
  <c r="Q149" i="5"/>
  <c r="R149" i="5"/>
  <c r="U149" i="5"/>
  <c r="S149" i="5"/>
  <c r="V149" i="5"/>
  <c r="T149" i="5"/>
  <c r="P148" i="5"/>
  <c r="O148" i="5"/>
  <c r="N148" i="5"/>
  <c r="M148" i="5"/>
  <c r="L148" i="5"/>
  <c r="K148" i="5"/>
  <c r="J148" i="5"/>
  <c r="I148" i="5"/>
  <c r="H148" i="5"/>
  <c r="G148" i="5"/>
  <c r="F148" i="5"/>
  <c r="E148" i="5"/>
  <c r="D148" i="5"/>
  <c r="Q146" i="5"/>
  <c r="R146" i="5"/>
  <c r="U146" i="5"/>
  <c r="S146" i="5"/>
  <c r="V146" i="5"/>
  <c r="T146" i="5"/>
  <c r="P145" i="5"/>
  <c r="O145" i="5"/>
  <c r="N145" i="5"/>
  <c r="M145" i="5"/>
  <c r="L145" i="5"/>
  <c r="K145" i="5"/>
  <c r="J145" i="5"/>
  <c r="I145" i="5"/>
  <c r="H145" i="5"/>
  <c r="G145" i="5"/>
  <c r="F145" i="5"/>
  <c r="E145" i="5"/>
  <c r="D145" i="5"/>
  <c r="Q143" i="5"/>
  <c r="R143" i="5"/>
  <c r="U143" i="5"/>
  <c r="S143" i="5"/>
  <c r="V143" i="5"/>
  <c r="T143" i="5"/>
  <c r="P142" i="5"/>
  <c r="O142" i="5"/>
  <c r="N142" i="5"/>
  <c r="M142" i="5"/>
  <c r="L142" i="5"/>
  <c r="K142" i="5"/>
  <c r="J142" i="5"/>
  <c r="I142" i="5"/>
  <c r="H142" i="5"/>
  <c r="G142" i="5"/>
  <c r="F142" i="5"/>
  <c r="E142" i="5"/>
  <c r="D142" i="5"/>
  <c r="Q140" i="5"/>
  <c r="R140" i="5"/>
  <c r="U140" i="5"/>
  <c r="S140" i="5"/>
  <c r="V140" i="5"/>
  <c r="T140" i="5"/>
  <c r="P139" i="5"/>
  <c r="O139" i="5"/>
  <c r="N139" i="5"/>
  <c r="M139" i="5"/>
  <c r="L139" i="5"/>
  <c r="K139" i="5"/>
  <c r="J139" i="5"/>
  <c r="I139" i="5"/>
  <c r="H139" i="5"/>
  <c r="G139" i="5"/>
  <c r="F139" i="5"/>
  <c r="E139" i="5"/>
  <c r="D139" i="5"/>
  <c r="Q137" i="5"/>
  <c r="R137" i="5"/>
  <c r="U137" i="5"/>
  <c r="S137" i="5"/>
  <c r="V137" i="5"/>
  <c r="T137" i="5"/>
  <c r="P136" i="5"/>
  <c r="O136" i="5"/>
  <c r="N136" i="5"/>
  <c r="M136" i="5"/>
  <c r="L136" i="5"/>
  <c r="K136" i="5"/>
  <c r="J136" i="5"/>
  <c r="I136" i="5"/>
  <c r="H136" i="5"/>
  <c r="G136" i="5"/>
  <c r="F136" i="5"/>
  <c r="E136" i="5"/>
  <c r="D136" i="5"/>
  <c r="Q134" i="5"/>
  <c r="R134" i="5"/>
  <c r="U134" i="5"/>
  <c r="S134" i="5"/>
  <c r="V134" i="5"/>
  <c r="T134" i="5"/>
  <c r="P133" i="5"/>
  <c r="O133" i="5"/>
  <c r="N133" i="5"/>
  <c r="M133" i="5"/>
  <c r="L133" i="5"/>
  <c r="K133" i="5"/>
  <c r="J133" i="5"/>
  <c r="I133" i="5"/>
  <c r="H133" i="5"/>
  <c r="G133" i="5"/>
  <c r="F133" i="5"/>
  <c r="E133" i="5"/>
  <c r="D133" i="5"/>
  <c r="Q131" i="5"/>
  <c r="R131" i="5"/>
  <c r="U131" i="5"/>
  <c r="S131" i="5"/>
  <c r="V131" i="5"/>
  <c r="T131" i="5"/>
  <c r="P130" i="5"/>
  <c r="O130" i="5"/>
  <c r="N130" i="5"/>
  <c r="M130" i="5"/>
  <c r="L130" i="5"/>
  <c r="K130" i="5"/>
  <c r="J130" i="5"/>
  <c r="I130" i="5"/>
  <c r="H130" i="5"/>
  <c r="G130" i="5"/>
  <c r="F130" i="5"/>
  <c r="E130" i="5"/>
  <c r="D130" i="5"/>
  <c r="Q128" i="5"/>
  <c r="R128" i="5"/>
  <c r="U128" i="5"/>
  <c r="S128" i="5"/>
  <c r="V128" i="5"/>
  <c r="T128" i="5"/>
  <c r="P127" i="5"/>
  <c r="O127" i="5"/>
  <c r="N127" i="5"/>
  <c r="M127" i="5"/>
  <c r="L127" i="5"/>
  <c r="K127" i="5"/>
  <c r="J127" i="5"/>
  <c r="I127" i="5"/>
  <c r="H127" i="5"/>
  <c r="G127" i="5"/>
  <c r="F127" i="5"/>
  <c r="E127" i="5"/>
  <c r="D127" i="5"/>
  <c r="Q125" i="5"/>
  <c r="R125" i="5"/>
  <c r="U125" i="5"/>
  <c r="S125" i="5"/>
  <c r="V125" i="5"/>
  <c r="T125" i="5"/>
  <c r="P124" i="5"/>
  <c r="O124" i="5"/>
  <c r="N124" i="5"/>
  <c r="M124" i="5"/>
  <c r="L124" i="5"/>
  <c r="K124" i="5"/>
  <c r="J124" i="5"/>
  <c r="I124" i="5"/>
  <c r="H124" i="5"/>
  <c r="G124" i="5"/>
  <c r="F124" i="5"/>
  <c r="E124" i="5"/>
  <c r="D124" i="5"/>
  <c r="Q122" i="5"/>
  <c r="R122" i="5"/>
  <c r="U122" i="5"/>
  <c r="S122" i="5"/>
  <c r="V122" i="5"/>
  <c r="T122" i="5"/>
  <c r="P121" i="5"/>
  <c r="O121" i="5"/>
  <c r="N121" i="5"/>
  <c r="M121" i="5"/>
  <c r="L121" i="5"/>
  <c r="K121" i="5"/>
  <c r="J121" i="5"/>
  <c r="I121" i="5"/>
  <c r="H121" i="5"/>
  <c r="G121" i="5"/>
  <c r="F121" i="5"/>
  <c r="E121" i="5"/>
  <c r="D121" i="5"/>
  <c r="Q119" i="5"/>
  <c r="R119" i="5"/>
  <c r="U119" i="5"/>
  <c r="S119" i="5"/>
  <c r="V119" i="5"/>
  <c r="T119" i="5"/>
  <c r="P118" i="5"/>
  <c r="O118" i="5"/>
  <c r="N118" i="5"/>
  <c r="M118" i="5"/>
  <c r="L118" i="5"/>
  <c r="K118" i="5"/>
  <c r="J118" i="5"/>
  <c r="I118" i="5"/>
  <c r="H118" i="5"/>
  <c r="G118" i="5"/>
  <c r="F118" i="5"/>
  <c r="E118" i="5"/>
  <c r="D118" i="5"/>
  <c r="Q116" i="5"/>
  <c r="R116" i="5"/>
  <c r="U116" i="5"/>
  <c r="S116" i="5"/>
  <c r="V116" i="5"/>
  <c r="T116" i="5"/>
  <c r="P115" i="5"/>
  <c r="O115" i="5"/>
  <c r="N115" i="5"/>
  <c r="M115" i="5"/>
  <c r="L115" i="5"/>
  <c r="K115" i="5"/>
  <c r="J115" i="5"/>
  <c r="I115" i="5"/>
  <c r="H115" i="5"/>
  <c r="G115" i="5"/>
  <c r="F115" i="5"/>
  <c r="E115" i="5"/>
  <c r="D115" i="5"/>
  <c r="Q113" i="5"/>
  <c r="R113" i="5"/>
  <c r="U113" i="5"/>
  <c r="S113" i="5"/>
  <c r="V113" i="5"/>
  <c r="T113" i="5"/>
  <c r="P112" i="5"/>
  <c r="O112" i="5"/>
  <c r="N112" i="5"/>
  <c r="M112" i="5"/>
  <c r="L112" i="5"/>
  <c r="K112" i="5"/>
  <c r="J112" i="5"/>
  <c r="I112" i="5"/>
  <c r="H112" i="5"/>
  <c r="G112" i="5"/>
  <c r="F112" i="5"/>
  <c r="E112" i="5"/>
  <c r="D112" i="5"/>
  <c r="Q110" i="5"/>
  <c r="R110" i="5"/>
  <c r="U110" i="5"/>
  <c r="S110" i="5"/>
  <c r="V110" i="5"/>
  <c r="T110" i="5"/>
  <c r="P109" i="5"/>
  <c r="O109" i="5"/>
  <c r="N109" i="5"/>
  <c r="M109" i="5"/>
  <c r="L109" i="5"/>
  <c r="K109" i="5"/>
  <c r="J109" i="5"/>
  <c r="I109" i="5"/>
  <c r="H109" i="5"/>
  <c r="G109" i="5"/>
  <c r="F109" i="5"/>
  <c r="E109" i="5"/>
  <c r="D109" i="5"/>
  <c r="Q107" i="5"/>
  <c r="R107" i="5"/>
  <c r="U107" i="5"/>
  <c r="S107" i="5"/>
  <c r="V107" i="5"/>
  <c r="T107" i="5"/>
  <c r="P106" i="5"/>
  <c r="O106" i="5"/>
  <c r="N106" i="5"/>
  <c r="M106" i="5"/>
  <c r="L106" i="5"/>
  <c r="K106" i="5"/>
  <c r="J106" i="5"/>
  <c r="I106" i="5"/>
  <c r="H106" i="5"/>
  <c r="G106" i="5"/>
  <c r="F106" i="5"/>
  <c r="E106" i="5"/>
  <c r="D106" i="5"/>
  <c r="Q104" i="5"/>
  <c r="R104" i="5"/>
  <c r="U104" i="5"/>
  <c r="S104" i="5"/>
  <c r="V104" i="5"/>
  <c r="T104" i="5"/>
  <c r="P103" i="5"/>
  <c r="O103" i="5"/>
  <c r="N103" i="5"/>
  <c r="M103" i="5"/>
  <c r="L103" i="5"/>
  <c r="K103" i="5"/>
  <c r="J103" i="5"/>
  <c r="I103" i="5"/>
  <c r="H103" i="5"/>
  <c r="G103" i="5"/>
  <c r="F103" i="5"/>
  <c r="E103" i="5"/>
  <c r="D103" i="5"/>
  <c r="Q101" i="5"/>
  <c r="R101" i="5"/>
  <c r="U101" i="5"/>
  <c r="S101" i="5"/>
  <c r="V101" i="5"/>
  <c r="T101" i="5"/>
  <c r="P100" i="5"/>
  <c r="O100" i="5"/>
  <c r="N100" i="5"/>
  <c r="M100" i="5"/>
  <c r="L100" i="5"/>
  <c r="K100" i="5"/>
  <c r="J100" i="5"/>
  <c r="I100" i="5"/>
  <c r="H100" i="5"/>
  <c r="G100" i="5"/>
  <c r="F100" i="5"/>
  <c r="E100" i="5"/>
  <c r="D100" i="5"/>
  <c r="Q98" i="5"/>
  <c r="R98" i="5"/>
  <c r="U98" i="5"/>
  <c r="S98" i="5"/>
  <c r="V98" i="5"/>
  <c r="T98" i="5"/>
  <c r="P97" i="5"/>
  <c r="O97" i="5"/>
  <c r="N97" i="5"/>
  <c r="M97" i="5"/>
  <c r="L97" i="5"/>
  <c r="K97" i="5"/>
  <c r="J97" i="5"/>
  <c r="I97" i="5"/>
  <c r="H97" i="5"/>
  <c r="G97" i="5"/>
  <c r="F97" i="5"/>
  <c r="E97" i="5"/>
  <c r="D97" i="5"/>
  <c r="Q95" i="5"/>
  <c r="R95" i="5"/>
  <c r="U95" i="5"/>
  <c r="S95" i="5"/>
  <c r="V95" i="5"/>
  <c r="T95" i="5"/>
  <c r="P94" i="5"/>
  <c r="O94" i="5"/>
  <c r="N94" i="5"/>
  <c r="M94" i="5"/>
  <c r="L94" i="5"/>
  <c r="K94" i="5"/>
  <c r="J94" i="5"/>
  <c r="I94" i="5"/>
  <c r="H94" i="5"/>
  <c r="G94" i="5"/>
  <c r="F94" i="5"/>
  <c r="E94" i="5"/>
  <c r="D94" i="5"/>
  <c r="Q92" i="5"/>
  <c r="R92" i="5"/>
  <c r="U92" i="5"/>
  <c r="S92" i="5"/>
  <c r="V92" i="5"/>
  <c r="T92" i="5"/>
  <c r="P91" i="5"/>
  <c r="O91" i="5"/>
  <c r="N91" i="5"/>
  <c r="M91" i="5"/>
  <c r="L91" i="5"/>
  <c r="K91" i="5"/>
  <c r="J91" i="5"/>
  <c r="I91" i="5"/>
  <c r="H91" i="5"/>
  <c r="G91" i="5"/>
  <c r="F91" i="5"/>
  <c r="E91" i="5"/>
  <c r="D91" i="5"/>
  <c r="Q89" i="5"/>
  <c r="R89" i="5"/>
  <c r="U89" i="5"/>
  <c r="S89" i="5"/>
  <c r="V89" i="5"/>
  <c r="T89" i="5"/>
  <c r="P88" i="5"/>
  <c r="O88" i="5"/>
  <c r="N88" i="5"/>
  <c r="M88" i="5"/>
  <c r="L88" i="5"/>
  <c r="K88" i="5"/>
  <c r="J88" i="5"/>
  <c r="I88" i="5"/>
  <c r="H88" i="5"/>
  <c r="G88" i="5"/>
  <c r="F88" i="5"/>
  <c r="E88" i="5"/>
  <c r="D88" i="5"/>
  <c r="Q86" i="5"/>
  <c r="R86" i="5"/>
  <c r="U86" i="5"/>
  <c r="S86" i="5"/>
  <c r="V86" i="5"/>
  <c r="T86" i="5"/>
  <c r="P85" i="5"/>
  <c r="O85" i="5"/>
  <c r="N85" i="5"/>
  <c r="M85" i="5"/>
  <c r="L85" i="5"/>
  <c r="K85" i="5"/>
  <c r="J85" i="5"/>
  <c r="I85" i="5"/>
  <c r="H85" i="5"/>
  <c r="G85" i="5"/>
  <c r="F85" i="5"/>
  <c r="E85" i="5"/>
  <c r="D85" i="5"/>
  <c r="Q83" i="5"/>
  <c r="R83" i="5"/>
  <c r="U83" i="5"/>
  <c r="S83" i="5"/>
  <c r="V83" i="5"/>
  <c r="T83" i="5"/>
  <c r="P82" i="5"/>
  <c r="O82" i="5"/>
  <c r="N82" i="5"/>
  <c r="M82" i="5"/>
  <c r="L82" i="5"/>
  <c r="K82" i="5"/>
  <c r="J82" i="5"/>
  <c r="I82" i="5"/>
  <c r="H82" i="5"/>
  <c r="G82" i="5"/>
  <c r="F82" i="5"/>
  <c r="E82" i="5"/>
  <c r="D82" i="5"/>
  <c r="Q80" i="5"/>
  <c r="R80" i="5"/>
  <c r="U80" i="5"/>
  <c r="S80" i="5"/>
  <c r="V80" i="5"/>
  <c r="T80" i="5"/>
  <c r="P79" i="5"/>
  <c r="O79" i="5"/>
  <c r="N79" i="5"/>
  <c r="M79" i="5"/>
  <c r="L79" i="5"/>
  <c r="K79" i="5"/>
  <c r="J79" i="5"/>
  <c r="I79" i="5"/>
  <c r="H79" i="5"/>
  <c r="G79" i="5"/>
  <c r="F79" i="5"/>
  <c r="E79" i="5"/>
  <c r="D79" i="5"/>
  <c r="Q77" i="5"/>
  <c r="R77" i="5"/>
  <c r="U77" i="5"/>
  <c r="S77" i="5"/>
  <c r="V77" i="5"/>
  <c r="T77" i="5"/>
  <c r="P76" i="5"/>
  <c r="O76" i="5"/>
  <c r="N76" i="5"/>
  <c r="M76" i="5"/>
  <c r="L76" i="5"/>
  <c r="K76" i="5"/>
  <c r="J76" i="5"/>
  <c r="I76" i="5"/>
  <c r="H76" i="5"/>
  <c r="G76" i="5"/>
  <c r="F76" i="5"/>
  <c r="E76" i="5"/>
  <c r="D76" i="5"/>
  <c r="Q74" i="5"/>
  <c r="R74" i="5"/>
  <c r="U74" i="5"/>
  <c r="S74" i="5"/>
  <c r="V74" i="5"/>
  <c r="T74" i="5"/>
  <c r="P73" i="5"/>
  <c r="O73" i="5"/>
  <c r="N73" i="5"/>
  <c r="M73" i="5"/>
  <c r="L73" i="5"/>
  <c r="K73" i="5"/>
  <c r="J73" i="5"/>
  <c r="I73" i="5"/>
  <c r="H73" i="5"/>
  <c r="G73" i="5"/>
  <c r="F73" i="5"/>
  <c r="E73" i="5"/>
  <c r="D73" i="5"/>
  <c r="Q71" i="5"/>
  <c r="R71" i="5"/>
  <c r="U71" i="5"/>
  <c r="S71" i="5"/>
  <c r="V71" i="5"/>
  <c r="T71" i="5"/>
  <c r="P70" i="5"/>
  <c r="O70" i="5"/>
  <c r="N70" i="5"/>
  <c r="M70" i="5"/>
  <c r="L70" i="5"/>
  <c r="K70" i="5"/>
  <c r="J70" i="5"/>
  <c r="I70" i="5"/>
  <c r="H70" i="5"/>
  <c r="G70" i="5"/>
  <c r="F70" i="5"/>
  <c r="E70" i="5"/>
  <c r="D70" i="5"/>
  <c r="Q68" i="5"/>
  <c r="R68" i="5"/>
  <c r="U68" i="5"/>
  <c r="S68" i="5"/>
  <c r="V68" i="5"/>
  <c r="T68" i="5"/>
  <c r="P67" i="5"/>
  <c r="O67" i="5"/>
  <c r="N67" i="5"/>
  <c r="M67" i="5"/>
  <c r="L67" i="5"/>
  <c r="K67" i="5"/>
  <c r="J67" i="5"/>
  <c r="I67" i="5"/>
  <c r="H67" i="5"/>
  <c r="G67" i="5"/>
  <c r="F67" i="5"/>
  <c r="E67" i="5"/>
  <c r="D67" i="5"/>
  <c r="Q65" i="5"/>
  <c r="R65" i="5"/>
  <c r="U65" i="5"/>
  <c r="V65" i="5"/>
  <c r="T65" i="5"/>
  <c r="S65" i="5"/>
  <c r="P64" i="5"/>
  <c r="O64" i="5"/>
  <c r="N64" i="5"/>
  <c r="M64" i="5"/>
  <c r="L64" i="5"/>
  <c r="K64" i="5"/>
  <c r="J64" i="5"/>
  <c r="I64" i="5"/>
  <c r="H64" i="5"/>
  <c r="G64" i="5"/>
  <c r="F64" i="5"/>
  <c r="E64" i="5"/>
  <c r="D64" i="5"/>
  <c r="Q62" i="5"/>
  <c r="R62" i="5"/>
  <c r="U62" i="5"/>
  <c r="S62" i="5"/>
  <c r="V62" i="5"/>
  <c r="T62" i="5"/>
  <c r="P61" i="5"/>
  <c r="O61" i="5"/>
  <c r="N61" i="5"/>
  <c r="M61" i="5"/>
  <c r="L61" i="5"/>
  <c r="K61" i="5"/>
  <c r="J61" i="5"/>
  <c r="I61" i="5"/>
  <c r="H61" i="5"/>
  <c r="G61" i="5"/>
  <c r="F61" i="5"/>
  <c r="E61" i="5"/>
  <c r="D61" i="5"/>
  <c r="Q59" i="5"/>
  <c r="R59" i="5"/>
  <c r="U59" i="5"/>
  <c r="S59" i="5"/>
  <c r="V59" i="5"/>
  <c r="T59" i="5"/>
  <c r="P58" i="5"/>
  <c r="O58" i="5"/>
  <c r="N58" i="5"/>
  <c r="M58" i="5"/>
  <c r="L58" i="5"/>
  <c r="K58" i="5"/>
  <c r="J58" i="5"/>
  <c r="I58" i="5"/>
  <c r="H58" i="5"/>
  <c r="G58" i="5"/>
  <c r="F58" i="5"/>
  <c r="E58" i="5"/>
  <c r="D58" i="5"/>
  <c r="Q56" i="5"/>
  <c r="R56" i="5"/>
  <c r="U56" i="5"/>
  <c r="S56" i="5"/>
  <c r="V56" i="5"/>
  <c r="T56" i="5"/>
  <c r="P55" i="5"/>
  <c r="O55" i="5"/>
  <c r="N55" i="5"/>
  <c r="M55" i="5"/>
  <c r="L55" i="5"/>
  <c r="K55" i="5"/>
  <c r="J55" i="5"/>
  <c r="I55" i="5"/>
  <c r="H55" i="5"/>
  <c r="G55" i="5"/>
  <c r="F55" i="5"/>
  <c r="E55" i="5"/>
  <c r="D55" i="5"/>
  <c r="Q53" i="5"/>
  <c r="R53" i="5"/>
  <c r="U53" i="5"/>
  <c r="S53" i="5"/>
  <c r="V53" i="5"/>
  <c r="T53" i="5"/>
  <c r="P52" i="5"/>
  <c r="O52" i="5"/>
  <c r="N52" i="5"/>
  <c r="M52" i="5"/>
  <c r="L52" i="5"/>
  <c r="K52" i="5"/>
  <c r="J52" i="5"/>
  <c r="I52" i="5"/>
  <c r="H52" i="5"/>
  <c r="G52" i="5"/>
  <c r="F52" i="5"/>
  <c r="E52" i="5"/>
  <c r="D52" i="5"/>
  <c r="Q50" i="5"/>
  <c r="R50" i="5"/>
  <c r="U50" i="5"/>
  <c r="S50" i="5"/>
  <c r="V50" i="5"/>
  <c r="T50" i="5"/>
  <c r="P49" i="5"/>
  <c r="O49" i="5"/>
  <c r="N49" i="5"/>
  <c r="M49" i="5"/>
  <c r="L49" i="5"/>
  <c r="K49" i="5"/>
  <c r="J49" i="5"/>
  <c r="I49" i="5"/>
  <c r="H49" i="5"/>
  <c r="G49" i="5"/>
  <c r="F49" i="5"/>
  <c r="E49" i="5"/>
  <c r="D49" i="5"/>
  <c r="Q47" i="5"/>
  <c r="R47" i="5"/>
  <c r="U47" i="5"/>
  <c r="S47" i="5"/>
  <c r="V47" i="5"/>
  <c r="T47" i="5"/>
  <c r="P46" i="5"/>
  <c r="O46" i="5"/>
  <c r="N46" i="5"/>
  <c r="M46" i="5"/>
  <c r="L46" i="5"/>
  <c r="K46" i="5"/>
  <c r="J46" i="5"/>
  <c r="I46" i="5"/>
  <c r="H46" i="5"/>
  <c r="G46" i="5"/>
  <c r="F46" i="5"/>
  <c r="E46" i="5"/>
  <c r="D46" i="5"/>
  <c r="Q44" i="5"/>
  <c r="R44" i="5"/>
  <c r="U44" i="5"/>
  <c r="S44" i="5"/>
  <c r="V44" i="5"/>
  <c r="T44" i="5"/>
  <c r="P43" i="5"/>
  <c r="O43" i="5"/>
  <c r="N43" i="5"/>
  <c r="M43" i="5"/>
  <c r="L43" i="5"/>
  <c r="K43" i="5"/>
  <c r="J43" i="5"/>
  <c r="I43" i="5"/>
  <c r="H43" i="5"/>
  <c r="G43" i="5"/>
  <c r="F43" i="5"/>
  <c r="E43" i="5"/>
  <c r="D43" i="5"/>
  <c r="Q41" i="5"/>
  <c r="R41" i="5"/>
  <c r="U41" i="5"/>
  <c r="S41" i="5"/>
  <c r="V41" i="5"/>
  <c r="T41" i="5"/>
  <c r="P40" i="5"/>
  <c r="O40" i="5"/>
  <c r="N40" i="5"/>
  <c r="M40" i="5"/>
  <c r="L40" i="5"/>
  <c r="K40" i="5"/>
  <c r="J40" i="5"/>
  <c r="I40" i="5"/>
  <c r="H40" i="5"/>
  <c r="G40" i="5"/>
  <c r="F40" i="5"/>
  <c r="E40" i="5"/>
  <c r="D40" i="5"/>
  <c r="Q38" i="5"/>
  <c r="R38" i="5"/>
  <c r="U38" i="5"/>
  <c r="S38" i="5"/>
  <c r="V38" i="5"/>
  <c r="T38" i="5"/>
  <c r="P37" i="5"/>
  <c r="O37" i="5"/>
  <c r="N37" i="5"/>
  <c r="M37" i="5"/>
  <c r="L37" i="5"/>
  <c r="K37" i="5"/>
  <c r="J37" i="5"/>
  <c r="I37" i="5"/>
  <c r="H37" i="5"/>
  <c r="G37" i="5"/>
  <c r="F37" i="5"/>
  <c r="E37" i="5"/>
  <c r="D37" i="5"/>
  <c r="Q35" i="5"/>
  <c r="R35" i="5"/>
  <c r="U35" i="5"/>
  <c r="S35" i="5"/>
  <c r="V35" i="5"/>
  <c r="T35" i="5"/>
  <c r="P34" i="5"/>
  <c r="O34" i="5"/>
  <c r="N34" i="5"/>
  <c r="M34" i="5"/>
  <c r="L34" i="5"/>
  <c r="K34" i="5"/>
  <c r="J34" i="5"/>
  <c r="I34" i="5"/>
  <c r="H34" i="5"/>
  <c r="G34" i="5"/>
  <c r="F34" i="5"/>
  <c r="E34" i="5"/>
  <c r="D34" i="5"/>
  <c r="Q32" i="5"/>
  <c r="R32" i="5"/>
  <c r="U32" i="5"/>
  <c r="S32" i="5"/>
  <c r="V32" i="5"/>
  <c r="T32" i="5"/>
  <c r="P31" i="5"/>
  <c r="O31" i="5"/>
  <c r="N31" i="5"/>
  <c r="M31" i="5"/>
  <c r="L31" i="5"/>
  <c r="K31" i="5"/>
  <c r="J31" i="5"/>
  <c r="I31" i="5"/>
  <c r="H31" i="5"/>
  <c r="G31" i="5"/>
  <c r="F31" i="5"/>
  <c r="E31" i="5"/>
  <c r="D31" i="5"/>
  <c r="Q29" i="5"/>
  <c r="R29" i="5"/>
  <c r="U29" i="5"/>
  <c r="S29" i="5"/>
  <c r="V29" i="5"/>
  <c r="T29" i="5"/>
  <c r="P28" i="5"/>
  <c r="O28" i="5"/>
  <c r="N28" i="5"/>
  <c r="M28" i="5"/>
  <c r="L28" i="5"/>
  <c r="K28" i="5"/>
  <c r="J28" i="5"/>
  <c r="I28" i="5"/>
  <c r="H28" i="5"/>
  <c r="G28" i="5"/>
  <c r="F28" i="5"/>
  <c r="E28" i="5"/>
  <c r="D28" i="5"/>
  <c r="Q26" i="5"/>
  <c r="R26" i="5"/>
  <c r="U26" i="5"/>
  <c r="S26" i="5"/>
  <c r="V26" i="5"/>
  <c r="T26" i="5"/>
  <c r="P25" i="5"/>
  <c r="O25" i="5"/>
  <c r="N25" i="5"/>
  <c r="M25" i="5"/>
  <c r="L25" i="5"/>
  <c r="K25" i="5"/>
  <c r="J25" i="5"/>
  <c r="I25" i="5"/>
  <c r="H25" i="5"/>
  <c r="G25" i="5"/>
  <c r="F25" i="5"/>
  <c r="E25" i="5"/>
  <c r="D25" i="5"/>
  <c r="Q23" i="5"/>
  <c r="R23" i="5"/>
  <c r="U23" i="5"/>
  <c r="S23" i="5"/>
  <c r="V23" i="5"/>
  <c r="T23" i="5"/>
  <c r="P22" i="5"/>
  <c r="O22" i="5"/>
  <c r="N22" i="5"/>
  <c r="M22" i="5"/>
  <c r="L22" i="5"/>
  <c r="K22" i="5"/>
  <c r="J22" i="5"/>
  <c r="I22" i="5"/>
  <c r="H22" i="5"/>
  <c r="G22" i="5"/>
  <c r="F22" i="5"/>
  <c r="E22" i="5"/>
  <c r="D22" i="5"/>
  <c r="Q20" i="5"/>
  <c r="R20" i="5"/>
  <c r="U20" i="5"/>
  <c r="S20" i="5"/>
  <c r="V20" i="5"/>
  <c r="T20" i="5"/>
  <c r="P19" i="5"/>
  <c r="O19" i="5"/>
  <c r="N19" i="5"/>
  <c r="M19" i="5"/>
  <c r="L19" i="5"/>
  <c r="K19" i="5"/>
  <c r="J19" i="5"/>
  <c r="I19" i="5"/>
  <c r="H19" i="5"/>
  <c r="G19" i="5"/>
  <c r="F19" i="5"/>
  <c r="E19" i="5"/>
  <c r="D19" i="5"/>
  <c r="Q17" i="5"/>
  <c r="R17" i="5"/>
  <c r="U17" i="5"/>
  <c r="S17" i="5"/>
  <c r="V17" i="5"/>
  <c r="T17" i="5"/>
  <c r="P16" i="5"/>
  <c r="O16" i="5"/>
  <c r="N16" i="5"/>
  <c r="M16" i="5"/>
  <c r="L16" i="5"/>
  <c r="K16" i="5"/>
  <c r="J16" i="5"/>
  <c r="I16" i="5"/>
  <c r="H16" i="5"/>
  <c r="G16" i="5"/>
  <c r="F16" i="5"/>
  <c r="E16" i="5"/>
  <c r="D16" i="5"/>
  <c r="Q14" i="5"/>
  <c r="R14" i="5"/>
  <c r="U14" i="5"/>
  <c r="S14" i="5"/>
  <c r="V14" i="5"/>
  <c r="T14" i="5"/>
  <c r="P13" i="5"/>
  <c r="O13" i="5"/>
  <c r="N13" i="5"/>
  <c r="M13" i="5"/>
  <c r="L13" i="5"/>
  <c r="K13" i="5"/>
  <c r="J13" i="5"/>
  <c r="I13" i="5"/>
  <c r="H13" i="5"/>
  <c r="G13" i="5"/>
  <c r="F13" i="5"/>
  <c r="E13" i="5"/>
  <c r="D13" i="5"/>
  <c r="Q11" i="5"/>
  <c r="R11" i="5"/>
  <c r="U11" i="5"/>
  <c r="S11" i="5"/>
  <c r="V11" i="5"/>
  <c r="T11" i="5"/>
  <c r="D107" i="4"/>
  <c r="E107" i="4"/>
  <c r="D106" i="4"/>
  <c r="E106" i="4"/>
  <c r="D105" i="4"/>
  <c r="E105" i="4"/>
  <c r="D104" i="4"/>
  <c r="E104" i="4"/>
  <c r="D103" i="4"/>
  <c r="E103" i="4"/>
  <c r="D102" i="4"/>
  <c r="E102" i="4"/>
  <c r="D101" i="4"/>
  <c r="E101" i="4"/>
  <c r="D100" i="4"/>
  <c r="E100" i="4"/>
  <c r="D99" i="4"/>
  <c r="E99" i="4"/>
  <c r="D98" i="4"/>
  <c r="E98" i="4"/>
  <c r="D97" i="4"/>
  <c r="E97" i="4"/>
  <c r="D96" i="4"/>
  <c r="E96" i="4"/>
  <c r="D95" i="4"/>
  <c r="E95" i="4"/>
  <c r="D94" i="4"/>
  <c r="E94" i="4"/>
  <c r="D93" i="4"/>
  <c r="E93" i="4"/>
  <c r="D92" i="4"/>
  <c r="E92" i="4"/>
  <c r="D91" i="4"/>
  <c r="E91" i="4"/>
  <c r="D90" i="4"/>
  <c r="E90" i="4"/>
  <c r="D89" i="4"/>
  <c r="E89" i="4"/>
  <c r="D88" i="4"/>
  <c r="E88" i="4"/>
  <c r="D87" i="4"/>
  <c r="E87" i="4"/>
  <c r="D86" i="4"/>
  <c r="E86" i="4"/>
  <c r="D85" i="4"/>
  <c r="E85" i="4"/>
  <c r="D84" i="4"/>
  <c r="E84" i="4"/>
  <c r="D83" i="4"/>
  <c r="E83" i="4"/>
  <c r="D82" i="4"/>
  <c r="E82" i="4"/>
  <c r="D81" i="4"/>
  <c r="E81" i="4"/>
  <c r="D80" i="4"/>
  <c r="E80" i="4"/>
  <c r="D79" i="4"/>
  <c r="E79" i="4"/>
  <c r="D78" i="4"/>
  <c r="E78" i="4"/>
  <c r="D77" i="4"/>
  <c r="E77" i="4"/>
  <c r="D76" i="4"/>
  <c r="E76" i="4"/>
  <c r="D75" i="4"/>
  <c r="E75" i="4"/>
  <c r="D74" i="4"/>
  <c r="E74" i="4"/>
  <c r="D73" i="4"/>
  <c r="E73" i="4"/>
  <c r="D72" i="4"/>
  <c r="E72" i="4"/>
  <c r="D71" i="4"/>
  <c r="E71" i="4"/>
  <c r="D70" i="4"/>
  <c r="E70" i="4"/>
  <c r="D69" i="4"/>
  <c r="E69" i="4"/>
  <c r="D68" i="4"/>
  <c r="E68" i="4"/>
  <c r="D67" i="4"/>
  <c r="E67" i="4"/>
  <c r="D66" i="4"/>
  <c r="E66" i="4"/>
  <c r="D65" i="4"/>
  <c r="E65" i="4"/>
  <c r="D64" i="4"/>
  <c r="E64" i="4"/>
  <c r="D63" i="4"/>
  <c r="E63" i="4"/>
  <c r="D62" i="4"/>
  <c r="E62" i="4"/>
  <c r="D61" i="4"/>
  <c r="E61" i="4"/>
  <c r="D60" i="4"/>
  <c r="E60" i="4"/>
  <c r="D59" i="4"/>
  <c r="E59" i="4"/>
  <c r="D58" i="4"/>
  <c r="E58" i="4"/>
  <c r="D57" i="4"/>
  <c r="E57" i="4"/>
  <c r="D56" i="4"/>
  <c r="E56" i="4"/>
  <c r="D55" i="4"/>
  <c r="E55" i="4"/>
  <c r="D54" i="4"/>
  <c r="E54" i="4"/>
  <c r="D53" i="4"/>
  <c r="E53"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D32" i="4"/>
  <c r="E32" i="4"/>
  <c r="D31" i="4"/>
  <c r="E31" i="4"/>
  <c r="D30" i="4"/>
  <c r="E30" i="4"/>
  <c r="D29" i="4"/>
  <c r="E29" i="4"/>
  <c r="D28" i="4"/>
  <c r="E28" i="4"/>
  <c r="D27" i="4"/>
  <c r="E27" i="4"/>
  <c r="D26" i="4"/>
  <c r="E26" i="4"/>
  <c r="D25" i="4"/>
  <c r="E25" i="4"/>
  <c r="D24" i="4"/>
  <c r="E24" i="4"/>
  <c r="D23" i="4"/>
  <c r="E23" i="4"/>
  <c r="D22" i="4"/>
  <c r="E22" i="4"/>
  <c r="D21" i="4"/>
  <c r="E21" i="4"/>
  <c r="D20" i="4"/>
  <c r="E20" i="4"/>
  <c r="D19" i="4"/>
  <c r="E19" i="4"/>
  <c r="D18" i="4"/>
  <c r="E18" i="4"/>
  <c r="D17" i="4"/>
  <c r="E17" i="4"/>
  <c r="D16" i="4"/>
  <c r="E16" i="4"/>
  <c r="D15" i="4"/>
  <c r="E15" i="4"/>
  <c r="D14" i="4"/>
  <c r="E14" i="4"/>
  <c r="D13" i="4"/>
  <c r="E13" i="4"/>
  <c r="D12" i="4"/>
  <c r="E12" i="4"/>
  <c r="D11" i="4"/>
  <c r="E11" i="4"/>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<sst xmlns="http://schemas.openxmlformats.org/spreadsheetml/2006/main" count="1052" uniqueCount="171">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</sst>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m/d/yyyy;@"/>
    <numFmt numFmtId="166" formatCode="m/d;@"/>
  </numFmts>
  <fonts count="3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82">
    <xf numFmtId="0" fontId="0" fillId="0" borderId="0" xfId="0"/>
    <xf numFmtId="0" fontId="4" fillId="0" borderId="0" xfId="0" applyFont="1"/>
    <xf numFmtId="0" fontId="7" fillId="2" borderId="0" xfId="0" applyFont="1" applyFill="1" applyAlignment="1"/>
    <xf numFmtId="0" fontId="6" fillId="2" borderId="4" xfId="0" applyFont="1" applyFill="1" applyBorder="1" applyAlignment="1"/>
    <xf numFmtId="0" fontId="9" fillId="0" borderId="0" xfId="0" applyFont="1" applyBorder="1"/>
    <xf numFmtId="0" fontId="6" fillId="2" borderId="0" xfId="0" applyFont="1" applyFill="1" applyBorder="1" applyAlignment="1"/>
    <xf numFmtId="0" fontId="8" fillId="2" borderId="0" xfId="0" applyFont="1" applyFill="1" applyBorder="1" applyAlignment="1"/>
    <xf numFmtId="0" fontId="6" fillId="2" borderId="5" xfId="0" applyFont="1" applyFill="1" applyBorder="1" applyAlignment="1">
      <alignment horizontal="right"/>
    </xf>
    <xf numFmtId="0" fontId="10" fillId="2" borderId="0" xfId="0" applyFont="1" applyFill="1" applyAlignment="1"/>
    <xf numFmtId="0" fontId="11" fillId="2" borderId="0" xfId="0" applyFont="1" applyFill="1" applyAlignment="1"/>
    <xf numFmtId="0" fontId="6" fillId="2" borderId="4" xfId="0" applyFont="1" applyFill="1" applyBorder="1" applyAlignment="1">
      <alignment horizontal="left"/>
    </xf>
    <xf numFmtId="0" fontId="9" fillId="2" borderId="0" xfId="0" applyFont="1" applyFill="1" applyBorder="1"/>
    <xf numFmtId="0" fontId="11" fillId="0" borderId="0" xfId="0" applyFont="1" applyBorder="1" applyAlignment="1"/>
    <xf numFmtId="0" fontId="13" fillId="0" borderId="0" xfId="0" applyFont="1" applyBorder="1" applyAlignment="1">
      <alignment wrapText="1"/>
    </xf>
    <xf numFmtId="0" fontId="8" fillId="2" borderId="5" xfId="0" applyFont="1" applyFill="1" applyBorder="1" applyAlignment="1"/>
    <xf numFmtId="0" fontId="8" fillId="2" borderId="4" xfId="0" applyFont="1" applyFill="1" applyBorder="1" applyAlignment="1"/>
    <xf numFmtId="0" fontId="8" fillId="2" borderId="0" xfId="0" applyFont="1" applyFill="1" applyAlignment="1">
      <alignment horizontal="left"/>
    </xf>
    <xf numFmtId="0" fontId="8" fillId="2" borderId="6" xfId="0" applyFont="1" applyFill="1" applyBorder="1" applyAlignment="1"/>
    <xf numFmtId="0" fontId="8" fillId="2" borderId="7" xfId="0" applyFont="1" applyFill="1" applyBorder="1" applyAlignment="1"/>
    <xf numFmtId="0" fontId="8" fillId="2" borderId="8" xfId="0" applyFont="1" applyFill="1" applyBorder="1" applyAlignment="1"/>
    <xf numFmtId="0" fontId="14" fillId="0" borderId="9" xfId="0" applyFont="1" applyBorder="1" applyAlignment="1">
      <alignment horizontal="center" vertical="center" wrapText="1"/>
    </xf>
    <xf numFmtId="0" fontId="9" fillId="0" borderId="9" xfId="0" applyFont="1" applyBorder="1" applyAlignment="1">
      <alignment horizontal="center" vertical="center" wrapText="1"/>
    </xf>
    <xf numFmtId="0" fontId="9" fillId="0" borderId="9" xfId="0" applyFont="1" applyBorder="1" applyAlignment="1">
      <alignment horizontal="center" vertical="center"/>
    </xf>
    <xf numFmtId="0" fontId="11" fillId="0" borderId="0" xfId="0" applyFont="1" applyBorder="1"/>
    <xf numFmtId="0" fontId="9" fillId="0" borderId="9" xfId="0" applyFont="1" applyBorder="1" applyAlignment="1">
      <alignment horizontal="center"/>
    </xf>
    <xf numFmtId="0" fontId="9" fillId="0" borderId="9" xfId="0" applyFont="1" applyBorder="1" applyAlignment="1">
      <alignment horizontal="center" wrapText="1"/>
    </xf>
    <xf numFmtId="0" fontId="15" fillId="0" borderId="9" xfId="0" applyFont="1" applyBorder="1" applyAlignment="1"/>
    <xf numFmtId="0" fontId="10" fillId="0" borderId="9" xfId="0" applyFont="1" applyBorder="1" applyAlignment="1"/>
    <xf numFmtId="0" fontId="10" fillId="0" borderId="0" xfId="0" applyFont="1" applyBorder="1" applyAlignment="1"/>
    <xf numFmtId="0" fontId="10" fillId="0" borderId="0" xfId="0" applyFont="1" applyBorder="1"/>
    <xf numFmtId="0" fontId="15" fillId="0" borderId="9" xfId="0" applyFont="1" applyFill="1" applyBorder="1" applyAlignment="1"/>
    <xf numFmtId="0" fontId="10" fillId="0" borderId="9" xfId="0" applyFont="1" applyFill="1" applyBorder="1" applyAlignment="1">
      <alignment wrapText="1"/>
    </xf>
    <xf numFmtId="0" fontId="10" fillId="0" borderId="9" xfId="0" applyFont="1" applyBorder="1" applyAlignment="1">
      <alignment wrapText="1"/>
    </xf>
    <xf numFmtId="0" fontId="16" fillId="0" borderId="0" xfId="0" applyFont="1"/>
    <xf numFmtId="165" fontId="17" fillId="2" borderId="1" xfId="0" applyNumberFormat="1" applyFont="1" applyFill="1" applyBorder="1" applyAlignment="1">
      <alignment horizontal="left" vertical="center"/>
    </xf>
    <xf numFmtId="0" fontId="17" fillId="2" borderId="2" xfId="0" applyFont="1" applyFill="1" applyBorder="1" applyAlignment="1">
      <alignment horizontal="left"/>
    </xf>
    <xf numFmtId="0" fontId="17" fillId="2" borderId="3" xfId="0" applyFont="1" applyFill="1" applyBorder="1" applyAlignment="1">
      <alignment horizontal="left"/>
    </xf>
    <xf numFmtId="0" fontId="17" fillId="2" borderId="2" xfId="0" applyFont="1" applyFill="1" applyBorder="1" applyAlignment="1">
      <alignment horizontal="left" vertical="center"/>
    </xf>
    <xf numFmtId="0" fontId="18" fillId="2" borderId="2" xfId="0" applyFont="1" applyFill="1" applyBorder="1" applyAlignment="1">
      <alignment vertical="center"/>
    </xf>
    <xf numFmtId="0" fontId="18" fillId="2" borderId="2" xfId="0" applyFont="1" applyFill="1" applyBorder="1" applyAlignment="1">
      <alignment horizontal="center" vertical="center"/>
    </xf>
    <xf numFmtId="0" fontId="18" fillId="2" borderId="3" xfId="0" applyFont="1" applyFill="1" applyBorder="1" applyAlignment="1">
      <alignment horizontal="center" vertical="center"/>
    </xf>
    <xf numFmtId="0" fontId="17" fillId="2" borderId="0" xfId="0" applyFont="1" applyFill="1" applyAlignment="1"/>
    <xf numFmtId="165" fontId="17" fillId="2" borderId="4" xfId="0" applyNumberFormat="1" applyFont="1" applyFill="1" applyBorder="1" applyAlignment="1">
      <alignment horizontal="left" vertical="center"/>
    </xf>
    <xf numFmtId="0" fontId="17" fillId="2" borderId="0" xfId="0" applyFont="1" applyFill="1" applyBorder="1" applyAlignment="1">
      <alignment horizontal="left"/>
    </xf>
    <xf numFmtId="0" fontId="20" fillId="0" borderId="0" xfId="0" applyFont="1" applyBorder="1" applyAlignment="1">
      <alignment horizontal="left"/>
    </xf>
    <xf numFmtId="0" fontId="20" fillId="2" borderId="0" xfId="0" applyFont="1" applyFill="1" applyBorder="1" applyAlignment="1">
      <alignment horizontal="left"/>
    </xf>
    <xf numFmtId="0" fontId="19" fillId="2" borderId="0" xfId="0" applyFont="1" applyFill="1" applyBorder="1" applyAlignment="1">
      <alignment horizontal="left"/>
    </xf>
    <xf numFmtId="0" fontId="20" fillId="0" borderId="0" xfId="0" applyFont="1" applyBorder="1" applyAlignment="1">
      <alignment horizontal="left" vertical="center"/>
    </xf>
    <xf numFmtId="0" fontId="18" fillId="2" borderId="0" xfId="0" applyFont="1" applyFill="1" applyBorder="1" applyAlignment="1">
      <alignment vertical="center"/>
    </xf>
    <xf numFmtId="0" fontId="18" fillId="2" borderId="0" xfId="0" applyFont="1" applyFill="1" applyBorder="1" applyAlignment="1">
      <alignment horizontal="center" vertical="center"/>
    </xf>
    <xf numFmtId="0" fontId="18" fillId="2" borderId="5" xfId="0" applyFont="1" applyFill="1" applyBorder="1" applyAlignment="1">
      <alignment horizontal="center" vertical="center"/>
    </xf>
    <xf numFmtId="0" fontId="3" fillId="0" borderId="0" xfId="0" applyFont="1"/>
    <xf numFmtId="0" fontId="19" fillId="2" borderId="5" xfId="0" applyFont="1" applyFill="1" applyBorder="1" applyAlignment="1">
      <alignment horizontal="left"/>
    </xf>
    <xf numFmtId="0" fontId="19" fillId="2" borderId="0" xfId="0" applyFont="1" applyFill="1" applyBorder="1" applyAlignment="1">
      <alignment horizontal="left" vertical="center"/>
    </xf>
    <xf numFmtId="0" fontId="3" fillId="0" borderId="0" xfId="0" applyFont="1" applyBorder="1" applyAlignment="1">
      <alignment horizontal="left"/>
    </xf>
    <xf numFmtId="0" fontId="21" fillId="2" borderId="0" xfId="0" applyFont="1" applyFill="1" applyBorder="1" applyAlignment="1">
      <alignment horizontal="left" vertical="center"/>
    </xf>
    <xf numFmtId="0" fontId="3" fillId="2" borderId="0" xfId="0" applyFont="1" applyFill="1" applyBorder="1" applyAlignment="1">
      <alignment horizontal="left" vertical="center"/>
    </xf>
    <xf numFmtId="165" fontId="19" fillId="2" borderId="4" xfId="0" applyNumberFormat="1" applyFont="1" applyFill="1" applyBorder="1" applyAlignment="1">
      <alignment horizontal="left" vertical="center"/>
    </xf>
    <xf numFmtId="165" fontId="19" fillId="2" borderId="6" xfId="0" applyNumberFormat="1" applyFont="1" applyFill="1" applyBorder="1" applyAlignment="1">
      <alignment horizontal="left" vertical="center"/>
    </xf>
    <xf numFmtId="0" fontId="19" fillId="2" borderId="7" xfId="0" applyFont="1" applyFill="1" applyBorder="1" applyAlignment="1">
      <alignment horizontal="left"/>
    </xf>
    <xf numFmtId="0" fontId="20" fillId="2" borderId="7" xfId="0" applyFont="1" applyFill="1" applyBorder="1" applyAlignment="1">
      <alignment horizontal="left"/>
    </xf>
    <xf numFmtId="0" fontId="19" fillId="2" borderId="7" xfId="0" applyFont="1" applyFill="1" applyBorder="1" applyAlignment="1">
      <alignment horizontal="left" vertical="center"/>
    </xf>
    <xf numFmtId="0" fontId="18" fillId="2" borderId="7" xfId="0" applyFont="1" applyFill="1" applyBorder="1" applyAlignment="1">
      <alignment vertical="center"/>
    </xf>
    <xf numFmtId="0" fontId="18" fillId="2" borderId="7" xfId="0" applyFont="1" applyFill="1" applyBorder="1" applyAlignment="1">
      <alignment horizontal="center" vertical="center"/>
    </xf>
    <xf numFmtId="0" fontId="18" fillId="2" borderId="8" xfId="0" applyFont="1" applyFill="1" applyBorder="1" applyAlignment="1">
      <alignment horizontal="center" vertical="center"/>
    </xf>
    <xf numFmtId="0" fontId="22" fillId="2" borderId="12" xfId="0" applyFont="1" applyFill="1" applyBorder="1" applyAlignment="1">
      <alignment horizontal="center" vertical="center"/>
    </xf>
    <xf numFmtId="0" fontId="20" fillId="0" borderId="9" xfId="0" applyFont="1" applyBorder="1" applyAlignment="1">
      <alignment vertical="top" wrapText="1"/>
    </xf>
    <xf numFmtId="0" fontId="18" fillId="2" borderId="9" xfId="0" applyFont="1" applyFill="1" applyBorder="1" applyAlignment="1">
      <alignment vertical="center"/>
    </xf>
    <xf numFmtId="0" fontId="18" fillId="2" borderId="9" xfId="0" applyFont="1" applyFill="1" applyBorder="1" applyAlignment="1">
      <alignment horizontal="center" vertical="center"/>
    </xf>
    <xf numFmtId="0" fontId="22" fillId="2" borderId="9" xfId="0" applyFont="1" applyFill="1" applyBorder="1" applyAlignment="1">
      <alignment horizontal="center" vertical="center"/>
    </xf>
    <xf numFmtId="164" fontId="3" fillId="0" borderId="9" xfId="0" applyNumberFormat="1" applyFont="1" applyBorder="1" applyAlignment="1">
      <alignment horizontal="center" vertical="center"/>
    </xf>
    <xf numFmtId="0" fontId="20" fillId="0" borderId="16" xfId="0" applyFont="1" applyBorder="1" applyAlignment="1">
      <alignment horizontal="center" vertical="top" wrapText="1"/>
    </xf>
    <xf numFmtId="0" fontId="20" fillId="0" borderId="16" xfId="0" applyFont="1" applyBorder="1" applyAlignment="1">
      <alignment vertical="top" wrapText="1"/>
    </xf>
    <xf numFmtId="0" fontId="20" fillId="0" borderId="16" xfId="0" applyFont="1" applyBorder="1" applyAlignment="1">
      <alignment vertical="top"/>
    </xf>
    <xf numFmtId="0" fontId="3" fillId="0" borderId="17" xfId="0" applyFont="1" applyBorder="1" applyAlignment="1">
      <alignment horizontal="right" vertical="center"/>
    </xf>
    <xf numFmtId="0" fontId="22" fillId="2" borderId="10" xfId="0" applyFont="1" applyFill="1" applyBorder="1" applyAlignment="1">
      <alignment vertical="center"/>
    </xf>
    <xf numFmtId="0" fontId="22" fillId="2" borderId="9" xfId="0" applyNumberFormat="1" applyFont="1" applyFill="1" applyBorder="1" applyAlignment="1">
      <alignment vertical="center"/>
    </xf>
    <xf numFmtId="0" fontId="20" fillId="0" borderId="9" xfId="0" applyFont="1" applyBorder="1" applyAlignment="1">
      <alignment vertical="top"/>
    </xf>
    <xf numFmtId="0" fontId="3" fillId="0" borderId="18" xfId="0" applyFont="1" applyBorder="1" applyAlignment="1">
      <alignment horizontal="right" vertical="center"/>
    </xf>
    <xf numFmtId="0" fontId="20" fillId="0" borderId="19" xfId="0" applyFont="1" applyBorder="1" applyAlignment="1">
      <alignment vertical="top" wrapText="1"/>
    </xf>
    <xf numFmtId="0" fontId="20" fillId="0" borderId="19" xfId="0" applyFont="1" applyBorder="1" applyAlignment="1">
      <alignment horizontal="center" wrapText="1"/>
    </xf>
    <xf numFmtId="0" fontId="20" fillId="0" borderId="19" xfId="0" applyFont="1" applyBorder="1" applyAlignment="1">
      <alignment vertical="top"/>
    </xf>
    <xf numFmtId="0" fontId="3" fillId="0" borderId="20" xfId="0" applyFont="1" applyBorder="1" applyAlignment="1">
      <alignment horizontal="right" vertical="center"/>
    </xf>
    <xf numFmtId="165" fontId="3" fillId="0" borderId="0" xfId="0" applyNumberFormat="1" applyFont="1" applyAlignment="1">
      <alignment horizontal="center" vertical="center"/>
    </xf>
    <xf numFmtId="0" fontId="3" fillId="0" borderId="9" xfId="0" applyFont="1" applyBorder="1" applyAlignment="1">
      <alignment horizontal="right" vertical="center"/>
    </xf>
    <xf numFmtId="0" fontId="3" fillId="0" borderId="19" xfId="0" applyFont="1" applyBorder="1" applyAlignment="1">
      <alignment horizontal="right" vertical="center"/>
    </xf>
    <xf numFmtId="0" fontId="3" fillId="0" borderId="0" xfId="0" applyFont="1" applyAlignment="1">
      <alignment horizontal="center" vertical="center"/>
    </xf>
    <xf numFmtId="164" fontId="3" fillId="0" borderId="21" xfId="0" applyNumberFormat="1" applyFont="1" applyBorder="1" applyAlignment="1">
      <alignment horizontal="center" vertical="center"/>
    </xf>
    <xf numFmtId="0" fontId="3" fillId="0" borderId="22" xfId="0" applyFont="1" applyBorder="1"/>
    <xf numFmtId="0" fontId="3" fillId="0" borderId="15" xfId="0" applyFont="1" applyBorder="1"/>
    <xf numFmtId="0" fontId="3" fillId="0" borderId="24" xfId="0" applyFont="1" applyBorder="1"/>
    <xf numFmtId="0" fontId="3" fillId="0" borderId="0" xfId="0" applyFont="1" applyAlignment="1">
      <alignment horizontal="right" vertical="center"/>
    </xf>
    <xf numFmtId="0" fontId="3" fillId="0" borderId="0" xfId="0" applyFont="1" applyAlignment="1">
      <alignment horizontal="center"/>
    </xf>
    <xf numFmtId="2" fontId="17" fillId="2" borderId="2" xfId="0" applyNumberFormat="1" applyFont="1" applyFill="1" applyBorder="1" applyAlignment="1">
      <alignment horizontal="left"/>
    </xf>
    <xf numFmtId="2" fontId="17" fillId="2" borderId="0" xfId="0" applyNumberFormat="1" applyFont="1" applyFill="1" applyBorder="1" applyAlignment="1">
      <alignment horizontal="left"/>
    </xf>
    <xf numFmtId="2" fontId="19" fillId="2" borderId="0" xfId="0" applyNumberFormat="1" applyFont="1" applyFill="1" applyBorder="1" applyAlignment="1">
      <alignment horizontal="left"/>
    </xf>
    <xf numFmtId="2" fontId="21" fillId="2" borderId="0" xfId="0" applyNumberFormat="1" applyFont="1" applyFill="1" applyBorder="1" applyAlignment="1">
      <alignment horizontal="left" vertical="center"/>
    </xf>
    <xf numFmtId="2" fontId="19" fillId="2" borderId="7" xfId="0" applyNumberFormat="1" applyFont="1" applyFill="1" applyBorder="1" applyAlignment="1">
      <alignment horizontal="left"/>
    </xf>
    <xf numFmtId="2" fontId="3" fillId="0" borderId="0" xfId="0" applyNumberFormat="1" applyFont="1"/>
    <xf numFmtId="2" fontId="20" fillId="0" borderId="16" xfId="0" applyNumberFormat="1" applyFont="1" applyBorder="1" applyAlignment="1">
      <alignment vertical="top" wrapText="1"/>
    </xf>
    <xf numFmtId="2" fontId="20" fillId="0" borderId="9" xfId="0" applyNumberFormat="1" applyFont="1" applyBorder="1" applyAlignment="1">
      <alignment vertical="top" wrapText="1"/>
    </xf>
    <xf numFmtId="2" fontId="20" fillId="0" borderId="19" xfId="0" applyNumberFormat="1" applyFont="1" applyBorder="1" applyAlignment="1">
      <alignment vertical="top" wrapText="1"/>
    </xf>
    <xf numFmtId="0" fontId="5" fillId="0" borderId="0" xfId="0" applyFont="1" applyAlignment="1">
      <alignment horizontal="center" vertical="top"/>
    </xf>
    <xf numFmtId="0" fontId="20" fillId="0" borderId="26" xfId="0" applyFont="1" applyBorder="1" applyAlignment="1">
      <alignment vertical="top" wrapText="1"/>
    </xf>
    <xf numFmtId="165" fontId="20" fillId="0" borderId="10" xfId="0" applyNumberFormat="1" applyFont="1" applyBorder="1" applyAlignment="1">
      <alignment horizontal="center" vertical="center" wrapText="1"/>
    </xf>
    <xf numFmtId="0" fontId="20" fillId="0" borderId="1" xfId="0" applyFont="1" applyBorder="1" applyAlignment="1">
      <alignment horizontal="center" vertical="top" wrapText="1"/>
    </xf>
    <xf numFmtId="0" fontId="20" fillId="0" borderId="10" xfId="0" applyFont="1" applyBorder="1" applyAlignment="1">
      <alignment horizontal="center" vertical="center" wrapText="1"/>
    </xf>
    <xf numFmtId="0" fontId="18" fillId="2" borderId="10" xfId="0" applyFont="1" applyFill="1" applyBorder="1" applyAlignment="1">
      <alignment vertical="center"/>
    </xf>
    <xf numFmtId="0" fontId="18" fillId="2" borderId="10" xfId="0" applyFont="1" applyFill="1" applyBorder="1" applyAlignment="1">
      <alignment horizontal="center" vertical="center"/>
    </xf>
    <xf numFmtId="164" fontId="3" fillId="0" borderId="12" xfId="0" applyNumberFormat="1" applyFont="1" applyBorder="1" applyAlignment="1">
      <alignment horizontal="center" vertical="center"/>
    </xf>
    <xf numFmtId="0" fontId="20" fillId="0" borderId="12" xfId="0" applyFont="1" applyBorder="1" applyAlignment="1">
      <alignment horizontal="center" vertical="top" wrapText="1"/>
    </xf>
    <xf numFmtId="0" fontId="20" fillId="0" borderId="12" xfId="0" applyFont="1" applyBorder="1" applyAlignment="1">
      <alignment vertical="top" wrapText="1"/>
    </xf>
    <xf numFmtId="2" fontId="20" fillId="0" borderId="12" xfId="0" applyNumberFormat="1" applyFont="1" applyBorder="1" applyAlignment="1">
      <alignment vertical="top" wrapText="1"/>
    </xf>
    <xf numFmtId="0" fontId="20" fillId="0" borderId="12" xfId="0" applyFont="1" applyBorder="1" applyAlignment="1">
      <alignment vertical="top"/>
    </xf>
    <xf numFmtId="0" fontId="3" fillId="0" borderId="27" xfId="0" applyFont="1" applyBorder="1" applyAlignment="1">
      <alignment horizontal="right" vertical="center"/>
    </xf>
    <xf numFmtId="0" fontId="22" fillId="2" borderId="11" xfId="0" applyFont="1" applyFill="1" applyBorder="1" applyAlignment="1">
      <alignment vertical="center"/>
    </xf>
    <xf numFmtId="0" fontId="22" fillId="2" borderId="12" xfId="0" applyNumberFormat="1" applyFont="1" applyFill="1" applyBorder="1" applyAlignment="1">
      <alignment vertical="center"/>
    </xf>
    <xf numFmtId="0" fontId="19" fillId="0" borderId="29" xfId="0" applyFont="1" applyBorder="1" applyAlignment="1">
      <alignment horizontal="center" vertical="top" wrapText="1"/>
    </xf>
    <xf numFmtId="0" fontId="19" fillId="0" borderId="30" xfId="0" applyFont="1" applyBorder="1" applyAlignment="1">
      <alignment horizontal="center" vertical="top" wrapText="1"/>
    </xf>
    <xf numFmtId="2" fontId="19" fillId="0" borderId="29" xfId="0" applyNumberFormat="1" applyFont="1" applyBorder="1" applyAlignment="1">
      <alignment horizontal="center" vertical="top" wrapText="1"/>
    </xf>
    <xf numFmtId="0" fontId="19" fillId="0" borderId="29" xfId="0" applyFont="1" applyBorder="1" applyAlignment="1">
      <alignment horizontal="center" vertical="top"/>
    </xf>
    <xf numFmtId="0" fontId="19" fillId="0" borderId="31" xfId="0" applyFont="1" applyBorder="1" applyAlignment="1">
      <alignment horizontal="center" vertical="top" wrapText="1"/>
    </xf>
    <xf numFmtId="0" fontId="24" fillId="2" borderId="29" xfId="0" applyFont="1" applyFill="1" applyBorder="1" applyAlignment="1">
      <alignment horizontal="center" vertical="top"/>
    </xf>
    <xf numFmtId="0" fontId="24" fillId="2" borderId="32" xfId="0" applyFont="1" applyFill="1" applyBorder="1" applyAlignment="1">
      <alignment horizontal="center" vertical="top"/>
    </xf>
    <xf numFmtId="0" fontId="17" fillId="2" borderId="2" xfId="0" applyFont="1" applyFill="1" applyBorder="1" applyAlignment="1">
      <alignment horizontal="left" vertical="top" wrapText="1"/>
    </xf>
    <xf numFmtId="0" fontId="17" fillId="2" borderId="0" xfId="0" applyFont="1" applyFill="1" applyBorder="1" applyAlignment="1">
      <alignment horizontal="left" vertical="top" wrapText="1"/>
    </xf>
    <xf numFmtId="0" fontId="19" fillId="2" borderId="0" xfId="0" applyFont="1" applyFill="1" applyBorder="1" applyAlignment="1">
      <alignment horizontal="left" vertical="top" wrapText="1"/>
    </xf>
    <xf numFmtId="0" fontId="3" fillId="0" borderId="0" xfId="0" applyFont="1" applyBorder="1" applyAlignment="1">
      <alignment horizontal="left" vertical="top" wrapText="1"/>
    </xf>
    <xf numFmtId="0" fontId="19" fillId="2" borderId="7" xfId="0" applyFont="1" applyFill="1" applyBorder="1" applyAlignment="1">
      <alignment horizontal="left" vertical="top" wrapText="1"/>
    </xf>
    <xf numFmtId="14" fontId="17" fillId="2" borderId="1" xfId="0" applyNumberFormat="1" applyFont="1" applyFill="1" applyBorder="1" applyAlignment="1"/>
    <xf numFmtId="0" fontId="17" fillId="2" borderId="2" xfId="0" applyFont="1" applyFill="1" applyBorder="1" applyAlignment="1"/>
    <xf numFmtId="0" fontId="17" fillId="2" borderId="3" xfId="0" applyFont="1" applyFill="1" applyBorder="1" applyAlignment="1"/>
    <xf numFmtId="0" fontId="3" fillId="0" borderId="0" xfId="0" applyFont="1" applyBorder="1" applyAlignment="1">
      <alignment horizontal="center" vertical="center"/>
    </xf>
    <xf numFmtId="0" fontId="17" fillId="2" borderId="2" xfId="0" applyFont="1" applyFill="1" applyBorder="1" applyAlignment="1">
      <alignment horizontal="center"/>
    </xf>
    <xf numFmtId="0" fontId="22" fillId="0" borderId="0" xfId="0" applyFont="1" applyAlignment="1">
      <alignment vertical="center"/>
    </xf>
    <xf numFmtId="0" fontId="23" fillId="2" borderId="0" xfId="0" applyFont="1" applyFill="1" applyAlignment="1">
      <alignment vertical="center"/>
    </xf>
    <xf numFmtId="0" fontId="17" fillId="2" borderId="0" xfId="0" applyFont="1" applyFill="1" applyAlignment="1">
      <alignment horizontal="center" vertical="center"/>
    </xf>
    <xf numFmtId="14" fontId="17" fillId="2" borderId="4" xfId="0" applyNumberFormat="1" applyFont="1" applyFill="1" applyBorder="1" applyAlignment="1"/>
    <xf numFmtId="0" fontId="20" fillId="0" borderId="0" xfId="0" applyFont="1" applyBorder="1"/>
    <xf numFmtId="0" fontId="20" fillId="2" borderId="0" xfId="0" applyFont="1" applyFill="1" applyBorder="1"/>
    <xf numFmtId="0" fontId="17" fillId="2" borderId="0" xfId="0" applyFont="1" applyFill="1" applyBorder="1" applyAlignment="1"/>
    <xf numFmtId="0" fontId="17" fillId="2" borderId="5" xfId="0" applyFont="1" applyFill="1" applyBorder="1" applyAlignment="1"/>
    <xf numFmtId="0" fontId="19" fillId="2" borderId="0" xfId="0" applyFont="1" applyFill="1" applyBorder="1" applyAlignment="1"/>
    <xf numFmtId="0" fontId="20" fillId="0" borderId="0" xfId="0" applyFont="1" applyBorder="1" applyAlignment="1">
      <alignment horizontal="center"/>
    </xf>
    <xf numFmtId="14" fontId="17" fillId="2" borderId="4" xfId="0" applyNumberFormat="1" applyFont="1" applyFill="1" applyBorder="1" applyAlignment="1">
      <alignment horizontal="left"/>
    </xf>
    <xf numFmtId="0" fontId="19" fillId="2" borderId="0" xfId="0" applyFont="1" applyFill="1" applyBorder="1"/>
    <xf numFmtId="0" fontId="19" fillId="2" borderId="5" xfId="0" applyFont="1" applyFill="1" applyBorder="1" applyAlignment="1"/>
    <xf numFmtId="0" fontId="19" fillId="2" borderId="0" xfId="0" applyFont="1" applyFill="1" applyBorder="1" applyAlignment="1">
      <alignment horizontal="center"/>
    </xf>
    <xf numFmtId="0" fontId="3" fillId="0" borderId="0" xfId="0" applyFont="1" applyBorder="1" applyAlignment="1"/>
    <xf numFmtId="0" fontId="3" fillId="2" borderId="0" xfId="0" applyFont="1" applyFill="1" applyBorder="1" applyAlignment="1">
      <alignment horizontal="center" vertical="center"/>
    </xf>
    <xf numFmtId="14" fontId="19" fillId="2" borderId="4" xfId="0" applyNumberFormat="1" applyFont="1" applyFill="1" applyBorder="1" applyAlignment="1"/>
    <xf numFmtId="14" fontId="19" fillId="2" borderId="6" xfId="0" applyNumberFormat="1" applyFont="1" applyFill="1" applyBorder="1" applyAlignment="1"/>
    <xf numFmtId="0" fontId="19" fillId="2" borderId="7" xfId="0" applyFont="1" applyFill="1" applyBorder="1" applyAlignment="1"/>
    <xf numFmtId="0" fontId="20" fillId="2" borderId="7" xfId="0" applyFont="1" applyFill="1" applyBorder="1"/>
    <xf numFmtId="0" fontId="20" fillId="2" borderId="8" xfId="0" applyFont="1" applyFill="1" applyBorder="1"/>
    <xf numFmtId="0" fontId="19" fillId="2" borderId="7" xfId="0" applyFont="1" applyFill="1" applyBorder="1" applyAlignment="1">
      <alignment horizontal="center"/>
    </xf>
    <xf numFmtId="0" fontId="22" fillId="0" borderId="0" xfId="0" applyFont="1" applyAlignment="1">
      <alignment horizontal="center" vertical="center"/>
    </xf>
    <xf numFmtId="0" fontId="20" fillId="0" borderId="33" xfId="0" applyFont="1" applyBorder="1" applyAlignment="1">
      <alignment vertical="top" wrapText="1"/>
    </xf>
    <xf numFmtId="0" fontId="3" fillId="0" borderId="0" xfId="0" applyFont="1" applyBorder="1" applyAlignment="1">
      <alignment vertical="center"/>
    </xf>
    <xf numFmtId="0" fontId="3" fillId="0" borderId="9" xfId="0" applyFont="1" applyBorder="1" applyAlignment="1">
      <alignment horizontal="right"/>
    </xf>
    <xf numFmtId="0" fontId="22" fillId="0" borderId="0" xfId="0" applyNumberFormat="1" applyFont="1" applyAlignment="1">
      <alignment vertical="center"/>
    </xf>
    <xf numFmtId="14" fontId="3" fillId="0" borderId="0" xfId="0" applyNumberFormat="1" applyFont="1"/>
    <xf numFmtId="0" fontId="3" fillId="0" borderId="33" xfId="0" applyFont="1" applyBorder="1"/>
    <xf numFmtId="0" fontId="3" fillId="0" borderId="9" xfId="0" applyFont="1" applyBorder="1"/>
    <xf numFmtId="0" fontId="3" fillId="0" borderId="19" xfId="0" applyFont="1" applyBorder="1"/>
    <xf numFmtId="0" fontId="3" fillId="0" borderId="34" xfId="0" applyFont="1" applyBorder="1"/>
    <xf numFmtId="0" fontId="3" fillId="0" borderId="25" xfId="0" applyFont="1" applyBorder="1"/>
    <xf numFmtId="0" fontId="3" fillId="0" borderId="35" xfId="0" applyFont="1" applyBorder="1" applyAlignment="1">
      <alignment horizontal="center" vertical="center"/>
    </xf>
    <xf numFmtId="0" fontId="3" fillId="0" borderId="19" xfId="0" applyFont="1" applyBorder="1" applyAlignment="1">
      <alignment horizontal="right"/>
    </xf>
    <xf numFmtId="0" fontId="3" fillId="0" borderId="9" xfId="0" applyFont="1" applyBorder="1" applyAlignment="1">
      <alignment horizontal="center"/>
    </xf>
    <xf numFmtId="0" fontId="3" fillId="0" borderId="19" xfId="0" applyFont="1" applyBorder="1" applyAlignment="1">
      <alignment horizontal="center"/>
    </xf>
    <xf numFmtId="0" fontId="3" fillId="0" borderId="4" xfId="0" applyFont="1" applyFill="1" applyBorder="1"/>
    <xf numFmtId="0" fontId="3" fillId="0" borderId="0" xfId="0" applyFont="1" applyFill="1" applyBorder="1"/>
    <xf numFmtId="0" fontId="20" fillId="0" borderId="10" xfId="0" applyFont="1" applyBorder="1" applyAlignment="1">
      <alignment vertical="top" wrapText="1"/>
    </xf>
    <xf numFmtId="0" fontId="3" fillId="0" borderId="10" xfId="0" applyFont="1" applyBorder="1"/>
    <xf numFmtId="0" fontId="3" fillId="0" borderId="1" xfId="0" applyFont="1" applyBorder="1"/>
    <xf numFmtId="0" fontId="3" fillId="0" borderId="36" xfId="0" applyFont="1" applyBorder="1"/>
    <xf numFmtId="0" fontId="3" fillId="0" borderId="10" xfId="0" applyFont="1" applyBorder="1" applyAlignment="1">
      <alignment horizontal="right"/>
    </xf>
    <xf numFmtId="0" fontId="3" fillId="0" borderId="9" xfId="0" applyFont="1" applyBorder="1" applyAlignment="1">
      <alignment vertical="center"/>
    </xf>
    <xf numFmtId="0" fontId="3" fillId="0" borderId="18" xfId="0" applyFont="1" applyBorder="1" applyAlignment="1">
      <alignment horizontal="right"/>
    </xf>
    <xf numFmtId="0" fontId="3" fillId="0" borderId="10" xfId="0" applyFont="1" applyBorder="1" applyAlignment="1">
      <alignment horizontal="center" vertical="center"/>
    </xf>
    <xf numFmtId="0" fontId="3" fillId="0" borderId="37" xfId="0" applyFont="1" applyBorder="1" applyAlignment="1">
      <alignment horizontal="right"/>
    </xf>
    <xf numFmtId="0" fontId="3" fillId="0" borderId="19" xfId="0" applyFont="1" applyBorder="1" applyAlignment="1">
      <alignment horizontal="center" vertical="center"/>
    </xf>
    <xf numFmtId="0" fontId="3" fillId="0" borderId="20" xfId="0" applyFont="1" applyBorder="1" applyAlignment="1">
      <alignment horizontal="right"/>
    </xf>
    <xf numFmtId="0" fontId="3" fillId="0" borderId="5" xfId="0" applyFont="1" applyFill="1" applyBorder="1"/>
    <xf numFmtId="0" fontId="3" fillId="0" borderId="9" xfId="0" applyFont="1" applyBorder="1" applyAlignment="1">
      <alignment horizontal="center" vertical="center"/>
    </xf>
    <xf numFmtId="0" fontId="3" fillId="0" borderId="2" xfId="0" applyFont="1" applyBorder="1" applyAlignment="1">
      <alignment horizontal="center" vertical="center"/>
    </xf>
    <xf numFmtId="0" fontId="3" fillId="0" borderId="2" xfId="0" applyFont="1" applyBorder="1"/>
    <xf numFmtId="0" fontId="3" fillId="0" borderId="0" xfId="0" applyFont="1" applyAlignment="1">
      <alignment horizontal="left" vertical="top"/>
    </xf>
    <xf numFmtId="0" fontId="10" fillId="0" borderId="9" xfId="0" applyFont="1" applyBorder="1" applyAlignment="1">
      <alignment horizontal="center"/>
    </xf>
    <xf numFmtId="0" fontId="10" fillId="0" borderId="0" xfId="0" applyFont="1"/>
    <xf numFmtId="0" fontId="9" fillId="0" borderId="16" xfId="0" applyFont="1" applyBorder="1" applyAlignment="1">
      <alignment vertical="top" wrapText="1"/>
    </xf>
    <xf numFmtId="0" fontId="0" fillId="0" borderId="0" xfId="0" applyBorder="1" applyAlignment="1">
      <alignment vertical="center"/>
    </xf>
    <xf numFmtId="0" fontId="9" fillId="0" borderId="9" xfId="0" applyFont="1" applyBorder="1" applyAlignment="1">
      <alignment vertical="top" wrapText="1"/>
    </xf>
    <xf numFmtId="0" fontId="26" fillId="0" borderId="0" xfId="0" applyFont="1"/>
    <xf numFmtId="164" fontId="9" fillId="0" borderId="9" xfId="0" applyNumberFormat="1" applyFont="1" applyBorder="1" applyAlignment="1">
      <alignment horizontal="center" vertical="center" wrapText="1"/>
    </xf>
    <xf numFmtId="0" fontId="9" fillId="0" borderId="13" xfId="0" applyFont="1" applyBorder="1" applyAlignment="1">
      <alignment horizontal="center" vertical="center" wrapText="1"/>
    </xf>
    <xf numFmtId="0" fontId="9" fillId="0" borderId="4" xfId="0" applyFont="1" applyBorder="1" applyAlignment="1">
      <alignment horizontal="center" vertical="top"/>
    </xf>
    <xf numFmtId="0" fontId="0" fillId="0" borderId="0" xfId="0" applyBorder="1" applyAlignment="1">
      <alignment horizontal="center" vertical="center"/>
    </xf>
    <xf numFmtId="0" fontId="9" fillId="0" borderId="9" xfId="0" applyFont="1" applyBorder="1" applyAlignment="1">
      <alignment horizontal="center" vertical="top" wrapText="1"/>
    </xf>
    <xf numFmtId="0" fontId="9" fillId="0" borderId="9" xfId="0" applyFont="1" applyBorder="1" applyAlignment="1">
      <alignment horizontal="center" vertical="top"/>
    </xf>
    <xf numFmtId="164" fontId="0" fillId="0" borderId="9" xfId="0" applyNumberFormat="1" applyBorder="1" applyAlignment="1">
      <alignment horizontal="center" vertical="center"/>
    </xf>
    <xf numFmtId="0" fontId="0" fillId="0" borderId="9" xfId="0" applyFill="1" applyBorder="1"/>
    <xf numFmtId="0" fontId="0" fillId="0" borderId="13" xfId="0" applyFill="1" applyBorder="1" applyAlignment="1">
      <alignment horizontal="center" vertical="center"/>
    </xf>
    <xf numFmtId="0" fontId="0" fillId="0" borderId="4" xfId="0" applyFill="1" applyBorder="1"/>
    <xf numFmtId="0" fontId="14" fillId="0" borderId="0" xfId="0" applyFont="1" applyBorder="1" applyAlignment="1">
      <alignment horizontal="center" wrapText="1"/>
    </xf>
    <xf numFmtId="0" fontId="0" fillId="0" borderId="9" xfId="0" applyBorder="1"/>
    <xf numFmtId="0" fontId="0" fillId="0" borderId="9" xfId="0" applyBorder="1" applyAlignment="1">
      <alignment horizontal="center" vertical="center"/>
    </xf>
    <xf numFmtId="164" fontId="0" fillId="0" borderId="0" xfId="0" applyNumberFormat="1" applyAlignment="1">
      <alignment horizontal="center" vertical="center"/>
    </xf>
    <xf numFmtId="0" fontId="10" fillId="0" borderId="0" xfId="0" applyFont="1" applyFill="1" applyBorder="1" applyAlignment="1">
      <alignment wrapText="1"/>
    </xf>
    <xf numFmtId="0" fontId="0" fillId="0" borderId="4" xfId="0" applyFill="1" applyBorder="1" applyAlignment="1">
      <alignment horizontal="center" vertical="center"/>
    </xf>
    <xf numFmtId="0" fontId="0" fillId="0" borderId="0" xfId="0" applyFill="1" applyBorder="1" applyAlignment="1">
      <alignment horizontal="center" vertical="center"/>
    </xf>
    <xf numFmtId="164" fontId="10" fillId="0" borderId="0" xfId="0" applyNumberFormat="1" applyFont="1" applyAlignment="1">
      <alignment horizontal="center" vertical="center"/>
    </xf>
    <xf numFmtId="0" fontId="10" fillId="0" borderId="4" xfId="0" applyFont="1" applyFill="1" applyBorder="1"/>
    <xf numFmtId="164" fontId="10" fillId="0" borderId="9" xfId="0" applyNumberFormat="1" applyFont="1" applyBorder="1" applyAlignment="1">
      <alignment horizontal="center" vertical="center"/>
    </xf>
    <xf numFmtId="0" fontId="0" fillId="0" borderId="11" xfId="0" applyFill="1" applyBorder="1"/>
    <xf numFmtId="0" fontId="15" fillId="0" borderId="11" xfId="0" applyFont="1" applyFill="1" applyBorder="1" applyAlignment="1"/>
    <xf numFmtId="0" fontId="10" fillId="0" borderId="13" xfId="0" applyFont="1" applyBorder="1" applyAlignment="1">
      <alignment horizontal="center" vertical="center"/>
    </xf>
    <xf numFmtId="0" fontId="10" fillId="0" borderId="4" xfId="0" applyFont="1" applyBorder="1" applyAlignment="1"/>
    <xf numFmtId="0" fontId="10" fillId="0" borderId="4" xfId="0" applyFont="1" applyFill="1" applyBorder="1" applyAlignment="1"/>
    <xf numFmtId="0" fontId="10" fillId="0" borderId="13" xfId="0" applyFont="1" applyFill="1" applyBorder="1" applyAlignment="1">
      <alignment horizontal="center" vertical="center"/>
    </xf>
    <xf numFmtId="0" fontId="0" fillId="0" borderId="13" xfId="0"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15" fillId="0" borderId="10" xfId="0" applyFont="1" applyFill="1" applyBorder="1" applyAlignment="1"/>
    <xf numFmtId="0" fontId="0" fillId="0" borderId="1" xfId="0" applyBorder="1" applyAlignment="1">
      <alignment horizontal="center" vertical="center"/>
    </xf>
    <xf numFmtId="164" fontId="0" fillId="0" borderId="13" xfId="0" applyNumberFormat="1" applyBorder="1" applyAlignment="1">
      <alignment horizontal="center" vertical="center"/>
    </xf>
    <xf numFmtId="0" fontId="0" fillId="0" borderId="4" xfId="0" applyBorder="1"/>
    <xf numFmtId="0" fontId="0" fillId="0" borderId="0" xfId="0" applyAlignment="1">
      <alignment horizontal="center" vertical="center"/>
    </xf>
    <xf numFmtId="0" fontId="0" fillId="0" borderId="0" xfId="0" applyBorder="1"/>
    <xf numFmtId="14" fontId="0" fillId="0" borderId="0" xfId="0" applyNumberFormat="1"/>
    <xf numFmtId="14" fontId="16" fillId="0" borderId="0" xfId="0" applyNumberFormat="1" applyFont="1"/>
    <xf numFmtId="21" fontId="16" fillId="0" borderId="0" xfId="0" applyNumberFormat="1" applyFont="1"/>
    <xf numFmtId="0" fontId="10" fillId="3" borderId="9" xfId="0" applyFont="1" applyFill="1" applyBorder="1" applyAlignment="1">
      <alignment horizontal="center" vertical="center"/>
    </xf>
    <xf numFmtId="0" fontId="10" fillId="6" borderId="9" xfId="0" applyFont="1" applyFill="1" applyBorder="1" applyAlignment="1">
      <alignment horizontal="center" vertical="center"/>
    </xf>
    <xf numFmtId="0" fontId="10" fillId="9" borderId="9" xfId="0" applyFont="1" applyFill="1" applyBorder="1" applyAlignment="1">
      <alignment horizontal="center" vertical="center"/>
    </xf>
    <xf numFmtId="0" fontId="16" fillId="3" borderId="15" xfId="0" applyFont="1" applyFill="1" applyBorder="1" applyAlignment="1">
      <alignment vertical="center"/>
    </xf>
    <xf numFmtId="0" fontId="16" fillId="3" borderId="14" xfId="0" applyFont="1" applyFill="1" applyBorder="1" applyAlignment="1">
      <alignment vertical="center"/>
    </xf>
    <xf numFmtId="0" fontId="10" fillId="3" borderId="14"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12" xfId="0" applyFont="1" applyFill="1" applyBorder="1" applyAlignment="1">
      <alignment vertical="center" wrapText="1"/>
    </xf>
    <xf numFmtId="0" fontId="10" fillId="4" borderId="12" xfId="0" applyFont="1" applyFill="1" applyBorder="1" applyAlignment="1">
      <alignment vertical="center"/>
    </xf>
    <xf numFmtId="0" fontId="10" fillId="4" borderId="9" xfId="0" applyFont="1" applyFill="1" applyBorder="1" applyAlignment="1">
      <alignment vertical="center" wrapText="1"/>
    </xf>
    <xf numFmtId="0" fontId="10" fillId="4" borderId="9" xfId="0" applyFont="1" applyFill="1" applyBorder="1" applyAlignment="1">
      <alignment vertical="center"/>
    </xf>
    <xf numFmtId="0" fontId="10" fillId="3" borderId="9" xfId="0" applyFont="1" applyFill="1" applyBorder="1" applyAlignment="1">
      <alignment vertical="center" wrapText="1"/>
    </xf>
    <xf numFmtId="0" fontId="10" fillId="0" borderId="9" xfId="0" applyFont="1" applyBorder="1" applyAlignment="1">
      <alignment vertical="center"/>
    </xf>
    <xf numFmtId="0" fontId="10" fillId="5" borderId="9" xfId="0" applyFont="1" applyFill="1" applyBorder="1" applyAlignment="1">
      <alignment vertical="center"/>
    </xf>
    <xf numFmtId="0" fontId="10" fillId="0" borderId="9" xfId="0" applyFont="1" applyBorder="1" applyAlignment="1">
      <alignment horizontal="center" vertical="center"/>
    </xf>
    <xf numFmtId="0" fontId="16" fillId="0" borderId="0" xfId="0" applyFont="1" applyAlignment="1">
      <alignment vertical="center"/>
    </xf>
    <xf numFmtId="0" fontId="16" fillId="6" borderId="15" xfId="0" applyFont="1" applyFill="1" applyBorder="1" applyAlignment="1">
      <alignment vertical="center"/>
    </xf>
    <xf numFmtId="0" fontId="16" fillId="6" borderId="14" xfId="0" applyFont="1" applyFill="1" applyBorder="1" applyAlignment="1">
      <alignment vertical="center"/>
    </xf>
    <xf numFmtId="0" fontId="10" fillId="6" borderId="15" xfId="0" applyFont="1" applyFill="1" applyBorder="1" applyAlignment="1">
      <alignment horizontal="center" vertical="center" wrapText="1"/>
    </xf>
    <xf numFmtId="0" fontId="10" fillId="6" borderId="9" xfId="0" applyFont="1" applyFill="1" applyBorder="1" applyAlignment="1">
      <alignment horizontal="center" vertical="center" wrapText="1"/>
    </xf>
    <xf numFmtId="0" fontId="10" fillId="6" borderId="12" xfId="0" applyFont="1" applyFill="1" applyBorder="1" applyAlignment="1">
      <alignment vertical="center" wrapText="1"/>
    </xf>
    <xf numFmtId="0" fontId="10" fillId="7" borderId="9" xfId="0" applyFont="1" applyFill="1" applyBorder="1" applyAlignment="1">
      <alignment vertical="center"/>
    </xf>
    <xf numFmtId="0" fontId="10" fillId="7" borderId="9" xfId="0" applyFont="1" applyFill="1" applyBorder="1" applyAlignment="1">
      <alignment vertical="center" wrapText="1"/>
    </xf>
    <xf numFmtId="0" fontId="10" fillId="6" borderId="9" xfId="0" applyFont="1" applyFill="1" applyBorder="1" applyAlignment="1">
      <alignment vertical="center" wrapText="1"/>
    </xf>
    <xf numFmtId="0" fontId="10" fillId="8" borderId="9" xfId="0" applyFont="1" applyFill="1" applyBorder="1" applyAlignment="1">
      <alignment vertical="center"/>
    </xf>
    <xf numFmtId="0" fontId="16" fillId="9" borderId="15" xfId="0" applyFont="1" applyFill="1" applyBorder="1" applyAlignment="1">
      <alignment vertical="center"/>
    </xf>
    <xf numFmtId="0" fontId="16" fillId="9" borderId="14" xfId="0" applyFont="1" applyFill="1" applyBorder="1" applyAlignment="1">
      <alignment vertical="center"/>
    </xf>
    <xf numFmtId="0" fontId="10" fillId="9" borderId="9" xfId="0" applyFont="1" applyFill="1" applyBorder="1" applyAlignment="1">
      <alignment horizontal="center" vertical="center" wrapText="1"/>
    </xf>
    <xf numFmtId="0" fontId="10" fillId="9" borderId="12" xfId="0" applyFont="1" applyFill="1" applyBorder="1" applyAlignment="1">
      <alignment vertical="center" wrapText="1"/>
    </xf>
    <xf numFmtId="0" fontId="10" fillId="10" borderId="9" xfId="0" applyFont="1" applyFill="1" applyBorder="1" applyAlignment="1">
      <alignment vertical="center"/>
    </xf>
    <xf numFmtId="0" fontId="10" fillId="10" borderId="9" xfId="0" applyFont="1" applyFill="1" applyBorder="1" applyAlignment="1">
      <alignment vertical="center" wrapText="1"/>
    </xf>
    <xf numFmtId="0" fontId="10" fillId="9" borderId="9" xfId="0" applyFont="1" applyFill="1" applyBorder="1" applyAlignment="1">
      <alignment vertical="center" wrapText="1"/>
    </xf>
    <xf numFmtId="0" fontId="10" fillId="11" borderId="9" xfId="0" applyFont="1" applyFill="1" applyBorder="1" applyAlignment="1">
      <alignment vertical="center"/>
    </xf>
    <xf numFmtId="0" fontId="17" fillId="2" borderId="5" xfId="0" applyFont="1" applyFill="1" applyBorder="1" applyAlignment="1">
      <alignment horizontal="left" vertical="top"/>
    </xf>
    <xf numFmtId="0" fontId="27" fillId="2" borderId="5" xfId="0" applyFont="1" applyFill="1" applyBorder="1" applyAlignment="1"/>
    <xf numFmtId="0" fontId="27" fillId="2" borderId="0" xfId="0" applyFont="1" applyFill="1" applyAlignment="1"/>
    <xf numFmtId="164" fontId="27" fillId="2" borderId="0" xfId="0" applyNumberFormat="1" applyFont="1" applyFill="1" applyBorder="1" applyAlignment="1">
      <alignment horizontal="left" vertical="center"/>
    </xf>
    <xf numFmtId="0" fontId="27" fillId="2" borderId="0" xfId="0" applyFont="1" applyFill="1" applyAlignment="1">
      <alignment horizontal="left" vertical="center"/>
    </xf>
    <xf numFmtId="0" fontId="28" fillId="2" borderId="0" xfId="0" applyFont="1" applyFill="1" applyAlignment="1">
      <alignment horizontal="left" vertical="center"/>
    </xf>
    <xf numFmtId="0" fontId="29" fillId="0" borderId="0" xfId="0" applyFont="1" applyAlignment="1">
      <alignment horizontal="left" vertical="center"/>
    </xf>
    <xf numFmtId="0" fontId="30" fillId="0" borderId="5" xfId="0" applyFont="1" applyBorder="1"/>
    <xf numFmtId="0" fontId="30" fillId="0" borderId="0" xfId="0" applyFont="1"/>
    <xf numFmtId="0" fontId="28" fillId="2" borderId="0" xfId="0" applyFont="1" applyFill="1" applyBorder="1" applyAlignment="1">
      <alignment horizontal="left" vertical="center"/>
    </xf>
    <xf numFmtId="0" fontId="28" fillId="2" borderId="0" xfId="0" applyFont="1" applyFill="1" applyBorder="1" applyAlignment="1">
      <alignment vertical="center"/>
    </xf>
    <xf numFmtId="164" fontId="28" fillId="2" borderId="7" xfId="0" applyNumberFormat="1" applyFont="1" applyFill="1" applyBorder="1" applyAlignment="1">
      <alignment horizontal="left" vertical="center"/>
    </xf>
    <xf numFmtId="0" fontId="31" fillId="0" borderId="0" xfId="0" applyFont="1" applyAlignment="1">
      <alignment horizontal="center" vertical="top"/>
    </xf>
    <xf numFmtId="0" fontId="30" fillId="0" borderId="9" xfId="0" applyFont="1" applyBorder="1"/>
    <xf numFmtId="0" fontId="32" fillId="0" borderId="9" xfId="0" applyFont="1" applyFill="1" applyBorder="1" applyAlignment="1"/>
    <xf numFmtId="0" fontId="29" fillId="0" borderId="9" xfId="0" applyFont="1" applyFill="1" applyBorder="1" applyAlignment="1"/>
    <xf numFmtId="0" fontId="30" fillId="0" borderId="9" xfId="0" applyFont="1" applyBorder="1" applyAlignment="1">
      <alignment horizontal="center" vertical="center"/>
    </xf>
    <xf numFmtId="0" fontId="30" fillId="0" borderId="9" xfId="0" applyFont="1" applyFill="1" applyBorder="1"/>
    <xf numFmtId="0" fontId="30" fillId="0" borderId="9" xfId="0" applyFont="1" applyFill="1" applyBorder="1" applyAlignment="1">
      <alignment horizontal="center"/>
    </xf>
    <xf numFmtId="0" fontId="29" fillId="0" borderId="9" xfId="0" applyFont="1" applyFill="1" applyBorder="1" applyAlignment="1">
      <alignment horizontal="center"/>
    </xf>
    <xf numFmtId="0" fontId="30" fillId="0" borderId="9" xfId="0" applyFont="1" applyBorder="1" applyAlignment="1">
      <alignment horizontal="center"/>
    </xf>
    <xf numFmtId="0" fontId="29" fillId="0" borderId="9" xfId="0" applyFont="1" applyFill="1" applyBorder="1" applyAlignment="1">
      <alignment wrapText="1"/>
    </xf>
    <xf numFmtId="0" fontId="29" fillId="0" borderId="9" xfId="0" applyFont="1" applyBorder="1" applyAlignment="1">
      <alignment wrapText="1"/>
    </xf>
    <xf numFmtId="0" fontId="32" fillId="0" borderId="9" xfId="0" applyFont="1" applyBorder="1" applyAlignment="1"/>
    <xf numFmtId="0" fontId="29" fillId="0" borderId="9" xfId="0" applyFont="1" applyBorder="1" applyAlignment="1">
      <alignment horizontal="center"/>
    </xf>
    <xf numFmtId="0" fontId="30" fillId="0" borderId="9" xfId="0" applyFont="1" applyFill="1" applyBorder="1" applyAlignment="1">
      <alignment horizontal="center" vertical="center"/>
    </xf>
    <xf numFmtId="0" fontId="29" fillId="0" borderId="9" xfId="0" applyFont="1" applyBorder="1"/>
    <xf numFmtId="0" fontId="30" fillId="0" borderId="9" xfId="0" applyFont="1" applyBorder="1" applyAlignment="1">
      <alignment wrapText="1"/>
    </xf>
    <xf numFmtId="0" fontId="30" fillId="0" borderId="0" xfId="0" applyFont="1" applyAlignment="1">
      <alignment horizontal="center"/>
    </xf>
    <xf numFmtId="0" fontId="30" fillId="0" borderId="0" xfId="0" applyFont="1" applyAlignment="1">
      <alignment horizontal="center" vertical="center"/>
    </xf>
    <xf numFmtId="0" fontId="29" fillId="0" borderId="0" xfId="0" applyFont="1" applyAlignment="1">
      <alignment horizontal="center" vertical="center"/>
    </xf>
    <xf numFmtId="0" fontId="28" fillId="2" borderId="0" xfId="0" applyFont="1" applyFill="1" applyBorder="1" applyAlignment="1">
      <alignment horizontal="center" vertical="center"/>
    </xf>
    <xf numFmtId="0" fontId="29" fillId="0" borderId="2" xfId="0" applyFont="1" applyBorder="1" applyAlignment="1">
      <alignment horizontal="center" vertical="top"/>
    </xf>
    <xf numFmtId="0" fontId="29" fillId="0" borderId="2" xfId="0" applyFont="1" applyBorder="1" applyAlignment="1">
      <alignment horizontal="center" vertical="top" wrapText="1"/>
    </xf>
    <xf numFmtId="0" fontId="30" fillId="0" borderId="2" xfId="0" applyFont="1" applyBorder="1" applyAlignment="1">
      <alignment horizontal="center" vertical="center"/>
    </xf>
    <xf numFmtId="0" fontId="29" fillId="0" borderId="3" xfId="0" applyFont="1" applyFill="1" applyBorder="1" applyAlignment="1">
      <alignment horizontal="center" vertical="top"/>
    </xf>
    <xf numFmtId="0" fontId="30" fillId="0" borderId="12" xfId="0" applyFont="1" applyBorder="1"/>
    <xf numFmtId="0" fontId="32" fillId="0" borderId="12" xfId="0" applyFont="1" applyFill="1" applyBorder="1" applyAlignment="1"/>
    <xf numFmtId="0" fontId="30" fillId="0" borderId="12" xfId="0" applyFont="1" applyBorder="1" applyAlignment="1">
      <alignment horizontal="center"/>
    </xf>
    <xf numFmtId="0" fontId="29" fillId="0" borderId="12" xfId="0" applyFont="1" applyFill="1" applyBorder="1" applyAlignment="1"/>
    <xf numFmtId="0" fontId="30" fillId="0" borderId="12" xfId="0" applyFont="1" applyBorder="1" applyAlignment="1">
      <alignment horizontal="center" vertical="center"/>
    </xf>
    <xf numFmtId="164" fontId="28" fillId="0" borderId="28" xfId="0" applyNumberFormat="1" applyFont="1" applyBorder="1" applyAlignment="1">
      <alignment horizontal="center" vertical="top" wrapText="1"/>
    </xf>
    <xf numFmtId="0" fontId="28" fillId="0" borderId="29" xfId="0" applyFont="1" applyBorder="1" applyAlignment="1">
      <alignment horizontal="center" vertical="top" wrapText="1"/>
    </xf>
    <xf numFmtId="0" fontId="28" fillId="0" borderId="29" xfId="0" applyFont="1" applyBorder="1" applyAlignment="1">
      <alignment horizontal="center" vertical="top"/>
    </xf>
    <xf numFmtId="0" fontId="31" fillId="0" borderId="29" xfId="0" applyFont="1" applyBorder="1" applyAlignment="1">
      <alignment horizontal="center" vertical="top"/>
    </xf>
    <xf numFmtId="0" fontId="31" fillId="0" borderId="32" xfId="0" applyFont="1" applyBorder="1" applyAlignment="1">
      <alignment horizontal="center" vertical="top"/>
    </xf>
    <xf numFmtId="14" fontId="20" fillId="0" borderId="10" xfId="0" applyNumberFormat="1" applyFont="1" applyBorder="1" applyAlignment="1">
      <alignment horizontal="center" vertical="top" wrapText="1"/>
    </xf>
    <xf numFmtId="164" fontId="20" fillId="0" borderId="12" xfId="0" applyNumberFormat="1" applyFont="1" applyBorder="1" applyAlignment="1">
      <alignment horizontal="center" vertical="center"/>
    </xf>
    <xf numFmtId="0" fontId="20" fillId="0" borderId="38" xfId="0" applyFont="1" applyBorder="1" applyAlignment="1">
      <alignment vertical="top" wrapText="1"/>
    </xf>
    <xf numFmtId="0" fontId="3" fillId="0" borderId="12" xfId="0" applyFont="1" applyBorder="1" applyAlignment="1">
      <alignment horizontal="right"/>
    </xf>
    <xf numFmtId="165" fontId="19" fillId="0" borderId="28" xfId="0" applyNumberFormat="1" applyFont="1" applyBorder="1" applyAlignment="1">
      <alignment horizontal="center" vertical="top" wrapText="1"/>
    </xf>
    <xf numFmtId="0" fontId="24" fillId="0" borderId="30" xfId="0" applyFont="1" applyFill="1" applyBorder="1" applyAlignment="1">
      <alignment horizontal="center" vertical="top"/>
    </xf>
    <xf numFmtId="0" fontId="24" fillId="0" borderId="30" xfId="0" applyFont="1" applyBorder="1" applyAlignment="1">
      <alignment horizontal="center" vertical="top"/>
    </xf>
    <xf numFmtId="0" fontId="24" fillId="0" borderId="39" xfId="0" applyFont="1" applyBorder="1" applyAlignment="1">
      <alignment horizontal="center" vertical="top"/>
    </xf>
    <xf numFmtId="164" fontId="20" fillId="0" borderId="13" xfId="0" applyNumberFormat="1" applyFont="1" applyBorder="1" applyAlignment="1">
      <alignment horizontal="center" vertical="center"/>
    </xf>
    <xf numFmtId="164" fontId="3" fillId="0" borderId="13" xfId="0" applyNumberFormat="1" applyFont="1" applyBorder="1" applyAlignment="1">
      <alignment horizontal="center" vertical="center"/>
    </xf>
    <xf numFmtId="164" fontId="20" fillId="0" borderId="23" xfId="0" applyNumberFormat="1" applyFont="1" applyBorder="1" applyAlignment="1">
      <alignment horizontal="center" vertical="center"/>
    </xf>
    <xf numFmtId="0" fontId="3" fillId="0" borderId="13" xfId="0" applyFont="1" applyBorder="1"/>
    <xf numFmtId="0" fontId="3" fillId="0" borderId="7" xfId="0" applyFont="1" applyBorder="1" applyAlignment="1">
      <alignment horizontal="center" vertical="center"/>
    </xf>
    <xf numFmtId="166" fontId="19" fillId="0" borderId="28" xfId="0" applyNumberFormat="1" applyFont="1" applyBorder="1" applyAlignment="1">
      <alignment horizontal="center" vertical="top" wrapText="1"/>
    </xf>
    <xf numFmtId="2" fontId="17" fillId="2" borderId="2" xfId="0" applyNumberFormat="1" applyFont="1" applyFill="1" applyBorder="1" applyAlignment="1"/>
    <xf numFmtId="2" fontId="17" fillId="2" borderId="0" xfId="0" applyNumberFormat="1" applyFont="1" applyFill="1" applyBorder="1" applyAlignment="1"/>
    <xf numFmtId="2" fontId="19" fillId="2" borderId="0" xfId="0" applyNumberFormat="1" applyFont="1" applyFill="1" applyBorder="1" applyAlignment="1"/>
    <xf numFmtId="2" fontId="19" fillId="2" borderId="7" xfId="0" applyNumberFormat="1" applyFont="1" applyFill="1" applyBorder="1" applyAlignment="1"/>
    <xf numFmtId="2" fontId="3" fillId="0" borderId="9" xfId="0" applyNumberFormat="1" applyFont="1" applyBorder="1"/>
    <xf numFmtId="2" fontId="3" fillId="0" borderId="19" xfId="0" applyNumberFormat="1" applyFont="1" applyBorder="1"/>
    <xf numFmtId="2" fontId="3" fillId="0" borderId="10" xfId="0" applyNumberFormat="1" applyFont="1" applyBorder="1"/>
    <xf numFmtId="0" fontId="20" fillId="0" borderId="1" xfId="0" applyFont="1" applyBorder="1" applyAlignment="1">
      <alignment horizontal="left" vertical="top" wrapText="1"/>
    </xf>
    <xf numFmtId="0" fontId="3" fillId="0" borderId="0" xfId="0" applyFont="1" applyAlignment="1">
      <alignment horizontal="left" vertical="top" wrapText="1"/>
    </xf>
    <xf numFmtId="0" fontId="20" fillId="0" borderId="0" xfId="0" applyFont="1" applyAlignment="1">
      <alignment horizontal="left" vertical="top" wrapText="1"/>
    </xf>
    <xf numFmtId="0" fontId="17" fillId="2" borderId="3" xfId="0" applyFont="1" applyFill="1" applyBorder="1" applyAlignment="1">
      <alignment horizontal="left" vertical="top"/>
    </xf>
    <xf numFmtId="0" fontId="19" fillId="2" borderId="5" xfId="0" applyFont="1" applyFill="1" applyBorder="1" applyAlignment="1">
      <alignment horizontal="left" vertical="top"/>
    </xf>
    <xf numFmtId="0" fontId="3" fillId="0" borderId="5" xfId="0" applyFont="1" applyBorder="1" applyAlignment="1">
      <alignment horizontal="left" vertical="top"/>
    </xf>
    <xf numFmtId="0" fontId="19" fillId="2" borderId="8" xfId="0" applyFont="1" applyFill="1" applyBorder="1" applyAlignment="1">
      <alignment horizontal="left" vertical="top"/>
    </xf>
    <xf numFmtId="0" fontId="20" fillId="0" borderId="0" xfId="0" applyFont="1" applyAlignment="1">
      <alignment horizontal="left" vertical="top"/>
    </xf>
    <xf numFmtId="0" fontId="10" fillId="0" borderId="9" xfId="0" applyFont="1" applyBorder="1" applyAlignment="1">
      <alignment horizontal="center"/>
    </xf>
    <xf numFmtId="0" fontId="0" fillId="0" borderId="9" xfId="0" applyBorder="1" applyAlignment="1">
      <alignment horizontal="center"/>
    </xf>
    <xf numFmtId="0" fontId="10" fillId="0" borderId="9" xfId="0" applyFont="1" applyFill="1" applyBorder="1" applyAlignment="1"/>
    <xf numFmtId="0" fontId="0" fillId="0" borderId="10" xfId="0" applyBorder="1" applyAlignment="1">
      <alignment horizontal="center"/>
    </xf>
    <xf numFmtId="0" fontId="10" fillId="0" borderId="9" xfId="0" applyFont="1" applyBorder="1"/>
    <xf numFmtId="0" fontId="20" fillId="0" borderId="1" xfId="0" applyFont="1" applyBorder="1" applyAlignment="1">
      <alignment horizontal="center" vertical="center" wrapText="1"/>
    </xf>
    <xf numFmtId="0" fontId="3" fillId="0" borderId="0" xfId="0" applyFont="1" applyBorder="1" applyAlignment="1">
      <alignment horizontal="right" vertical="center"/>
    </xf>
    <xf numFmtId="0" fontId="2" fillId="0" borderId="0" xfId="0" applyFont="1" applyAlignment="1">
      <alignment horizontal="left" vertical="top" wrapText="1"/>
    </xf>
    <xf numFmtId="0" fontId="2" fillId="0" borderId="0" xfId="0" applyFont="1" applyAlignment="1">
      <alignment horizontal="left" vertical="top"/>
    </xf>
    <xf numFmtId="0" fontId="3" fillId="0" borderId="0" xfId="0" applyFont="1" applyBorder="1" applyAlignment="1">
      <alignment horizontal="right"/>
    </xf>
    <xf numFmtId="0" fontId="3" fillId="0" borderId="0" xfId="0" applyFont="1" applyBorder="1" applyAlignment="1">
      <alignment horizontal="center"/>
    </xf>
    <xf numFmtId="0" fontId="15" fillId="2" borderId="10" xfId="0" applyFont="1" applyFill="1" applyBorder="1" applyAlignment="1">
      <alignment horizontal="center" vertical="top"/>
    </xf>
    <xf numFmtId="0" fontId="15" fillId="2" borderId="11" xfId="0" applyFont="1" applyFill="1" applyBorder="1" applyAlignment="1">
      <alignment horizontal="center" vertical="top"/>
    </xf>
    <xf numFmtId="0" fontId="15" fillId="2" borderId="12" xfId="0" applyFont="1" applyFill="1" applyBorder="1" applyAlignment="1">
      <alignment horizontal="center" vertical="top"/>
    </xf>
    <xf numFmtId="0" fontId="10" fillId="0" borderId="9" xfId="0" applyFont="1" applyBorder="1" applyAlignment="1">
      <alignment horizontal="center"/>
    </xf>
    <xf numFmtId="0" fontId="6" fillId="2" borderId="1" xfId="0" applyFont="1" applyFill="1" applyBorder="1" applyAlignment="1">
      <alignment horizontal="center"/>
    </xf>
    <xf numFmtId="0" fontId="6" fillId="2" borderId="2" xfId="0" applyFont="1" applyFill="1" applyBorder="1" applyAlignment="1">
      <alignment horizontal="center"/>
    </xf>
    <xf numFmtId="0" fontId="6" fillId="2" borderId="3" xfId="0" applyFont="1" applyFill="1" applyBorder="1" applyAlignment="1">
      <alignment horizontal="center"/>
    </xf>
    <xf numFmtId="0" fontId="8" fillId="2" borderId="0" xfId="0" applyFont="1" applyFill="1" applyBorder="1" applyAlignment="1">
      <alignment horizontal="center"/>
    </xf>
    <xf numFmtId="0" fontId="8" fillId="2" borderId="5" xfId="0" applyFont="1" applyFill="1" applyBorder="1" applyAlignment="1">
      <alignment horizontal="center"/>
    </xf>
    <xf numFmtId="0" fontId="27" fillId="2" borderId="0" xfId="0" applyFont="1" applyFill="1" applyAlignment="1">
      <alignment horizontal="left" vertical="center"/>
    </xf>
    <xf numFmtId="0" fontId="29" fillId="0" borderId="1" xfId="0" applyFont="1" applyBorder="1" applyAlignment="1">
      <alignment horizontal="center" vertical="top"/>
    </xf>
    <xf numFmtId="0" fontId="29" fillId="0" borderId="3" xfId="0" applyFont="1" applyBorder="1" applyAlignment="1">
      <alignment horizontal="center" vertical="top"/>
    </xf>
    <xf numFmtId="0" fontId="9" fillId="0" borderId="13" xfId="0" applyFont="1" applyBorder="1" applyAlignment="1">
      <alignment horizontal="center" vertical="center"/>
    </xf>
    <xf numFmtId="0" fontId="9" fillId="0" borderId="14" xfId="0" applyFont="1" applyBorder="1" applyAlignment="1">
      <alignment horizontal="center" vertical="center"/>
    </xf>
    <xf numFmtId="0" fontId="10" fillId="3" borderId="13" xfId="0" applyFont="1" applyFill="1" applyBorder="1" applyAlignment="1">
      <alignment horizontal="center" vertical="center"/>
    </xf>
    <xf numFmtId="0" fontId="10" fillId="3" borderId="15" xfId="0" applyFont="1" applyFill="1" applyBorder="1" applyAlignment="1">
      <alignment horizontal="center" vertical="center"/>
    </xf>
    <xf numFmtId="0" fontId="10" fillId="6" borderId="13" xfId="0" applyFont="1" applyFill="1" applyBorder="1" applyAlignment="1">
      <alignment horizontal="center" vertical="center" wrapText="1"/>
    </xf>
    <xf numFmtId="0" fontId="10" fillId="6" borderId="15" xfId="0" applyFont="1" applyFill="1" applyBorder="1" applyAlignment="1">
      <alignment horizontal="center" vertical="center" wrapText="1"/>
    </xf>
    <xf numFmtId="0" fontId="10" fillId="6" borderId="15" xfId="0" applyFont="1" applyFill="1" applyBorder="1" applyAlignment="1">
      <alignment horizontal="center" vertical="center"/>
    </xf>
    <xf numFmtId="0" fontId="10" fillId="9" borderId="13" xfId="0" applyFont="1" applyFill="1" applyBorder="1" applyAlignment="1">
      <alignment horizontal="center" vertical="center" wrapText="1"/>
    </xf>
    <xf numFmtId="0" fontId="10" fillId="9" borderId="15" xfId="0" applyFont="1" applyFill="1" applyBorder="1" applyAlignment="1">
      <alignment horizontal="center" vertical="center" wrapText="1"/>
    </xf>
    <xf numFmtId="14" fontId="20" fillId="0" borderId="34" xfId="0" applyNumberFormat="1" applyFont="1" applyBorder="1" applyAlignment="1">
      <alignment horizontal="center" vertical="top" wrapText="1"/>
    </xf>
    <xf numFmtId="14" fontId="20" fillId="0" borderId="24" xfId="0" applyNumberFormat="1" applyFont="1" applyBorder="1" applyAlignment="1">
      <alignment horizontal="center" vertical="top" wrapText="1"/>
    </xf>
    <xf numFmtId="14" fontId="20" fillId="0" borderId="26" xfId="0" applyNumberFormat="1" applyFont="1" applyBorder="1" applyAlignment="1">
      <alignment horizontal="center" vertical="top" wrapText="1"/>
    </xf>
    <xf numFmtId="0" fontId="20" fillId="0" borderId="34" xfId="0" applyFont="1" applyBorder="1" applyAlignment="1">
      <alignment horizontal="center" vertical="top" wrapText="1"/>
    </xf>
    <xf numFmtId="0" fontId="20" fillId="0" borderId="24" xfId="0" applyFont="1" applyBorder="1" applyAlignment="1">
      <alignment horizontal="center" vertical="top" wrapText="1"/>
    </xf>
    <xf numFmtId="164" fontId="29" fillId="0" borderId="0" xfId="0" applyNumberFormat="1" applyFont="1" applyBorder="1" applyAlignment="1">
      <alignment horizontal="center" vertical="center" wrapText="1"/>
    </xf>
    <xf numFmtId="164" fontId="30" fillId="0" borderId="12" xfId="0" applyNumberFormat="1" applyFont="1" applyBorder="1" applyAlignment="1">
      <alignment horizontal="center" vertical="center"/>
    </xf>
    <xf numFmtId="164" fontId="30" fillId="0" borderId="9" xfId="0" applyNumberFormat="1" applyFont="1" applyBorder="1" applyAlignment="1">
      <alignment horizontal="center" vertical="center"/>
    </xf>
    <xf numFmtId="164" fontId="30" fillId="0" borderId="0" xfId="0" applyNumberFormat="1" applyFont="1" applyAlignment="1">
      <alignment horizontal="center" vertical="center"/>
    </xf>
  </cellXfs>
  <cellStyles count="1">
    <cellStyle name="Normal" xfId="0" builtinId="0"/>
  </cellStyles>
  <dxfs count="20">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63305</xdr:colOff>
          <xdr:row>2</xdr:row>
          <xdr:rowOff>140677</xdr:rowOff>
        </xdr:from>
        <xdr:to>
          <xdr:col>5</xdr:col>
          <xdr:colOff>379828</xdr:colOff>
          <xdr:row>6</xdr:row>
          <xdr:rowOff>126609</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57"/>
  <sheetViews>
    <sheetView workbookViewId="0">
      <selection activeCell="F13" sqref="F13:F17"/>
    </sheetView>
  </sheetViews>
  <sheetFormatPr defaultColWidth="11" defaultRowHeight="16.100000000000001" x14ac:dyDescent="0.35"/>
  <sheetData>
    <row r="1" spans="1:20" s="2" customFormat="1" ht="12.75" x14ac:dyDescent="0.25">
      <c r="A1" s="356" t="s">
        <v>11</v>
      </c>
      <c r="B1" s="357"/>
      <c r="C1" s="357"/>
      <c r="D1" s="357"/>
      <c r="E1" s="357"/>
      <c r="F1" s="357"/>
      <c r="G1" s="358"/>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359" t="s">
        <v>15</v>
      </c>
      <c r="G3" s="360"/>
      <c r="H3" s="12"/>
      <c r="I3" s="12"/>
      <c r="J3" s="12"/>
      <c r="K3" s="12"/>
      <c r="L3" s="12"/>
      <c r="M3" s="12"/>
      <c r="N3" s="12"/>
      <c r="O3" s="12"/>
      <c r="P3" s="12"/>
      <c r="Q3" s="12"/>
      <c r="R3" s="12"/>
      <c r="S3" s="12"/>
      <c r="T3" s="13"/>
    </row>
    <row r="4" spans="1:20" x14ac:dyDescent="0.35">
      <c r="A4" s="10" t="s">
        <v>16</v>
      </c>
      <c r="B4" s="11"/>
      <c r="C4" s="6"/>
      <c r="D4" s="6"/>
      <c r="E4" s="6"/>
      <c r="F4" s="359" t="s">
        <v>17</v>
      </c>
      <c r="G4" s="360"/>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352"/>
      <c r="B13" s="24" t="s">
        <v>32</v>
      </c>
      <c r="C13" s="25"/>
      <c r="D13" s="24" t="s">
        <v>33</v>
      </c>
      <c r="E13" s="26"/>
      <c r="F13" s="355"/>
      <c r="G13" s="27"/>
      <c r="H13" s="28"/>
      <c r="I13" s="29"/>
      <c r="J13" s="28"/>
      <c r="K13" s="28"/>
      <c r="L13" s="28"/>
      <c r="M13" s="28"/>
      <c r="N13" s="28"/>
      <c r="O13" s="28"/>
      <c r="P13" s="28"/>
      <c r="Q13" s="28"/>
      <c r="R13" s="28"/>
      <c r="S13" s="28"/>
      <c r="T13" s="13"/>
    </row>
    <row r="14" spans="1:20" x14ac:dyDescent="0.35">
      <c r="A14" s="353"/>
      <c r="B14" s="24" t="s">
        <v>34</v>
      </c>
      <c r="C14" s="25"/>
      <c r="D14" s="24" t="s">
        <v>33</v>
      </c>
      <c r="E14" s="26"/>
      <c r="F14" s="355"/>
      <c r="G14" s="27"/>
      <c r="H14" s="28"/>
      <c r="I14" s="29"/>
      <c r="J14" s="28"/>
      <c r="K14" s="28"/>
      <c r="L14" s="28"/>
      <c r="M14" s="28"/>
      <c r="N14" s="28"/>
      <c r="O14" s="28"/>
      <c r="P14" s="28"/>
      <c r="Q14" s="28"/>
      <c r="R14" s="28"/>
      <c r="S14" s="28"/>
      <c r="T14" s="13"/>
    </row>
    <row r="15" spans="1:20" x14ac:dyDescent="0.35">
      <c r="A15" s="353"/>
      <c r="B15" s="24" t="s">
        <v>35</v>
      </c>
      <c r="C15" s="25"/>
      <c r="D15" s="24" t="s">
        <v>33</v>
      </c>
      <c r="E15" s="26"/>
      <c r="F15" s="355"/>
      <c r="G15" s="27"/>
      <c r="H15" s="28"/>
      <c r="I15" s="29"/>
      <c r="J15" s="28"/>
      <c r="K15" s="28"/>
      <c r="L15" s="28"/>
      <c r="M15" s="28"/>
      <c r="N15" s="28"/>
      <c r="O15" s="28"/>
      <c r="P15" s="28"/>
      <c r="Q15" s="28"/>
      <c r="R15" s="28"/>
      <c r="S15" s="28"/>
      <c r="T15" s="13"/>
    </row>
    <row r="16" spans="1:20" x14ac:dyDescent="0.35">
      <c r="A16" s="353"/>
      <c r="B16" s="24" t="s">
        <v>36</v>
      </c>
      <c r="C16" s="25"/>
      <c r="D16" s="24" t="s">
        <v>33</v>
      </c>
      <c r="E16" s="26"/>
      <c r="F16" s="355"/>
      <c r="G16" s="27"/>
      <c r="H16" s="28"/>
      <c r="I16" s="29"/>
      <c r="J16" s="28"/>
      <c r="K16" s="28"/>
      <c r="L16" s="28"/>
      <c r="M16" s="28"/>
      <c r="N16" s="28"/>
      <c r="O16" s="28"/>
      <c r="P16" s="28"/>
      <c r="Q16" s="28"/>
      <c r="R16" s="28"/>
      <c r="S16" s="28"/>
      <c r="T16" s="13"/>
    </row>
    <row r="17" spans="1:20" x14ac:dyDescent="0.35">
      <c r="A17" s="354"/>
      <c r="B17" s="24" t="s">
        <v>37</v>
      </c>
      <c r="C17" s="25"/>
      <c r="D17" s="24" t="s">
        <v>33</v>
      </c>
      <c r="E17" s="26"/>
      <c r="F17" s="355"/>
      <c r="G17" s="27"/>
      <c r="H17" s="28"/>
      <c r="I17" s="29"/>
      <c r="J17" s="28"/>
      <c r="K17" s="28"/>
      <c r="L17" s="28"/>
      <c r="M17" s="28"/>
      <c r="N17" s="28"/>
      <c r="O17" s="28"/>
      <c r="P17" s="28"/>
      <c r="Q17" s="28"/>
      <c r="R17" s="28"/>
      <c r="S17" s="28"/>
      <c r="T17" s="13"/>
    </row>
    <row r="18" spans="1:20" x14ac:dyDescent="0.35">
      <c r="A18" s="352"/>
      <c r="B18" s="24" t="s">
        <v>32</v>
      </c>
      <c r="C18" s="25"/>
      <c r="D18" s="24" t="s">
        <v>33</v>
      </c>
      <c r="E18" s="26"/>
      <c r="F18" s="355"/>
      <c r="G18" s="27"/>
    </row>
    <row r="19" spans="1:20" x14ac:dyDescent="0.35">
      <c r="A19" s="353"/>
      <c r="B19" s="24" t="s">
        <v>34</v>
      </c>
      <c r="C19" s="25"/>
      <c r="D19" s="24" t="s">
        <v>33</v>
      </c>
      <c r="E19" s="26"/>
      <c r="F19" s="355"/>
      <c r="G19" s="27"/>
    </row>
    <row r="20" spans="1:20" x14ac:dyDescent="0.35">
      <c r="A20" s="353"/>
      <c r="B20" s="24" t="s">
        <v>35</v>
      </c>
      <c r="C20" s="25"/>
      <c r="D20" s="24" t="s">
        <v>33</v>
      </c>
      <c r="E20" s="26"/>
      <c r="F20" s="355"/>
      <c r="G20" s="27"/>
    </row>
    <row r="21" spans="1:20" x14ac:dyDescent="0.35">
      <c r="A21" s="353"/>
      <c r="B21" s="24" t="s">
        <v>36</v>
      </c>
      <c r="C21" s="25"/>
      <c r="D21" s="24" t="s">
        <v>33</v>
      </c>
      <c r="E21" s="26"/>
      <c r="F21" s="355"/>
      <c r="G21" s="27"/>
    </row>
    <row r="22" spans="1:20" x14ac:dyDescent="0.35">
      <c r="A22" s="354"/>
      <c r="B22" s="24" t="s">
        <v>37</v>
      </c>
      <c r="C22" s="25"/>
      <c r="D22" s="24" t="s">
        <v>33</v>
      </c>
      <c r="E22" s="26"/>
      <c r="F22" s="355"/>
      <c r="G22" s="27"/>
    </row>
    <row r="23" spans="1:20" x14ac:dyDescent="0.35">
      <c r="A23" s="352"/>
      <c r="B23" s="24" t="s">
        <v>32</v>
      </c>
      <c r="C23" s="25"/>
      <c r="D23" s="24" t="s">
        <v>33</v>
      </c>
      <c r="E23" s="26"/>
      <c r="F23" s="355"/>
      <c r="G23" s="27"/>
    </row>
    <row r="24" spans="1:20" x14ac:dyDescent="0.35">
      <c r="A24" s="353"/>
      <c r="B24" s="24" t="s">
        <v>34</v>
      </c>
      <c r="C24" s="25"/>
      <c r="D24" s="24" t="s">
        <v>33</v>
      </c>
      <c r="E24" s="26"/>
      <c r="F24" s="355"/>
      <c r="G24" s="27"/>
    </row>
    <row r="25" spans="1:20" x14ac:dyDescent="0.35">
      <c r="A25" s="353"/>
      <c r="B25" s="24" t="s">
        <v>35</v>
      </c>
      <c r="C25" s="25"/>
      <c r="D25" s="24" t="s">
        <v>33</v>
      </c>
      <c r="E25" s="26"/>
      <c r="F25" s="355"/>
      <c r="G25" s="27"/>
    </row>
    <row r="26" spans="1:20" x14ac:dyDescent="0.35">
      <c r="A26" s="353"/>
      <c r="B26" s="24" t="s">
        <v>36</v>
      </c>
      <c r="C26" s="25"/>
      <c r="D26" s="24" t="s">
        <v>33</v>
      </c>
      <c r="E26" s="26"/>
      <c r="F26" s="355"/>
      <c r="G26" s="27"/>
    </row>
    <row r="27" spans="1:20" x14ac:dyDescent="0.35">
      <c r="A27" s="354"/>
      <c r="B27" s="24" t="s">
        <v>37</v>
      </c>
      <c r="C27" s="25"/>
      <c r="D27" s="24" t="s">
        <v>33</v>
      </c>
      <c r="E27" s="26"/>
      <c r="F27" s="355"/>
      <c r="G27" s="27"/>
    </row>
    <row r="28" spans="1:20" x14ac:dyDescent="0.35">
      <c r="A28" s="352"/>
      <c r="B28" s="24" t="s">
        <v>32</v>
      </c>
      <c r="C28" s="25"/>
      <c r="D28" s="24" t="s">
        <v>33</v>
      </c>
      <c r="E28" s="26"/>
      <c r="F28" s="355"/>
      <c r="G28" s="27"/>
    </row>
    <row r="29" spans="1:20" x14ac:dyDescent="0.35">
      <c r="A29" s="353"/>
      <c r="B29" s="24" t="s">
        <v>34</v>
      </c>
      <c r="C29" s="25"/>
      <c r="D29" s="24" t="s">
        <v>33</v>
      </c>
      <c r="E29" s="26"/>
      <c r="F29" s="355"/>
      <c r="G29" s="27"/>
    </row>
    <row r="30" spans="1:20" x14ac:dyDescent="0.35">
      <c r="A30" s="353"/>
      <c r="B30" s="24" t="s">
        <v>35</v>
      </c>
      <c r="C30" s="25"/>
      <c r="D30" s="24" t="s">
        <v>33</v>
      </c>
      <c r="E30" s="26"/>
      <c r="F30" s="355"/>
      <c r="G30" s="27"/>
    </row>
    <row r="31" spans="1:20" x14ac:dyDescent="0.35">
      <c r="A31" s="353"/>
      <c r="B31" s="24" t="s">
        <v>36</v>
      </c>
      <c r="C31" s="25"/>
      <c r="D31" s="24" t="s">
        <v>33</v>
      </c>
      <c r="E31" s="26"/>
      <c r="F31" s="355"/>
      <c r="G31" s="27"/>
    </row>
    <row r="32" spans="1:20" x14ac:dyDescent="0.35">
      <c r="A32" s="354"/>
      <c r="B32" s="24" t="s">
        <v>37</v>
      </c>
      <c r="C32" s="25"/>
      <c r="D32" s="24" t="s">
        <v>33</v>
      </c>
      <c r="E32" s="26"/>
      <c r="F32" s="355"/>
      <c r="G32" s="27"/>
    </row>
    <row r="33" spans="1:7" x14ac:dyDescent="0.35">
      <c r="A33" s="352"/>
      <c r="B33" s="24" t="s">
        <v>32</v>
      </c>
      <c r="C33" s="25"/>
      <c r="D33" s="24" t="s">
        <v>33</v>
      </c>
      <c r="E33" s="26"/>
      <c r="F33" s="355"/>
      <c r="G33" s="27"/>
    </row>
    <row r="34" spans="1:7" x14ac:dyDescent="0.35">
      <c r="A34" s="353"/>
      <c r="B34" s="24" t="s">
        <v>34</v>
      </c>
      <c r="C34" s="25"/>
      <c r="D34" s="24" t="s">
        <v>33</v>
      </c>
      <c r="E34" s="26"/>
      <c r="F34" s="355"/>
      <c r="G34" s="27"/>
    </row>
    <row r="35" spans="1:7" x14ac:dyDescent="0.35">
      <c r="A35" s="353"/>
      <c r="B35" s="24" t="s">
        <v>35</v>
      </c>
      <c r="C35" s="25"/>
      <c r="D35" s="24" t="s">
        <v>33</v>
      </c>
      <c r="E35" s="26"/>
      <c r="F35" s="355"/>
      <c r="G35" s="27"/>
    </row>
    <row r="36" spans="1:7" x14ac:dyDescent="0.35">
      <c r="A36" s="353"/>
      <c r="B36" s="24" t="s">
        <v>36</v>
      </c>
      <c r="C36" s="25"/>
      <c r="D36" s="24" t="s">
        <v>33</v>
      </c>
      <c r="E36" s="26"/>
      <c r="F36" s="355"/>
      <c r="G36" s="27"/>
    </row>
    <row r="37" spans="1:7" x14ac:dyDescent="0.35">
      <c r="A37" s="354"/>
      <c r="B37" s="24" t="s">
        <v>37</v>
      </c>
      <c r="C37" s="25"/>
      <c r="D37" s="24" t="s">
        <v>33</v>
      </c>
      <c r="E37" s="26"/>
      <c r="F37" s="355"/>
      <c r="G37" s="27"/>
    </row>
    <row r="38" spans="1:7" x14ac:dyDescent="0.35">
      <c r="A38" s="352"/>
      <c r="B38" s="24" t="s">
        <v>32</v>
      </c>
      <c r="C38" s="25"/>
      <c r="D38" s="24" t="s">
        <v>33</v>
      </c>
      <c r="E38" s="26"/>
      <c r="F38" s="355"/>
      <c r="G38" s="27"/>
    </row>
    <row r="39" spans="1:7" x14ac:dyDescent="0.35">
      <c r="A39" s="353"/>
      <c r="B39" s="24" t="s">
        <v>34</v>
      </c>
      <c r="C39" s="25"/>
      <c r="D39" s="24" t="s">
        <v>33</v>
      </c>
      <c r="E39" s="26"/>
      <c r="F39" s="355"/>
      <c r="G39" s="27"/>
    </row>
    <row r="40" spans="1:7" x14ac:dyDescent="0.35">
      <c r="A40" s="353"/>
      <c r="B40" s="24" t="s">
        <v>35</v>
      </c>
      <c r="C40" s="25"/>
      <c r="D40" s="24" t="s">
        <v>33</v>
      </c>
      <c r="E40" s="26"/>
      <c r="F40" s="355"/>
      <c r="G40" s="27"/>
    </row>
    <row r="41" spans="1:7" x14ac:dyDescent="0.35">
      <c r="A41" s="353"/>
      <c r="B41" s="24" t="s">
        <v>36</v>
      </c>
      <c r="C41" s="25"/>
      <c r="D41" s="24" t="s">
        <v>33</v>
      </c>
      <c r="E41" s="26"/>
      <c r="F41" s="355"/>
      <c r="G41" s="27"/>
    </row>
    <row r="42" spans="1:7" x14ac:dyDescent="0.35">
      <c r="A42" s="354"/>
      <c r="B42" s="24" t="s">
        <v>37</v>
      </c>
      <c r="C42" s="25"/>
      <c r="D42" s="24" t="s">
        <v>33</v>
      </c>
      <c r="E42" s="26"/>
      <c r="F42" s="355"/>
      <c r="G42" s="27"/>
    </row>
    <row r="43" spans="1:7" x14ac:dyDescent="0.35">
      <c r="A43" s="352"/>
      <c r="B43" s="24" t="s">
        <v>32</v>
      </c>
      <c r="C43" s="25"/>
      <c r="D43" s="24" t="s">
        <v>33</v>
      </c>
      <c r="E43" s="26"/>
      <c r="F43" s="355"/>
      <c r="G43" s="27"/>
    </row>
    <row r="44" spans="1:7" x14ac:dyDescent="0.35">
      <c r="A44" s="353"/>
      <c r="B44" s="24" t="s">
        <v>34</v>
      </c>
      <c r="C44" s="25"/>
      <c r="D44" s="24" t="s">
        <v>33</v>
      </c>
      <c r="E44" s="26"/>
      <c r="F44" s="355"/>
      <c r="G44" s="27"/>
    </row>
    <row r="45" spans="1:7" x14ac:dyDescent="0.35">
      <c r="A45" s="353"/>
      <c r="B45" s="24" t="s">
        <v>35</v>
      </c>
      <c r="C45" s="25"/>
      <c r="D45" s="24" t="s">
        <v>33</v>
      </c>
      <c r="E45" s="26"/>
      <c r="F45" s="355"/>
      <c r="G45" s="27"/>
    </row>
    <row r="46" spans="1:7" x14ac:dyDescent="0.35">
      <c r="A46" s="353"/>
      <c r="B46" s="24" t="s">
        <v>36</v>
      </c>
      <c r="C46" s="25"/>
      <c r="D46" s="24" t="s">
        <v>33</v>
      </c>
      <c r="E46" s="26"/>
      <c r="F46" s="355"/>
      <c r="G46" s="27"/>
    </row>
    <row r="47" spans="1:7" x14ac:dyDescent="0.35">
      <c r="A47" s="354"/>
      <c r="B47" s="24" t="s">
        <v>37</v>
      </c>
      <c r="C47" s="25"/>
      <c r="D47" s="24" t="s">
        <v>33</v>
      </c>
      <c r="E47" s="26"/>
      <c r="F47" s="355"/>
      <c r="G47" s="27"/>
    </row>
    <row r="48" spans="1:7" x14ac:dyDescent="0.35">
      <c r="A48" s="352"/>
      <c r="B48" s="24" t="s">
        <v>32</v>
      </c>
      <c r="C48" s="25"/>
      <c r="D48" s="24" t="s">
        <v>33</v>
      </c>
      <c r="E48" s="26"/>
      <c r="F48" s="355"/>
      <c r="G48" s="27"/>
    </row>
    <row r="49" spans="1:7" x14ac:dyDescent="0.35">
      <c r="A49" s="353"/>
      <c r="B49" s="24" t="s">
        <v>34</v>
      </c>
      <c r="C49" s="25"/>
      <c r="D49" s="24" t="s">
        <v>33</v>
      </c>
      <c r="E49" s="26"/>
      <c r="F49" s="355"/>
      <c r="G49" s="27"/>
    </row>
    <row r="50" spans="1:7" x14ac:dyDescent="0.35">
      <c r="A50" s="353"/>
      <c r="B50" s="24" t="s">
        <v>35</v>
      </c>
      <c r="C50" s="25"/>
      <c r="D50" s="24" t="s">
        <v>33</v>
      </c>
      <c r="E50" s="26"/>
      <c r="F50" s="355"/>
      <c r="G50" s="27"/>
    </row>
    <row r="51" spans="1:7" x14ac:dyDescent="0.35">
      <c r="A51" s="353"/>
      <c r="B51" s="24" t="s">
        <v>36</v>
      </c>
      <c r="C51" s="25"/>
      <c r="D51" s="24" t="s">
        <v>33</v>
      </c>
      <c r="E51" s="26"/>
      <c r="F51" s="355"/>
      <c r="G51" s="27"/>
    </row>
    <row r="52" spans="1:7" x14ac:dyDescent="0.35">
      <c r="A52" s="354"/>
      <c r="B52" s="24" t="s">
        <v>37</v>
      </c>
      <c r="C52" s="25"/>
      <c r="D52" s="24" t="s">
        <v>33</v>
      </c>
      <c r="E52" s="26"/>
      <c r="F52" s="355"/>
      <c r="G52" s="27"/>
    </row>
    <row r="53" spans="1:7" x14ac:dyDescent="0.35">
      <c r="A53" s="352"/>
      <c r="B53" s="24" t="s">
        <v>32</v>
      </c>
      <c r="C53" s="25"/>
      <c r="D53" s="24" t="s">
        <v>33</v>
      </c>
      <c r="E53" s="26"/>
      <c r="F53" s="355"/>
      <c r="G53" s="27"/>
    </row>
    <row r="54" spans="1:7" x14ac:dyDescent="0.35">
      <c r="A54" s="353"/>
      <c r="B54" s="24" t="s">
        <v>34</v>
      </c>
      <c r="C54" s="25"/>
      <c r="D54" s="24" t="s">
        <v>33</v>
      </c>
      <c r="E54" s="26"/>
      <c r="F54" s="355"/>
      <c r="G54" s="27"/>
    </row>
    <row r="55" spans="1:7" x14ac:dyDescent="0.35">
      <c r="A55" s="353"/>
      <c r="B55" s="24" t="s">
        <v>35</v>
      </c>
      <c r="C55" s="25"/>
      <c r="D55" s="24" t="s">
        <v>33</v>
      </c>
      <c r="E55" s="26"/>
      <c r="F55" s="355"/>
      <c r="G55" s="27"/>
    </row>
    <row r="56" spans="1:7" x14ac:dyDescent="0.35">
      <c r="A56" s="353"/>
      <c r="B56" s="24" t="s">
        <v>36</v>
      </c>
      <c r="C56" s="25"/>
      <c r="D56" s="24" t="s">
        <v>33</v>
      </c>
      <c r="E56" s="26"/>
      <c r="F56" s="355"/>
      <c r="G56" s="27"/>
    </row>
    <row r="57" spans="1:7" x14ac:dyDescent="0.35">
      <c r="A57" s="354"/>
      <c r="B57" s="24" t="s">
        <v>37</v>
      </c>
      <c r="C57" s="25"/>
      <c r="D57" s="24" t="s">
        <v>33</v>
      </c>
      <c r="E57" s="26"/>
      <c r="F57" s="355"/>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6"/>
  <sheetViews>
    <sheetView tabSelected="1" zoomScale="85" zoomScaleNormal="85" workbookViewId="0">
      <pane ySplit="9" topLeftCell="A10" activePane="bottomLeft" state="frozen"/>
      <selection pane="bottomLeft" activeCell="A10" sqref="A10"/>
    </sheetView>
  </sheetViews>
  <sheetFormatPr defaultColWidth="11.26953125" defaultRowHeight="13.3" x14ac:dyDescent="0.3"/>
  <cols>
    <col min="1" max="1" width="12.26953125" style="381" customWidth="1"/>
    <col min="2" max="5" width="11.26953125" style="274"/>
    <col min="6" max="6" width="11.26953125" style="294"/>
    <col min="7" max="7" width="11.26953125" style="274"/>
    <col min="8" max="8" width="11.26953125" style="295"/>
    <col min="9" max="9" width="56.453125" style="274" bestFit="1" customWidth="1"/>
    <col min="10" max="16384" width="11.26953125" style="274"/>
  </cols>
  <sheetData>
    <row r="1" spans="1:9" s="268" customFormat="1" x14ac:dyDescent="0.3">
      <c r="A1" s="361" t="s">
        <v>11</v>
      </c>
      <c r="B1" s="361"/>
      <c r="C1" s="361"/>
      <c r="D1" s="361"/>
      <c r="E1" s="361"/>
      <c r="F1" s="361"/>
      <c r="G1" s="361"/>
      <c r="H1" s="361"/>
      <c r="I1" s="267"/>
    </row>
    <row r="2" spans="1:9" x14ac:dyDescent="0.3">
      <c r="A2" s="269" t="s">
        <v>153</v>
      </c>
      <c r="B2" s="270"/>
      <c r="C2" s="270"/>
      <c r="D2" s="270"/>
      <c r="E2" s="271"/>
      <c r="F2" s="296"/>
      <c r="G2" s="272"/>
      <c r="H2" s="270" t="s">
        <v>154</v>
      </c>
      <c r="I2" s="273"/>
    </row>
    <row r="3" spans="1:9" x14ac:dyDescent="0.3">
      <c r="A3" s="269" t="s">
        <v>155</v>
      </c>
      <c r="B3" s="275"/>
      <c r="C3" s="275"/>
      <c r="D3" s="275"/>
      <c r="E3" s="276" t="s">
        <v>38</v>
      </c>
      <c r="F3" s="297"/>
      <c r="G3" s="276"/>
      <c r="H3" s="276"/>
      <c r="I3" s="273"/>
    </row>
    <row r="4" spans="1:9" x14ac:dyDescent="0.3">
      <c r="A4" s="269" t="s">
        <v>156</v>
      </c>
      <c r="B4" s="276"/>
      <c r="C4" s="276"/>
      <c r="D4" s="276"/>
      <c r="E4" s="276" t="s">
        <v>39</v>
      </c>
      <c r="F4" s="297"/>
      <c r="G4" s="276"/>
      <c r="H4" s="276"/>
      <c r="I4" s="273"/>
    </row>
    <row r="5" spans="1:9" x14ac:dyDescent="0.3">
      <c r="A5" s="269" t="s">
        <v>157</v>
      </c>
      <c r="B5" s="275"/>
      <c r="C5" s="275"/>
      <c r="D5" s="275"/>
      <c r="E5" s="275"/>
      <c r="F5" s="297"/>
      <c r="G5" s="275"/>
      <c r="H5" s="275"/>
      <c r="I5" s="273"/>
    </row>
    <row r="6" spans="1:9" x14ac:dyDescent="0.3">
      <c r="A6" s="269" t="s">
        <v>158</v>
      </c>
      <c r="B6" s="275"/>
      <c r="C6" s="275"/>
      <c r="D6" s="275"/>
      <c r="E6" s="275"/>
      <c r="F6" s="297"/>
      <c r="G6" s="275"/>
      <c r="H6" s="275"/>
      <c r="I6" s="273"/>
    </row>
    <row r="7" spans="1:9" x14ac:dyDescent="0.3">
      <c r="A7" s="277"/>
      <c r="B7" s="275"/>
      <c r="C7" s="275"/>
      <c r="D7" s="275"/>
      <c r="E7" s="275"/>
      <c r="F7" s="297"/>
      <c r="G7" s="275"/>
      <c r="H7" s="275"/>
      <c r="I7" s="273"/>
    </row>
    <row r="8" spans="1:9" ht="13.85" thickBot="1" x14ac:dyDescent="0.35">
      <c r="A8" s="378"/>
      <c r="B8" s="362" t="s">
        <v>40</v>
      </c>
      <c r="C8" s="363"/>
      <c r="D8" s="298"/>
      <c r="E8" s="298"/>
      <c r="F8" s="299"/>
      <c r="G8" s="298"/>
      <c r="H8" s="300"/>
      <c r="I8" s="301"/>
    </row>
    <row r="9" spans="1:9" s="278" customFormat="1" ht="32.950000000000003" customHeight="1" thickBot="1" x14ac:dyDescent="0.4">
      <c r="A9" s="307" t="s">
        <v>160</v>
      </c>
      <c r="B9" s="308" t="s">
        <v>44</v>
      </c>
      <c r="C9" s="308" t="s">
        <v>45</v>
      </c>
      <c r="D9" s="309" t="s">
        <v>63</v>
      </c>
      <c r="E9" s="309" t="s">
        <v>29</v>
      </c>
      <c r="F9" s="308" t="s">
        <v>41</v>
      </c>
      <c r="G9" s="309" t="s">
        <v>42</v>
      </c>
      <c r="H9" s="310" t="s">
        <v>43</v>
      </c>
      <c r="I9" s="311" t="s">
        <v>31</v>
      </c>
    </row>
    <row r="10" spans="1:9" x14ac:dyDescent="0.3">
      <c r="A10" s="379">
        <v>43101</v>
      </c>
      <c r="B10" s="302">
        <v>17</v>
      </c>
      <c r="C10" s="302">
        <v>46</v>
      </c>
      <c r="D10" s="302">
        <v>29</v>
      </c>
      <c r="E10" s="303" t="s">
        <v>46</v>
      </c>
      <c r="F10" s="304">
        <v>1428</v>
      </c>
      <c r="G10" s="305" t="s">
        <v>47</v>
      </c>
      <c r="H10" s="306">
        <v>60</v>
      </c>
      <c r="I10" s="302"/>
    </row>
    <row r="11" spans="1:9" x14ac:dyDescent="0.3">
      <c r="A11" s="380">
        <v>43104</v>
      </c>
      <c r="B11" s="283">
        <v>16</v>
      </c>
      <c r="C11" s="283">
        <v>27</v>
      </c>
      <c r="D11" s="283">
        <f t="shared" ref="D11:D41" si="0">IF(((C11="")*AND(B11="")),"",(C11-B11))</f>
        <v>11</v>
      </c>
      <c r="E11" s="280" t="str">
        <f t="shared" ref="E11:E41" si="1">IF(D11="","",IF(D11&lt;60,"Pass","Fail"))</f>
        <v>Pass</v>
      </c>
      <c r="F11" s="284">
        <v>1335</v>
      </c>
      <c r="G11" s="281" t="s">
        <v>47</v>
      </c>
      <c r="H11" s="282">
        <v>60</v>
      </c>
      <c r="I11" s="279"/>
    </row>
    <row r="12" spans="1:9" x14ac:dyDescent="0.3">
      <c r="A12" s="380">
        <v>43112</v>
      </c>
      <c r="B12" s="283">
        <v>18</v>
      </c>
      <c r="C12" s="283">
        <v>40</v>
      </c>
      <c r="D12" s="283">
        <f t="shared" si="0"/>
        <v>22</v>
      </c>
      <c r="E12" s="280" t="str">
        <f t="shared" si="1"/>
        <v>Pass</v>
      </c>
      <c r="F12" s="284" t="s">
        <v>48</v>
      </c>
      <c r="G12" s="281" t="s">
        <v>47</v>
      </c>
      <c r="H12" s="282">
        <v>60</v>
      </c>
      <c r="I12" s="279"/>
    </row>
    <row r="13" spans="1:9" x14ac:dyDescent="0.3">
      <c r="A13" s="380">
        <v>43116</v>
      </c>
      <c r="B13" s="283">
        <v>18</v>
      </c>
      <c r="C13" s="283">
        <v>77</v>
      </c>
      <c r="D13" s="283">
        <f t="shared" si="0"/>
        <v>59</v>
      </c>
      <c r="E13" s="280" t="str">
        <f t="shared" si="1"/>
        <v>Pass</v>
      </c>
      <c r="F13" s="284">
        <v>102</v>
      </c>
      <c r="G13" s="281" t="s">
        <v>47</v>
      </c>
      <c r="H13" s="282">
        <v>60</v>
      </c>
      <c r="I13" s="279"/>
    </row>
    <row r="14" spans="1:9" x14ac:dyDescent="0.3">
      <c r="A14" s="380">
        <v>43119</v>
      </c>
      <c r="B14" s="283">
        <v>14</v>
      </c>
      <c r="C14" s="283">
        <v>22</v>
      </c>
      <c r="D14" s="283">
        <f t="shared" si="0"/>
        <v>8</v>
      </c>
      <c r="E14" s="280" t="str">
        <f t="shared" si="1"/>
        <v>Pass</v>
      </c>
      <c r="F14" s="284">
        <v>1428</v>
      </c>
      <c r="G14" s="281"/>
      <c r="H14" s="282">
        <v>60</v>
      </c>
      <c r="I14" s="279"/>
    </row>
    <row r="15" spans="1:9" x14ac:dyDescent="0.3">
      <c r="A15" s="380">
        <v>43122</v>
      </c>
      <c r="B15" s="283">
        <v>18</v>
      </c>
      <c r="C15" s="283">
        <v>123</v>
      </c>
      <c r="D15" s="283">
        <f t="shared" si="0"/>
        <v>105</v>
      </c>
      <c r="E15" s="280" t="str">
        <f t="shared" si="1"/>
        <v>Fail</v>
      </c>
      <c r="F15" s="284">
        <v>1428</v>
      </c>
      <c r="G15" s="281"/>
      <c r="H15" s="282">
        <v>60</v>
      </c>
      <c r="I15" s="279"/>
    </row>
    <row r="16" spans="1:9" x14ac:dyDescent="0.3">
      <c r="A16" s="380">
        <v>43122</v>
      </c>
      <c r="B16" s="283">
        <v>19</v>
      </c>
      <c r="C16" s="283">
        <v>521</v>
      </c>
      <c r="D16" s="283">
        <f t="shared" si="0"/>
        <v>502</v>
      </c>
      <c r="E16" s="280" t="str">
        <f t="shared" si="1"/>
        <v>Fail</v>
      </c>
      <c r="F16" s="284">
        <v>121</v>
      </c>
      <c r="G16" s="281"/>
      <c r="H16" s="282">
        <v>60</v>
      </c>
      <c r="I16" s="279"/>
    </row>
    <row r="17" spans="1:9" x14ac:dyDescent="0.3">
      <c r="A17" s="380">
        <v>43122</v>
      </c>
      <c r="B17" s="283">
        <v>14</v>
      </c>
      <c r="C17" s="283">
        <v>762</v>
      </c>
      <c r="D17" s="283">
        <f t="shared" si="0"/>
        <v>748</v>
      </c>
      <c r="E17" s="280" t="str">
        <f t="shared" si="1"/>
        <v>Fail</v>
      </c>
      <c r="F17" s="284">
        <v>102</v>
      </c>
      <c r="G17" s="281"/>
      <c r="H17" s="282">
        <v>60</v>
      </c>
      <c r="I17" s="279"/>
    </row>
    <row r="18" spans="1:9" x14ac:dyDescent="0.3">
      <c r="A18" s="380">
        <v>43122</v>
      </c>
      <c r="B18" s="283">
        <v>27</v>
      </c>
      <c r="C18" s="283">
        <v>48</v>
      </c>
      <c r="D18" s="283">
        <f t="shared" si="0"/>
        <v>21</v>
      </c>
      <c r="E18" s="280" t="str">
        <f t="shared" si="1"/>
        <v>Pass</v>
      </c>
      <c r="F18" s="284">
        <v>102</v>
      </c>
      <c r="G18" s="281"/>
      <c r="H18" s="282">
        <v>60</v>
      </c>
      <c r="I18" s="279"/>
    </row>
    <row r="19" spans="1:9" x14ac:dyDescent="0.3">
      <c r="A19" s="380">
        <v>43125</v>
      </c>
      <c r="B19" s="283">
        <v>27</v>
      </c>
      <c r="C19" s="283">
        <v>279</v>
      </c>
      <c r="D19" s="283">
        <f t="shared" si="0"/>
        <v>252</v>
      </c>
      <c r="E19" s="280" t="str">
        <f t="shared" si="1"/>
        <v>Fail</v>
      </c>
      <c r="F19" s="284">
        <v>102</v>
      </c>
      <c r="G19" s="281"/>
      <c r="H19" s="282">
        <v>60</v>
      </c>
      <c r="I19" s="279"/>
    </row>
    <row r="20" spans="1:9" x14ac:dyDescent="0.3">
      <c r="A20" s="380">
        <v>43125</v>
      </c>
      <c r="B20" s="283">
        <v>6</v>
      </c>
      <c r="C20" s="283">
        <v>178</v>
      </c>
      <c r="D20" s="283">
        <f t="shared" si="0"/>
        <v>172</v>
      </c>
      <c r="E20" s="280" t="str">
        <f t="shared" si="1"/>
        <v>Fail</v>
      </c>
      <c r="F20" s="284">
        <v>102</v>
      </c>
      <c r="G20" s="281"/>
      <c r="H20" s="282">
        <v>60</v>
      </c>
      <c r="I20" s="279"/>
    </row>
    <row r="21" spans="1:9" x14ac:dyDescent="0.3">
      <c r="A21" s="380">
        <v>43125</v>
      </c>
      <c r="B21" s="283">
        <v>36</v>
      </c>
      <c r="C21" s="283">
        <v>49</v>
      </c>
      <c r="D21" s="283">
        <f t="shared" si="0"/>
        <v>13</v>
      </c>
      <c r="E21" s="280" t="str">
        <f t="shared" si="1"/>
        <v>Pass</v>
      </c>
      <c r="F21" s="284">
        <v>1335</v>
      </c>
      <c r="G21" s="281"/>
      <c r="H21" s="282">
        <v>60</v>
      </c>
      <c r="I21" s="279"/>
    </row>
    <row r="22" spans="1:9" x14ac:dyDescent="0.3">
      <c r="A22" s="380">
        <v>43129</v>
      </c>
      <c r="B22" s="283">
        <v>11</v>
      </c>
      <c r="C22" s="283">
        <v>29</v>
      </c>
      <c r="D22" s="283">
        <f t="shared" si="0"/>
        <v>18</v>
      </c>
      <c r="E22" s="280" t="str">
        <f t="shared" si="1"/>
        <v>Pass</v>
      </c>
      <c r="F22" s="285" t="s">
        <v>49</v>
      </c>
      <c r="G22" s="281"/>
      <c r="H22" s="282">
        <v>60</v>
      </c>
      <c r="I22" s="279"/>
    </row>
    <row r="23" spans="1:9" x14ac:dyDescent="0.3">
      <c r="A23" s="380">
        <v>43132</v>
      </c>
      <c r="B23" s="283">
        <v>1</v>
      </c>
      <c r="C23" s="283">
        <v>10</v>
      </c>
      <c r="D23" s="283">
        <f t="shared" si="0"/>
        <v>9</v>
      </c>
      <c r="E23" s="280" t="str">
        <f t="shared" si="1"/>
        <v>Pass</v>
      </c>
      <c r="F23" s="284">
        <v>1335</v>
      </c>
      <c r="G23" s="281"/>
      <c r="H23" s="282">
        <v>60</v>
      </c>
      <c r="I23" s="279"/>
    </row>
    <row r="24" spans="1:9" x14ac:dyDescent="0.3">
      <c r="A24" s="380">
        <v>43137</v>
      </c>
      <c r="B24" s="283">
        <v>20</v>
      </c>
      <c r="C24" s="283">
        <v>52</v>
      </c>
      <c r="D24" s="283">
        <f t="shared" si="0"/>
        <v>32</v>
      </c>
      <c r="E24" s="280" t="str">
        <f t="shared" si="1"/>
        <v>Pass</v>
      </c>
      <c r="F24" s="284">
        <v>1519</v>
      </c>
      <c r="G24" s="281"/>
      <c r="H24" s="282">
        <v>60</v>
      </c>
      <c r="I24" s="279"/>
    </row>
    <row r="25" spans="1:9" x14ac:dyDescent="0.3">
      <c r="A25" s="380">
        <v>43138</v>
      </c>
      <c r="B25" s="283">
        <v>42</v>
      </c>
      <c r="C25" s="283">
        <v>100</v>
      </c>
      <c r="D25" s="283">
        <f t="shared" si="0"/>
        <v>58</v>
      </c>
      <c r="E25" s="280" t="str">
        <f t="shared" si="1"/>
        <v>Pass</v>
      </c>
      <c r="F25" s="284">
        <v>1428</v>
      </c>
      <c r="G25" s="281"/>
      <c r="H25" s="282">
        <v>60</v>
      </c>
      <c r="I25" s="279"/>
    </row>
    <row r="26" spans="1:9" x14ac:dyDescent="0.3">
      <c r="A26" s="380">
        <v>43141</v>
      </c>
      <c r="B26" s="283">
        <v>91</v>
      </c>
      <c r="C26" s="283">
        <v>119</v>
      </c>
      <c r="D26" s="283">
        <f>IF(((C26="")*AND(B26="")),"",(C26-B26))</f>
        <v>28</v>
      </c>
      <c r="E26" s="280" t="str">
        <f>IF(D26="","",IF(D26&lt;60,"Pass","Fail"))</f>
        <v>Pass</v>
      </c>
      <c r="F26" s="284">
        <v>102</v>
      </c>
      <c r="G26" s="281"/>
      <c r="H26" s="282">
        <v>60</v>
      </c>
      <c r="I26" s="279"/>
    </row>
    <row r="27" spans="1:9" x14ac:dyDescent="0.3">
      <c r="A27" s="380">
        <v>43146</v>
      </c>
      <c r="B27" s="283">
        <v>25</v>
      </c>
      <c r="C27" s="283">
        <v>29</v>
      </c>
      <c r="D27" s="283">
        <f t="shared" si="0"/>
        <v>4</v>
      </c>
      <c r="E27" s="280" t="str">
        <f t="shared" si="1"/>
        <v>Pass</v>
      </c>
      <c r="F27" s="284">
        <v>1335</v>
      </c>
      <c r="G27" s="281"/>
      <c r="H27" s="282">
        <v>60</v>
      </c>
      <c r="I27" s="279"/>
    </row>
    <row r="28" spans="1:9" x14ac:dyDescent="0.3">
      <c r="A28" s="380">
        <v>43151</v>
      </c>
      <c r="B28" s="283">
        <v>44</v>
      </c>
      <c r="C28" s="283">
        <v>41</v>
      </c>
      <c r="D28" s="283">
        <f>IF(((C28="")*AND(B28="")),"",(C28-B28))</f>
        <v>-3</v>
      </c>
      <c r="E28" s="280" t="str">
        <f>IF(D28="","",IF(D28&lt;60,"Pass","Fail"))</f>
        <v>Pass</v>
      </c>
      <c r="F28" s="284">
        <v>102</v>
      </c>
      <c r="G28" s="281"/>
      <c r="H28" s="282">
        <v>60</v>
      </c>
      <c r="I28" s="279"/>
    </row>
    <row r="29" spans="1:9" x14ac:dyDescent="0.3">
      <c r="A29" s="380">
        <v>43156</v>
      </c>
      <c r="B29" s="283">
        <v>46</v>
      </c>
      <c r="C29" s="283">
        <v>1343</v>
      </c>
      <c r="D29" s="283">
        <f t="shared" si="0"/>
        <v>1297</v>
      </c>
      <c r="E29" s="280" t="str">
        <f t="shared" si="1"/>
        <v>Fail</v>
      </c>
      <c r="F29" s="284">
        <v>1534</v>
      </c>
      <c r="G29" s="281"/>
      <c r="H29" s="282">
        <v>60</v>
      </c>
      <c r="I29" s="279"/>
    </row>
    <row r="30" spans="1:9" x14ac:dyDescent="0.3">
      <c r="A30" s="380">
        <v>43157</v>
      </c>
      <c r="B30" s="283">
        <v>7</v>
      </c>
      <c r="C30" s="283">
        <v>20</v>
      </c>
      <c r="D30" s="283">
        <f t="shared" si="0"/>
        <v>13</v>
      </c>
      <c r="E30" s="280" t="str">
        <f t="shared" si="1"/>
        <v>Pass</v>
      </c>
      <c r="F30" s="284">
        <v>1159</v>
      </c>
      <c r="G30" s="281" t="s">
        <v>47</v>
      </c>
      <c r="H30" s="282">
        <v>60</v>
      </c>
      <c r="I30" s="279"/>
    </row>
    <row r="31" spans="1:9" x14ac:dyDescent="0.3">
      <c r="A31" s="380">
        <v>43177</v>
      </c>
      <c r="B31" s="283">
        <v>36</v>
      </c>
      <c r="C31" s="283">
        <v>237</v>
      </c>
      <c r="D31" s="283">
        <f t="shared" si="0"/>
        <v>201</v>
      </c>
      <c r="E31" s="280" t="str">
        <f t="shared" si="1"/>
        <v>Fail</v>
      </c>
      <c r="F31" s="284">
        <v>1159</v>
      </c>
      <c r="G31" s="281" t="s">
        <v>47</v>
      </c>
      <c r="H31" s="282">
        <v>60</v>
      </c>
      <c r="I31" s="279"/>
    </row>
    <row r="32" spans="1:9" x14ac:dyDescent="0.3">
      <c r="A32" s="380">
        <v>43177</v>
      </c>
      <c r="B32" s="283">
        <v>9</v>
      </c>
      <c r="C32" s="283">
        <v>17</v>
      </c>
      <c r="D32" s="283">
        <f t="shared" si="0"/>
        <v>8</v>
      </c>
      <c r="E32" s="280" t="str">
        <f t="shared" si="1"/>
        <v>Pass</v>
      </c>
      <c r="F32" s="284">
        <v>1159</v>
      </c>
      <c r="G32" s="281" t="s">
        <v>47</v>
      </c>
      <c r="H32" s="282">
        <v>60</v>
      </c>
      <c r="I32" s="279"/>
    </row>
    <row r="33" spans="1:9" x14ac:dyDescent="0.3">
      <c r="A33" s="380">
        <v>43182</v>
      </c>
      <c r="B33" s="283">
        <v>22</v>
      </c>
      <c r="C33" s="283">
        <v>35</v>
      </c>
      <c r="D33" s="283">
        <f t="shared" si="0"/>
        <v>13</v>
      </c>
      <c r="E33" s="280" t="str">
        <f t="shared" si="1"/>
        <v>Pass</v>
      </c>
      <c r="F33" s="284">
        <v>1159</v>
      </c>
      <c r="G33" s="281" t="s">
        <v>47</v>
      </c>
      <c r="H33" s="282">
        <v>60</v>
      </c>
      <c r="I33" s="279"/>
    </row>
    <row r="34" spans="1:9" x14ac:dyDescent="0.3">
      <c r="A34" s="380">
        <v>43199</v>
      </c>
      <c r="B34" s="283">
        <v>43</v>
      </c>
      <c r="C34" s="283">
        <v>47</v>
      </c>
      <c r="D34" s="283">
        <f t="shared" si="0"/>
        <v>4</v>
      </c>
      <c r="E34" s="280" t="str">
        <f t="shared" si="1"/>
        <v>Pass</v>
      </c>
      <c r="F34" s="284">
        <v>1159</v>
      </c>
      <c r="G34" s="281" t="s">
        <v>47</v>
      </c>
      <c r="H34" s="282">
        <v>60</v>
      </c>
      <c r="I34" s="279"/>
    </row>
    <row r="35" spans="1:9" x14ac:dyDescent="0.3">
      <c r="A35" s="380">
        <v>43203</v>
      </c>
      <c r="B35" s="283">
        <v>27</v>
      </c>
      <c r="C35" s="283">
        <v>1124</v>
      </c>
      <c r="D35" s="283">
        <f t="shared" si="0"/>
        <v>1097</v>
      </c>
      <c r="E35" s="280" t="str">
        <f t="shared" si="1"/>
        <v>Fail</v>
      </c>
      <c r="F35" s="284">
        <v>1159</v>
      </c>
      <c r="G35" s="281" t="s">
        <v>47</v>
      </c>
      <c r="H35" s="282">
        <v>60</v>
      </c>
      <c r="I35" s="279"/>
    </row>
    <row r="36" spans="1:9" x14ac:dyDescent="0.3">
      <c r="A36" s="380">
        <v>43206</v>
      </c>
      <c r="B36" s="283">
        <v>13</v>
      </c>
      <c r="C36" s="283">
        <v>14</v>
      </c>
      <c r="D36" s="283">
        <f t="shared" si="0"/>
        <v>1</v>
      </c>
      <c r="E36" s="280" t="str">
        <f t="shared" si="1"/>
        <v>Pass</v>
      </c>
      <c r="F36" s="284">
        <v>1335</v>
      </c>
      <c r="G36" s="281" t="s">
        <v>47</v>
      </c>
      <c r="H36" s="282">
        <v>60</v>
      </c>
      <c r="I36" s="279"/>
    </row>
    <row r="37" spans="1:9" x14ac:dyDescent="0.3">
      <c r="A37" s="380">
        <v>43214</v>
      </c>
      <c r="B37" s="283">
        <v>44</v>
      </c>
      <c r="C37" s="283">
        <v>376</v>
      </c>
      <c r="D37" s="283">
        <f t="shared" si="0"/>
        <v>332</v>
      </c>
      <c r="E37" s="280" t="str">
        <f t="shared" si="1"/>
        <v>Fail</v>
      </c>
      <c r="F37" s="284">
        <v>74</v>
      </c>
      <c r="G37" s="281" t="s">
        <v>47</v>
      </c>
      <c r="H37" s="282">
        <v>60</v>
      </c>
      <c r="I37" s="279"/>
    </row>
    <row r="38" spans="1:9" x14ac:dyDescent="0.3">
      <c r="A38" s="380">
        <v>43214</v>
      </c>
      <c r="B38" s="283">
        <v>4</v>
      </c>
      <c r="C38" s="283">
        <v>34</v>
      </c>
      <c r="D38" s="283">
        <f t="shared" si="0"/>
        <v>30</v>
      </c>
      <c r="E38" s="280" t="str">
        <f t="shared" si="1"/>
        <v>Pass</v>
      </c>
      <c r="F38" s="285" t="s">
        <v>50</v>
      </c>
      <c r="G38" s="281" t="s">
        <v>47</v>
      </c>
      <c r="H38" s="282">
        <v>60</v>
      </c>
      <c r="I38" s="279"/>
    </row>
    <row r="39" spans="1:9" x14ac:dyDescent="0.3">
      <c r="A39" s="380">
        <v>43221</v>
      </c>
      <c r="B39" s="283">
        <v>16</v>
      </c>
      <c r="C39" s="283">
        <v>44</v>
      </c>
      <c r="D39" s="283">
        <f t="shared" si="0"/>
        <v>28</v>
      </c>
      <c r="E39" s="280" t="str">
        <f t="shared" si="1"/>
        <v>Pass</v>
      </c>
      <c r="F39" s="284">
        <v>74</v>
      </c>
      <c r="G39" s="281" t="s">
        <v>47</v>
      </c>
      <c r="H39" s="282">
        <v>60</v>
      </c>
      <c r="I39" s="279"/>
    </row>
    <row r="40" spans="1:9" x14ac:dyDescent="0.3">
      <c r="A40" s="380">
        <v>43222</v>
      </c>
      <c r="B40" s="283">
        <v>21</v>
      </c>
      <c r="C40" s="283">
        <v>27</v>
      </c>
      <c r="D40" s="283">
        <f t="shared" si="0"/>
        <v>6</v>
      </c>
      <c r="E40" s="280" t="str">
        <f t="shared" si="1"/>
        <v>Pass</v>
      </c>
      <c r="F40" s="284">
        <v>1159</v>
      </c>
      <c r="G40" s="281" t="s">
        <v>47</v>
      </c>
      <c r="H40" s="282">
        <v>60</v>
      </c>
      <c r="I40" s="279"/>
    </row>
    <row r="41" spans="1:9" x14ac:dyDescent="0.3">
      <c r="A41" s="380">
        <v>43234</v>
      </c>
      <c r="B41" s="283">
        <v>31</v>
      </c>
      <c r="C41" s="283">
        <v>23</v>
      </c>
      <c r="D41" s="283">
        <f t="shared" si="0"/>
        <v>-8</v>
      </c>
      <c r="E41" s="280" t="str">
        <f t="shared" si="1"/>
        <v>Pass</v>
      </c>
      <c r="F41" s="284">
        <v>1159</v>
      </c>
      <c r="G41" s="281" t="s">
        <v>47</v>
      </c>
      <c r="H41" s="282">
        <v>60</v>
      </c>
      <c r="I41" s="279"/>
    </row>
    <row r="42" spans="1:9" x14ac:dyDescent="0.3">
      <c r="A42" s="380">
        <v>43238</v>
      </c>
      <c r="B42" s="283">
        <v>46</v>
      </c>
      <c r="C42" s="283">
        <v>31</v>
      </c>
      <c r="D42" s="283">
        <f>IF(((C42="")*AND(B42="")),"",(C42-B42))</f>
        <v>-15</v>
      </c>
      <c r="E42" s="280" t="str">
        <f>IF(D42="","",IF(D42&lt;60,"Pass","Fail"))</f>
        <v>Pass</v>
      </c>
      <c r="F42" s="284">
        <v>64</v>
      </c>
      <c r="G42" s="281" t="s">
        <v>47</v>
      </c>
      <c r="H42" s="282">
        <v>60</v>
      </c>
      <c r="I42" s="279"/>
    </row>
    <row r="43" spans="1:9" x14ac:dyDescent="0.3">
      <c r="A43" s="380">
        <v>43242</v>
      </c>
      <c r="B43" s="283">
        <v>33</v>
      </c>
      <c r="C43" s="283">
        <v>30</v>
      </c>
      <c r="D43" s="283">
        <f>IF(((C43="")*AND(B43="")),"",(C43-B43))</f>
        <v>-3</v>
      </c>
      <c r="E43" s="280" t="str">
        <f>IF(D43="","",IF(D43&lt;60,"Pass","Fail"))</f>
        <v>Pass</v>
      </c>
      <c r="F43" s="284">
        <v>102</v>
      </c>
      <c r="G43" s="281" t="s">
        <v>47</v>
      </c>
      <c r="H43" s="282">
        <v>60</v>
      </c>
      <c r="I43" s="281" t="s">
        <v>51</v>
      </c>
    </row>
    <row r="44" spans="1:9" x14ac:dyDescent="0.3">
      <c r="A44" s="380">
        <v>43243</v>
      </c>
      <c r="B44" s="283">
        <v>48</v>
      </c>
      <c r="C44" s="283">
        <v>76</v>
      </c>
      <c r="D44" s="283">
        <f t="shared" ref="D44:D106" si="2">IF(((C44="")*AND(B44="")),"",(C44-B44))</f>
        <v>28</v>
      </c>
      <c r="E44" s="280" t="str">
        <f t="shared" ref="E44:E106" si="3">IF(D44="","",IF(D44&lt;60,"Pass","Fail"))</f>
        <v>Pass</v>
      </c>
      <c r="F44" s="284">
        <v>1159</v>
      </c>
      <c r="G44" s="281" t="s">
        <v>47</v>
      </c>
      <c r="H44" s="282">
        <v>60</v>
      </c>
      <c r="I44" s="279"/>
    </row>
    <row r="45" spans="1:9" x14ac:dyDescent="0.3">
      <c r="A45" s="380">
        <v>43243</v>
      </c>
      <c r="B45" s="283">
        <v>43</v>
      </c>
      <c r="C45" s="283">
        <v>26</v>
      </c>
      <c r="D45" s="283">
        <f t="shared" si="2"/>
        <v>-17</v>
      </c>
      <c r="E45" s="280" t="str">
        <f t="shared" si="3"/>
        <v>Pass</v>
      </c>
      <c r="F45" s="284">
        <v>1159</v>
      </c>
      <c r="G45" s="281" t="s">
        <v>47</v>
      </c>
      <c r="H45" s="282">
        <v>60</v>
      </c>
      <c r="I45" s="279"/>
    </row>
    <row r="46" spans="1:9" x14ac:dyDescent="0.3">
      <c r="A46" s="380">
        <v>43248</v>
      </c>
      <c r="B46" s="283">
        <v>53</v>
      </c>
      <c r="C46" s="283">
        <v>44</v>
      </c>
      <c r="D46" s="283">
        <f t="shared" si="2"/>
        <v>-9</v>
      </c>
      <c r="E46" s="280" t="str">
        <f t="shared" si="3"/>
        <v>Pass</v>
      </c>
      <c r="F46" s="284">
        <v>102</v>
      </c>
      <c r="G46" s="281" t="s">
        <v>47</v>
      </c>
      <c r="H46" s="282">
        <v>60</v>
      </c>
      <c r="I46" s="279"/>
    </row>
    <row r="47" spans="1:9" x14ac:dyDescent="0.3">
      <c r="A47" s="380">
        <v>43251</v>
      </c>
      <c r="B47" s="283">
        <v>4</v>
      </c>
      <c r="C47" s="283">
        <v>16</v>
      </c>
      <c r="D47" s="283">
        <f t="shared" si="2"/>
        <v>12</v>
      </c>
      <c r="E47" s="280" t="str">
        <f t="shared" si="3"/>
        <v>Pass</v>
      </c>
      <c r="F47" s="284"/>
      <c r="G47" s="281" t="s">
        <v>47</v>
      </c>
      <c r="H47" s="282">
        <v>60</v>
      </c>
      <c r="I47" s="279"/>
    </row>
    <row r="48" spans="1:9" x14ac:dyDescent="0.3">
      <c r="A48" s="380">
        <v>43255</v>
      </c>
      <c r="B48" s="283">
        <v>21</v>
      </c>
      <c r="C48" s="283">
        <v>526</v>
      </c>
      <c r="D48" s="283">
        <f t="shared" si="2"/>
        <v>505</v>
      </c>
      <c r="E48" s="280" t="str">
        <f t="shared" si="3"/>
        <v>Fail</v>
      </c>
      <c r="F48" s="284">
        <v>1335</v>
      </c>
      <c r="G48" s="281" t="s">
        <v>47</v>
      </c>
      <c r="H48" s="282">
        <v>60</v>
      </c>
      <c r="I48" s="279"/>
    </row>
    <row r="49" spans="1:9" x14ac:dyDescent="0.3">
      <c r="A49" s="380">
        <v>43255</v>
      </c>
      <c r="B49" s="283">
        <v>24</v>
      </c>
      <c r="C49" s="283">
        <v>348</v>
      </c>
      <c r="D49" s="283">
        <f t="shared" si="2"/>
        <v>324</v>
      </c>
      <c r="E49" s="280" t="str">
        <f t="shared" si="3"/>
        <v>Fail</v>
      </c>
      <c r="F49" s="284">
        <v>121</v>
      </c>
      <c r="G49" s="281" t="s">
        <v>47</v>
      </c>
      <c r="H49" s="282">
        <v>60</v>
      </c>
      <c r="I49" s="279"/>
    </row>
    <row r="50" spans="1:9" x14ac:dyDescent="0.3">
      <c r="A50" s="380">
        <v>43255</v>
      </c>
      <c r="B50" s="283">
        <v>7</v>
      </c>
      <c r="C50" s="283">
        <v>11</v>
      </c>
      <c r="D50" s="283">
        <f t="shared" si="2"/>
        <v>4</v>
      </c>
      <c r="E50" s="280" t="str">
        <f t="shared" si="3"/>
        <v>Pass</v>
      </c>
      <c r="F50" s="284">
        <v>121</v>
      </c>
      <c r="G50" s="281" t="s">
        <v>47</v>
      </c>
      <c r="H50" s="282">
        <v>60</v>
      </c>
      <c r="I50" s="279"/>
    </row>
    <row r="51" spans="1:9" x14ac:dyDescent="0.3">
      <c r="A51" s="380">
        <v>43258</v>
      </c>
      <c r="B51" s="283">
        <v>14</v>
      </c>
      <c r="C51" s="283">
        <v>10</v>
      </c>
      <c r="D51" s="283">
        <f t="shared" si="2"/>
        <v>-4</v>
      </c>
      <c r="E51" s="280" t="str">
        <f t="shared" si="3"/>
        <v>Pass</v>
      </c>
      <c r="F51" s="284">
        <v>1335</v>
      </c>
      <c r="G51" s="281" t="s">
        <v>47</v>
      </c>
      <c r="H51" s="282">
        <v>60</v>
      </c>
      <c r="I51" s="279"/>
    </row>
    <row r="52" spans="1:9" x14ac:dyDescent="0.3">
      <c r="A52" s="380">
        <v>43262</v>
      </c>
      <c r="B52" s="283">
        <v>44</v>
      </c>
      <c r="C52" s="283">
        <v>80</v>
      </c>
      <c r="D52" s="283">
        <f t="shared" si="2"/>
        <v>36</v>
      </c>
      <c r="E52" s="280" t="str">
        <f t="shared" si="3"/>
        <v>Pass</v>
      </c>
      <c r="F52" s="284">
        <v>1159</v>
      </c>
      <c r="G52" s="281" t="s">
        <v>47</v>
      </c>
      <c r="H52" s="282">
        <v>60</v>
      </c>
      <c r="I52" s="279"/>
    </row>
    <row r="53" spans="1:9" x14ac:dyDescent="0.3">
      <c r="A53" s="380">
        <v>43272</v>
      </c>
      <c r="B53" s="283">
        <v>8</v>
      </c>
      <c r="C53" s="283">
        <v>11</v>
      </c>
      <c r="D53" s="283">
        <f t="shared" si="2"/>
        <v>3</v>
      </c>
      <c r="E53" s="280" t="str">
        <f t="shared" si="3"/>
        <v>Pass</v>
      </c>
      <c r="F53" s="284">
        <v>1159</v>
      </c>
      <c r="G53" s="281" t="s">
        <v>47</v>
      </c>
      <c r="H53" s="282">
        <v>60</v>
      </c>
      <c r="I53" s="279"/>
    </row>
    <row r="54" spans="1:9" x14ac:dyDescent="0.3">
      <c r="A54" s="380">
        <v>43283</v>
      </c>
      <c r="B54" s="283">
        <v>27</v>
      </c>
      <c r="C54" s="283">
        <v>57</v>
      </c>
      <c r="D54" s="283">
        <f t="shared" si="2"/>
        <v>30</v>
      </c>
      <c r="E54" s="280" t="str">
        <f t="shared" si="3"/>
        <v>Pass</v>
      </c>
      <c r="F54" s="284">
        <v>1340</v>
      </c>
      <c r="G54" s="281" t="s">
        <v>47</v>
      </c>
      <c r="H54" s="282">
        <v>60</v>
      </c>
      <c r="I54" s="279"/>
    </row>
    <row r="55" spans="1:9" x14ac:dyDescent="0.3">
      <c r="A55" s="380">
        <v>43287</v>
      </c>
      <c r="B55" s="283">
        <v>36</v>
      </c>
      <c r="C55" s="283">
        <v>27</v>
      </c>
      <c r="D55" s="283">
        <f t="shared" si="2"/>
        <v>-9</v>
      </c>
      <c r="E55" s="280" t="str">
        <f t="shared" si="3"/>
        <v>Pass</v>
      </c>
      <c r="F55" s="286"/>
      <c r="G55" s="281" t="s">
        <v>47</v>
      </c>
      <c r="H55" s="282">
        <v>60</v>
      </c>
      <c r="I55" s="279"/>
    </row>
    <row r="56" spans="1:9" x14ac:dyDescent="0.3">
      <c r="A56" s="380">
        <v>43294</v>
      </c>
      <c r="B56" s="283">
        <v>11</v>
      </c>
      <c r="C56" s="283">
        <v>13</v>
      </c>
      <c r="D56" s="283">
        <f t="shared" si="2"/>
        <v>2</v>
      </c>
      <c r="E56" s="280" t="str">
        <f t="shared" si="3"/>
        <v>Pass</v>
      </c>
      <c r="F56" s="286">
        <v>1335</v>
      </c>
      <c r="G56" s="281" t="s">
        <v>47</v>
      </c>
      <c r="H56" s="282">
        <v>60</v>
      </c>
      <c r="I56" s="279"/>
    </row>
    <row r="57" spans="1:9" x14ac:dyDescent="0.3">
      <c r="A57" s="380">
        <v>43300</v>
      </c>
      <c r="B57" s="283">
        <v>10</v>
      </c>
      <c r="C57" s="283">
        <v>68</v>
      </c>
      <c r="D57" s="283">
        <f t="shared" si="2"/>
        <v>58</v>
      </c>
      <c r="E57" s="280" t="str">
        <f t="shared" si="3"/>
        <v>Pass</v>
      </c>
      <c r="F57" s="286">
        <v>1335</v>
      </c>
      <c r="G57" s="281" t="s">
        <v>47</v>
      </c>
      <c r="H57" s="282">
        <v>60</v>
      </c>
      <c r="I57" s="279"/>
    </row>
    <row r="58" spans="1:9" x14ac:dyDescent="0.3">
      <c r="A58" s="380">
        <v>43304</v>
      </c>
      <c r="B58" s="287">
        <v>9</v>
      </c>
      <c r="C58" s="287">
        <v>15</v>
      </c>
      <c r="D58" s="288">
        <f t="shared" si="2"/>
        <v>6</v>
      </c>
      <c r="E58" s="289" t="str">
        <f t="shared" si="3"/>
        <v>Pass</v>
      </c>
      <c r="F58" s="290">
        <v>1340</v>
      </c>
      <c r="G58" s="281" t="s">
        <v>47</v>
      </c>
      <c r="H58" s="282">
        <v>60</v>
      </c>
      <c r="I58" s="279"/>
    </row>
    <row r="59" spans="1:9" x14ac:dyDescent="0.3">
      <c r="A59" s="380">
        <v>43305</v>
      </c>
      <c r="B59" s="288">
        <v>13</v>
      </c>
      <c r="C59" s="288">
        <v>63</v>
      </c>
      <c r="D59" s="288">
        <f t="shared" si="2"/>
        <v>50</v>
      </c>
      <c r="E59" s="289" t="str">
        <f t="shared" si="3"/>
        <v>Pass</v>
      </c>
      <c r="F59" s="290">
        <v>1340</v>
      </c>
      <c r="G59" s="281" t="s">
        <v>47</v>
      </c>
      <c r="H59" s="282">
        <v>60</v>
      </c>
      <c r="I59" s="279"/>
    </row>
    <row r="60" spans="1:9" x14ac:dyDescent="0.3">
      <c r="A60" s="380">
        <v>43305</v>
      </c>
      <c r="B60" s="288">
        <v>13</v>
      </c>
      <c r="C60" s="288">
        <v>63</v>
      </c>
      <c r="D60" s="288">
        <f t="shared" si="2"/>
        <v>50</v>
      </c>
      <c r="E60" s="289" t="str">
        <f t="shared" si="3"/>
        <v>Pass</v>
      </c>
      <c r="F60" s="290">
        <v>1340</v>
      </c>
      <c r="G60" s="281" t="s">
        <v>47</v>
      </c>
      <c r="H60" s="282">
        <v>60</v>
      </c>
      <c r="I60" s="279"/>
    </row>
    <row r="61" spans="1:9" x14ac:dyDescent="0.3">
      <c r="A61" s="380">
        <v>43306</v>
      </c>
      <c r="B61" s="287">
        <v>21</v>
      </c>
      <c r="C61" s="287">
        <v>23</v>
      </c>
      <c r="D61" s="288">
        <f t="shared" si="2"/>
        <v>2</v>
      </c>
      <c r="E61" s="289" t="str">
        <f t="shared" si="3"/>
        <v>Pass</v>
      </c>
      <c r="F61" s="291">
        <v>121</v>
      </c>
      <c r="G61" s="281" t="s">
        <v>47</v>
      </c>
      <c r="H61" s="282">
        <v>60</v>
      </c>
      <c r="I61" s="279"/>
    </row>
    <row r="62" spans="1:9" x14ac:dyDescent="0.3">
      <c r="A62" s="380">
        <v>43308</v>
      </c>
      <c r="B62" s="288">
        <v>14</v>
      </c>
      <c r="C62" s="288">
        <v>39</v>
      </c>
      <c r="D62" s="288">
        <f t="shared" si="2"/>
        <v>25</v>
      </c>
      <c r="E62" s="289" t="str">
        <f t="shared" si="3"/>
        <v>Pass</v>
      </c>
      <c r="F62" s="290">
        <v>1340</v>
      </c>
      <c r="G62" s="281" t="s">
        <v>47</v>
      </c>
      <c r="H62" s="282">
        <v>60</v>
      </c>
      <c r="I62" s="279"/>
    </row>
    <row r="63" spans="1:9" x14ac:dyDescent="0.3">
      <c r="A63" s="380">
        <v>43313</v>
      </c>
      <c r="B63" s="288">
        <v>10</v>
      </c>
      <c r="C63" s="288">
        <v>200</v>
      </c>
      <c r="D63" s="288">
        <f t="shared" si="2"/>
        <v>190</v>
      </c>
      <c r="E63" s="289" t="str">
        <f t="shared" si="3"/>
        <v>Fail</v>
      </c>
      <c r="F63" s="290">
        <v>74</v>
      </c>
      <c r="G63" s="281" t="s">
        <v>47</v>
      </c>
      <c r="H63" s="282">
        <v>60</v>
      </c>
      <c r="I63" s="279" t="s">
        <v>52</v>
      </c>
    </row>
    <row r="64" spans="1:9" x14ac:dyDescent="0.3">
      <c r="A64" s="380">
        <v>43314</v>
      </c>
      <c r="B64" s="288">
        <v>8</v>
      </c>
      <c r="C64" s="288">
        <v>24</v>
      </c>
      <c r="D64" s="288">
        <f t="shared" si="2"/>
        <v>16</v>
      </c>
      <c r="E64" s="289" t="str">
        <f t="shared" si="3"/>
        <v>Pass</v>
      </c>
      <c r="F64" s="290">
        <v>74</v>
      </c>
      <c r="G64" s="281" t="s">
        <v>47</v>
      </c>
      <c r="H64" s="282">
        <v>60</v>
      </c>
      <c r="I64" s="279"/>
    </row>
    <row r="65" spans="1:9" x14ac:dyDescent="0.3">
      <c r="A65" s="380">
        <v>43320</v>
      </c>
      <c r="B65" s="279">
        <v>6</v>
      </c>
      <c r="C65" s="279">
        <v>8</v>
      </c>
      <c r="D65" s="279">
        <f t="shared" si="2"/>
        <v>2</v>
      </c>
      <c r="E65" s="280" t="str">
        <f t="shared" si="3"/>
        <v>Pass</v>
      </c>
      <c r="F65" s="282">
        <v>1519</v>
      </c>
      <c r="G65" s="281" t="s">
        <v>47</v>
      </c>
      <c r="H65" s="282">
        <v>60</v>
      </c>
      <c r="I65" s="279"/>
    </row>
    <row r="66" spans="1:9" x14ac:dyDescent="0.3">
      <c r="A66" s="380">
        <v>43321</v>
      </c>
      <c r="B66" s="288">
        <v>16</v>
      </c>
      <c r="C66" s="288">
        <v>964</v>
      </c>
      <c r="D66" s="288">
        <f t="shared" si="2"/>
        <v>948</v>
      </c>
      <c r="E66" s="289" t="str">
        <f t="shared" si="3"/>
        <v>Fail</v>
      </c>
      <c r="F66" s="290">
        <v>1428</v>
      </c>
      <c r="G66" s="281" t="s">
        <v>47</v>
      </c>
      <c r="H66" s="282">
        <v>60</v>
      </c>
      <c r="I66" s="281" t="s">
        <v>53</v>
      </c>
    </row>
    <row r="67" spans="1:9" x14ac:dyDescent="0.3">
      <c r="A67" s="380">
        <v>43321</v>
      </c>
      <c r="B67" s="288">
        <v>8</v>
      </c>
      <c r="C67" s="288">
        <v>19</v>
      </c>
      <c r="D67" s="288">
        <f t="shared" si="2"/>
        <v>11</v>
      </c>
      <c r="E67" s="289" t="str">
        <f t="shared" si="3"/>
        <v>Pass</v>
      </c>
      <c r="F67" s="290">
        <v>1428</v>
      </c>
      <c r="G67" s="281" t="s">
        <v>47</v>
      </c>
      <c r="H67" s="282">
        <v>60</v>
      </c>
      <c r="I67" s="279"/>
    </row>
    <row r="68" spans="1:9" x14ac:dyDescent="0.3">
      <c r="A68" s="380">
        <v>43328</v>
      </c>
      <c r="B68" s="288">
        <v>27</v>
      </c>
      <c r="C68" s="288">
        <v>37</v>
      </c>
      <c r="D68" s="288">
        <f t="shared" si="2"/>
        <v>10</v>
      </c>
      <c r="E68" s="289" t="str">
        <f t="shared" si="3"/>
        <v>Pass</v>
      </c>
      <c r="F68" s="290">
        <v>74</v>
      </c>
      <c r="G68" s="281" t="s">
        <v>47</v>
      </c>
      <c r="H68" s="282">
        <v>60</v>
      </c>
      <c r="I68" s="279"/>
    </row>
    <row r="69" spans="1:9" x14ac:dyDescent="0.3">
      <c r="A69" s="380">
        <v>43336</v>
      </c>
      <c r="B69" s="287">
        <v>11</v>
      </c>
      <c r="C69" s="287">
        <v>82</v>
      </c>
      <c r="D69" s="288">
        <f t="shared" si="2"/>
        <v>71</v>
      </c>
      <c r="E69" s="289" t="str">
        <f t="shared" si="3"/>
        <v>Fail</v>
      </c>
      <c r="F69" s="290">
        <v>1340</v>
      </c>
      <c r="G69" s="281" t="s">
        <v>47</v>
      </c>
      <c r="H69" s="282">
        <v>60</v>
      </c>
      <c r="I69" s="279" t="s">
        <v>54</v>
      </c>
    </row>
    <row r="70" spans="1:9" x14ac:dyDescent="0.3">
      <c r="A70" s="380">
        <v>43336</v>
      </c>
      <c r="B70" s="287">
        <v>14</v>
      </c>
      <c r="C70" s="287">
        <v>124</v>
      </c>
      <c r="D70" s="288">
        <f t="shared" si="2"/>
        <v>110</v>
      </c>
      <c r="E70" s="289" t="str">
        <f t="shared" si="3"/>
        <v>Fail</v>
      </c>
      <c r="F70" s="290">
        <v>1340</v>
      </c>
      <c r="G70" s="281" t="s">
        <v>47</v>
      </c>
      <c r="H70" s="282">
        <v>60</v>
      </c>
      <c r="I70" s="279" t="s">
        <v>55</v>
      </c>
    </row>
    <row r="71" spans="1:9" x14ac:dyDescent="0.3">
      <c r="A71" s="380">
        <v>43336</v>
      </c>
      <c r="B71" s="288">
        <v>19</v>
      </c>
      <c r="C71" s="288">
        <v>157</v>
      </c>
      <c r="D71" s="288">
        <f t="shared" si="2"/>
        <v>138</v>
      </c>
      <c r="E71" s="289" t="str">
        <f t="shared" si="3"/>
        <v>Fail</v>
      </c>
      <c r="F71" s="290">
        <v>1519</v>
      </c>
      <c r="G71" s="281" t="s">
        <v>47</v>
      </c>
      <c r="H71" s="282">
        <v>60</v>
      </c>
      <c r="I71" s="279"/>
    </row>
    <row r="72" spans="1:9" x14ac:dyDescent="0.3">
      <c r="A72" s="380">
        <v>43336</v>
      </c>
      <c r="B72" s="288">
        <v>16</v>
      </c>
      <c r="C72" s="288">
        <v>57</v>
      </c>
      <c r="D72" s="288">
        <f t="shared" si="2"/>
        <v>41</v>
      </c>
      <c r="E72" s="289" t="str">
        <f t="shared" si="3"/>
        <v>Pass</v>
      </c>
      <c r="F72" s="290">
        <v>1159</v>
      </c>
      <c r="G72" s="281" t="s">
        <v>47</v>
      </c>
      <c r="H72" s="282">
        <v>60</v>
      </c>
      <c r="I72" s="279" t="s">
        <v>56</v>
      </c>
    </row>
    <row r="73" spans="1:9" x14ac:dyDescent="0.3">
      <c r="A73" s="380">
        <v>43340</v>
      </c>
      <c r="B73" s="288">
        <v>31</v>
      </c>
      <c r="C73" s="288">
        <v>341</v>
      </c>
      <c r="D73" s="288">
        <f t="shared" si="2"/>
        <v>310</v>
      </c>
      <c r="E73" s="289" t="str">
        <f t="shared" si="3"/>
        <v>Fail</v>
      </c>
      <c r="F73" s="290" t="s">
        <v>57</v>
      </c>
      <c r="G73" s="281" t="s">
        <v>47</v>
      </c>
      <c r="H73" s="282">
        <v>60</v>
      </c>
      <c r="I73" s="279"/>
    </row>
    <row r="74" spans="1:9" x14ac:dyDescent="0.3">
      <c r="A74" s="380">
        <v>43340</v>
      </c>
      <c r="B74" s="288">
        <v>27</v>
      </c>
      <c r="C74" s="288">
        <v>84</v>
      </c>
      <c r="D74" s="288">
        <f t="shared" si="2"/>
        <v>57</v>
      </c>
      <c r="E74" s="289" t="str">
        <f t="shared" si="3"/>
        <v>Pass</v>
      </c>
      <c r="F74" s="290">
        <v>1340</v>
      </c>
      <c r="G74" s="281" t="s">
        <v>47</v>
      </c>
      <c r="H74" s="282">
        <v>60</v>
      </c>
      <c r="I74" s="279" t="s">
        <v>58</v>
      </c>
    </row>
    <row r="75" spans="1:9" x14ac:dyDescent="0.3">
      <c r="A75" s="380">
        <v>43341</v>
      </c>
      <c r="B75" s="288">
        <v>10</v>
      </c>
      <c r="C75" s="288">
        <v>41</v>
      </c>
      <c r="D75" s="288">
        <f t="shared" si="2"/>
        <v>31</v>
      </c>
      <c r="E75" s="289" t="str">
        <f t="shared" si="3"/>
        <v>Pass</v>
      </c>
      <c r="F75" s="290">
        <v>121</v>
      </c>
      <c r="G75" s="281" t="s">
        <v>47</v>
      </c>
      <c r="H75" s="282">
        <v>60</v>
      </c>
      <c r="I75" s="279"/>
    </row>
    <row r="76" spans="1:9" x14ac:dyDescent="0.3">
      <c r="A76" s="380">
        <v>43344</v>
      </c>
      <c r="B76" s="288">
        <v>30</v>
      </c>
      <c r="C76" s="288">
        <v>82</v>
      </c>
      <c r="D76" s="288">
        <f t="shared" si="2"/>
        <v>52</v>
      </c>
      <c r="E76" s="289" t="str">
        <f t="shared" si="3"/>
        <v>Pass</v>
      </c>
      <c r="F76" s="290">
        <v>1428</v>
      </c>
      <c r="G76" s="281" t="s">
        <v>47</v>
      </c>
      <c r="H76" s="282">
        <v>60</v>
      </c>
      <c r="I76" s="279"/>
    </row>
    <row r="77" spans="1:9" x14ac:dyDescent="0.3">
      <c r="A77" s="380">
        <v>43348</v>
      </c>
      <c r="B77" s="288">
        <v>36</v>
      </c>
      <c r="C77" s="288">
        <v>909</v>
      </c>
      <c r="D77" s="288">
        <f t="shared" si="2"/>
        <v>873</v>
      </c>
      <c r="E77" s="289" t="str">
        <f t="shared" si="3"/>
        <v>Fail</v>
      </c>
      <c r="F77" s="290">
        <v>1335</v>
      </c>
      <c r="G77" s="281" t="s">
        <v>47</v>
      </c>
      <c r="H77" s="282">
        <v>60</v>
      </c>
      <c r="I77" s="279" t="s">
        <v>59</v>
      </c>
    </row>
    <row r="78" spans="1:9" x14ac:dyDescent="0.3">
      <c r="A78" s="380">
        <v>43349</v>
      </c>
      <c r="B78" s="288">
        <v>16</v>
      </c>
      <c r="C78" s="288">
        <v>49</v>
      </c>
      <c r="D78" s="288">
        <f t="shared" si="2"/>
        <v>33</v>
      </c>
      <c r="E78" s="289" t="str">
        <f t="shared" si="3"/>
        <v>Pass</v>
      </c>
      <c r="F78" s="290">
        <v>74</v>
      </c>
      <c r="G78" s="281" t="s">
        <v>47</v>
      </c>
      <c r="H78" s="282">
        <v>60</v>
      </c>
      <c r="I78" s="279"/>
    </row>
    <row r="79" spans="1:9" x14ac:dyDescent="0.3">
      <c r="A79" s="380">
        <v>43356</v>
      </c>
      <c r="B79" s="288">
        <v>24</v>
      </c>
      <c r="C79" s="288">
        <v>260</v>
      </c>
      <c r="D79" s="288">
        <f t="shared" si="2"/>
        <v>236</v>
      </c>
      <c r="E79" s="289" t="str">
        <f t="shared" si="3"/>
        <v>Fail</v>
      </c>
      <c r="F79" s="290">
        <v>1159</v>
      </c>
      <c r="G79" s="281" t="s">
        <v>47</v>
      </c>
      <c r="H79" s="282">
        <v>60</v>
      </c>
      <c r="I79" s="279" t="s">
        <v>59</v>
      </c>
    </row>
    <row r="80" spans="1:9" x14ac:dyDescent="0.3">
      <c r="A80" s="380">
        <v>43357</v>
      </c>
      <c r="B80" s="287">
        <v>25</v>
      </c>
      <c r="C80" s="287">
        <v>69</v>
      </c>
      <c r="D80" s="287">
        <f t="shared" si="2"/>
        <v>44</v>
      </c>
      <c r="E80" s="280" t="str">
        <f t="shared" si="3"/>
        <v>Pass</v>
      </c>
      <c r="F80" s="290">
        <v>1159</v>
      </c>
      <c r="G80" s="281" t="s">
        <v>47</v>
      </c>
      <c r="H80" s="282">
        <v>60</v>
      </c>
      <c r="I80" s="279"/>
    </row>
    <row r="81" spans="1:9" x14ac:dyDescent="0.3">
      <c r="A81" s="380">
        <v>43362</v>
      </c>
      <c r="B81" s="287">
        <v>30</v>
      </c>
      <c r="C81" s="287">
        <v>108</v>
      </c>
      <c r="D81" s="287">
        <f t="shared" si="2"/>
        <v>78</v>
      </c>
      <c r="E81" s="280" t="str">
        <f t="shared" si="3"/>
        <v>Fail</v>
      </c>
      <c r="F81" s="290">
        <v>1340</v>
      </c>
      <c r="G81" s="281" t="s">
        <v>47</v>
      </c>
      <c r="H81" s="282">
        <v>60</v>
      </c>
      <c r="I81" s="292" t="s">
        <v>60</v>
      </c>
    </row>
    <row r="82" spans="1:9" x14ac:dyDescent="0.3">
      <c r="A82" s="380">
        <v>43362</v>
      </c>
      <c r="B82" s="287">
        <v>22</v>
      </c>
      <c r="C82" s="287">
        <v>133</v>
      </c>
      <c r="D82" s="287">
        <f t="shared" si="2"/>
        <v>111</v>
      </c>
      <c r="E82" s="280" t="str">
        <f t="shared" si="3"/>
        <v>Fail</v>
      </c>
      <c r="F82" s="290">
        <v>1340</v>
      </c>
      <c r="G82" s="281" t="s">
        <v>47</v>
      </c>
      <c r="H82" s="282">
        <v>60</v>
      </c>
      <c r="I82" s="292" t="s">
        <v>60</v>
      </c>
    </row>
    <row r="83" spans="1:9" x14ac:dyDescent="0.3">
      <c r="A83" s="380">
        <v>43362</v>
      </c>
      <c r="B83" s="287">
        <v>18</v>
      </c>
      <c r="C83" s="287">
        <v>45</v>
      </c>
      <c r="D83" s="287">
        <f t="shared" si="2"/>
        <v>27</v>
      </c>
      <c r="E83" s="280" t="str">
        <f t="shared" si="3"/>
        <v>Pass</v>
      </c>
      <c r="F83" s="290">
        <v>1159</v>
      </c>
      <c r="G83" s="281" t="s">
        <v>47</v>
      </c>
      <c r="H83" s="282">
        <v>60</v>
      </c>
      <c r="I83" s="292" t="s">
        <v>61</v>
      </c>
    </row>
    <row r="84" spans="1:9" x14ac:dyDescent="0.3">
      <c r="A84" s="380">
        <v>43367</v>
      </c>
      <c r="B84" s="287">
        <v>6</v>
      </c>
      <c r="C84" s="287">
        <v>218</v>
      </c>
      <c r="D84" s="287">
        <f t="shared" si="2"/>
        <v>212</v>
      </c>
      <c r="E84" s="280" t="str">
        <f t="shared" si="3"/>
        <v>Fail</v>
      </c>
      <c r="F84" s="290">
        <v>1340</v>
      </c>
      <c r="G84" s="281" t="s">
        <v>47</v>
      </c>
      <c r="H84" s="282">
        <v>60</v>
      </c>
      <c r="I84" s="279"/>
    </row>
    <row r="85" spans="1:9" x14ac:dyDescent="0.3">
      <c r="A85" s="380">
        <v>43370</v>
      </c>
      <c r="B85" s="287">
        <v>16</v>
      </c>
      <c r="C85" s="287">
        <v>20</v>
      </c>
      <c r="D85" s="287">
        <f t="shared" si="2"/>
        <v>4</v>
      </c>
      <c r="E85" s="280" t="str">
        <f t="shared" si="3"/>
        <v>Pass</v>
      </c>
      <c r="F85" s="290">
        <v>1340</v>
      </c>
      <c r="G85" s="281" t="s">
        <v>47</v>
      </c>
      <c r="H85" s="282">
        <v>60</v>
      </c>
      <c r="I85" s="279"/>
    </row>
    <row r="86" spans="1:9" x14ac:dyDescent="0.3">
      <c r="A86" s="380">
        <v>43375</v>
      </c>
      <c r="B86" s="287">
        <v>14</v>
      </c>
      <c r="C86" s="287">
        <v>31</v>
      </c>
      <c r="D86" s="287">
        <f t="shared" si="2"/>
        <v>17</v>
      </c>
      <c r="E86" s="280" t="str">
        <f t="shared" si="3"/>
        <v>Pass</v>
      </c>
      <c r="F86" s="285">
        <v>1534</v>
      </c>
      <c r="G86" s="281" t="s">
        <v>47</v>
      </c>
      <c r="H86" s="282">
        <v>60</v>
      </c>
      <c r="I86" s="279"/>
    </row>
    <row r="87" spans="1:9" x14ac:dyDescent="0.3">
      <c r="A87" s="380">
        <v>43378</v>
      </c>
      <c r="B87" s="287">
        <v>26</v>
      </c>
      <c r="C87" s="287">
        <v>37</v>
      </c>
      <c r="D87" s="287">
        <f t="shared" si="2"/>
        <v>11</v>
      </c>
      <c r="E87" s="280" t="str">
        <f t="shared" si="3"/>
        <v>Pass</v>
      </c>
      <c r="F87" s="285">
        <v>1340</v>
      </c>
      <c r="G87" s="281" t="s">
        <v>47</v>
      </c>
      <c r="H87" s="282">
        <v>60</v>
      </c>
      <c r="I87" s="279"/>
    </row>
    <row r="88" spans="1:9" x14ac:dyDescent="0.3">
      <c r="A88" s="380">
        <v>43382</v>
      </c>
      <c r="B88" s="287">
        <v>19</v>
      </c>
      <c r="C88" s="287">
        <v>43</v>
      </c>
      <c r="D88" s="287">
        <f t="shared" si="2"/>
        <v>24</v>
      </c>
      <c r="E88" s="280" t="str">
        <f t="shared" si="3"/>
        <v>Pass</v>
      </c>
      <c r="F88" s="285">
        <v>1335</v>
      </c>
      <c r="G88" s="281" t="s">
        <v>47</v>
      </c>
      <c r="H88" s="282">
        <v>60</v>
      </c>
      <c r="I88" s="279"/>
    </row>
    <row r="89" spans="1:9" x14ac:dyDescent="0.3">
      <c r="A89" s="380">
        <v>43385</v>
      </c>
      <c r="B89" s="287">
        <v>36</v>
      </c>
      <c r="C89" s="287">
        <v>68</v>
      </c>
      <c r="D89" s="287">
        <f t="shared" si="2"/>
        <v>32</v>
      </c>
      <c r="E89" s="280" t="str">
        <f t="shared" si="3"/>
        <v>Pass</v>
      </c>
      <c r="F89" s="285">
        <v>102</v>
      </c>
      <c r="G89" s="281" t="s">
        <v>47</v>
      </c>
      <c r="H89" s="282">
        <v>60</v>
      </c>
      <c r="I89" s="279"/>
    </row>
    <row r="90" spans="1:9" x14ac:dyDescent="0.3">
      <c r="A90" s="380">
        <v>43388</v>
      </c>
      <c r="B90" s="287">
        <v>13</v>
      </c>
      <c r="C90" s="287">
        <v>82</v>
      </c>
      <c r="D90" s="287">
        <f t="shared" si="2"/>
        <v>69</v>
      </c>
      <c r="E90" s="280" t="str">
        <f t="shared" si="3"/>
        <v>Fail</v>
      </c>
      <c r="F90" s="285">
        <v>1340</v>
      </c>
      <c r="G90" s="281" t="s">
        <v>47</v>
      </c>
      <c r="H90" s="282">
        <v>60</v>
      </c>
      <c r="I90" s="279"/>
    </row>
    <row r="91" spans="1:9" x14ac:dyDescent="0.3">
      <c r="A91" s="380">
        <v>43388</v>
      </c>
      <c r="B91" s="287">
        <v>22</v>
      </c>
      <c r="C91" s="287">
        <v>31</v>
      </c>
      <c r="D91" s="287">
        <f t="shared" si="2"/>
        <v>9</v>
      </c>
      <c r="E91" s="280" t="str">
        <f t="shared" si="3"/>
        <v>Pass</v>
      </c>
      <c r="F91" s="285">
        <v>1340</v>
      </c>
      <c r="G91" s="281" t="s">
        <v>47</v>
      </c>
      <c r="H91" s="282">
        <v>60</v>
      </c>
      <c r="I91" s="279"/>
    </row>
    <row r="92" spans="1:9" x14ac:dyDescent="0.3">
      <c r="A92" s="380">
        <v>43391</v>
      </c>
      <c r="B92" s="279">
        <v>4</v>
      </c>
      <c r="C92" s="279">
        <v>49</v>
      </c>
      <c r="D92" s="279">
        <f t="shared" si="2"/>
        <v>45</v>
      </c>
      <c r="E92" s="280" t="str">
        <f t="shared" si="3"/>
        <v>Pass</v>
      </c>
      <c r="F92" s="286">
        <v>121</v>
      </c>
      <c r="G92" s="281" t="s">
        <v>47</v>
      </c>
      <c r="H92" s="282">
        <v>60</v>
      </c>
      <c r="I92" s="293"/>
    </row>
    <row r="93" spans="1:9" x14ac:dyDescent="0.3">
      <c r="A93" s="380">
        <v>43395</v>
      </c>
      <c r="B93" s="279">
        <v>9</v>
      </c>
      <c r="C93" s="279">
        <v>33</v>
      </c>
      <c r="D93" s="279">
        <f t="shared" si="2"/>
        <v>24</v>
      </c>
      <c r="E93" s="280" t="str">
        <f t="shared" si="3"/>
        <v>Pass</v>
      </c>
      <c r="F93" s="286">
        <v>121</v>
      </c>
      <c r="G93" s="281" t="s">
        <v>47</v>
      </c>
      <c r="H93" s="282">
        <v>60</v>
      </c>
      <c r="I93" s="279"/>
    </row>
    <row r="94" spans="1:9" x14ac:dyDescent="0.3">
      <c r="A94" s="380">
        <v>43398</v>
      </c>
      <c r="B94" s="279">
        <v>36</v>
      </c>
      <c r="C94" s="279">
        <v>165</v>
      </c>
      <c r="D94" s="279">
        <f t="shared" si="2"/>
        <v>129</v>
      </c>
      <c r="E94" s="280" t="str">
        <f t="shared" si="3"/>
        <v>Fail</v>
      </c>
      <c r="F94" s="286">
        <v>121</v>
      </c>
      <c r="G94" s="281" t="s">
        <v>47</v>
      </c>
      <c r="H94" s="282">
        <v>60</v>
      </c>
      <c r="I94" s="279" t="s">
        <v>62</v>
      </c>
    </row>
    <row r="95" spans="1:9" x14ac:dyDescent="0.3">
      <c r="A95" s="380">
        <v>43401</v>
      </c>
      <c r="B95" s="279">
        <v>32</v>
      </c>
      <c r="C95" s="279">
        <v>44</v>
      </c>
      <c r="D95" s="279">
        <f t="shared" si="2"/>
        <v>12</v>
      </c>
      <c r="E95" s="280" t="str">
        <f t="shared" si="3"/>
        <v>Pass</v>
      </c>
      <c r="F95" s="286">
        <v>1340</v>
      </c>
      <c r="G95" s="281" t="s">
        <v>47</v>
      </c>
      <c r="H95" s="282">
        <v>60</v>
      </c>
      <c r="I95" s="279"/>
    </row>
    <row r="96" spans="1:9" x14ac:dyDescent="0.3">
      <c r="A96" s="380">
        <v>43402</v>
      </c>
      <c r="B96" s="279">
        <v>43</v>
      </c>
      <c r="C96" s="279">
        <v>34</v>
      </c>
      <c r="D96" s="279">
        <f t="shared" si="2"/>
        <v>-9</v>
      </c>
      <c r="E96" s="280" t="str">
        <f t="shared" si="3"/>
        <v>Pass</v>
      </c>
      <c r="F96" s="286">
        <v>1428</v>
      </c>
      <c r="G96" s="281" t="s">
        <v>47</v>
      </c>
      <c r="H96" s="282">
        <v>60</v>
      </c>
      <c r="I96" s="279"/>
    </row>
    <row r="97" spans="1:9" x14ac:dyDescent="0.3">
      <c r="A97" s="380">
        <v>43405</v>
      </c>
      <c r="B97" s="279">
        <v>18</v>
      </c>
      <c r="C97" s="279">
        <v>32</v>
      </c>
      <c r="D97" s="279">
        <f t="shared" si="2"/>
        <v>14</v>
      </c>
      <c r="E97" s="280" t="str">
        <f t="shared" si="3"/>
        <v>Pass</v>
      </c>
      <c r="F97" s="286">
        <v>64</v>
      </c>
      <c r="G97" s="281" t="s">
        <v>47</v>
      </c>
      <c r="H97" s="282">
        <v>60</v>
      </c>
      <c r="I97" s="279"/>
    </row>
    <row r="98" spans="1:9" x14ac:dyDescent="0.3">
      <c r="A98" s="380">
        <v>43405</v>
      </c>
      <c r="B98" s="279">
        <v>10</v>
      </c>
      <c r="C98" s="279">
        <v>33</v>
      </c>
      <c r="D98" s="279">
        <f t="shared" si="2"/>
        <v>23</v>
      </c>
      <c r="E98" s="280" t="str">
        <f t="shared" si="3"/>
        <v>Pass</v>
      </c>
      <c r="F98" s="286">
        <v>1335</v>
      </c>
      <c r="G98" s="281" t="s">
        <v>47</v>
      </c>
      <c r="H98" s="282">
        <v>60</v>
      </c>
      <c r="I98" s="279"/>
    </row>
    <row r="99" spans="1:9" x14ac:dyDescent="0.3">
      <c r="A99" s="380">
        <v>43413</v>
      </c>
      <c r="B99" s="279">
        <v>10</v>
      </c>
      <c r="C99" s="279">
        <v>189</v>
      </c>
      <c r="D99" s="279">
        <f t="shared" si="2"/>
        <v>179</v>
      </c>
      <c r="E99" s="280" t="str">
        <f t="shared" si="3"/>
        <v>Fail</v>
      </c>
      <c r="F99" s="286">
        <v>1428</v>
      </c>
      <c r="G99" s="281" t="s">
        <v>47</v>
      </c>
      <c r="H99" s="282">
        <v>60</v>
      </c>
      <c r="I99" s="279"/>
    </row>
    <row r="100" spans="1:9" x14ac:dyDescent="0.3">
      <c r="A100" s="380">
        <v>43415</v>
      </c>
      <c r="B100" s="279">
        <v>13</v>
      </c>
      <c r="C100" s="279">
        <v>40</v>
      </c>
      <c r="D100" s="279">
        <f t="shared" si="2"/>
        <v>27</v>
      </c>
      <c r="E100" s="280" t="str">
        <f t="shared" si="3"/>
        <v>Pass</v>
      </c>
      <c r="F100" s="286">
        <v>1340</v>
      </c>
      <c r="G100" s="281" t="s">
        <v>47</v>
      </c>
      <c r="H100" s="282">
        <v>60</v>
      </c>
      <c r="I100" s="279"/>
    </row>
    <row r="101" spans="1:9" x14ac:dyDescent="0.3">
      <c r="A101" s="380">
        <v>43420</v>
      </c>
      <c r="B101" s="279">
        <v>24</v>
      </c>
      <c r="C101" s="279">
        <v>61</v>
      </c>
      <c r="D101" s="279">
        <f t="shared" si="2"/>
        <v>37</v>
      </c>
      <c r="E101" s="280" t="str">
        <f t="shared" si="3"/>
        <v>Pass</v>
      </c>
      <c r="F101" s="286">
        <v>1428</v>
      </c>
      <c r="G101" s="281" t="s">
        <v>47</v>
      </c>
      <c r="H101" s="282">
        <v>60</v>
      </c>
      <c r="I101" s="279"/>
    </row>
    <row r="102" spans="1:9" x14ac:dyDescent="0.3">
      <c r="A102" s="380">
        <v>43420</v>
      </c>
      <c r="B102" s="279">
        <v>24</v>
      </c>
      <c r="C102" s="279">
        <v>35</v>
      </c>
      <c r="D102" s="279">
        <f t="shared" si="2"/>
        <v>11</v>
      </c>
      <c r="E102" s="280" t="str">
        <f t="shared" si="3"/>
        <v>Pass</v>
      </c>
      <c r="F102" s="286">
        <v>1335</v>
      </c>
      <c r="G102" s="281" t="s">
        <v>47</v>
      </c>
      <c r="H102" s="282">
        <v>60</v>
      </c>
      <c r="I102" s="279"/>
    </row>
    <row r="103" spans="1:9" x14ac:dyDescent="0.3">
      <c r="A103" s="380">
        <v>43438</v>
      </c>
      <c r="B103" s="279">
        <v>27</v>
      </c>
      <c r="C103" s="279">
        <v>40</v>
      </c>
      <c r="D103" s="279">
        <f t="shared" si="2"/>
        <v>13</v>
      </c>
      <c r="E103" s="280" t="str">
        <f t="shared" si="3"/>
        <v>Pass</v>
      </c>
      <c r="F103" s="286">
        <v>1340</v>
      </c>
      <c r="G103" s="281" t="s">
        <v>47</v>
      </c>
      <c r="H103" s="282">
        <v>60</v>
      </c>
      <c r="I103" s="279"/>
    </row>
    <row r="104" spans="1:9" x14ac:dyDescent="0.3">
      <c r="A104" s="380">
        <v>43452</v>
      </c>
      <c r="B104" s="279">
        <v>30</v>
      </c>
      <c r="C104" s="279">
        <v>40</v>
      </c>
      <c r="D104" s="279">
        <f t="shared" si="2"/>
        <v>10</v>
      </c>
      <c r="E104" s="280" t="str">
        <f t="shared" si="3"/>
        <v>Pass</v>
      </c>
      <c r="F104" s="286">
        <v>1340</v>
      </c>
      <c r="G104" s="281" t="s">
        <v>47</v>
      </c>
      <c r="H104" s="282">
        <v>60</v>
      </c>
      <c r="I104" s="279"/>
    </row>
    <row r="105" spans="1:9" x14ac:dyDescent="0.3">
      <c r="A105" s="380">
        <v>43458</v>
      </c>
      <c r="B105" s="279">
        <v>48</v>
      </c>
      <c r="C105" s="279">
        <v>71</v>
      </c>
      <c r="D105" s="279">
        <f t="shared" si="2"/>
        <v>23</v>
      </c>
      <c r="E105" s="280" t="str">
        <f t="shared" si="3"/>
        <v>Pass</v>
      </c>
      <c r="F105" s="286">
        <v>1428</v>
      </c>
      <c r="G105" s="281" t="s">
        <v>47</v>
      </c>
      <c r="H105" s="282">
        <v>60</v>
      </c>
      <c r="I105" s="279"/>
    </row>
    <row r="106" spans="1:9" x14ac:dyDescent="0.3">
      <c r="A106" s="380">
        <v>43462</v>
      </c>
      <c r="B106" s="279">
        <v>26</v>
      </c>
      <c r="C106" s="279">
        <v>48</v>
      </c>
      <c r="D106" s="279">
        <f t="shared" si="2"/>
        <v>22</v>
      </c>
      <c r="E106" s="280" t="str">
        <f t="shared" si="3"/>
        <v>Pass</v>
      </c>
      <c r="F106" s="286">
        <v>1340</v>
      </c>
      <c r="G106" s="281" t="s">
        <v>47</v>
      </c>
      <c r="H106" s="282">
        <v>60</v>
      </c>
      <c r="I106" s="279"/>
    </row>
    <row r="107" spans="1:9" x14ac:dyDescent="0.3">
      <c r="A107" s="380">
        <v>43466</v>
      </c>
      <c r="B107" s="279">
        <v>12</v>
      </c>
      <c r="C107" s="279">
        <v>14</v>
      </c>
      <c r="D107" s="279">
        <f>IF(((C107="")*AND(B107="")),"",(C107-B107))</f>
        <v>2</v>
      </c>
      <c r="E107" s="280" t="str">
        <f>IF(D107="","",IF(D107&lt;60,"Pass","Fail"))</f>
        <v>Pass</v>
      </c>
      <c r="F107" s="286">
        <v>1340</v>
      </c>
      <c r="G107" s="281" t="s">
        <v>47</v>
      </c>
      <c r="H107" s="282">
        <v>60</v>
      </c>
      <c r="I107" s="279"/>
    </row>
    <row r="108" spans="1:9" customFormat="1" ht="16.100000000000001" x14ac:dyDescent="0.35">
      <c r="A108" s="201">
        <v>43476</v>
      </c>
      <c r="B108" s="206">
        <v>21</v>
      </c>
      <c r="C108" s="206">
        <v>255</v>
      </c>
      <c r="D108" s="206">
        <f t="shared" ref="D108:D126" si="4">IF(((C108="")*AND(B108="")),"",(C108-B108))</f>
        <v>234</v>
      </c>
      <c r="E108" s="30" t="str">
        <f t="shared" ref="E108:E136" si="5">IF(D108="","",IF(D108&lt;60,"Pass","Fail"))</f>
        <v>Fail</v>
      </c>
      <c r="F108" s="342">
        <v>121</v>
      </c>
      <c r="G108" s="343" t="s">
        <v>47</v>
      </c>
      <c r="H108" s="207">
        <v>60</v>
      </c>
      <c r="I108" s="206" t="s">
        <v>161</v>
      </c>
    </row>
    <row r="109" spans="1:9" customFormat="1" ht="16.100000000000001" x14ac:dyDescent="0.35">
      <c r="A109" s="201">
        <v>43115</v>
      </c>
      <c r="B109" s="206">
        <v>9</v>
      </c>
      <c r="C109" s="206">
        <v>128</v>
      </c>
      <c r="D109" s="206">
        <f t="shared" si="4"/>
        <v>119</v>
      </c>
      <c r="E109" s="30" t="str">
        <f t="shared" si="5"/>
        <v>Fail</v>
      </c>
      <c r="F109" s="342">
        <v>1340</v>
      </c>
      <c r="G109" s="343" t="s">
        <v>47</v>
      </c>
      <c r="H109" s="207">
        <v>60</v>
      </c>
      <c r="I109" s="206" t="s">
        <v>161</v>
      </c>
    </row>
    <row r="110" spans="1:9" customFormat="1" ht="16.100000000000001" x14ac:dyDescent="0.35">
      <c r="A110" s="201">
        <v>43115</v>
      </c>
      <c r="B110" s="206">
        <v>11</v>
      </c>
      <c r="C110" s="206">
        <v>36</v>
      </c>
      <c r="D110" s="206">
        <f t="shared" si="4"/>
        <v>25</v>
      </c>
      <c r="E110" s="30" t="str">
        <f t="shared" si="5"/>
        <v>Pass</v>
      </c>
      <c r="F110" s="342" t="s">
        <v>162</v>
      </c>
      <c r="G110" s="343" t="s">
        <v>47</v>
      </c>
      <c r="H110" s="207">
        <v>60</v>
      </c>
      <c r="I110" s="206"/>
    </row>
    <row r="111" spans="1:9" customFormat="1" ht="16.100000000000001" x14ac:dyDescent="0.35">
      <c r="A111" s="201">
        <v>43115</v>
      </c>
      <c r="B111" s="206">
        <v>13</v>
      </c>
      <c r="C111" s="206">
        <v>32</v>
      </c>
      <c r="D111" s="206">
        <f t="shared" si="4"/>
        <v>19</v>
      </c>
      <c r="E111" s="30" t="str">
        <f t="shared" si="5"/>
        <v>Pass</v>
      </c>
      <c r="F111" s="342" t="s">
        <v>162</v>
      </c>
      <c r="G111" s="343" t="s">
        <v>47</v>
      </c>
      <c r="H111" s="207">
        <v>60</v>
      </c>
      <c r="I111" s="206"/>
    </row>
    <row r="112" spans="1:9" customFormat="1" ht="16.100000000000001" x14ac:dyDescent="0.35">
      <c r="A112" s="201">
        <v>43487</v>
      </c>
      <c r="B112" s="206">
        <v>10</v>
      </c>
      <c r="C112" s="206">
        <v>51</v>
      </c>
      <c r="D112" s="206">
        <f t="shared" si="4"/>
        <v>41</v>
      </c>
      <c r="E112" s="30" t="str">
        <f t="shared" si="5"/>
        <v>Pass</v>
      </c>
      <c r="F112" s="342">
        <v>1335</v>
      </c>
      <c r="G112" s="343" t="s">
        <v>47</v>
      </c>
      <c r="H112" s="207">
        <v>60</v>
      </c>
      <c r="I112" s="206"/>
    </row>
    <row r="113" spans="1:9" customFormat="1" ht="16.100000000000001" x14ac:dyDescent="0.35">
      <c r="A113" s="201">
        <v>43493</v>
      </c>
      <c r="B113" s="206">
        <v>13</v>
      </c>
      <c r="C113" s="206">
        <v>30</v>
      </c>
      <c r="D113" s="206">
        <f t="shared" si="4"/>
        <v>17</v>
      </c>
      <c r="E113" s="30" t="str">
        <f t="shared" si="5"/>
        <v>Pass</v>
      </c>
      <c r="F113" s="341" t="s">
        <v>98</v>
      </c>
      <c r="G113" s="343" t="s">
        <v>47</v>
      </c>
      <c r="H113" s="207">
        <v>60</v>
      </c>
      <c r="I113" s="206"/>
    </row>
    <row r="114" spans="1:9" customFormat="1" ht="16.100000000000001" x14ac:dyDescent="0.35">
      <c r="A114" s="201">
        <v>43497</v>
      </c>
      <c r="B114" s="206">
        <v>32</v>
      </c>
      <c r="C114" s="206">
        <v>56</v>
      </c>
      <c r="D114" s="206">
        <f t="shared" si="4"/>
        <v>24</v>
      </c>
      <c r="E114" s="30" t="str">
        <f t="shared" si="5"/>
        <v>Pass</v>
      </c>
      <c r="F114" s="215">
        <v>121</v>
      </c>
      <c r="G114" s="206" t="s">
        <v>47</v>
      </c>
      <c r="H114" s="207">
        <v>60</v>
      </c>
      <c r="I114" s="206"/>
    </row>
    <row r="115" spans="1:9" customFormat="1" ht="16.100000000000001" x14ac:dyDescent="0.35">
      <c r="A115" s="201">
        <v>43502</v>
      </c>
      <c r="B115" s="206">
        <v>18</v>
      </c>
      <c r="C115" s="206">
        <v>29</v>
      </c>
      <c r="D115" s="206">
        <f t="shared" si="4"/>
        <v>11</v>
      </c>
      <c r="E115" s="30" t="str">
        <f t="shared" si="5"/>
        <v>Pass</v>
      </c>
      <c r="F115" s="215">
        <v>102</v>
      </c>
      <c r="G115" s="206" t="s">
        <v>47</v>
      </c>
      <c r="H115" s="207">
        <v>60</v>
      </c>
      <c r="I115" s="206"/>
    </row>
    <row r="116" spans="1:9" customFormat="1" ht="16.100000000000001" x14ac:dyDescent="0.35">
      <c r="A116" s="201">
        <v>43510</v>
      </c>
      <c r="B116" s="206">
        <v>20</v>
      </c>
      <c r="C116" s="206">
        <v>82</v>
      </c>
      <c r="D116" s="206">
        <f t="shared" si="4"/>
        <v>62</v>
      </c>
      <c r="E116" s="30" t="str">
        <f t="shared" si="5"/>
        <v>Fail</v>
      </c>
      <c r="F116" s="342" t="s">
        <v>163</v>
      </c>
      <c r="G116" s="206" t="s">
        <v>47</v>
      </c>
      <c r="H116" s="207">
        <v>60</v>
      </c>
      <c r="I116" s="206"/>
    </row>
    <row r="117" spans="1:9" customFormat="1" ht="16.100000000000001" x14ac:dyDescent="0.35">
      <c r="A117" s="201">
        <v>43510</v>
      </c>
      <c r="B117" s="206">
        <v>10</v>
      </c>
      <c r="C117" s="206">
        <v>46</v>
      </c>
      <c r="D117" s="206">
        <f t="shared" si="4"/>
        <v>36</v>
      </c>
      <c r="E117" s="30" t="str">
        <f t="shared" si="5"/>
        <v>Pass</v>
      </c>
      <c r="F117" s="342" t="s">
        <v>163</v>
      </c>
      <c r="G117" s="206" t="s">
        <v>47</v>
      </c>
      <c r="H117" s="207">
        <v>60</v>
      </c>
      <c r="I117" s="206"/>
    </row>
    <row r="118" spans="1:9" customFormat="1" ht="16.100000000000001" x14ac:dyDescent="0.35">
      <c r="A118" s="201">
        <v>43510</v>
      </c>
      <c r="B118" s="206">
        <v>19</v>
      </c>
      <c r="C118" s="206">
        <v>38</v>
      </c>
      <c r="D118" s="215">
        <f t="shared" si="4"/>
        <v>19</v>
      </c>
      <c r="E118" s="30" t="str">
        <f t="shared" si="5"/>
        <v>Pass</v>
      </c>
      <c r="F118" s="342" t="s">
        <v>163</v>
      </c>
      <c r="G118" s="206" t="s">
        <v>47</v>
      </c>
      <c r="H118" s="207">
        <v>60</v>
      </c>
      <c r="I118" s="206"/>
    </row>
    <row r="119" spans="1:9" customFormat="1" ht="16.100000000000001" x14ac:dyDescent="0.35">
      <c r="A119" s="201">
        <v>43514</v>
      </c>
      <c r="B119" s="206">
        <v>17</v>
      </c>
      <c r="C119" s="206">
        <v>54</v>
      </c>
      <c r="D119" s="215">
        <f t="shared" si="4"/>
        <v>37</v>
      </c>
      <c r="E119" s="30" t="str">
        <f t="shared" si="5"/>
        <v>Pass</v>
      </c>
      <c r="F119" s="342">
        <v>1340</v>
      </c>
      <c r="G119" s="206" t="s">
        <v>47</v>
      </c>
      <c r="H119" s="207">
        <v>60</v>
      </c>
      <c r="I119" s="206"/>
    </row>
    <row r="120" spans="1:9" customFormat="1" ht="16.100000000000001" x14ac:dyDescent="0.35">
      <c r="A120" s="222">
        <v>43522</v>
      </c>
      <c r="B120" s="223">
        <v>41</v>
      </c>
      <c r="C120" s="223">
        <v>131</v>
      </c>
      <c r="D120" s="215">
        <f t="shared" si="4"/>
        <v>90</v>
      </c>
      <c r="E120" s="224" t="str">
        <f t="shared" si="5"/>
        <v>Fail</v>
      </c>
      <c r="F120" s="344">
        <v>1340</v>
      </c>
      <c r="G120" s="206" t="s">
        <v>47</v>
      </c>
      <c r="H120" s="207">
        <v>60</v>
      </c>
      <c r="I120" s="206"/>
    </row>
    <row r="121" spans="1:9" customFormat="1" ht="16.100000000000001" x14ac:dyDescent="0.35">
      <c r="A121" s="222">
        <v>43522</v>
      </c>
      <c r="B121" s="223">
        <v>41</v>
      </c>
      <c r="C121" s="223">
        <v>64</v>
      </c>
      <c r="D121" s="215">
        <f t="shared" si="4"/>
        <v>23</v>
      </c>
      <c r="E121" s="224" t="str">
        <f t="shared" si="5"/>
        <v>Pass</v>
      </c>
      <c r="F121" s="344">
        <v>1340</v>
      </c>
      <c r="G121" s="206" t="s">
        <v>47</v>
      </c>
      <c r="H121" s="207">
        <v>60</v>
      </c>
      <c r="I121" s="206"/>
    </row>
    <row r="122" spans="1:9" customFormat="1" ht="16.100000000000001" x14ac:dyDescent="0.35">
      <c r="A122" s="201">
        <v>43522</v>
      </c>
      <c r="B122" s="206">
        <v>37</v>
      </c>
      <c r="C122" s="206">
        <v>63</v>
      </c>
      <c r="D122" s="202">
        <f t="shared" si="4"/>
        <v>26</v>
      </c>
      <c r="E122" s="30" t="str">
        <f t="shared" si="5"/>
        <v>Pass</v>
      </c>
      <c r="F122" s="342" t="s">
        <v>162</v>
      </c>
      <c r="G122" s="206" t="s">
        <v>47</v>
      </c>
      <c r="H122" s="207">
        <v>60</v>
      </c>
      <c r="I122" s="206"/>
    </row>
    <row r="123" spans="1:9" customFormat="1" ht="16.100000000000001" x14ac:dyDescent="0.35">
      <c r="A123" s="201">
        <v>43528</v>
      </c>
      <c r="B123" s="206">
        <v>45</v>
      </c>
      <c r="C123" s="206">
        <v>100</v>
      </c>
      <c r="D123" s="202">
        <f t="shared" si="4"/>
        <v>55</v>
      </c>
      <c r="E123" s="30" t="str">
        <f t="shared" si="5"/>
        <v>Pass</v>
      </c>
      <c r="F123" s="342">
        <v>1159</v>
      </c>
      <c r="G123" s="206" t="s">
        <v>47</v>
      </c>
      <c r="H123" s="207">
        <v>60</v>
      </c>
      <c r="I123" s="206"/>
    </row>
    <row r="124" spans="1:9" customFormat="1" ht="16.100000000000001" x14ac:dyDescent="0.35">
      <c r="A124" s="201">
        <v>43546</v>
      </c>
      <c r="B124" s="206">
        <v>15</v>
      </c>
      <c r="C124" s="206">
        <v>36</v>
      </c>
      <c r="D124" s="202">
        <f t="shared" si="4"/>
        <v>21</v>
      </c>
      <c r="E124" s="30" t="str">
        <f t="shared" si="5"/>
        <v>Pass</v>
      </c>
      <c r="F124" s="342">
        <v>1340</v>
      </c>
      <c r="G124" s="206" t="s">
        <v>47</v>
      </c>
      <c r="H124" s="207">
        <v>60</v>
      </c>
      <c r="I124" s="206"/>
    </row>
    <row r="125" spans="1:9" customFormat="1" ht="16.100000000000001" x14ac:dyDescent="0.35">
      <c r="A125" s="201">
        <v>43549</v>
      </c>
      <c r="B125" s="206">
        <v>16</v>
      </c>
      <c r="C125" s="206">
        <v>53</v>
      </c>
      <c r="D125" s="202">
        <f t="shared" si="4"/>
        <v>37</v>
      </c>
      <c r="E125" s="30" t="str">
        <f t="shared" si="5"/>
        <v>Pass</v>
      </c>
      <c r="F125" s="342">
        <v>1159</v>
      </c>
      <c r="G125" s="206" t="s">
        <v>47</v>
      </c>
      <c r="H125" s="207">
        <v>60</v>
      </c>
      <c r="I125" s="206"/>
    </row>
    <row r="126" spans="1:9" customFormat="1" ht="16.100000000000001" x14ac:dyDescent="0.35">
      <c r="A126" s="201">
        <v>43552</v>
      </c>
      <c r="B126" s="206">
        <v>33</v>
      </c>
      <c r="C126" s="206">
        <v>83</v>
      </c>
      <c r="D126" s="202">
        <f t="shared" si="4"/>
        <v>50</v>
      </c>
      <c r="E126" s="30" t="str">
        <f t="shared" si="5"/>
        <v>Pass</v>
      </c>
      <c r="F126" s="342">
        <v>1159</v>
      </c>
      <c r="G126" s="206" t="s">
        <v>47</v>
      </c>
      <c r="H126" s="207">
        <v>60</v>
      </c>
      <c r="I126" s="206"/>
    </row>
    <row r="127" spans="1:9" customFormat="1" ht="16.100000000000001" x14ac:dyDescent="0.35">
      <c r="A127" s="201">
        <v>43558</v>
      </c>
      <c r="B127" s="206">
        <v>17</v>
      </c>
      <c r="C127" s="206">
        <v>34</v>
      </c>
      <c r="D127" s="202">
        <f>IF(((C127="")*AND(B127="")),"",(C127-B127))</f>
        <v>17</v>
      </c>
      <c r="E127" s="30" t="str">
        <f t="shared" si="5"/>
        <v>Pass</v>
      </c>
      <c r="F127" s="342">
        <v>1340</v>
      </c>
      <c r="G127" s="343" t="s">
        <v>47</v>
      </c>
      <c r="H127" s="207">
        <v>60</v>
      </c>
      <c r="I127" s="206"/>
    </row>
    <row r="128" spans="1:9" customFormat="1" ht="16.100000000000001" x14ac:dyDescent="0.35">
      <c r="A128" s="201">
        <v>43564</v>
      </c>
      <c r="B128" s="206">
        <v>17</v>
      </c>
      <c r="C128" s="206">
        <v>10</v>
      </c>
      <c r="D128" s="202">
        <f>IF(((C128="")*AND(B128="")),"",(C128-B128))</f>
        <v>-7</v>
      </c>
      <c r="E128" s="30" t="str">
        <f t="shared" si="5"/>
        <v>Pass</v>
      </c>
      <c r="F128" s="342">
        <v>1159</v>
      </c>
      <c r="G128" s="343" t="s">
        <v>47</v>
      </c>
      <c r="H128" s="207">
        <v>60</v>
      </c>
      <c r="I128" s="206"/>
    </row>
    <row r="129" spans="1:9" customFormat="1" ht="16.100000000000001" x14ac:dyDescent="0.35">
      <c r="A129" s="201">
        <v>43569</v>
      </c>
      <c r="B129" s="206">
        <v>27</v>
      </c>
      <c r="C129" s="206">
        <v>533</v>
      </c>
      <c r="D129" s="202">
        <f>IF(((C129="")*AND(B129="")),"",(C129-B129))</f>
        <v>506</v>
      </c>
      <c r="E129" s="30" t="str">
        <f t="shared" si="5"/>
        <v>Fail</v>
      </c>
      <c r="F129" s="342">
        <v>102</v>
      </c>
      <c r="G129" s="343" t="s">
        <v>47</v>
      </c>
      <c r="H129" s="207">
        <v>60</v>
      </c>
      <c r="I129" s="206" t="s">
        <v>59</v>
      </c>
    </row>
    <row r="130" spans="1:9" customFormat="1" ht="16.100000000000001" x14ac:dyDescent="0.35">
      <c r="A130" s="201">
        <v>43569</v>
      </c>
      <c r="B130" s="206">
        <v>11</v>
      </c>
      <c r="C130" s="206">
        <v>147</v>
      </c>
      <c r="D130" s="202">
        <f>IF(((C130="")*AND(B130="")),"",(C130-B130))</f>
        <v>136</v>
      </c>
      <c r="E130" s="30" t="str">
        <f t="shared" si="5"/>
        <v>Fail</v>
      </c>
      <c r="F130" s="342">
        <v>102</v>
      </c>
      <c r="G130" s="343" t="s">
        <v>47</v>
      </c>
      <c r="H130" s="207">
        <v>60</v>
      </c>
      <c r="I130" s="345" t="s">
        <v>164</v>
      </c>
    </row>
    <row r="131" spans="1:9" customFormat="1" ht="16.100000000000001" x14ac:dyDescent="0.35">
      <c r="A131" s="201">
        <v>43570</v>
      </c>
      <c r="B131" s="206">
        <v>11</v>
      </c>
      <c r="C131" s="206">
        <v>48</v>
      </c>
      <c r="D131" s="202">
        <f>IF(((C131="")*AND(B131="")),"",(C131-B131))</f>
        <v>37</v>
      </c>
      <c r="E131" s="30" t="str">
        <f t="shared" si="5"/>
        <v>Pass</v>
      </c>
      <c r="F131" s="342">
        <v>1340</v>
      </c>
      <c r="G131" s="343" t="s">
        <v>47</v>
      </c>
      <c r="H131" s="207">
        <v>60</v>
      </c>
      <c r="I131" s="345" t="s">
        <v>165</v>
      </c>
    </row>
    <row r="132" spans="1:9" customFormat="1" ht="16.100000000000001" x14ac:dyDescent="0.35">
      <c r="A132" s="201">
        <v>43577</v>
      </c>
      <c r="B132" s="202">
        <v>31</v>
      </c>
      <c r="C132" s="202">
        <v>37</v>
      </c>
      <c r="D132" s="202">
        <f t="shared" ref="D132:D136" si="6">IF(((C132="")*AND(B132="")),"",(C132-B132))</f>
        <v>6</v>
      </c>
      <c r="E132" s="30" t="str">
        <f t="shared" si="5"/>
        <v>Pass</v>
      </c>
      <c r="F132" s="342">
        <v>1340</v>
      </c>
      <c r="G132" s="343" t="s">
        <v>47</v>
      </c>
      <c r="H132" s="207">
        <v>60</v>
      </c>
      <c r="I132" s="206"/>
    </row>
    <row r="133" spans="1:9" customFormat="1" ht="16.100000000000001" x14ac:dyDescent="0.35">
      <c r="A133" s="201">
        <v>43580</v>
      </c>
      <c r="B133" s="202">
        <v>31</v>
      </c>
      <c r="C133" s="202">
        <v>37</v>
      </c>
      <c r="D133" s="202">
        <f t="shared" si="6"/>
        <v>6</v>
      </c>
      <c r="E133" s="30" t="str">
        <f t="shared" si="5"/>
        <v>Pass</v>
      </c>
      <c r="F133" s="342">
        <v>121</v>
      </c>
      <c r="G133" s="343" t="s">
        <v>47</v>
      </c>
      <c r="H133" s="207">
        <v>60</v>
      </c>
      <c r="I133" s="206"/>
    </row>
    <row r="134" spans="1:9" customFormat="1" ht="16.100000000000001" x14ac:dyDescent="0.35">
      <c r="A134" s="201">
        <v>43585</v>
      </c>
      <c r="B134" s="202">
        <v>14</v>
      </c>
      <c r="C134" s="202">
        <v>31</v>
      </c>
      <c r="D134" s="202">
        <f t="shared" si="6"/>
        <v>17</v>
      </c>
      <c r="E134" s="30" t="str">
        <f t="shared" si="5"/>
        <v>Pass</v>
      </c>
      <c r="F134" s="342">
        <v>1340</v>
      </c>
      <c r="G134" s="343" t="s">
        <v>47</v>
      </c>
      <c r="H134" s="207">
        <v>60</v>
      </c>
      <c r="I134" s="206"/>
    </row>
    <row r="135" spans="1:9" customFormat="1" ht="16.100000000000001" x14ac:dyDescent="0.35">
      <c r="A135" s="201">
        <v>43588</v>
      </c>
      <c r="B135" s="202">
        <v>7</v>
      </c>
      <c r="C135" s="202">
        <v>41</v>
      </c>
      <c r="D135" s="202">
        <f t="shared" si="6"/>
        <v>34</v>
      </c>
      <c r="E135" s="30" t="str">
        <f t="shared" si="5"/>
        <v>Pass</v>
      </c>
      <c r="F135" s="342">
        <v>1340</v>
      </c>
      <c r="G135" s="343" t="s">
        <v>47</v>
      </c>
      <c r="H135" s="207">
        <v>60</v>
      </c>
      <c r="I135" s="206"/>
    </row>
    <row r="136" spans="1:9" customFormat="1" ht="16.100000000000001" x14ac:dyDescent="0.35">
      <c r="A136" s="201">
        <v>43591</v>
      </c>
      <c r="B136" s="202">
        <v>17</v>
      </c>
      <c r="C136" s="202">
        <v>34</v>
      </c>
      <c r="D136" s="202">
        <f t="shared" si="6"/>
        <v>17</v>
      </c>
      <c r="E136" s="30" t="str">
        <f t="shared" si="5"/>
        <v>Pass</v>
      </c>
      <c r="F136" s="342">
        <v>1335</v>
      </c>
      <c r="G136" s="343" t="s">
        <v>47</v>
      </c>
      <c r="H136" s="207">
        <v>60</v>
      </c>
      <c r="I136" s="206"/>
    </row>
  </sheetData>
  <autoFilter ref="A9:I136"/>
  <mergeCells count="2">
    <mergeCell ref="A1:H1"/>
    <mergeCell ref="B8:C8"/>
  </mergeCells>
  <conditionalFormatting sqref="E10:E133">
    <cfRule type="cellIs" dxfId="19" priority="3" stopIfTrue="1" operator="equal">
      <formula>"Pass"</formula>
    </cfRule>
    <cfRule type="cellIs" dxfId="18" priority="4" stopIfTrue="1" operator="equal">
      <formula>"Fail"</formula>
    </cfRule>
  </conditionalFormatting>
  <conditionalFormatting sqref="E108:E136">
    <cfRule type="cellIs" dxfId="17" priority="1" stopIfTrue="1" operator="equal">
      <formula>"Pass"</formula>
    </cfRule>
    <cfRule type="cellIs" dxfId="16"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26"/>
  <sheetViews>
    <sheetView zoomScale="70" zoomScaleNormal="70" workbookViewId="0">
      <pane ySplit="10" topLeftCell="A216" activePane="bottomLeft" state="frozen"/>
      <selection pane="bottomLeft" activeCell="B226" sqref="B226"/>
    </sheetView>
  </sheetViews>
  <sheetFormatPr defaultColWidth="9" defaultRowHeight="14.4" x14ac:dyDescent="0.3"/>
  <cols>
    <col min="1" max="1" width="13.36328125" style="83" customWidth="1"/>
    <col min="2" max="2" width="15.08984375" style="51" customWidth="1"/>
    <col min="3" max="15" width="9" style="51"/>
    <col min="16" max="16" width="10" style="51" customWidth="1"/>
    <col min="17" max="19" width="9" style="51"/>
    <col min="20" max="20" width="11.36328125" style="51" customWidth="1"/>
    <col min="21" max="21" width="11" style="98" customWidth="1"/>
    <col min="22" max="22" width="9" style="51"/>
    <col min="23" max="23" width="9" style="91"/>
    <col min="24" max="24" width="18.90625" style="91" customWidth="1"/>
    <col min="25" max="25" width="28.26953125" style="334" customWidth="1"/>
    <col min="26" max="29" width="9" style="67"/>
    <col min="30" max="31" width="9" style="68"/>
    <col min="32" max="16384" width="9" style="51"/>
  </cols>
  <sheetData>
    <row r="1" spans="1:31" s="41" customFormat="1" x14ac:dyDescent="0.3">
      <c r="A1" s="34" t="s">
        <v>11</v>
      </c>
      <c r="B1" s="35"/>
      <c r="C1" s="35"/>
      <c r="D1" s="35"/>
      <c r="E1" s="35"/>
      <c r="F1" s="35"/>
      <c r="G1" s="35"/>
      <c r="H1" s="35"/>
      <c r="I1" s="35"/>
      <c r="J1" s="35"/>
      <c r="K1" s="35"/>
      <c r="L1" s="35"/>
      <c r="M1" s="35"/>
      <c r="N1" s="35"/>
      <c r="O1" s="35"/>
      <c r="P1" s="36"/>
      <c r="Q1" s="35"/>
      <c r="R1" s="35"/>
      <c r="S1" s="35" t="s">
        <v>64</v>
      </c>
      <c r="T1" s="35"/>
      <c r="U1" s="93"/>
      <c r="V1" s="35"/>
      <c r="W1" s="37"/>
      <c r="X1" s="37"/>
      <c r="Y1" s="124"/>
      <c r="Z1" s="38"/>
      <c r="AA1" s="38"/>
      <c r="AB1" s="38"/>
      <c r="AC1" s="38"/>
      <c r="AD1" s="39"/>
      <c r="AE1" s="40"/>
    </row>
    <row r="2" spans="1:31" x14ac:dyDescent="0.3">
      <c r="A2" s="42" t="s">
        <v>100</v>
      </c>
      <c r="B2" s="43"/>
      <c r="C2" s="44"/>
      <c r="D2" s="45"/>
      <c r="E2" s="45"/>
      <c r="F2" s="43"/>
      <c r="G2" s="43"/>
      <c r="H2" s="43"/>
      <c r="I2" s="43"/>
      <c r="J2" s="46"/>
      <c r="K2" s="44"/>
      <c r="L2" s="44"/>
      <c r="M2" s="44"/>
      <c r="N2" s="44"/>
      <c r="O2" s="44"/>
      <c r="P2" s="266" t="s">
        <v>101</v>
      </c>
      <c r="Q2" s="45"/>
      <c r="R2" s="44"/>
      <c r="S2" s="43"/>
      <c r="T2" s="43"/>
      <c r="U2" s="94"/>
      <c r="V2" s="46"/>
      <c r="W2" s="47"/>
      <c r="X2" s="47"/>
      <c r="Y2" s="125"/>
      <c r="Z2" s="48"/>
      <c r="AA2" s="48"/>
      <c r="AB2" s="48"/>
      <c r="AC2" s="48"/>
      <c r="AD2" s="49"/>
      <c r="AE2" s="50"/>
    </row>
    <row r="3" spans="1:31" x14ac:dyDescent="0.3">
      <c r="A3" s="42" t="s">
        <v>102</v>
      </c>
      <c r="B3" s="43"/>
      <c r="C3" s="46"/>
      <c r="D3" s="46"/>
      <c r="E3" s="46"/>
      <c r="F3" s="46"/>
      <c r="G3" s="46"/>
      <c r="H3" s="46" t="s">
        <v>103</v>
      </c>
      <c r="I3" s="46"/>
      <c r="J3" s="46"/>
      <c r="K3" s="46"/>
      <c r="L3" s="46"/>
      <c r="M3" s="46"/>
      <c r="N3" s="46"/>
      <c r="O3" s="46"/>
      <c r="P3" s="52"/>
      <c r="Q3" s="46"/>
      <c r="R3" s="46"/>
      <c r="S3" s="46"/>
      <c r="T3" s="46"/>
      <c r="U3" s="95"/>
      <c r="V3" s="46"/>
      <c r="W3" s="53"/>
      <c r="X3" s="53"/>
      <c r="Y3" s="126"/>
      <c r="Z3" s="48"/>
      <c r="AA3" s="48"/>
      <c r="AB3" s="48"/>
      <c r="AC3" s="48"/>
      <c r="AD3" s="49"/>
      <c r="AE3" s="50"/>
    </row>
    <row r="4" spans="1:31" x14ac:dyDescent="0.3">
      <c r="A4" s="42" t="s">
        <v>104</v>
      </c>
      <c r="B4" s="43"/>
      <c r="C4" s="45"/>
      <c r="D4" s="45"/>
      <c r="E4" s="45"/>
      <c r="F4" s="46"/>
      <c r="G4" s="46"/>
      <c r="H4" s="46" t="s">
        <v>105</v>
      </c>
      <c r="I4" s="46"/>
      <c r="J4" s="46"/>
      <c r="K4" s="46"/>
      <c r="L4" s="46"/>
      <c r="M4" s="46"/>
      <c r="N4" s="46"/>
      <c r="O4" s="46"/>
      <c r="P4" s="52"/>
      <c r="Q4" s="45"/>
      <c r="R4" s="45"/>
      <c r="S4" s="46"/>
      <c r="T4" s="46"/>
      <c r="U4" s="95"/>
      <c r="V4" s="46"/>
      <c r="W4" s="53"/>
      <c r="X4" s="53"/>
      <c r="Y4" s="126"/>
      <c r="Z4" s="48"/>
      <c r="AA4" s="48"/>
      <c r="AB4" s="48"/>
      <c r="AC4" s="48"/>
      <c r="AD4" s="49"/>
      <c r="AE4" s="50"/>
    </row>
    <row r="5" spans="1:31" x14ac:dyDescent="0.3">
      <c r="A5" s="42" t="s">
        <v>106</v>
      </c>
      <c r="B5" s="43"/>
      <c r="C5" s="45"/>
      <c r="D5" s="46"/>
      <c r="E5" s="45"/>
      <c r="F5" s="46"/>
      <c r="G5" s="46"/>
      <c r="H5" s="46"/>
      <c r="I5" s="46"/>
      <c r="J5" s="46"/>
      <c r="K5" s="46"/>
      <c r="L5" s="46"/>
      <c r="M5" s="46"/>
      <c r="N5" s="46"/>
      <c r="O5" s="46"/>
      <c r="P5" s="52"/>
      <c r="Q5" s="54"/>
      <c r="R5" s="45"/>
      <c r="S5" s="46"/>
      <c r="T5" s="46"/>
      <c r="U5" s="95"/>
      <c r="V5" s="46"/>
      <c r="W5" s="53"/>
      <c r="X5" s="53"/>
      <c r="Y5" s="126"/>
      <c r="Z5" s="48"/>
      <c r="AA5" s="48"/>
      <c r="AB5" s="48"/>
      <c r="AC5" s="48"/>
      <c r="AD5" s="49"/>
      <c r="AE5" s="50"/>
    </row>
    <row r="6" spans="1:31" x14ac:dyDescent="0.3">
      <c r="A6" s="42" t="s">
        <v>107</v>
      </c>
      <c r="B6" s="43"/>
      <c r="C6" s="45"/>
      <c r="D6" s="45"/>
      <c r="E6" s="45"/>
      <c r="F6" s="46"/>
      <c r="G6" s="46"/>
      <c r="H6" s="46"/>
      <c r="I6" s="46"/>
      <c r="J6" s="46"/>
      <c r="K6" s="46"/>
      <c r="L6" s="46"/>
      <c r="M6" s="46"/>
      <c r="N6" s="46"/>
      <c r="O6" s="46"/>
      <c r="P6" s="52"/>
      <c r="Q6" s="45"/>
      <c r="R6" s="45"/>
      <c r="S6" s="46"/>
      <c r="T6" s="55"/>
      <c r="U6" s="96"/>
      <c r="V6" s="55"/>
      <c r="W6" s="56"/>
      <c r="X6" s="56"/>
      <c r="Y6" s="127"/>
      <c r="Z6" s="48"/>
      <c r="AA6" s="48"/>
      <c r="AB6" s="48"/>
      <c r="AC6" s="48"/>
      <c r="AD6" s="49"/>
      <c r="AE6" s="50"/>
    </row>
    <row r="7" spans="1:31" x14ac:dyDescent="0.3">
      <c r="A7" s="57" t="s">
        <v>65</v>
      </c>
      <c r="B7" s="46"/>
      <c r="C7" s="45"/>
      <c r="D7" s="45"/>
      <c r="E7" s="45"/>
      <c r="F7" s="46"/>
      <c r="G7" s="46"/>
      <c r="H7" s="46"/>
      <c r="I7" s="46"/>
      <c r="J7" s="46"/>
      <c r="K7" s="46"/>
      <c r="L7" s="46"/>
      <c r="M7" s="46"/>
      <c r="N7" s="46"/>
      <c r="O7" s="46"/>
      <c r="P7" s="52"/>
      <c r="Q7" s="45"/>
      <c r="R7" s="45"/>
      <c r="S7" s="46"/>
      <c r="T7" s="46"/>
      <c r="U7" s="95"/>
      <c r="V7" s="46"/>
      <c r="W7" s="53"/>
      <c r="X7" s="53"/>
      <c r="Y7" s="126"/>
      <c r="Z7" s="48"/>
      <c r="AA7" s="48"/>
      <c r="AB7" s="48"/>
      <c r="AC7" s="48"/>
      <c r="AD7" s="49"/>
      <c r="AE7" s="50"/>
    </row>
    <row r="8" spans="1:31" x14ac:dyDescent="0.3">
      <c r="A8" s="58"/>
      <c r="B8" s="59"/>
      <c r="C8" s="59"/>
      <c r="D8" s="60"/>
      <c r="E8" s="60"/>
      <c r="F8" s="60"/>
      <c r="G8" s="60"/>
      <c r="H8" s="60"/>
      <c r="I8" s="60"/>
      <c r="J8" s="60"/>
      <c r="K8" s="60"/>
      <c r="L8" s="60"/>
      <c r="M8" s="60"/>
      <c r="N8" s="60"/>
      <c r="O8" s="60"/>
      <c r="P8" s="60"/>
      <c r="Q8" s="60"/>
      <c r="R8" s="60"/>
      <c r="S8" s="59"/>
      <c r="T8" s="59"/>
      <c r="U8" s="97"/>
      <c r="V8" s="59"/>
      <c r="W8" s="61"/>
      <c r="X8" s="61"/>
      <c r="Y8" s="128"/>
      <c r="Z8" s="62"/>
      <c r="AA8" s="62"/>
      <c r="AB8" s="62"/>
      <c r="AC8" s="62"/>
      <c r="AD8" s="63"/>
      <c r="AE8" s="64"/>
    </row>
    <row r="9" spans="1:31" ht="14.95" thickBot="1" x14ac:dyDescent="0.35">
      <c r="A9" s="104"/>
      <c r="B9" s="105"/>
      <c r="C9" s="105"/>
      <c r="D9" s="376" t="s">
        <v>170</v>
      </c>
      <c r="E9" s="377"/>
      <c r="F9" s="377"/>
      <c r="G9" s="377"/>
      <c r="H9" s="377"/>
      <c r="I9" s="377"/>
      <c r="J9" s="377"/>
      <c r="K9" s="377"/>
      <c r="L9" s="377"/>
      <c r="M9" s="377"/>
      <c r="N9" s="377"/>
      <c r="O9" s="377"/>
      <c r="P9" s="377"/>
      <c r="W9" s="106"/>
      <c r="X9" s="346"/>
      <c r="Y9" s="333"/>
      <c r="Z9" s="107"/>
      <c r="AA9" s="107"/>
      <c r="AB9" s="107"/>
      <c r="AC9" s="107"/>
      <c r="AD9" s="108"/>
      <c r="AE9" s="108"/>
    </row>
    <row r="10" spans="1:31" s="102" customFormat="1" ht="57.75" customHeight="1" thickBot="1" x14ac:dyDescent="0.4">
      <c r="A10" s="325" t="s">
        <v>160</v>
      </c>
      <c r="B10" s="117" t="s">
        <v>74</v>
      </c>
      <c r="C10" s="117" t="s">
        <v>75</v>
      </c>
      <c r="D10" s="117">
        <v>1</v>
      </c>
      <c r="E10" s="117">
        <v>2</v>
      </c>
      <c r="F10" s="117">
        <v>3</v>
      </c>
      <c r="G10" s="117">
        <v>4</v>
      </c>
      <c r="H10" s="117">
        <v>5</v>
      </c>
      <c r="I10" s="117">
        <v>6</v>
      </c>
      <c r="J10" s="117">
        <v>7</v>
      </c>
      <c r="K10" s="117">
        <v>8</v>
      </c>
      <c r="L10" s="117">
        <v>9</v>
      </c>
      <c r="M10" s="117">
        <v>10</v>
      </c>
      <c r="N10" s="117">
        <v>11</v>
      </c>
      <c r="O10" s="117">
        <v>12</v>
      </c>
      <c r="P10" s="117">
        <v>13</v>
      </c>
      <c r="Q10" s="118" t="s">
        <v>66</v>
      </c>
      <c r="R10" s="118" t="s">
        <v>67</v>
      </c>
      <c r="S10" s="117" t="s">
        <v>159</v>
      </c>
      <c r="T10" s="117" t="s">
        <v>69</v>
      </c>
      <c r="U10" s="119" t="s">
        <v>166</v>
      </c>
      <c r="V10" s="120" t="s">
        <v>29</v>
      </c>
      <c r="W10" s="117" t="s">
        <v>41</v>
      </c>
      <c r="X10" s="121" t="s">
        <v>167</v>
      </c>
      <c r="Y10" s="121" t="s">
        <v>31</v>
      </c>
      <c r="Z10" s="122" t="s">
        <v>73</v>
      </c>
      <c r="AA10" s="122" t="s">
        <v>43</v>
      </c>
      <c r="AB10" s="122" t="s">
        <v>71</v>
      </c>
      <c r="AC10" s="122" t="s">
        <v>72</v>
      </c>
      <c r="AD10" s="122" t="s">
        <v>110</v>
      </c>
      <c r="AE10" s="123" t="s">
        <v>111</v>
      </c>
    </row>
    <row r="11" spans="1:31" x14ac:dyDescent="0.3">
      <c r="A11" s="109">
        <v>43101</v>
      </c>
      <c r="B11" s="110" t="s">
        <v>76</v>
      </c>
      <c r="C11" s="111" t="s">
        <v>77</v>
      </c>
      <c r="D11" s="51">
        <v>2822.84</v>
      </c>
      <c r="E11" s="51">
        <v>2780.5</v>
      </c>
      <c r="F11" s="51">
        <v>2761.36</v>
      </c>
      <c r="G11" s="51">
        <v>2758.42</v>
      </c>
      <c r="H11" s="51">
        <v>2776.34</v>
      </c>
      <c r="I11" s="51">
        <v>2813.45</v>
      </c>
      <c r="J11" s="51">
        <v>2872.74</v>
      </c>
      <c r="K11" s="51">
        <v>2860.82</v>
      </c>
      <c r="L11" s="51">
        <v>2801.99</v>
      </c>
      <c r="M11" s="51">
        <v>2770.95</v>
      </c>
      <c r="N11" s="51">
        <v>2764.03</v>
      </c>
      <c r="O11" s="51">
        <v>2782.8</v>
      </c>
      <c r="P11" s="51">
        <v>2826.68</v>
      </c>
      <c r="Q11" s="111">
        <f>IF((P12=""),"",MAX(D13:P13))</f>
        <v>1895.2999999999997</v>
      </c>
      <c r="R11" s="111">
        <f>IF(P12="","",MIN(D13:P13))</f>
        <v>1802.4</v>
      </c>
      <c r="S11" s="111">
        <f>IF((P13=""),"",AVERAGE(D13:P13))</f>
        <v>1860.4461538461537</v>
      </c>
      <c r="T11" s="111">
        <f>IF((P12=""),"",STDEV(D13:P13))</f>
        <v>26.213469037392969</v>
      </c>
      <c r="U11" s="112">
        <f>IF((P12=""),"",((Q11-R11)/(Q11+R11))*100)</f>
        <v>2.5123725559131254</v>
      </c>
      <c r="V11" s="113" t="str">
        <f>IF(P12="","",IF(U11&lt;7.2,IF(S11&gt;1700,IF(S11&lt;1950,"Pass","Fail"),"Fail"),"Fail"))</f>
        <v>Pass</v>
      </c>
      <c r="W11" s="114">
        <v>1428</v>
      </c>
      <c r="X11" s="347"/>
      <c r="Z11" s="115">
        <v>1600</v>
      </c>
      <c r="AA11" s="115">
        <v>2600</v>
      </c>
      <c r="AB11" s="116">
        <v>1700</v>
      </c>
      <c r="AC11" s="116">
        <v>1950</v>
      </c>
      <c r="AD11" s="65">
        <v>10</v>
      </c>
      <c r="AE11" s="65">
        <v>7.2</v>
      </c>
    </row>
    <row r="12" spans="1:31" ht="16.100000000000001" x14ac:dyDescent="0.35">
      <c r="A12"/>
      <c r="B12" s="66"/>
      <c r="C12" s="66" t="s">
        <v>78</v>
      </c>
      <c r="D12" s="51">
        <v>1921.64</v>
      </c>
      <c r="E12" s="51">
        <v>1859.68</v>
      </c>
      <c r="F12" s="51">
        <v>1828.84</v>
      </c>
      <c r="G12" s="51">
        <v>1823.59</v>
      </c>
      <c r="H12" s="51">
        <v>1832.17</v>
      </c>
      <c r="I12" s="51">
        <v>1865.8</v>
      </c>
      <c r="J12" s="51">
        <v>1931.49</v>
      </c>
      <c r="K12" s="51">
        <v>1939.64</v>
      </c>
      <c r="L12" s="51">
        <v>1868.3</v>
      </c>
      <c r="M12" s="51">
        <v>1837.07</v>
      </c>
      <c r="N12" s="51">
        <v>1824.84</v>
      </c>
      <c r="O12" s="51">
        <v>1853.29</v>
      </c>
      <c r="P12" s="51">
        <v>1913.67</v>
      </c>
      <c r="Q12" s="66"/>
      <c r="R12" s="66"/>
      <c r="S12" s="66"/>
      <c r="T12" s="66"/>
      <c r="U12" s="100"/>
      <c r="V12" s="77"/>
      <c r="W12" s="78"/>
      <c r="X12" s="347"/>
      <c r="Z12" s="75"/>
      <c r="AA12" s="75"/>
      <c r="AB12" s="76"/>
      <c r="AC12" s="76"/>
      <c r="AD12" s="69"/>
      <c r="AE12" s="69"/>
    </row>
    <row r="13" spans="1:31" ht="58.15" thickBot="1" x14ac:dyDescent="0.4">
      <c r="A13"/>
      <c r="B13" s="79"/>
      <c r="C13" s="79" t="s">
        <v>79</v>
      </c>
      <c r="D13" s="80">
        <f t="shared" ref="D13:P13" si="0">IF(((D11="")*AND(D12="")),"",(D11-D12)*2)</f>
        <v>1802.4</v>
      </c>
      <c r="E13" s="80">
        <f t="shared" si="0"/>
        <v>1841.6399999999999</v>
      </c>
      <c r="F13" s="80">
        <f t="shared" si="0"/>
        <v>1865.0400000000004</v>
      </c>
      <c r="G13" s="80">
        <f t="shared" si="0"/>
        <v>1869.6600000000003</v>
      </c>
      <c r="H13" s="80">
        <f t="shared" si="0"/>
        <v>1888.3400000000001</v>
      </c>
      <c r="I13" s="80">
        <f t="shared" si="0"/>
        <v>1895.2999999999997</v>
      </c>
      <c r="J13" s="80">
        <f t="shared" si="0"/>
        <v>1882.4999999999995</v>
      </c>
      <c r="K13" s="80">
        <f t="shared" si="0"/>
        <v>1842.3600000000001</v>
      </c>
      <c r="L13" s="80">
        <f t="shared" si="0"/>
        <v>1867.3799999999997</v>
      </c>
      <c r="M13" s="80">
        <f t="shared" si="0"/>
        <v>1867.7599999999998</v>
      </c>
      <c r="N13" s="80">
        <f t="shared" si="0"/>
        <v>1878.3800000000006</v>
      </c>
      <c r="O13" s="80">
        <f t="shared" si="0"/>
        <v>1859.0200000000004</v>
      </c>
      <c r="P13" s="80">
        <f t="shared" si="0"/>
        <v>1826.0199999999995</v>
      </c>
      <c r="Q13" s="79"/>
      <c r="R13" s="79"/>
      <c r="S13" s="79"/>
      <c r="T13" s="79"/>
      <c r="U13" s="101"/>
      <c r="V13" s="81"/>
      <c r="W13" s="82"/>
      <c r="X13" s="347"/>
      <c r="Z13" s="75"/>
      <c r="AA13" s="75"/>
      <c r="AB13" s="76"/>
      <c r="AC13" s="76"/>
      <c r="AD13" s="69"/>
      <c r="AE13" s="69"/>
    </row>
    <row r="14" spans="1:31" x14ac:dyDescent="0.3">
      <c r="A14" s="70">
        <v>43104</v>
      </c>
      <c r="B14" s="71" t="s">
        <v>76</v>
      </c>
      <c r="C14" s="72" t="s">
        <v>77</v>
      </c>
      <c r="D14" s="51">
        <v>2833</v>
      </c>
      <c r="E14" s="51">
        <v>2784.78</v>
      </c>
      <c r="F14" s="51">
        <v>2762.7</v>
      </c>
      <c r="G14" s="51">
        <v>2761.56</v>
      </c>
      <c r="H14" s="51">
        <v>2778.61</v>
      </c>
      <c r="I14" s="51">
        <v>2818.1</v>
      </c>
      <c r="J14" s="51">
        <v>2881.89</v>
      </c>
      <c r="K14" s="51">
        <v>2856.42</v>
      </c>
      <c r="L14" s="51">
        <v>2805.39</v>
      </c>
      <c r="M14" s="51">
        <v>2773.16</v>
      </c>
      <c r="N14" s="51">
        <v>2767.18</v>
      </c>
      <c r="O14" s="51">
        <v>2789.59</v>
      </c>
      <c r="P14" s="51">
        <v>2836.14</v>
      </c>
      <c r="Q14" s="72">
        <f>IF((P15=""),"",MAX(D16:P16))</f>
        <v>1829.7199999999998</v>
      </c>
      <c r="R14" s="72">
        <f>IF(P15="","",MIN(D16:P16))</f>
        <v>1706.56</v>
      </c>
      <c r="S14" s="72">
        <f>IF((P16=""),"",AVERAGE(D16:P16))</f>
        <v>1778.783076923077</v>
      </c>
      <c r="T14" s="72">
        <f>IF((P15=""),"",STDEV(D16:P16))</f>
        <v>34.429273248360197</v>
      </c>
      <c r="U14" s="99">
        <f>IF((P15=""),"",((Q14-R14)/(Q14+R14))*100)</f>
        <v>3.4827558903706679</v>
      </c>
      <c r="V14" s="73" t="str">
        <f>IF(P15="","",IF(U14&lt;7.2,IF(S14&gt;1700,IF(S14&lt;1950,"Pass","Fail"),"Fail"),"Fail"))</f>
        <v>Pass</v>
      </c>
      <c r="W14" s="74">
        <v>1335</v>
      </c>
      <c r="X14" s="335" t="s">
        <v>80</v>
      </c>
      <c r="Z14" s="75">
        <v>1600</v>
      </c>
      <c r="AA14" s="75">
        <v>2600</v>
      </c>
      <c r="AB14" s="76">
        <v>1700</v>
      </c>
      <c r="AC14" s="76">
        <v>1950</v>
      </c>
      <c r="AD14" s="69">
        <v>10</v>
      </c>
      <c r="AE14" s="69">
        <v>7.2</v>
      </c>
    </row>
    <row r="15" spans="1:31" ht="16.100000000000001" x14ac:dyDescent="0.35">
      <c r="A15"/>
      <c r="B15" s="66"/>
      <c r="C15" s="66" t="s">
        <v>78</v>
      </c>
      <c r="D15" s="51">
        <v>1979.72</v>
      </c>
      <c r="E15" s="51">
        <v>1912.19</v>
      </c>
      <c r="F15" s="51">
        <v>1880.58</v>
      </c>
      <c r="G15" s="51">
        <v>1868.89</v>
      </c>
      <c r="H15" s="51">
        <v>1874.39</v>
      </c>
      <c r="I15" s="51">
        <v>1904.14</v>
      </c>
      <c r="J15" s="51">
        <v>1967.03</v>
      </c>
      <c r="K15" s="51">
        <v>1972.98</v>
      </c>
      <c r="L15" s="51">
        <v>1910.47</v>
      </c>
      <c r="M15" s="51">
        <v>1880.91</v>
      </c>
      <c r="N15" s="51">
        <v>1872.3</v>
      </c>
      <c r="O15" s="51">
        <v>1898.05</v>
      </c>
      <c r="P15" s="51">
        <v>1964.78</v>
      </c>
      <c r="Q15" s="66"/>
      <c r="R15" s="66"/>
      <c r="S15" s="66"/>
      <c r="T15" s="66"/>
      <c r="U15" s="100"/>
      <c r="V15" s="77"/>
      <c r="W15" s="78"/>
      <c r="X15" s="347"/>
      <c r="Z15" s="75"/>
      <c r="AA15" s="75"/>
      <c r="AB15" s="76"/>
      <c r="AC15" s="76"/>
      <c r="AD15" s="69"/>
      <c r="AE15" s="69"/>
    </row>
    <row r="16" spans="1:31" ht="58.15" thickBot="1" x14ac:dyDescent="0.4">
      <c r="A16"/>
      <c r="B16" s="79"/>
      <c r="C16" s="79" t="s">
        <v>79</v>
      </c>
      <c r="D16" s="80">
        <f t="shared" ref="D16:P16" si="1">IF(((D14="")*AND(D15="")),"",(D14-D15)*2)</f>
        <v>1706.56</v>
      </c>
      <c r="E16" s="80">
        <f t="shared" si="1"/>
        <v>1745.1800000000003</v>
      </c>
      <c r="F16" s="80">
        <f t="shared" si="1"/>
        <v>1764.2399999999998</v>
      </c>
      <c r="G16" s="80">
        <f t="shared" si="1"/>
        <v>1785.3399999999997</v>
      </c>
      <c r="H16" s="80">
        <f t="shared" si="1"/>
        <v>1808.44</v>
      </c>
      <c r="I16" s="80">
        <f t="shared" si="1"/>
        <v>1827.9199999999996</v>
      </c>
      <c r="J16" s="80">
        <f t="shared" si="1"/>
        <v>1829.7199999999998</v>
      </c>
      <c r="K16" s="80">
        <f t="shared" si="1"/>
        <v>1766.88</v>
      </c>
      <c r="L16" s="80">
        <f t="shared" si="1"/>
        <v>1789.8399999999997</v>
      </c>
      <c r="M16" s="80">
        <f t="shared" si="1"/>
        <v>1784.4999999999995</v>
      </c>
      <c r="N16" s="80">
        <f t="shared" si="1"/>
        <v>1789.7599999999998</v>
      </c>
      <c r="O16" s="80">
        <f t="shared" si="1"/>
        <v>1783.0800000000004</v>
      </c>
      <c r="P16" s="80">
        <f t="shared" si="1"/>
        <v>1742.7199999999998</v>
      </c>
      <c r="Q16" s="79"/>
      <c r="R16" s="79"/>
      <c r="S16" s="79"/>
      <c r="T16" s="79"/>
      <c r="U16" s="101"/>
      <c r="V16" s="81"/>
      <c r="W16" s="82"/>
      <c r="X16" s="347"/>
      <c r="Z16" s="75"/>
      <c r="AA16" s="75"/>
      <c r="AB16" s="76"/>
      <c r="AC16" s="76"/>
      <c r="AD16" s="69"/>
      <c r="AE16" s="69"/>
    </row>
    <row r="17" spans="1:31" x14ac:dyDescent="0.3">
      <c r="A17" s="70">
        <v>43112</v>
      </c>
      <c r="B17" s="71" t="s">
        <v>76</v>
      </c>
      <c r="C17" s="72" t="s">
        <v>77</v>
      </c>
      <c r="D17" s="51">
        <v>2799.32</v>
      </c>
      <c r="E17" s="51">
        <v>2747.9</v>
      </c>
      <c r="F17" s="51">
        <v>2725.06</v>
      </c>
      <c r="G17" s="51">
        <v>2716.83</v>
      </c>
      <c r="H17" s="51">
        <v>2727.11</v>
      </c>
      <c r="I17" s="51">
        <v>2758.94</v>
      </c>
      <c r="J17" s="51">
        <v>2816.53</v>
      </c>
      <c r="K17" s="51">
        <v>2800.2</v>
      </c>
      <c r="L17" s="51">
        <v>2742.48</v>
      </c>
      <c r="M17" s="51">
        <v>2721.14</v>
      </c>
      <c r="N17" s="51">
        <v>2735.88</v>
      </c>
      <c r="O17" s="51">
        <v>2779.74</v>
      </c>
      <c r="P17" s="51">
        <v>2848.34</v>
      </c>
      <c r="Q17" s="72">
        <f>IF((P18=""),"",MAX(D19:P19))</f>
        <v>1893.7000000000003</v>
      </c>
      <c r="R17" s="72">
        <f>IF(P18="","",MIN(D19:P19))</f>
        <v>1749.1000000000004</v>
      </c>
      <c r="S17" s="72">
        <f>IF((P19=""),"",AVERAGE(D19:P19))</f>
        <v>1837.4769230769232</v>
      </c>
      <c r="T17" s="72">
        <f>IF((P18=""),"",STDEV(D19:P19))</f>
        <v>39.828109710064325</v>
      </c>
      <c r="U17" s="99">
        <f>IF((P18=""),"",((Q17-R17)/(Q17+R17))*100)</f>
        <v>3.9694740309651886</v>
      </c>
      <c r="V17" s="73" t="str">
        <f>IF(P18="","",IF(U17&lt;7.2,IF(S17&gt;1700,IF(S17&lt;1950,"Pass","Fail"),"Fail"),"Fail"))</f>
        <v>Pass</v>
      </c>
      <c r="W17" s="74" t="s">
        <v>48</v>
      </c>
      <c r="X17" s="334" t="s">
        <v>81</v>
      </c>
      <c r="Z17" s="75">
        <v>1600</v>
      </c>
      <c r="AA17" s="75">
        <v>2600</v>
      </c>
      <c r="AB17" s="76">
        <v>1700</v>
      </c>
      <c r="AC17" s="76">
        <v>1950</v>
      </c>
      <c r="AD17" s="69">
        <v>10</v>
      </c>
      <c r="AE17" s="69">
        <v>7.2</v>
      </c>
    </row>
    <row r="18" spans="1:31" ht="16.100000000000001" x14ac:dyDescent="0.35">
      <c r="A18"/>
      <c r="B18" s="66"/>
      <c r="C18" s="66" t="s">
        <v>78</v>
      </c>
      <c r="D18" s="51">
        <v>1924.77</v>
      </c>
      <c r="E18" s="51">
        <v>1849.15</v>
      </c>
      <c r="F18" s="51">
        <v>1810.35</v>
      </c>
      <c r="G18" s="51">
        <v>1793.22</v>
      </c>
      <c r="H18" s="51">
        <v>1791.17</v>
      </c>
      <c r="I18" s="51">
        <v>1812.68</v>
      </c>
      <c r="J18" s="51">
        <v>1869.68</v>
      </c>
      <c r="K18" s="51">
        <v>1892.45</v>
      </c>
      <c r="L18" s="51">
        <v>1820.87</v>
      </c>
      <c r="M18" s="51">
        <v>1796.85</v>
      </c>
      <c r="N18" s="51">
        <v>1809.32</v>
      </c>
      <c r="O18" s="51">
        <v>1858.55</v>
      </c>
      <c r="P18" s="51">
        <v>1946.81</v>
      </c>
      <c r="Q18" s="66"/>
      <c r="R18" s="66"/>
      <c r="S18" s="66"/>
      <c r="T18" s="66"/>
      <c r="U18" s="100"/>
      <c r="V18" s="77"/>
      <c r="W18" s="78"/>
      <c r="X18" s="347"/>
      <c r="Z18" s="75"/>
      <c r="AA18" s="75"/>
      <c r="AB18" s="76"/>
      <c r="AC18" s="76"/>
      <c r="AD18" s="69"/>
      <c r="AE18" s="69"/>
    </row>
    <row r="19" spans="1:31" ht="58.15" thickBot="1" x14ac:dyDescent="0.4">
      <c r="A19"/>
      <c r="B19" s="79"/>
      <c r="C19" s="79" t="s">
        <v>79</v>
      </c>
      <c r="D19" s="80">
        <f t="shared" ref="D19:P19" si="2">IF(((D17="")*AND(D18="")),"",(D17-D18)*2)</f>
        <v>1749.1000000000004</v>
      </c>
      <c r="E19" s="80">
        <f t="shared" si="2"/>
        <v>1797.5</v>
      </c>
      <c r="F19" s="80">
        <f t="shared" si="2"/>
        <v>1829.42</v>
      </c>
      <c r="G19" s="80">
        <f t="shared" si="2"/>
        <v>1847.2199999999998</v>
      </c>
      <c r="H19" s="80">
        <f t="shared" si="2"/>
        <v>1871.88</v>
      </c>
      <c r="I19" s="80">
        <f t="shared" si="2"/>
        <v>1892.52</v>
      </c>
      <c r="J19" s="80">
        <f t="shared" si="2"/>
        <v>1893.7000000000003</v>
      </c>
      <c r="K19" s="80">
        <f t="shared" si="2"/>
        <v>1815.4999999999995</v>
      </c>
      <c r="L19" s="80">
        <f t="shared" si="2"/>
        <v>1843.2200000000003</v>
      </c>
      <c r="M19" s="80">
        <f t="shared" si="2"/>
        <v>1848.58</v>
      </c>
      <c r="N19" s="80">
        <f t="shared" si="2"/>
        <v>1853.1200000000003</v>
      </c>
      <c r="O19" s="80">
        <f t="shared" si="2"/>
        <v>1842.3799999999997</v>
      </c>
      <c r="P19" s="80">
        <f t="shared" si="2"/>
        <v>1803.0600000000004</v>
      </c>
      <c r="Q19" s="79"/>
      <c r="R19" s="79"/>
      <c r="S19" s="79"/>
      <c r="T19" s="79"/>
      <c r="U19" s="101"/>
      <c r="V19" s="81"/>
      <c r="W19" s="82"/>
      <c r="X19" s="347"/>
      <c r="Z19" s="75"/>
      <c r="AA19" s="75"/>
      <c r="AB19" s="76"/>
      <c r="AC19" s="76"/>
      <c r="AD19" s="69"/>
      <c r="AE19" s="69"/>
    </row>
    <row r="20" spans="1:31" x14ac:dyDescent="0.3">
      <c r="A20" s="70">
        <v>43116</v>
      </c>
      <c r="B20" s="71" t="s">
        <v>76</v>
      </c>
      <c r="C20" s="72" t="s">
        <v>77</v>
      </c>
      <c r="D20" s="51">
        <v>2806.57</v>
      </c>
      <c r="E20" s="51">
        <v>2757</v>
      </c>
      <c r="F20" s="51">
        <v>2730.12</v>
      </c>
      <c r="G20" s="51">
        <v>2724.79</v>
      </c>
      <c r="H20" s="51">
        <v>2735.66</v>
      </c>
      <c r="I20" s="51">
        <v>2765.71</v>
      </c>
      <c r="J20" s="51">
        <v>2823.06</v>
      </c>
      <c r="K20" s="51">
        <v>2810.31</v>
      </c>
      <c r="L20" s="51">
        <v>2754.83</v>
      </c>
      <c r="M20" s="51">
        <v>2729.4</v>
      </c>
      <c r="N20" s="51">
        <v>2746.03</v>
      </c>
      <c r="O20" s="51">
        <v>2786.98</v>
      </c>
      <c r="P20" s="51">
        <v>2860.13</v>
      </c>
      <c r="Q20" s="72">
        <f>IF((P21=""),"",MAX(D22:P22))</f>
        <v>1889.2199999999998</v>
      </c>
      <c r="R20" s="72">
        <f>IF(P21="","",MIN(D22:P22))</f>
        <v>1756.9000000000005</v>
      </c>
      <c r="S20" s="72">
        <f>IF((P22=""),"",AVERAGE(D22:P22))</f>
        <v>1833.9692307692308</v>
      </c>
      <c r="T20" s="72">
        <f>IF((P21=""),"",STDEV(D22:P22))</f>
        <v>35.394710165394727</v>
      </c>
      <c r="U20" s="99">
        <f>IF((P21=""),"",((Q20-R20)/(Q20+R20))*100)</f>
        <v>3.6290632233716731</v>
      </c>
      <c r="V20" s="73" t="str">
        <f>IF(P21="","",IF(U20&lt;7.2,IF(S20&gt;1700,IF(S20&lt;1950,"Pass","Fail"),"Fail"),"Fail"))</f>
        <v>Pass</v>
      </c>
      <c r="W20" s="74">
        <v>102</v>
      </c>
      <c r="X20" s="347"/>
      <c r="Z20" s="75">
        <v>1600</v>
      </c>
      <c r="AA20" s="75">
        <v>2600</v>
      </c>
      <c r="AB20" s="76">
        <v>1700</v>
      </c>
      <c r="AC20" s="76">
        <v>1950</v>
      </c>
      <c r="AD20" s="69">
        <v>10</v>
      </c>
      <c r="AE20" s="69">
        <v>7.2</v>
      </c>
    </row>
    <row r="21" spans="1:31" ht="16.100000000000001" x14ac:dyDescent="0.35">
      <c r="A21"/>
      <c r="B21" s="66"/>
      <c r="C21" s="66" t="s">
        <v>78</v>
      </c>
      <c r="D21" s="51">
        <v>1928.12</v>
      </c>
      <c r="E21" s="51">
        <v>1857</v>
      </c>
      <c r="F21" s="51">
        <v>1821.31</v>
      </c>
      <c r="G21" s="51">
        <v>1805.39</v>
      </c>
      <c r="H21" s="51">
        <v>1804.27</v>
      </c>
      <c r="I21" s="51">
        <v>1824.42</v>
      </c>
      <c r="J21" s="51">
        <v>1878.45</v>
      </c>
      <c r="K21" s="51">
        <v>1902.87</v>
      </c>
      <c r="L21" s="51">
        <v>1833.36</v>
      </c>
      <c r="M21" s="51">
        <v>1808.71</v>
      </c>
      <c r="N21" s="51">
        <v>1821.45</v>
      </c>
      <c r="O21" s="51">
        <v>1868.42</v>
      </c>
      <c r="P21" s="51">
        <v>1956.02</v>
      </c>
      <c r="Q21" s="66"/>
      <c r="R21" s="66"/>
      <c r="S21" s="66"/>
      <c r="T21" s="66"/>
      <c r="U21" s="100"/>
      <c r="V21" s="77"/>
      <c r="W21" s="78"/>
      <c r="X21" s="347"/>
      <c r="Z21" s="75"/>
      <c r="AA21" s="75"/>
      <c r="AB21" s="76"/>
      <c r="AC21" s="76"/>
      <c r="AD21" s="69"/>
      <c r="AE21" s="69"/>
    </row>
    <row r="22" spans="1:31" ht="58.15" thickBot="1" x14ac:dyDescent="0.4">
      <c r="A22"/>
      <c r="B22" s="79"/>
      <c r="C22" s="79" t="s">
        <v>79</v>
      </c>
      <c r="D22" s="80">
        <f t="shared" ref="D22:P22" si="3">IF(((D20="")*AND(D21="")),"",(D20-D21)*2)</f>
        <v>1756.9000000000005</v>
      </c>
      <c r="E22" s="80">
        <f t="shared" si="3"/>
        <v>1800</v>
      </c>
      <c r="F22" s="80">
        <f t="shared" si="3"/>
        <v>1817.62</v>
      </c>
      <c r="G22" s="80">
        <f t="shared" si="3"/>
        <v>1838.7999999999997</v>
      </c>
      <c r="H22" s="80">
        <f t="shared" si="3"/>
        <v>1862.7799999999997</v>
      </c>
      <c r="I22" s="80">
        <f t="shared" si="3"/>
        <v>1882.58</v>
      </c>
      <c r="J22" s="80">
        <f t="shared" si="3"/>
        <v>1889.2199999999998</v>
      </c>
      <c r="K22" s="80">
        <f t="shared" si="3"/>
        <v>1814.88</v>
      </c>
      <c r="L22" s="80">
        <f t="shared" si="3"/>
        <v>1842.94</v>
      </c>
      <c r="M22" s="80">
        <f t="shared" si="3"/>
        <v>1841.38</v>
      </c>
      <c r="N22" s="80">
        <f t="shared" si="3"/>
        <v>1849.1600000000003</v>
      </c>
      <c r="O22" s="80">
        <f t="shared" si="3"/>
        <v>1837.12</v>
      </c>
      <c r="P22" s="80">
        <f t="shared" si="3"/>
        <v>1808.2200000000003</v>
      </c>
      <c r="Q22" s="79"/>
      <c r="R22" s="79"/>
      <c r="S22" s="79"/>
      <c r="T22" s="79"/>
      <c r="U22" s="101"/>
      <c r="V22" s="81"/>
      <c r="W22" s="82"/>
      <c r="X22" s="347"/>
      <c r="Z22" s="75"/>
      <c r="AA22" s="75"/>
      <c r="AB22" s="76"/>
      <c r="AC22" s="76"/>
      <c r="AD22" s="69"/>
      <c r="AE22" s="69"/>
    </row>
    <row r="23" spans="1:31" x14ac:dyDescent="0.3">
      <c r="A23" s="70">
        <v>43119</v>
      </c>
      <c r="B23" s="71" t="s">
        <v>76</v>
      </c>
      <c r="C23" s="72" t="s">
        <v>77</v>
      </c>
      <c r="D23" s="51">
        <v>2811.06</v>
      </c>
      <c r="E23" s="51">
        <v>2758.62</v>
      </c>
      <c r="F23" s="51">
        <v>2735</v>
      </c>
      <c r="G23" s="51">
        <v>2727.74</v>
      </c>
      <c r="H23" s="51">
        <v>2738.93</v>
      </c>
      <c r="I23" s="51">
        <v>2770.48</v>
      </c>
      <c r="J23" s="51">
        <v>2822.95</v>
      </c>
      <c r="K23" s="51">
        <v>2812.48</v>
      </c>
      <c r="L23" s="51">
        <v>2757.39</v>
      </c>
      <c r="M23" s="51">
        <v>2729.64</v>
      </c>
      <c r="N23" s="51">
        <v>2747.14</v>
      </c>
      <c r="O23" s="51">
        <v>2791.39</v>
      </c>
      <c r="P23" s="51">
        <v>2860.7</v>
      </c>
      <c r="Q23" s="72">
        <f>IF((P24=""),"",MAX(D25:P25))</f>
        <v>1912.1599999999999</v>
      </c>
      <c r="R23" s="72">
        <f>IF(P24="","",MIN(D25:P25))</f>
        <v>1789.7799999999997</v>
      </c>
      <c r="S23" s="72">
        <f>IF((P25=""),"",AVERAGE(D25:P25))</f>
        <v>1859.7015384615381</v>
      </c>
      <c r="T23" s="72">
        <f>IF((P24=""),"",STDEV(D25:P25))</f>
        <v>34.825270002818819</v>
      </c>
      <c r="U23" s="99">
        <f>IF((P24=""),"",((Q23-R23)/(Q23+R23))*100)</f>
        <v>3.3058342382642643</v>
      </c>
      <c r="V23" s="73" t="str">
        <f>IF(P24="","",IF(U23&lt;7.2,IF(S23&gt;1700,IF(S23&lt;1950,"Pass","Fail"),"Fail"),"Fail"))</f>
        <v>Pass</v>
      </c>
      <c r="W23" s="74">
        <v>1428</v>
      </c>
      <c r="X23" s="347"/>
      <c r="Z23" s="75">
        <v>1600</v>
      </c>
      <c r="AA23" s="75">
        <v>2600</v>
      </c>
      <c r="AB23" s="76">
        <v>1700</v>
      </c>
      <c r="AC23" s="76">
        <v>1950</v>
      </c>
      <c r="AD23" s="69">
        <v>10</v>
      </c>
      <c r="AE23" s="69">
        <v>7.2</v>
      </c>
    </row>
    <row r="24" spans="1:31" ht="16.100000000000001" x14ac:dyDescent="0.35">
      <c r="A24"/>
      <c r="B24" s="66"/>
      <c r="C24" s="66" t="s">
        <v>78</v>
      </c>
      <c r="D24" s="51">
        <v>1916.17</v>
      </c>
      <c r="E24" s="51">
        <v>1845.7</v>
      </c>
      <c r="F24" s="51">
        <v>1809.01</v>
      </c>
      <c r="G24" s="51">
        <v>1795.34</v>
      </c>
      <c r="H24" s="51">
        <v>1793.58</v>
      </c>
      <c r="I24" s="51">
        <v>1814.4</v>
      </c>
      <c r="J24" s="51">
        <v>1867.28</v>
      </c>
      <c r="K24" s="51">
        <v>1893.73</v>
      </c>
      <c r="L24" s="51">
        <v>1823.02</v>
      </c>
      <c r="M24" s="51">
        <v>1798.24</v>
      </c>
      <c r="N24" s="51">
        <v>1810.56</v>
      </c>
      <c r="O24" s="51">
        <v>1859.73</v>
      </c>
      <c r="P24" s="51">
        <v>1948.7</v>
      </c>
      <c r="Q24" s="66"/>
      <c r="R24" s="66"/>
      <c r="S24" s="66"/>
      <c r="T24" s="66"/>
      <c r="U24" s="100"/>
      <c r="V24" s="77"/>
      <c r="W24" s="78"/>
      <c r="X24" s="347"/>
      <c r="Z24" s="75"/>
      <c r="AA24" s="75"/>
      <c r="AB24" s="76"/>
      <c r="AC24" s="76"/>
      <c r="AD24" s="69"/>
      <c r="AE24" s="69"/>
    </row>
    <row r="25" spans="1:31" ht="58.15" thickBot="1" x14ac:dyDescent="0.4">
      <c r="A25"/>
      <c r="B25" s="79"/>
      <c r="C25" s="79" t="s">
        <v>79</v>
      </c>
      <c r="D25" s="80">
        <f t="shared" ref="D25:P25" si="4">IF(((D23="")*AND(D24="")),"",(D23-D24)*2)</f>
        <v>1789.7799999999997</v>
      </c>
      <c r="E25" s="80">
        <f t="shared" si="4"/>
        <v>1825.8399999999997</v>
      </c>
      <c r="F25" s="80">
        <f t="shared" si="4"/>
        <v>1851.98</v>
      </c>
      <c r="G25" s="80">
        <f t="shared" si="4"/>
        <v>1864.7999999999997</v>
      </c>
      <c r="H25" s="80">
        <f t="shared" si="4"/>
        <v>1890.6999999999998</v>
      </c>
      <c r="I25" s="80">
        <f t="shared" si="4"/>
        <v>1912.1599999999999</v>
      </c>
      <c r="J25" s="80">
        <f t="shared" si="4"/>
        <v>1911.3399999999997</v>
      </c>
      <c r="K25" s="80">
        <f t="shared" si="4"/>
        <v>1837.5</v>
      </c>
      <c r="L25" s="80">
        <f t="shared" si="4"/>
        <v>1868.7399999999998</v>
      </c>
      <c r="M25" s="80">
        <f t="shared" si="4"/>
        <v>1862.7999999999997</v>
      </c>
      <c r="N25" s="80">
        <f t="shared" si="4"/>
        <v>1873.1599999999999</v>
      </c>
      <c r="O25" s="80">
        <f t="shared" si="4"/>
        <v>1863.3199999999997</v>
      </c>
      <c r="P25" s="80">
        <f t="shared" si="4"/>
        <v>1823.9999999999995</v>
      </c>
      <c r="Q25" s="79"/>
      <c r="R25" s="79"/>
      <c r="S25" s="79"/>
      <c r="T25" s="79"/>
      <c r="U25" s="101"/>
      <c r="V25" s="81"/>
      <c r="W25" s="82"/>
      <c r="X25" s="347"/>
      <c r="Z25" s="75"/>
      <c r="AA25" s="75"/>
      <c r="AB25" s="76"/>
      <c r="AC25" s="76"/>
      <c r="AD25" s="69"/>
      <c r="AE25" s="69"/>
    </row>
    <row r="26" spans="1:31" x14ac:dyDescent="0.3">
      <c r="A26" s="70">
        <v>43122</v>
      </c>
      <c r="B26" s="71" t="s">
        <v>76</v>
      </c>
      <c r="C26" s="72" t="s">
        <v>77</v>
      </c>
      <c r="D26" s="51">
        <v>2802.69</v>
      </c>
      <c r="E26" s="51">
        <v>2750.43</v>
      </c>
      <c r="F26" s="51">
        <v>2726.14</v>
      </c>
      <c r="G26" s="51">
        <v>2717.73</v>
      </c>
      <c r="H26" s="51">
        <v>2729.63</v>
      </c>
      <c r="I26" s="51">
        <v>2755.48</v>
      </c>
      <c r="J26" s="51">
        <v>2809.98</v>
      </c>
      <c r="K26" s="51">
        <v>2806.89</v>
      </c>
      <c r="L26" s="51">
        <v>2747.41</v>
      </c>
      <c r="M26" s="51">
        <v>2721.58</v>
      </c>
      <c r="N26" s="51">
        <v>2737.03</v>
      </c>
      <c r="O26" s="51">
        <v>2781.71</v>
      </c>
      <c r="P26" s="51">
        <v>2855.24</v>
      </c>
      <c r="Q26" s="72">
        <f>IF((P27=""),"",MAX(D28:P28))</f>
        <v>1639.04</v>
      </c>
      <c r="R26" s="72">
        <f>IF(P27="","",MIN(D28:P28))</f>
        <v>1600.8799999999997</v>
      </c>
      <c r="S26" s="72">
        <f>IF((P28=""),"",AVERAGE(D28:P28))</f>
        <v>1615.0246153846156</v>
      </c>
      <c r="T26" s="72">
        <f>IF((P27=""),"",STDEV(D28:P28))</f>
        <v>12.728574557129736</v>
      </c>
      <c r="U26" s="99">
        <f>IF((P27=""),"",((Q26-R26)/(Q26+R26))*100)</f>
        <v>1.1778068594286377</v>
      </c>
      <c r="V26" s="73" t="str">
        <f>IF(P27="","",IF(U26&lt;7.2,IF(S26&gt;1700,IF(S26&lt;1950,"Pass","Fail"),"Fail"),"Fail"))</f>
        <v>Fail</v>
      </c>
      <c r="W26" s="74">
        <v>1428</v>
      </c>
      <c r="X26" s="334" t="s">
        <v>82</v>
      </c>
      <c r="Z26" s="75">
        <v>1600</v>
      </c>
      <c r="AA26" s="75">
        <v>2600</v>
      </c>
      <c r="AB26" s="76">
        <v>1700</v>
      </c>
      <c r="AC26" s="76">
        <v>1950</v>
      </c>
      <c r="AD26" s="69">
        <v>10</v>
      </c>
      <c r="AE26" s="69">
        <v>7.2</v>
      </c>
    </row>
    <row r="27" spans="1:31" ht="16.100000000000001" x14ac:dyDescent="0.35">
      <c r="A27"/>
      <c r="B27" s="66"/>
      <c r="C27" s="66" t="s">
        <v>78</v>
      </c>
      <c r="D27" s="51">
        <v>1996.45</v>
      </c>
      <c r="E27" s="51">
        <v>1949.99</v>
      </c>
      <c r="F27" s="51">
        <v>1925.6</v>
      </c>
      <c r="G27" s="51">
        <v>1914.98</v>
      </c>
      <c r="H27" s="51">
        <v>1919.65</v>
      </c>
      <c r="I27" s="51">
        <v>1943.83</v>
      </c>
      <c r="J27" s="51">
        <v>1990.46</v>
      </c>
      <c r="K27" s="51">
        <v>1991.01</v>
      </c>
      <c r="L27" s="51">
        <v>1933.46</v>
      </c>
      <c r="M27" s="51">
        <v>1913.45</v>
      </c>
      <c r="N27" s="51">
        <v>1936.41</v>
      </c>
      <c r="O27" s="51">
        <v>1975.34</v>
      </c>
      <c r="P27" s="51">
        <v>2053.65</v>
      </c>
      <c r="Q27" s="66"/>
      <c r="R27" s="66"/>
      <c r="S27" s="66"/>
      <c r="T27" s="66"/>
      <c r="U27" s="100"/>
      <c r="V27" s="77"/>
      <c r="W27" s="78"/>
      <c r="X27" s="347"/>
      <c r="Z27" s="75"/>
      <c r="AA27" s="75"/>
      <c r="AB27" s="76"/>
      <c r="AC27" s="76"/>
      <c r="AD27" s="69"/>
      <c r="AE27" s="69"/>
    </row>
    <row r="28" spans="1:31" ht="58.15" thickBot="1" x14ac:dyDescent="0.4">
      <c r="A28"/>
      <c r="B28" s="79"/>
      <c r="C28" s="79" t="s">
        <v>79</v>
      </c>
      <c r="D28" s="80">
        <f t="shared" ref="D28:P28" si="5">IF(((D26="")*AND(D27="")),"",(D26-D27)*2)</f>
        <v>1612.48</v>
      </c>
      <c r="E28" s="80">
        <f t="shared" si="5"/>
        <v>1600.8799999999997</v>
      </c>
      <c r="F28" s="80">
        <f t="shared" si="5"/>
        <v>1601.08</v>
      </c>
      <c r="G28" s="80">
        <f t="shared" si="5"/>
        <v>1605.5</v>
      </c>
      <c r="H28" s="80">
        <f t="shared" si="5"/>
        <v>1619.96</v>
      </c>
      <c r="I28" s="80">
        <f t="shared" si="5"/>
        <v>1623.3000000000002</v>
      </c>
      <c r="J28" s="80">
        <f t="shared" si="5"/>
        <v>1639.04</v>
      </c>
      <c r="K28" s="80">
        <f t="shared" si="5"/>
        <v>1631.7599999999998</v>
      </c>
      <c r="L28" s="80">
        <f t="shared" si="5"/>
        <v>1627.8999999999996</v>
      </c>
      <c r="M28" s="80">
        <f t="shared" si="5"/>
        <v>1616.2599999999998</v>
      </c>
      <c r="N28" s="80">
        <f t="shared" si="5"/>
        <v>1601.2400000000002</v>
      </c>
      <c r="O28" s="80">
        <f t="shared" si="5"/>
        <v>1612.7400000000002</v>
      </c>
      <c r="P28" s="80">
        <f t="shared" si="5"/>
        <v>1603.1799999999994</v>
      </c>
      <c r="Q28" s="79"/>
      <c r="R28" s="79"/>
      <c r="S28" s="79"/>
      <c r="T28" s="79"/>
      <c r="U28" s="101"/>
      <c r="V28" s="81"/>
      <c r="W28" s="82"/>
      <c r="X28" s="347"/>
      <c r="Z28" s="75"/>
      <c r="AA28" s="75"/>
      <c r="AB28" s="76"/>
      <c r="AC28" s="76"/>
      <c r="AD28" s="69"/>
      <c r="AE28" s="69"/>
    </row>
    <row r="29" spans="1:31" x14ac:dyDescent="0.3">
      <c r="A29" s="70">
        <v>43125</v>
      </c>
      <c r="B29" s="71" t="s">
        <v>76</v>
      </c>
      <c r="C29" s="72" t="s">
        <v>77</v>
      </c>
      <c r="D29" s="51">
        <v>2793.52</v>
      </c>
      <c r="E29" s="51">
        <v>2743.21</v>
      </c>
      <c r="F29" s="51">
        <v>2715.21</v>
      </c>
      <c r="G29" s="51">
        <v>2703.8</v>
      </c>
      <c r="H29" s="51">
        <v>2709.83</v>
      </c>
      <c r="I29" s="51">
        <v>2737.59</v>
      </c>
      <c r="J29" s="51">
        <v>2791.91</v>
      </c>
      <c r="K29" s="51">
        <v>2801.56</v>
      </c>
      <c r="L29" s="51">
        <v>2740.25</v>
      </c>
      <c r="M29" s="51">
        <v>2706.11</v>
      </c>
      <c r="N29" s="51">
        <v>2722.96</v>
      </c>
      <c r="O29" s="51">
        <v>2767.42</v>
      </c>
      <c r="P29" s="51">
        <v>2847.29</v>
      </c>
      <c r="Q29" s="72">
        <f>IF((P30=""),"",MAX(D31:P31))</f>
        <v>1893.1799999999998</v>
      </c>
      <c r="R29" s="72">
        <f>IF(P30="","",MIN(D31:P31))</f>
        <v>1732.56</v>
      </c>
      <c r="S29" s="72">
        <f>IF((P31=""),"",AVERAGE(D31:P31))</f>
        <v>1827.4276923076925</v>
      </c>
      <c r="T29" s="72">
        <f>IF((P30=""),"",STDEV(D31:P31))</f>
        <v>44.857801654013045</v>
      </c>
      <c r="U29" s="99">
        <f>IF((P30=""),"",((Q29-R29)/(Q29+R29))*100)</f>
        <v>4.4299922222773809</v>
      </c>
      <c r="V29" s="73" t="str">
        <f>IF(P30="","",IF(U29&lt;7.2,IF(S29&gt;1700,IF(S29&lt;1950,"Pass","Fail"),"Fail"),"Fail"))</f>
        <v>Pass</v>
      </c>
      <c r="W29" s="74">
        <v>1428</v>
      </c>
      <c r="X29" s="347"/>
      <c r="Z29" s="75">
        <v>1600</v>
      </c>
      <c r="AA29" s="75">
        <v>2600</v>
      </c>
      <c r="AB29" s="76">
        <v>1700</v>
      </c>
      <c r="AC29" s="76">
        <v>1950</v>
      </c>
      <c r="AD29" s="69">
        <v>10</v>
      </c>
      <c r="AE29" s="69">
        <v>7.2</v>
      </c>
    </row>
    <row r="30" spans="1:31" ht="16.100000000000001" x14ac:dyDescent="0.35">
      <c r="A30"/>
      <c r="B30" s="66"/>
      <c r="C30" s="66" t="s">
        <v>78</v>
      </c>
      <c r="D30" s="51">
        <v>1927.24</v>
      </c>
      <c r="E30" s="51">
        <v>1853.75</v>
      </c>
      <c r="F30" s="51">
        <v>1808.2</v>
      </c>
      <c r="G30" s="51">
        <v>1783.91</v>
      </c>
      <c r="H30" s="51">
        <v>1775.61</v>
      </c>
      <c r="I30" s="51">
        <v>1792.36</v>
      </c>
      <c r="J30" s="51">
        <v>1845.32</v>
      </c>
      <c r="K30" s="51">
        <v>1900.27</v>
      </c>
      <c r="L30" s="51">
        <v>1820.2</v>
      </c>
      <c r="M30" s="51">
        <v>1789.88</v>
      </c>
      <c r="N30" s="51">
        <v>1800.84</v>
      </c>
      <c r="O30" s="51">
        <v>1852.57</v>
      </c>
      <c r="P30" s="51">
        <v>1952.23</v>
      </c>
      <c r="Q30" s="66"/>
      <c r="R30" s="66"/>
      <c r="S30" s="66"/>
      <c r="T30" s="66"/>
      <c r="U30" s="100"/>
      <c r="V30" s="77"/>
      <c r="W30" s="78"/>
      <c r="X30" s="347"/>
      <c r="Z30" s="75"/>
      <c r="AA30" s="75"/>
      <c r="AB30" s="76"/>
      <c r="AC30" s="76"/>
      <c r="AD30" s="69"/>
      <c r="AE30" s="69"/>
    </row>
    <row r="31" spans="1:31" ht="58.15" thickBot="1" x14ac:dyDescent="0.4">
      <c r="A31"/>
      <c r="B31" s="79"/>
      <c r="C31" s="79" t="s">
        <v>79</v>
      </c>
      <c r="D31" s="80">
        <f t="shared" ref="D31:P31" si="6">IF(((D29="")*AND(D30="")),"",(D29-D30)*2)</f>
        <v>1732.56</v>
      </c>
      <c r="E31" s="80">
        <f t="shared" si="6"/>
        <v>1778.92</v>
      </c>
      <c r="F31" s="80">
        <f t="shared" si="6"/>
        <v>1814.02</v>
      </c>
      <c r="G31" s="80">
        <f t="shared" si="6"/>
        <v>1839.7800000000002</v>
      </c>
      <c r="H31" s="80">
        <f t="shared" si="6"/>
        <v>1868.44</v>
      </c>
      <c r="I31" s="80">
        <f t="shared" si="6"/>
        <v>1890.4600000000005</v>
      </c>
      <c r="J31" s="80">
        <f t="shared" si="6"/>
        <v>1893.1799999999998</v>
      </c>
      <c r="K31" s="80">
        <f t="shared" si="6"/>
        <v>1802.58</v>
      </c>
      <c r="L31" s="80">
        <f t="shared" si="6"/>
        <v>1840.1</v>
      </c>
      <c r="M31" s="80">
        <f t="shared" si="6"/>
        <v>1832.46</v>
      </c>
      <c r="N31" s="80">
        <f t="shared" si="6"/>
        <v>1844.2400000000002</v>
      </c>
      <c r="O31" s="80">
        <f t="shared" si="6"/>
        <v>1829.7000000000003</v>
      </c>
      <c r="P31" s="80">
        <f t="shared" si="6"/>
        <v>1790.12</v>
      </c>
      <c r="Q31" s="79"/>
      <c r="R31" s="79"/>
      <c r="S31" s="79"/>
      <c r="T31" s="79"/>
      <c r="U31" s="101"/>
      <c r="V31" s="81"/>
      <c r="W31" s="82"/>
      <c r="X31" s="347"/>
      <c r="Z31" s="75"/>
      <c r="AA31" s="75"/>
      <c r="AB31" s="76"/>
      <c r="AC31" s="76"/>
      <c r="AD31" s="69"/>
      <c r="AE31" s="69"/>
    </row>
    <row r="32" spans="1:31" x14ac:dyDescent="0.3">
      <c r="A32" s="70">
        <v>43129</v>
      </c>
      <c r="B32" s="71" t="s">
        <v>76</v>
      </c>
      <c r="C32" s="72" t="s">
        <v>77</v>
      </c>
      <c r="D32" s="51">
        <v>2800.06</v>
      </c>
      <c r="E32" s="51">
        <v>2763.44</v>
      </c>
      <c r="F32" s="51">
        <v>2743.37</v>
      </c>
      <c r="G32" s="51">
        <v>2740.53</v>
      </c>
      <c r="H32" s="51">
        <v>2755.46</v>
      </c>
      <c r="I32" s="51">
        <v>2792.96</v>
      </c>
      <c r="J32" s="51">
        <v>2857.82</v>
      </c>
      <c r="K32" s="51">
        <v>2849.31</v>
      </c>
      <c r="L32" s="51">
        <v>2788.47</v>
      </c>
      <c r="M32" s="51">
        <v>2754.96</v>
      </c>
      <c r="N32" s="51">
        <v>2744.99</v>
      </c>
      <c r="O32" s="51">
        <v>2769.76</v>
      </c>
      <c r="P32" s="51">
        <v>2806.74</v>
      </c>
      <c r="Q32" s="72">
        <f>IF((P33=""),"",MAX(D34:P34))</f>
        <v>1760.7600000000002</v>
      </c>
      <c r="R32" s="72">
        <f>IF(P33="","",MIN(D34:P34))</f>
        <v>1672.02</v>
      </c>
      <c r="S32" s="72">
        <f>IF((P34=""),"",AVERAGE(D34:P34))</f>
        <v>1718.6830769230769</v>
      </c>
      <c r="T32" s="72">
        <f>IF((P33=""),"",STDEV(D34:P34))</f>
        <v>24.237407515593087</v>
      </c>
      <c r="U32" s="99">
        <f>IF((P33=""),"",((Q32-R32)/(Q32+R32))*100)</f>
        <v>2.5850768182056592</v>
      </c>
      <c r="V32" s="73" t="str">
        <f>IF(P33="","",IF(U32&lt;7.2,IF(S32&gt;1700,IF(S32&lt;1950,"Pass","Fail"),"Fail"),"Fail"))</f>
        <v>Pass</v>
      </c>
      <c r="W32" s="74" t="s">
        <v>83</v>
      </c>
      <c r="X32" s="347"/>
      <c r="Z32" s="75">
        <v>1600</v>
      </c>
      <c r="AA32" s="75">
        <v>2600</v>
      </c>
      <c r="AB32" s="76">
        <v>1700</v>
      </c>
      <c r="AC32" s="76">
        <v>1950</v>
      </c>
      <c r="AD32" s="69">
        <v>10</v>
      </c>
      <c r="AE32" s="69">
        <v>7.2</v>
      </c>
    </row>
    <row r="33" spans="1:31" ht="16.100000000000001" x14ac:dyDescent="0.35">
      <c r="A33"/>
      <c r="B33" s="66"/>
      <c r="C33" s="66" t="s">
        <v>78</v>
      </c>
      <c r="D33" s="51">
        <v>1964.05</v>
      </c>
      <c r="E33" s="51">
        <v>1917.33</v>
      </c>
      <c r="F33" s="51">
        <v>1891.16</v>
      </c>
      <c r="G33" s="51">
        <v>1880.57</v>
      </c>
      <c r="H33" s="51">
        <v>1886.59</v>
      </c>
      <c r="I33" s="51">
        <v>1916.36</v>
      </c>
      <c r="J33" s="51">
        <v>1977.44</v>
      </c>
      <c r="K33" s="51">
        <v>1992.5</v>
      </c>
      <c r="L33" s="51">
        <v>1924.97</v>
      </c>
      <c r="M33" s="51">
        <v>1894</v>
      </c>
      <c r="N33" s="51">
        <v>1884.23</v>
      </c>
      <c r="O33" s="51">
        <v>1908.5</v>
      </c>
      <c r="P33" s="51">
        <v>1958.73</v>
      </c>
      <c r="Q33" s="66"/>
      <c r="R33" s="66"/>
      <c r="S33" s="66"/>
      <c r="T33" s="66"/>
      <c r="U33" s="100"/>
      <c r="V33" s="77"/>
      <c r="W33" s="84"/>
      <c r="X33" s="347"/>
      <c r="Z33" s="75"/>
      <c r="AA33" s="75"/>
      <c r="AB33" s="76"/>
      <c r="AC33" s="76"/>
      <c r="AD33" s="69"/>
      <c r="AE33" s="69"/>
    </row>
    <row r="34" spans="1:31" ht="58.15" thickBot="1" x14ac:dyDescent="0.4">
      <c r="A34"/>
      <c r="B34" s="103"/>
      <c r="C34" s="79" t="s">
        <v>79</v>
      </c>
      <c r="D34" s="80">
        <f t="shared" ref="D34:P34" si="7">IF(((D32="")*AND(D33="")),"",(D32-D33)*2)</f>
        <v>1672.02</v>
      </c>
      <c r="E34" s="80">
        <f t="shared" si="7"/>
        <v>1692.2200000000003</v>
      </c>
      <c r="F34" s="80">
        <f t="shared" si="7"/>
        <v>1704.4199999999996</v>
      </c>
      <c r="G34" s="80">
        <f t="shared" si="7"/>
        <v>1719.9200000000005</v>
      </c>
      <c r="H34" s="80">
        <f t="shared" si="7"/>
        <v>1737.7400000000002</v>
      </c>
      <c r="I34" s="80">
        <f t="shared" si="7"/>
        <v>1753.2000000000003</v>
      </c>
      <c r="J34" s="80">
        <f t="shared" si="7"/>
        <v>1760.7600000000002</v>
      </c>
      <c r="K34" s="80">
        <f t="shared" si="7"/>
        <v>1713.62</v>
      </c>
      <c r="L34" s="80">
        <f t="shared" si="7"/>
        <v>1726.9999999999995</v>
      </c>
      <c r="M34" s="80">
        <f t="shared" si="7"/>
        <v>1721.92</v>
      </c>
      <c r="N34" s="80">
        <f t="shared" si="7"/>
        <v>1721.5199999999995</v>
      </c>
      <c r="O34" s="80">
        <f t="shared" si="7"/>
        <v>1722.5200000000004</v>
      </c>
      <c r="P34" s="80">
        <f t="shared" si="7"/>
        <v>1696.0199999999995</v>
      </c>
      <c r="Q34" s="79"/>
      <c r="R34" s="79"/>
      <c r="S34" s="79"/>
      <c r="T34" s="79"/>
      <c r="U34" s="101"/>
      <c r="V34" s="81"/>
      <c r="W34" s="85"/>
      <c r="X34" s="347"/>
      <c r="Z34" s="75"/>
      <c r="AA34" s="75"/>
      <c r="AB34" s="76"/>
      <c r="AC34" s="76"/>
      <c r="AD34" s="69"/>
      <c r="AE34" s="69"/>
    </row>
    <row r="35" spans="1:31" x14ac:dyDescent="0.3">
      <c r="A35" s="70">
        <v>43102</v>
      </c>
      <c r="B35" s="71" t="s">
        <v>76</v>
      </c>
      <c r="C35" s="72" t="s">
        <v>77</v>
      </c>
      <c r="D35" s="51">
        <v>2797.81</v>
      </c>
      <c r="E35" s="51">
        <v>2761.78</v>
      </c>
      <c r="F35" s="51">
        <v>2742</v>
      </c>
      <c r="G35" s="51">
        <v>2736.93</v>
      </c>
      <c r="H35" s="51">
        <v>2753.26</v>
      </c>
      <c r="I35" s="51">
        <v>2791.12</v>
      </c>
      <c r="J35" s="51">
        <v>2854.59</v>
      </c>
      <c r="K35" s="51">
        <v>2848.01</v>
      </c>
      <c r="L35" s="51">
        <v>2790.57</v>
      </c>
      <c r="M35" s="51">
        <v>2753.17</v>
      </c>
      <c r="N35" s="51">
        <v>2742.98</v>
      </c>
      <c r="O35" s="51">
        <v>2766.58</v>
      </c>
      <c r="P35" s="51">
        <v>2808.02</v>
      </c>
      <c r="Q35" s="72">
        <f>IF((P36=""),"",MAX(D37:P37))</f>
        <v>1912.2599999999998</v>
      </c>
      <c r="R35" s="72">
        <f>IF(P36="","",MIN(D37:P37))</f>
        <v>1761.38</v>
      </c>
      <c r="S35" s="72">
        <f>IF((P37=""),"",AVERAGE(D37:P37))</f>
        <v>1854.2046153846156</v>
      </c>
      <c r="T35" s="72">
        <f>IF((P36=""),"",STDEV(D37:P37))</f>
        <v>41.494186865026549</v>
      </c>
      <c r="U35" s="99">
        <f>IF((P36=""),"",((Q35-R35)/(Q35+R35))*100)</f>
        <v>4.107098136997628</v>
      </c>
      <c r="V35" s="73" t="str">
        <f>IF(P36="","",IF(U35&lt;7.2,IF(S35&gt;1700,IF(S35&lt;1950,"Pass","Fail"),"Fail"),"Fail"))</f>
        <v>Pass</v>
      </c>
      <c r="W35" s="74">
        <v>1335</v>
      </c>
      <c r="X35" s="347"/>
      <c r="Z35" s="75">
        <v>1600</v>
      </c>
      <c r="AA35" s="75">
        <v>2600</v>
      </c>
      <c r="AB35" s="76">
        <v>1700</v>
      </c>
      <c r="AC35" s="76">
        <v>1950</v>
      </c>
      <c r="AD35" s="69">
        <v>10</v>
      </c>
      <c r="AE35" s="69">
        <v>7.2</v>
      </c>
    </row>
    <row r="36" spans="1:31" ht="16.100000000000001" x14ac:dyDescent="0.35">
      <c r="A36"/>
      <c r="B36" s="66"/>
      <c r="C36" s="66" t="s">
        <v>78</v>
      </c>
      <c r="D36" s="51">
        <v>1917.12</v>
      </c>
      <c r="E36" s="51">
        <v>1856.94</v>
      </c>
      <c r="F36" s="51">
        <v>1821.5</v>
      </c>
      <c r="G36" s="51">
        <v>1807.17</v>
      </c>
      <c r="H36" s="51">
        <v>1807.97</v>
      </c>
      <c r="I36" s="51">
        <v>1834.99</v>
      </c>
      <c r="J36" s="51">
        <v>1899.66</v>
      </c>
      <c r="K36" s="51">
        <v>1931.41</v>
      </c>
      <c r="L36" s="51">
        <v>1855.85</v>
      </c>
      <c r="M36" s="51">
        <v>1822.9</v>
      </c>
      <c r="N36" s="51">
        <v>1806.47</v>
      </c>
      <c r="O36" s="51">
        <v>1836.13</v>
      </c>
      <c r="P36" s="51">
        <v>1896.38</v>
      </c>
      <c r="Q36" s="66"/>
      <c r="R36" s="66"/>
      <c r="S36" s="66"/>
      <c r="T36" s="66"/>
      <c r="U36" s="100"/>
      <c r="V36" s="77"/>
      <c r="W36" s="78"/>
      <c r="X36" s="347"/>
      <c r="Z36" s="75"/>
      <c r="AA36" s="75"/>
      <c r="AB36" s="76"/>
      <c r="AC36" s="76"/>
      <c r="AD36" s="69"/>
      <c r="AE36" s="69"/>
    </row>
    <row r="37" spans="1:31" ht="58.15" thickBot="1" x14ac:dyDescent="0.4">
      <c r="A37"/>
      <c r="B37" s="79"/>
      <c r="C37" s="79" t="s">
        <v>79</v>
      </c>
      <c r="D37" s="80">
        <f t="shared" ref="D37:P37" si="8">IF(((D35="")*AND(D36="")),"",(D35-D36)*2)</f>
        <v>1761.38</v>
      </c>
      <c r="E37" s="80">
        <f t="shared" si="8"/>
        <v>1809.6800000000003</v>
      </c>
      <c r="F37" s="80">
        <f t="shared" si="8"/>
        <v>1841</v>
      </c>
      <c r="G37" s="80">
        <f t="shared" si="8"/>
        <v>1859.5199999999995</v>
      </c>
      <c r="H37" s="80">
        <f t="shared" si="8"/>
        <v>1890.5800000000004</v>
      </c>
      <c r="I37" s="80">
        <f t="shared" si="8"/>
        <v>1912.2599999999998</v>
      </c>
      <c r="J37" s="80">
        <f t="shared" si="8"/>
        <v>1909.8600000000001</v>
      </c>
      <c r="K37" s="80">
        <f t="shared" si="8"/>
        <v>1833.2000000000003</v>
      </c>
      <c r="L37" s="80">
        <f t="shared" si="8"/>
        <v>1869.4400000000005</v>
      </c>
      <c r="M37" s="80">
        <f t="shared" si="8"/>
        <v>1860.54</v>
      </c>
      <c r="N37" s="80">
        <f t="shared" si="8"/>
        <v>1873.02</v>
      </c>
      <c r="O37" s="80">
        <f t="shared" si="8"/>
        <v>1860.8999999999996</v>
      </c>
      <c r="P37" s="80">
        <f t="shared" si="8"/>
        <v>1823.2799999999997</v>
      </c>
      <c r="Q37" s="79"/>
      <c r="R37" s="79"/>
      <c r="S37" s="79"/>
      <c r="T37" s="79"/>
      <c r="U37" s="101"/>
      <c r="V37" s="81"/>
      <c r="W37" s="82"/>
      <c r="X37" s="347"/>
      <c r="Z37" s="75"/>
      <c r="AA37" s="75"/>
      <c r="AB37" s="76"/>
      <c r="AC37" s="76"/>
      <c r="AD37" s="69"/>
      <c r="AE37" s="69"/>
    </row>
    <row r="38" spans="1:31" x14ac:dyDescent="0.3">
      <c r="A38" s="70">
        <v>43137</v>
      </c>
      <c r="B38" s="71" t="s">
        <v>76</v>
      </c>
      <c r="C38" s="72" t="s">
        <v>77</v>
      </c>
      <c r="D38" s="51">
        <v>2801.4</v>
      </c>
      <c r="E38" s="51">
        <v>2763.07</v>
      </c>
      <c r="F38" s="51">
        <v>2746.7</v>
      </c>
      <c r="G38" s="51">
        <v>2745.26</v>
      </c>
      <c r="H38" s="51">
        <v>2757.36</v>
      </c>
      <c r="I38" s="51">
        <v>2795.17</v>
      </c>
      <c r="J38" s="51">
        <v>2860.04</v>
      </c>
      <c r="K38" s="51">
        <v>2851.3</v>
      </c>
      <c r="L38" s="51">
        <v>2791.4</v>
      </c>
      <c r="M38" s="51">
        <v>2754.99</v>
      </c>
      <c r="N38" s="51">
        <v>2748.24</v>
      </c>
      <c r="O38" s="51">
        <v>2772.19</v>
      </c>
      <c r="P38" s="51">
        <v>2808.04</v>
      </c>
      <c r="Q38" s="72">
        <f>IF((P39=""),"",MAX(D40:P40))</f>
        <v>1922.3199999999997</v>
      </c>
      <c r="R38" s="72">
        <f>IF(P39="","",MIN(D40:P40))</f>
        <v>1769.92</v>
      </c>
      <c r="S38" s="72">
        <f>IF((P40=""),"",AVERAGE(D40:P40))</f>
        <v>1861.3215384615387</v>
      </c>
      <c r="T38" s="72">
        <f>IF((P39=""),"",STDEV(D40:P40))</f>
        <v>42.533047905159108</v>
      </c>
      <c r="U38" s="99">
        <f>IF((P39=""),"",((Q38-R38)/(Q38+R38))*100)</f>
        <v>4.1275756722206483</v>
      </c>
      <c r="V38" s="73" t="str">
        <f>IF(P39="","",IF(U38&lt;7.2,IF(S38&gt;1700,IF(S38&lt;1950,"Pass","Fail"),"Fail"),"Fail"))</f>
        <v>Pass</v>
      </c>
      <c r="W38" s="74">
        <v>1519</v>
      </c>
      <c r="X38" s="347"/>
      <c r="Z38" s="75">
        <v>1600</v>
      </c>
      <c r="AA38" s="75">
        <v>2600</v>
      </c>
      <c r="AB38" s="76">
        <v>1700</v>
      </c>
      <c r="AC38" s="76">
        <v>1950</v>
      </c>
      <c r="AD38" s="69">
        <v>10</v>
      </c>
      <c r="AE38" s="69">
        <v>7.2</v>
      </c>
    </row>
    <row r="39" spans="1:31" ht="16.100000000000001" x14ac:dyDescent="0.35">
      <c r="A39"/>
      <c r="B39" s="66"/>
      <c r="C39" s="66" t="s">
        <v>78</v>
      </c>
      <c r="D39" s="51">
        <v>1916.44</v>
      </c>
      <c r="E39" s="51">
        <v>1857.45</v>
      </c>
      <c r="F39" s="51">
        <v>1821.23</v>
      </c>
      <c r="G39" s="51">
        <v>1807.39</v>
      </c>
      <c r="H39" s="51">
        <v>1809.35</v>
      </c>
      <c r="I39" s="51">
        <v>1835.41</v>
      </c>
      <c r="J39" s="51">
        <v>1898.88</v>
      </c>
      <c r="K39" s="51">
        <v>1928.84</v>
      </c>
      <c r="L39" s="51">
        <v>1855.02</v>
      </c>
      <c r="M39" s="51">
        <v>1822.33</v>
      </c>
      <c r="N39" s="51">
        <v>1808.8</v>
      </c>
      <c r="O39" s="51">
        <v>1838.9</v>
      </c>
      <c r="P39" s="51">
        <v>1896.53</v>
      </c>
      <c r="U39" s="100"/>
      <c r="V39" s="77"/>
      <c r="W39" s="78"/>
      <c r="X39" s="347"/>
      <c r="Z39" s="75"/>
      <c r="AA39" s="75"/>
      <c r="AB39" s="76"/>
      <c r="AC39" s="76"/>
      <c r="AD39" s="69"/>
      <c r="AE39" s="69"/>
    </row>
    <row r="40" spans="1:31" ht="58.15" thickBot="1" x14ac:dyDescent="0.4">
      <c r="A40"/>
      <c r="B40" s="79"/>
      <c r="C40" s="79" t="s">
        <v>79</v>
      </c>
      <c r="D40" s="80">
        <f t="shared" ref="D40:P40" si="9">IF(((D38="")*AND(D39="")),"",(D38-D39)*2)</f>
        <v>1769.92</v>
      </c>
      <c r="E40" s="80">
        <f t="shared" si="9"/>
        <v>1811.2400000000002</v>
      </c>
      <c r="F40" s="80">
        <f t="shared" si="9"/>
        <v>1850.9399999999996</v>
      </c>
      <c r="G40" s="80">
        <f t="shared" si="9"/>
        <v>1875.7400000000002</v>
      </c>
      <c r="H40" s="80">
        <f t="shared" si="9"/>
        <v>1896.0200000000004</v>
      </c>
      <c r="I40" s="80">
        <f t="shared" si="9"/>
        <v>1919.52</v>
      </c>
      <c r="J40" s="80">
        <f t="shared" si="9"/>
        <v>1922.3199999999997</v>
      </c>
      <c r="K40" s="80">
        <f t="shared" si="9"/>
        <v>1844.9200000000005</v>
      </c>
      <c r="L40" s="80">
        <f t="shared" si="9"/>
        <v>1872.7600000000002</v>
      </c>
      <c r="M40" s="80">
        <f t="shared" si="9"/>
        <v>1865.3199999999997</v>
      </c>
      <c r="N40" s="80">
        <f t="shared" si="9"/>
        <v>1878.8799999999997</v>
      </c>
      <c r="O40" s="80">
        <f t="shared" si="9"/>
        <v>1866.58</v>
      </c>
      <c r="P40" s="80">
        <f t="shared" si="9"/>
        <v>1823.02</v>
      </c>
      <c r="Q40" s="79"/>
      <c r="R40" s="79"/>
      <c r="S40" s="79"/>
      <c r="T40" s="79"/>
      <c r="U40" s="101"/>
      <c r="V40" s="81"/>
      <c r="W40" s="82"/>
      <c r="X40" s="347"/>
      <c r="Z40" s="75"/>
      <c r="AA40" s="75"/>
      <c r="AB40" s="76"/>
      <c r="AC40" s="76"/>
      <c r="AD40" s="69"/>
      <c r="AE40" s="69"/>
    </row>
    <row r="41" spans="1:31" x14ac:dyDescent="0.3">
      <c r="A41" s="70">
        <v>43141</v>
      </c>
      <c r="B41" s="71" t="s">
        <v>76</v>
      </c>
      <c r="C41" s="72" t="s">
        <v>77</v>
      </c>
      <c r="D41" s="51">
        <v>2805.51</v>
      </c>
      <c r="E41" s="51">
        <v>2765.43</v>
      </c>
      <c r="F41" s="51">
        <v>2744.77</v>
      </c>
      <c r="G41" s="51">
        <v>2742.02</v>
      </c>
      <c r="H41" s="51">
        <v>2758.38</v>
      </c>
      <c r="I41" s="51">
        <v>2794.31</v>
      </c>
      <c r="J41" s="51">
        <v>2862.07</v>
      </c>
      <c r="K41" s="51">
        <v>2847.27</v>
      </c>
      <c r="L41" s="51">
        <v>2789.21</v>
      </c>
      <c r="M41" s="51">
        <v>2756.15</v>
      </c>
      <c r="N41" s="51">
        <v>2750.08</v>
      </c>
      <c r="O41" s="51">
        <v>2771.34</v>
      </c>
      <c r="P41" s="51">
        <v>2810.67</v>
      </c>
      <c r="Q41" s="72">
        <f>IF((P42=""),"",MAX(D43:P43))</f>
        <v>1630.7400000000002</v>
      </c>
      <c r="R41" s="72">
        <f>IF(P42="","",MIN(D43:P43))</f>
        <v>1596.1000000000004</v>
      </c>
      <c r="S41" s="72">
        <f>IF((P43=""),"",AVERAGE(D43:P43))</f>
        <v>1613.9353846153842</v>
      </c>
      <c r="T41" s="72">
        <f>IF((P42=""),"",STDEV(D43:P43))</f>
        <v>10.713496640052282</v>
      </c>
      <c r="U41" s="99">
        <f>IF((P42=""),"",((Q41-R41)/(Q41+R41))*100)</f>
        <v>1.0734960518649783</v>
      </c>
      <c r="V41" s="73" t="str">
        <f>IF(P42="","",IF(U41&lt;7.2,IF(S41&gt;1700,IF(S41&lt;1950,"Pass","Fail"),"Fail"),"Fail"))</f>
        <v>Fail</v>
      </c>
      <c r="W41" s="74">
        <v>102</v>
      </c>
      <c r="X41" s="347"/>
      <c r="Z41" s="75">
        <v>1600</v>
      </c>
      <c r="AA41" s="75">
        <v>2600</v>
      </c>
      <c r="AB41" s="76">
        <v>1700</v>
      </c>
      <c r="AC41" s="76">
        <v>1950</v>
      </c>
      <c r="AD41" s="69">
        <v>10</v>
      </c>
      <c r="AE41" s="69">
        <v>7.2</v>
      </c>
    </row>
    <row r="42" spans="1:31" ht="16.100000000000001" x14ac:dyDescent="0.35">
      <c r="A42"/>
      <c r="B42" s="66"/>
      <c r="C42" s="66" t="s">
        <v>78</v>
      </c>
      <c r="D42" s="51">
        <v>1996.11</v>
      </c>
      <c r="E42" s="51">
        <v>1964.53</v>
      </c>
      <c r="F42" s="51">
        <v>1945.44</v>
      </c>
      <c r="G42" s="51">
        <v>1937.84</v>
      </c>
      <c r="H42" s="51">
        <v>1948.6</v>
      </c>
      <c r="I42" s="51">
        <v>1979.97</v>
      </c>
      <c r="J42" s="51">
        <v>2051.48</v>
      </c>
      <c r="K42" s="51">
        <v>2037.79</v>
      </c>
      <c r="L42" s="51">
        <v>1973.84</v>
      </c>
      <c r="M42" s="51">
        <v>1948.62</v>
      </c>
      <c r="N42" s="51">
        <v>1944.86</v>
      </c>
      <c r="O42" s="51">
        <v>1964.93</v>
      </c>
      <c r="P42" s="51">
        <v>2012.62</v>
      </c>
      <c r="Q42" s="66"/>
      <c r="R42" s="66"/>
      <c r="S42" s="66"/>
      <c r="T42" s="66"/>
      <c r="U42" s="100"/>
      <c r="V42" s="77"/>
      <c r="W42" s="78"/>
      <c r="X42" s="347"/>
      <c r="Z42" s="75"/>
      <c r="AA42" s="75"/>
      <c r="AB42" s="76"/>
      <c r="AC42" s="76"/>
      <c r="AD42" s="69"/>
      <c r="AE42" s="69"/>
    </row>
    <row r="43" spans="1:31" ht="58.15" thickBot="1" x14ac:dyDescent="0.4">
      <c r="A43"/>
      <c r="B43" s="79"/>
      <c r="C43" s="79" t="s">
        <v>79</v>
      </c>
      <c r="D43" s="80">
        <f t="shared" ref="D43:P43" si="10">IF(((D41="")*AND(D42="")),"",(D41-D42)*2)</f>
        <v>1618.8000000000006</v>
      </c>
      <c r="E43" s="80">
        <f t="shared" si="10"/>
        <v>1601.7999999999997</v>
      </c>
      <c r="F43" s="80">
        <f t="shared" si="10"/>
        <v>1598.6599999999999</v>
      </c>
      <c r="G43" s="80">
        <f t="shared" si="10"/>
        <v>1608.3600000000001</v>
      </c>
      <c r="H43" s="80">
        <f t="shared" si="10"/>
        <v>1619.5600000000004</v>
      </c>
      <c r="I43" s="80">
        <f t="shared" si="10"/>
        <v>1628.6799999999998</v>
      </c>
      <c r="J43" s="80">
        <f t="shared" si="10"/>
        <v>1621.1800000000003</v>
      </c>
      <c r="K43" s="80">
        <f t="shared" si="10"/>
        <v>1618.96</v>
      </c>
      <c r="L43" s="80">
        <f t="shared" si="10"/>
        <v>1630.7400000000002</v>
      </c>
      <c r="M43" s="80">
        <f t="shared" si="10"/>
        <v>1615.0600000000004</v>
      </c>
      <c r="N43" s="80">
        <f t="shared" si="10"/>
        <v>1610.44</v>
      </c>
      <c r="O43" s="80">
        <f t="shared" si="10"/>
        <v>1612.8200000000002</v>
      </c>
      <c r="P43" s="80">
        <f t="shared" si="10"/>
        <v>1596.1000000000004</v>
      </c>
      <c r="Q43" s="79"/>
      <c r="R43" s="79"/>
      <c r="S43" s="79"/>
      <c r="T43" s="79"/>
      <c r="U43" s="101"/>
      <c r="V43" s="81"/>
      <c r="W43" s="82"/>
      <c r="X43" s="347"/>
      <c r="Z43" s="75"/>
      <c r="AA43" s="75"/>
      <c r="AB43" s="76"/>
      <c r="AC43" s="76"/>
      <c r="AD43" s="69"/>
      <c r="AE43" s="69"/>
    </row>
    <row r="44" spans="1:31" x14ac:dyDescent="0.3">
      <c r="A44" s="70">
        <v>43146</v>
      </c>
      <c r="B44" s="71" t="s">
        <v>76</v>
      </c>
      <c r="C44" s="72" t="s">
        <v>77</v>
      </c>
      <c r="D44" s="51">
        <v>2804.03</v>
      </c>
      <c r="E44" s="51">
        <v>2766.94</v>
      </c>
      <c r="F44" s="51">
        <v>2748.11</v>
      </c>
      <c r="G44" s="51">
        <v>2744.28</v>
      </c>
      <c r="H44" s="51">
        <v>2758.15</v>
      </c>
      <c r="I44" s="51">
        <v>2789.9</v>
      </c>
      <c r="J44" s="51">
        <v>2850.56</v>
      </c>
      <c r="K44" s="51">
        <v>2852.76</v>
      </c>
      <c r="L44" s="51">
        <v>2792.22</v>
      </c>
      <c r="M44" s="51">
        <v>2759.22</v>
      </c>
      <c r="N44" s="51">
        <v>2748.08</v>
      </c>
      <c r="O44" s="51">
        <v>2772</v>
      </c>
      <c r="P44" s="51">
        <v>2819.61</v>
      </c>
      <c r="Q44" s="72">
        <f>IF((P45=""),"",MAX(D46:P46))</f>
        <v>1870.7000000000003</v>
      </c>
      <c r="R44" s="72">
        <f>IF(P45="","",MIN(D46:P46))</f>
        <v>1702.9800000000005</v>
      </c>
      <c r="S44" s="72">
        <f>IF((P46=""),"",AVERAGE(D46:P46))</f>
        <v>1812.7446153846156</v>
      </c>
      <c r="T44" s="72">
        <f>IF((P45=""),"",STDEV(D46:P46))</f>
        <v>53.322760089756535</v>
      </c>
      <c r="U44" s="99">
        <f>IF((P45=""),"",((Q44-R44)/(Q44+R44))*100)</f>
        <v>4.6932014058337561</v>
      </c>
      <c r="V44" s="73" t="str">
        <f>IF(P45="","",IF(U44&lt;7.2,IF(S44&gt;1700,IF(S44&lt;1950,"Pass","Fail"),"Fail"),"Fail"))</f>
        <v>Pass</v>
      </c>
      <c r="W44" s="74">
        <v>1335</v>
      </c>
      <c r="X44" s="347"/>
      <c r="Z44" s="75">
        <v>1600</v>
      </c>
      <c r="AA44" s="75">
        <v>2600</v>
      </c>
      <c r="AB44" s="76">
        <v>1700</v>
      </c>
      <c r="AC44" s="76">
        <v>1950</v>
      </c>
      <c r="AD44" s="69">
        <v>10</v>
      </c>
      <c r="AE44" s="69">
        <v>7.2</v>
      </c>
    </row>
    <row r="45" spans="1:31" ht="16.100000000000001" x14ac:dyDescent="0.35">
      <c r="A45"/>
      <c r="B45" s="66"/>
      <c r="C45" s="66" t="s">
        <v>78</v>
      </c>
      <c r="D45" s="51">
        <v>1946.21</v>
      </c>
      <c r="E45" s="51">
        <v>1858.58</v>
      </c>
      <c r="F45" s="51">
        <v>1832.27</v>
      </c>
      <c r="G45" s="51">
        <v>1822.63</v>
      </c>
      <c r="H45" s="51">
        <v>1828.05</v>
      </c>
      <c r="I45" s="51">
        <v>1854.55</v>
      </c>
      <c r="J45" s="51">
        <v>1960.45</v>
      </c>
      <c r="K45" s="51">
        <v>1963.7</v>
      </c>
      <c r="L45" s="51">
        <v>1868.35</v>
      </c>
      <c r="M45" s="51">
        <v>1836.24</v>
      </c>
      <c r="N45" s="51">
        <v>1827.81</v>
      </c>
      <c r="O45" s="51">
        <v>1856.06</v>
      </c>
      <c r="P45" s="51">
        <v>1968.12</v>
      </c>
      <c r="Q45" s="66"/>
      <c r="R45" s="66"/>
      <c r="S45" s="66"/>
      <c r="T45" s="66"/>
      <c r="U45" s="100"/>
      <c r="V45" s="77"/>
      <c r="W45" s="78"/>
      <c r="X45" s="347"/>
      <c r="Z45" s="75"/>
      <c r="AA45" s="75"/>
      <c r="AB45" s="76"/>
      <c r="AC45" s="76"/>
      <c r="AD45" s="69"/>
      <c r="AE45" s="69"/>
    </row>
    <row r="46" spans="1:31" ht="58.15" thickBot="1" x14ac:dyDescent="0.4">
      <c r="A46"/>
      <c r="B46" s="79"/>
      <c r="C46" s="79" t="s">
        <v>79</v>
      </c>
      <c r="D46" s="80">
        <f t="shared" ref="D46:P46" si="11">IF(((D44="")*AND(D45="")),"",(D44-D45)*2)</f>
        <v>1715.6400000000003</v>
      </c>
      <c r="E46" s="80">
        <f t="shared" si="11"/>
        <v>1816.7200000000003</v>
      </c>
      <c r="F46" s="80">
        <f t="shared" si="11"/>
        <v>1831.6800000000003</v>
      </c>
      <c r="G46" s="80">
        <f t="shared" si="11"/>
        <v>1843.3000000000002</v>
      </c>
      <c r="H46" s="80">
        <f t="shared" si="11"/>
        <v>1860.2000000000003</v>
      </c>
      <c r="I46" s="80">
        <f t="shared" si="11"/>
        <v>1870.7000000000003</v>
      </c>
      <c r="J46" s="80">
        <f t="shared" si="11"/>
        <v>1780.2199999999998</v>
      </c>
      <c r="K46" s="80">
        <f t="shared" si="11"/>
        <v>1778.1200000000003</v>
      </c>
      <c r="L46" s="80">
        <f t="shared" si="11"/>
        <v>1847.7399999999998</v>
      </c>
      <c r="M46" s="80">
        <f t="shared" si="11"/>
        <v>1845.9599999999996</v>
      </c>
      <c r="N46" s="80">
        <f t="shared" si="11"/>
        <v>1840.54</v>
      </c>
      <c r="O46" s="80">
        <f t="shared" si="11"/>
        <v>1831.88</v>
      </c>
      <c r="P46" s="80">
        <f t="shared" si="11"/>
        <v>1702.9800000000005</v>
      </c>
      <c r="Q46" s="79"/>
      <c r="R46" s="79"/>
      <c r="S46" s="79"/>
      <c r="T46" s="79"/>
      <c r="U46" s="101"/>
      <c r="V46" s="81"/>
      <c r="W46" s="82"/>
      <c r="X46" s="347"/>
      <c r="Z46" s="75"/>
      <c r="AA46" s="75"/>
      <c r="AB46" s="76"/>
      <c r="AC46" s="76"/>
      <c r="AD46" s="69"/>
      <c r="AE46" s="69"/>
    </row>
    <row r="47" spans="1:31" x14ac:dyDescent="0.3">
      <c r="A47" s="70">
        <v>43151</v>
      </c>
      <c r="B47" s="71" t="s">
        <v>76</v>
      </c>
      <c r="C47" s="72" t="s">
        <v>77</v>
      </c>
      <c r="D47" s="51">
        <v>2810.79</v>
      </c>
      <c r="E47" s="51">
        <v>2765.9</v>
      </c>
      <c r="F47" s="51">
        <v>2742.16</v>
      </c>
      <c r="G47" s="51">
        <v>2744.85</v>
      </c>
      <c r="H47" s="51">
        <v>2758.8</v>
      </c>
      <c r="I47" s="51">
        <v>2795.28</v>
      </c>
      <c r="J47" s="51">
        <v>2857.08</v>
      </c>
      <c r="K47" s="51">
        <v>2831.79</v>
      </c>
      <c r="L47" s="51">
        <v>2780.56</v>
      </c>
      <c r="M47" s="51">
        <v>2752.63</v>
      </c>
      <c r="N47" s="51">
        <v>2746.9</v>
      </c>
      <c r="O47" s="51">
        <v>2768.82</v>
      </c>
      <c r="P47" s="51">
        <v>2817.39</v>
      </c>
      <c r="Q47" s="72">
        <f>IF((P48=""),"",MAX(D49:P49))</f>
        <v>1806.4400000000005</v>
      </c>
      <c r="R47" s="72">
        <f>IF(P48="","",MIN(D49:P49))</f>
        <v>1646.9199999999996</v>
      </c>
      <c r="S47" s="72">
        <f>IF((P49=""),"",AVERAGE(D49:P49))</f>
        <v>1755.7753846153848</v>
      </c>
      <c r="T47" s="72">
        <f>IF((P48=""),"",STDEV(D49:P49))</f>
        <v>53.737053730082337</v>
      </c>
      <c r="U47" s="99">
        <f>IF((P48=""),"",((Q47-R47)/(Q47+R47))*100)</f>
        <v>4.6192693492714598</v>
      </c>
      <c r="V47" s="73" t="str">
        <f>IF(P48="","",IF(U47&lt;7.2,IF(S47&gt;1700,IF(S47&lt;1950,"Pass","Fail"),"Fail"),"Fail"))</f>
        <v>Pass</v>
      </c>
      <c r="W47" s="74">
        <v>102</v>
      </c>
      <c r="X47" s="347"/>
      <c r="Z47" s="75">
        <v>1600</v>
      </c>
      <c r="AA47" s="75">
        <v>2600</v>
      </c>
      <c r="AB47" s="76">
        <v>1700</v>
      </c>
      <c r="AC47" s="76">
        <v>1950</v>
      </c>
      <c r="AD47" s="69">
        <v>10</v>
      </c>
      <c r="AE47" s="69">
        <v>7.2</v>
      </c>
    </row>
    <row r="48" spans="1:31" ht="16.100000000000001" x14ac:dyDescent="0.35">
      <c r="A48"/>
      <c r="B48" s="66"/>
      <c r="C48" s="66" t="s">
        <v>78</v>
      </c>
      <c r="D48" s="51">
        <v>1976.29</v>
      </c>
      <c r="E48" s="51">
        <v>1881.73</v>
      </c>
      <c r="F48" s="51">
        <v>1854.23</v>
      </c>
      <c r="G48" s="51">
        <v>1848.7</v>
      </c>
      <c r="H48" s="51">
        <v>1857.16</v>
      </c>
      <c r="I48" s="51">
        <v>1892.06</v>
      </c>
      <c r="J48" s="51">
        <v>2006.78</v>
      </c>
      <c r="K48" s="51">
        <v>1973.57</v>
      </c>
      <c r="L48" s="51">
        <v>1884.61</v>
      </c>
      <c r="M48" s="51">
        <v>1857.43</v>
      </c>
      <c r="N48" s="51">
        <v>1852.4</v>
      </c>
      <c r="O48" s="51">
        <v>1881.52</v>
      </c>
      <c r="P48" s="51">
        <v>1993.93</v>
      </c>
      <c r="Q48" s="66"/>
      <c r="R48" s="66"/>
      <c r="S48" s="66"/>
      <c r="T48" s="66"/>
      <c r="U48" s="100"/>
      <c r="V48" s="77"/>
      <c r="W48" s="78"/>
      <c r="X48" s="347"/>
      <c r="Z48" s="75"/>
      <c r="AA48" s="75"/>
      <c r="AB48" s="76"/>
      <c r="AC48" s="76"/>
      <c r="AD48" s="69"/>
      <c r="AE48" s="69"/>
    </row>
    <row r="49" spans="1:31" ht="58.15" thickBot="1" x14ac:dyDescent="0.4">
      <c r="A49"/>
      <c r="B49" s="79"/>
      <c r="C49" s="79" t="s">
        <v>79</v>
      </c>
      <c r="D49" s="80">
        <f t="shared" ref="D49:P49" si="12">IF(((D47="")*AND(D48="")),"",(D47-D48)*2)</f>
        <v>1669</v>
      </c>
      <c r="E49" s="80">
        <f t="shared" si="12"/>
        <v>1768.3400000000001</v>
      </c>
      <c r="F49" s="80">
        <f t="shared" si="12"/>
        <v>1775.8599999999997</v>
      </c>
      <c r="G49" s="80">
        <f t="shared" si="12"/>
        <v>1792.2999999999997</v>
      </c>
      <c r="H49" s="80">
        <f t="shared" si="12"/>
        <v>1803.2800000000002</v>
      </c>
      <c r="I49" s="80">
        <f t="shared" si="12"/>
        <v>1806.4400000000005</v>
      </c>
      <c r="J49" s="80">
        <f t="shared" si="12"/>
        <v>1700.6</v>
      </c>
      <c r="K49" s="80">
        <f t="shared" si="12"/>
        <v>1716.44</v>
      </c>
      <c r="L49" s="80">
        <f t="shared" si="12"/>
        <v>1791.9</v>
      </c>
      <c r="M49" s="80">
        <f t="shared" si="12"/>
        <v>1790.4</v>
      </c>
      <c r="N49" s="80">
        <f t="shared" si="12"/>
        <v>1789</v>
      </c>
      <c r="O49" s="80">
        <f t="shared" si="12"/>
        <v>1774.6000000000004</v>
      </c>
      <c r="P49" s="80">
        <f t="shared" si="12"/>
        <v>1646.9199999999996</v>
      </c>
      <c r="Q49" s="79"/>
      <c r="R49" s="79"/>
      <c r="S49" s="79"/>
      <c r="T49" s="79"/>
      <c r="U49" s="101"/>
      <c r="V49" s="81"/>
      <c r="W49" s="82"/>
      <c r="X49" s="347"/>
      <c r="Z49" s="75"/>
      <c r="AA49" s="75"/>
      <c r="AB49" s="76"/>
      <c r="AC49" s="76"/>
      <c r="AD49" s="69"/>
      <c r="AE49" s="69"/>
    </row>
    <row r="50" spans="1:31" x14ac:dyDescent="0.3">
      <c r="A50" s="70">
        <v>43156</v>
      </c>
      <c r="B50" s="71" t="s">
        <v>76</v>
      </c>
      <c r="C50" s="72" t="s">
        <v>77</v>
      </c>
      <c r="D50" s="51">
        <v>1977.8</v>
      </c>
      <c r="E50" s="51">
        <v>1881.78</v>
      </c>
      <c r="F50" s="51">
        <v>1854.91</v>
      </c>
      <c r="G50" s="51">
        <v>1849.29</v>
      </c>
      <c r="H50" s="51">
        <v>1858.42</v>
      </c>
      <c r="I50" s="51">
        <v>1892.24</v>
      </c>
      <c r="J50" s="51">
        <v>2006.77</v>
      </c>
      <c r="K50" s="51">
        <v>1974.03</v>
      </c>
      <c r="L50" s="51">
        <v>1885.09</v>
      </c>
      <c r="M50" s="51">
        <v>1858.36</v>
      </c>
      <c r="N50" s="51">
        <v>1854.04</v>
      </c>
      <c r="O50" s="51">
        <v>1883.25</v>
      </c>
      <c r="P50" s="51">
        <v>1996.55</v>
      </c>
      <c r="Q50" s="72">
        <f>IF((P51=""),"",MAX(D52:P52))</f>
        <v>1915.22</v>
      </c>
      <c r="R50" s="72">
        <f>IF(P51="","",MIN(D52:P52))</f>
        <v>1730.42</v>
      </c>
      <c r="S50" s="72">
        <f>IF((P52=""),"",AVERAGE(D52:P52))</f>
        <v>1852.9107692307696</v>
      </c>
      <c r="T50" s="72">
        <f>IF((P51=""),"",STDEV(D52:P52))</f>
        <v>57.553774631721339</v>
      </c>
      <c r="U50" s="99">
        <f>IF((P51=""),"",((Q50-R50)/(Q50+R50))*100)</f>
        <v>5.0690688054772259</v>
      </c>
      <c r="V50" s="73" t="str">
        <f>IF(P51="","",IF(U50&lt;7.2,IF(S50&gt;1700,IF(S50&lt;1950,"Pass","Fail"),"Fail"),"Fail"))</f>
        <v>Pass</v>
      </c>
      <c r="W50" s="74"/>
      <c r="X50" s="347"/>
      <c r="Z50" s="75">
        <v>1600</v>
      </c>
      <c r="AA50" s="75">
        <v>2600</v>
      </c>
      <c r="AB50" s="76">
        <v>1700</v>
      </c>
      <c r="AC50" s="76">
        <v>1950</v>
      </c>
      <c r="AD50" s="69">
        <v>10</v>
      </c>
      <c r="AE50" s="69">
        <v>7.2</v>
      </c>
    </row>
    <row r="51" spans="1:31" ht="16.100000000000001" x14ac:dyDescent="0.35">
      <c r="A51"/>
      <c r="B51" s="66"/>
      <c r="C51" s="66" t="s">
        <v>78</v>
      </c>
      <c r="D51" s="51">
        <v>1098.3</v>
      </c>
      <c r="E51" s="51">
        <v>951.57</v>
      </c>
      <c r="F51" s="51">
        <v>918.22</v>
      </c>
      <c r="G51" s="51">
        <v>908.47</v>
      </c>
      <c r="H51" s="51">
        <v>910.38</v>
      </c>
      <c r="I51" s="51">
        <v>934.63</v>
      </c>
      <c r="J51" s="51">
        <v>1102.67</v>
      </c>
      <c r="K51" s="51">
        <v>1068.56</v>
      </c>
      <c r="L51" s="51">
        <v>936.36</v>
      </c>
      <c r="M51" s="51">
        <v>915.99</v>
      </c>
      <c r="N51" s="51">
        <v>909.23</v>
      </c>
      <c r="O51" s="51">
        <v>942.89</v>
      </c>
      <c r="P51" s="51">
        <v>1131.3399999999999</v>
      </c>
      <c r="Q51" s="66"/>
      <c r="R51" s="66"/>
      <c r="S51" s="66"/>
      <c r="T51" s="66"/>
      <c r="U51" s="100"/>
      <c r="V51" s="77"/>
      <c r="W51" s="78"/>
      <c r="X51" s="347"/>
      <c r="Z51" s="75"/>
      <c r="AA51" s="75"/>
      <c r="AB51" s="76"/>
      <c r="AC51" s="76"/>
      <c r="AD51" s="69"/>
      <c r="AE51" s="69"/>
    </row>
    <row r="52" spans="1:31" ht="58.15" thickBot="1" x14ac:dyDescent="0.4">
      <c r="A52"/>
      <c r="B52" s="79"/>
      <c r="C52" s="79" t="s">
        <v>79</v>
      </c>
      <c r="D52" s="80">
        <f t="shared" ref="D52:P52" si="13">IF(((D50="")*AND(D51="")),"",(D50-D51)*2)</f>
        <v>1759</v>
      </c>
      <c r="E52" s="80">
        <f t="shared" si="13"/>
        <v>1860.4199999999998</v>
      </c>
      <c r="F52" s="80">
        <f t="shared" si="13"/>
        <v>1873.38</v>
      </c>
      <c r="G52" s="80">
        <f t="shared" si="13"/>
        <v>1881.6399999999999</v>
      </c>
      <c r="H52" s="80">
        <f t="shared" si="13"/>
        <v>1896.0800000000002</v>
      </c>
      <c r="I52" s="80">
        <f t="shared" si="13"/>
        <v>1915.22</v>
      </c>
      <c r="J52" s="80">
        <f t="shared" si="13"/>
        <v>1808.1999999999998</v>
      </c>
      <c r="K52" s="80">
        <f t="shared" si="13"/>
        <v>1810.94</v>
      </c>
      <c r="L52" s="80">
        <f t="shared" si="13"/>
        <v>1897.4599999999998</v>
      </c>
      <c r="M52" s="80">
        <f t="shared" si="13"/>
        <v>1884.7399999999998</v>
      </c>
      <c r="N52" s="80">
        <f t="shared" si="13"/>
        <v>1889.62</v>
      </c>
      <c r="O52" s="80">
        <f t="shared" si="13"/>
        <v>1880.72</v>
      </c>
      <c r="P52" s="80">
        <f t="shared" si="13"/>
        <v>1730.42</v>
      </c>
      <c r="Q52" s="79"/>
      <c r="R52" s="79"/>
      <c r="S52" s="79"/>
      <c r="T52" s="79"/>
      <c r="U52" s="101"/>
      <c r="V52" s="81"/>
      <c r="W52" s="82"/>
      <c r="X52" s="347"/>
      <c r="Z52" s="75"/>
      <c r="AA52" s="75"/>
      <c r="AB52" s="76"/>
      <c r="AC52" s="76"/>
      <c r="AD52" s="69"/>
      <c r="AE52" s="69"/>
    </row>
    <row r="53" spans="1:31" ht="21.05" customHeight="1" x14ac:dyDescent="0.3">
      <c r="A53" s="70">
        <v>43178</v>
      </c>
      <c r="B53" s="71" t="s">
        <v>76</v>
      </c>
      <c r="C53" s="72" t="s">
        <v>77</v>
      </c>
      <c r="D53" s="51">
        <v>2086</v>
      </c>
      <c r="E53" s="51">
        <v>2071</v>
      </c>
      <c r="F53" s="51">
        <v>2079</v>
      </c>
      <c r="G53" s="51">
        <v>2082</v>
      </c>
      <c r="H53" s="51">
        <v>2081</v>
      </c>
      <c r="I53" s="51">
        <v>2073</v>
      </c>
      <c r="J53" s="51">
        <v>2083</v>
      </c>
      <c r="K53" s="51">
        <v>2092</v>
      </c>
      <c r="L53" s="51">
        <v>2068</v>
      </c>
      <c r="M53" s="51">
        <v>2075</v>
      </c>
      <c r="N53" s="51">
        <v>2090</v>
      </c>
      <c r="O53" s="51">
        <v>2096</v>
      </c>
      <c r="P53" s="51">
        <v>2127</v>
      </c>
      <c r="Q53" s="72">
        <f>IF((P54=""),"",MAX(D55:P55))</f>
        <v>1958</v>
      </c>
      <c r="R53" s="72">
        <f>IF(P54="","",MIN(D55:P55))</f>
        <v>1786</v>
      </c>
      <c r="S53" s="72">
        <f>IF((P55=""),"",AVERAGE(D55:P55))</f>
        <v>1895.6923076923076</v>
      </c>
      <c r="T53" s="72">
        <f>IF((P54=""),"",STDEV(D55:P55))</f>
        <v>57.375059354195322</v>
      </c>
      <c r="U53" s="99">
        <f>IF((P54=""),"",((Q53-R53)/(Q53+R53))*100)</f>
        <v>4.5940170940170946</v>
      </c>
      <c r="V53" s="73" t="str">
        <f>IF(P54="","",IF(U53&lt;7.2,IF(S53&gt;1700,IF(S53&lt;2100,"Pass","Fail"),"Fail"),"Fail"))</f>
        <v>Pass</v>
      </c>
      <c r="W53" s="74">
        <v>121</v>
      </c>
      <c r="X53" s="347"/>
      <c r="Y53" s="334" t="s">
        <v>84</v>
      </c>
      <c r="Z53" s="75">
        <v>1600</v>
      </c>
      <c r="AA53" s="75">
        <v>2600</v>
      </c>
      <c r="AB53" s="76">
        <v>1700</v>
      </c>
      <c r="AC53" s="76">
        <v>2100</v>
      </c>
      <c r="AD53" s="69">
        <v>10</v>
      </c>
      <c r="AE53" s="69">
        <v>7.2</v>
      </c>
    </row>
    <row r="54" spans="1:31" ht="16.100000000000001" x14ac:dyDescent="0.35">
      <c r="A54"/>
      <c r="B54" s="66"/>
      <c r="C54" s="66" t="s">
        <v>78</v>
      </c>
      <c r="D54" s="51">
        <v>1193</v>
      </c>
      <c r="E54" s="51">
        <v>1119</v>
      </c>
      <c r="F54" s="51">
        <v>1120</v>
      </c>
      <c r="G54" s="51">
        <v>1118</v>
      </c>
      <c r="H54" s="51">
        <v>1107</v>
      </c>
      <c r="I54" s="51">
        <v>1094</v>
      </c>
      <c r="J54" s="51">
        <v>1150</v>
      </c>
      <c r="K54" s="51">
        <v>1174</v>
      </c>
      <c r="L54" s="51">
        <v>1097</v>
      </c>
      <c r="M54" s="51">
        <v>1108</v>
      </c>
      <c r="N54" s="51">
        <v>1129</v>
      </c>
      <c r="O54" s="51">
        <v>1142</v>
      </c>
      <c r="P54" s="51">
        <v>1230</v>
      </c>
      <c r="Q54" s="66"/>
      <c r="R54" s="66"/>
      <c r="S54" s="66"/>
      <c r="T54" s="66"/>
      <c r="U54" s="100"/>
      <c r="V54" s="77"/>
      <c r="W54" s="84"/>
      <c r="X54" s="347"/>
      <c r="Z54" s="75"/>
      <c r="AA54" s="75"/>
      <c r="AB54" s="76"/>
      <c r="AC54" s="76"/>
      <c r="AD54" s="69"/>
      <c r="AE54" s="69"/>
    </row>
    <row r="55" spans="1:31" ht="58.15" thickBot="1" x14ac:dyDescent="0.4">
      <c r="A55"/>
      <c r="B55" s="79"/>
      <c r="C55" s="79" t="s">
        <v>79</v>
      </c>
      <c r="D55" s="80">
        <f t="shared" ref="D55:P55" si="14">IF(((D53="")*AND(D54="")),"",(D53-D54)*2)</f>
        <v>1786</v>
      </c>
      <c r="E55" s="80">
        <f t="shared" si="14"/>
        <v>1904</v>
      </c>
      <c r="F55" s="80">
        <f t="shared" si="14"/>
        <v>1918</v>
      </c>
      <c r="G55" s="80">
        <f t="shared" si="14"/>
        <v>1928</v>
      </c>
      <c r="H55" s="80">
        <f t="shared" si="14"/>
        <v>1948</v>
      </c>
      <c r="I55" s="80">
        <f t="shared" si="14"/>
        <v>1958</v>
      </c>
      <c r="J55" s="80">
        <f t="shared" si="14"/>
        <v>1866</v>
      </c>
      <c r="K55" s="80">
        <f t="shared" si="14"/>
        <v>1836</v>
      </c>
      <c r="L55" s="80">
        <f t="shared" si="14"/>
        <v>1942</v>
      </c>
      <c r="M55" s="80">
        <f t="shared" si="14"/>
        <v>1934</v>
      </c>
      <c r="N55" s="80">
        <f t="shared" si="14"/>
        <v>1922</v>
      </c>
      <c r="O55" s="80">
        <f t="shared" si="14"/>
        <v>1908</v>
      </c>
      <c r="P55" s="80">
        <f t="shared" si="14"/>
        <v>1794</v>
      </c>
      <c r="Q55" s="79"/>
      <c r="R55" s="79"/>
      <c r="S55" s="79"/>
      <c r="T55" s="79"/>
      <c r="U55" s="101"/>
      <c r="V55" s="81"/>
      <c r="W55" s="85"/>
      <c r="X55" s="347"/>
      <c r="Z55" s="75"/>
      <c r="AA55" s="75"/>
      <c r="AB55" s="76"/>
      <c r="AC55" s="76"/>
      <c r="AD55" s="69"/>
      <c r="AE55" s="69"/>
    </row>
    <row r="56" spans="1:31" ht="19.55" customHeight="1" thickBot="1" x14ac:dyDescent="0.35">
      <c r="A56" s="70">
        <v>43182</v>
      </c>
      <c r="B56" s="71" t="s">
        <v>76</v>
      </c>
      <c r="C56" s="72" t="s">
        <v>77</v>
      </c>
      <c r="D56" s="51">
        <v>1694.27</v>
      </c>
      <c r="E56" s="51">
        <v>1663.64</v>
      </c>
      <c r="F56" s="51">
        <v>1657.77</v>
      </c>
      <c r="G56" s="51">
        <v>1666.09</v>
      </c>
      <c r="H56" s="51">
        <v>1683.18</v>
      </c>
      <c r="I56" s="51">
        <v>1719.33</v>
      </c>
      <c r="J56" s="51">
        <v>1785.09</v>
      </c>
      <c r="K56" s="51">
        <v>1795.09</v>
      </c>
      <c r="L56" s="51">
        <v>1717.49</v>
      </c>
      <c r="M56" s="51">
        <v>1681.09</v>
      </c>
      <c r="N56" s="51">
        <v>1661.66</v>
      </c>
      <c r="O56" s="51">
        <v>1682.56</v>
      </c>
      <c r="P56" s="51">
        <v>1736.6</v>
      </c>
      <c r="Q56" s="72">
        <f>IF((P57=""),"",MAX(D58:P58))</f>
        <v>2100.7799999999997</v>
      </c>
      <c r="R56" s="72">
        <f>IF(P57="","",MIN(D58:P58))</f>
        <v>1889.8799999999999</v>
      </c>
      <c r="S56" s="72">
        <f>IF((P58=""),"",AVERAGE(D58:P58))</f>
        <v>2028.0369230769227</v>
      </c>
      <c r="T56" s="72">
        <f>IF((P57=""),"",STDEV(D58:P58))</f>
        <v>69.199323622009473</v>
      </c>
      <c r="U56" s="99">
        <f>IF((P57=""),"",((Q56-R56)/(Q56+R56))*100)</f>
        <v>5.2848401016373199</v>
      </c>
      <c r="V56" s="73" t="str">
        <f>IF(P57="","",IF(U56&lt;7.2,IF(S56&gt;1700,IF(S56&lt;2100,"Pass","Fail"),"Fail"),"Fail"))</f>
        <v>Pass</v>
      </c>
      <c r="W56" s="74">
        <v>1159</v>
      </c>
      <c r="X56" s="347" t="s">
        <v>115</v>
      </c>
      <c r="Y56" s="335" t="s">
        <v>168</v>
      </c>
      <c r="Z56" s="75">
        <v>1600</v>
      </c>
      <c r="AA56" s="75">
        <v>2600</v>
      </c>
      <c r="AB56" s="76">
        <v>1700</v>
      </c>
      <c r="AC56" s="76">
        <v>2100</v>
      </c>
      <c r="AD56" s="69">
        <v>10</v>
      </c>
      <c r="AE56" s="69">
        <v>7.2</v>
      </c>
    </row>
    <row r="57" spans="1:31" ht="16.649999999999999" thickBot="1" x14ac:dyDescent="0.4">
      <c r="A57"/>
      <c r="B57" s="66"/>
      <c r="C57" s="66" t="s">
        <v>78</v>
      </c>
      <c r="D57" s="51">
        <v>722.2</v>
      </c>
      <c r="E57" s="51">
        <v>645.24</v>
      </c>
      <c r="F57" s="51">
        <v>629.16</v>
      </c>
      <c r="G57" s="51">
        <v>633.46</v>
      </c>
      <c r="H57" s="51">
        <v>639.61</v>
      </c>
      <c r="I57" s="51">
        <v>668.94</v>
      </c>
      <c r="J57" s="51">
        <v>823.32</v>
      </c>
      <c r="K57" s="51">
        <v>804.15</v>
      </c>
      <c r="L57" s="51">
        <v>677.19</v>
      </c>
      <c r="M57" s="51">
        <v>644.78</v>
      </c>
      <c r="N57" s="51">
        <v>627.19000000000005</v>
      </c>
      <c r="O57" s="51">
        <v>654.72</v>
      </c>
      <c r="P57" s="51">
        <v>791.66</v>
      </c>
      <c r="Q57" s="66"/>
      <c r="R57" s="66"/>
      <c r="S57" s="66"/>
      <c r="T57" s="66"/>
      <c r="U57" s="100"/>
      <c r="V57" s="73"/>
      <c r="W57" s="78"/>
      <c r="X57" s="347"/>
      <c r="Z57" s="75"/>
      <c r="AA57" s="75"/>
      <c r="AB57" s="76"/>
      <c r="AC57" s="76"/>
      <c r="AD57" s="69"/>
      <c r="AE57" s="69"/>
    </row>
    <row r="58" spans="1:31" ht="58.15" thickBot="1" x14ac:dyDescent="0.4">
      <c r="A58"/>
      <c r="B58" s="79"/>
      <c r="C58" s="79" t="s">
        <v>79</v>
      </c>
      <c r="D58" s="80">
        <f t="shared" ref="D58:P58" si="15">IF(((D56="")*AND(D57="")),"",(D56-D57)*2)</f>
        <v>1944.1399999999999</v>
      </c>
      <c r="E58" s="80">
        <f t="shared" si="15"/>
        <v>2036.8000000000002</v>
      </c>
      <c r="F58" s="80">
        <f t="shared" si="15"/>
        <v>2057.2200000000003</v>
      </c>
      <c r="G58" s="80">
        <f t="shared" si="15"/>
        <v>2065.2599999999998</v>
      </c>
      <c r="H58" s="80">
        <f t="shared" si="15"/>
        <v>2087.1400000000003</v>
      </c>
      <c r="I58" s="80">
        <f t="shared" si="15"/>
        <v>2100.7799999999997</v>
      </c>
      <c r="J58" s="80">
        <f t="shared" si="15"/>
        <v>1923.5399999999997</v>
      </c>
      <c r="K58" s="80">
        <f t="shared" si="15"/>
        <v>1981.8799999999999</v>
      </c>
      <c r="L58" s="80">
        <f t="shared" si="15"/>
        <v>2080.6</v>
      </c>
      <c r="M58" s="80">
        <f t="shared" si="15"/>
        <v>2072.62</v>
      </c>
      <c r="N58" s="80">
        <f t="shared" si="15"/>
        <v>2068.94</v>
      </c>
      <c r="O58" s="80">
        <f t="shared" si="15"/>
        <v>2055.6799999999998</v>
      </c>
      <c r="P58" s="80">
        <f t="shared" si="15"/>
        <v>1889.8799999999999</v>
      </c>
      <c r="Q58" s="79"/>
      <c r="R58" s="79"/>
      <c r="S58" s="79"/>
      <c r="T58" s="79"/>
      <c r="U58" s="101"/>
      <c r="V58" s="73"/>
      <c r="W58" s="82"/>
      <c r="X58" s="347"/>
      <c r="Z58" s="75"/>
      <c r="AA58" s="75"/>
      <c r="AB58" s="76"/>
      <c r="AC58" s="76"/>
      <c r="AD58" s="69"/>
      <c r="AE58" s="69"/>
    </row>
    <row r="59" spans="1:31" ht="14.95" thickBot="1" x14ac:dyDescent="0.35">
      <c r="A59" s="70">
        <v>43199</v>
      </c>
      <c r="B59" s="71" t="s">
        <v>76</v>
      </c>
      <c r="C59" s="72" t="s">
        <v>77</v>
      </c>
      <c r="D59" s="51">
        <v>2848.83</v>
      </c>
      <c r="E59" s="51">
        <v>2795.94</v>
      </c>
      <c r="F59" s="51">
        <v>2770.6</v>
      </c>
      <c r="G59" s="51">
        <v>2768</v>
      </c>
      <c r="H59" s="51">
        <v>2786.83</v>
      </c>
      <c r="I59" s="51">
        <v>2829.43</v>
      </c>
      <c r="J59" s="51">
        <v>2898.66</v>
      </c>
      <c r="K59" s="51">
        <v>2853.14</v>
      </c>
      <c r="L59" s="51">
        <v>2803.42</v>
      </c>
      <c r="M59" s="51">
        <v>2777.19</v>
      </c>
      <c r="N59" s="51">
        <v>2775.68</v>
      </c>
      <c r="O59" s="51">
        <v>2801.03</v>
      </c>
      <c r="P59" s="51">
        <v>2857</v>
      </c>
      <c r="Q59" s="72">
        <f>IF((P60=""),"",MAX(D61:P61))</f>
        <v>1921.9199999999996</v>
      </c>
      <c r="R59" s="72">
        <f>IF(P60="","",MIN(D61:P61))</f>
        <v>1750.04</v>
      </c>
      <c r="S59" s="72">
        <f>IF((P61=""),"",AVERAGE(D61:P61))</f>
        <v>1868.4461538461535</v>
      </c>
      <c r="T59" s="72">
        <f>IF((P60=""),"",STDEV(D61:P61))</f>
        <v>57.095189163720562</v>
      </c>
      <c r="U59" s="99">
        <f>IF((P60=""),"",((Q59-R59)/(Q59+R59))*100)</f>
        <v>4.6808788766762071</v>
      </c>
      <c r="V59" s="73" t="str">
        <f>IF(P60="","",IF(U59&lt;7.2,IF(S59&gt;1700,IF(S59&lt;2100,"Pass","Fail"),"Fail"),"Fail"))</f>
        <v>Pass</v>
      </c>
      <c r="W59" s="74">
        <v>1159</v>
      </c>
      <c r="X59" s="347"/>
      <c r="Z59" s="75">
        <v>1600</v>
      </c>
      <c r="AA59" s="75">
        <v>2600</v>
      </c>
      <c r="AB59" s="76">
        <v>1700</v>
      </c>
      <c r="AC59" s="76">
        <v>2100</v>
      </c>
      <c r="AD59" s="69">
        <v>10</v>
      </c>
      <c r="AE59" s="69">
        <v>7.2</v>
      </c>
    </row>
    <row r="60" spans="1:31" ht="16.649999999999999" thickBot="1" x14ac:dyDescent="0.4">
      <c r="A60"/>
      <c r="B60" s="66"/>
      <c r="C60" s="66" t="s">
        <v>78</v>
      </c>
      <c r="D60" s="51">
        <v>1960.15</v>
      </c>
      <c r="E60" s="51">
        <v>1853.09</v>
      </c>
      <c r="F60" s="51">
        <v>1823.07</v>
      </c>
      <c r="G60" s="51">
        <v>1816.36</v>
      </c>
      <c r="H60" s="51">
        <v>1827.88</v>
      </c>
      <c r="I60" s="51">
        <v>1868.47</v>
      </c>
      <c r="J60" s="51">
        <v>1993.5</v>
      </c>
      <c r="K60" s="51">
        <v>1939.2</v>
      </c>
      <c r="L60" s="51">
        <v>1850.84</v>
      </c>
      <c r="M60" s="51">
        <v>1823.47</v>
      </c>
      <c r="N60" s="51">
        <v>1825.36</v>
      </c>
      <c r="O60" s="51">
        <v>1857.48</v>
      </c>
      <c r="P60" s="51">
        <v>1981.98</v>
      </c>
      <c r="Q60" s="66"/>
      <c r="R60" s="66"/>
      <c r="S60" s="66"/>
      <c r="T60" s="66"/>
      <c r="U60" s="100"/>
      <c r="V60" s="73"/>
      <c r="W60" s="78"/>
      <c r="X60" s="347"/>
      <c r="Z60" s="75"/>
      <c r="AA60" s="75"/>
      <c r="AB60" s="76"/>
      <c r="AC60" s="76"/>
      <c r="AD60" s="69"/>
      <c r="AE60" s="69"/>
    </row>
    <row r="61" spans="1:31" ht="58.15" thickBot="1" x14ac:dyDescent="0.4">
      <c r="A61"/>
      <c r="B61" s="79"/>
      <c r="C61" s="79" t="s">
        <v>79</v>
      </c>
      <c r="D61" s="80">
        <f t="shared" ref="D61:P61" si="16">IF(((D59="")*AND(D60="")),"",(D59-D60)*2)</f>
        <v>1777.3599999999997</v>
      </c>
      <c r="E61" s="80">
        <f t="shared" si="16"/>
        <v>1885.7000000000003</v>
      </c>
      <c r="F61" s="80">
        <f t="shared" si="16"/>
        <v>1895.06</v>
      </c>
      <c r="G61" s="80">
        <f t="shared" si="16"/>
        <v>1903.2800000000002</v>
      </c>
      <c r="H61" s="80">
        <f t="shared" si="16"/>
        <v>1917.8999999999996</v>
      </c>
      <c r="I61" s="80">
        <f t="shared" si="16"/>
        <v>1921.9199999999996</v>
      </c>
      <c r="J61" s="80">
        <f t="shared" si="16"/>
        <v>1810.3199999999997</v>
      </c>
      <c r="K61" s="80">
        <f t="shared" si="16"/>
        <v>1827.8799999999997</v>
      </c>
      <c r="L61" s="80">
        <f t="shared" si="16"/>
        <v>1905.1600000000003</v>
      </c>
      <c r="M61" s="80">
        <f t="shared" si="16"/>
        <v>1907.44</v>
      </c>
      <c r="N61" s="80">
        <f t="shared" si="16"/>
        <v>1900.6399999999999</v>
      </c>
      <c r="O61" s="80">
        <f t="shared" si="16"/>
        <v>1887.1000000000004</v>
      </c>
      <c r="P61" s="80">
        <f t="shared" si="16"/>
        <v>1750.04</v>
      </c>
      <c r="Q61" s="79"/>
      <c r="R61" s="79"/>
      <c r="S61" s="79"/>
      <c r="T61" s="79"/>
      <c r="U61" s="101"/>
      <c r="V61" s="73"/>
      <c r="W61" s="82"/>
      <c r="X61" s="347"/>
      <c r="Z61" s="75"/>
      <c r="AA61" s="75"/>
      <c r="AB61" s="76"/>
      <c r="AC61" s="76"/>
      <c r="AD61" s="69"/>
      <c r="AE61" s="69"/>
    </row>
    <row r="62" spans="1:31" ht="14.95" thickBot="1" x14ac:dyDescent="0.35">
      <c r="A62" s="70">
        <v>43203</v>
      </c>
      <c r="B62" s="71" t="s">
        <v>76</v>
      </c>
      <c r="C62" s="72" t="s">
        <v>77</v>
      </c>
      <c r="D62" s="51">
        <v>2850.67</v>
      </c>
      <c r="E62" s="51">
        <v>2795.39</v>
      </c>
      <c r="F62" s="51">
        <v>2771.85</v>
      </c>
      <c r="G62" s="51">
        <v>2769.19</v>
      </c>
      <c r="H62" s="51">
        <v>2788.03</v>
      </c>
      <c r="I62" s="51">
        <v>2829.75</v>
      </c>
      <c r="J62" s="51">
        <v>2901</v>
      </c>
      <c r="K62" s="51">
        <v>2860.82</v>
      </c>
      <c r="L62" s="51">
        <v>2806.84</v>
      </c>
      <c r="M62" s="51">
        <v>2781.85</v>
      </c>
      <c r="N62" s="51">
        <v>2776.5</v>
      </c>
      <c r="O62" s="51">
        <v>2804.22</v>
      </c>
      <c r="P62" s="51">
        <v>2856.48</v>
      </c>
      <c r="Q62" s="72">
        <f>IF((P63=""),"",MAX(D64:P64))</f>
        <v>1996.7800000000002</v>
      </c>
      <c r="R62" s="72">
        <f>IF(P63="","",MIN(D64:P64))</f>
        <v>1806.9</v>
      </c>
      <c r="S62" s="72">
        <f>IF((P64=""),"",AVERAGE(D64:P64))</f>
        <v>1934.6107692307692</v>
      </c>
      <c r="T62" s="72">
        <f>IF((P63=""),"",STDEV(D64:P64))</f>
        <v>59.856565006346393</v>
      </c>
      <c r="U62" s="99">
        <f>IF((P63=""),"",((Q62-R62)/(Q62+R62))*100)</f>
        <v>4.9920077398729674</v>
      </c>
      <c r="V62" s="73" t="str">
        <f>IF(P63="","",IF(U62&lt;7.2,IF(S62&gt;1700,IF(S62&lt;2100,"Pass","Fail"),"Fail"),"Fail"))</f>
        <v>Pass</v>
      </c>
      <c r="W62" s="74">
        <v>1159</v>
      </c>
      <c r="X62" s="347"/>
      <c r="Z62" s="75">
        <v>1600</v>
      </c>
      <c r="AA62" s="75">
        <v>2600</v>
      </c>
      <c r="AB62" s="76">
        <v>1700</v>
      </c>
      <c r="AC62" s="76">
        <v>2100</v>
      </c>
      <c r="AD62" s="69">
        <v>10</v>
      </c>
      <c r="AE62" s="69">
        <v>7.2</v>
      </c>
    </row>
    <row r="63" spans="1:31" ht="16.649999999999999" thickBot="1" x14ac:dyDescent="0.4">
      <c r="A63"/>
      <c r="B63" s="66"/>
      <c r="C63" s="66" t="s">
        <v>78</v>
      </c>
      <c r="D63" s="51">
        <v>1934.28</v>
      </c>
      <c r="E63" s="51">
        <v>1825.29</v>
      </c>
      <c r="F63" s="51">
        <v>1792.56</v>
      </c>
      <c r="G63" s="51">
        <v>1785.44</v>
      </c>
      <c r="H63" s="51">
        <v>1795.65</v>
      </c>
      <c r="I63" s="51">
        <v>1831.36</v>
      </c>
      <c r="J63" s="51">
        <v>1955.73</v>
      </c>
      <c r="K63" s="51">
        <v>1912.08</v>
      </c>
      <c r="L63" s="51">
        <v>1819.6</v>
      </c>
      <c r="M63" s="51">
        <v>1792.59</v>
      </c>
      <c r="N63" s="51">
        <v>1793.75</v>
      </c>
      <c r="O63" s="51">
        <v>1826.26</v>
      </c>
      <c r="P63" s="51">
        <v>1953.03</v>
      </c>
      <c r="Q63" s="66"/>
      <c r="R63" s="66"/>
      <c r="S63" s="66"/>
      <c r="T63" s="66"/>
      <c r="U63" s="100"/>
      <c r="V63" s="73"/>
      <c r="W63" s="84"/>
      <c r="X63" s="347"/>
      <c r="Z63" s="75"/>
      <c r="AA63" s="75"/>
      <c r="AB63" s="76"/>
      <c r="AC63" s="76"/>
      <c r="AD63" s="69"/>
      <c r="AE63" s="69"/>
    </row>
    <row r="64" spans="1:31" ht="58.15" thickBot="1" x14ac:dyDescent="0.4">
      <c r="A64"/>
      <c r="B64" s="79"/>
      <c r="C64" s="79" t="s">
        <v>79</v>
      </c>
      <c r="D64" s="80">
        <f t="shared" ref="D64:P64" si="17">IF(((D62="")*AND(D63="")),"",(D62-D63)*2)</f>
        <v>1832.7800000000002</v>
      </c>
      <c r="E64" s="80">
        <f t="shared" si="17"/>
        <v>1940.1999999999998</v>
      </c>
      <c r="F64" s="80">
        <f t="shared" si="17"/>
        <v>1958.58</v>
      </c>
      <c r="G64" s="80">
        <f t="shared" si="17"/>
        <v>1967.5</v>
      </c>
      <c r="H64" s="80">
        <f t="shared" si="17"/>
        <v>1984.7600000000002</v>
      </c>
      <c r="I64" s="80">
        <f t="shared" si="17"/>
        <v>1996.7800000000002</v>
      </c>
      <c r="J64" s="80">
        <f t="shared" si="17"/>
        <v>1890.54</v>
      </c>
      <c r="K64" s="80">
        <f t="shared" si="17"/>
        <v>1897.4800000000005</v>
      </c>
      <c r="L64" s="80">
        <f t="shared" si="17"/>
        <v>1974.4800000000005</v>
      </c>
      <c r="M64" s="80">
        <f t="shared" si="17"/>
        <v>1978.52</v>
      </c>
      <c r="N64" s="80">
        <f t="shared" si="17"/>
        <v>1965.5</v>
      </c>
      <c r="O64" s="80">
        <f t="shared" si="17"/>
        <v>1955.9199999999996</v>
      </c>
      <c r="P64" s="80">
        <f t="shared" si="17"/>
        <v>1806.9</v>
      </c>
      <c r="Q64" s="79"/>
      <c r="R64" s="79"/>
      <c r="S64" s="79"/>
      <c r="T64" s="79"/>
      <c r="U64" s="101"/>
      <c r="V64" s="73"/>
      <c r="W64" s="85"/>
      <c r="X64" s="347"/>
      <c r="Z64" s="75"/>
      <c r="AA64" s="75"/>
      <c r="AB64" s="76"/>
      <c r="AC64" s="76"/>
      <c r="AD64" s="69"/>
      <c r="AE64" s="69"/>
    </row>
    <row r="65" spans="1:31" ht="15.8" customHeight="1" thickBot="1" x14ac:dyDescent="0.35">
      <c r="A65" s="70">
        <v>43206</v>
      </c>
      <c r="B65" s="71" t="s">
        <v>76</v>
      </c>
      <c r="C65" s="72" t="s">
        <v>77</v>
      </c>
      <c r="D65" s="51">
        <v>1822.56</v>
      </c>
      <c r="E65" s="51">
        <v>1902.75</v>
      </c>
      <c r="F65" s="51">
        <v>1927.24</v>
      </c>
      <c r="G65" s="51">
        <v>1945.8</v>
      </c>
      <c r="H65" s="51">
        <v>1936.23</v>
      </c>
      <c r="I65" s="51">
        <v>1919.78</v>
      </c>
      <c r="J65" s="51">
        <v>1852.97</v>
      </c>
      <c r="K65" s="51">
        <v>1875.21</v>
      </c>
      <c r="L65" s="51">
        <v>1922.29</v>
      </c>
      <c r="M65" s="51">
        <v>1937.33</v>
      </c>
      <c r="N65" s="51">
        <v>1929.16</v>
      </c>
      <c r="O65" s="51">
        <v>1898.57</v>
      </c>
      <c r="P65" s="51">
        <v>1803.03</v>
      </c>
      <c r="Q65" s="72">
        <f>IF((P66=""),"",MAX(D67:P67))</f>
        <v>2311</v>
      </c>
      <c r="R65" s="72">
        <f>IF(P66="","",MIN(D67:P67))</f>
        <v>1373.1599999999999</v>
      </c>
      <c r="S65" s="72">
        <f>IF((P67=""),"",AVERAGE(D67:P67))</f>
        <v>2024.4861538461539</v>
      </c>
      <c r="T65" s="72">
        <f>IF((P66=""),"",STDEV(D67:P67))</f>
        <v>335.93839766487241</v>
      </c>
      <c r="U65" s="99">
        <f>IF((P66=""),"",((Q65-R65)/(Q65+R65))*100)</f>
        <v>25.456006253800055</v>
      </c>
      <c r="V65" s="73" t="str">
        <f>IF(P66="","",IF(U65&lt;7.2,IF(S65&gt;1700,IF(S65&lt;2100,"Pass","Fail"),"Fail"),"Fail"))</f>
        <v>Fail</v>
      </c>
      <c r="W65" s="74">
        <v>1335</v>
      </c>
      <c r="X65" s="347"/>
      <c r="Y65" s="348" t="s">
        <v>169</v>
      </c>
      <c r="Z65" s="75">
        <v>1600</v>
      </c>
      <c r="AA65" s="75">
        <v>2600</v>
      </c>
      <c r="AB65" s="76">
        <v>1700</v>
      </c>
      <c r="AC65" s="76">
        <v>2100</v>
      </c>
      <c r="AD65" s="69">
        <v>10</v>
      </c>
      <c r="AE65" s="69">
        <v>7.2</v>
      </c>
    </row>
    <row r="66" spans="1:31" ht="16.649999999999999" thickBot="1" x14ac:dyDescent="0.4">
      <c r="A66"/>
      <c r="B66" s="66"/>
      <c r="C66" s="66" t="s">
        <v>78</v>
      </c>
      <c r="D66" s="51">
        <v>1053.49</v>
      </c>
      <c r="E66" s="51">
        <v>835.18</v>
      </c>
      <c r="F66" s="51">
        <v>799.04</v>
      </c>
      <c r="G66" s="51">
        <v>790.3</v>
      </c>
      <c r="H66" s="51">
        <v>789.25</v>
      </c>
      <c r="I66" s="51">
        <v>822.04</v>
      </c>
      <c r="J66" s="51">
        <v>1065.76</v>
      </c>
      <c r="K66" s="51">
        <v>996.09</v>
      </c>
      <c r="L66" s="51">
        <v>820.53</v>
      </c>
      <c r="M66" s="51">
        <v>792.66</v>
      </c>
      <c r="N66" s="51">
        <v>796.62</v>
      </c>
      <c r="O66" s="51">
        <v>836.35</v>
      </c>
      <c r="P66" s="51">
        <v>1116.45</v>
      </c>
      <c r="Q66" s="66"/>
      <c r="R66" s="66"/>
      <c r="S66" s="66"/>
      <c r="T66" s="66"/>
      <c r="U66" s="100"/>
      <c r="V66" s="73"/>
      <c r="W66" s="84"/>
      <c r="X66" s="347"/>
      <c r="Z66" s="75"/>
      <c r="AA66" s="75"/>
      <c r="AB66" s="76"/>
      <c r="AC66" s="76"/>
      <c r="AD66" s="69"/>
      <c r="AE66" s="69"/>
    </row>
    <row r="67" spans="1:31" ht="58.15" thickBot="1" x14ac:dyDescent="0.4">
      <c r="A67"/>
      <c r="B67" s="79"/>
      <c r="C67" s="79" t="s">
        <v>79</v>
      </c>
      <c r="D67" s="80">
        <f t="shared" ref="D67:P67" si="18">IF(((D65="")*AND(D66="")),"",(D65-D66)*2)</f>
        <v>1538.1399999999999</v>
      </c>
      <c r="E67" s="80">
        <f t="shared" si="18"/>
        <v>2135.1400000000003</v>
      </c>
      <c r="F67" s="80">
        <f t="shared" si="18"/>
        <v>2256.4</v>
      </c>
      <c r="G67" s="80">
        <f t="shared" si="18"/>
        <v>2311</v>
      </c>
      <c r="H67" s="80">
        <f t="shared" si="18"/>
        <v>2293.96</v>
      </c>
      <c r="I67" s="80">
        <f t="shared" si="18"/>
        <v>2195.48</v>
      </c>
      <c r="J67" s="80">
        <f t="shared" si="18"/>
        <v>1574.42</v>
      </c>
      <c r="K67" s="80">
        <f t="shared" si="18"/>
        <v>1758.24</v>
      </c>
      <c r="L67" s="80">
        <f t="shared" si="18"/>
        <v>2203.52</v>
      </c>
      <c r="M67" s="80">
        <f t="shared" si="18"/>
        <v>2289.34</v>
      </c>
      <c r="N67" s="80">
        <f t="shared" si="18"/>
        <v>2265.08</v>
      </c>
      <c r="O67" s="80">
        <f t="shared" si="18"/>
        <v>2124.4399999999996</v>
      </c>
      <c r="P67" s="80">
        <f t="shared" si="18"/>
        <v>1373.1599999999999</v>
      </c>
      <c r="Q67" s="72"/>
      <c r="R67" s="79"/>
      <c r="S67" s="79"/>
      <c r="T67" s="79"/>
      <c r="U67" s="101"/>
      <c r="V67" s="73"/>
      <c r="W67" s="85"/>
      <c r="X67" s="347"/>
      <c r="Z67" s="75"/>
      <c r="AA67" s="75"/>
      <c r="AB67" s="76"/>
      <c r="AC67" s="76"/>
      <c r="AD67" s="69"/>
      <c r="AE67" s="69"/>
    </row>
    <row r="68" spans="1:31" ht="14.95" thickBot="1" x14ac:dyDescent="0.35">
      <c r="A68" s="70">
        <v>43206</v>
      </c>
      <c r="B68" s="71" t="s">
        <v>76</v>
      </c>
      <c r="C68" s="72" t="s">
        <v>77</v>
      </c>
      <c r="D68" s="51">
        <v>2827.49</v>
      </c>
      <c r="E68" s="51">
        <v>2793.11</v>
      </c>
      <c r="F68" s="51">
        <v>2772.53</v>
      </c>
      <c r="G68" s="51">
        <v>2768.29</v>
      </c>
      <c r="H68" s="51">
        <v>2785.89</v>
      </c>
      <c r="I68" s="51">
        <v>2825.25</v>
      </c>
      <c r="J68" s="51">
        <v>2891.3</v>
      </c>
      <c r="K68" s="51">
        <v>2885.79</v>
      </c>
      <c r="L68" s="51">
        <v>2820.17</v>
      </c>
      <c r="M68" s="51">
        <v>2783.56</v>
      </c>
      <c r="N68" s="51">
        <v>2774.21</v>
      </c>
      <c r="O68" s="51">
        <v>2800.37</v>
      </c>
      <c r="P68" s="51">
        <v>2841.25</v>
      </c>
      <c r="Q68" s="72">
        <f>IF((P69=""),"",MAX(D70:P70))</f>
        <v>1968.2399999999998</v>
      </c>
      <c r="R68" s="72">
        <f>IF(P69="","",MIN(D70:P70))</f>
        <v>1787.3200000000002</v>
      </c>
      <c r="S68" s="72">
        <f>IF((P70=""),"",AVERAGE(D70:P70))</f>
        <v>1905.2538461538461</v>
      </c>
      <c r="T68" s="72">
        <f>IF((P69=""),"",STDEV(D70:P70))</f>
        <v>57.469295213250106</v>
      </c>
      <c r="U68" s="99">
        <f>IF((P69=""),"",((Q68-R68)/(Q68+R68))*100)</f>
        <v>4.8173907486499914</v>
      </c>
      <c r="V68" s="73" t="str">
        <f>IF(P69="","",IF(U68&lt;7.2,IF(S68&gt;1700,IF(S68&lt;2100,"Pass","Fail"),"Fail"),"Fail"))</f>
        <v>Pass</v>
      </c>
      <c r="W68" s="74">
        <v>121</v>
      </c>
      <c r="X68" s="347"/>
      <c r="Z68" s="75">
        <v>1600</v>
      </c>
      <c r="AA68" s="75">
        <v>2600</v>
      </c>
      <c r="AB68" s="76">
        <v>1700</v>
      </c>
      <c r="AC68" s="76">
        <v>2100</v>
      </c>
      <c r="AD68" s="69">
        <v>10</v>
      </c>
      <c r="AE68" s="69">
        <v>7.2</v>
      </c>
    </row>
    <row r="69" spans="1:31" ht="16.649999999999999" thickBot="1" x14ac:dyDescent="0.4">
      <c r="A69"/>
      <c r="B69" s="66"/>
      <c r="C69" s="66" t="s">
        <v>78</v>
      </c>
      <c r="D69" s="51">
        <v>1922.97</v>
      </c>
      <c r="E69" s="51">
        <v>1835.44</v>
      </c>
      <c r="F69" s="51">
        <v>1807.48</v>
      </c>
      <c r="G69" s="51">
        <v>1800.98</v>
      </c>
      <c r="H69" s="51">
        <v>1807.58</v>
      </c>
      <c r="I69" s="51">
        <v>1841.13</v>
      </c>
      <c r="J69" s="51">
        <v>1964.71</v>
      </c>
      <c r="K69" s="51">
        <v>1952.01</v>
      </c>
      <c r="L69" s="51">
        <v>1847.66</v>
      </c>
      <c r="M69" s="51">
        <v>1812.96</v>
      </c>
      <c r="N69" s="51">
        <v>1806.79</v>
      </c>
      <c r="O69" s="51">
        <v>1837.76</v>
      </c>
      <c r="P69" s="51">
        <v>1947.59</v>
      </c>
      <c r="Q69" s="66"/>
      <c r="R69" s="66"/>
      <c r="S69" s="66"/>
      <c r="T69" s="66"/>
      <c r="U69" s="100"/>
      <c r="V69" s="73"/>
      <c r="W69" s="78"/>
      <c r="X69" s="347"/>
      <c r="Z69" s="75"/>
      <c r="AA69" s="75"/>
      <c r="AB69" s="76"/>
      <c r="AC69" s="76"/>
      <c r="AD69" s="69"/>
      <c r="AE69" s="69"/>
    </row>
    <row r="70" spans="1:31" ht="58.15" thickBot="1" x14ac:dyDescent="0.4">
      <c r="A70"/>
      <c r="B70" s="79"/>
      <c r="C70" s="79" t="s">
        <v>79</v>
      </c>
      <c r="D70" s="80">
        <f t="shared" ref="D70:P70" si="19">IF(((D68="")*AND(D69="")),"",(D68-D69)*2)</f>
        <v>1809.0399999999995</v>
      </c>
      <c r="E70" s="80">
        <f t="shared" si="19"/>
        <v>1915.3400000000001</v>
      </c>
      <c r="F70" s="80">
        <f t="shared" si="19"/>
        <v>1930.1000000000004</v>
      </c>
      <c r="G70" s="80">
        <f t="shared" si="19"/>
        <v>1934.62</v>
      </c>
      <c r="H70" s="80">
        <f t="shared" si="19"/>
        <v>1956.62</v>
      </c>
      <c r="I70" s="80">
        <f t="shared" si="19"/>
        <v>1968.2399999999998</v>
      </c>
      <c r="J70" s="80">
        <f t="shared" si="19"/>
        <v>1853.1800000000003</v>
      </c>
      <c r="K70" s="80">
        <f t="shared" si="19"/>
        <v>1867.56</v>
      </c>
      <c r="L70" s="80">
        <f t="shared" si="19"/>
        <v>1945.02</v>
      </c>
      <c r="M70" s="80">
        <f t="shared" si="19"/>
        <v>1941.1999999999998</v>
      </c>
      <c r="N70" s="80">
        <f t="shared" si="19"/>
        <v>1934.8400000000001</v>
      </c>
      <c r="O70" s="80">
        <f t="shared" si="19"/>
        <v>1925.2199999999998</v>
      </c>
      <c r="P70" s="80">
        <f t="shared" si="19"/>
        <v>1787.3200000000002</v>
      </c>
      <c r="Q70" s="79"/>
      <c r="R70" s="79"/>
      <c r="S70" s="79"/>
      <c r="T70" s="79"/>
      <c r="U70" s="101"/>
      <c r="V70" s="73"/>
      <c r="W70" s="82"/>
      <c r="X70" s="347"/>
      <c r="Z70" s="75"/>
      <c r="AA70" s="75"/>
      <c r="AB70" s="76"/>
      <c r="AC70" s="76"/>
      <c r="AD70" s="69"/>
      <c r="AE70" s="69"/>
    </row>
    <row r="71" spans="1:31" ht="14.95" thickBot="1" x14ac:dyDescent="0.35">
      <c r="A71" s="70">
        <v>43214</v>
      </c>
      <c r="B71" s="71" t="s">
        <v>76</v>
      </c>
      <c r="C71" s="72" t="s">
        <v>77</v>
      </c>
      <c r="D71" s="51">
        <v>2831.07</v>
      </c>
      <c r="E71" s="51">
        <v>2791.85</v>
      </c>
      <c r="F71" s="51">
        <v>2770.33</v>
      </c>
      <c r="G71" s="51">
        <v>2767.81</v>
      </c>
      <c r="H71" s="51">
        <v>2787.38</v>
      </c>
      <c r="I71" s="51">
        <v>2826.33</v>
      </c>
      <c r="J71" s="51">
        <v>2892.93</v>
      </c>
      <c r="K71" s="51">
        <v>2879.14</v>
      </c>
      <c r="L71" s="51">
        <v>2816.68</v>
      </c>
      <c r="M71" s="51">
        <v>2780.65</v>
      </c>
      <c r="N71" s="51">
        <v>2773.8</v>
      </c>
      <c r="O71" s="51">
        <v>2799.22</v>
      </c>
      <c r="P71" s="51">
        <v>2844.14</v>
      </c>
      <c r="Q71" s="72">
        <f>IF((P72=""),"",MAX(D73:P73))</f>
        <v>1992.0199999999995</v>
      </c>
      <c r="R71" s="72">
        <f>IF(P72="","",MIN(D73:P73))</f>
        <v>1810.7400000000002</v>
      </c>
      <c r="S71" s="72">
        <f>IF((P73=""),"",AVERAGE(D73:P73))</f>
        <v>1924.1892307692308</v>
      </c>
      <c r="T71" s="72">
        <f>IF((P72=""),"",STDEV(D73:P73))</f>
        <v>67.60740374415839</v>
      </c>
      <c r="U71" s="99">
        <f>IF((P72=""),"",((Q71-R71)/(Q71+R71))*100)</f>
        <v>4.7670639219934818</v>
      </c>
      <c r="V71" s="73" t="str">
        <f>IF(P72="","",IF(U71&lt;7.2,IF(S71&gt;1700,IF(S71&lt;2100,"Pass","Fail"),"Fail"),"Fail"))</f>
        <v>Pass</v>
      </c>
      <c r="W71" s="74">
        <v>74</v>
      </c>
      <c r="X71" s="347"/>
      <c r="Z71" s="75">
        <v>1600</v>
      </c>
      <c r="AA71" s="75">
        <v>2600</v>
      </c>
      <c r="AB71" s="76">
        <v>1700</v>
      </c>
      <c r="AC71" s="76">
        <v>2100</v>
      </c>
      <c r="AD71" s="69">
        <v>10</v>
      </c>
      <c r="AE71" s="69">
        <v>7.2</v>
      </c>
    </row>
    <row r="72" spans="1:31" ht="16.649999999999999" thickBot="1" x14ac:dyDescent="0.4">
      <c r="A72"/>
      <c r="B72" s="66"/>
      <c r="C72" s="66" t="s">
        <v>78</v>
      </c>
      <c r="D72" s="51">
        <v>1902.91</v>
      </c>
      <c r="E72" s="51">
        <v>1811.64</v>
      </c>
      <c r="F72" s="51">
        <v>1780.8</v>
      </c>
      <c r="G72" s="51">
        <v>1775.33</v>
      </c>
      <c r="H72" s="51">
        <v>1882.01</v>
      </c>
      <c r="I72" s="51">
        <v>1890.16</v>
      </c>
      <c r="J72" s="51">
        <v>1942.15</v>
      </c>
      <c r="K72" s="51">
        <v>1928.64</v>
      </c>
      <c r="L72" s="51">
        <v>1820.67</v>
      </c>
      <c r="M72" s="51">
        <v>1785.96</v>
      </c>
      <c r="N72" s="51">
        <v>1782.26</v>
      </c>
      <c r="O72" s="51">
        <v>1815.91</v>
      </c>
      <c r="P72" s="51">
        <v>1935.66</v>
      </c>
      <c r="Q72" s="66"/>
      <c r="R72" s="66"/>
      <c r="S72" s="66"/>
      <c r="T72" s="66"/>
      <c r="U72" s="100"/>
      <c r="V72" s="73"/>
      <c r="W72" s="78"/>
      <c r="X72" s="347"/>
      <c r="Z72" s="75"/>
      <c r="AA72" s="75"/>
      <c r="AB72" s="76"/>
      <c r="AC72" s="76"/>
      <c r="AD72" s="69"/>
      <c r="AE72" s="69"/>
    </row>
    <row r="73" spans="1:31" ht="58.15" thickBot="1" x14ac:dyDescent="0.4">
      <c r="A73"/>
      <c r="B73" s="79"/>
      <c r="C73" s="79" t="s">
        <v>79</v>
      </c>
      <c r="D73" s="80">
        <f t="shared" ref="D73:P73" si="20">IF(((D71="")*AND(D72="")),"",(D71-D72)*2)</f>
        <v>1856.3200000000002</v>
      </c>
      <c r="E73" s="80">
        <f t="shared" si="20"/>
        <v>1960.4199999999996</v>
      </c>
      <c r="F73" s="80">
        <f t="shared" si="20"/>
        <v>1979.06</v>
      </c>
      <c r="G73" s="80">
        <f t="shared" si="20"/>
        <v>1984.96</v>
      </c>
      <c r="H73" s="80">
        <f t="shared" si="20"/>
        <v>1810.7400000000002</v>
      </c>
      <c r="I73" s="80">
        <f t="shared" si="20"/>
        <v>1872.3399999999997</v>
      </c>
      <c r="J73" s="80">
        <f t="shared" si="20"/>
        <v>1901.5599999999995</v>
      </c>
      <c r="K73" s="80">
        <f t="shared" si="20"/>
        <v>1900.9999999999995</v>
      </c>
      <c r="L73" s="80">
        <f t="shared" si="20"/>
        <v>1992.0199999999995</v>
      </c>
      <c r="M73" s="80">
        <f t="shared" si="20"/>
        <v>1989.38</v>
      </c>
      <c r="N73" s="80">
        <f t="shared" si="20"/>
        <v>1983.0800000000004</v>
      </c>
      <c r="O73" s="80">
        <f t="shared" si="20"/>
        <v>1966.6199999999994</v>
      </c>
      <c r="P73" s="80">
        <f t="shared" si="20"/>
        <v>1816.9599999999996</v>
      </c>
      <c r="Q73" s="79"/>
      <c r="R73" s="79"/>
      <c r="S73" s="79"/>
      <c r="T73" s="79"/>
      <c r="U73" s="101"/>
      <c r="V73" s="73"/>
      <c r="W73" s="82"/>
      <c r="X73" s="347"/>
      <c r="Z73" s="75"/>
      <c r="AA73" s="75"/>
      <c r="AB73" s="76"/>
      <c r="AC73" s="76"/>
      <c r="AD73" s="69"/>
      <c r="AE73" s="69"/>
    </row>
    <row r="74" spans="1:31" ht="14.95" thickBot="1" x14ac:dyDescent="0.35">
      <c r="A74" s="70">
        <v>43221</v>
      </c>
      <c r="B74" s="71" t="s">
        <v>76</v>
      </c>
      <c r="C74" s="72" t="s">
        <v>77</v>
      </c>
      <c r="D74" s="51">
        <v>2894.61</v>
      </c>
      <c r="E74" s="51">
        <v>2828.62</v>
      </c>
      <c r="F74" s="51">
        <v>2791.79</v>
      </c>
      <c r="G74" s="51">
        <v>2771.88</v>
      </c>
      <c r="H74" s="51">
        <v>2777.05</v>
      </c>
      <c r="I74" s="51">
        <v>2805.66</v>
      </c>
      <c r="J74" s="51">
        <v>2860.28</v>
      </c>
      <c r="K74" s="51">
        <v>2851.57</v>
      </c>
      <c r="L74" s="51">
        <v>2804.65</v>
      </c>
      <c r="M74" s="51">
        <v>2777.56</v>
      </c>
      <c r="N74" s="51">
        <v>2779.48</v>
      </c>
      <c r="O74" s="51">
        <v>2810.13</v>
      </c>
      <c r="P74" s="51">
        <v>2851.81</v>
      </c>
      <c r="Q74" s="72">
        <f>IF((P75=""),"",MAX(D76:P76))</f>
        <v>2011.3599999999997</v>
      </c>
      <c r="R74" s="72">
        <f>IF(P75="","",MIN(D76:P76))</f>
        <v>1818.98</v>
      </c>
      <c r="S74" s="72">
        <f>IF((P76=""),"",AVERAGE(D76:P76))</f>
        <v>1940.7707692307695</v>
      </c>
      <c r="T74" s="72">
        <f>IF((P75=""),"",STDEV(D76:P76))</f>
        <v>62.572369629299104</v>
      </c>
      <c r="U74" s="99">
        <f>IF((P75=""),"",((Q74-R74)/(Q74+R74))*100)</f>
        <v>5.0225306369669447</v>
      </c>
      <c r="V74" s="73" t="str">
        <f>IF(P75="","",IF(U74&lt;7.2,IF(S74&gt;1700,IF(S74&lt;2100,"Pass","Fail"),"Fail"),"Fail"))</f>
        <v>Pass</v>
      </c>
      <c r="W74" s="74">
        <v>74</v>
      </c>
      <c r="X74" s="347"/>
      <c r="Z74" s="75">
        <v>1600</v>
      </c>
      <c r="AA74" s="75">
        <v>2600</v>
      </c>
      <c r="AB74" s="76">
        <v>1700</v>
      </c>
      <c r="AC74" s="76">
        <v>2100</v>
      </c>
      <c r="AD74" s="69">
        <v>10</v>
      </c>
      <c r="AE74" s="69">
        <v>7.2</v>
      </c>
    </row>
    <row r="75" spans="1:31" ht="16.649999999999999" thickBot="1" x14ac:dyDescent="0.4">
      <c r="A75"/>
      <c r="B75" s="66"/>
      <c r="C75" s="66" t="s">
        <v>78</v>
      </c>
      <c r="D75" s="51">
        <v>1977.74</v>
      </c>
      <c r="E75" s="51">
        <v>1854.95</v>
      </c>
      <c r="F75" s="51">
        <v>1806.37</v>
      </c>
      <c r="G75" s="51">
        <v>1785.16</v>
      </c>
      <c r="H75" s="51">
        <v>1777.7</v>
      </c>
      <c r="I75" s="51">
        <v>1799.98</v>
      </c>
      <c r="J75" s="51">
        <v>1917.69</v>
      </c>
      <c r="K75" s="51">
        <v>1905.7</v>
      </c>
      <c r="L75" s="51">
        <v>1811.67</v>
      </c>
      <c r="M75" s="51">
        <v>1788.99</v>
      </c>
      <c r="N75" s="51">
        <v>1793.94</v>
      </c>
      <c r="O75" s="51">
        <v>1827.87</v>
      </c>
      <c r="P75" s="51">
        <v>1942.32</v>
      </c>
      <c r="Q75" s="66"/>
      <c r="R75" s="66"/>
      <c r="S75" s="66"/>
      <c r="T75" s="66"/>
      <c r="U75" s="100"/>
      <c r="V75" s="73"/>
      <c r="W75" s="78"/>
      <c r="X75" s="347"/>
      <c r="Z75" s="75"/>
      <c r="AA75" s="75"/>
      <c r="AB75" s="76"/>
      <c r="AC75" s="76"/>
      <c r="AD75" s="69"/>
      <c r="AE75" s="69"/>
    </row>
    <row r="76" spans="1:31" ht="58.15" thickBot="1" x14ac:dyDescent="0.4">
      <c r="A76"/>
      <c r="B76" s="79"/>
      <c r="C76" s="79" t="s">
        <v>79</v>
      </c>
      <c r="D76" s="80">
        <f t="shared" ref="D76:P76" si="21">IF(((D74="")*AND(D75="")),"",(D74-D75)*2)</f>
        <v>1833.7400000000002</v>
      </c>
      <c r="E76" s="80">
        <f t="shared" si="21"/>
        <v>1947.3399999999997</v>
      </c>
      <c r="F76" s="80">
        <f t="shared" si="21"/>
        <v>1970.8400000000001</v>
      </c>
      <c r="G76" s="80">
        <f t="shared" si="21"/>
        <v>1973.44</v>
      </c>
      <c r="H76" s="80">
        <f t="shared" si="21"/>
        <v>1998.7000000000003</v>
      </c>
      <c r="I76" s="80">
        <f t="shared" si="21"/>
        <v>2011.3599999999997</v>
      </c>
      <c r="J76" s="80">
        <f t="shared" si="21"/>
        <v>1885.1800000000003</v>
      </c>
      <c r="K76" s="80">
        <f t="shared" si="21"/>
        <v>1891.7400000000002</v>
      </c>
      <c r="L76" s="80">
        <f t="shared" si="21"/>
        <v>1985.96</v>
      </c>
      <c r="M76" s="80">
        <f t="shared" si="21"/>
        <v>1977.1399999999999</v>
      </c>
      <c r="N76" s="80">
        <f t="shared" si="21"/>
        <v>1971.08</v>
      </c>
      <c r="O76" s="80">
        <f t="shared" si="21"/>
        <v>1964.5200000000004</v>
      </c>
      <c r="P76" s="80">
        <f t="shared" si="21"/>
        <v>1818.98</v>
      </c>
      <c r="Q76" s="79"/>
      <c r="R76" s="79"/>
      <c r="S76" s="79"/>
      <c r="T76" s="79"/>
      <c r="U76" s="101"/>
      <c r="V76" s="73"/>
      <c r="W76" s="82"/>
      <c r="X76" s="347"/>
      <c r="Z76" s="75"/>
      <c r="AA76" s="75"/>
      <c r="AB76" s="76"/>
      <c r="AC76" s="76"/>
      <c r="AD76" s="69"/>
      <c r="AE76" s="69"/>
    </row>
    <row r="77" spans="1:31" ht="14.95" thickBot="1" x14ac:dyDescent="0.35">
      <c r="A77" s="70">
        <v>43234</v>
      </c>
      <c r="B77" s="71" t="s">
        <v>76</v>
      </c>
      <c r="C77" s="72" t="s">
        <v>77</v>
      </c>
      <c r="D77" s="51">
        <v>2851.37</v>
      </c>
      <c r="E77" s="51">
        <v>2801.2</v>
      </c>
      <c r="F77" s="51">
        <v>2777.81</v>
      </c>
      <c r="G77" s="51">
        <v>2774.83</v>
      </c>
      <c r="H77" s="51">
        <v>2794.63</v>
      </c>
      <c r="I77" s="51">
        <v>2835.56</v>
      </c>
      <c r="J77" s="51">
        <v>2902.38</v>
      </c>
      <c r="K77" s="51">
        <v>2855.2</v>
      </c>
      <c r="L77" s="51">
        <v>2809.89</v>
      </c>
      <c r="M77" s="51">
        <v>2781.68</v>
      </c>
      <c r="N77" s="51">
        <v>2781.46</v>
      </c>
      <c r="O77" s="51">
        <v>2808.46</v>
      </c>
      <c r="P77" s="51">
        <v>2861.82</v>
      </c>
      <c r="Q77" s="72">
        <f>IF((P78=""),"",MAX(D79:P79))</f>
        <v>2043.08</v>
      </c>
      <c r="R77" s="72">
        <f>IF(P78="","",MIN(D79:P79))</f>
        <v>1854.4400000000005</v>
      </c>
      <c r="S77" s="72">
        <f>IF((P79=""),"",AVERAGE(D79:P79))</f>
        <v>1977.1692307692306</v>
      </c>
      <c r="T77" s="72">
        <f>IF((P78=""),"",STDEV(D79:P79))</f>
        <v>61.697980850475453</v>
      </c>
      <c r="U77" s="99">
        <f>IF((P78=""),"",((Q77-R77)/(Q77+R77))*100)</f>
        <v>4.8400008210348986</v>
      </c>
      <c r="V77" s="73" t="str">
        <f>IF(P78="","",IF(U77&lt;7.2,IF(S77&gt;1700,IF(S77&lt;2100,"Pass","Fail"),"Fail"),"Fail"))</f>
        <v>Pass</v>
      </c>
      <c r="W77" s="74" t="s">
        <v>85</v>
      </c>
      <c r="X77" s="188" t="s">
        <v>86</v>
      </c>
      <c r="Z77" s="75">
        <v>1600</v>
      </c>
      <c r="AA77" s="75">
        <v>2600</v>
      </c>
      <c r="AB77" s="76">
        <v>1700</v>
      </c>
      <c r="AC77" s="76">
        <v>2100</v>
      </c>
      <c r="AD77" s="69">
        <v>10</v>
      </c>
      <c r="AE77" s="69">
        <v>7.2</v>
      </c>
    </row>
    <row r="78" spans="1:31" ht="16.649999999999999" thickBot="1" x14ac:dyDescent="0.4">
      <c r="A78"/>
      <c r="B78" s="66"/>
      <c r="C78" s="66" t="s">
        <v>78</v>
      </c>
      <c r="D78" s="51">
        <v>1915.41</v>
      </c>
      <c r="E78" s="51">
        <v>1808.65</v>
      </c>
      <c r="F78" s="51">
        <v>1774.62</v>
      </c>
      <c r="G78" s="51">
        <v>1767.94</v>
      </c>
      <c r="H78" s="51">
        <v>1777.77</v>
      </c>
      <c r="I78" s="51">
        <v>1814.02</v>
      </c>
      <c r="J78" s="51">
        <v>1939.91</v>
      </c>
      <c r="K78" s="51">
        <v>1890.91</v>
      </c>
      <c r="L78" s="51">
        <v>1800.18</v>
      </c>
      <c r="M78" s="51">
        <v>1775.42</v>
      </c>
      <c r="N78" s="51">
        <v>1775.49</v>
      </c>
      <c r="O78" s="51">
        <v>1809.77</v>
      </c>
      <c r="P78" s="51">
        <v>1934.6</v>
      </c>
      <c r="Q78" s="79"/>
      <c r="R78" s="66"/>
      <c r="S78" s="66"/>
      <c r="T78" s="66"/>
      <c r="U78" s="100"/>
      <c r="V78" s="73"/>
      <c r="W78" s="84"/>
      <c r="X78" s="347"/>
      <c r="Z78" s="75"/>
      <c r="AA78" s="75"/>
      <c r="AB78" s="76"/>
      <c r="AC78" s="76"/>
      <c r="AD78" s="69"/>
      <c r="AE78" s="69"/>
    </row>
    <row r="79" spans="1:31" ht="58.15" thickBot="1" x14ac:dyDescent="0.4">
      <c r="A79"/>
      <c r="B79" s="79"/>
      <c r="C79" s="79" t="s">
        <v>79</v>
      </c>
      <c r="D79" s="80">
        <f t="shared" ref="D79:P79" si="22">IF(((D77="")*AND(D78="")),"",(D77-D78)*2)</f>
        <v>1871.9199999999996</v>
      </c>
      <c r="E79" s="80">
        <f t="shared" si="22"/>
        <v>1985.0999999999995</v>
      </c>
      <c r="F79" s="80">
        <f t="shared" si="22"/>
        <v>2006.38</v>
      </c>
      <c r="G79" s="80">
        <f t="shared" si="22"/>
        <v>2013.7799999999997</v>
      </c>
      <c r="H79" s="80">
        <f t="shared" si="22"/>
        <v>2033.7200000000003</v>
      </c>
      <c r="I79" s="80">
        <f t="shared" si="22"/>
        <v>2043.08</v>
      </c>
      <c r="J79" s="80">
        <f t="shared" si="22"/>
        <v>1924.94</v>
      </c>
      <c r="K79" s="80">
        <f t="shared" si="22"/>
        <v>1928.5799999999995</v>
      </c>
      <c r="L79" s="80">
        <f t="shared" si="22"/>
        <v>2019.4199999999996</v>
      </c>
      <c r="M79" s="80">
        <f t="shared" si="22"/>
        <v>2012.5199999999995</v>
      </c>
      <c r="N79" s="80">
        <f t="shared" si="22"/>
        <v>2011.94</v>
      </c>
      <c r="O79" s="80">
        <f t="shared" si="22"/>
        <v>1997.38</v>
      </c>
      <c r="P79" s="80">
        <f t="shared" si="22"/>
        <v>1854.4400000000005</v>
      </c>
      <c r="Q79" s="72"/>
      <c r="R79" s="79"/>
      <c r="S79" s="79"/>
      <c r="T79" s="79"/>
      <c r="U79" s="101"/>
      <c r="V79" s="73"/>
      <c r="W79" s="85"/>
      <c r="X79" s="347"/>
      <c r="Z79" s="75"/>
      <c r="AA79" s="75"/>
      <c r="AB79" s="76"/>
      <c r="AC79" s="76"/>
      <c r="AD79" s="69"/>
      <c r="AE79" s="69"/>
    </row>
    <row r="80" spans="1:31" ht="14.95" thickBot="1" x14ac:dyDescent="0.35">
      <c r="A80" s="70">
        <v>43238</v>
      </c>
      <c r="B80" s="71" t="s">
        <v>76</v>
      </c>
      <c r="C80" s="72" t="s">
        <v>77</v>
      </c>
      <c r="D80" s="51">
        <v>2855.91</v>
      </c>
      <c r="E80" s="51">
        <v>2798.55</v>
      </c>
      <c r="F80" s="51">
        <v>2777.59</v>
      </c>
      <c r="G80" s="51">
        <v>2774.69</v>
      </c>
      <c r="H80" s="51">
        <v>2794.53</v>
      </c>
      <c r="I80" s="51">
        <v>2835.38</v>
      </c>
      <c r="J80" s="51">
        <v>2906.43</v>
      </c>
      <c r="K80" s="51">
        <v>2852.14</v>
      </c>
      <c r="L80" s="51">
        <v>2806.58</v>
      </c>
      <c r="M80" s="51">
        <v>2782.73</v>
      </c>
      <c r="N80" s="51">
        <v>2781.72</v>
      </c>
      <c r="O80" s="51">
        <v>2808.52</v>
      </c>
      <c r="P80" s="51">
        <v>2863.06</v>
      </c>
      <c r="Q80" s="72">
        <f>IF((P81=""),"",MAX(D82:P82))</f>
        <v>2034.6800000000003</v>
      </c>
      <c r="R80" s="72">
        <f>IF(P81="","",MIN(D82:P82))</f>
        <v>1859.1599999999999</v>
      </c>
      <c r="S80" s="72">
        <f>IF((P82=""),"",AVERAGE(D82:P82))</f>
        <v>1976.7246153846152</v>
      </c>
      <c r="T80" s="72">
        <f>IF((P81=""),"",STDEV(D82:P82))</f>
        <v>57.481531616016397</v>
      </c>
      <c r="U80" s="99">
        <f>IF((P81=""),"",((Q80-R80)/(Q80+R80))*100)</f>
        <v>4.5076325683644018</v>
      </c>
      <c r="V80" s="73" t="str">
        <f>IF(P81="","",IF(U80&lt;7.2,IF(S80&gt;1700,IF(S80&lt;2100,"Pass","Fail"),"Fail"),"Fail"))</f>
        <v>Pass</v>
      </c>
      <c r="W80" s="74">
        <v>64</v>
      </c>
      <c r="X80" s="347"/>
      <c r="Z80" s="75">
        <v>1600</v>
      </c>
      <c r="AA80" s="75">
        <v>2600</v>
      </c>
      <c r="AB80" s="76">
        <v>1700</v>
      </c>
      <c r="AC80" s="76">
        <v>2100</v>
      </c>
      <c r="AD80" s="69">
        <v>10</v>
      </c>
      <c r="AE80" s="69">
        <v>7.2</v>
      </c>
    </row>
    <row r="81" spans="1:31" ht="16.649999999999999" thickBot="1" x14ac:dyDescent="0.4">
      <c r="A81"/>
      <c r="B81" s="66"/>
      <c r="C81" s="66" t="s">
        <v>78</v>
      </c>
      <c r="D81" s="51">
        <v>1907.48</v>
      </c>
      <c r="E81" s="51">
        <v>1806.74</v>
      </c>
      <c r="F81" s="51">
        <v>1774.24</v>
      </c>
      <c r="G81" s="51">
        <v>1770.38</v>
      </c>
      <c r="H81" s="51">
        <v>1780.28</v>
      </c>
      <c r="I81" s="51">
        <v>1818.04</v>
      </c>
      <c r="J81" s="51">
        <v>1952.93</v>
      </c>
      <c r="K81" s="51">
        <v>1885.94</v>
      </c>
      <c r="L81" s="51">
        <v>1798.39</v>
      </c>
      <c r="M81" s="51">
        <v>1775.43</v>
      </c>
      <c r="N81" s="51">
        <v>1776.41</v>
      </c>
      <c r="O81" s="51">
        <v>1809.38</v>
      </c>
      <c r="P81" s="51">
        <v>1933.48</v>
      </c>
      <c r="Q81" s="79"/>
      <c r="R81" s="66"/>
      <c r="S81" s="66"/>
      <c r="T81" s="66"/>
      <c r="U81" s="100"/>
      <c r="V81" s="73"/>
      <c r="W81" s="78"/>
      <c r="X81" s="347"/>
      <c r="Z81" s="75"/>
      <c r="AA81" s="75"/>
      <c r="AB81" s="76"/>
      <c r="AC81" s="76"/>
      <c r="AD81" s="69"/>
      <c r="AE81" s="69"/>
    </row>
    <row r="82" spans="1:31" ht="58.15" thickBot="1" x14ac:dyDescent="0.4">
      <c r="A82"/>
      <c r="B82" s="79"/>
      <c r="C82" s="79" t="s">
        <v>79</v>
      </c>
      <c r="D82" s="80">
        <f t="shared" ref="D82:P82" si="23">IF(((D80="")*AND(D81="")),"",(D80-D81)*2)</f>
        <v>1896.8599999999997</v>
      </c>
      <c r="E82" s="80">
        <f t="shared" si="23"/>
        <v>1983.6200000000003</v>
      </c>
      <c r="F82" s="80">
        <f t="shared" si="23"/>
        <v>2006.7000000000003</v>
      </c>
      <c r="G82" s="80">
        <f t="shared" si="23"/>
        <v>2008.62</v>
      </c>
      <c r="H82" s="80">
        <f t="shared" si="23"/>
        <v>2028.5000000000005</v>
      </c>
      <c r="I82" s="80">
        <f t="shared" si="23"/>
        <v>2034.6800000000003</v>
      </c>
      <c r="J82" s="80">
        <f t="shared" si="23"/>
        <v>1906.9999999999995</v>
      </c>
      <c r="K82" s="80">
        <f t="shared" si="23"/>
        <v>1932.3999999999996</v>
      </c>
      <c r="L82" s="80">
        <f t="shared" si="23"/>
        <v>2016.3799999999997</v>
      </c>
      <c r="M82" s="80">
        <f t="shared" si="23"/>
        <v>2014.6</v>
      </c>
      <c r="N82" s="80">
        <f t="shared" si="23"/>
        <v>2010.6199999999994</v>
      </c>
      <c r="O82" s="80">
        <f t="shared" si="23"/>
        <v>1998.2799999999997</v>
      </c>
      <c r="P82" s="80">
        <f t="shared" si="23"/>
        <v>1859.1599999999999</v>
      </c>
      <c r="Q82" s="72"/>
      <c r="R82" s="79"/>
      <c r="S82" s="79"/>
      <c r="T82" s="79"/>
      <c r="U82" s="101"/>
      <c r="V82" s="73"/>
      <c r="W82" s="82"/>
      <c r="X82" s="347"/>
      <c r="Z82" s="75"/>
      <c r="AA82" s="75"/>
      <c r="AB82" s="76"/>
      <c r="AC82" s="76"/>
      <c r="AD82" s="69"/>
      <c r="AE82" s="69"/>
    </row>
    <row r="83" spans="1:31" ht="14.95" thickBot="1" x14ac:dyDescent="0.35">
      <c r="A83" s="70">
        <v>43242</v>
      </c>
      <c r="B83" s="71" t="s">
        <v>76</v>
      </c>
      <c r="C83" s="72" t="s">
        <v>77</v>
      </c>
      <c r="D83" s="51">
        <v>2841</v>
      </c>
      <c r="E83" s="51">
        <v>2800.72</v>
      </c>
      <c r="F83" s="51">
        <v>2775.89</v>
      </c>
      <c r="G83" s="51">
        <v>2773.69</v>
      </c>
      <c r="H83" s="51">
        <v>2792.68</v>
      </c>
      <c r="I83" s="51">
        <v>2832.59</v>
      </c>
      <c r="J83" s="51">
        <v>2900.12</v>
      </c>
      <c r="K83" s="51">
        <v>2881.32</v>
      </c>
      <c r="L83" s="51">
        <v>2819.25</v>
      </c>
      <c r="M83" s="51">
        <v>2785.71</v>
      </c>
      <c r="N83" s="51">
        <v>2779.83</v>
      </c>
      <c r="O83" s="51">
        <v>2804.39</v>
      </c>
      <c r="P83" s="51">
        <v>2857.55</v>
      </c>
      <c r="Q83" s="72">
        <f>IF((P84=""),"",MAX(D85:P85))</f>
        <v>2035.4</v>
      </c>
      <c r="R83" s="72">
        <f>IF(P84="","",MIN(D85:P85))</f>
        <v>1861.7400000000002</v>
      </c>
      <c r="S83" s="72">
        <f>IF((P85=""),"",AVERAGE(D85:P85))</f>
        <v>1973.590769230769</v>
      </c>
      <c r="T83" s="72">
        <f>IF((P84=""),"",STDEV(D85:P85))</f>
        <v>56.305023230841755</v>
      </c>
      <c r="U83" s="99">
        <f>IF((P84=""),"",((Q83-R83)/(Q83+R83))*100)</f>
        <v>4.4560883109151801</v>
      </c>
      <c r="V83" s="73" t="str">
        <f>IF(P84="","",IF(U83&lt;7.2,IF(S83&gt;1700,IF(S83&lt;2100,"Pass","Fail"),"Fail"),"Fail"))</f>
        <v>Pass</v>
      </c>
      <c r="W83" s="74">
        <v>102</v>
      </c>
      <c r="X83" s="347"/>
      <c r="Z83" s="75">
        <v>1600</v>
      </c>
      <c r="AA83" s="75">
        <v>2600</v>
      </c>
      <c r="AB83" s="76">
        <v>1700</v>
      </c>
      <c r="AC83" s="76">
        <v>2100</v>
      </c>
      <c r="AD83" s="69">
        <v>10</v>
      </c>
      <c r="AE83" s="69">
        <v>7.2</v>
      </c>
    </row>
    <row r="84" spans="1:31" ht="16.649999999999999" thickBot="1" x14ac:dyDescent="0.4">
      <c r="A84"/>
      <c r="B84" s="66"/>
      <c r="C84" s="66" t="s">
        <v>78</v>
      </c>
      <c r="D84" s="51">
        <v>1894.26</v>
      </c>
      <c r="E84" s="51">
        <v>1805.61</v>
      </c>
      <c r="F84" s="51">
        <v>1778.94</v>
      </c>
      <c r="G84" s="51">
        <v>1774.18</v>
      </c>
      <c r="H84" s="51">
        <v>1780.44</v>
      </c>
      <c r="I84" s="51">
        <v>1814.89</v>
      </c>
      <c r="J84" s="51">
        <v>1950.25</v>
      </c>
      <c r="K84" s="51">
        <v>1914.27</v>
      </c>
      <c r="L84" s="51">
        <v>1812.95</v>
      </c>
      <c r="M84" s="51">
        <v>1782.66</v>
      </c>
      <c r="N84" s="51">
        <v>1775.78</v>
      </c>
      <c r="O84" s="51">
        <v>1805.49</v>
      </c>
      <c r="P84" s="51">
        <v>1926.68</v>
      </c>
      <c r="Q84" s="79"/>
      <c r="R84" s="66"/>
      <c r="S84" s="66"/>
      <c r="T84" s="66"/>
      <c r="U84" s="100"/>
      <c r="V84" s="73"/>
      <c r="W84" s="78"/>
      <c r="X84" s="347"/>
      <c r="Z84" s="75"/>
      <c r="AA84" s="75"/>
      <c r="AB84" s="76"/>
      <c r="AC84" s="76"/>
      <c r="AD84" s="69"/>
      <c r="AE84" s="69"/>
    </row>
    <row r="85" spans="1:31" ht="58.15" thickBot="1" x14ac:dyDescent="0.4">
      <c r="A85"/>
      <c r="B85" s="79"/>
      <c r="C85" s="79" t="s">
        <v>79</v>
      </c>
      <c r="D85" s="80">
        <f t="shared" ref="D85:P85" si="24">IF(((D83="")*AND(D84="")),"",(D83-D84)*2)</f>
        <v>1893.48</v>
      </c>
      <c r="E85" s="80">
        <f t="shared" si="24"/>
        <v>1990.2199999999998</v>
      </c>
      <c r="F85" s="80">
        <f t="shared" si="24"/>
        <v>1993.8999999999996</v>
      </c>
      <c r="G85" s="80">
        <f t="shared" si="24"/>
        <v>1999.02</v>
      </c>
      <c r="H85" s="80">
        <f t="shared" si="24"/>
        <v>2024.4799999999996</v>
      </c>
      <c r="I85" s="80">
        <f t="shared" si="24"/>
        <v>2035.4</v>
      </c>
      <c r="J85" s="80">
        <f t="shared" si="24"/>
        <v>1899.7399999999998</v>
      </c>
      <c r="K85" s="80">
        <f t="shared" si="24"/>
        <v>1934.1000000000004</v>
      </c>
      <c r="L85" s="80">
        <f t="shared" si="24"/>
        <v>2012.6</v>
      </c>
      <c r="M85" s="80">
        <f t="shared" si="24"/>
        <v>2006.1</v>
      </c>
      <c r="N85" s="80">
        <f t="shared" si="24"/>
        <v>2008.1</v>
      </c>
      <c r="O85" s="80">
        <f t="shared" si="24"/>
        <v>1997.7999999999997</v>
      </c>
      <c r="P85" s="80">
        <f t="shared" si="24"/>
        <v>1861.7400000000002</v>
      </c>
      <c r="R85" s="79"/>
      <c r="S85" s="79"/>
      <c r="T85" s="79"/>
      <c r="U85" s="101"/>
      <c r="V85" s="73"/>
      <c r="W85" s="82"/>
      <c r="X85" s="347"/>
      <c r="Z85" s="75"/>
      <c r="AA85" s="75"/>
      <c r="AB85" s="76"/>
      <c r="AC85" s="76"/>
      <c r="AD85" s="69"/>
      <c r="AE85" s="69"/>
    </row>
    <row r="86" spans="1:31" ht="14.95" thickBot="1" x14ac:dyDescent="0.35">
      <c r="A86" s="70">
        <v>43243</v>
      </c>
      <c r="B86" s="71" t="s">
        <v>76</v>
      </c>
      <c r="C86" s="72" t="s">
        <v>77</v>
      </c>
      <c r="D86" s="51">
        <v>2859.43</v>
      </c>
      <c r="E86" s="51">
        <v>2805.48</v>
      </c>
      <c r="F86" s="51">
        <v>2781.02</v>
      </c>
      <c r="G86" s="51">
        <v>2778.58</v>
      </c>
      <c r="H86" s="51">
        <v>2798.16</v>
      </c>
      <c r="I86" s="51">
        <v>2840.8</v>
      </c>
      <c r="J86" s="51">
        <v>2910.98</v>
      </c>
      <c r="K86" s="51">
        <v>2879.24</v>
      </c>
      <c r="L86" s="51">
        <v>2821.14</v>
      </c>
      <c r="M86" s="51">
        <v>2788.78</v>
      </c>
      <c r="N86" s="51">
        <v>2784.55</v>
      </c>
      <c r="O86" s="51">
        <v>2813.1</v>
      </c>
      <c r="P86" s="51">
        <v>2872.83</v>
      </c>
      <c r="Q86" s="72">
        <f>IF((P87=""),"",MAX(D88:P88))</f>
        <v>2102.0800000000004</v>
      </c>
      <c r="R86" s="72">
        <f>IF(P87="","",MIN(D88:P88))</f>
        <v>1941.1599999999999</v>
      </c>
      <c r="S86" s="72">
        <f>IF((P88=""),"",AVERAGE(D88:P88))</f>
        <v>2051.7784615384617</v>
      </c>
      <c r="T86" s="72">
        <f>IF((P87=""),"",STDEV(D88:P88))</f>
        <v>52.286188400340549</v>
      </c>
      <c r="U86" s="99">
        <f>IF((P87=""),"",((Q86-R86)/(Q86+R86))*100)</f>
        <v>3.9799764545265806</v>
      </c>
      <c r="V86" s="73" t="str">
        <f>IF(P87="","",IF(U86&lt;7.2,IF(S86&gt;1700,IF(S86&lt;2100,"Pass","Fail"),"Fail"),"Fail"))</f>
        <v>Pass</v>
      </c>
      <c r="W86" s="74">
        <v>1159</v>
      </c>
      <c r="X86" s="347"/>
      <c r="Z86" s="75">
        <v>1600</v>
      </c>
      <c r="AA86" s="75">
        <v>2600</v>
      </c>
      <c r="AB86" s="76">
        <v>1700</v>
      </c>
      <c r="AC86" s="76">
        <v>2100</v>
      </c>
      <c r="AD86" s="69">
        <v>10</v>
      </c>
      <c r="AE86" s="69">
        <v>7.2</v>
      </c>
    </row>
    <row r="87" spans="1:31" ht="16.649999999999999" thickBot="1" x14ac:dyDescent="0.4">
      <c r="A87"/>
      <c r="B87" s="66"/>
      <c r="C87" s="66" t="s">
        <v>78</v>
      </c>
      <c r="D87" s="51">
        <v>1882.82</v>
      </c>
      <c r="E87" s="51">
        <v>1775.1</v>
      </c>
      <c r="F87" s="51">
        <v>1744.36</v>
      </c>
      <c r="G87" s="51">
        <v>1741.51</v>
      </c>
      <c r="H87" s="51">
        <v>1749.38</v>
      </c>
      <c r="I87" s="51">
        <v>1789.76</v>
      </c>
      <c r="J87" s="51">
        <v>1896.89</v>
      </c>
      <c r="K87" s="51">
        <v>1868.5</v>
      </c>
      <c r="L87" s="51">
        <v>1774.88</v>
      </c>
      <c r="M87" s="51">
        <v>1747.81</v>
      </c>
      <c r="N87" s="51">
        <v>1742.77</v>
      </c>
      <c r="O87" s="51">
        <v>1781.5</v>
      </c>
      <c r="P87" s="51">
        <v>1902.25</v>
      </c>
      <c r="Q87" s="79"/>
      <c r="R87" s="66"/>
      <c r="S87" s="66"/>
      <c r="T87" s="66"/>
      <c r="U87" s="100"/>
      <c r="V87" s="73"/>
      <c r="W87" s="78"/>
      <c r="X87" s="347"/>
      <c r="Z87" s="75"/>
      <c r="AA87" s="75"/>
      <c r="AB87" s="76"/>
      <c r="AC87" s="76"/>
      <c r="AD87" s="69"/>
      <c r="AE87" s="69"/>
    </row>
    <row r="88" spans="1:31" ht="58.15" thickBot="1" x14ac:dyDescent="0.4">
      <c r="A88"/>
      <c r="B88" s="79"/>
      <c r="C88" s="79" t="s">
        <v>79</v>
      </c>
      <c r="D88" s="80">
        <f t="shared" ref="D88:P88" si="25">IF(((D86="")*AND(D87="")),"",(D86-D87)*2)</f>
        <v>1953.2199999999998</v>
      </c>
      <c r="E88" s="80">
        <f t="shared" si="25"/>
        <v>2060.7600000000002</v>
      </c>
      <c r="F88" s="80">
        <f t="shared" si="25"/>
        <v>2073.3200000000002</v>
      </c>
      <c r="G88" s="80">
        <f t="shared" si="25"/>
        <v>2074.14</v>
      </c>
      <c r="H88" s="80">
        <f t="shared" si="25"/>
        <v>2097.5599999999995</v>
      </c>
      <c r="I88" s="80">
        <f t="shared" si="25"/>
        <v>2102.0800000000004</v>
      </c>
      <c r="J88" s="80">
        <f t="shared" si="25"/>
        <v>2028.1799999999998</v>
      </c>
      <c r="K88" s="80">
        <f t="shared" si="25"/>
        <v>2021.4799999999996</v>
      </c>
      <c r="L88" s="80">
        <f t="shared" si="25"/>
        <v>2092.5199999999995</v>
      </c>
      <c r="M88" s="80">
        <f t="shared" si="25"/>
        <v>2081.9400000000005</v>
      </c>
      <c r="N88" s="80">
        <f t="shared" si="25"/>
        <v>2083.5600000000004</v>
      </c>
      <c r="O88" s="80">
        <f t="shared" si="25"/>
        <v>2063.1999999999998</v>
      </c>
      <c r="P88" s="80">
        <f t="shared" si="25"/>
        <v>1941.1599999999999</v>
      </c>
      <c r="Q88" s="72"/>
      <c r="R88" s="79"/>
      <c r="S88" s="79"/>
      <c r="T88" s="79"/>
      <c r="U88" s="101"/>
      <c r="V88" s="73"/>
      <c r="W88" s="82"/>
      <c r="X88" s="347"/>
      <c r="Z88" s="75"/>
      <c r="AA88" s="75"/>
      <c r="AB88" s="76"/>
      <c r="AC88" s="76"/>
      <c r="AD88" s="69"/>
      <c r="AE88" s="69"/>
    </row>
    <row r="89" spans="1:31" ht="14.95" thickBot="1" x14ac:dyDescent="0.35">
      <c r="A89" s="70">
        <v>43248</v>
      </c>
      <c r="B89" s="71" t="s">
        <v>76</v>
      </c>
      <c r="C89" s="72" t="s">
        <v>77</v>
      </c>
      <c r="D89" s="51">
        <v>2835.96</v>
      </c>
      <c r="E89" s="51">
        <v>2779.57</v>
      </c>
      <c r="F89" s="51">
        <v>2751.51</v>
      </c>
      <c r="G89" s="51">
        <v>2748.35</v>
      </c>
      <c r="H89" s="51">
        <v>2762.42</v>
      </c>
      <c r="I89" s="51">
        <v>2793.27</v>
      </c>
      <c r="J89" s="51">
        <v>2855.41</v>
      </c>
      <c r="K89" s="51">
        <v>2833.13</v>
      </c>
      <c r="L89" s="51">
        <v>2776.1</v>
      </c>
      <c r="M89" s="51">
        <v>2752.12</v>
      </c>
      <c r="N89" s="51">
        <v>2770.46</v>
      </c>
      <c r="O89" s="51">
        <v>2815.28</v>
      </c>
      <c r="P89" s="51">
        <v>2891.11</v>
      </c>
      <c r="Q89" s="72">
        <f>IF((P90=""),"",MAX(D91:P91))</f>
        <v>2079</v>
      </c>
      <c r="R89" s="72">
        <f>IF(P90="","",MIN(D91:P91))</f>
        <v>1918.6000000000004</v>
      </c>
      <c r="S89" s="72">
        <f>IF((P91=""),"",AVERAGE(D91:P91))</f>
        <v>2019.8015384615383</v>
      </c>
      <c r="T89" s="72">
        <f>IF((P90=""),"",STDEV(D91:P91))</f>
        <v>53.735423115817106</v>
      </c>
      <c r="U89" s="99">
        <f>IF((P90=""),"",((Q89-R89)/(Q89+R89))*100)</f>
        <v>4.0124074444666711</v>
      </c>
      <c r="V89" s="73" t="str">
        <f>IF(P90="","",IF(U89&lt;7.2,IF(S89&gt;1700,IF(S89&lt;2100,"Pass","Fail"),"Fail"),"Fail"))</f>
        <v>Pass</v>
      </c>
      <c r="W89" s="74">
        <v>102</v>
      </c>
      <c r="X89" s="347"/>
      <c r="Z89" s="75">
        <v>1600</v>
      </c>
      <c r="AA89" s="75">
        <v>2600</v>
      </c>
      <c r="AB89" s="76">
        <v>1700</v>
      </c>
      <c r="AC89" s="76">
        <v>2100</v>
      </c>
      <c r="AD89" s="69">
        <v>10</v>
      </c>
      <c r="AE89" s="69">
        <v>7.2</v>
      </c>
    </row>
    <row r="90" spans="1:31" ht="16.649999999999999" thickBot="1" x14ac:dyDescent="0.4">
      <c r="A90"/>
      <c r="B90" s="66"/>
      <c r="C90" s="66" t="s">
        <v>78</v>
      </c>
      <c r="D90" s="51">
        <v>1863.84</v>
      </c>
      <c r="E90" s="51">
        <v>1766.94</v>
      </c>
      <c r="F90" s="51">
        <v>1731.31</v>
      </c>
      <c r="G90" s="51">
        <v>1727.24</v>
      </c>
      <c r="H90" s="51">
        <v>1726.87</v>
      </c>
      <c r="I90" s="51">
        <v>1753.77</v>
      </c>
      <c r="J90" s="51">
        <v>1875.62</v>
      </c>
      <c r="K90" s="51">
        <v>1852.04</v>
      </c>
      <c r="L90" s="51">
        <v>1751.52</v>
      </c>
      <c r="M90" s="51">
        <v>1722.66</v>
      </c>
      <c r="N90" s="51">
        <v>1742.55</v>
      </c>
      <c r="O90" s="51">
        <v>1789.81</v>
      </c>
      <c r="P90" s="51">
        <v>1931.81</v>
      </c>
      <c r="Q90" s="79"/>
      <c r="R90" s="66"/>
      <c r="S90" s="66"/>
      <c r="T90" s="66"/>
      <c r="U90" s="100"/>
      <c r="V90" s="73"/>
      <c r="W90" s="78"/>
      <c r="X90" s="347"/>
      <c r="Z90" s="75"/>
      <c r="AA90" s="75"/>
      <c r="AB90" s="76"/>
      <c r="AC90" s="76"/>
      <c r="AD90" s="69"/>
      <c r="AE90" s="69"/>
    </row>
    <row r="91" spans="1:31" ht="58.15" thickBot="1" x14ac:dyDescent="0.4">
      <c r="A91"/>
      <c r="B91" s="79"/>
      <c r="C91" s="79" t="s">
        <v>79</v>
      </c>
      <c r="D91" s="80">
        <f t="shared" ref="D91:P91" si="26">IF(((D89="")*AND(D90="")),"",(D89-D90)*2)</f>
        <v>1944.2400000000002</v>
      </c>
      <c r="E91" s="80">
        <f t="shared" si="26"/>
        <v>2025.2600000000002</v>
      </c>
      <c r="F91" s="80">
        <f t="shared" si="26"/>
        <v>2040.4000000000005</v>
      </c>
      <c r="G91" s="80">
        <f t="shared" si="26"/>
        <v>2042.2199999999998</v>
      </c>
      <c r="H91" s="80">
        <f t="shared" si="26"/>
        <v>2071.1000000000004</v>
      </c>
      <c r="I91" s="80">
        <f t="shared" si="26"/>
        <v>2079</v>
      </c>
      <c r="J91" s="80">
        <f t="shared" si="26"/>
        <v>1959.58</v>
      </c>
      <c r="K91" s="80">
        <f t="shared" si="26"/>
        <v>1962.1800000000003</v>
      </c>
      <c r="L91" s="80">
        <f t="shared" si="26"/>
        <v>2049.16</v>
      </c>
      <c r="M91" s="80">
        <f t="shared" si="26"/>
        <v>2058.9199999999996</v>
      </c>
      <c r="N91" s="80">
        <f t="shared" si="26"/>
        <v>2055.8200000000002</v>
      </c>
      <c r="O91" s="80">
        <f t="shared" si="26"/>
        <v>2050.9400000000005</v>
      </c>
      <c r="P91" s="80">
        <f t="shared" si="26"/>
        <v>1918.6000000000004</v>
      </c>
      <c r="R91" s="79"/>
      <c r="S91" s="79"/>
      <c r="T91" s="79"/>
      <c r="U91" s="101"/>
      <c r="V91" s="73"/>
      <c r="W91" s="82"/>
      <c r="X91" s="347"/>
      <c r="Z91" s="75"/>
      <c r="AA91" s="75"/>
      <c r="AB91" s="76"/>
      <c r="AC91" s="76"/>
      <c r="AD91" s="69"/>
      <c r="AE91" s="69"/>
    </row>
    <row r="92" spans="1:31" ht="14.95" thickBot="1" x14ac:dyDescent="0.35">
      <c r="A92" s="70">
        <v>43251</v>
      </c>
      <c r="B92" s="71" t="s">
        <v>76</v>
      </c>
      <c r="C92" s="72" t="s">
        <v>77</v>
      </c>
      <c r="D92" s="51">
        <v>2827.97</v>
      </c>
      <c r="E92" s="51">
        <v>2775.93</v>
      </c>
      <c r="F92" s="51">
        <v>2751.82</v>
      </c>
      <c r="G92" s="51">
        <v>2742.93</v>
      </c>
      <c r="H92" s="51">
        <v>2754.51</v>
      </c>
      <c r="I92" s="51">
        <v>2789.71</v>
      </c>
      <c r="J92" s="51">
        <v>2852.9</v>
      </c>
      <c r="K92" s="51">
        <v>2827.49</v>
      </c>
      <c r="L92" s="51">
        <v>2771.21</v>
      </c>
      <c r="M92" s="51">
        <v>2743.07</v>
      </c>
      <c r="N92" s="51">
        <v>2765.45</v>
      </c>
      <c r="O92" s="51">
        <v>2809.58</v>
      </c>
      <c r="P92" s="51">
        <v>2888.62</v>
      </c>
      <c r="Q92" s="72">
        <f>IF((P93=""),"",MAX(D94:P94))</f>
        <v>2076.42</v>
      </c>
      <c r="R92" s="72">
        <f>IF(P93="","",MIN(D94:P94))</f>
        <v>1911.1799999999998</v>
      </c>
      <c r="S92" s="72">
        <f>IF((P94=""),"",AVERAGE(D94:P94))</f>
        <v>2013.2861538461539</v>
      </c>
      <c r="T92" s="72">
        <f>IF((P93=""),"",STDEV(D94:P94))</f>
        <v>56.520848297842313</v>
      </c>
      <c r="U92" s="99">
        <f>IF((P93=""),"",((Q92-R92)/(Q92+R92))*100)</f>
        <v>4.1438459223593194</v>
      </c>
      <c r="V92" s="73" t="str">
        <f>IF(P93="","",IF(U92&lt;7.2,IF(S92&gt;1700,IF(S92&lt;2100,"Pass","Fail"),"Fail"),"Fail"))</f>
        <v>Pass</v>
      </c>
      <c r="W92" s="74">
        <v>102</v>
      </c>
      <c r="X92" s="347"/>
      <c r="Z92" s="75">
        <v>1600</v>
      </c>
      <c r="AA92" s="75">
        <v>2600</v>
      </c>
      <c r="AB92" s="76">
        <v>1700</v>
      </c>
      <c r="AC92" s="76">
        <v>2100</v>
      </c>
      <c r="AD92" s="69">
        <v>10</v>
      </c>
      <c r="AE92" s="69">
        <v>7.2</v>
      </c>
    </row>
    <row r="93" spans="1:31" ht="16.649999999999999" thickBot="1" x14ac:dyDescent="0.4">
      <c r="A93"/>
      <c r="B93" s="66"/>
      <c r="C93" s="66" t="s">
        <v>78</v>
      </c>
      <c r="D93" s="51">
        <v>1869.46</v>
      </c>
      <c r="E93" s="51">
        <v>1766.13</v>
      </c>
      <c r="F93" s="51">
        <v>1731.15</v>
      </c>
      <c r="G93" s="51">
        <v>1718.43</v>
      </c>
      <c r="H93" s="51">
        <v>1725</v>
      </c>
      <c r="I93" s="51">
        <v>1751.5</v>
      </c>
      <c r="J93" s="51">
        <v>1871.12</v>
      </c>
      <c r="K93" s="51">
        <v>1850.33</v>
      </c>
      <c r="L93" s="51">
        <v>1744.61</v>
      </c>
      <c r="M93" s="51">
        <v>1720.64</v>
      </c>
      <c r="N93" s="51">
        <v>1738.33</v>
      </c>
      <c r="O93" s="51">
        <v>1795.1</v>
      </c>
      <c r="P93" s="51">
        <v>1933.03</v>
      </c>
      <c r="Q93" s="79"/>
      <c r="R93" s="66"/>
      <c r="S93" s="66"/>
      <c r="T93" s="66"/>
      <c r="U93" s="100"/>
      <c r="V93" s="73"/>
      <c r="W93" s="78"/>
      <c r="X93" s="347"/>
      <c r="Z93" s="75"/>
      <c r="AA93" s="75"/>
      <c r="AB93" s="76"/>
      <c r="AC93" s="76"/>
      <c r="AD93" s="69"/>
      <c r="AE93" s="69"/>
    </row>
    <row r="94" spans="1:31" ht="58.15" thickBot="1" x14ac:dyDescent="0.4">
      <c r="A94"/>
      <c r="B94" s="79"/>
      <c r="C94" s="79" t="s">
        <v>79</v>
      </c>
      <c r="D94" s="80">
        <f t="shared" ref="D94:P94" si="27">IF(((D92="")*AND(D93="")),"",(D92-D93)*2)</f>
        <v>1917.0199999999995</v>
      </c>
      <c r="E94" s="80">
        <f t="shared" si="27"/>
        <v>2019.5999999999995</v>
      </c>
      <c r="F94" s="80">
        <f t="shared" si="27"/>
        <v>2041.3400000000001</v>
      </c>
      <c r="G94" s="80">
        <f t="shared" si="27"/>
        <v>2048.9999999999995</v>
      </c>
      <c r="H94" s="80">
        <f t="shared" si="27"/>
        <v>2059.0200000000004</v>
      </c>
      <c r="I94" s="80">
        <f t="shared" si="27"/>
        <v>2076.42</v>
      </c>
      <c r="J94" s="80">
        <f t="shared" si="27"/>
        <v>1963.5600000000004</v>
      </c>
      <c r="K94" s="80">
        <f t="shared" si="27"/>
        <v>1954.3199999999997</v>
      </c>
      <c r="L94" s="80">
        <f t="shared" si="27"/>
        <v>2053.2000000000003</v>
      </c>
      <c r="M94" s="80">
        <f t="shared" si="27"/>
        <v>2044.8600000000001</v>
      </c>
      <c r="N94" s="80">
        <f t="shared" si="27"/>
        <v>2054.2399999999998</v>
      </c>
      <c r="O94" s="80">
        <f t="shared" si="27"/>
        <v>2028.96</v>
      </c>
      <c r="P94" s="80">
        <f t="shared" si="27"/>
        <v>1911.1799999999998</v>
      </c>
      <c r="R94" s="79"/>
      <c r="S94" s="79"/>
      <c r="T94" s="79"/>
      <c r="U94" s="101"/>
      <c r="V94" s="73"/>
      <c r="W94" s="82"/>
      <c r="X94" s="347"/>
      <c r="Z94" s="75"/>
      <c r="AA94" s="75"/>
      <c r="AB94" s="76"/>
      <c r="AC94" s="76"/>
      <c r="AD94" s="69"/>
      <c r="AE94" s="69"/>
    </row>
    <row r="95" spans="1:31" ht="14.95" thickBot="1" x14ac:dyDescent="0.35">
      <c r="A95" s="70">
        <v>43255</v>
      </c>
      <c r="B95" s="71" t="s">
        <v>76</v>
      </c>
      <c r="C95" s="72" t="s">
        <v>77</v>
      </c>
      <c r="D95" s="51">
        <v>2838.69</v>
      </c>
      <c r="E95" s="51">
        <v>2785.48</v>
      </c>
      <c r="F95" s="51">
        <v>2758.61</v>
      </c>
      <c r="G95" s="51">
        <v>2755.47</v>
      </c>
      <c r="H95" s="51">
        <v>2769.04</v>
      </c>
      <c r="I95" s="51">
        <v>2803.19</v>
      </c>
      <c r="J95" s="51">
        <v>2868</v>
      </c>
      <c r="K95" s="51">
        <v>2835.89</v>
      </c>
      <c r="L95" s="51">
        <v>2784.08</v>
      </c>
      <c r="M95" s="51">
        <v>2754.42</v>
      </c>
      <c r="N95" s="51">
        <v>2776.44</v>
      </c>
      <c r="O95" s="51">
        <v>2821.04</v>
      </c>
      <c r="P95" s="51">
        <v>2899.01</v>
      </c>
      <c r="Q95" s="72">
        <f>IF((P96=""),"",MAX(D97:P97))</f>
        <v>2091</v>
      </c>
      <c r="R95" s="72">
        <f>IF(P96="","",MIN(D97:P97))</f>
        <v>1932.2400000000002</v>
      </c>
      <c r="S95" s="72">
        <f>IF((P97=""),"",AVERAGE(D97:P97))</f>
        <v>2025.9861538461535</v>
      </c>
      <c r="T95" s="72">
        <f>IF((P96=""),"",STDEV(D97:P97))</f>
        <v>54.205675216171052</v>
      </c>
      <c r="U95" s="99">
        <f>IF((P96=""),"",((Q95-R95)/(Q95+R95))*100)</f>
        <v>3.9460733140453903</v>
      </c>
      <c r="V95" s="73" t="str">
        <f>IF(P96="","",IF(U95&lt;7.2,IF(S95&gt;1700,IF(S95&lt;2100,"Pass","Fail"),"Fail"),"Fail"))</f>
        <v>Pass</v>
      </c>
      <c r="W95" s="74">
        <v>1335</v>
      </c>
      <c r="X95" s="347"/>
      <c r="Z95" s="75">
        <v>1600</v>
      </c>
      <c r="AA95" s="75">
        <v>2600</v>
      </c>
      <c r="AB95" s="76">
        <v>1700</v>
      </c>
      <c r="AC95" s="76">
        <v>2100</v>
      </c>
      <c r="AD95" s="69">
        <v>10</v>
      </c>
      <c r="AE95" s="69">
        <v>7.2</v>
      </c>
    </row>
    <row r="96" spans="1:31" ht="16.649999999999999" thickBot="1" x14ac:dyDescent="0.4">
      <c r="A96"/>
      <c r="B96" s="66"/>
      <c r="C96" s="66" t="s">
        <v>78</v>
      </c>
      <c r="D96" s="51">
        <v>1866.73</v>
      </c>
      <c r="E96" s="51">
        <v>1770.97</v>
      </c>
      <c r="F96" s="51">
        <v>1736.44</v>
      </c>
      <c r="G96" s="51">
        <v>1727.45</v>
      </c>
      <c r="H96" s="51">
        <v>1723.54</v>
      </c>
      <c r="I96" s="51">
        <v>1760.38</v>
      </c>
      <c r="J96" s="51">
        <v>1885.43</v>
      </c>
      <c r="K96" s="51">
        <v>1851.83</v>
      </c>
      <c r="L96" s="51">
        <v>1751.1</v>
      </c>
      <c r="M96" s="51">
        <v>1727.69</v>
      </c>
      <c r="N96" s="51">
        <v>1750.53</v>
      </c>
      <c r="O96" s="51">
        <v>1795.47</v>
      </c>
      <c r="P96" s="51">
        <v>1932.89</v>
      </c>
      <c r="Q96" s="79"/>
      <c r="R96" s="66"/>
      <c r="S96" s="66"/>
      <c r="T96" s="66"/>
      <c r="U96" s="100"/>
      <c r="V96" s="73"/>
      <c r="W96" s="78"/>
      <c r="X96" s="347"/>
      <c r="Z96" s="75"/>
      <c r="AA96" s="75"/>
      <c r="AB96" s="76"/>
      <c r="AC96" s="76"/>
      <c r="AD96" s="69"/>
      <c r="AE96" s="69"/>
    </row>
    <row r="97" spans="1:31" ht="58.15" thickBot="1" x14ac:dyDescent="0.4">
      <c r="A97"/>
      <c r="B97" s="79"/>
      <c r="C97" s="79" t="s">
        <v>79</v>
      </c>
      <c r="D97" s="80">
        <f t="shared" ref="D97:P97" si="28">IF(((D95="")*AND(D96="")),"",(D95-D96)*2)</f>
        <v>1943.92</v>
      </c>
      <c r="E97" s="80">
        <f t="shared" si="28"/>
        <v>2029.02</v>
      </c>
      <c r="F97" s="80">
        <f t="shared" si="28"/>
        <v>2044.3400000000001</v>
      </c>
      <c r="G97" s="80">
        <f t="shared" si="28"/>
        <v>2056.0399999999995</v>
      </c>
      <c r="H97" s="80">
        <f t="shared" si="28"/>
        <v>2091</v>
      </c>
      <c r="I97" s="80">
        <f t="shared" si="28"/>
        <v>2085.62</v>
      </c>
      <c r="J97" s="80">
        <f t="shared" si="28"/>
        <v>1965.1399999999999</v>
      </c>
      <c r="K97" s="80">
        <f t="shared" si="28"/>
        <v>1968.12</v>
      </c>
      <c r="L97" s="80">
        <f t="shared" si="28"/>
        <v>2065.96</v>
      </c>
      <c r="M97" s="80">
        <f t="shared" si="28"/>
        <v>2053.46</v>
      </c>
      <c r="N97" s="80">
        <f t="shared" si="28"/>
        <v>2051.8200000000002</v>
      </c>
      <c r="O97" s="80">
        <f t="shared" si="28"/>
        <v>2051.14</v>
      </c>
      <c r="P97" s="80">
        <f t="shared" si="28"/>
        <v>1932.2400000000002</v>
      </c>
      <c r="R97" s="79"/>
      <c r="S97" s="79"/>
      <c r="T97" s="79"/>
      <c r="U97" s="101"/>
      <c r="V97" s="73"/>
      <c r="W97" s="82"/>
      <c r="X97" s="347"/>
      <c r="Z97" s="75"/>
      <c r="AA97" s="75"/>
      <c r="AB97" s="76"/>
      <c r="AC97" s="76"/>
      <c r="AD97" s="69"/>
      <c r="AE97" s="69"/>
    </row>
    <row r="98" spans="1:31" ht="14.95" thickBot="1" x14ac:dyDescent="0.35">
      <c r="A98" s="70">
        <v>43258</v>
      </c>
      <c r="B98" s="71" t="s">
        <v>76</v>
      </c>
      <c r="C98" s="72" t="s">
        <v>77</v>
      </c>
      <c r="D98" s="51">
        <v>2837.68</v>
      </c>
      <c r="E98" s="51">
        <v>2783.49</v>
      </c>
      <c r="F98" s="51">
        <v>2756.92</v>
      </c>
      <c r="G98" s="51">
        <v>2750.51</v>
      </c>
      <c r="H98" s="51">
        <v>2765.96</v>
      </c>
      <c r="I98" s="51">
        <v>2797.96</v>
      </c>
      <c r="J98" s="51">
        <v>2865.5</v>
      </c>
      <c r="K98" s="51">
        <v>2837.46</v>
      </c>
      <c r="L98" s="51">
        <v>2778.93</v>
      </c>
      <c r="M98" s="51">
        <v>2752.68</v>
      </c>
      <c r="N98" s="51">
        <v>2774.41</v>
      </c>
      <c r="O98" s="51">
        <v>2818.7</v>
      </c>
      <c r="P98" s="51">
        <v>2896.55</v>
      </c>
      <c r="Q98" s="72">
        <f>IF((P99=""),"",MAX(D100:P100))</f>
        <v>1990.42</v>
      </c>
      <c r="R98" s="72">
        <f>IF(P99="","",MIN(D100:P100))</f>
        <v>1870.0999999999995</v>
      </c>
      <c r="S98" s="72">
        <f>IF((P100=""),"",AVERAGE(D100:P100))</f>
        <v>1944.6923076923074</v>
      </c>
      <c r="T98" s="72">
        <f>IF((P99=""),"",STDEV(D100:P100))</f>
        <v>37.473298527939846</v>
      </c>
      <c r="U98" s="99">
        <f>IF((P99=""),"",((Q98-R98)/(Q98+R98))*100)</f>
        <v>3.1166785821599325</v>
      </c>
      <c r="V98" s="73" t="str">
        <f>IF(P99="","",IF(U98&lt;7.2,IF(S98&gt;1700,IF(S98&lt;2100,"Pass","Fail"),"Fail"),"Fail"))</f>
        <v>Pass</v>
      </c>
      <c r="W98" s="74">
        <v>1335</v>
      </c>
      <c r="X98" s="347"/>
      <c r="Z98" s="75">
        <v>1600</v>
      </c>
      <c r="AA98" s="75">
        <v>2600</v>
      </c>
      <c r="AB98" s="76">
        <v>1700</v>
      </c>
      <c r="AC98" s="76">
        <v>2100</v>
      </c>
      <c r="AD98" s="69">
        <v>10</v>
      </c>
      <c r="AE98" s="69">
        <v>7.2</v>
      </c>
    </row>
    <row r="99" spans="1:31" ht="16.649999999999999" thickBot="1" x14ac:dyDescent="0.4">
      <c r="A99"/>
      <c r="B99" s="66"/>
      <c r="C99" s="66" t="s">
        <v>78</v>
      </c>
      <c r="D99" s="51">
        <v>1902.63</v>
      </c>
      <c r="E99" s="51">
        <v>1806.76</v>
      </c>
      <c r="F99" s="51">
        <v>1777.94</v>
      </c>
      <c r="G99" s="51">
        <v>1772.46</v>
      </c>
      <c r="H99" s="51">
        <v>1770.75</v>
      </c>
      <c r="I99" s="51">
        <v>1806.24</v>
      </c>
      <c r="J99" s="51">
        <v>1912.02</v>
      </c>
      <c r="K99" s="51">
        <v>1876.33</v>
      </c>
      <c r="L99" s="51">
        <v>1794.4</v>
      </c>
      <c r="M99" s="51">
        <v>1768.13</v>
      </c>
      <c r="N99" s="51">
        <v>1793.18</v>
      </c>
      <c r="O99" s="51">
        <v>1840.6</v>
      </c>
      <c r="P99" s="51">
        <v>1954.81</v>
      </c>
      <c r="Q99" s="79"/>
      <c r="R99" s="66"/>
      <c r="S99" s="66"/>
      <c r="T99" s="66"/>
      <c r="U99" s="100"/>
      <c r="V99" s="73"/>
      <c r="W99" s="78"/>
      <c r="X99" s="347"/>
      <c r="Z99" s="75"/>
      <c r="AA99" s="75"/>
      <c r="AB99" s="76"/>
      <c r="AC99" s="76"/>
      <c r="AD99" s="69"/>
      <c r="AE99" s="69"/>
    </row>
    <row r="100" spans="1:31" ht="58.15" thickBot="1" x14ac:dyDescent="0.4">
      <c r="A100"/>
      <c r="B100" s="79"/>
      <c r="C100" s="79" t="s">
        <v>79</v>
      </c>
      <c r="D100" s="80">
        <f t="shared" ref="D100:P100" si="29">IF(((D98="")*AND(D99="")),"",(D98-D99)*2)</f>
        <v>1870.0999999999995</v>
      </c>
      <c r="E100" s="80">
        <f t="shared" si="29"/>
        <v>1953.4599999999996</v>
      </c>
      <c r="F100" s="80">
        <f t="shared" si="29"/>
        <v>1957.96</v>
      </c>
      <c r="G100" s="80">
        <f t="shared" si="29"/>
        <v>1956.1000000000004</v>
      </c>
      <c r="H100" s="80">
        <f t="shared" si="29"/>
        <v>1990.42</v>
      </c>
      <c r="I100" s="80">
        <f t="shared" si="29"/>
        <v>1983.44</v>
      </c>
      <c r="J100" s="80">
        <f t="shared" si="29"/>
        <v>1906.96</v>
      </c>
      <c r="K100" s="80">
        <f t="shared" si="29"/>
        <v>1922.2600000000002</v>
      </c>
      <c r="L100" s="80">
        <f t="shared" si="29"/>
        <v>1969.0599999999995</v>
      </c>
      <c r="M100" s="80">
        <f t="shared" si="29"/>
        <v>1969.0999999999995</v>
      </c>
      <c r="N100" s="80">
        <f t="shared" si="29"/>
        <v>1962.4599999999996</v>
      </c>
      <c r="O100" s="80">
        <f t="shared" si="29"/>
        <v>1956.1999999999998</v>
      </c>
      <c r="P100" s="80">
        <f t="shared" si="29"/>
        <v>1883.4800000000005</v>
      </c>
      <c r="R100" s="79"/>
      <c r="S100" s="79"/>
      <c r="T100" s="79"/>
      <c r="U100" s="101"/>
      <c r="V100" s="73"/>
      <c r="W100" s="82"/>
      <c r="X100" s="347"/>
      <c r="Z100" s="75"/>
      <c r="AA100" s="75"/>
      <c r="AB100" s="76"/>
      <c r="AC100" s="76"/>
      <c r="AD100" s="69"/>
      <c r="AE100" s="69"/>
    </row>
    <row r="101" spans="1:31" ht="14.95" thickBot="1" x14ac:dyDescent="0.35">
      <c r="A101" s="70">
        <v>43262</v>
      </c>
      <c r="B101" s="71" t="s">
        <v>76</v>
      </c>
      <c r="C101" s="72" t="s">
        <v>77</v>
      </c>
      <c r="D101" s="51">
        <v>2837.78</v>
      </c>
      <c r="E101" s="51">
        <v>2782.63</v>
      </c>
      <c r="F101" s="51">
        <v>2758.42</v>
      </c>
      <c r="G101" s="51">
        <v>2751.33</v>
      </c>
      <c r="H101" s="51">
        <v>2765.05</v>
      </c>
      <c r="I101" s="51">
        <v>2799.38</v>
      </c>
      <c r="J101" s="51">
        <v>2860.25</v>
      </c>
      <c r="K101" s="51">
        <v>2836.14</v>
      </c>
      <c r="L101" s="51">
        <v>2779.3</v>
      </c>
      <c r="M101" s="51">
        <v>2752.47</v>
      </c>
      <c r="N101" s="51">
        <v>2773.57</v>
      </c>
      <c r="O101" s="51">
        <v>2818.75</v>
      </c>
      <c r="P101" s="51">
        <v>2898.29</v>
      </c>
      <c r="Q101" s="72">
        <f>IF((P102=""),"",MAX(D103:P103))</f>
        <v>2099.92</v>
      </c>
      <c r="R101" s="72">
        <f>IF(P102="","",MIN(D103:P103))</f>
        <v>1936.8200000000006</v>
      </c>
      <c r="S101" s="72">
        <f>IF((P103=""),"",AVERAGE(D103:P103))</f>
        <v>2033.6353846153847</v>
      </c>
      <c r="T101" s="72">
        <f>IF((P102=""),"",STDEV(D103:P103))</f>
        <v>49.782467565630711</v>
      </c>
      <c r="U101" s="99">
        <f>IF((P102=""),"",((Q101-R101)/(Q101+R101))*100)</f>
        <v>4.0403890267889295</v>
      </c>
      <c r="V101" s="73" t="str">
        <f>IF(P102="","",IF(U101&lt;7.2,IF(S101&gt;1700,IF(S101&lt;2100,"Pass","Fail"),"Fail"),"Fail"))</f>
        <v>Pass</v>
      </c>
      <c r="W101" s="74">
        <v>1159</v>
      </c>
      <c r="X101" s="188" t="s">
        <v>87</v>
      </c>
      <c r="Z101" s="75">
        <v>1600</v>
      </c>
      <c r="AA101" s="75">
        <v>2600</v>
      </c>
      <c r="AB101" s="76">
        <v>1700</v>
      </c>
      <c r="AC101" s="76">
        <v>2100</v>
      </c>
      <c r="AD101" s="69">
        <v>10</v>
      </c>
      <c r="AE101" s="69">
        <v>7.2</v>
      </c>
    </row>
    <row r="102" spans="1:31" ht="16.649999999999999" thickBot="1" x14ac:dyDescent="0.4">
      <c r="A102"/>
      <c r="B102" s="66"/>
      <c r="C102" s="66" t="s">
        <v>78</v>
      </c>
      <c r="D102" s="51">
        <v>1869.37</v>
      </c>
      <c r="E102" s="51">
        <v>1766.33</v>
      </c>
      <c r="F102" s="51">
        <v>1735.83</v>
      </c>
      <c r="G102" s="51">
        <v>1720.89</v>
      </c>
      <c r="H102" s="51">
        <v>1722.49</v>
      </c>
      <c r="I102" s="51">
        <v>1749.42</v>
      </c>
      <c r="J102" s="51">
        <v>1860.11</v>
      </c>
      <c r="K102" s="51">
        <v>1839.03</v>
      </c>
      <c r="L102" s="51">
        <v>1744.3</v>
      </c>
      <c r="M102" s="51">
        <v>1721.76</v>
      </c>
      <c r="N102" s="51">
        <v>1745.4</v>
      </c>
      <c r="O102" s="51">
        <v>1796.36</v>
      </c>
      <c r="P102" s="51">
        <v>1923.44</v>
      </c>
      <c r="Q102" s="79"/>
      <c r="R102" s="66"/>
      <c r="S102" s="66"/>
      <c r="T102" s="66"/>
      <c r="U102" s="100"/>
      <c r="V102" s="73"/>
      <c r="W102" s="78"/>
      <c r="X102" s="347"/>
      <c r="Z102" s="75"/>
      <c r="AA102" s="75"/>
      <c r="AB102" s="76"/>
      <c r="AC102" s="76"/>
      <c r="AD102" s="69"/>
      <c r="AE102" s="69"/>
    </row>
    <row r="103" spans="1:31" ht="58.15" thickBot="1" x14ac:dyDescent="0.4">
      <c r="A103"/>
      <c r="B103" s="79"/>
      <c r="C103" s="79" t="s">
        <v>79</v>
      </c>
      <c r="D103" s="80">
        <f t="shared" ref="D103:P103" si="30">IF(((D101="")*AND(D102="")),"",(D101-D102)*2)</f>
        <v>1936.8200000000006</v>
      </c>
      <c r="E103" s="80">
        <f t="shared" si="30"/>
        <v>2032.6000000000004</v>
      </c>
      <c r="F103" s="80">
        <f t="shared" si="30"/>
        <v>2045.1800000000003</v>
      </c>
      <c r="G103" s="80">
        <f t="shared" si="30"/>
        <v>2060.8799999999997</v>
      </c>
      <c r="H103" s="80">
        <f t="shared" si="30"/>
        <v>2085.1200000000003</v>
      </c>
      <c r="I103" s="80">
        <f t="shared" si="30"/>
        <v>2099.92</v>
      </c>
      <c r="J103" s="80">
        <f t="shared" si="30"/>
        <v>2000.2800000000002</v>
      </c>
      <c r="K103" s="80">
        <f t="shared" si="30"/>
        <v>1994.2199999999998</v>
      </c>
      <c r="L103" s="80">
        <f t="shared" si="30"/>
        <v>2070.0000000000005</v>
      </c>
      <c r="M103" s="80">
        <f t="shared" si="30"/>
        <v>2061.4199999999996</v>
      </c>
      <c r="N103" s="80">
        <f t="shared" si="30"/>
        <v>2056.34</v>
      </c>
      <c r="O103" s="80">
        <f t="shared" si="30"/>
        <v>2044.7800000000002</v>
      </c>
      <c r="P103" s="80">
        <f t="shared" si="30"/>
        <v>1949.6999999999998</v>
      </c>
      <c r="R103" s="79"/>
      <c r="S103" s="79"/>
      <c r="T103" s="79"/>
      <c r="U103" s="101"/>
      <c r="V103" s="73"/>
      <c r="W103" s="82"/>
      <c r="X103" s="347"/>
      <c r="Z103" s="75"/>
      <c r="AA103" s="75"/>
      <c r="AB103" s="76"/>
      <c r="AC103" s="76"/>
      <c r="AD103" s="69"/>
      <c r="AE103" s="69"/>
    </row>
    <row r="104" spans="1:31" ht="14.95" thickBot="1" x14ac:dyDescent="0.35">
      <c r="A104" s="70">
        <v>43272</v>
      </c>
      <c r="B104" s="71" t="s">
        <v>76</v>
      </c>
      <c r="C104" s="72" t="s">
        <v>77</v>
      </c>
      <c r="D104" s="51">
        <v>2850.58</v>
      </c>
      <c r="E104" s="51">
        <v>2798.67</v>
      </c>
      <c r="F104" s="51">
        <v>2770.12</v>
      </c>
      <c r="G104" s="51">
        <v>2763.32</v>
      </c>
      <c r="H104" s="51">
        <v>2774.3</v>
      </c>
      <c r="I104" s="51">
        <v>2803.54</v>
      </c>
      <c r="J104" s="51">
        <v>2857.04</v>
      </c>
      <c r="K104" s="51">
        <v>2853.5</v>
      </c>
      <c r="L104" s="51">
        <v>2791.26</v>
      </c>
      <c r="M104" s="51">
        <v>2765.58</v>
      </c>
      <c r="N104" s="51">
        <v>2783.64</v>
      </c>
      <c r="O104" s="51">
        <v>2828.68</v>
      </c>
      <c r="P104" s="51">
        <v>2907.68</v>
      </c>
      <c r="Q104" s="72">
        <f>IF((P105=""),"",MAX(D106:P106))</f>
        <v>2060.7599999999998</v>
      </c>
      <c r="R104" s="72">
        <f>IF(P105="","",MIN(D106:P106))</f>
        <v>1928.8599999999997</v>
      </c>
      <c r="S104" s="72">
        <f>IF((P106=""),"",AVERAGE(D106:P106))</f>
        <v>2012.436923076923</v>
      </c>
      <c r="T104" s="72">
        <f>IF((P105=""),"",STDEV(D106:P106))</f>
        <v>44.992550380519575</v>
      </c>
      <c r="U104" s="99">
        <f>IF((P105=""),"",((Q104-R104)/(Q104+R104))*100)</f>
        <v>3.3060792757204971</v>
      </c>
      <c r="V104" s="73" t="str">
        <f>IF(P105="","",IF(U104&lt;7.2,IF(S104&gt;1700,IF(S104&lt;2100,"Pass","Fail"),"Fail"),"Fail"))</f>
        <v>Pass</v>
      </c>
      <c r="W104" s="74">
        <v>1159</v>
      </c>
      <c r="X104" s="188" t="s">
        <v>88</v>
      </c>
      <c r="Z104" s="75">
        <v>1600</v>
      </c>
      <c r="AA104" s="75">
        <v>2600</v>
      </c>
      <c r="AB104" s="76">
        <v>1700</v>
      </c>
      <c r="AC104" s="76">
        <v>2100</v>
      </c>
      <c r="AD104" s="69">
        <v>10</v>
      </c>
      <c r="AE104" s="69">
        <v>7.2</v>
      </c>
    </row>
    <row r="105" spans="1:31" ht="16.649999999999999" thickBot="1" x14ac:dyDescent="0.4">
      <c r="A105"/>
      <c r="B105" s="66"/>
      <c r="C105" s="66" t="s">
        <v>78</v>
      </c>
      <c r="D105" s="51">
        <v>1881.54</v>
      </c>
      <c r="E105" s="51">
        <v>1785.47</v>
      </c>
      <c r="F105" s="51">
        <v>1755.71</v>
      </c>
      <c r="G105" s="51">
        <v>1747.13</v>
      </c>
      <c r="H105" s="51">
        <v>1746.39</v>
      </c>
      <c r="I105" s="51">
        <v>1773.16</v>
      </c>
      <c r="J105" s="51">
        <v>1878.05</v>
      </c>
      <c r="K105" s="51">
        <v>1862.56</v>
      </c>
      <c r="L105" s="51">
        <v>1767.49</v>
      </c>
      <c r="M105" s="51">
        <v>1746.99</v>
      </c>
      <c r="N105" s="51">
        <v>1763.42</v>
      </c>
      <c r="O105" s="51">
        <v>1815.91</v>
      </c>
      <c r="P105" s="51">
        <v>1943.25</v>
      </c>
      <c r="Q105" s="79"/>
      <c r="R105" s="66"/>
      <c r="S105" s="66"/>
      <c r="T105" s="66"/>
      <c r="U105" s="100"/>
      <c r="V105" s="73"/>
      <c r="W105" s="78"/>
      <c r="X105" s="347"/>
      <c r="Z105" s="75"/>
      <c r="AA105" s="75"/>
      <c r="AB105" s="76"/>
      <c r="AC105" s="76"/>
      <c r="AD105" s="69"/>
      <c r="AE105" s="69"/>
    </row>
    <row r="106" spans="1:31" ht="58.15" thickBot="1" x14ac:dyDescent="0.4">
      <c r="A106"/>
      <c r="B106" s="79"/>
      <c r="C106" s="79" t="s">
        <v>79</v>
      </c>
      <c r="D106" s="80">
        <f t="shared" ref="D106:P106" si="31">IF(((D104="")*AND(D105="")),"",(D104-D105)*2)</f>
        <v>1938.08</v>
      </c>
      <c r="E106" s="80">
        <f t="shared" si="31"/>
        <v>2026.4</v>
      </c>
      <c r="F106" s="80">
        <f t="shared" si="31"/>
        <v>2028.8199999999997</v>
      </c>
      <c r="G106" s="80">
        <f t="shared" si="31"/>
        <v>2032.38</v>
      </c>
      <c r="H106" s="80">
        <f t="shared" si="31"/>
        <v>2055.8200000000002</v>
      </c>
      <c r="I106" s="80">
        <f t="shared" si="31"/>
        <v>2060.7599999999998</v>
      </c>
      <c r="J106" s="80">
        <f t="shared" si="31"/>
        <v>1957.98</v>
      </c>
      <c r="K106" s="80">
        <f t="shared" si="31"/>
        <v>1981.88</v>
      </c>
      <c r="L106" s="80">
        <f t="shared" si="31"/>
        <v>2047.5400000000004</v>
      </c>
      <c r="M106" s="80">
        <f t="shared" si="31"/>
        <v>2037.1799999999998</v>
      </c>
      <c r="N106" s="80">
        <f t="shared" si="31"/>
        <v>2040.4399999999996</v>
      </c>
      <c r="O106" s="80">
        <f t="shared" si="31"/>
        <v>2025.5399999999995</v>
      </c>
      <c r="P106" s="80">
        <f t="shared" si="31"/>
        <v>1928.8599999999997</v>
      </c>
      <c r="R106" s="79"/>
      <c r="S106" s="79"/>
      <c r="T106" s="79"/>
      <c r="U106" s="101"/>
      <c r="V106" s="73"/>
      <c r="W106" s="82"/>
      <c r="X106" s="347"/>
      <c r="Z106" s="75"/>
      <c r="AA106" s="75"/>
      <c r="AB106" s="76"/>
      <c r="AC106" s="76"/>
      <c r="AD106" s="69"/>
      <c r="AE106" s="69"/>
    </row>
    <row r="107" spans="1:31" ht="14.95" thickBot="1" x14ac:dyDescent="0.35">
      <c r="A107" s="70">
        <v>43283</v>
      </c>
      <c r="B107" s="71" t="s">
        <v>76</v>
      </c>
      <c r="C107" s="72" t="s">
        <v>77</v>
      </c>
      <c r="D107" s="51">
        <v>2894.05</v>
      </c>
      <c r="E107" s="51">
        <v>2800.34</v>
      </c>
      <c r="F107" s="51">
        <v>2765.08</v>
      </c>
      <c r="G107" s="51">
        <v>2765.08</v>
      </c>
      <c r="H107" s="51">
        <v>2765.08</v>
      </c>
      <c r="I107" s="51">
        <v>2778.91</v>
      </c>
      <c r="J107" s="51">
        <v>2844.98</v>
      </c>
      <c r="K107" s="51">
        <v>2841.96</v>
      </c>
      <c r="L107" s="51">
        <v>2779.7</v>
      </c>
      <c r="M107" s="51">
        <v>2765.08</v>
      </c>
      <c r="N107" s="51">
        <v>2765.08</v>
      </c>
      <c r="O107" s="51">
        <v>2795.62</v>
      </c>
      <c r="P107" s="51">
        <v>2884.21</v>
      </c>
      <c r="Q107" s="72">
        <f>IF((P108=""),"",MAX(D109:P109))</f>
        <v>1910.08</v>
      </c>
      <c r="R107" s="72">
        <f>IF(P108="","",MIN(D109:P109))</f>
        <v>1759.7000000000003</v>
      </c>
      <c r="S107" s="72">
        <f>IF((P109=""),"",AVERAGE(D109:P109))</f>
        <v>1866.6276923076925</v>
      </c>
      <c r="T107" s="72">
        <f>IF((P108=""),"",STDEV(D109:P109))</f>
        <v>47.539288690837161</v>
      </c>
      <c r="U107" s="99">
        <f>IF((P108=""),"",((Q107-R107)/(Q107+R107))*100)</f>
        <v>4.0977933282104004</v>
      </c>
      <c r="V107" s="73" t="str">
        <f>IF(P108="","",IF(U107&lt;7.2,IF(S107&gt;1700,IF(S107&lt;2100,"Pass","Fail"),"Fail"),"Fail"))</f>
        <v>Pass</v>
      </c>
      <c r="W107" s="74">
        <v>1340</v>
      </c>
      <c r="X107" s="347"/>
      <c r="Z107" s="75">
        <v>1600</v>
      </c>
      <c r="AA107" s="75">
        <v>2600</v>
      </c>
      <c r="AB107" s="76">
        <v>1700</v>
      </c>
      <c r="AC107" s="76">
        <v>2100</v>
      </c>
      <c r="AD107" s="69">
        <v>10</v>
      </c>
      <c r="AE107" s="69">
        <v>7.2</v>
      </c>
    </row>
    <row r="108" spans="1:31" ht="16.649999999999999" thickBot="1" x14ac:dyDescent="0.4">
      <c r="A108"/>
      <c r="B108" s="66"/>
      <c r="C108" s="66" t="s">
        <v>78</v>
      </c>
      <c r="D108" s="51">
        <v>1981.93</v>
      </c>
      <c r="E108" s="51">
        <v>1854.05</v>
      </c>
      <c r="F108" s="51">
        <v>1819.98</v>
      </c>
      <c r="G108" s="51">
        <v>1819.98</v>
      </c>
      <c r="H108" s="51">
        <v>1819.98</v>
      </c>
      <c r="I108" s="51">
        <v>1823.87</v>
      </c>
      <c r="J108" s="51">
        <v>1950.2</v>
      </c>
      <c r="K108" s="51">
        <v>1920.28</v>
      </c>
      <c r="L108" s="51">
        <v>1826.87</v>
      </c>
      <c r="M108" s="51">
        <v>1819.98</v>
      </c>
      <c r="N108" s="51">
        <v>1819.98</v>
      </c>
      <c r="O108" s="51">
        <v>1850.63</v>
      </c>
      <c r="P108" s="51">
        <v>2004.36</v>
      </c>
      <c r="Q108" s="79"/>
      <c r="R108" s="66"/>
      <c r="S108" s="66"/>
      <c r="T108" s="66"/>
      <c r="U108" s="100"/>
      <c r="V108" s="73"/>
      <c r="W108" s="78"/>
      <c r="X108" s="347"/>
      <c r="Z108" s="75"/>
      <c r="AA108" s="75"/>
      <c r="AB108" s="76"/>
      <c r="AC108" s="76"/>
      <c r="AD108" s="69"/>
      <c r="AE108" s="69"/>
    </row>
    <row r="109" spans="1:31" ht="58.15" thickBot="1" x14ac:dyDescent="0.4">
      <c r="A109"/>
      <c r="B109" s="79"/>
      <c r="C109" s="79" t="s">
        <v>79</v>
      </c>
      <c r="D109" s="80">
        <f t="shared" ref="D109:P109" si="32">IF(((D107="")*AND(D108="")),"",(D107-D108)*2)</f>
        <v>1824.2400000000002</v>
      </c>
      <c r="E109" s="80">
        <f t="shared" si="32"/>
        <v>1892.5800000000004</v>
      </c>
      <c r="F109" s="80">
        <f t="shared" si="32"/>
        <v>1890.1999999999998</v>
      </c>
      <c r="G109" s="80">
        <f t="shared" si="32"/>
        <v>1890.1999999999998</v>
      </c>
      <c r="H109" s="80">
        <f t="shared" si="32"/>
        <v>1890.1999999999998</v>
      </c>
      <c r="I109" s="80">
        <f t="shared" si="32"/>
        <v>1910.08</v>
      </c>
      <c r="J109" s="80">
        <f t="shared" si="32"/>
        <v>1789.56</v>
      </c>
      <c r="K109" s="80">
        <f t="shared" si="32"/>
        <v>1843.3600000000001</v>
      </c>
      <c r="L109" s="80">
        <f t="shared" si="32"/>
        <v>1905.6599999999999</v>
      </c>
      <c r="M109" s="80">
        <f t="shared" si="32"/>
        <v>1890.1999999999998</v>
      </c>
      <c r="N109" s="80">
        <f t="shared" si="32"/>
        <v>1890.1999999999998</v>
      </c>
      <c r="O109" s="80">
        <f t="shared" si="32"/>
        <v>1889.9799999999996</v>
      </c>
      <c r="P109" s="80">
        <f t="shared" si="32"/>
        <v>1759.7000000000003</v>
      </c>
      <c r="R109" s="79"/>
      <c r="S109" s="79"/>
      <c r="T109" s="79"/>
      <c r="U109" s="101"/>
      <c r="V109" s="73"/>
      <c r="W109" s="82"/>
      <c r="X109" s="347"/>
      <c r="Z109" s="75"/>
      <c r="AA109" s="75"/>
      <c r="AB109" s="76"/>
      <c r="AC109" s="76"/>
      <c r="AD109" s="69"/>
      <c r="AE109" s="69"/>
    </row>
    <row r="110" spans="1:31" ht="14.95" thickBot="1" x14ac:dyDescent="0.35">
      <c r="A110" s="70">
        <v>43287</v>
      </c>
      <c r="B110" s="71" t="s">
        <v>76</v>
      </c>
      <c r="C110" s="72" t="s">
        <v>77</v>
      </c>
      <c r="D110" s="51">
        <v>1703.27</v>
      </c>
      <c r="E110" s="51">
        <v>1654.74</v>
      </c>
      <c r="F110" s="51">
        <v>1646.98</v>
      </c>
      <c r="G110" s="51">
        <v>1650.84</v>
      </c>
      <c r="H110" s="51">
        <v>1660.32</v>
      </c>
      <c r="I110" s="51">
        <v>1691.77</v>
      </c>
      <c r="J110" s="51">
        <v>1755.09</v>
      </c>
      <c r="K110" s="51">
        <v>1749.01</v>
      </c>
      <c r="L110" s="51">
        <v>1679.99</v>
      </c>
      <c r="M110" s="51">
        <v>1648.8</v>
      </c>
      <c r="N110" s="51">
        <v>1661.82</v>
      </c>
      <c r="O110" s="51">
        <v>1702.31</v>
      </c>
      <c r="P110" s="51">
        <v>1791.62</v>
      </c>
      <c r="Q110" s="72">
        <f>IF((P111=""),"",MAX(D112:P112))</f>
        <v>2102.34</v>
      </c>
      <c r="R110" s="72">
        <f>IF(P111="","",MIN(D112:P112))</f>
        <v>1963.4999999999998</v>
      </c>
      <c r="S110" s="72">
        <f>IF((P112=""),"",AVERAGE(D112:P112))</f>
        <v>2004.6092307692306</v>
      </c>
      <c r="T110" s="72">
        <f>IF((P111=""),"",STDEV(D112:P112))</f>
        <v>38.745414021433753</v>
      </c>
      <c r="U110" s="99">
        <f>IF((P111=""),"",((Q110-R110)/(Q110+R110))*100)</f>
        <v>3.41479251519982</v>
      </c>
      <c r="V110" s="73" t="str">
        <f>IF(P111="","",IF(U110&lt;7.2,IF(S110&gt;1700,IF(S110&lt;2100,"Pass","Fail"),"Fail"),"Fail"))</f>
        <v>Pass</v>
      </c>
      <c r="W110" s="74">
        <v>1428</v>
      </c>
      <c r="X110" s="347"/>
      <c r="Z110" s="75">
        <v>1600</v>
      </c>
      <c r="AA110" s="75">
        <v>2600</v>
      </c>
      <c r="AB110" s="76">
        <v>1700</v>
      </c>
      <c r="AC110" s="76">
        <v>2100</v>
      </c>
      <c r="AD110" s="69">
        <v>10</v>
      </c>
      <c r="AE110" s="69">
        <v>7.2</v>
      </c>
    </row>
    <row r="111" spans="1:31" ht="16.649999999999999" thickBot="1" x14ac:dyDescent="0.4">
      <c r="A111"/>
      <c r="B111" s="66"/>
      <c r="C111" s="66" t="s">
        <v>78</v>
      </c>
      <c r="D111" s="51">
        <v>652.1</v>
      </c>
      <c r="E111" s="51">
        <v>625.86</v>
      </c>
      <c r="F111" s="51">
        <v>635.79999999999995</v>
      </c>
      <c r="G111" s="51">
        <v>652.21</v>
      </c>
      <c r="H111" s="51">
        <v>671.01</v>
      </c>
      <c r="I111" s="51">
        <v>704.52</v>
      </c>
      <c r="J111" s="51">
        <v>773.34</v>
      </c>
      <c r="K111" s="51">
        <v>764.73</v>
      </c>
      <c r="L111" s="51">
        <v>680.06</v>
      </c>
      <c r="M111" s="51">
        <v>657.5</v>
      </c>
      <c r="N111" s="51">
        <v>663.04</v>
      </c>
      <c r="O111" s="51">
        <v>694.62</v>
      </c>
      <c r="P111" s="51">
        <v>791.81</v>
      </c>
      <c r="Q111" s="79"/>
      <c r="R111" s="66"/>
      <c r="S111" s="66"/>
      <c r="T111" s="66"/>
      <c r="U111" s="100"/>
      <c r="V111" s="73"/>
      <c r="W111" s="78"/>
      <c r="X111" s="347"/>
      <c r="Z111" s="75"/>
      <c r="AA111" s="75"/>
      <c r="AB111" s="76"/>
      <c r="AC111" s="76"/>
      <c r="AD111" s="69"/>
      <c r="AE111" s="69"/>
    </row>
    <row r="112" spans="1:31" ht="58.15" thickBot="1" x14ac:dyDescent="0.4">
      <c r="A112"/>
      <c r="B112" s="79"/>
      <c r="C112" s="79" t="s">
        <v>79</v>
      </c>
      <c r="D112" s="80">
        <f t="shared" ref="D112:P112" si="33">IF(((D110="")*AND(D111="")),"",(D110-D111)*2)</f>
        <v>2102.34</v>
      </c>
      <c r="E112" s="80">
        <f t="shared" si="33"/>
        <v>2057.7600000000002</v>
      </c>
      <c r="F112" s="80">
        <f t="shared" si="33"/>
        <v>2022.3600000000001</v>
      </c>
      <c r="G112" s="80">
        <f t="shared" si="33"/>
        <v>1997.2599999999998</v>
      </c>
      <c r="H112" s="80">
        <f t="shared" si="33"/>
        <v>1978.62</v>
      </c>
      <c r="I112" s="80">
        <f t="shared" si="33"/>
        <v>1974.5</v>
      </c>
      <c r="J112" s="80">
        <f t="shared" si="33"/>
        <v>1963.4999999999998</v>
      </c>
      <c r="K112" s="80">
        <f t="shared" si="33"/>
        <v>1968.56</v>
      </c>
      <c r="L112" s="80">
        <f t="shared" si="33"/>
        <v>1999.8600000000001</v>
      </c>
      <c r="M112" s="80">
        <f t="shared" si="33"/>
        <v>1982.6</v>
      </c>
      <c r="N112" s="80">
        <f t="shared" si="33"/>
        <v>1997.56</v>
      </c>
      <c r="O112" s="80">
        <f t="shared" si="33"/>
        <v>2015.3799999999999</v>
      </c>
      <c r="P112" s="80">
        <f t="shared" si="33"/>
        <v>1999.62</v>
      </c>
      <c r="R112" s="79"/>
      <c r="S112" s="79"/>
      <c r="T112" s="79"/>
      <c r="U112" s="101"/>
      <c r="V112" s="73"/>
      <c r="W112" s="82"/>
      <c r="X112" s="347"/>
      <c r="Z112" s="75"/>
      <c r="AA112" s="75"/>
      <c r="AB112" s="76"/>
      <c r="AC112" s="76"/>
      <c r="AD112" s="69"/>
      <c r="AE112" s="69"/>
    </row>
    <row r="113" spans="1:31" x14ac:dyDescent="0.3">
      <c r="A113" s="87">
        <v>43294</v>
      </c>
      <c r="B113" s="71" t="s">
        <v>76</v>
      </c>
      <c r="C113" s="72" t="s">
        <v>77</v>
      </c>
      <c r="D113" s="88">
        <v>2924.56</v>
      </c>
      <c r="E113" s="88">
        <v>2852.36</v>
      </c>
      <c r="F113" s="88">
        <v>2808.66</v>
      </c>
      <c r="G113" s="88">
        <v>2789.4</v>
      </c>
      <c r="H113" s="88">
        <v>2796.73</v>
      </c>
      <c r="I113" s="88">
        <v>2826.06</v>
      </c>
      <c r="J113" s="88">
        <v>2889.07</v>
      </c>
      <c r="K113" s="88">
        <v>2879.54</v>
      </c>
      <c r="L113" s="88">
        <v>2829.46</v>
      </c>
      <c r="M113" s="88">
        <v>2799.47</v>
      </c>
      <c r="N113" s="88">
        <v>2799.29</v>
      </c>
      <c r="O113" s="88">
        <v>2824.95</v>
      </c>
      <c r="P113" s="88">
        <v>2865.03</v>
      </c>
      <c r="Q113" s="72">
        <f>IF((P114=""),"",MAX(D115:P115))</f>
        <v>2027.7199999999998</v>
      </c>
      <c r="R113" s="72">
        <f>IF(P114="","",MIN(D115:P115))</f>
        <v>1876.0600000000004</v>
      </c>
      <c r="S113" s="72">
        <f>IF((P115=""),"",AVERAGE(D115:P115))</f>
        <v>1980.8184615384614</v>
      </c>
      <c r="T113" s="72">
        <f>IF((P114=""),"",STDEV(D115:P115))</f>
        <v>40.822926941885875</v>
      </c>
      <c r="U113" s="99">
        <f>IF((P114=""),"",((Q113-R113)/(Q113+R113))*100)</f>
        <v>3.8849525331857682</v>
      </c>
      <c r="V113" s="73" t="str">
        <f>IF(P114="","",IF(U113&lt;7.2,IF(S113&gt;1700,IF(S113&lt;2100,"Pass","Fail"),"Fail"),"Fail"))</f>
        <v>Pass</v>
      </c>
      <c r="W113" s="74">
        <v>1335</v>
      </c>
      <c r="X113" s="347"/>
      <c r="Z113" s="75">
        <v>1600</v>
      </c>
      <c r="AA113" s="75">
        <v>2600</v>
      </c>
      <c r="AB113" s="76">
        <v>1700</v>
      </c>
      <c r="AC113" s="76">
        <v>2100</v>
      </c>
      <c r="AD113" s="69">
        <v>10</v>
      </c>
      <c r="AE113" s="69">
        <v>7.2</v>
      </c>
    </row>
    <row r="114" spans="1:31" ht="16.100000000000001" x14ac:dyDescent="0.35">
      <c r="A114"/>
      <c r="B114" s="66"/>
      <c r="C114" s="66" t="s">
        <v>78</v>
      </c>
      <c r="D114" s="89">
        <v>1948.58</v>
      </c>
      <c r="E114" s="89">
        <v>1859.03</v>
      </c>
      <c r="F114" s="89">
        <v>1811.4</v>
      </c>
      <c r="G114" s="89">
        <v>1791.38</v>
      </c>
      <c r="H114" s="89">
        <v>1784.07</v>
      </c>
      <c r="I114" s="89">
        <v>1812.2</v>
      </c>
      <c r="J114" s="89">
        <v>1919.56</v>
      </c>
      <c r="K114" s="89">
        <v>1896.5</v>
      </c>
      <c r="L114" s="89">
        <v>1822.78</v>
      </c>
      <c r="M114" s="89">
        <v>1798.76</v>
      </c>
      <c r="N114" s="89">
        <v>1803.65</v>
      </c>
      <c r="O114" s="89">
        <v>1834.35</v>
      </c>
      <c r="P114" s="89">
        <v>1927</v>
      </c>
      <c r="Q114" s="66"/>
      <c r="R114" s="66"/>
      <c r="S114" s="66"/>
      <c r="T114" s="66"/>
      <c r="U114" s="100"/>
      <c r="V114" s="77"/>
      <c r="W114" s="78"/>
      <c r="X114" s="347"/>
      <c r="Z114" s="75"/>
      <c r="AA114" s="75"/>
      <c r="AB114" s="76"/>
      <c r="AC114" s="76"/>
      <c r="AD114" s="69"/>
      <c r="AE114" s="69"/>
    </row>
    <row r="115" spans="1:31" ht="58.15" thickBot="1" x14ac:dyDescent="0.4">
      <c r="A115"/>
      <c r="B115" s="79"/>
      <c r="C115" s="79" t="s">
        <v>79</v>
      </c>
      <c r="D115" s="80">
        <f t="shared" ref="D115:P115" si="34">IF(((D113="")*AND(D114="")),"",(D113-D114)*2)</f>
        <v>1951.96</v>
      </c>
      <c r="E115" s="80">
        <f t="shared" si="34"/>
        <v>1986.6600000000003</v>
      </c>
      <c r="F115" s="80">
        <f t="shared" si="34"/>
        <v>1994.5199999999995</v>
      </c>
      <c r="G115" s="80">
        <f t="shared" si="34"/>
        <v>1996.04</v>
      </c>
      <c r="H115" s="80">
        <f t="shared" si="34"/>
        <v>2025.3200000000002</v>
      </c>
      <c r="I115" s="80">
        <f t="shared" si="34"/>
        <v>2027.7199999999998</v>
      </c>
      <c r="J115" s="80">
        <f t="shared" si="34"/>
        <v>1939.0200000000004</v>
      </c>
      <c r="K115" s="80">
        <f t="shared" si="34"/>
        <v>1966.08</v>
      </c>
      <c r="L115" s="80">
        <f t="shared" si="34"/>
        <v>2013.3600000000001</v>
      </c>
      <c r="M115" s="80">
        <f t="shared" si="34"/>
        <v>2001.4199999999996</v>
      </c>
      <c r="N115" s="80">
        <f t="shared" si="34"/>
        <v>1991.2799999999997</v>
      </c>
      <c r="O115" s="80">
        <f t="shared" si="34"/>
        <v>1981.1999999999998</v>
      </c>
      <c r="P115" s="80">
        <f t="shared" si="34"/>
        <v>1876.0600000000004</v>
      </c>
      <c r="Q115" s="90"/>
      <c r="R115" s="79"/>
      <c r="S115" s="79"/>
      <c r="T115" s="79"/>
      <c r="U115" s="101"/>
      <c r="V115" s="81"/>
      <c r="W115" s="82"/>
      <c r="X115" s="347"/>
      <c r="Z115" s="75"/>
      <c r="AA115" s="75"/>
      <c r="AB115" s="76"/>
      <c r="AC115" s="76"/>
      <c r="AD115" s="69"/>
      <c r="AE115" s="69"/>
    </row>
    <row r="116" spans="1:31" x14ac:dyDescent="0.3">
      <c r="A116" s="70">
        <v>43305</v>
      </c>
      <c r="B116" s="71" t="s">
        <v>76</v>
      </c>
      <c r="C116" s="72" t="s">
        <v>77</v>
      </c>
      <c r="D116" s="51">
        <v>2919.79</v>
      </c>
      <c r="E116" s="51">
        <v>2855.61</v>
      </c>
      <c r="F116" s="51">
        <v>2813.74</v>
      </c>
      <c r="G116" s="51">
        <v>2796.96</v>
      </c>
      <c r="H116" s="51">
        <v>2797.14</v>
      </c>
      <c r="I116" s="51">
        <v>2819.39</v>
      </c>
      <c r="J116" s="51">
        <v>2857.04</v>
      </c>
      <c r="K116" s="51">
        <v>2863.42</v>
      </c>
      <c r="L116" s="51">
        <v>2822.29</v>
      </c>
      <c r="M116" s="51">
        <v>2799.04</v>
      </c>
      <c r="N116" s="51">
        <v>2810.05</v>
      </c>
      <c r="O116" s="51">
        <v>2843.77</v>
      </c>
      <c r="P116" s="51">
        <v>2908.41</v>
      </c>
      <c r="Q116" s="72">
        <f>IF((P117=""),"",MAX(D118:P118))</f>
        <v>2081.66</v>
      </c>
      <c r="R116" s="72">
        <f>IF(P117="","",MIN(D118:P118))</f>
        <v>1917.0199999999995</v>
      </c>
      <c r="S116" s="72">
        <f>IF((P118=""),"",AVERAGE(D118:P118))</f>
        <v>2018.063076923077</v>
      </c>
      <c r="T116" s="72">
        <f>IF((P117=""),"",STDEV(D118:P118))</f>
        <v>50.064037556016778</v>
      </c>
      <c r="U116" s="99">
        <f>IF((P117=""),"",((Q116-R116)/(Q116+R116))*100)</f>
        <v>4.1173587283803741</v>
      </c>
      <c r="V116" s="73" t="str">
        <f>IF(P117="","",IF(U116&lt;7.2,IF(S116&gt;1700,IF(S116&lt;2100,"Pass","Fail"),"Fail"),"Fail"))</f>
        <v>Pass</v>
      </c>
      <c r="W116" s="74">
        <v>1340</v>
      </c>
      <c r="X116" s="347"/>
      <c r="Z116" s="75">
        <v>1600</v>
      </c>
      <c r="AA116" s="75">
        <v>2600</v>
      </c>
      <c r="AB116" s="76">
        <v>1700</v>
      </c>
      <c r="AC116" s="76">
        <v>2100</v>
      </c>
      <c r="AD116" s="69">
        <v>10</v>
      </c>
      <c r="AE116" s="69">
        <v>7.2</v>
      </c>
    </row>
    <row r="117" spans="1:31" ht="16.100000000000001" x14ac:dyDescent="0.35">
      <c r="A117"/>
      <c r="B117" s="66"/>
      <c r="C117" s="66" t="s">
        <v>78</v>
      </c>
      <c r="D117" s="51">
        <v>1939.24</v>
      </c>
      <c r="E117" s="51">
        <v>1841.88</v>
      </c>
      <c r="F117" s="51">
        <v>1797.65</v>
      </c>
      <c r="G117" s="51">
        <v>1777.39</v>
      </c>
      <c r="H117" s="51">
        <v>1765.73</v>
      </c>
      <c r="I117" s="51">
        <v>1778.56</v>
      </c>
      <c r="J117" s="51">
        <v>1879.87</v>
      </c>
      <c r="K117" s="51">
        <v>1877.44</v>
      </c>
      <c r="L117" s="51">
        <v>1794.61</v>
      </c>
      <c r="M117" s="51">
        <v>1770.9</v>
      </c>
      <c r="N117" s="51">
        <v>1789.24</v>
      </c>
      <c r="O117" s="51">
        <v>1826.83</v>
      </c>
      <c r="P117" s="51">
        <v>1949.9</v>
      </c>
      <c r="Q117" s="66"/>
      <c r="R117" s="66"/>
      <c r="S117" s="66"/>
      <c r="T117" s="66"/>
      <c r="U117" s="100"/>
      <c r="V117" s="77"/>
      <c r="W117" s="78"/>
      <c r="X117" s="347"/>
      <c r="Z117" s="75"/>
      <c r="AA117" s="75"/>
      <c r="AB117" s="76"/>
      <c r="AC117" s="76"/>
      <c r="AD117" s="69"/>
      <c r="AE117" s="69"/>
    </row>
    <row r="118" spans="1:31" ht="58.15" thickBot="1" x14ac:dyDescent="0.4">
      <c r="A118"/>
      <c r="B118" s="79"/>
      <c r="C118" s="79" t="s">
        <v>79</v>
      </c>
      <c r="D118" s="80">
        <f t="shared" ref="D118:P118" si="35">IF(((D116="")*AND(D117="")),"",(D116-D117)*2)</f>
        <v>1961.1</v>
      </c>
      <c r="E118" s="80">
        <f t="shared" si="35"/>
        <v>2027.46</v>
      </c>
      <c r="F118" s="80">
        <f t="shared" si="35"/>
        <v>2032.1799999999994</v>
      </c>
      <c r="G118" s="80">
        <f t="shared" si="35"/>
        <v>2039.1399999999999</v>
      </c>
      <c r="H118" s="80">
        <f t="shared" si="35"/>
        <v>2062.8199999999997</v>
      </c>
      <c r="I118" s="80">
        <f t="shared" si="35"/>
        <v>2081.66</v>
      </c>
      <c r="J118" s="80">
        <f t="shared" si="35"/>
        <v>1954.3400000000001</v>
      </c>
      <c r="K118" s="80">
        <f t="shared" si="35"/>
        <v>1971.96</v>
      </c>
      <c r="L118" s="80">
        <f t="shared" si="35"/>
        <v>2055.36</v>
      </c>
      <c r="M118" s="80">
        <f t="shared" si="35"/>
        <v>2056.2799999999997</v>
      </c>
      <c r="N118" s="80">
        <f t="shared" si="35"/>
        <v>2041.6200000000003</v>
      </c>
      <c r="O118" s="80">
        <f t="shared" si="35"/>
        <v>2033.88</v>
      </c>
      <c r="P118" s="80">
        <f t="shared" si="35"/>
        <v>1917.0199999999995</v>
      </c>
      <c r="Q118" s="90"/>
      <c r="R118" s="79"/>
      <c r="S118" s="79"/>
      <c r="T118" s="79"/>
      <c r="U118" s="101"/>
      <c r="V118" s="81"/>
      <c r="W118" s="82"/>
      <c r="X118" s="347"/>
      <c r="Z118" s="75"/>
      <c r="AA118" s="75"/>
      <c r="AB118" s="76"/>
      <c r="AC118" s="76"/>
      <c r="AD118" s="69"/>
      <c r="AE118" s="69"/>
    </row>
    <row r="119" spans="1:31" x14ac:dyDescent="0.3">
      <c r="A119" s="70">
        <v>43308</v>
      </c>
      <c r="B119" s="71" t="s">
        <v>76</v>
      </c>
      <c r="C119" s="72" t="s">
        <v>77</v>
      </c>
      <c r="D119" s="51">
        <v>2865.18</v>
      </c>
      <c r="E119" s="51">
        <v>2823.13</v>
      </c>
      <c r="F119" s="51">
        <v>2801.46</v>
      </c>
      <c r="G119" s="51">
        <v>2793.92</v>
      </c>
      <c r="H119" s="51">
        <v>2807.33</v>
      </c>
      <c r="I119" s="51">
        <v>2834.53</v>
      </c>
      <c r="J119" s="51">
        <v>2886.37</v>
      </c>
      <c r="K119" s="51">
        <v>2928.89</v>
      </c>
      <c r="L119" s="51">
        <v>2857.82</v>
      </c>
      <c r="M119" s="51">
        <v>2812.2</v>
      </c>
      <c r="N119" s="51">
        <v>2796.53</v>
      </c>
      <c r="O119" s="51">
        <v>2828.06</v>
      </c>
      <c r="P119" s="51">
        <v>2884.19</v>
      </c>
      <c r="Q119" s="72">
        <f>IF((P120=""),"",MAX(D121:P121))</f>
        <v>2075.9800000000005</v>
      </c>
      <c r="R119" s="72">
        <f>IF(P120="","",MIN(D121:P121))</f>
        <v>1903.98</v>
      </c>
      <c r="S119" s="72">
        <f>IF((P121=""),"",AVERAGE(D121:P121))</f>
        <v>2024.7769230769231</v>
      </c>
      <c r="T119" s="72">
        <f>IF((P120=""),"",STDEV(D121:P121))</f>
        <v>55.088748909466673</v>
      </c>
      <c r="U119" s="99">
        <f>IF((P120=""),"",((Q119-R119)/(Q119+R119))*100)</f>
        <v>4.3216514738841711</v>
      </c>
      <c r="V119" s="73" t="str">
        <f>IF(P120="","",IF(U119&lt;7.2,IF(S119&gt;1700,IF(S119&lt;2100,"Pass","Fail"),"Fail"),"Fail"))</f>
        <v>Pass</v>
      </c>
      <c r="W119" s="74">
        <v>1340</v>
      </c>
      <c r="X119" s="347"/>
      <c r="Z119" s="75">
        <v>1600</v>
      </c>
      <c r="AA119" s="75">
        <v>2600</v>
      </c>
      <c r="AB119" s="76">
        <v>1700</v>
      </c>
      <c r="AC119" s="76">
        <v>2100</v>
      </c>
      <c r="AD119" s="69">
        <v>10</v>
      </c>
      <c r="AE119" s="69">
        <v>7.2</v>
      </c>
    </row>
    <row r="120" spans="1:31" ht="16.100000000000001" x14ac:dyDescent="0.35">
      <c r="A120"/>
      <c r="B120" s="66"/>
      <c r="C120" s="66" t="s">
        <v>78</v>
      </c>
      <c r="D120" s="51">
        <v>1896.25</v>
      </c>
      <c r="E120" s="51">
        <v>1810.61</v>
      </c>
      <c r="F120" s="51">
        <v>1781.8</v>
      </c>
      <c r="G120" s="51">
        <v>1771.41</v>
      </c>
      <c r="H120" s="51">
        <v>1769.84</v>
      </c>
      <c r="I120" s="51">
        <v>1796.54</v>
      </c>
      <c r="J120" s="51">
        <v>1904.87</v>
      </c>
      <c r="K120" s="51">
        <v>1916.6</v>
      </c>
      <c r="L120" s="51">
        <v>1823.15</v>
      </c>
      <c r="M120" s="51">
        <v>1781.3</v>
      </c>
      <c r="N120" s="51">
        <v>1770.94</v>
      </c>
      <c r="O120" s="51">
        <v>1803.05</v>
      </c>
      <c r="P120" s="51">
        <v>1932.2</v>
      </c>
      <c r="Q120" s="66"/>
      <c r="R120" s="66"/>
      <c r="S120" s="66"/>
      <c r="T120" s="66"/>
      <c r="U120" s="100"/>
      <c r="V120" s="77"/>
      <c r="W120" s="78"/>
      <c r="X120" s="347"/>
      <c r="Z120" s="75"/>
      <c r="AA120" s="75"/>
      <c r="AB120" s="76"/>
      <c r="AC120" s="76"/>
      <c r="AD120" s="69"/>
      <c r="AE120" s="69"/>
    </row>
    <row r="121" spans="1:31" ht="58.15" thickBot="1" x14ac:dyDescent="0.4">
      <c r="A121"/>
      <c r="B121" s="79"/>
      <c r="C121" s="79" t="s">
        <v>79</v>
      </c>
      <c r="D121" s="80">
        <f t="shared" ref="D121:P121" si="36">IF(((D119="")*AND(D120="")),"",(D119-D120)*2)</f>
        <v>1937.8599999999997</v>
      </c>
      <c r="E121" s="80">
        <f t="shared" si="36"/>
        <v>2025.0400000000004</v>
      </c>
      <c r="F121" s="80">
        <f t="shared" si="36"/>
        <v>2039.3200000000002</v>
      </c>
      <c r="G121" s="80">
        <f t="shared" si="36"/>
        <v>2045.02</v>
      </c>
      <c r="H121" s="80">
        <f t="shared" si="36"/>
        <v>2074.98</v>
      </c>
      <c r="I121" s="80">
        <f t="shared" si="36"/>
        <v>2075.9800000000005</v>
      </c>
      <c r="J121" s="80">
        <f t="shared" si="36"/>
        <v>1963</v>
      </c>
      <c r="K121" s="80">
        <f t="shared" si="36"/>
        <v>2024.58</v>
      </c>
      <c r="L121" s="80">
        <f t="shared" si="36"/>
        <v>2069.34</v>
      </c>
      <c r="M121" s="80">
        <f t="shared" si="36"/>
        <v>2061.7999999999997</v>
      </c>
      <c r="N121" s="80">
        <f t="shared" si="36"/>
        <v>2051.1800000000003</v>
      </c>
      <c r="O121" s="80">
        <f t="shared" si="36"/>
        <v>2050.02</v>
      </c>
      <c r="P121" s="80">
        <f t="shared" si="36"/>
        <v>1903.98</v>
      </c>
      <c r="Q121" s="90"/>
      <c r="R121" s="79"/>
      <c r="S121" s="79"/>
      <c r="T121" s="79"/>
      <c r="U121" s="101"/>
      <c r="V121" s="81"/>
      <c r="W121" s="82"/>
      <c r="X121" s="347"/>
      <c r="Z121" s="75"/>
      <c r="AA121" s="75"/>
      <c r="AB121" s="76"/>
      <c r="AC121" s="76"/>
      <c r="AD121" s="69"/>
      <c r="AE121" s="69"/>
    </row>
    <row r="122" spans="1:31" x14ac:dyDescent="0.3">
      <c r="A122" s="70">
        <v>43314</v>
      </c>
      <c r="B122" s="71" t="s">
        <v>76</v>
      </c>
      <c r="C122" s="72" t="s">
        <v>77</v>
      </c>
      <c r="D122" s="51">
        <v>2883.2</v>
      </c>
      <c r="E122" s="51">
        <v>2832.12</v>
      </c>
      <c r="F122" s="51">
        <v>2808.89</v>
      </c>
      <c r="G122" s="51">
        <v>2798.52</v>
      </c>
      <c r="H122" s="51">
        <v>2807.22</v>
      </c>
      <c r="I122" s="51">
        <v>2833.19</v>
      </c>
      <c r="J122" s="51">
        <v>2873.58</v>
      </c>
      <c r="K122" s="51">
        <v>2873.54</v>
      </c>
      <c r="L122" s="51">
        <v>2819.09</v>
      </c>
      <c r="M122" s="51">
        <v>2798.81</v>
      </c>
      <c r="N122" s="51">
        <v>2820.34</v>
      </c>
      <c r="O122" s="51">
        <v>2865.39</v>
      </c>
      <c r="P122" s="51">
        <v>2834</v>
      </c>
      <c r="Q122" s="72">
        <f>IF((P123=""),"",MAX(D124:P124))</f>
        <v>2088.3000000000002</v>
      </c>
      <c r="R122" s="72">
        <f>IF(P123="","",MIN(D124:P124))</f>
        <v>1946.6599999999999</v>
      </c>
      <c r="S122" s="72">
        <f>IF((P124=""),"",AVERAGE(D124:P124))</f>
        <v>2033.9092307692308</v>
      </c>
      <c r="T122" s="72">
        <f>IF((P123=""),"",STDEV(D124:P124))</f>
        <v>34.192685002677287</v>
      </c>
      <c r="U122" s="99">
        <f>IF((P123=""),"",((Q122-R122)/(Q122+R122))*100)</f>
        <v>3.5103198049051367</v>
      </c>
      <c r="V122" s="73" t="str">
        <f>IF(P123="","",IF(U122&lt;7.2,IF(S122&gt;1700,IF(S122&lt;2100,"Pass","Fail"),"Fail"),"Fail"))</f>
        <v>Pass</v>
      </c>
      <c r="W122" s="74">
        <v>74</v>
      </c>
      <c r="X122" s="347"/>
      <c r="Z122" s="75">
        <v>1600</v>
      </c>
      <c r="AA122" s="75">
        <v>2600</v>
      </c>
      <c r="AB122" s="76">
        <v>1700</v>
      </c>
      <c r="AC122" s="76">
        <v>2100</v>
      </c>
      <c r="AD122" s="69">
        <v>10</v>
      </c>
      <c r="AE122" s="69">
        <v>7.2</v>
      </c>
    </row>
    <row r="123" spans="1:31" ht="16.100000000000001" x14ac:dyDescent="0.35">
      <c r="A123"/>
      <c r="B123" s="66"/>
      <c r="C123" s="66" t="s">
        <v>78</v>
      </c>
      <c r="D123" s="51">
        <v>1909.87</v>
      </c>
      <c r="E123" s="51">
        <v>1822.03</v>
      </c>
      <c r="F123" s="51">
        <v>1789.41</v>
      </c>
      <c r="G123" s="51">
        <v>1777.23</v>
      </c>
      <c r="H123" s="51">
        <v>1774.34</v>
      </c>
      <c r="I123" s="51">
        <v>1789.04</v>
      </c>
      <c r="J123" s="51">
        <v>1868.84</v>
      </c>
      <c r="K123" s="51">
        <v>1868.9</v>
      </c>
      <c r="L123" s="51">
        <v>1791.64</v>
      </c>
      <c r="M123" s="51">
        <v>1775.93</v>
      </c>
      <c r="N123" s="51">
        <v>1793.81</v>
      </c>
      <c r="O123" s="51">
        <v>1849.44</v>
      </c>
      <c r="P123" s="51">
        <v>1817</v>
      </c>
      <c r="Q123" s="66"/>
      <c r="R123" s="66"/>
      <c r="S123" s="66"/>
      <c r="T123" s="66"/>
      <c r="U123" s="100"/>
      <c r="V123" s="77"/>
      <c r="W123" s="78"/>
      <c r="X123" s="347"/>
      <c r="Z123" s="75"/>
      <c r="AA123" s="75"/>
      <c r="AB123" s="76"/>
      <c r="AC123" s="76"/>
      <c r="AD123" s="69"/>
      <c r="AE123" s="69"/>
    </row>
    <row r="124" spans="1:31" ht="58.15" thickBot="1" x14ac:dyDescent="0.4">
      <c r="A124"/>
      <c r="B124" s="79"/>
      <c r="C124" s="79" t="s">
        <v>79</v>
      </c>
      <c r="D124" s="80">
        <f t="shared" ref="D124:P124" si="37">IF(((D122="")*AND(D123="")),"",(D122-D123)*2)</f>
        <v>1946.6599999999999</v>
      </c>
      <c r="E124" s="80">
        <f t="shared" si="37"/>
        <v>2020.1799999999998</v>
      </c>
      <c r="F124" s="80">
        <f t="shared" si="37"/>
        <v>2038.9599999999996</v>
      </c>
      <c r="G124" s="80">
        <f t="shared" si="37"/>
        <v>2042.58</v>
      </c>
      <c r="H124" s="80">
        <f t="shared" si="37"/>
        <v>2065.7599999999998</v>
      </c>
      <c r="I124" s="80">
        <f t="shared" si="37"/>
        <v>2088.3000000000002</v>
      </c>
      <c r="J124" s="80">
        <f t="shared" si="37"/>
        <v>2009.48</v>
      </c>
      <c r="K124" s="80">
        <f t="shared" si="37"/>
        <v>2009.2799999999997</v>
      </c>
      <c r="L124" s="80">
        <f t="shared" si="37"/>
        <v>2054.9</v>
      </c>
      <c r="M124" s="80">
        <f t="shared" si="37"/>
        <v>2045.7599999999998</v>
      </c>
      <c r="N124" s="80">
        <f t="shared" si="37"/>
        <v>2053.0600000000004</v>
      </c>
      <c r="O124" s="80">
        <f t="shared" si="37"/>
        <v>2031.8999999999996</v>
      </c>
      <c r="P124" s="80">
        <f t="shared" si="37"/>
        <v>2034</v>
      </c>
      <c r="Q124" s="90"/>
      <c r="R124" s="79"/>
      <c r="S124" s="79"/>
      <c r="T124" s="79"/>
      <c r="U124" s="101"/>
      <c r="V124" s="81"/>
      <c r="W124" s="82"/>
      <c r="X124" s="347"/>
      <c r="Z124" s="75"/>
      <c r="AA124" s="75"/>
      <c r="AB124" s="76"/>
      <c r="AC124" s="76"/>
      <c r="AD124" s="69"/>
      <c r="AE124" s="69"/>
    </row>
    <row r="125" spans="1:31" ht="16.5" customHeight="1" x14ac:dyDescent="0.3">
      <c r="A125" s="70">
        <v>43318</v>
      </c>
      <c r="B125" s="71" t="s">
        <v>76</v>
      </c>
      <c r="C125" s="72" t="s">
        <v>77</v>
      </c>
      <c r="D125" s="51">
        <v>2882.74</v>
      </c>
      <c r="E125" s="51">
        <v>2835.15</v>
      </c>
      <c r="F125" s="51">
        <v>2808.85</v>
      </c>
      <c r="G125" s="51">
        <v>2801.69</v>
      </c>
      <c r="H125" s="51">
        <v>2804.27</v>
      </c>
      <c r="I125" s="51">
        <v>2829.43</v>
      </c>
      <c r="J125" s="51">
        <v>2871.68</v>
      </c>
      <c r="K125" s="51">
        <v>2874.48</v>
      </c>
      <c r="L125" s="51">
        <v>2822.48</v>
      </c>
      <c r="M125" s="51">
        <v>2800.85</v>
      </c>
      <c r="N125" s="51">
        <v>2818.72</v>
      </c>
      <c r="O125" s="51">
        <v>2863.6</v>
      </c>
      <c r="P125" s="51">
        <v>2834</v>
      </c>
      <c r="Q125" s="72">
        <f>IF((P126=""),"",MAX(D127:P127))</f>
        <v>2074.8199999999997</v>
      </c>
      <c r="R125" s="72">
        <f>IF(P126="","",MIN(D127:P127))</f>
        <v>1922.2399999999998</v>
      </c>
      <c r="S125" s="72">
        <f>IF((P127=""),"",AVERAGE(D127:P127))</f>
        <v>2023.7969230769229</v>
      </c>
      <c r="T125" s="72">
        <f>IF((P126=""),"",STDEV(D127:P127))</f>
        <v>36.819309106458334</v>
      </c>
      <c r="U125" s="99">
        <f>IF((P126=""),"",((Q125-R125)/(Q125+R125))*100)</f>
        <v>3.817305719703981</v>
      </c>
      <c r="V125" s="73" t="str">
        <f>IF(P126="","",IF(U125&lt;7.2,IF(S125&gt;1700,IF(S125&lt;2100,"Pass","Fail"),"Fail"),"Fail"))</f>
        <v>Pass</v>
      </c>
      <c r="W125" s="74">
        <v>74</v>
      </c>
      <c r="X125" s="334" t="s">
        <v>89</v>
      </c>
      <c r="Z125" s="75">
        <v>1600</v>
      </c>
      <c r="AA125" s="75">
        <v>2600</v>
      </c>
      <c r="AB125" s="76">
        <v>1700</v>
      </c>
      <c r="AC125" s="76">
        <v>2100</v>
      </c>
      <c r="AD125" s="69">
        <v>10</v>
      </c>
      <c r="AE125" s="69">
        <v>7.2</v>
      </c>
    </row>
    <row r="126" spans="1:31" ht="16.100000000000001" x14ac:dyDescent="0.35">
      <c r="A126"/>
      <c r="B126" s="66"/>
      <c r="C126" s="66" t="s">
        <v>78</v>
      </c>
      <c r="D126" s="51">
        <v>1921.62</v>
      </c>
      <c r="E126" s="51">
        <v>1827.45</v>
      </c>
      <c r="F126" s="51">
        <v>1796.64</v>
      </c>
      <c r="G126" s="51">
        <v>1777.35</v>
      </c>
      <c r="H126" s="51">
        <v>1781.37</v>
      </c>
      <c r="I126" s="51">
        <v>1792.02</v>
      </c>
      <c r="J126" s="51">
        <v>1867.18</v>
      </c>
      <c r="K126" s="51">
        <v>1877.78</v>
      </c>
      <c r="L126" s="51">
        <v>1800.45</v>
      </c>
      <c r="M126" s="51">
        <v>1778.12</v>
      </c>
      <c r="N126" s="51">
        <v>1800.73</v>
      </c>
      <c r="O126" s="51">
        <v>1850.55</v>
      </c>
      <c r="P126" s="51">
        <v>1822</v>
      </c>
      <c r="Q126" s="66"/>
      <c r="R126" s="66"/>
      <c r="S126" s="66"/>
      <c r="T126" s="66"/>
      <c r="U126" s="100"/>
      <c r="V126" s="77"/>
      <c r="W126" s="78"/>
      <c r="X126" s="347"/>
      <c r="Z126" s="75"/>
      <c r="AA126" s="75"/>
      <c r="AB126" s="76"/>
      <c r="AC126" s="76"/>
      <c r="AD126" s="69"/>
      <c r="AE126" s="69"/>
    </row>
    <row r="127" spans="1:31" ht="58.15" thickBot="1" x14ac:dyDescent="0.4">
      <c r="A127"/>
      <c r="B127" s="79"/>
      <c r="C127" s="79" t="s">
        <v>79</v>
      </c>
      <c r="D127" s="80">
        <f t="shared" ref="D127:P127" si="38">IF(((D125="")*AND(D126="")),"",(D125-D126)*2)</f>
        <v>1922.2399999999998</v>
      </c>
      <c r="E127" s="80">
        <f t="shared" si="38"/>
        <v>2015.4</v>
      </c>
      <c r="F127" s="80">
        <f t="shared" si="38"/>
        <v>2024.4199999999996</v>
      </c>
      <c r="G127" s="80">
        <f t="shared" si="38"/>
        <v>2048.6800000000003</v>
      </c>
      <c r="H127" s="80">
        <f t="shared" si="38"/>
        <v>2045.8000000000002</v>
      </c>
      <c r="I127" s="80">
        <f t="shared" si="38"/>
        <v>2074.8199999999997</v>
      </c>
      <c r="J127" s="80">
        <f t="shared" si="38"/>
        <v>2008.9999999999995</v>
      </c>
      <c r="K127" s="80">
        <f t="shared" si="38"/>
        <v>1993.4</v>
      </c>
      <c r="L127" s="80">
        <f t="shared" si="38"/>
        <v>2044.06</v>
      </c>
      <c r="M127" s="80">
        <f t="shared" si="38"/>
        <v>2045.46</v>
      </c>
      <c r="N127" s="80">
        <f t="shared" si="38"/>
        <v>2035.9799999999996</v>
      </c>
      <c r="O127" s="80">
        <f t="shared" si="38"/>
        <v>2026.1</v>
      </c>
      <c r="P127" s="80">
        <f t="shared" si="38"/>
        <v>2024</v>
      </c>
      <c r="Q127" s="90"/>
      <c r="R127" s="79"/>
      <c r="S127" s="79"/>
      <c r="T127" s="79"/>
      <c r="U127" s="101"/>
      <c r="V127" s="81"/>
      <c r="W127" s="82"/>
      <c r="X127" s="347"/>
      <c r="Z127" s="75"/>
      <c r="AA127" s="75"/>
      <c r="AB127" s="76"/>
      <c r="AC127" s="76"/>
      <c r="AD127" s="69"/>
      <c r="AE127" s="69"/>
    </row>
    <row r="128" spans="1:31" x14ac:dyDescent="0.3">
      <c r="A128" s="70">
        <v>43321</v>
      </c>
      <c r="B128" s="71" t="s">
        <v>76</v>
      </c>
      <c r="C128" s="72" t="s">
        <v>77</v>
      </c>
      <c r="D128" s="51">
        <v>2867.82</v>
      </c>
      <c r="E128" s="51">
        <v>2803.62</v>
      </c>
      <c r="F128" s="51">
        <v>2795.77</v>
      </c>
      <c r="G128" s="51">
        <v>2801.21</v>
      </c>
      <c r="H128" s="51">
        <v>2860.99</v>
      </c>
      <c r="I128" s="51">
        <v>2856.49</v>
      </c>
      <c r="J128" s="51">
        <v>2793.74</v>
      </c>
      <c r="K128" s="51">
        <v>2816.3</v>
      </c>
      <c r="L128" s="51">
        <v>2919.21</v>
      </c>
      <c r="M128" s="51">
        <v>2799.56</v>
      </c>
      <c r="N128" s="51">
        <v>2826.35</v>
      </c>
      <c r="O128" s="51">
        <v>2800.51</v>
      </c>
      <c r="P128" s="51">
        <v>2823.84</v>
      </c>
      <c r="Q128" s="72">
        <f>IF((P129=""),"",MAX(D130:P130))</f>
        <v>2089.8999999999996</v>
      </c>
      <c r="R128" s="72">
        <f>IF(P129="","",MIN(D130:P130))</f>
        <v>1985.1000000000004</v>
      </c>
      <c r="S128" s="72">
        <f>IF((P130=""),"",AVERAGE(D130:P130))</f>
        <v>2053.5292307692307</v>
      </c>
      <c r="T128" s="72">
        <f>IF((P129=""),"",STDEV(D130:P130))</f>
        <v>28.348028285796204</v>
      </c>
      <c r="U128" s="99">
        <f>IF((P129=""),"",((Q128-R128)/(Q128+R128))*100)</f>
        <v>2.5717791411042765</v>
      </c>
      <c r="V128" s="73" t="str">
        <f>IF(P129="","",IF(U128&lt;7.2,IF(S128&gt;1700,IF(S128&lt;2100,"Pass","Fail"),"Fail"),"Fail"))</f>
        <v>Pass</v>
      </c>
      <c r="W128" s="74">
        <v>1428</v>
      </c>
      <c r="X128" s="334" t="s">
        <v>90</v>
      </c>
      <c r="Z128" s="75">
        <v>1600</v>
      </c>
      <c r="AA128" s="75">
        <v>2600</v>
      </c>
      <c r="AB128" s="76">
        <v>1700</v>
      </c>
      <c r="AC128" s="76">
        <v>2100</v>
      </c>
      <c r="AD128" s="69">
        <v>10</v>
      </c>
      <c r="AE128" s="69">
        <v>7.2</v>
      </c>
    </row>
    <row r="129" spans="1:31" ht="16.100000000000001" x14ac:dyDescent="0.35">
      <c r="A129"/>
      <c r="B129" s="66"/>
      <c r="C129" s="66" t="s">
        <v>78</v>
      </c>
      <c r="D129" s="51">
        <v>1875.27</v>
      </c>
      <c r="E129" s="51">
        <v>1773.56</v>
      </c>
      <c r="F129" s="51">
        <v>1763.76</v>
      </c>
      <c r="G129" s="51">
        <v>1761.95</v>
      </c>
      <c r="H129" s="51">
        <v>1830.2</v>
      </c>
      <c r="I129" s="51">
        <v>1838.53</v>
      </c>
      <c r="J129" s="51">
        <v>1760.56</v>
      </c>
      <c r="K129" s="51">
        <v>1779.41</v>
      </c>
      <c r="L129" s="51">
        <v>1911.52</v>
      </c>
      <c r="M129" s="51">
        <v>1773.73</v>
      </c>
      <c r="N129" s="51">
        <v>1781.4</v>
      </c>
      <c r="O129" s="51">
        <v>1764.79</v>
      </c>
      <c r="P129" s="51">
        <v>1802.79</v>
      </c>
      <c r="Q129" s="66"/>
      <c r="R129" s="66"/>
      <c r="S129" s="66"/>
      <c r="T129" s="66"/>
      <c r="U129" s="100"/>
      <c r="V129" s="77"/>
      <c r="W129" s="78"/>
      <c r="X129" s="347"/>
      <c r="Z129" s="75"/>
      <c r="AA129" s="75"/>
      <c r="AB129" s="76"/>
      <c r="AC129" s="76"/>
      <c r="AD129" s="69"/>
      <c r="AE129" s="69"/>
    </row>
    <row r="130" spans="1:31" ht="58.15" thickBot="1" x14ac:dyDescent="0.4">
      <c r="A130"/>
      <c r="B130" s="79"/>
      <c r="C130" s="79" t="s">
        <v>79</v>
      </c>
      <c r="D130" s="80">
        <f t="shared" ref="D130:P130" si="39">IF(((D128="")*AND(D129="")),"",(D128-D129)*2)</f>
        <v>1985.1000000000004</v>
      </c>
      <c r="E130" s="80">
        <f t="shared" si="39"/>
        <v>2060.12</v>
      </c>
      <c r="F130" s="80">
        <f t="shared" si="39"/>
        <v>2064.02</v>
      </c>
      <c r="G130" s="80">
        <f t="shared" si="39"/>
        <v>2078.52</v>
      </c>
      <c r="H130" s="80">
        <f t="shared" si="39"/>
        <v>2061.5799999999995</v>
      </c>
      <c r="I130" s="80">
        <f t="shared" si="39"/>
        <v>2035.9199999999996</v>
      </c>
      <c r="J130" s="80">
        <f t="shared" si="39"/>
        <v>2066.3599999999997</v>
      </c>
      <c r="K130" s="80">
        <f t="shared" si="39"/>
        <v>2073.7800000000002</v>
      </c>
      <c r="L130" s="80">
        <f t="shared" si="39"/>
        <v>2015.38</v>
      </c>
      <c r="M130" s="80">
        <f t="shared" si="39"/>
        <v>2051.66</v>
      </c>
      <c r="N130" s="80">
        <f t="shared" si="39"/>
        <v>2089.8999999999996</v>
      </c>
      <c r="O130" s="80">
        <f t="shared" si="39"/>
        <v>2071.4400000000005</v>
      </c>
      <c r="P130" s="80">
        <f t="shared" si="39"/>
        <v>2042.1000000000004</v>
      </c>
      <c r="Q130" s="90"/>
      <c r="R130" s="79"/>
      <c r="S130" s="79"/>
      <c r="T130" s="79"/>
      <c r="U130" s="101"/>
      <c r="V130" s="81"/>
      <c r="W130" s="82"/>
      <c r="X130" s="347"/>
      <c r="Z130" s="75"/>
      <c r="AA130" s="75"/>
      <c r="AB130" s="76"/>
      <c r="AC130" s="76"/>
      <c r="AD130" s="69"/>
      <c r="AE130" s="69"/>
    </row>
    <row r="131" spans="1:31" x14ac:dyDescent="0.3">
      <c r="A131" s="70">
        <v>43325</v>
      </c>
      <c r="B131" s="71" t="s">
        <v>76</v>
      </c>
      <c r="C131" s="72" t="s">
        <v>77</v>
      </c>
      <c r="D131" s="51">
        <v>2876.32</v>
      </c>
      <c r="E131" s="51">
        <v>2805.77</v>
      </c>
      <c r="F131" s="51">
        <v>2796.06</v>
      </c>
      <c r="G131" s="51">
        <v>2800.87</v>
      </c>
      <c r="H131" s="51">
        <v>2859.39</v>
      </c>
      <c r="I131" s="51">
        <v>2858.65</v>
      </c>
      <c r="J131" s="51">
        <v>2794.82</v>
      </c>
      <c r="K131" s="51">
        <v>2812.59</v>
      </c>
      <c r="L131" s="51">
        <v>2920.89</v>
      </c>
      <c r="M131" s="51">
        <v>2805.69</v>
      </c>
      <c r="N131" s="51">
        <v>2819.05</v>
      </c>
      <c r="O131" s="51">
        <v>2799.69</v>
      </c>
      <c r="P131" s="51">
        <v>2826.13</v>
      </c>
      <c r="Q131" s="72">
        <f>IF((P132=""),"",MAX(D133:P133))</f>
        <v>2034.1599999999999</v>
      </c>
      <c r="R131" s="72">
        <f>IF(P132="","",MIN(D133:P133))</f>
        <v>1964.6400000000003</v>
      </c>
      <c r="S131" s="72">
        <f>IF((P133=""),"",AVERAGE(D133:P133))</f>
        <v>2010.636923076923</v>
      </c>
      <c r="T131" s="72">
        <f>IF((P132=""),"",STDEV(D133:P133))</f>
        <v>18.572386036180767</v>
      </c>
      <c r="U131" s="99">
        <f>IF((P132=""),"",((Q131-R131)/(Q131+R131))*100)</f>
        <v>1.7385215564669283</v>
      </c>
      <c r="V131" s="73" t="str">
        <f>IF(P132="","",IF(U131&lt;7.2,IF(S131&gt;1700,IF(S131&lt;2100,"Pass","Fail"),"Fail"),"Fail"))</f>
        <v>Pass</v>
      </c>
      <c r="W131" s="74">
        <v>1159</v>
      </c>
      <c r="X131" s="347"/>
      <c r="Z131" s="75">
        <v>1600</v>
      </c>
      <c r="AA131" s="75">
        <v>2600</v>
      </c>
      <c r="AB131" s="76">
        <v>1700</v>
      </c>
      <c r="AC131" s="76">
        <v>2100</v>
      </c>
      <c r="AD131" s="69">
        <v>10</v>
      </c>
      <c r="AE131" s="69">
        <v>7.2</v>
      </c>
    </row>
    <row r="132" spans="1:31" ht="16.100000000000001" x14ac:dyDescent="0.35">
      <c r="A132"/>
      <c r="B132" s="66"/>
      <c r="C132" s="66" t="s">
        <v>78</v>
      </c>
      <c r="D132" s="51">
        <v>1894</v>
      </c>
      <c r="E132" s="51">
        <v>1804.21</v>
      </c>
      <c r="F132" s="51">
        <v>1792.21</v>
      </c>
      <c r="G132" s="51">
        <v>1783.79</v>
      </c>
      <c r="H132" s="51">
        <v>1851.57</v>
      </c>
      <c r="I132" s="51">
        <v>1853.35</v>
      </c>
      <c r="J132" s="51">
        <v>1789.49</v>
      </c>
      <c r="K132" s="51">
        <v>1805.28</v>
      </c>
      <c r="L132" s="51">
        <v>1925.79</v>
      </c>
      <c r="M132" s="51">
        <v>1799.5</v>
      </c>
      <c r="N132" s="51">
        <v>1802.16</v>
      </c>
      <c r="O132" s="51">
        <v>1784.28</v>
      </c>
      <c r="P132" s="51">
        <v>1821.15</v>
      </c>
      <c r="Q132" s="66"/>
      <c r="R132" s="66"/>
      <c r="S132" s="66"/>
      <c r="T132" s="66"/>
      <c r="U132" s="100"/>
      <c r="V132" s="77"/>
      <c r="W132" s="78"/>
      <c r="X132" s="347"/>
      <c r="Z132" s="75"/>
      <c r="AA132" s="75"/>
      <c r="AB132" s="76"/>
      <c r="AC132" s="76"/>
      <c r="AD132" s="69"/>
      <c r="AE132" s="69"/>
    </row>
    <row r="133" spans="1:31" ht="58.15" thickBot="1" x14ac:dyDescent="0.4">
      <c r="A133"/>
      <c r="B133" s="79"/>
      <c r="C133" s="79" t="s">
        <v>79</v>
      </c>
      <c r="D133" s="80">
        <f t="shared" ref="D133:P133" si="40">IF(((D131="")*AND(D132="")),"",(D131-D132)*2)</f>
        <v>1964.6400000000003</v>
      </c>
      <c r="E133" s="80">
        <f t="shared" si="40"/>
        <v>2003.12</v>
      </c>
      <c r="F133" s="80">
        <f t="shared" si="40"/>
        <v>2007.6999999999998</v>
      </c>
      <c r="G133" s="80">
        <f t="shared" si="40"/>
        <v>2034.1599999999999</v>
      </c>
      <c r="H133" s="80">
        <f t="shared" si="40"/>
        <v>2015.6399999999999</v>
      </c>
      <c r="I133" s="80">
        <f t="shared" si="40"/>
        <v>2010.6000000000004</v>
      </c>
      <c r="J133" s="80">
        <f t="shared" si="40"/>
        <v>2010.6600000000003</v>
      </c>
      <c r="K133" s="80">
        <f t="shared" si="40"/>
        <v>2014.6200000000003</v>
      </c>
      <c r="L133" s="80">
        <f t="shared" si="40"/>
        <v>1990.1999999999998</v>
      </c>
      <c r="M133" s="80">
        <f t="shared" si="40"/>
        <v>2012.38</v>
      </c>
      <c r="N133" s="80">
        <f t="shared" si="40"/>
        <v>2033.7800000000002</v>
      </c>
      <c r="O133" s="80">
        <f t="shared" si="40"/>
        <v>2030.8200000000002</v>
      </c>
      <c r="P133" s="80">
        <f t="shared" si="40"/>
        <v>2009.96</v>
      </c>
      <c r="Q133" s="90"/>
      <c r="R133" s="79"/>
      <c r="S133" s="79"/>
      <c r="T133" s="79"/>
      <c r="U133" s="101"/>
      <c r="V133" s="81"/>
      <c r="W133" s="82"/>
      <c r="X133" s="347"/>
      <c r="Z133" s="75"/>
      <c r="AA133" s="75"/>
      <c r="AB133" s="76"/>
      <c r="AC133" s="76"/>
      <c r="AD133" s="69"/>
      <c r="AE133" s="69"/>
    </row>
    <row r="134" spans="1:31" x14ac:dyDescent="0.3">
      <c r="A134" s="70">
        <v>43336</v>
      </c>
      <c r="B134" s="71" t="s">
        <v>76</v>
      </c>
      <c r="C134" s="72" t="s">
        <v>77</v>
      </c>
      <c r="D134" s="51">
        <v>2444</v>
      </c>
      <c r="E134" s="51">
        <v>2353</v>
      </c>
      <c r="F134" s="51">
        <v>2337</v>
      </c>
      <c r="G134" s="51">
        <v>2339</v>
      </c>
      <c r="H134" s="51">
        <v>2405</v>
      </c>
      <c r="I134" s="51">
        <v>2402</v>
      </c>
      <c r="J134" s="51">
        <v>2343</v>
      </c>
      <c r="K134" s="51">
        <v>2343</v>
      </c>
      <c r="L134" s="51">
        <v>2404</v>
      </c>
      <c r="M134" s="51">
        <v>2362</v>
      </c>
      <c r="N134" s="51">
        <v>2345</v>
      </c>
      <c r="O134" s="51">
        <v>2345</v>
      </c>
      <c r="P134" s="51">
        <v>2361</v>
      </c>
      <c r="Q134" s="72">
        <f>IF((P135=""),"",MAX(D136:P136))</f>
        <v>1974</v>
      </c>
      <c r="R134" s="72">
        <f>IF(P135="","",MIN(D136:P136))</f>
        <v>1768</v>
      </c>
      <c r="S134" s="72">
        <f>IF((P136=""),"",AVERAGE(D136:P136))</f>
        <v>1828.3076923076924</v>
      </c>
      <c r="T134" s="72">
        <f>IF((P135=""),"",STDEV(D136:P136))</f>
        <v>46.48186853563552</v>
      </c>
      <c r="U134" s="99">
        <f>IF((P135=""),"",((Q134-R134)/(Q134+R134))*100)</f>
        <v>5.505077498663816</v>
      </c>
      <c r="V134" s="73" t="str">
        <f>IF(P135="","",IF(U134&lt;7.2,IF(S134&gt;1700,IF(S134&lt;2100,"Pass","Fail"),"Fail"),"Fail"))</f>
        <v>Pass</v>
      </c>
      <c r="W134" s="74"/>
      <c r="X134" s="347"/>
      <c r="Y134" s="349" t="s">
        <v>91</v>
      </c>
      <c r="Z134" s="75">
        <v>1600</v>
      </c>
      <c r="AA134" s="75">
        <v>2600</v>
      </c>
      <c r="AB134" s="76">
        <v>1700</v>
      </c>
      <c r="AC134" s="76">
        <v>2100</v>
      </c>
      <c r="AD134" s="69">
        <v>10</v>
      </c>
      <c r="AE134" s="69">
        <v>7.2</v>
      </c>
    </row>
    <row r="135" spans="1:31" ht="16.5" customHeight="1" x14ac:dyDescent="0.35">
      <c r="A135"/>
      <c r="B135" s="66"/>
      <c r="C135" s="66" t="s">
        <v>78</v>
      </c>
      <c r="D135" s="51">
        <v>1528</v>
      </c>
      <c r="E135" s="51">
        <v>1447</v>
      </c>
      <c r="F135" s="51">
        <v>1425</v>
      </c>
      <c r="G135" s="51">
        <v>1426</v>
      </c>
      <c r="H135" s="51">
        <v>1418</v>
      </c>
      <c r="I135" s="51">
        <v>1494</v>
      </c>
      <c r="J135" s="51">
        <v>1434</v>
      </c>
      <c r="K135" s="51">
        <v>1438</v>
      </c>
      <c r="L135" s="51">
        <v>1520</v>
      </c>
      <c r="M135" s="51">
        <v>1451</v>
      </c>
      <c r="N135" s="51">
        <v>1434</v>
      </c>
      <c r="O135" s="51">
        <v>1433</v>
      </c>
      <c r="P135" s="51">
        <v>1451</v>
      </c>
      <c r="Q135" s="66"/>
      <c r="R135" s="66"/>
      <c r="S135" s="66"/>
      <c r="T135" s="66"/>
      <c r="U135" s="100"/>
      <c r="V135" s="77"/>
      <c r="W135" s="78"/>
      <c r="X135" s="347"/>
      <c r="Y135" s="335"/>
      <c r="Z135" s="75"/>
      <c r="AA135" s="75"/>
      <c r="AB135" s="76"/>
      <c r="AC135" s="76"/>
      <c r="AD135" s="69"/>
      <c r="AE135" s="69"/>
    </row>
    <row r="136" spans="1:31" ht="58.15" thickBot="1" x14ac:dyDescent="0.4">
      <c r="A136"/>
      <c r="B136" s="79"/>
      <c r="C136" s="79" t="s">
        <v>79</v>
      </c>
      <c r="D136" s="80">
        <f t="shared" ref="D136:P136" si="41">IF(((D134="")*AND(D135="")),"",(D134-D135)*2)</f>
        <v>1832</v>
      </c>
      <c r="E136" s="80">
        <f t="shared" si="41"/>
        <v>1812</v>
      </c>
      <c r="F136" s="80">
        <f t="shared" si="41"/>
        <v>1824</v>
      </c>
      <c r="G136" s="80">
        <f t="shared" si="41"/>
        <v>1826</v>
      </c>
      <c r="H136" s="80">
        <f t="shared" si="41"/>
        <v>1974</v>
      </c>
      <c r="I136" s="80">
        <f t="shared" si="41"/>
        <v>1816</v>
      </c>
      <c r="J136" s="80">
        <f t="shared" si="41"/>
        <v>1818</v>
      </c>
      <c r="K136" s="80">
        <f t="shared" si="41"/>
        <v>1810</v>
      </c>
      <c r="L136" s="80">
        <f t="shared" si="41"/>
        <v>1768</v>
      </c>
      <c r="M136" s="80">
        <f t="shared" si="41"/>
        <v>1822</v>
      </c>
      <c r="N136" s="80">
        <f t="shared" si="41"/>
        <v>1822</v>
      </c>
      <c r="O136" s="80">
        <f t="shared" si="41"/>
        <v>1824</v>
      </c>
      <c r="P136" s="80">
        <f t="shared" si="41"/>
        <v>1820</v>
      </c>
      <c r="Q136" s="90"/>
      <c r="R136" s="79"/>
      <c r="S136" s="79"/>
      <c r="T136" s="79"/>
      <c r="U136" s="101"/>
      <c r="V136" s="81"/>
      <c r="W136" s="82"/>
      <c r="X136" s="347"/>
      <c r="Z136" s="75"/>
      <c r="AA136" s="75"/>
      <c r="AB136" s="76"/>
      <c r="AC136" s="76"/>
      <c r="AD136" s="69"/>
      <c r="AE136" s="69"/>
    </row>
    <row r="137" spans="1:31" x14ac:dyDescent="0.3">
      <c r="A137" s="70">
        <v>43340</v>
      </c>
      <c r="B137" s="71" t="s">
        <v>76</v>
      </c>
      <c r="C137" s="72" t="s">
        <v>77</v>
      </c>
      <c r="D137" s="51">
        <v>2445</v>
      </c>
      <c r="E137" s="51">
        <v>2356</v>
      </c>
      <c r="F137" s="51">
        <v>2342</v>
      </c>
      <c r="G137" s="51">
        <v>2341</v>
      </c>
      <c r="H137" s="51">
        <v>2403</v>
      </c>
      <c r="I137" s="51">
        <v>2399</v>
      </c>
      <c r="J137" s="51">
        <v>2343</v>
      </c>
      <c r="K137" s="51">
        <v>2347</v>
      </c>
      <c r="L137" s="51">
        <v>2410</v>
      </c>
      <c r="M137" s="51">
        <v>2360</v>
      </c>
      <c r="N137" s="51">
        <v>2349</v>
      </c>
      <c r="O137" s="51">
        <v>2346</v>
      </c>
      <c r="P137" s="51">
        <v>2365</v>
      </c>
      <c r="Q137" s="72">
        <f>IF((P138=""),"",MAX(D139:P139))</f>
        <v>1912</v>
      </c>
      <c r="R137" s="72">
        <f>IF(P138="","",MIN(D139:P139))</f>
        <v>1830</v>
      </c>
      <c r="S137" s="72">
        <f>IF((P139=""),"",AVERAGE(D139:P139))</f>
        <v>1887.2307692307693</v>
      </c>
      <c r="T137" s="72">
        <f>IF((P138=""),"",STDEV(D139:P139))</f>
        <v>24.104473465015598</v>
      </c>
      <c r="U137" s="99">
        <f>IF((P138=""),"",((Q137-R137)/(Q137+R137))*100)</f>
        <v>2.191341528594335</v>
      </c>
      <c r="V137" s="73" t="str">
        <f>IF(P138="","",IF(U137&lt;7.2,IF(S137&gt;1700,IF(S137&lt;2100,"Pass","Fail"),"Fail"),"Fail"))</f>
        <v>Pass</v>
      </c>
      <c r="W137" s="74">
        <v>1340</v>
      </c>
      <c r="X137" s="347"/>
      <c r="Z137" s="75">
        <v>1600</v>
      </c>
      <c r="AA137" s="75">
        <v>2600</v>
      </c>
      <c r="AB137" s="76">
        <v>1700</v>
      </c>
      <c r="AC137" s="76">
        <v>2100</v>
      </c>
      <c r="AD137" s="69">
        <v>10</v>
      </c>
      <c r="AE137" s="69">
        <v>7.2</v>
      </c>
    </row>
    <row r="138" spans="1:31" ht="16.100000000000001" x14ac:dyDescent="0.35">
      <c r="A138"/>
      <c r="B138" s="66"/>
      <c r="C138" s="66" t="s">
        <v>78</v>
      </c>
      <c r="D138" s="51">
        <v>1519</v>
      </c>
      <c r="E138" s="51">
        <v>1410</v>
      </c>
      <c r="F138" s="51">
        <v>1394</v>
      </c>
      <c r="G138" s="51">
        <v>1387</v>
      </c>
      <c r="H138" s="51">
        <v>1468</v>
      </c>
      <c r="I138" s="51">
        <v>1461</v>
      </c>
      <c r="J138" s="51">
        <v>1392</v>
      </c>
      <c r="K138" s="51">
        <v>1400</v>
      </c>
      <c r="L138" s="51">
        <v>1495</v>
      </c>
      <c r="M138" s="51">
        <v>1412</v>
      </c>
      <c r="N138" s="51">
        <v>1393</v>
      </c>
      <c r="O138" s="51">
        <v>1392</v>
      </c>
      <c r="P138" s="51">
        <v>1416</v>
      </c>
      <c r="Q138" s="66"/>
      <c r="R138" s="66"/>
      <c r="S138" s="66"/>
      <c r="T138" s="66"/>
      <c r="U138" s="100"/>
      <c r="V138" s="77"/>
      <c r="W138" s="78"/>
      <c r="X138" s="347"/>
      <c r="Z138" s="75"/>
      <c r="AA138" s="75"/>
      <c r="AB138" s="76"/>
      <c r="AC138" s="76"/>
      <c r="AD138" s="69"/>
      <c r="AE138" s="69"/>
    </row>
    <row r="139" spans="1:31" ht="58.15" thickBot="1" x14ac:dyDescent="0.4">
      <c r="A139"/>
      <c r="B139" s="79"/>
      <c r="C139" s="79" t="s">
        <v>79</v>
      </c>
      <c r="D139" s="80">
        <f t="shared" ref="D139:P139" si="42">IF(((D137="")*AND(D138="")),"",(D137-D138)*2)</f>
        <v>1852</v>
      </c>
      <c r="E139" s="80">
        <f t="shared" si="42"/>
        <v>1892</v>
      </c>
      <c r="F139" s="80">
        <f t="shared" si="42"/>
        <v>1896</v>
      </c>
      <c r="G139" s="80">
        <f t="shared" si="42"/>
        <v>1908</v>
      </c>
      <c r="H139" s="80">
        <f t="shared" si="42"/>
        <v>1870</v>
      </c>
      <c r="I139" s="80">
        <f t="shared" si="42"/>
        <v>1876</v>
      </c>
      <c r="J139" s="80">
        <f t="shared" si="42"/>
        <v>1902</v>
      </c>
      <c r="K139" s="80">
        <f t="shared" si="42"/>
        <v>1894</v>
      </c>
      <c r="L139" s="80">
        <f t="shared" si="42"/>
        <v>1830</v>
      </c>
      <c r="M139" s="80">
        <f t="shared" si="42"/>
        <v>1896</v>
      </c>
      <c r="N139" s="80">
        <f t="shared" si="42"/>
        <v>1912</v>
      </c>
      <c r="O139" s="80">
        <f t="shared" si="42"/>
        <v>1908</v>
      </c>
      <c r="P139" s="80">
        <f t="shared" si="42"/>
        <v>1898</v>
      </c>
      <c r="Q139" s="90"/>
      <c r="R139" s="79"/>
      <c r="S139" s="79"/>
      <c r="T139" s="79"/>
      <c r="U139" s="101"/>
      <c r="V139" s="81"/>
      <c r="W139" s="82"/>
      <c r="X139" s="347"/>
      <c r="Z139" s="75"/>
      <c r="AA139" s="75"/>
      <c r="AB139" s="76"/>
      <c r="AC139" s="76"/>
      <c r="AD139" s="69"/>
      <c r="AE139" s="69"/>
    </row>
    <row r="140" spans="1:31" x14ac:dyDescent="0.3">
      <c r="A140" s="70">
        <v>43344</v>
      </c>
      <c r="B140" s="71" t="s">
        <v>76</v>
      </c>
      <c r="C140" s="72" t="s">
        <v>77</v>
      </c>
      <c r="D140" s="51">
        <v>2442.25</v>
      </c>
      <c r="E140" s="51">
        <v>2357.86</v>
      </c>
      <c r="F140" s="51">
        <v>2342.63</v>
      </c>
      <c r="G140" s="51">
        <v>2343</v>
      </c>
      <c r="H140" s="51">
        <v>2404.61</v>
      </c>
      <c r="I140" s="51">
        <v>2400.75</v>
      </c>
      <c r="J140" s="51">
        <v>2345.81</v>
      </c>
      <c r="K140" s="51">
        <v>2349.15</v>
      </c>
      <c r="L140" s="51">
        <v>2405.1999999999998</v>
      </c>
      <c r="M140" s="51">
        <v>2361.15</v>
      </c>
      <c r="N140" s="51">
        <v>2346.02</v>
      </c>
      <c r="O140" s="51">
        <v>2344.64</v>
      </c>
      <c r="P140" s="51">
        <v>2365.1999999999998</v>
      </c>
      <c r="Q140" s="72">
        <f>IF((P141=""),"",MAX(D142:P142))</f>
        <v>1863.94</v>
      </c>
      <c r="R140" s="72">
        <f>IF(P141="","",MIN(D142:P142))</f>
        <v>1789.0999999999995</v>
      </c>
      <c r="S140" s="72">
        <f>IF((P142=""),"",AVERAGE(D142:P142))</f>
        <v>1842.6446153846155</v>
      </c>
      <c r="T140" s="72">
        <f>IF((P141=""),"",STDEV(D142:P142))</f>
        <v>21.301776379520149</v>
      </c>
      <c r="U140" s="99">
        <f>IF((P141=""),"",((Q140-R140)/(Q140+R140))*100)</f>
        <v>2.0487046405185985</v>
      </c>
      <c r="V140" s="73" t="str">
        <f>IF(P141="","",IF(U140&lt;7.2,IF(S140&gt;1700,IF(S140&lt;2100,"Pass","Fail"),"Fail"),"Fail"))</f>
        <v>Pass</v>
      </c>
      <c r="W140" s="74">
        <v>1428</v>
      </c>
      <c r="X140" s="347"/>
      <c r="Z140" s="75">
        <v>1600</v>
      </c>
      <c r="AA140" s="75">
        <v>2600</v>
      </c>
      <c r="AB140" s="76">
        <v>1700</v>
      </c>
      <c r="AC140" s="76">
        <v>2100</v>
      </c>
      <c r="AD140" s="69">
        <v>10</v>
      </c>
      <c r="AE140" s="69">
        <v>7.2</v>
      </c>
    </row>
    <row r="141" spans="1:31" ht="16.100000000000001" x14ac:dyDescent="0.35">
      <c r="A141"/>
      <c r="B141" s="66"/>
      <c r="C141" s="66" t="s">
        <v>78</v>
      </c>
      <c r="D141" s="51">
        <v>1534.43</v>
      </c>
      <c r="E141" s="51">
        <v>1431.54</v>
      </c>
      <c r="F141" s="51">
        <v>1416.97</v>
      </c>
      <c r="G141" s="51">
        <v>1411.03</v>
      </c>
      <c r="H141" s="51">
        <v>1491.25</v>
      </c>
      <c r="I141" s="51">
        <v>1484.69</v>
      </c>
      <c r="J141" s="51">
        <v>1418.47</v>
      </c>
      <c r="K141" s="51">
        <v>1425.09</v>
      </c>
      <c r="L141" s="51">
        <v>1510.65</v>
      </c>
      <c r="M141" s="51">
        <v>1435.99</v>
      </c>
      <c r="N141" s="51">
        <v>1418.54</v>
      </c>
      <c r="O141" s="51">
        <v>1413.86</v>
      </c>
      <c r="P141" s="51">
        <v>1438.57</v>
      </c>
      <c r="Q141" s="66"/>
      <c r="R141" s="66"/>
      <c r="S141" s="66"/>
      <c r="T141" s="66"/>
      <c r="U141" s="100"/>
      <c r="V141" s="77"/>
      <c r="W141" s="78"/>
      <c r="X141" s="347"/>
    </row>
    <row r="142" spans="1:31" ht="58.15" thickBot="1" x14ac:dyDescent="0.4">
      <c r="A142"/>
      <c r="B142" s="79"/>
      <c r="C142" s="79" t="s">
        <v>79</v>
      </c>
      <c r="D142" s="80">
        <f t="shared" ref="D142:P142" si="43">IF(((D140="")*AND(D141="")),"",(D140-D141)*2)</f>
        <v>1815.6399999999999</v>
      </c>
      <c r="E142" s="80">
        <f t="shared" si="43"/>
        <v>1852.6400000000003</v>
      </c>
      <c r="F142" s="80">
        <f t="shared" si="43"/>
        <v>1851.3200000000002</v>
      </c>
      <c r="G142" s="80">
        <f t="shared" si="43"/>
        <v>1863.94</v>
      </c>
      <c r="H142" s="80">
        <f t="shared" si="43"/>
        <v>1826.7200000000003</v>
      </c>
      <c r="I142" s="80">
        <f t="shared" si="43"/>
        <v>1832.12</v>
      </c>
      <c r="J142" s="80">
        <f t="shared" si="43"/>
        <v>1854.6799999999998</v>
      </c>
      <c r="K142" s="80">
        <f t="shared" si="43"/>
        <v>1848.1200000000003</v>
      </c>
      <c r="L142" s="80">
        <f t="shared" si="43"/>
        <v>1789.0999999999995</v>
      </c>
      <c r="M142" s="80">
        <f t="shared" si="43"/>
        <v>1850.3200000000002</v>
      </c>
      <c r="N142" s="80">
        <f t="shared" si="43"/>
        <v>1854.96</v>
      </c>
      <c r="O142" s="80">
        <f t="shared" si="43"/>
        <v>1861.56</v>
      </c>
      <c r="P142" s="80">
        <f t="shared" si="43"/>
        <v>1853.2599999999998</v>
      </c>
      <c r="Q142" s="90"/>
      <c r="R142" s="79"/>
      <c r="S142" s="79"/>
      <c r="T142" s="79"/>
      <c r="U142" s="101"/>
      <c r="V142" s="81"/>
      <c r="W142" s="82"/>
      <c r="X142" s="347"/>
    </row>
    <row r="143" spans="1:31" x14ac:dyDescent="0.3">
      <c r="A143" s="70">
        <v>43348</v>
      </c>
      <c r="B143" s="71" t="s">
        <v>76</v>
      </c>
      <c r="C143" s="72" t="s">
        <v>77</v>
      </c>
      <c r="D143" s="51">
        <v>2445.19</v>
      </c>
      <c r="E143" s="51">
        <v>2355.9699999999998</v>
      </c>
      <c r="F143" s="51">
        <v>2340.61</v>
      </c>
      <c r="G143" s="51">
        <v>2342.16</v>
      </c>
      <c r="H143" s="51">
        <v>2404.0500000000002</v>
      </c>
      <c r="I143" s="51">
        <v>2401.38</v>
      </c>
      <c r="J143" s="51">
        <v>2346.0300000000002</v>
      </c>
      <c r="K143" s="51">
        <v>2348.27</v>
      </c>
      <c r="L143" s="51">
        <v>2406.37</v>
      </c>
      <c r="M143" s="51">
        <v>2360.9299999999998</v>
      </c>
      <c r="N143" s="51">
        <v>2349.9299999999998</v>
      </c>
      <c r="O143" s="51">
        <v>2347.9899999999998</v>
      </c>
      <c r="P143" s="51">
        <v>2364.12</v>
      </c>
      <c r="Q143" s="72">
        <f>IF((P144=""),"",MAX(D145:P145))</f>
        <v>1875.6399999999999</v>
      </c>
      <c r="R143" s="72">
        <f>IF(P144="","",MIN(D145:P145))</f>
        <v>1803.9799999999996</v>
      </c>
      <c r="S143" s="72">
        <f>IF((P145=""),"",AVERAGE(D145:P145))</f>
        <v>1855.2015384615383</v>
      </c>
      <c r="T143" s="72">
        <f>IF((P144=""),"",STDEV(D145:P145))</f>
        <v>21.398988233930499</v>
      </c>
      <c r="U143" s="99">
        <f>IF((P144=""),"",((Q143-R143)/(Q143+R143))*100)</f>
        <v>1.9474837075567673</v>
      </c>
      <c r="V143" s="73" t="str">
        <f>IF(P144="","",IF(U143&lt;7.2,IF(S143&gt;1700,IF(S143&lt;2100,"Pass","Fail"),"Fail"),"Fail"))</f>
        <v>Pass</v>
      </c>
      <c r="W143" s="74">
        <v>121</v>
      </c>
      <c r="X143" s="347"/>
      <c r="Z143" s="75">
        <v>1600</v>
      </c>
      <c r="AA143" s="75">
        <v>2600</v>
      </c>
      <c r="AB143" s="76">
        <v>1700</v>
      </c>
      <c r="AC143" s="76">
        <v>2100</v>
      </c>
      <c r="AD143" s="69">
        <v>10</v>
      </c>
      <c r="AE143" s="69">
        <v>7.2</v>
      </c>
    </row>
    <row r="144" spans="1:31" ht="16.100000000000001" x14ac:dyDescent="0.35">
      <c r="A144"/>
      <c r="B144" s="66"/>
      <c r="C144" s="66" t="s">
        <v>78</v>
      </c>
      <c r="D144" s="51">
        <v>1531.02</v>
      </c>
      <c r="E144" s="51">
        <v>1424.83</v>
      </c>
      <c r="F144" s="51">
        <v>1410.67</v>
      </c>
      <c r="G144" s="51">
        <v>1404.34</v>
      </c>
      <c r="H144" s="51">
        <v>1488.38</v>
      </c>
      <c r="I144" s="51">
        <v>1473.5</v>
      </c>
      <c r="J144" s="51">
        <v>1414.39</v>
      </c>
      <c r="K144" s="51">
        <v>1416.25</v>
      </c>
      <c r="L144" s="51">
        <v>1504.38</v>
      </c>
      <c r="M144" s="51">
        <v>1427.85</v>
      </c>
      <c r="N144" s="51">
        <v>1412.13</v>
      </c>
      <c r="O144" s="51">
        <v>1410.26</v>
      </c>
      <c r="P144" s="51">
        <v>1436.19</v>
      </c>
      <c r="Q144" s="66"/>
      <c r="R144" s="66"/>
      <c r="S144" s="66"/>
      <c r="T144" s="66"/>
      <c r="U144" s="100"/>
      <c r="V144" s="77"/>
      <c r="W144" s="78"/>
      <c r="X144" s="347"/>
    </row>
    <row r="145" spans="1:31" ht="58.15" thickBot="1" x14ac:dyDescent="0.4">
      <c r="A145"/>
      <c r="B145" s="79"/>
      <c r="C145" s="79" t="s">
        <v>79</v>
      </c>
      <c r="D145" s="80">
        <f t="shared" ref="D145:P145" si="44">IF(((D143="")*AND(D144="")),"",(D143-D144)*2)</f>
        <v>1828.3400000000001</v>
      </c>
      <c r="E145" s="80">
        <f t="shared" si="44"/>
        <v>1862.2799999999997</v>
      </c>
      <c r="F145" s="80">
        <f t="shared" si="44"/>
        <v>1859.88</v>
      </c>
      <c r="G145" s="80">
        <f t="shared" si="44"/>
        <v>1875.6399999999999</v>
      </c>
      <c r="H145" s="80">
        <f t="shared" si="44"/>
        <v>1831.3400000000001</v>
      </c>
      <c r="I145" s="80">
        <f t="shared" si="44"/>
        <v>1855.7600000000002</v>
      </c>
      <c r="J145" s="80">
        <f t="shared" si="44"/>
        <v>1863.2800000000002</v>
      </c>
      <c r="K145" s="80">
        <f t="shared" si="44"/>
        <v>1864.04</v>
      </c>
      <c r="L145" s="80">
        <f t="shared" si="44"/>
        <v>1803.9799999999996</v>
      </c>
      <c r="M145" s="80">
        <f t="shared" si="44"/>
        <v>1866.1599999999999</v>
      </c>
      <c r="N145" s="80">
        <f t="shared" si="44"/>
        <v>1875.5999999999995</v>
      </c>
      <c r="O145" s="80">
        <f t="shared" si="44"/>
        <v>1875.4599999999996</v>
      </c>
      <c r="P145" s="80">
        <f t="shared" si="44"/>
        <v>1855.8599999999997</v>
      </c>
      <c r="Q145" s="90"/>
      <c r="R145" s="79"/>
      <c r="S145" s="79"/>
      <c r="T145" s="79"/>
      <c r="U145" s="101"/>
      <c r="V145" s="81"/>
      <c r="W145" s="82"/>
      <c r="X145" s="347"/>
    </row>
    <row r="146" spans="1:31" x14ac:dyDescent="0.3">
      <c r="A146" s="70">
        <v>43352</v>
      </c>
      <c r="B146" s="71" t="s">
        <v>76</v>
      </c>
      <c r="C146" s="72" t="s">
        <v>77</v>
      </c>
      <c r="D146" s="51">
        <v>2443.3000000000002</v>
      </c>
      <c r="E146" s="51">
        <v>2355.52</v>
      </c>
      <c r="F146" s="51">
        <v>2342.67</v>
      </c>
      <c r="G146" s="51">
        <v>2341.63</v>
      </c>
      <c r="H146" s="51">
        <v>2400.81</v>
      </c>
      <c r="I146" s="51">
        <v>2399.6</v>
      </c>
      <c r="J146" s="51">
        <v>2344.5</v>
      </c>
      <c r="K146" s="51">
        <v>2347.59</v>
      </c>
      <c r="L146" s="51">
        <v>2409.9</v>
      </c>
      <c r="M146" s="51">
        <v>2357.14</v>
      </c>
      <c r="N146" s="51">
        <v>2348.5700000000002</v>
      </c>
      <c r="O146" s="51">
        <v>2347.56</v>
      </c>
      <c r="P146" s="51">
        <v>2365.52</v>
      </c>
      <c r="Q146" s="72">
        <f>IF((P147=""),"",MAX(D148:P148))</f>
        <v>2025.9800000000005</v>
      </c>
      <c r="R146" s="72">
        <f>IF(P147="","",MIN(D148:P148))</f>
        <v>1906.7600000000002</v>
      </c>
      <c r="S146" s="72">
        <f>IF((P148=""),"",AVERAGE(D148:P148))</f>
        <v>1992.4461538461544</v>
      </c>
      <c r="T146" s="72">
        <f>IF((P147=""),"",STDEV(D148:P148))</f>
        <v>34.053254748619239</v>
      </c>
      <c r="U146" s="99">
        <f>IF((P147=""),"",((Q146-R146)/(Q146+R146))*100)</f>
        <v>3.0314742393344138</v>
      </c>
      <c r="V146" s="73" t="str">
        <f>IF(P147="","",IF(U146&lt;7.2,IF(S146&gt;1700,IF(S146&lt;2100,"Pass","Fail"),"Fail"),"Fail"))</f>
        <v>Pass</v>
      </c>
      <c r="W146" s="74">
        <v>74</v>
      </c>
      <c r="X146" s="347"/>
      <c r="Z146" s="75">
        <v>1600</v>
      </c>
      <c r="AA146" s="75">
        <v>2600</v>
      </c>
      <c r="AB146" s="76">
        <v>1700</v>
      </c>
      <c r="AC146" s="76">
        <v>2100</v>
      </c>
      <c r="AD146" s="69">
        <v>10</v>
      </c>
      <c r="AE146" s="69">
        <v>7.2</v>
      </c>
    </row>
    <row r="147" spans="1:31" ht="16.100000000000001" x14ac:dyDescent="0.35">
      <c r="A147"/>
      <c r="B147" s="66"/>
      <c r="C147" s="66" t="s">
        <v>78</v>
      </c>
      <c r="D147" s="51">
        <v>1471.91</v>
      </c>
      <c r="E147" s="51">
        <v>1357.3</v>
      </c>
      <c r="F147" s="51">
        <v>1337.05</v>
      </c>
      <c r="G147" s="51">
        <v>1330.25</v>
      </c>
      <c r="H147" s="51">
        <v>1404.54</v>
      </c>
      <c r="I147" s="51">
        <v>1412.31</v>
      </c>
      <c r="J147" s="51">
        <v>1341.03</v>
      </c>
      <c r="K147" s="51">
        <v>1344.65</v>
      </c>
      <c r="L147" s="51">
        <v>1456.52</v>
      </c>
      <c r="M147" s="51">
        <v>1361.58</v>
      </c>
      <c r="N147" s="51">
        <v>1335.58</v>
      </c>
      <c r="O147" s="51">
        <v>1336.53</v>
      </c>
      <c r="P147" s="51">
        <v>1364.16</v>
      </c>
      <c r="Q147" s="66"/>
      <c r="R147" s="66"/>
      <c r="S147" s="66"/>
      <c r="T147" s="66"/>
      <c r="U147" s="100"/>
      <c r="V147" s="77"/>
      <c r="W147" s="78"/>
      <c r="X147" s="347"/>
    </row>
    <row r="148" spans="1:31" ht="58.15" thickBot="1" x14ac:dyDescent="0.4">
      <c r="A148"/>
      <c r="B148" s="79"/>
      <c r="C148" s="79" t="s">
        <v>79</v>
      </c>
      <c r="D148" s="80">
        <f t="shared" ref="D148:P148" si="45">IF(((D146="")*AND(D147="")),"",(D146-D147)*2)</f>
        <v>1942.7800000000002</v>
      </c>
      <c r="E148" s="80">
        <f t="shared" si="45"/>
        <v>1996.44</v>
      </c>
      <c r="F148" s="80">
        <f t="shared" si="45"/>
        <v>2011.2400000000002</v>
      </c>
      <c r="G148" s="80">
        <f t="shared" si="45"/>
        <v>2022.7600000000002</v>
      </c>
      <c r="H148" s="80">
        <f t="shared" si="45"/>
        <v>1992.54</v>
      </c>
      <c r="I148" s="80">
        <f t="shared" si="45"/>
        <v>1974.58</v>
      </c>
      <c r="J148" s="80">
        <f t="shared" si="45"/>
        <v>2006.94</v>
      </c>
      <c r="K148" s="80">
        <f t="shared" si="45"/>
        <v>2005.88</v>
      </c>
      <c r="L148" s="80">
        <f t="shared" si="45"/>
        <v>1906.7600000000002</v>
      </c>
      <c r="M148" s="80">
        <f t="shared" si="45"/>
        <v>1991.12</v>
      </c>
      <c r="N148" s="80">
        <f t="shared" si="45"/>
        <v>2025.9800000000005</v>
      </c>
      <c r="O148" s="80">
        <f t="shared" si="45"/>
        <v>2022.06</v>
      </c>
      <c r="P148" s="80">
        <f t="shared" si="45"/>
        <v>2002.7199999999998</v>
      </c>
      <c r="Q148" s="90"/>
      <c r="R148" s="79"/>
      <c r="S148" s="79"/>
      <c r="T148" s="79"/>
      <c r="U148" s="101"/>
      <c r="V148" s="81"/>
      <c r="W148" s="82"/>
      <c r="X148" s="347"/>
    </row>
    <row r="149" spans="1:31" x14ac:dyDescent="0.3">
      <c r="A149" s="70">
        <v>43357</v>
      </c>
      <c r="B149" s="71" t="s">
        <v>76</v>
      </c>
      <c r="C149" s="72" t="s">
        <v>77</v>
      </c>
      <c r="D149" s="51">
        <v>2441.19</v>
      </c>
      <c r="E149" s="51">
        <v>2354.42</v>
      </c>
      <c r="F149" s="51">
        <v>2337.41</v>
      </c>
      <c r="G149" s="51">
        <v>2337.15</v>
      </c>
      <c r="H149" s="51">
        <v>2392.25</v>
      </c>
      <c r="I149" s="51">
        <v>2397.44</v>
      </c>
      <c r="J149" s="51">
        <v>2341.16</v>
      </c>
      <c r="K149" s="51">
        <v>2343.7199999999998</v>
      </c>
      <c r="L149" s="51">
        <v>2399.0100000000002</v>
      </c>
      <c r="M149" s="51">
        <v>2361.19</v>
      </c>
      <c r="N149" s="51">
        <v>2346.04</v>
      </c>
      <c r="O149" s="51">
        <v>2341.2199999999998</v>
      </c>
      <c r="P149" s="51">
        <v>2362.37</v>
      </c>
      <c r="Q149" s="72">
        <f>IF((P150=""),"",MAX(D151:P151))</f>
        <v>2028.2200000000003</v>
      </c>
      <c r="R149" s="72">
        <f>IF(P150="","",MIN(D151:P151))</f>
        <v>1911.4600000000005</v>
      </c>
      <c r="S149" s="72">
        <f>IF((P151=""),"",AVERAGE(D151:P151))</f>
        <v>1992.3507692307689</v>
      </c>
      <c r="T149" s="72">
        <f>IF((P150=""),"",STDEV(D151:P151))</f>
        <v>32.440160927862749</v>
      </c>
      <c r="U149" s="99">
        <f>IF((P150=""),"",((Q149-R149)/(Q149+R149))*100)</f>
        <v>2.9636924826381774</v>
      </c>
      <c r="V149" s="73" t="str">
        <f>IF(P150="","",IF(U149&lt;7.2,IF(S149&gt;1700,IF(S149&lt;2100,"Pass","Fail"),"Fail"),"Fail"))</f>
        <v>Pass</v>
      </c>
      <c r="W149" s="74">
        <v>1159</v>
      </c>
      <c r="X149" s="188" t="s">
        <v>92</v>
      </c>
      <c r="Z149" s="75">
        <v>1600</v>
      </c>
      <c r="AA149" s="75">
        <v>2600</v>
      </c>
      <c r="AB149" s="76">
        <v>1700</v>
      </c>
      <c r="AC149" s="76">
        <v>2100</v>
      </c>
      <c r="AD149" s="69">
        <v>10</v>
      </c>
      <c r="AE149" s="69">
        <v>7.2</v>
      </c>
    </row>
    <row r="150" spans="1:31" ht="16.100000000000001" x14ac:dyDescent="0.35">
      <c r="A150"/>
      <c r="B150" s="66"/>
      <c r="C150" s="66" t="s">
        <v>78</v>
      </c>
      <c r="D150" s="51">
        <v>1467.67</v>
      </c>
      <c r="E150" s="51">
        <v>1356.72</v>
      </c>
      <c r="F150" s="51">
        <v>1332.57</v>
      </c>
      <c r="G150" s="51">
        <v>1323.04</v>
      </c>
      <c r="H150" s="51">
        <v>1405.93</v>
      </c>
      <c r="I150" s="51">
        <v>1403.24</v>
      </c>
      <c r="J150" s="51">
        <v>1339.23</v>
      </c>
      <c r="K150" s="51">
        <v>1344.84</v>
      </c>
      <c r="L150" s="51">
        <v>1443.28</v>
      </c>
      <c r="M150" s="51">
        <v>1361.5</v>
      </c>
      <c r="N150" s="51">
        <v>1332.92</v>
      </c>
      <c r="O150" s="51">
        <v>1334.1</v>
      </c>
      <c r="P150" s="51">
        <v>1359.25</v>
      </c>
      <c r="Q150" s="66"/>
      <c r="R150" s="66"/>
      <c r="S150" s="66"/>
      <c r="T150" s="66"/>
      <c r="U150" s="100"/>
      <c r="V150" s="77"/>
      <c r="W150" s="78"/>
      <c r="X150" s="347"/>
    </row>
    <row r="151" spans="1:31" ht="58.15" thickBot="1" x14ac:dyDescent="0.4">
      <c r="A151"/>
      <c r="B151" s="79"/>
      <c r="C151" s="79" t="s">
        <v>79</v>
      </c>
      <c r="D151" s="80">
        <f t="shared" ref="D151:P151" si="46">IF(((D149="")*AND(D150="")),"",(D149-D150)*2)</f>
        <v>1947.04</v>
      </c>
      <c r="E151" s="80">
        <f t="shared" si="46"/>
        <v>1995.4</v>
      </c>
      <c r="F151" s="80">
        <f t="shared" si="46"/>
        <v>2009.6799999999998</v>
      </c>
      <c r="G151" s="80">
        <f t="shared" si="46"/>
        <v>2028.2200000000003</v>
      </c>
      <c r="H151" s="80">
        <f t="shared" si="46"/>
        <v>1972.6399999999999</v>
      </c>
      <c r="I151" s="80">
        <f t="shared" si="46"/>
        <v>1988.4</v>
      </c>
      <c r="J151" s="80">
        <f t="shared" si="46"/>
        <v>2003.8599999999997</v>
      </c>
      <c r="K151" s="80">
        <f t="shared" si="46"/>
        <v>1997.7599999999998</v>
      </c>
      <c r="L151" s="80">
        <f t="shared" si="46"/>
        <v>1911.4600000000005</v>
      </c>
      <c r="M151" s="80">
        <f t="shared" si="46"/>
        <v>1999.38</v>
      </c>
      <c r="N151" s="80">
        <f t="shared" si="46"/>
        <v>2026.2399999999998</v>
      </c>
      <c r="O151" s="80">
        <f t="shared" si="46"/>
        <v>2014.2399999999998</v>
      </c>
      <c r="P151" s="80">
        <f t="shared" si="46"/>
        <v>2006.2399999999998</v>
      </c>
      <c r="Q151" s="90"/>
      <c r="R151" s="79"/>
      <c r="S151" s="79"/>
      <c r="T151" s="79"/>
      <c r="U151" s="101"/>
      <c r="V151" s="81"/>
      <c r="W151" s="82"/>
      <c r="X151" s="347"/>
    </row>
    <row r="152" spans="1:31" x14ac:dyDescent="0.3">
      <c r="A152" s="70">
        <v>43362</v>
      </c>
      <c r="B152" s="71" t="s">
        <v>76</v>
      </c>
      <c r="C152" s="72" t="s">
        <v>77</v>
      </c>
      <c r="D152" s="51">
        <v>2411.4299999999998</v>
      </c>
      <c r="E152" s="51">
        <v>2319.92</v>
      </c>
      <c r="F152" s="51">
        <v>2305.81</v>
      </c>
      <c r="G152" s="51">
        <v>2308.12</v>
      </c>
      <c r="H152" s="51">
        <v>2384.88</v>
      </c>
      <c r="I152" s="51">
        <v>2377.88</v>
      </c>
      <c r="J152" s="51">
        <v>2312.21</v>
      </c>
      <c r="K152" s="51">
        <v>2311.02</v>
      </c>
      <c r="L152" s="51">
        <v>2372.4699999999998</v>
      </c>
      <c r="M152" s="51">
        <v>2326.98</v>
      </c>
      <c r="N152" s="51">
        <v>2313.96</v>
      </c>
      <c r="O152" s="51">
        <v>2318.25</v>
      </c>
      <c r="P152" s="51">
        <v>2327.08</v>
      </c>
      <c r="Q152" s="72">
        <f>IF((P153=""),"",MAX(D154:P154))</f>
        <v>1791.7000000000003</v>
      </c>
      <c r="R152" s="72">
        <f>IF(P153="","",MIN(D154:P154))</f>
        <v>1737.0399999999995</v>
      </c>
      <c r="S152" s="72">
        <f>IF((P154=""),"",AVERAGE(D154:P154))</f>
        <v>1775.621538461538</v>
      </c>
      <c r="T152" s="72">
        <f>IF((P153=""),"",STDEV(D154:P154))</f>
        <v>14.84860815371491</v>
      </c>
      <c r="U152" s="99">
        <f>IF((P153=""),"",((Q152-R152)/(Q152+R152))*100)</f>
        <v>1.5489948253484465</v>
      </c>
      <c r="V152" s="73" t="str">
        <f>IF(P153="","",IF(U152&lt;7.2,IF(S152&gt;1700,IF(S152&lt;2100,"Pass","Fail"),"Fail"),"Fail"))</f>
        <v>Pass</v>
      </c>
      <c r="W152" s="74">
        <v>1340</v>
      </c>
      <c r="X152" s="347"/>
      <c r="Z152" s="75">
        <v>1600</v>
      </c>
      <c r="AA152" s="75">
        <v>2600</v>
      </c>
      <c r="AB152" s="76">
        <v>1700</v>
      </c>
      <c r="AC152" s="76">
        <v>2100</v>
      </c>
      <c r="AD152" s="69">
        <v>10</v>
      </c>
      <c r="AE152" s="69">
        <v>7.2</v>
      </c>
    </row>
    <row r="153" spans="1:31" ht="16.100000000000001" x14ac:dyDescent="0.35">
      <c r="A153"/>
      <c r="B153" s="66"/>
      <c r="C153" s="66" t="s">
        <v>78</v>
      </c>
      <c r="D153" s="51">
        <v>1528.91</v>
      </c>
      <c r="E153" s="51">
        <v>1429.67</v>
      </c>
      <c r="F153" s="51">
        <v>1413.85</v>
      </c>
      <c r="G153" s="51">
        <v>1414.1</v>
      </c>
      <c r="H153" s="51">
        <v>1504.15</v>
      </c>
      <c r="I153" s="51">
        <v>1493.23</v>
      </c>
      <c r="J153" s="51">
        <v>1419.89</v>
      </c>
      <c r="K153" s="51">
        <v>1424.21</v>
      </c>
      <c r="L153" s="51">
        <v>1503.95</v>
      </c>
      <c r="M153" s="51">
        <v>1437.02</v>
      </c>
      <c r="N153" s="51">
        <v>1418.11</v>
      </c>
      <c r="O153" s="51">
        <v>1423.61</v>
      </c>
      <c r="P153" s="51">
        <v>1437.77</v>
      </c>
      <c r="Q153" s="66"/>
      <c r="R153" s="66"/>
      <c r="S153" s="66"/>
      <c r="T153" s="66"/>
      <c r="U153" s="100"/>
      <c r="V153" s="77"/>
      <c r="W153" s="78"/>
      <c r="X153" s="347"/>
    </row>
    <row r="154" spans="1:31" ht="58.15" thickBot="1" x14ac:dyDescent="0.4">
      <c r="A154"/>
      <c r="B154" s="79"/>
      <c r="C154" s="79" t="s">
        <v>79</v>
      </c>
      <c r="D154" s="80">
        <f t="shared" ref="D154:P154" si="47">IF(((D152="")*AND(D153="")),"",(D152-D153)*2)</f>
        <v>1765.0399999999995</v>
      </c>
      <c r="E154" s="80">
        <f t="shared" si="47"/>
        <v>1780.5</v>
      </c>
      <c r="F154" s="80">
        <f t="shared" si="47"/>
        <v>1783.92</v>
      </c>
      <c r="G154" s="80">
        <f t="shared" si="47"/>
        <v>1788.04</v>
      </c>
      <c r="H154" s="80">
        <f t="shared" si="47"/>
        <v>1761.46</v>
      </c>
      <c r="I154" s="80">
        <f t="shared" si="47"/>
        <v>1769.3000000000002</v>
      </c>
      <c r="J154" s="80">
        <f t="shared" si="47"/>
        <v>1784.6399999999999</v>
      </c>
      <c r="K154" s="80">
        <f t="shared" si="47"/>
        <v>1773.62</v>
      </c>
      <c r="L154" s="80">
        <f t="shared" si="47"/>
        <v>1737.0399999999995</v>
      </c>
      <c r="M154" s="80">
        <f t="shared" si="47"/>
        <v>1779.92</v>
      </c>
      <c r="N154" s="80">
        <f t="shared" si="47"/>
        <v>1791.7000000000003</v>
      </c>
      <c r="O154" s="80">
        <f t="shared" si="47"/>
        <v>1789.2800000000002</v>
      </c>
      <c r="P154" s="80">
        <f t="shared" si="47"/>
        <v>1778.62</v>
      </c>
      <c r="Q154" s="90"/>
      <c r="R154" s="79"/>
      <c r="S154" s="79"/>
      <c r="T154" s="79"/>
      <c r="U154" s="101"/>
      <c r="V154" s="81"/>
      <c r="W154" s="82"/>
      <c r="X154" s="347"/>
    </row>
    <row r="155" spans="1:31" x14ac:dyDescent="0.3">
      <c r="A155" s="70">
        <v>43367</v>
      </c>
      <c r="B155" s="71" t="s">
        <v>76</v>
      </c>
      <c r="C155" s="72" t="s">
        <v>77</v>
      </c>
      <c r="D155" s="51">
        <v>2420.2600000000002</v>
      </c>
      <c r="E155" s="51">
        <v>2329.7800000000002</v>
      </c>
      <c r="F155" s="51">
        <v>2313.59</v>
      </c>
      <c r="G155" s="51">
        <v>2315.14</v>
      </c>
      <c r="H155" s="51">
        <v>2380.8200000000002</v>
      </c>
      <c r="I155" s="51">
        <v>2381.09</v>
      </c>
      <c r="J155" s="51">
        <v>2319.0500000000002</v>
      </c>
      <c r="K155" s="51">
        <v>2323</v>
      </c>
      <c r="L155" s="51">
        <v>2392.2600000000002</v>
      </c>
      <c r="M155" s="51">
        <v>2333.0300000000002</v>
      </c>
      <c r="N155" s="51">
        <v>2323.42</v>
      </c>
      <c r="O155" s="51">
        <v>2324.0700000000002</v>
      </c>
      <c r="P155" s="51">
        <v>2339.98</v>
      </c>
      <c r="Q155" s="72">
        <f>IF((P156=""),"",MAX(D157:P157))</f>
        <v>1988.2200000000003</v>
      </c>
      <c r="R155" s="72">
        <f>IF(P156="","",MIN(D157:P157))</f>
        <v>1890.8000000000006</v>
      </c>
      <c r="S155" s="72">
        <f>IF((P157=""),"",AVERAGE(D157:P157))</f>
        <v>1964.7707692307695</v>
      </c>
      <c r="T155" s="72">
        <f>IF((P156=""),"",STDEV(D157:P157))</f>
        <v>30.70726148148513</v>
      </c>
      <c r="U155" s="99">
        <f>IF((P156=""),"",((Q155-R155)/(Q155+R155))*100)</f>
        <v>2.5114590798706788</v>
      </c>
      <c r="V155" s="73" t="str">
        <f>IF(P156="","",IF(U155&lt;7.2,IF(S155&gt;1700,IF(S155&lt;2100,"Pass","Fail"),"Fail"),"Fail"))</f>
        <v>Pass</v>
      </c>
      <c r="W155" s="74">
        <v>1340</v>
      </c>
      <c r="X155" s="347"/>
      <c r="Z155" s="75">
        <v>1600</v>
      </c>
      <c r="AA155" s="75">
        <v>2600</v>
      </c>
      <c r="AB155" s="76">
        <v>1700</v>
      </c>
      <c r="AC155" s="76">
        <v>2100</v>
      </c>
      <c r="AD155" s="69">
        <v>10</v>
      </c>
      <c r="AE155" s="69">
        <v>7.2</v>
      </c>
    </row>
    <row r="156" spans="1:31" ht="16.100000000000001" x14ac:dyDescent="0.35">
      <c r="A156"/>
      <c r="B156" s="66"/>
      <c r="C156" s="66" t="s">
        <v>78</v>
      </c>
      <c r="D156" s="51">
        <v>1466.06</v>
      </c>
      <c r="E156" s="51">
        <v>1342.05</v>
      </c>
      <c r="F156" s="51">
        <v>1325.71</v>
      </c>
      <c r="G156" s="51">
        <v>1322.85</v>
      </c>
      <c r="H156" s="51">
        <v>1394.68</v>
      </c>
      <c r="I156" s="51">
        <v>1405.8</v>
      </c>
      <c r="J156" s="51">
        <v>1330.03</v>
      </c>
      <c r="K156" s="51">
        <v>1330.11</v>
      </c>
      <c r="L156" s="51">
        <v>1446.86</v>
      </c>
      <c r="M156" s="51">
        <v>1347.87</v>
      </c>
      <c r="N156" s="51">
        <v>1329.31</v>
      </c>
      <c r="O156" s="51">
        <v>1330.83</v>
      </c>
      <c r="P156" s="51">
        <v>1352.32</v>
      </c>
      <c r="Q156" s="66"/>
      <c r="R156" s="66"/>
      <c r="S156" s="66"/>
      <c r="T156" s="66"/>
      <c r="U156" s="100"/>
      <c r="V156" s="77"/>
      <c r="W156" s="78"/>
      <c r="X156" s="347"/>
    </row>
    <row r="157" spans="1:31" ht="58.15" thickBot="1" x14ac:dyDescent="0.4">
      <c r="A157"/>
      <c r="B157" s="79"/>
      <c r="C157" s="79" t="s">
        <v>79</v>
      </c>
      <c r="D157" s="80">
        <f t="shared" ref="D157:P157" si="48">IF(((D155="")*AND(D156="")),"",(D155-D156)*2)</f>
        <v>1908.4000000000005</v>
      </c>
      <c r="E157" s="80">
        <f t="shared" si="48"/>
        <v>1975.4600000000005</v>
      </c>
      <c r="F157" s="80">
        <f t="shared" si="48"/>
        <v>1975.7600000000002</v>
      </c>
      <c r="G157" s="80">
        <f t="shared" si="48"/>
        <v>1984.58</v>
      </c>
      <c r="H157" s="80">
        <f t="shared" si="48"/>
        <v>1972.2800000000002</v>
      </c>
      <c r="I157" s="80">
        <f t="shared" si="48"/>
        <v>1950.5800000000004</v>
      </c>
      <c r="J157" s="80">
        <f t="shared" si="48"/>
        <v>1978.0400000000004</v>
      </c>
      <c r="K157" s="80">
        <f t="shared" si="48"/>
        <v>1985.7800000000002</v>
      </c>
      <c r="L157" s="80">
        <f t="shared" si="48"/>
        <v>1890.8000000000006</v>
      </c>
      <c r="M157" s="80">
        <f t="shared" si="48"/>
        <v>1970.3200000000006</v>
      </c>
      <c r="N157" s="80">
        <f t="shared" si="48"/>
        <v>1988.2200000000003</v>
      </c>
      <c r="O157" s="80">
        <f t="shared" si="48"/>
        <v>1986.4800000000005</v>
      </c>
      <c r="P157" s="80">
        <f t="shared" si="48"/>
        <v>1975.3200000000002</v>
      </c>
      <c r="Q157" s="90"/>
      <c r="R157" s="79"/>
      <c r="S157" s="79"/>
      <c r="T157" s="79"/>
      <c r="U157" s="101"/>
      <c r="V157" s="81"/>
      <c r="W157" s="82"/>
      <c r="X157" s="347"/>
    </row>
    <row r="158" spans="1:31" x14ac:dyDescent="0.3">
      <c r="A158" s="70">
        <v>43370</v>
      </c>
      <c r="B158" s="71" t="s">
        <v>76</v>
      </c>
      <c r="C158" s="72" t="s">
        <v>77</v>
      </c>
      <c r="D158" s="51">
        <v>2416.54</v>
      </c>
      <c r="E158" s="51">
        <v>2327.41</v>
      </c>
      <c r="F158" s="51">
        <v>2310.88</v>
      </c>
      <c r="G158" s="51">
        <v>2314.6799999999998</v>
      </c>
      <c r="H158" s="51">
        <v>2384.21</v>
      </c>
      <c r="I158" s="51">
        <v>2384.44</v>
      </c>
      <c r="J158" s="51">
        <v>2316.04</v>
      </c>
      <c r="K158" s="51">
        <v>2319.36</v>
      </c>
      <c r="L158" s="51">
        <v>2383.7199999999998</v>
      </c>
      <c r="M158" s="51">
        <v>2332.89</v>
      </c>
      <c r="N158" s="51">
        <v>2320.02</v>
      </c>
      <c r="O158" s="51">
        <v>2324.34</v>
      </c>
      <c r="P158" s="51">
        <v>2336.13</v>
      </c>
      <c r="Q158" s="72">
        <f>IF((P159=""),"",MAX(D160:P160))</f>
        <v>2074.06</v>
      </c>
      <c r="R158" s="72">
        <f>IF(P159="","",MIN(D160:P160))</f>
        <v>1952.0199999999995</v>
      </c>
      <c r="S158" s="72">
        <f>IF((P160=""),"",AVERAGE(D160:P160))</f>
        <v>2039.7584615384617</v>
      </c>
      <c r="T158" s="72">
        <f>IF((P159=""),"",STDEV(D160:P160))</f>
        <v>35.031053330379677</v>
      </c>
      <c r="U158" s="99">
        <f>IF((P159=""),"",((Q158-R158)/(Q158+R158))*100)</f>
        <v>3.0312363390692791</v>
      </c>
      <c r="V158" s="73" t="str">
        <f>IF(P159="","",IF(U158&lt;7.2,IF(S158&gt;1700,IF(S158&lt;2100,"Pass","Fail"),"Fail"),"Fail"))</f>
        <v>Pass</v>
      </c>
      <c r="W158" s="74">
        <v>1340</v>
      </c>
      <c r="X158" s="347"/>
      <c r="Z158" s="75">
        <v>1600</v>
      </c>
      <c r="AA158" s="75">
        <v>2600</v>
      </c>
      <c r="AB158" s="76">
        <v>1700</v>
      </c>
      <c r="AC158" s="76">
        <v>2100</v>
      </c>
      <c r="AD158" s="69">
        <v>10</v>
      </c>
      <c r="AE158" s="69">
        <v>7.2</v>
      </c>
    </row>
    <row r="159" spans="1:31" ht="16.100000000000001" x14ac:dyDescent="0.35">
      <c r="A159"/>
      <c r="B159" s="66"/>
      <c r="C159" s="66" t="s">
        <v>78</v>
      </c>
      <c r="D159" s="51">
        <v>1424.57</v>
      </c>
      <c r="E159" s="51">
        <v>1305.4100000000001</v>
      </c>
      <c r="F159" s="51">
        <v>1285.3599999999999</v>
      </c>
      <c r="G159" s="51">
        <v>1280.9100000000001</v>
      </c>
      <c r="H159" s="51">
        <v>1357.12</v>
      </c>
      <c r="I159" s="51">
        <v>1372.91</v>
      </c>
      <c r="J159" s="51">
        <v>1293.96</v>
      </c>
      <c r="K159" s="51">
        <v>1292.1199999999999</v>
      </c>
      <c r="L159" s="51">
        <v>1407.71</v>
      </c>
      <c r="M159" s="51">
        <v>1306.3800000000001</v>
      </c>
      <c r="N159" s="51">
        <v>1282.99</v>
      </c>
      <c r="O159" s="51">
        <v>1289.6099999999999</v>
      </c>
      <c r="P159" s="51">
        <v>1313.18</v>
      </c>
      <c r="Q159" s="66"/>
      <c r="R159" s="66"/>
      <c r="S159" s="66"/>
      <c r="T159" s="66"/>
      <c r="U159" s="100"/>
      <c r="V159" s="77"/>
      <c r="W159" s="78"/>
      <c r="X159" s="347"/>
      <c r="Z159" s="75">
        <v>1600</v>
      </c>
      <c r="AA159" s="75">
        <v>2600</v>
      </c>
      <c r="AB159" s="76">
        <v>1700</v>
      </c>
      <c r="AC159" s="76">
        <v>2100</v>
      </c>
      <c r="AD159" s="69">
        <v>10</v>
      </c>
      <c r="AE159" s="69">
        <v>7.2</v>
      </c>
    </row>
    <row r="160" spans="1:31" ht="58.15" thickBot="1" x14ac:dyDescent="0.4">
      <c r="A160"/>
      <c r="B160" s="79"/>
      <c r="C160" s="79" t="s">
        <v>79</v>
      </c>
      <c r="D160" s="80">
        <f t="shared" ref="D160:P160" si="49">IF(((D158="")*AND(D159="")),"",(D158-D159)*2)</f>
        <v>1983.94</v>
      </c>
      <c r="E160" s="80">
        <f t="shared" si="49"/>
        <v>2043.9999999999995</v>
      </c>
      <c r="F160" s="80">
        <f t="shared" si="49"/>
        <v>2051.0400000000004</v>
      </c>
      <c r="G160" s="80">
        <f t="shared" si="49"/>
        <v>2067.5399999999995</v>
      </c>
      <c r="H160" s="80">
        <f t="shared" si="49"/>
        <v>2054.1800000000003</v>
      </c>
      <c r="I160" s="80">
        <f t="shared" si="49"/>
        <v>2023.06</v>
      </c>
      <c r="J160" s="80">
        <f t="shared" si="49"/>
        <v>2044.1599999999999</v>
      </c>
      <c r="K160" s="80">
        <f t="shared" si="49"/>
        <v>2054.4800000000005</v>
      </c>
      <c r="L160" s="80">
        <f t="shared" si="49"/>
        <v>1952.0199999999995</v>
      </c>
      <c r="M160" s="80">
        <f t="shared" si="49"/>
        <v>2053.0199999999995</v>
      </c>
      <c r="N160" s="80">
        <f t="shared" si="49"/>
        <v>2074.06</v>
      </c>
      <c r="O160" s="80">
        <f t="shared" si="49"/>
        <v>2069.4600000000005</v>
      </c>
      <c r="P160" s="80">
        <f t="shared" si="49"/>
        <v>2045.9</v>
      </c>
      <c r="Q160" s="90"/>
      <c r="R160" s="79"/>
      <c r="S160" s="79"/>
      <c r="T160" s="79"/>
      <c r="U160" s="101"/>
      <c r="V160" s="81"/>
      <c r="W160" s="82"/>
      <c r="X160" s="347"/>
    </row>
    <row r="161" spans="1:31" x14ac:dyDescent="0.3">
      <c r="A161" s="70">
        <v>43370</v>
      </c>
      <c r="B161" s="71" t="s">
        <v>76</v>
      </c>
      <c r="C161" s="72" t="s">
        <v>77</v>
      </c>
      <c r="D161" s="51">
        <v>1469.36</v>
      </c>
      <c r="E161" s="51">
        <v>1318.91</v>
      </c>
      <c r="F161" s="51">
        <v>1279.5</v>
      </c>
      <c r="G161" s="51">
        <v>1278.68</v>
      </c>
      <c r="H161" s="51">
        <v>1391.74</v>
      </c>
      <c r="I161" s="51">
        <v>1402.55</v>
      </c>
      <c r="J161" s="51">
        <v>1294.75</v>
      </c>
      <c r="K161" s="51">
        <v>1302.33</v>
      </c>
      <c r="L161" s="51">
        <v>1279.5</v>
      </c>
      <c r="M161" s="51">
        <v>1278.68</v>
      </c>
      <c r="N161" s="51">
        <v>1391.74</v>
      </c>
      <c r="O161" s="51">
        <v>1402.55</v>
      </c>
      <c r="P161" s="51">
        <v>1451.86</v>
      </c>
      <c r="Q161" s="72">
        <f>IF((P162=""),"",MAX(D163:P163))</f>
        <v>2071.9800000000005</v>
      </c>
      <c r="R161" s="72">
        <f>IF(P162="","",MIN(D163:P163))</f>
        <v>1917.7499999999995</v>
      </c>
      <c r="S161" s="72">
        <f>IF((P163=""),"",AVERAGE(D163:P163))</f>
        <v>2023.7100000000003</v>
      </c>
      <c r="T161" s="72">
        <f>IF((P162=""),"",STDEV(D163:P163))</f>
        <v>46.750618177731319</v>
      </c>
      <c r="U161" s="99">
        <f>IF((P162=""),"",((Q161-R161)/(Q161+R161))*100)</f>
        <v>3.8656751208728641</v>
      </c>
      <c r="V161" s="73" t="str">
        <f>IF(P162="","",IF(U161&lt;7.2,IF(S161&gt;1700,IF(S161&lt;2100,"Pass","Fail"),"Fail"),"Fail"))</f>
        <v>Pass</v>
      </c>
      <c r="W161" s="74">
        <v>1340</v>
      </c>
      <c r="X161" s="347"/>
      <c r="Z161" s="75">
        <v>1600</v>
      </c>
      <c r="AA161" s="75">
        <v>2600</v>
      </c>
      <c r="AB161" s="76">
        <v>1700</v>
      </c>
      <c r="AC161" s="76">
        <v>2100</v>
      </c>
      <c r="AD161" s="69">
        <v>10</v>
      </c>
      <c r="AE161" s="69">
        <v>7.2</v>
      </c>
    </row>
    <row r="162" spans="1:31" ht="16.100000000000001" x14ac:dyDescent="0.35">
      <c r="A162"/>
      <c r="B162" s="66"/>
      <c r="C162" s="66" t="s">
        <v>78</v>
      </c>
      <c r="D162" s="51">
        <v>804.52</v>
      </c>
      <c r="E162" s="51">
        <v>633.6</v>
      </c>
      <c r="F162" s="51">
        <v>596.01</v>
      </c>
      <c r="G162" s="51">
        <v>588.02</v>
      </c>
      <c r="H162" s="51">
        <v>733.69</v>
      </c>
      <c r="I162" s="51">
        <v>729.74</v>
      </c>
      <c r="J162" s="51">
        <v>607.48</v>
      </c>
      <c r="K162" s="51">
        <v>619.61</v>
      </c>
      <c r="L162" s="51">
        <v>596.01</v>
      </c>
      <c r="M162" s="51">
        <v>588.02</v>
      </c>
      <c r="N162" s="51">
        <v>733.69</v>
      </c>
      <c r="O162" s="51">
        <v>729.74</v>
      </c>
      <c r="P162" s="51">
        <v>812.61</v>
      </c>
      <c r="Q162" s="66"/>
      <c r="R162" s="66"/>
      <c r="S162" s="66"/>
      <c r="T162" s="66"/>
      <c r="U162" s="100"/>
      <c r="V162" s="77"/>
      <c r="W162" s="78"/>
      <c r="X162" s="347"/>
      <c r="Z162" s="75">
        <v>1600</v>
      </c>
      <c r="AA162" s="75">
        <v>2600</v>
      </c>
      <c r="AB162" s="76">
        <v>1700</v>
      </c>
      <c r="AC162" s="76">
        <v>2100</v>
      </c>
      <c r="AD162" s="69">
        <v>10</v>
      </c>
      <c r="AE162" s="69">
        <v>7.2</v>
      </c>
    </row>
    <row r="163" spans="1:31" ht="58.15" thickBot="1" x14ac:dyDescent="0.4">
      <c r="A163"/>
      <c r="B163" s="79"/>
      <c r="C163" s="79" t="s">
        <v>79</v>
      </c>
      <c r="D163" s="80">
        <f>IF(((D161="")*AND(D162="")),"",(D161-D162)*3)</f>
        <v>1994.5199999999998</v>
      </c>
      <c r="E163" s="80">
        <f t="shared" ref="E163:N163" si="50">IF(((E161="")*AND(E162="")),"",(E161-E162)*3)</f>
        <v>2055.9300000000003</v>
      </c>
      <c r="F163" s="80">
        <f t="shared" si="50"/>
        <v>2050.4700000000003</v>
      </c>
      <c r="G163" s="80">
        <f t="shared" si="50"/>
        <v>2071.9800000000005</v>
      </c>
      <c r="H163" s="80">
        <f t="shared" si="50"/>
        <v>1974.1499999999999</v>
      </c>
      <c r="I163" s="80">
        <f t="shared" si="50"/>
        <v>2018.4299999999998</v>
      </c>
      <c r="J163" s="80">
        <f t="shared" si="50"/>
        <v>2061.81</v>
      </c>
      <c r="K163" s="80">
        <f t="shared" si="50"/>
        <v>2048.16</v>
      </c>
      <c r="L163" s="80">
        <f t="shared" si="50"/>
        <v>2050.4700000000003</v>
      </c>
      <c r="M163" s="80">
        <f t="shared" si="50"/>
        <v>2071.9800000000005</v>
      </c>
      <c r="N163" s="80">
        <f t="shared" si="50"/>
        <v>1974.1499999999999</v>
      </c>
      <c r="O163" s="80">
        <f>IF(((O161="")*AND(O162="")),"",(O161-O162)*3)</f>
        <v>2018.4299999999998</v>
      </c>
      <c r="P163" s="80">
        <f>IF(((P161="")*AND(P162="")),"",(P161-P162)*3)</f>
        <v>1917.7499999999995</v>
      </c>
      <c r="Q163" s="90"/>
      <c r="R163" s="79"/>
      <c r="S163" s="79"/>
      <c r="T163" s="79"/>
      <c r="U163" s="101"/>
      <c r="V163" s="81"/>
      <c r="W163" s="82"/>
      <c r="X163" s="347"/>
    </row>
    <row r="164" spans="1:31" x14ac:dyDescent="0.3">
      <c r="A164" s="70">
        <v>43378</v>
      </c>
      <c r="B164" s="71" t="s">
        <v>76</v>
      </c>
      <c r="C164" s="72" t="s">
        <v>77</v>
      </c>
      <c r="D164" s="51">
        <v>2426.7600000000002</v>
      </c>
      <c r="E164" s="51">
        <v>2332.8000000000002</v>
      </c>
      <c r="F164" s="51">
        <v>2318.02</v>
      </c>
      <c r="G164" s="51">
        <v>2319.7600000000002</v>
      </c>
      <c r="H164" s="51">
        <v>2392.25</v>
      </c>
      <c r="I164" s="51">
        <v>2390.48</v>
      </c>
      <c r="J164" s="51">
        <v>2323.9299999999998</v>
      </c>
      <c r="K164" s="51">
        <v>2325.37</v>
      </c>
      <c r="L164" s="51">
        <v>2382.5700000000002</v>
      </c>
      <c r="M164" s="51">
        <v>2340.65</v>
      </c>
      <c r="N164" s="51">
        <v>2326.7800000000002</v>
      </c>
      <c r="O164" s="51">
        <v>2327.4699999999998</v>
      </c>
      <c r="P164" s="51">
        <v>2339.91</v>
      </c>
      <c r="Q164" s="72">
        <f>IF((P165=""),"",MAX(D166:P166))</f>
        <v>3011.55</v>
      </c>
      <c r="R164" s="72">
        <f>IF(P165="","",MIN(D166:P166))</f>
        <v>2837.79</v>
      </c>
      <c r="S164" s="72">
        <f>IF((P166=""),"",AVERAGE(D166:P166))</f>
        <v>2964.2999999999997</v>
      </c>
      <c r="T164" s="72">
        <f>IF((P165=""),"",STDEV(D166:P166))</f>
        <v>47.756565517214419</v>
      </c>
      <c r="U164" s="99">
        <f>IF((P165=""),"",((Q164-R164)/(Q164+R164))*100)</f>
        <v>2.9705915539189074</v>
      </c>
      <c r="V164" s="73" t="str">
        <f>IF(P165="","",IF(U164&lt;7.2,IF(S164&gt;1700,IF(S164&lt;2100,"Pass","Fail"),"Fail"),"Fail"))</f>
        <v>Fail</v>
      </c>
      <c r="W164" s="74">
        <v>1340</v>
      </c>
      <c r="X164" s="347"/>
      <c r="Z164" s="75">
        <v>1600</v>
      </c>
      <c r="AA164" s="75">
        <v>2600</v>
      </c>
      <c r="AB164" s="76">
        <v>1700</v>
      </c>
      <c r="AC164" s="76">
        <v>2100</v>
      </c>
      <c r="AD164" s="69">
        <v>10</v>
      </c>
      <c r="AE164" s="69">
        <v>7.2</v>
      </c>
    </row>
    <row r="165" spans="1:31" ht="16.100000000000001" x14ac:dyDescent="0.35">
      <c r="A165"/>
      <c r="B165" s="66"/>
      <c r="C165" s="66" t="s">
        <v>78</v>
      </c>
      <c r="D165" s="51">
        <v>1459.68</v>
      </c>
      <c r="E165" s="51">
        <v>1338.8</v>
      </c>
      <c r="F165" s="51">
        <v>1325.39</v>
      </c>
      <c r="G165" s="51">
        <v>1319.38</v>
      </c>
      <c r="H165" s="51">
        <v>1410.86</v>
      </c>
      <c r="I165" s="51">
        <v>1407.45</v>
      </c>
      <c r="J165" s="51">
        <v>1330.11</v>
      </c>
      <c r="K165" s="51">
        <v>1328.02</v>
      </c>
      <c r="L165" s="51">
        <v>1436.64</v>
      </c>
      <c r="M165" s="51">
        <v>1346.13</v>
      </c>
      <c r="N165" s="51">
        <v>1322.93</v>
      </c>
      <c r="O165" s="51">
        <v>1328.49</v>
      </c>
      <c r="P165" s="51">
        <v>1347.57</v>
      </c>
      <c r="Q165" s="66"/>
      <c r="R165" s="66"/>
      <c r="S165" s="66"/>
      <c r="T165" s="66"/>
      <c r="U165" s="100"/>
      <c r="V165" s="77"/>
      <c r="W165" s="78"/>
      <c r="X165" s="347"/>
      <c r="Z165" s="75">
        <v>1600</v>
      </c>
      <c r="AA165" s="75">
        <v>2600</v>
      </c>
      <c r="AB165" s="76">
        <v>1700</v>
      </c>
      <c r="AC165" s="76">
        <v>2100</v>
      </c>
      <c r="AD165" s="69">
        <v>10</v>
      </c>
      <c r="AE165" s="69">
        <v>7.2</v>
      </c>
    </row>
    <row r="166" spans="1:31" ht="58.15" thickBot="1" x14ac:dyDescent="0.4">
      <c r="A166"/>
      <c r="B166" s="79"/>
      <c r="C166" s="79" t="s">
        <v>79</v>
      </c>
      <c r="D166" s="80">
        <f>IF(((D164="")*AND(D165="")),"",(D164-D165)*3)</f>
        <v>2901.2400000000007</v>
      </c>
      <c r="E166" s="80">
        <f t="shared" ref="E166:N166" si="51">IF(((E164="")*AND(E165="")),"",(E164-E165)*3)</f>
        <v>2982.0000000000009</v>
      </c>
      <c r="F166" s="80">
        <f t="shared" si="51"/>
        <v>2977.8899999999994</v>
      </c>
      <c r="G166" s="80">
        <f t="shared" si="51"/>
        <v>3001.1400000000003</v>
      </c>
      <c r="H166" s="80">
        <f t="shared" si="51"/>
        <v>2944.17</v>
      </c>
      <c r="I166" s="80">
        <f t="shared" si="51"/>
        <v>2949.09</v>
      </c>
      <c r="J166" s="80">
        <f t="shared" si="51"/>
        <v>2981.46</v>
      </c>
      <c r="K166" s="80">
        <f t="shared" si="51"/>
        <v>2992.0499999999997</v>
      </c>
      <c r="L166" s="80">
        <f t="shared" si="51"/>
        <v>2837.79</v>
      </c>
      <c r="M166" s="80">
        <f t="shared" si="51"/>
        <v>2983.56</v>
      </c>
      <c r="N166" s="80">
        <f t="shared" si="51"/>
        <v>3011.55</v>
      </c>
      <c r="O166" s="80">
        <f>IF(((O164="")*AND(O165="")),"",(O164-O165)*3)</f>
        <v>2996.9399999999996</v>
      </c>
      <c r="P166" s="80">
        <f>IF(((P164="")*AND(P165="")),"",(P164-P165)*3)</f>
        <v>2977.0199999999995</v>
      </c>
      <c r="Q166" s="90"/>
      <c r="R166" s="79"/>
      <c r="S166" s="79"/>
      <c r="T166" s="79"/>
      <c r="U166" s="101"/>
      <c r="V166" s="81"/>
      <c r="W166" s="82"/>
      <c r="X166" s="347"/>
    </row>
    <row r="167" spans="1:31" x14ac:dyDescent="0.3">
      <c r="A167" s="70">
        <v>43378</v>
      </c>
      <c r="B167" s="71" t="s">
        <v>76</v>
      </c>
      <c r="C167" s="72" t="s">
        <v>77</v>
      </c>
      <c r="D167" s="51">
        <v>2961.61</v>
      </c>
      <c r="E167" s="51">
        <v>2846.67</v>
      </c>
      <c r="F167" s="51">
        <v>2833.08</v>
      </c>
      <c r="G167" s="51">
        <v>2834.82</v>
      </c>
      <c r="H167" s="51">
        <v>2917.34</v>
      </c>
      <c r="I167" s="51">
        <v>2894.96</v>
      </c>
      <c r="J167" s="51">
        <v>2840.49</v>
      </c>
      <c r="K167" s="51">
        <v>2839.33</v>
      </c>
      <c r="L167" s="51">
        <v>2922.89</v>
      </c>
      <c r="M167" s="51">
        <v>2855</v>
      </c>
      <c r="N167" s="51">
        <v>2843.87</v>
      </c>
      <c r="O167" s="51">
        <v>2831.31</v>
      </c>
      <c r="P167" s="51">
        <v>2864.25</v>
      </c>
      <c r="Q167" s="72">
        <f>IF((P168=""),"",MAX(D169:P169))</f>
        <v>2058.54</v>
      </c>
      <c r="R167" s="72">
        <f>IF(P168="","",MIN(D169:P169))</f>
        <v>1991.3799999999997</v>
      </c>
      <c r="S167" s="72">
        <f>IF((P169=""),"",AVERAGE(D169:P169))</f>
        <v>2041.2907692307692</v>
      </c>
      <c r="T167" s="72">
        <f>IF((P168=""),"",STDEV(D169:P169))</f>
        <v>17.257092484704508</v>
      </c>
      <c r="U167" s="99">
        <f>IF((P168=""),"",((Q167-R167)/(Q167+R167))*100)</f>
        <v>1.6583043615676436</v>
      </c>
      <c r="V167" s="73" t="str">
        <f>IF(P168="","",IF(U167&lt;7.2,IF(S167&gt;1700,IF(S167&lt;2100,"Pass","Fail"),"Fail"),"Fail"))</f>
        <v>Pass</v>
      </c>
      <c r="W167" s="74">
        <v>1340</v>
      </c>
      <c r="X167" s="347"/>
      <c r="Z167" s="75">
        <v>1600</v>
      </c>
      <c r="AA167" s="75">
        <v>2600</v>
      </c>
      <c r="AB167" s="76">
        <v>1700</v>
      </c>
      <c r="AC167" s="76">
        <v>2100</v>
      </c>
      <c r="AD167" s="69">
        <v>10</v>
      </c>
      <c r="AE167" s="69">
        <v>7.2</v>
      </c>
    </row>
    <row r="168" spans="1:31" ht="16.100000000000001" x14ac:dyDescent="0.35">
      <c r="A168"/>
      <c r="B168" s="66"/>
      <c r="C168" s="66" t="s">
        <v>78</v>
      </c>
      <c r="D168" s="51">
        <v>1940.55</v>
      </c>
      <c r="E168" s="51">
        <v>1825.72</v>
      </c>
      <c r="F168" s="51">
        <v>1815.92</v>
      </c>
      <c r="G168" s="51">
        <v>1806.28</v>
      </c>
      <c r="H168" s="51">
        <v>1891.88</v>
      </c>
      <c r="I168" s="51">
        <v>1873.41</v>
      </c>
      <c r="J168" s="51">
        <v>1817.95</v>
      </c>
      <c r="K168" s="51">
        <v>1820.37</v>
      </c>
      <c r="L168" s="51">
        <v>1927.2</v>
      </c>
      <c r="M168" s="51">
        <v>1832.44</v>
      </c>
      <c r="N168" s="51">
        <v>1814.6</v>
      </c>
      <c r="O168" s="51">
        <v>1802.59</v>
      </c>
      <c r="P168" s="51">
        <v>1848.32</v>
      </c>
      <c r="Q168" s="66"/>
      <c r="R168" s="66"/>
      <c r="S168" s="66"/>
      <c r="T168" s="66"/>
      <c r="U168" s="100"/>
      <c r="V168" s="77"/>
      <c r="W168" s="78"/>
      <c r="X168" s="347"/>
    </row>
    <row r="169" spans="1:31" ht="58.15" thickBot="1" x14ac:dyDescent="0.4">
      <c r="A169"/>
      <c r="B169" s="79"/>
      <c r="C169" s="79" t="s">
        <v>79</v>
      </c>
      <c r="D169" s="80">
        <f t="shared" ref="D169:P169" si="52">IF(((D167="")*AND(D168="")),"",(D167-D168)*2)</f>
        <v>2042.1200000000003</v>
      </c>
      <c r="E169" s="80">
        <f t="shared" si="52"/>
        <v>2041.9</v>
      </c>
      <c r="F169" s="80">
        <f t="shared" si="52"/>
        <v>2034.3199999999997</v>
      </c>
      <c r="G169" s="80">
        <f t="shared" si="52"/>
        <v>2057.0800000000004</v>
      </c>
      <c r="H169" s="80">
        <f t="shared" si="52"/>
        <v>2050.92</v>
      </c>
      <c r="I169" s="80">
        <f t="shared" si="52"/>
        <v>2043.1</v>
      </c>
      <c r="J169" s="80">
        <f t="shared" si="52"/>
        <v>2045.0799999999995</v>
      </c>
      <c r="K169" s="80">
        <f t="shared" si="52"/>
        <v>2037.92</v>
      </c>
      <c r="L169" s="80">
        <f t="shared" si="52"/>
        <v>1991.3799999999997</v>
      </c>
      <c r="M169" s="80">
        <f t="shared" si="52"/>
        <v>2045.12</v>
      </c>
      <c r="N169" s="80">
        <f t="shared" si="52"/>
        <v>2058.54</v>
      </c>
      <c r="O169" s="80">
        <f t="shared" si="52"/>
        <v>2057.44</v>
      </c>
      <c r="P169" s="80">
        <f t="shared" si="52"/>
        <v>2031.8600000000001</v>
      </c>
      <c r="Q169" s="90"/>
      <c r="R169" s="79"/>
      <c r="S169" s="79"/>
      <c r="T169" s="79"/>
      <c r="U169" s="101"/>
      <c r="V169" s="81"/>
      <c r="W169" s="82"/>
      <c r="X169" s="347"/>
    </row>
    <row r="170" spans="1:31" x14ac:dyDescent="0.3">
      <c r="A170" s="70">
        <v>43382</v>
      </c>
      <c r="B170" s="71" t="s">
        <v>76</v>
      </c>
      <c r="C170" s="72" t="s">
        <v>77</v>
      </c>
      <c r="D170" s="51">
        <v>2902.95</v>
      </c>
      <c r="E170" s="51">
        <v>2833.31</v>
      </c>
      <c r="F170" s="51">
        <v>2828.29</v>
      </c>
      <c r="G170" s="51">
        <v>2838.39</v>
      </c>
      <c r="H170" s="51">
        <v>2923.5</v>
      </c>
      <c r="I170" s="51">
        <v>2953.48</v>
      </c>
      <c r="J170" s="51">
        <v>2843.14</v>
      </c>
      <c r="K170" s="51">
        <v>2827.98</v>
      </c>
      <c r="L170" s="51">
        <v>2905.6</v>
      </c>
      <c r="M170" s="51">
        <v>2848.59</v>
      </c>
      <c r="N170" s="51">
        <v>2837.22</v>
      </c>
      <c r="O170" s="51">
        <v>2857.83</v>
      </c>
      <c r="P170" s="51">
        <v>2836.43</v>
      </c>
      <c r="Q170" s="72">
        <f>IF((P171=""),"",MAX(D172:P172))</f>
        <v>2058.2800000000002</v>
      </c>
      <c r="R170" s="72">
        <f>IF(P171="","",MIN(D172:P172))</f>
        <v>1963.8599999999997</v>
      </c>
      <c r="S170" s="72">
        <f>IF((P172=""),"",AVERAGE(D172:P172))</f>
        <v>2019.5430769230768</v>
      </c>
      <c r="T170" s="72">
        <f>IF((P171=""),"",STDEV(D172:P172))</f>
        <v>24.178225529256522</v>
      </c>
      <c r="U170" s="99">
        <f>IF((P171=""),"",((Q170-R170)/(Q170+R170))*100)</f>
        <v>2.3475065512389057</v>
      </c>
      <c r="V170" s="73" t="str">
        <f>IF(P171="","",IF(U170&lt;7.2,IF(S170&gt;1700,IF(S170&lt;2100,"Pass","Fail"),"Fail"),"Fail"))</f>
        <v>Pass</v>
      </c>
      <c r="W170" s="74">
        <v>1335</v>
      </c>
      <c r="X170" s="347"/>
      <c r="Z170" s="75">
        <v>1600</v>
      </c>
      <c r="AA170" s="75">
        <v>2600</v>
      </c>
      <c r="AB170" s="76">
        <v>1700</v>
      </c>
      <c r="AC170" s="76">
        <v>2100</v>
      </c>
      <c r="AD170" s="69">
        <v>10</v>
      </c>
      <c r="AE170" s="69">
        <v>7.2</v>
      </c>
    </row>
    <row r="171" spans="1:31" ht="16.100000000000001" x14ac:dyDescent="0.35">
      <c r="A171"/>
      <c r="B171" s="66"/>
      <c r="C171" s="66" t="s">
        <v>78</v>
      </c>
      <c r="D171" s="51">
        <v>1909.86</v>
      </c>
      <c r="E171" s="51">
        <v>1824.95</v>
      </c>
      <c r="F171" s="51">
        <v>1812.78</v>
      </c>
      <c r="G171" s="51">
        <v>1820.38</v>
      </c>
      <c r="H171" s="51">
        <v>1903.13</v>
      </c>
      <c r="I171" s="51">
        <v>1924.34</v>
      </c>
      <c r="J171" s="51">
        <v>1834.56</v>
      </c>
      <c r="K171" s="51">
        <v>1821.21</v>
      </c>
      <c r="L171" s="51">
        <v>1923.67</v>
      </c>
      <c r="M171" s="51">
        <v>1843.68</v>
      </c>
      <c r="N171" s="51">
        <v>1821.26</v>
      </c>
      <c r="O171" s="51">
        <v>1842.03</v>
      </c>
      <c r="P171" s="51">
        <v>1827.83</v>
      </c>
      <c r="Q171" s="66"/>
      <c r="R171" s="66"/>
      <c r="S171" s="66"/>
      <c r="T171" s="66"/>
      <c r="U171" s="100"/>
      <c r="V171" s="77"/>
      <c r="W171" s="78"/>
      <c r="X171" s="347"/>
    </row>
    <row r="172" spans="1:31" ht="58.15" thickBot="1" x14ac:dyDescent="0.4">
      <c r="A172"/>
      <c r="B172" s="79"/>
      <c r="C172" s="79" t="s">
        <v>79</v>
      </c>
      <c r="D172" s="80">
        <f t="shared" ref="D172:P172" si="53">IF(((D170="")*AND(D171="")),"",(D170-D171)*2)</f>
        <v>1986.1799999999998</v>
      </c>
      <c r="E172" s="80">
        <f t="shared" si="53"/>
        <v>2016.7199999999998</v>
      </c>
      <c r="F172" s="80">
        <f t="shared" si="53"/>
        <v>2031.02</v>
      </c>
      <c r="G172" s="80">
        <f t="shared" si="53"/>
        <v>2036.0199999999995</v>
      </c>
      <c r="H172" s="80">
        <f t="shared" si="53"/>
        <v>2040.7399999999998</v>
      </c>
      <c r="I172" s="80">
        <f t="shared" si="53"/>
        <v>2058.2800000000002</v>
      </c>
      <c r="J172" s="80">
        <f t="shared" si="53"/>
        <v>2017.1599999999999</v>
      </c>
      <c r="K172" s="80">
        <f t="shared" si="53"/>
        <v>2013.54</v>
      </c>
      <c r="L172" s="80">
        <f t="shared" si="53"/>
        <v>1963.8599999999997</v>
      </c>
      <c r="M172" s="80">
        <f t="shared" si="53"/>
        <v>2009.8200000000002</v>
      </c>
      <c r="N172" s="80">
        <f t="shared" si="53"/>
        <v>2031.9199999999996</v>
      </c>
      <c r="O172" s="80">
        <f t="shared" si="53"/>
        <v>2031.6</v>
      </c>
      <c r="P172" s="80">
        <f t="shared" si="53"/>
        <v>2017.1999999999998</v>
      </c>
      <c r="Q172" s="90"/>
      <c r="R172" s="79"/>
      <c r="S172" s="79"/>
      <c r="T172" s="79"/>
      <c r="U172" s="101"/>
      <c r="V172" s="81"/>
      <c r="W172" s="82"/>
      <c r="X172" s="347"/>
    </row>
    <row r="173" spans="1:31" ht="15.8" customHeight="1" x14ac:dyDescent="0.3">
      <c r="A173" s="70">
        <v>43385</v>
      </c>
      <c r="B173" s="71" t="s">
        <v>76</v>
      </c>
      <c r="C173" s="72" t="s">
        <v>77</v>
      </c>
      <c r="D173" s="51">
        <v>2916.15</v>
      </c>
      <c r="E173" s="51">
        <v>2841.62</v>
      </c>
      <c r="F173" s="51">
        <v>2836.57</v>
      </c>
      <c r="G173" s="51">
        <v>2849.75</v>
      </c>
      <c r="H173" s="51">
        <v>2933.36</v>
      </c>
      <c r="I173" s="51">
        <v>2962.64</v>
      </c>
      <c r="J173" s="51">
        <v>2854.05</v>
      </c>
      <c r="K173" s="51">
        <v>2838.77</v>
      </c>
      <c r="L173" s="51">
        <v>2907.59</v>
      </c>
      <c r="M173" s="51">
        <v>2860.68</v>
      </c>
      <c r="N173" s="51">
        <v>2848.39</v>
      </c>
      <c r="O173" s="51">
        <v>2867.63</v>
      </c>
      <c r="P173" s="51">
        <v>2846.05</v>
      </c>
      <c r="Q173" s="72">
        <f>IF((P174=""),"",MAX(D175:P175))</f>
        <v>2068.64</v>
      </c>
      <c r="R173" s="72">
        <f>IF(P174="","",MIN(D175:P175))</f>
        <v>1948.9800000000005</v>
      </c>
      <c r="S173" s="72">
        <f>IF((P175=""),"",AVERAGE(D175:P175))</f>
        <v>2024.3107692307692</v>
      </c>
      <c r="T173" s="72">
        <f>IF((P174=""),"",STDEV(D175:P175))</f>
        <v>30.978967720465381</v>
      </c>
      <c r="U173" s="99">
        <f>IF((P174=""),"",((Q173-R173)/(Q173+R173))*100)</f>
        <v>2.9783802350645252</v>
      </c>
      <c r="V173" s="73" t="str">
        <f>IF(P174="","",IF(U173&lt;7.2,IF(S173&gt;1700,IF(S173&lt;2100,"Pass","Fail"),"Fail"),"Fail"))</f>
        <v>Pass</v>
      </c>
      <c r="W173" s="74">
        <v>102</v>
      </c>
      <c r="X173" s="334" t="s">
        <v>93</v>
      </c>
      <c r="Z173" s="75">
        <v>1600</v>
      </c>
      <c r="AA173" s="75">
        <v>2600</v>
      </c>
      <c r="AB173" s="76">
        <v>1700</v>
      </c>
      <c r="AC173" s="76">
        <v>2100</v>
      </c>
      <c r="AD173" s="69">
        <v>10</v>
      </c>
      <c r="AE173" s="69">
        <v>7.2</v>
      </c>
    </row>
    <row r="174" spans="1:31" ht="16.100000000000001" x14ac:dyDescent="0.35">
      <c r="A174"/>
      <c r="B174" s="66"/>
      <c r="C174" s="66" t="s">
        <v>78</v>
      </c>
      <c r="D174" s="51">
        <v>1923.96</v>
      </c>
      <c r="E174" s="51">
        <v>1832.74</v>
      </c>
      <c r="F174" s="51">
        <v>1819.6</v>
      </c>
      <c r="G174" s="51">
        <v>1825.06</v>
      </c>
      <c r="H174" s="51">
        <v>1906.25</v>
      </c>
      <c r="I174" s="51">
        <v>1928.32</v>
      </c>
      <c r="J174" s="51">
        <v>1841.65</v>
      </c>
      <c r="K174" s="51">
        <v>1826.61</v>
      </c>
      <c r="L174" s="51">
        <v>1933.1</v>
      </c>
      <c r="M174" s="51">
        <v>1850.91</v>
      </c>
      <c r="N174" s="51">
        <v>1829.63</v>
      </c>
      <c r="O174" s="51">
        <v>1847.26</v>
      </c>
      <c r="P174" s="51">
        <v>1840.14</v>
      </c>
      <c r="Q174" s="66"/>
      <c r="R174" s="66"/>
      <c r="S174" s="66"/>
      <c r="T174" s="66"/>
      <c r="U174" s="100"/>
      <c r="V174" s="77"/>
      <c r="W174" s="78"/>
      <c r="X174" s="347"/>
    </row>
    <row r="175" spans="1:31" ht="58.15" thickBot="1" x14ac:dyDescent="0.4">
      <c r="A175"/>
      <c r="B175" s="79"/>
      <c r="C175" s="79" t="s">
        <v>79</v>
      </c>
      <c r="D175" s="80">
        <f t="shared" ref="D175:P175" si="54">IF(((D173="")*AND(D174="")),"",(D173-D174)*2)</f>
        <v>1984.38</v>
      </c>
      <c r="E175" s="80">
        <f t="shared" si="54"/>
        <v>2017.7599999999998</v>
      </c>
      <c r="F175" s="80">
        <f t="shared" si="54"/>
        <v>2033.9400000000005</v>
      </c>
      <c r="G175" s="80">
        <f t="shared" si="54"/>
        <v>2049.38</v>
      </c>
      <c r="H175" s="80">
        <f t="shared" si="54"/>
        <v>2054.2200000000003</v>
      </c>
      <c r="I175" s="80">
        <f t="shared" si="54"/>
        <v>2068.64</v>
      </c>
      <c r="J175" s="80">
        <f t="shared" si="54"/>
        <v>2024.8000000000002</v>
      </c>
      <c r="K175" s="80">
        <f t="shared" si="54"/>
        <v>2024.3200000000002</v>
      </c>
      <c r="L175" s="80">
        <f t="shared" si="54"/>
        <v>1948.9800000000005</v>
      </c>
      <c r="M175" s="80">
        <f t="shared" si="54"/>
        <v>2019.5399999999995</v>
      </c>
      <c r="N175" s="80">
        <f t="shared" si="54"/>
        <v>2037.5199999999995</v>
      </c>
      <c r="O175" s="80">
        <f t="shared" si="54"/>
        <v>2040.7400000000002</v>
      </c>
      <c r="P175" s="80">
        <f t="shared" si="54"/>
        <v>2011.8200000000002</v>
      </c>
      <c r="Q175" s="90"/>
      <c r="R175" s="79"/>
      <c r="S175" s="79"/>
      <c r="T175" s="79"/>
      <c r="U175" s="101"/>
      <c r="V175" s="81"/>
      <c r="W175" s="82"/>
      <c r="X175" s="347"/>
    </row>
    <row r="176" spans="1:31" x14ac:dyDescent="0.3">
      <c r="A176" s="70">
        <v>43388</v>
      </c>
      <c r="B176" s="71" t="s">
        <v>76</v>
      </c>
      <c r="C176" s="72" t="s">
        <v>77</v>
      </c>
      <c r="D176" s="51">
        <v>2910.06</v>
      </c>
      <c r="E176" s="51">
        <v>2843.82</v>
      </c>
      <c r="F176" s="51">
        <v>2835.49</v>
      </c>
      <c r="G176" s="51">
        <v>2843.98</v>
      </c>
      <c r="H176" s="51">
        <v>2929.54</v>
      </c>
      <c r="I176" s="51">
        <v>2962.46</v>
      </c>
      <c r="J176" s="51">
        <v>2854.59</v>
      </c>
      <c r="K176" s="51">
        <v>2840.31</v>
      </c>
      <c r="L176" s="51">
        <v>2908.51</v>
      </c>
      <c r="M176" s="51">
        <v>2852.22</v>
      </c>
      <c r="N176" s="51">
        <v>2839.75</v>
      </c>
      <c r="O176" s="51">
        <v>2865.23</v>
      </c>
      <c r="P176" s="51">
        <v>2845.67</v>
      </c>
      <c r="Q176" s="72">
        <f>IF((P177=""),"",MAX(D178:P178))</f>
        <v>2075.9</v>
      </c>
      <c r="R176" s="72">
        <f>IF(P177="","",MIN(D178:P178))</f>
        <v>1970.9400000000005</v>
      </c>
      <c r="S176" s="72">
        <f>IF((P178=""),"",AVERAGE(D178:P178))</f>
        <v>2032.8630769230767</v>
      </c>
      <c r="T176" s="72">
        <f>IF((P177=""),"",STDEV(D178:P178))</f>
        <v>26.904871735002189</v>
      </c>
      <c r="U176" s="99">
        <f>IF((P177=""),"",((Q176-R176)/(Q176+R176))*100)</f>
        <v>2.5936286089887313</v>
      </c>
      <c r="V176" s="73" t="str">
        <f>IF(P177="","",IF(U176&lt;7.2,IF(S176&gt;1700,IF(S176&lt;2100,"Pass","Fail"),"Fail"),"Fail"))</f>
        <v>Pass</v>
      </c>
      <c r="W176" s="74">
        <v>1340</v>
      </c>
      <c r="X176" s="347"/>
      <c r="Z176" s="75">
        <v>1600</v>
      </c>
      <c r="AA176" s="75">
        <v>2600</v>
      </c>
      <c r="AB176" s="76">
        <v>1700</v>
      </c>
      <c r="AC176" s="76">
        <v>2100</v>
      </c>
      <c r="AD176" s="69">
        <v>10</v>
      </c>
      <c r="AE176" s="69">
        <v>7.2</v>
      </c>
    </row>
    <row r="177" spans="1:31" ht="16.100000000000001" x14ac:dyDescent="0.35">
      <c r="A177"/>
      <c r="B177" s="66"/>
      <c r="C177" s="66" t="s">
        <v>78</v>
      </c>
      <c r="D177" s="51">
        <v>1913.31</v>
      </c>
      <c r="E177" s="51">
        <v>1825.07</v>
      </c>
      <c r="F177" s="51">
        <v>1818.52</v>
      </c>
      <c r="G177" s="51">
        <v>1820.26</v>
      </c>
      <c r="H177" s="51">
        <v>1902.89</v>
      </c>
      <c r="I177" s="51">
        <v>1924.51</v>
      </c>
      <c r="J177" s="51">
        <v>1833.68</v>
      </c>
      <c r="K177" s="51">
        <v>1818.03</v>
      </c>
      <c r="L177" s="51">
        <v>1923.04</v>
      </c>
      <c r="M177" s="51">
        <v>1844.69</v>
      </c>
      <c r="N177" s="51">
        <v>1824.33</v>
      </c>
      <c r="O177" s="51">
        <v>1840.75</v>
      </c>
      <c r="P177" s="51">
        <v>1828.94</v>
      </c>
      <c r="Q177" s="66"/>
      <c r="R177" s="66"/>
      <c r="S177" s="66"/>
      <c r="T177" s="66"/>
      <c r="U177" s="100"/>
      <c r="V177" s="77"/>
      <c r="W177" s="78"/>
      <c r="X177" s="347"/>
    </row>
    <row r="178" spans="1:31" ht="58.15" thickBot="1" x14ac:dyDescent="0.4">
      <c r="A178"/>
      <c r="B178" s="79"/>
      <c r="C178" s="79" t="s">
        <v>79</v>
      </c>
      <c r="D178" s="80">
        <f t="shared" ref="D178:P178" si="55">IF(((D176="")*AND(D177="")),"",(D176-D177)*2)</f>
        <v>1993.5</v>
      </c>
      <c r="E178" s="80">
        <f t="shared" si="55"/>
        <v>2037.5000000000005</v>
      </c>
      <c r="F178" s="80">
        <f t="shared" si="55"/>
        <v>2033.9399999999996</v>
      </c>
      <c r="G178" s="80">
        <f t="shared" si="55"/>
        <v>2047.44</v>
      </c>
      <c r="H178" s="80">
        <f t="shared" si="55"/>
        <v>2053.2999999999997</v>
      </c>
      <c r="I178" s="80">
        <f t="shared" si="55"/>
        <v>2075.9</v>
      </c>
      <c r="J178" s="80">
        <f t="shared" si="55"/>
        <v>2041.8200000000002</v>
      </c>
      <c r="K178" s="80">
        <f t="shared" si="55"/>
        <v>2044.56</v>
      </c>
      <c r="L178" s="80">
        <f t="shared" si="55"/>
        <v>1970.9400000000005</v>
      </c>
      <c r="M178" s="80">
        <f t="shared" si="55"/>
        <v>2015.0599999999995</v>
      </c>
      <c r="N178" s="80">
        <f t="shared" si="55"/>
        <v>2030.8400000000001</v>
      </c>
      <c r="O178" s="80">
        <f t="shared" si="55"/>
        <v>2048.96</v>
      </c>
      <c r="P178" s="80">
        <f t="shared" si="55"/>
        <v>2033.46</v>
      </c>
      <c r="Q178" s="90"/>
      <c r="R178" s="79"/>
      <c r="S178" s="79"/>
      <c r="T178" s="79"/>
      <c r="U178" s="101"/>
      <c r="V178" s="81"/>
      <c r="W178" s="82"/>
      <c r="X178" s="347"/>
    </row>
    <row r="179" spans="1:31" ht="17.45" customHeight="1" x14ac:dyDescent="0.3">
      <c r="A179" s="70">
        <v>43391</v>
      </c>
      <c r="B179" s="71" t="s">
        <v>76</v>
      </c>
      <c r="C179" s="72" t="s">
        <v>77</v>
      </c>
      <c r="D179" s="51">
        <v>2908.95</v>
      </c>
      <c r="E179" s="51">
        <v>2839.07</v>
      </c>
      <c r="F179" s="51">
        <v>2830.82</v>
      </c>
      <c r="G179" s="51">
        <v>2842.67</v>
      </c>
      <c r="H179" s="51">
        <v>2930.2</v>
      </c>
      <c r="I179" s="51">
        <v>2957.41</v>
      </c>
      <c r="J179" s="51">
        <v>2850.9</v>
      </c>
      <c r="K179" s="51">
        <v>2830.74</v>
      </c>
      <c r="L179" s="51">
        <v>2906.81</v>
      </c>
      <c r="M179" s="51">
        <v>2852.83</v>
      </c>
      <c r="N179" s="51">
        <v>2842.55</v>
      </c>
      <c r="O179" s="51">
        <v>2863.42</v>
      </c>
      <c r="P179" s="51">
        <v>2844.38</v>
      </c>
      <c r="Q179" s="72">
        <f>IF((P180=""),"",MAX(D181:P181))</f>
        <v>2070.7799999999997</v>
      </c>
      <c r="R179" s="72">
        <f>IF(P180="","",MIN(D181:P181))</f>
        <v>1983</v>
      </c>
      <c r="S179" s="72">
        <f>IF((P181=""),"",AVERAGE(D181:P181))</f>
        <v>2039.5707692307694</v>
      </c>
      <c r="T179" s="72">
        <f>IF((P180=""),"",STDEV(D181:P181))</f>
        <v>24.540253483320843</v>
      </c>
      <c r="U179" s="99">
        <f>IF((P180=""),"",((Q179-R179)/(Q179+R179))*100)</f>
        <v>2.1653863801192901</v>
      </c>
      <c r="V179" s="73" t="str">
        <f>IF(P180="","",IF(U179&lt;7.2,IF(S179&gt;1700,IF(S179&lt;2100,"Pass","Fail"),"Fail"),"Fail"))</f>
        <v>Pass</v>
      </c>
      <c r="W179" s="74">
        <v>121</v>
      </c>
      <c r="X179" s="334" t="s">
        <v>94</v>
      </c>
      <c r="Z179" s="75">
        <v>1600</v>
      </c>
      <c r="AA179" s="75">
        <v>2600</v>
      </c>
      <c r="AB179" s="76">
        <v>1700</v>
      </c>
      <c r="AC179" s="76">
        <v>2100</v>
      </c>
      <c r="AD179" s="69">
        <v>10</v>
      </c>
      <c r="AE179" s="69">
        <v>7.2</v>
      </c>
    </row>
    <row r="180" spans="1:31" ht="16.100000000000001" x14ac:dyDescent="0.35">
      <c r="A180"/>
      <c r="B180" s="66"/>
      <c r="C180" s="66" t="s">
        <v>78</v>
      </c>
      <c r="D180" s="51">
        <v>1905.32</v>
      </c>
      <c r="E180" s="51">
        <v>1821.23</v>
      </c>
      <c r="F180" s="51">
        <v>1815.32</v>
      </c>
      <c r="G180" s="51">
        <v>1817.05</v>
      </c>
      <c r="H180" s="51">
        <v>1897.57</v>
      </c>
      <c r="I180" s="51">
        <v>1922.02</v>
      </c>
      <c r="J180" s="51">
        <v>1826.29</v>
      </c>
      <c r="K180" s="51">
        <v>1810.43</v>
      </c>
      <c r="L180" s="51">
        <v>1915.31</v>
      </c>
      <c r="M180" s="51">
        <v>1836.6</v>
      </c>
      <c r="N180" s="51">
        <v>1817.78</v>
      </c>
      <c r="O180" s="51">
        <v>1829.51</v>
      </c>
      <c r="P180" s="51">
        <v>1829.11</v>
      </c>
      <c r="Q180" s="66"/>
      <c r="R180" s="66"/>
      <c r="S180" s="66"/>
      <c r="T180" s="66"/>
      <c r="U180" s="100"/>
      <c r="V180" s="77"/>
      <c r="W180" s="78"/>
      <c r="X180" s="347"/>
    </row>
    <row r="181" spans="1:31" ht="58.15" thickBot="1" x14ac:dyDescent="0.4">
      <c r="A181"/>
      <c r="B181" s="79"/>
      <c r="C181" s="79" t="s">
        <v>79</v>
      </c>
      <c r="D181" s="80">
        <f t="shared" ref="D181:P181" si="56">IF(((D179="")*AND(D180="")),"",(D179-D180)*2)</f>
        <v>2007.2599999999998</v>
      </c>
      <c r="E181" s="80">
        <f t="shared" si="56"/>
        <v>2035.6800000000003</v>
      </c>
      <c r="F181" s="80">
        <f t="shared" si="56"/>
        <v>2031.0000000000005</v>
      </c>
      <c r="G181" s="80">
        <f t="shared" si="56"/>
        <v>2051.2400000000002</v>
      </c>
      <c r="H181" s="80">
        <f t="shared" si="56"/>
        <v>2065.2599999999998</v>
      </c>
      <c r="I181" s="80">
        <f t="shared" si="56"/>
        <v>2070.7799999999997</v>
      </c>
      <c r="J181" s="80">
        <f t="shared" si="56"/>
        <v>2049.2200000000003</v>
      </c>
      <c r="K181" s="80">
        <f t="shared" si="56"/>
        <v>2040.6199999999994</v>
      </c>
      <c r="L181" s="80">
        <f t="shared" si="56"/>
        <v>1983</v>
      </c>
      <c r="M181" s="80">
        <f t="shared" si="56"/>
        <v>2032.46</v>
      </c>
      <c r="N181" s="80">
        <f t="shared" si="56"/>
        <v>2049.5400000000004</v>
      </c>
      <c r="O181" s="80">
        <f t="shared" si="56"/>
        <v>2067.8200000000002</v>
      </c>
      <c r="P181" s="80">
        <f t="shared" si="56"/>
        <v>2030.5400000000004</v>
      </c>
      <c r="Q181" s="90"/>
      <c r="R181" s="79"/>
      <c r="S181" s="79"/>
      <c r="T181" s="79"/>
      <c r="U181" s="101"/>
      <c r="V181" s="81"/>
      <c r="W181" s="82"/>
      <c r="X181" s="347"/>
    </row>
    <row r="182" spans="1:31" ht="14.95" customHeight="1" x14ac:dyDescent="0.3">
      <c r="A182" s="70">
        <v>43395</v>
      </c>
      <c r="B182" s="71" t="s">
        <v>76</v>
      </c>
      <c r="C182" s="72" t="s">
        <v>77</v>
      </c>
      <c r="D182" s="51">
        <v>1905.32</v>
      </c>
      <c r="E182" s="51">
        <v>1821.23</v>
      </c>
      <c r="F182" s="51">
        <v>1815.32</v>
      </c>
      <c r="G182" s="51">
        <v>1817.05</v>
      </c>
      <c r="H182" s="51">
        <v>1897.57</v>
      </c>
      <c r="I182" s="51">
        <v>1922.02</v>
      </c>
      <c r="J182" s="51">
        <v>1826.29</v>
      </c>
      <c r="K182" s="51">
        <v>1810.43</v>
      </c>
      <c r="L182" s="51">
        <v>1915.31</v>
      </c>
      <c r="M182" s="51">
        <v>1836.6</v>
      </c>
      <c r="N182" s="51">
        <v>1817.78</v>
      </c>
      <c r="O182" s="51">
        <v>1829.51</v>
      </c>
      <c r="P182" s="51">
        <v>1829.11</v>
      </c>
      <c r="Q182" s="72">
        <f>IF((P183=""),"",MAX(D184:P184))</f>
        <v>1984.74</v>
      </c>
      <c r="R182" s="72">
        <f>IF(P183="","",MIN(D184:P184))</f>
        <v>1815.6599999999999</v>
      </c>
      <c r="S182" s="72">
        <f>IF((P184=""),"",AVERAGE(D184:P184))</f>
        <v>1930.4338461538459</v>
      </c>
      <c r="T182" s="72">
        <f>IF((P183=""),"",STDEV(D184:P184))</f>
        <v>56.321753869835781</v>
      </c>
      <c r="U182" s="99">
        <f>IF((P183=""),"",((Q182-R182)/(Q182+R182))*100)</f>
        <v>4.44900536785602</v>
      </c>
      <c r="V182" s="73" t="str">
        <f>IF(P183="","",IF(U182&lt;7.2,IF(S182&gt;1700,IF(S182&lt;2100,"Pass","Fail"),"Fail"),"Fail"))</f>
        <v>Pass</v>
      </c>
      <c r="W182" s="74">
        <v>121</v>
      </c>
      <c r="X182" s="334" t="s">
        <v>95</v>
      </c>
      <c r="Z182" s="75">
        <v>1600</v>
      </c>
      <c r="AA182" s="75">
        <v>2600</v>
      </c>
      <c r="AB182" s="76">
        <v>1700</v>
      </c>
      <c r="AC182" s="76">
        <v>2100</v>
      </c>
      <c r="AD182" s="69">
        <v>10</v>
      </c>
      <c r="AE182" s="69">
        <v>7.2</v>
      </c>
    </row>
    <row r="183" spans="1:31" ht="16.100000000000001" x14ac:dyDescent="0.35">
      <c r="A183"/>
      <c r="B183" s="66"/>
      <c r="C183" s="66" t="s">
        <v>78</v>
      </c>
      <c r="D183" s="51">
        <v>976.74</v>
      </c>
      <c r="E183" s="51">
        <v>838.86</v>
      </c>
      <c r="F183" s="51">
        <v>829.77</v>
      </c>
      <c r="G183" s="51">
        <v>829.97</v>
      </c>
      <c r="H183" s="51">
        <v>962</v>
      </c>
      <c r="I183" s="51">
        <v>989.52</v>
      </c>
      <c r="J183" s="51">
        <v>849.88</v>
      </c>
      <c r="K183" s="51">
        <v>829.75</v>
      </c>
      <c r="L183" s="51">
        <v>1007.48</v>
      </c>
      <c r="M183" s="51">
        <v>853.23</v>
      </c>
      <c r="N183" s="51">
        <v>825.41</v>
      </c>
      <c r="O183" s="51">
        <v>852.13</v>
      </c>
      <c r="P183" s="51">
        <v>850.98</v>
      </c>
      <c r="Q183" s="66"/>
      <c r="R183" s="66"/>
      <c r="S183" s="66"/>
      <c r="T183" s="66"/>
      <c r="U183" s="100"/>
      <c r="V183" s="77"/>
      <c r="W183" s="78"/>
      <c r="X183" s="347"/>
    </row>
    <row r="184" spans="1:31" ht="58.15" thickBot="1" x14ac:dyDescent="0.4">
      <c r="A184"/>
      <c r="B184" s="79"/>
      <c r="C184" s="79" t="s">
        <v>79</v>
      </c>
      <c r="D184" s="80">
        <f t="shared" ref="D184:P184" si="57">IF(((D182="")*AND(D183="")),"",(D182-D183)*2)</f>
        <v>1857.1599999999999</v>
      </c>
      <c r="E184" s="80">
        <f t="shared" si="57"/>
        <v>1964.74</v>
      </c>
      <c r="F184" s="80">
        <f t="shared" si="57"/>
        <v>1971.1</v>
      </c>
      <c r="G184" s="80">
        <f t="shared" si="57"/>
        <v>1974.1599999999999</v>
      </c>
      <c r="H184" s="80">
        <f t="shared" si="57"/>
        <v>1871.1399999999999</v>
      </c>
      <c r="I184" s="80">
        <f t="shared" si="57"/>
        <v>1865</v>
      </c>
      <c r="J184" s="80">
        <f t="shared" si="57"/>
        <v>1952.82</v>
      </c>
      <c r="K184" s="80">
        <f t="shared" si="57"/>
        <v>1961.3600000000001</v>
      </c>
      <c r="L184" s="80">
        <f t="shared" si="57"/>
        <v>1815.6599999999999</v>
      </c>
      <c r="M184" s="80">
        <f t="shared" si="57"/>
        <v>1966.7399999999998</v>
      </c>
      <c r="N184" s="80">
        <f t="shared" si="57"/>
        <v>1984.74</v>
      </c>
      <c r="O184" s="80">
        <f t="shared" si="57"/>
        <v>1954.76</v>
      </c>
      <c r="P184" s="80">
        <f t="shared" si="57"/>
        <v>1956.2599999999998</v>
      </c>
      <c r="Q184" s="90"/>
      <c r="R184" s="79"/>
      <c r="S184" s="79"/>
      <c r="T184" s="79"/>
      <c r="U184" s="101"/>
      <c r="V184" s="81"/>
      <c r="W184" s="82"/>
      <c r="X184" s="347"/>
    </row>
    <row r="185" spans="1:31" x14ac:dyDescent="0.3">
      <c r="A185" s="70">
        <v>43398</v>
      </c>
      <c r="B185" s="71" t="s">
        <v>76</v>
      </c>
      <c r="C185" s="72" t="s">
        <v>77</v>
      </c>
      <c r="D185" s="51">
        <v>2909.19</v>
      </c>
      <c r="E185" s="51">
        <v>2838.88</v>
      </c>
      <c r="F185" s="51">
        <v>2838.85</v>
      </c>
      <c r="G185" s="51">
        <v>2845.78</v>
      </c>
      <c r="H185" s="51">
        <v>2937.86</v>
      </c>
      <c r="I185" s="51">
        <v>2961.54</v>
      </c>
      <c r="J185" s="51">
        <v>2854.64</v>
      </c>
      <c r="K185" s="51">
        <v>2836.43</v>
      </c>
      <c r="L185" s="51">
        <v>2907.99</v>
      </c>
      <c r="M185" s="51">
        <v>2859.72</v>
      </c>
      <c r="N185" s="51">
        <v>2848.5</v>
      </c>
      <c r="O185" s="51">
        <v>2869.56</v>
      </c>
      <c r="P185" s="51">
        <v>2845.88</v>
      </c>
      <c r="Q185" s="72">
        <f>IF((P186=""),"",MAX(D187:P187))</f>
        <v>2085.6799999999998</v>
      </c>
      <c r="R185" s="72">
        <f>IF(P186="","",MIN(D187:P187))</f>
        <v>1973.9799999999996</v>
      </c>
      <c r="S185" s="72">
        <f>IF((P187=""),"",AVERAGE(D187:P187))</f>
        <v>2046.7338461538461</v>
      </c>
      <c r="T185" s="72">
        <f>IF((P186=""),"",STDEV(D187:P187))</f>
        <v>28.923420019787216</v>
      </c>
      <c r="U185" s="99">
        <f>IF((P186=""),"",((Q185-R185)/(Q185+R185))*100)</f>
        <v>2.7514619450890048</v>
      </c>
      <c r="V185" s="73" t="str">
        <f>IF(P186="","",IF(U185&lt;7.2,IF(S185&gt;1700,IF(S185&lt;2100,"Pass","Fail"),"Fail"),"Fail"))</f>
        <v>Pass</v>
      </c>
      <c r="W185" s="74"/>
      <c r="X185" s="347"/>
      <c r="Z185" s="75">
        <v>1600</v>
      </c>
      <c r="AA185" s="75">
        <v>2600</v>
      </c>
      <c r="AB185" s="76">
        <v>1700</v>
      </c>
      <c r="AC185" s="76">
        <v>2100</v>
      </c>
      <c r="AD185" s="69">
        <v>10</v>
      </c>
      <c r="AE185" s="69">
        <v>7.2</v>
      </c>
    </row>
    <row r="186" spans="1:31" ht="16.100000000000001" x14ac:dyDescent="0.35">
      <c r="A186"/>
      <c r="B186" s="66"/>
      <c r="C186" s="66" t="s">
        <v>78</v>
      </c>
      <c r="D186" s="51">
        <v>1905.54</v>
      </c>
      <c r="E186" s="51">
        <v>1820.65</v>
      </c>
      <c r="F186" s="51">
        <v>1811.45</v>
      </c>
      <c r="G186" s="51">
        <v>1818.69</v>
      </c>
      <c r="H186" s="51">
        <v>1900.65</v>
      </c>
      <c r="I186" s="51">
        <v>1918.7</v>
      </c>
      <c r="J186" s="51">
        <v>1825.51</v>
      </c>
      <c r="K186" s="51">
        <v>1815.06</v>
      </c>
      <c r="L186" s="51">
        <v>1921</v>
      </c>
      <c r="M186" s="51">
        <v>1834.97</v>
      </c>
      <c r="N186" s="51">
        <v>1817.57</v>
      </c>
      <c r="O186" s="51">
        <v>1837.66</v>
      </c>
      <c r="P186" s="51">
        <v>1823.6</v>
      </c>
      <c r="Q186" s="66"/>
      <c r="R186" s="66"/>
      <c r="S186" s="66"/>
      <c r="T186" s="66"/>
      <c r="U186" s="100"/>
      <c r="V186" s="77"/>
      <c r="W186" s="78"/>
      <c r="X186" s="347"/>
    </row>
    <row r="187" spans="1:31" ht="58.15" thickBot="1" x14ac:dyDescent="0.4">
      <c r="A187"/>
      <c r="B187" s="79"/>
      <c r="C187" s="79" t="s">
        <v>79</v>
      </c>
      <c r="D187" s="80">
        <f t="shared" ref="D187:P187" si="58">IF(((D185="")*AND(D186="")),"",(D185-D186)*2)</f>
        <v>2007.3000000000002</v>
      </c>
      <c r="E187" s="80">
        <f t="shared" si="58"/>
        <v>2036.46</v>
      </c>
      <c r="F187" s="80">
        <f t="shared" si="58"/>
        <v>2054.7999999999997</v>
      </c>
      <c r="G187" s="80">
        <f t="shared" si="58"/>
        <v>2054.1800000000003</v>
      </c>
      <c r="H187" s="80">
        <f t="shared" si="58"/>
        <v>2074.42</v>
      </c>
      <c r="I187" s="80">
        <f t="shared" si="58"/>
        <v>2085.6799999999998</v>
      </c>
      <c r="J187" s="80">
        <f t="shared" si="58"/>
        <v>2058.2599999999998</v>
      </c>
      <c r="K187" s="80">
        <f t="shared" si="58"/>
        <v>2042.7399999999998</v>
      </c>
      <c r="L187" s="80">
        <f t="shared" si="58"/>
        <v>1973.9799999999996</v>
      </c>
      <c r="M187" s="80">
        <f t="shared" si="58"/>
        <v>2049.4999999999995</v>
      </c>
      <c r="N187" s="80">
        <f t="shared" si="58"/>
        <v>2061.86</v>
      </c>
      <c r="O187" s="80">
        <f t="shared" si="58"/>
        <v>2063.7999999999997</v>
      </c>
      <c r="P187" s="80">
        <f t="shared" si="58"/>
        <v>2044.5600000000004</v>
      </c>
      <c r="Q187" s="90"/>
      <c r="R187" s="79"/>
      <c r="S187" s="79"/>
      <c r="T187" s="79"/>
      <c r="U187" s="101"/>
      <c r="V187" s="81"/>
      <c r="W187" s="82"/>
      <c r="X187" s="347"/>
    </row>
    <row r="188" spans="1:31" x14ac:dyDescent="0.3">
      <c r="A188" s="70">
        <v>43401</v>
      </c>
      <c r="B188" s="71" t="s">
        <v>76</v>
      </c>
      <c r="C188" s="72" t="s">
        <v>77</v>
      </c>
      <c r="D188" s="51">
        <v>2913.57</v>
      </c>
      <c r="E188" s="51">
        <v>2848.15</v>
      </c>
      <c r="F188" s="51">
        <v>2844.53</v>
      </c>
      <c r="G188" s="51">
        <v>2850.12</v>
      </c>
      <c r="H188" s="51">
        <v>2942.69</v>
      </c>
      <c r="I188" s="51">
        <v>2967.55</v>
      </c>
      <c r="J188" s="51">
        <v>2859.95</v>
      </c>
      <c r="K188" s="51">
        <v>2843.45</v>
      </c>
      <c r="L188" s="51">
        <v>2913.75</v>
      </c>
      <c r="M188" s="51">
        <v>2866.08</v>
      </c>
      <c r="N188" s="51">
        <v>2851.86</v>
      </c>
      <c r="O188" s="51">
        <v>2872.53</v>
      </c>
      <c r="P188" s="51">
        <v>2851.77</v>
      </c>
      <c r="Q188" s="72">
        <f>IF((P189=""),"",MAX(D190:P190))</f>
        <v>2093.0200000000004</v>
      </c>
      <c r="R188" s="72">
        <f>IF(P189="","",MIN(D190:P190))</f>
        <v>1985.8400000000001</v>
      </c>
      <c r="S188" s="72">
        <f>IF((P190=""),"",AVERAGE(D190:P190))</f>
        <v>2052.7846153846153</v>
      </c>
      <c r="T188" s="72">
        <f>IF((P189=""),"",STDEV(D190:P190))</f>
        <v>28.659009233684479</v>
      </c>
      <c r="U188" s="99">
        <f>IF((P189=""),"",((Q188-R188)/(Q188+R188))*100)</f>
        <v>2.6276949932088933</v>
      </c>
      <c r="V188" s="73" t="str">
        <f>IF(P189="","",IF(U188&lt;7.2,IF(S188&gt;1700,IF(S188&lt;2100,"Pass","Fail"),"Fail"),"Fail"))</f>
        <v>Pass</v>
      </c>
      <c r="W188" s="74">
        <v>1340</v>
      </c>
      <c r="X188" s="347"/>
      <c r="Z188" s="75">
        <v>1600</v>
      </c>
      <c r="AA188" s="75">
        <v>2600</v>
      </c>
      <c r="AB188" s="76">
        <v>1700</v>
      </c>
      <c r="AC188" s="76">
        <v>2100</v>
      </c>
      <c r="AD188" s="69">
        <v>10</v>
      </c>
      <c r="AE188" s="69">
        <v>7.2</v>
      </c>
    </row>
    <row r="189" spans="1:31" ht="16.100000000000001" x14ac:dyDescent="0.35">
      <c r="A189"/>
      <c r="B189" s="66"/>
      <c r="C189" s="66" t="s">
        <v>78</v>
      </c>
      <c r="D189" s="51">
        <v>1912.53</v>
      </c>
      <c r="E189" s="51">
        <v>1817.1</v>
      </c>
      <c r="F189" s="51">
        <v>1810.54</v>
      </c>
      <c r="G189" s="51">
        <v>1820.22</v>
      </c>
      <c r="H189" s="51">
        <v>1908.54</v>
      </c>
      <c r="I189" s="51">
        <v>1921.04</v>
      </c>
      <c r="J189" s="51">
        <v>1831.57</v>
      </c>
      <c r="K189" s="51">
        <v>1819.57</v>
      </c>
      <c r="L189" s="51">
        <v>1920.83</v>
      </c>
      <c r="M189" s="51">
        <v>1837.6</v>
      </c>
      <c r="N189" s="51">
        <v>1817.28</v>
      </c>
      <c r="O189" s="51">
        <v>1838.53</v>
      </c>
      <c r="P189" s="51">
        <v>1827.55</v>
      </c>
      <c r="Q189" s="66"/>
      <c r="R189" s="66"/>
      <c r="S189" s="66"/>
      <c r="T189" s="66"/>
      <c r="U189" s="100"/>
      <c r="V189" s="77"/>
      <c r="W189" s="78"/>
      <c r="X189" s="347"/>
    </row>
    <row r="190" spans="1:31" ht="58.15" thickBot="1" x14ac:dyDescent="0.4">
      <c r="A190"/>
      <c r="B190" s="79"/>
      <c r="C190" s="79" t="s">
        <v>79</v>
      </c>
      <c r="D190" s="80">
        <f t="shared" ref="D190:P190" si="59">IF(((D188="")*AND(D189="")),"",(D188-D189)*2)</f>
        <v>2002.0800000000004</v>
      </c>
      <c r="E190" s="80">
        <f t="shared" si="59"/>
        <v>2062.1000000000004</v>
      </c>
      <c r="F190" s="80">
        <f t="shared" si="59"/>
        <v>2067.9800000000005</v>
      </c>
      <c r="G190" s="80">
        <f t="shared" si="59"/>
        <v>2059.7999999999997</v>
      </c>
      <c r="H190" s="80">
        <f t="shared" si="59"/>
        <v>2068.3000000000002</v>
      </c>
      <c r="I190" s="80">
        <f t="shared" si="59"/>
        <v>2093.0200000000004</v>
      </c>
      <c r="J190" s="80">
        <f t="shared" si="59"/>
        <v>2056.7599999999998</v>
      </c>
      <c r="K190" s="80">
        <f t="shared" si="59"/>
        <v>2047.7599999999998</v>
      </c>
      <c r="L190" s="80">
        <f t="shared" si="59"/>
        <v>1985.8400000000001</v>
      </c>
      <c r="M190" s="80">
        <f t="shared" si="59"/>
        <v>2056.96</v>
      </c>
      <c r="N190" s="80">
        <f t="shared" si="59"/>
        <v>2069.1600000000003</v>
      </c>
      <c r="O190" s="80">
        <f t="shared" si="59"/>
        <v>2068.0000000000005</v>
      </c>
      <c r="P190" s="80">
        <f t="shared" si="59"/>
        <v>2048.44</v>
      </c>
      <c r="Q190" s="90"/>
      <c r="R190" s="79"/>
      <c r="S190" s="79"/>
      <c r="T190" s="79"/>
      <c r="U190" s="101"/>
      <c r="V190" s="81"/>
      <c r="W190" s="82"/>
      <c r="X190" s="347"/>
    </row>
    <row r="191" spans="1:31" x14ac:dyDescent="0.3">
      <c r="A191" s="70">
        <v>43402</v>
      </c>
      <c r="B191" s="71" t="s">
        <v>76</v>
      </c>
      <c r="C191" s="72" t="s">
        <v>77</v>
      </c>
      <c r="D191" s="51">
        <v>2910.47</v>
      </c>
      <c r="E191" s="51">
        <v>2847.07</v>
      </c>
      <c r="F191" s="51">
        <v>2846.11</v>
      </c>
      <c r="G191" s="51">
        <v>2854.52</v>
      </c>
      <c r="H191" s="51">
        <v>2945.81</v>
      </c>
      <c r="I191" s="51">
        <v>2963.28</v>
      </c>
      <c r="J191" s="51">
        <v>2862.72</v>
      </c>
      <c r="K191" s="51">
        <v>2845.47</v>
      </c>
      <c r="L191" s="51">
        <v>2910.8</v>
      </c>
      <c r="M191" s="51">
        <v>2864.47</v>
      </c>
      <c r="N191" s="51">
        <v>2856.6</v>
      </c>
      <c r="O191" s="51">
        <v>2872.52</v>
      </c>
      <c r="P191" s="51">
        <v>2854.83</v>
      </c>
      <c r="Q191" s="72">
        <f>IF((P192=""),"",MAX(D193:P193))</f>
        <v>2082.7200000000003</v>
      </c>
      <c r="R191" s="72">
        <f>IF(P192="","",MIN(D193:P193))</f>
        <v>1985.5400000000004</v>
      </c>
      <c r="S191" s="72">
        <f>IF((P193=""),"",AVERAGE(D193:P193))</f>
        <v>2045.4646153846154</v>
      </c>
      <c r="T191" s="72">
        <f>IF((P192=""),"",STDEV(D193:P193))</f>
        <v>26.551817456746839</v>
      </c>
      <c r="U191" s="99">
        <f>IF((P192=""),"",((Q191-R191)/(Q191+R191))*100)</f>
        <v>2.3887362164660031</v>
      </c>
      <c r="V191" s="73" t="str">
        <f>IF(P192="","",IF(U191&lt;7.2,IF(S191&gt;1700,IF(S191&lt;2100,"Pass","Fail"),"Fail"),"Fail"))</f>
        <v>Pass</v>
      </c>
      <c r="W191" s="74">
        <v>1428</v>
      </c>
      <c r="X191" s="347"/>
      <c r="Z191" s="75">
        <v>1600</v>
      </c>
      <c r="AA191" s="75">
        <v>2600</v>
      </c>
      <c r="AB191" s="76">
        <v>1700</v>
      </c>
      <c r="AC191" s="76">
        <v>2100</v>
      </c>
      <c r="AD191" s="69">
        <v>10</v>
      </c>
      <c r="AE191" s="69">
        <v>7.2</v>
      </c>
    </row>
    <row r="192" spans="1:31" ht="16.100000000000001" x14ac:dyDescent="0.35">
      <c r="A192"/>
      <c r="B192" s="66"/>
      <c r="C192" s="66" t="s">
        <v>78</v>
      </c>
      <c r="D192" s="51">
        <v>1908.79</v>
      </c>
      <c r="E192" s="51">
        <v>1831.48</v>
      </c>
      <c r="F192" s="51">
        <v>1821.4</v>
      </c>
      <c r="G192" s="51">
        <v>1822.74</v>
      </c>
      <c r="H192" s="51">
        <v>1911.68</v>
      </c>
      <c r="I192" s="51">
        <v>1921.92</v>
      </c>
      <c r="J192" s="51">
        <v>1835.01</v>
      </c>
      <c r="K192" s="51">
        <v>1820.43</v>
      </c>
      <c r="L192" s="51">
        <v>1918.03</v>
      </c>
      <c r="M192" s="51">
        <v>1845.55</v>
      </c>
      <c r="N192" s="51">
        <v>1826.44</v>
      </c>
      <c r="O192" s="51">
        <v>1842.14</v>
      </c>
      <c r="P192" s="51">
        <v>1833.54</v>
      </c>
      <c r="Q192" s="66"/>
      <c r="R192" s="66"/>
      <c r="S192" s="66"/>
      <c r="T192" s="66"/>
      <c r="U192" s="100"/>
      <c r="V192" s="77"/>
      <c r="W192" s="78"/>
      <c r="X192" s="347"/>
    </row>
    <row r="193" spans="1:31" ht="58.15" thickBot="1" x14ac:dyDescent="0.4">
      <c r="A193"/>
      <c r="B193" s="79"/>
      <c r="C193" s="79" t="s">
        <v>79</v>
      </c>
      <c r="D193" s="80">
        <f t="shared" ref="D193:P193" si="60">IF(((D191="")*AND(D192="")),"",(D191-D192)*2)</f>
        <v>2003.3599999999997</v>
      </c>
      <c r="E193" s="80">
        <f t="shared" si="60"/>
        <v>2031.1800000000003</v>
      </c>
      <c r="F193" s="80">
        <f t="shared" si="60"/>
        <v>2049.42</v>
      </c>
      <c r="G193" s="80">
        <f t="shared" si="60"/>
        <v>2063.56</v>
      </c>
      <c r="H193" s="80">
        <f t="shared" si="60"/>
        <v>2068.2599999999998</v>
      </c>
      <c r="I193" s="80">
        <f t="shared" si="60"/>
        <v>2082.7200000000003</v>
      </c>
      <c r="J193" s="80">
        <f t="shared" si="60"/>
        <v>2055.4199999999996</v>
      </c>
      <c r="K193" s="80">
        <f t="shared" si="60"/>
        <v>2050.0799999999995</v>
      </c>
      <c r="L193" s="80">
        <f t="shared" si="60"/>
        <v>1985.5400000000004</v>
      </c>
      <c r="M193" s="80">
        <f t="shared" si="60"/>
        <v>2037.8399999999997</v>
      </c>
      <c r="N193" s="80">
        <f t="shared" si="60"/>
        <v>2060.3199999999997</v>
      </c>
      <c r="O193" s="80">
        <f t="shared" si="60"/>
        <v>2060.7599999999998</v>
      </c>
      <c r="P193" s="80">
        <f t="shared" si="60"/>
        <v>2042.58</v>
      </c>
      <c r="Q193" s="90"/>
      <c r="R193" s="79"/>
      <c r="S193" s="79"/>
      <c r="T193" s="79"/>
      <c r="U193" s="101"/>
      <c r="V193" s="81"/>
      <c r="W193" s="82"/>
      <c r="X193" s="347"/>
    </row>
    <row r="194" spans="1:31" ht="15.8" customHeight="1" x14ac:dyDescent="0.3">
      <c r="A194" s="70">
        <v>43404</v>
      </c>
      <c r="B194" s="71" t="s">
        <v>76</v>
      </c>
      <c r="C194" s="72" t="s">
        <v>77</v>
      </c>
      <c r="D194" s="51">
        <v>2910.63</v>
      </c>
      <c r="E194" s="51">
        <v>2854.35</v>
      </c>
      <c r="F194" s="51">
        <v>2847.91</v>
      </c>
      <c r="G194" s="51">
        <v>2861.54</v>
      </c>
      <c r="H194" s="51">
        <v>2953.24</v>
      </c>
      <c r="I194" s="51">
        <v>2972.72</v>
      </c>
      <c r="J194" s="51">
        <v>2867.93</v>
      </c>
      <c r="K194" s="51">
        <v>2850.99</v>
      </c>
      <c r="L194" s="51">
        <v>2905.1</v>
      </c>
      <c r="M194" s="51">
        <v>2866.73</v>
      </c>
      <c r="N194" s="51">
        <v>2862.23</v>
      </c>
      <c r="O194" s="51">
        <v>2882.06</v>
      </c>
      <c r="P194" s="51">
        <v>2854.83</v>
      </c>
      <c r="Q194" s="72">
        <f>IF((P195=""),"",MAX(D196:P196))</f>
        <v>2063.2599999999998</v>
      </c>
      <c r="R194" s="72">
        <f>IF(P195="","",MIN(D196:P196))</f>
        <v>1964.6999999999998</v>
      </c>
      <c r="S194" s="72">
        <f>IF((P196=""),"",AVERAGE(D196:P196))</f>
        <v>2028.8430769230772</v>
      </c>
      <c r="T194" s="72">
        <f>IF((P195=""),"",STDEV(D196:P196))</f>
        <v>27.989067920831491</v>
      </c>
      <c r="U194" s="99">
        <f>IF((P195=""),"",((Q194-R194)/(Q194+R194))*100)</f>
        <v>2.4468961955928052</v>
      </c>
      <c r="V194" s="73" t="str">
        <f>IF(P195="","",IF(U194&lt;7.2,IF(S194&gt;1700,IF(S194&lt;2100,"Pass","Fail"),"Fail"),"Fail"))</f>
        <v>Pass</v>
      </c>
      <c r="W194" s="74">
        <v>1335</v>
      </c>
      <c r="X194" s="334" t="s">
        <v>96</v>
      </c>
      <c r="Z194" s="75">
        <v>1600</v>
      </c>
      <c r="AA194" s="75">
        <v>2600</v>
      </c>
      <c r="AB194" s="76">
        <v>1700</v>
      </c>
      <c r="AC194" s="76">
        <v>2100</v>
      </c>
      <c r="AD194" s="69">
        <v>10</v>
      </c>
      <c r="AE194" s="69">
        <v>7.2</v>
      </c>
    </row>
    <row r="195" spans="1:31" ht="16.100000000000001" x14ac:dyDescent="0.35">
      <c r="A195"/>
      <c r="B195" s="66"/>
      <c r="C195" s="66" t="s">
        <v>78</v>
      </c>
      <c r="D195" s="51">
        <v>1915.72</v>
      </c>
      <c r="E195" s="51">
        <v>1842.31</v>
      </c>
      <c r="F195" s="51">
        <v>1836.51</v>
      </c>
      <c r="G195" s="51">
        <v>1844.73</v>
      </c>
      <c r="H195" s="51">
        <v>1921.61</v>
      </c>
      <c r="I195" s="51">
        <v>1943.92</v>
      </c>
      <c r="J195" s="51">
        <v>1842.98</v>
      </c>
      <c r="K195" s="51">
        <v>1833.87</v>
      </c>
      <c r="L195" s="51">
        <v>1922.75</v>
      </c>
      <c r="M195" s="51">
        <v>1857.52</v>
      </c>
      <c r="N195" s="51">
        <v>1842.63</v>
      </c>
      <c r="O195" s="51">
        <v>1852.8</v>
      </c>
      <c r="P195" s="51">
        <v>1845.43</v>
      </c>
      <c r="Q195" s="66"/>
      <c r="R195" s="66"/>
      <c r="S195" s="66"/>
      <c r="T195" s="66"/>
      <c r="U195" s="100"/>
      <c r="V195" s="77"/>
      <c r="W195" s="78"/>
      <c r="X195" s="347"/>
    </row>
    <row r="196" spans="1:31" ht="58.15" thickBot="1" x14ac:dyDescent="0.4">
      <c r="A196"/>
      <c r="B196" s="79"/>
      <c r="C196" s="79" t="s">
        <v>79</v>
      </c>
      <c r="D196" s="80">
        <f t="shared" ref="D196:P196" si="61">IF(((D194="")*AND(D195="")),"",(D194-D195)*2)</f>
        <v>1989.8200000000002</v>
      </c>
      <c r="E196" s="80">
        <f t="shared" si="61"/>
        <v>2024.08</v>
      </c>
      <c r="F196" s="80">
        <f t="shared" si="61"/>
        <v>2022.7999999999997</v>
      </c>
      <c r="G196" s="80">
        <f t="shared" si="61"/>
        <v>2033.62</v>
      </c>
      <c r="H196" s="80">
        <f t="shared" si="61"/>
        <v>2063.2599999999998</v>
      </c>
      <c r="I196" s="80">
        <f t="shared" si="61"/>
        <v>2057.5999999999995</v>
      </c>
      <c r="J196" s="80">
        <f t="shared" si="61"/>
        <v>2049.8999999999996</v>
      </c>
      <c r="K196" s="80">
        <f t="shared" si="61"/>
        <v>2034.2399999999998</v>
      </c>
      <c r="L196" s="80">
        <f t="shared" si="61"/>
        <v>1964.6999999999998</v>
      </c>
      <c r="M196" s="80">
        <f t="shared" si="61"/>
        <v>2018.42</v>
      </c>
      <c r="N196" s="80">
        <f t="shared" si="61"/>
        <v>2039.1999999999998</v>
      </c>
      <c r="O196" s="80">
        <f t="shared" si="61"/>
        <v>2058.52</v>
      </c>
      <c r="P196" s="80">
        <f t="shared" si="61"/>
        <v>2018.7999999999997</v>
      </c>
      <c r="Q196" s="90"/>
      <c r="R196" s="79"/>
      <c r="S196" s="79"/>
      <c r="T196" s="79"/>
      <c r="U196" s="101"/>
      <c r="V196" s="81"/>
      <c r="W196" s="82"/>
      <c r="X196" s="347"/>
    </row>
    <row r="197" spans="1:31" x14ac:dyDescent="0.3">
      <c r="A197" s="70">
        <v>43409</v>
      </c>
      <c r="B197" s="71" t="s">
        <v>76</v>
      </c>
      <c r="C197" s="72" t="s">
        <v>77</v>
      </c>
      <c r="D197" s="51">
        <v>2915</v>
      </c>
      <c r="E197" s="51">
        <v>2852.52</v>
      </c>
      <c r="F197" s="51">
        <v>2849.42</v>
      </c>
      <c r="G197" s="51">
        <v>2859.35</v>
      </c>
      <c r="H197" s="51">
        <v>2945.22</v>
      </c>
      <c r="I197" s="51">
        <v>2964.64</v>
      </c>
      <c r="J197" s="51">
        <v>2862.76</v>
      </c>
      <c r="K197" s="51">
        <v>2849.63</v>
      </c>
      <c r="L197" s="51">
        <v>2913.37</v>
      </c>
      <c r="M197" s="51">
        <v>2869.34</v>
      </c>
      <c r="N197" s="51">
        <v>2855.01</v>
      </c>
      <c r="O197" s="51">
        <v>2879.97</v>
      </c>
      <c r="P197" s="51">
        <v>2852.92</v>
      </c>
      <c r="Q197" s="72">
        <f>IF((P198=""),"",MAX(D199:P199))</f>
        <v>2056.6999999999998</v>
      </c>
      <c r="R197" s="72">
        <f>IF(P198="","",MIN(D199:P199))</f>
        <v>1974.8399999999997</v>
      </c>
      <c r="S197" s="72">
        <f>IF((P199=""),"",AVERAGE(D199:P199))</f>
        <v>2023.6523076923077</v>
      </c>
      <c r="T197" s="72">
        <f>IF((P198=""),"",STDEV(D199:P199))</f>
        <v>23.638668234429716</v>
      </c>
      <c r="U197" s="99">
        <f>IF((P198=""),"",((Q197-R197)/(Q197+R197))*100)</f>
        <v>2.030489589586117</v>
      </c>
      <c r="V197" s="73" t="str">
        <f>IF(P198="","",IF(U197&lt;7.2,IF(S197&gt;1700,IF(S197&lt;2100,"Pass","Fail"),"Fail"),"Fail"))</f>
        <v>Pass</v>
      </c>
      <c r="W197" s="74">
        <v>1335</v>
      </c>
      <c r="X197" s="347"/>
      <c r="Z197" s="75">
        <v>1600</v>
      </c>
      <c r="AA197" s="75">
        <v>2600</v>
      </c>
      <c r="AB197" s="76">
        <v>1700</v>
      </c>
      <c r="AC197" s="76">
        <v>2100</v>
      </c>
      <c r="AD197" s="69">
        <v>10</v>
      </c>
      <c r="AE197" s="69">
        <v>7.2</v>
      </c>
    </row>
    <row r="198" spans="1:31" ht="16.100000000000001" x14ac:dyDescent="0.35">
      <c r="A198"/>
      <c r="B198" s="66"/>
      <c r="C198" s="66" t="s">
        <v>78</v>
      </c>
      <c r="D198" s="51">
        <v>1918.41</v>
      </c>
      <c r="E198" s="51">
        <v>1845.24</v>
      </c>
      <c r="F198" s="51">
        <v>1840.21</v>
      </c>
      <c r="G198" s="51">
        <v>1836.06</v>
      </c>
      <c r="H198" s="51">
        <v>1918.03</v>
      </c>
      <c r="I198" s="51">
        <v>1947.62</v>
      </c>
      <c r="J198" s="51">
        <v>1843.45</v>
      </c>
      <c r="K198" s="51">
        <v>1836.35</v>
      </c>
      <c r="L198" s="51">
        <v>1925.95</v>
      </c>
      <c r="M198" s="51">
        <v>1860.49</v>
      </c>
      <c r="N198" s="51">
        <v>1841.7</v>
      </c>
      <c r="O198" s="51">
        <v>1851.62</v>
      </c>
      <c r="P198" s="51">
        <v>1850.28</v>
      </c>
      <c r="Q198" s="66"/>
      <c r="R198" s="66"/>
      <c r="S198" s="66"/>
      <c r="T198" s="66"/>
      <c r="U198" s="100"/>
      <c r="V198" s="77"/>
      <c r="W198" s="78"/>
      <c r="X198" s="347"/>
    </row>
    <row r="199" spans="1:31" ht="58.15" thickBot="1" x14ac:dyDescent="0.4">
      <c r="A199"/>
      <c r="B199" s="79"/>
      <c r="C199" s="79" t="s">
        <v>79</v>
      </c>
      <c r="D199" s="80">
        <f t="shared" ref="D199:P199" si="62">IF(((D197="")*AND(D198="")),"",(D197-D198)*2)</f>
        <v>1993.1799999999998</v>
      </c>
      <c r="E199" s="80">
        <f t="shared" si="62"/>
        <v>2014.56</v>
      </c>
      <c r="F199" s="80">
        <f t="shared" si="62"/>
        <v>2018.42</v>
      </c>
      <c r="G199" s="80">
        <f t="shared" si="62"/>
        <v>2046.58</v>
      </c>
      <c r="H199" s="80">
        <f t="shared" si="62"/>
        <v>2054.3799999999997</v>
      </c>
      <c r="I199" s="80">
        <f t="shared" si="62"/>
        <v>2034.04</v>
      </c>
      <c r="J199" s="80">
        <f t="shared" si="62"/>
        <v>2038.6200000000003</v>
      </c>
      <c r="K199" s="80">
        <f t="shared" si="62"/>
        <v>2026.5600000000004</v>
      </c>
      <c r="L199" s="80">
        <f t="shared" si="62"/>
        <v>1974.8399999999997</v>
      </c>
      <c r="M199" s="80">
        <f t="shared" si="62"/>
        <v>2017.7000000000003</v>
      </c>
      <c r="N199" s="80">
        <f t="shared" si="62"/>
        <v>2026.6200000000003</v>
      </c>
      <c r="O199" s="80">
        <f t="shared" si="62"/>
        <v>2056.6999999999998</v>
      </c>
      <c r="P199" s="80">
        <f t="shared" si="62"/>
        <v>2005.2800000000002</v>
      </c>
      <c r="Q199" s="90"/>
      <c r="R199" s="79"/>
      <c r="S199" s="79"/>
      <c r="T199" s="79"/>
      <c r="U199" s="101"/>
      <c r="V199" s="81"/>
      <c r="W199" s="82"/>
      <c r="X199" s="347"/>
    </row>
    <row r="200" spans="1:31" x14ac:dyDescent="0.3">
      <c r="A200" s="70">
        <v>43413</v>
      </c>
      <c r="B200" s="71" t="s">
        <v>76</v>
      </c>
      <c r="C200" s="72" t="s">
        <v>77</v>
      </c>
      <c r="D200" s="51">
        <v>2978.47</v>
      </c>
      <c r="E200" s="51">
        <v>2872.92</v>
      </c>
      <c r="F200" s="51">
        <v>2849.14</v>
      </c>
      <c r="G200" s="51">
        <v>2847.52</v>
      </c>
      <c r="H200" s="51">
        <v>2916.67</v>
      </c>
      <c r="I200" s="51">
        <v>2909.45</v>
      </c>
      <c r="J200" s="51">
        <v>2852.21</v>
      </c>
      <c r="K200" s="51">
        <v>2861.84</v>
      </c>
      <c r="L200" s="51">
        <v>2932.31</v>
      </c>
      <c r="M200" s="51">
        <v>2874.94</v>
      </c>
      <c r="N200" s="51">
        <v>2861.4</v>
      </c>
      <c r="O200" s="51">
        <v>2853.91</v>
      </c>
      <c r="P200" s="51">
        <v>2881.91</v>
      </c>
      <c r="Q200" s="72">
        <f>IF((P201=""),"",MAX(D202:P202))</f>
        <v>2044.1200000000003</v>
      </c>
      <c r="R200" s="72">
        <f>IF(P201="","",MIN(D202:P202))</f>
        <v>1988.3199999999997</v>
      </c>
      <c r="S200" s="72">
        <f>IF((P202=""),"",AVERAGE(D202:P202))</f>
        <v>2029.8184615384614</v>
      </c>
      <c r="T200" s="72">
        <f>IF((P201=""),"",STDEV(D202:P202))</f>
        <v>15.069734484585284</v>
      </c>
      <c r="U200" s="99">
        <f>IF((P201=""),"",((Q200-R200)/(Q200+R200))*100)</f>
        <v>1.3837775639563299</v>
      </c>
      <c r="V200" s="73" t="str">
        <f>IF(P201="","",IF(U200&lt;7.2,IF(S200&gt;1700,IF(S200&lt;2100,"Pass","Fail"),"Fail"),"Fail"))</f>
        <v>Pass</v>
      </c>
      <c r="W200" s="74">
        <v>1428</v>
      </c>
      <c r="X200" s="347"/>
      <c r="Z200" s="75">
        <v>1600</v>
      </c>
      <c r="AA200" s="75">
        <v>2600</v>
      </c>
      <c r="AB200" s="76">
        <v>1700</v>
      </c>
      <c r="AC200" s="76">
        <v>2100</v>
      </c>
      <c r="AD200" s="69">
        <v>10</v>
      </c>
      <c r="AE200" s="69">
        <v>7.2</v>
      </c>
    </row>
    <row r="201" spans="1:31" ht="16.100000000000001" x14ac:dyDescent="0.35">
      <c r="A201"/>
      <c r="B201" s="66"/>
      <c r="C201" s="66" t="s">
        <v>78</v>
      </c>
      <c r="D201" s="51">
        <v>1956.45</v>
      </c>
      <c r="E201" s="51">
        <v>1860.11</v>
      </c>
      <c r="F201" s="51">
        <v>1837.43</v>
      </c>
      <c r="G201" s="51">
        <v>1829.75</v>
      </c>
      <c r="H201" s="51">
        <v>1894.61</v>
      </c>
      <c r="I201" s="51">
        <v>1889.79</v>
      </c>
      <c r="J201" s="51">
        <v>1840.23</v>
      </c>
      <c r="K201" s="51">
        <v>1842.58</v>
      </c>
      <c r="L201" s="51">
        <v>1938.15</v>
      </c>
      <c r="M201" s="51">
        <v>1865.62</v>
      </c>
      <c r="N201" s="51">
        <v>1841.09</v>
      </c>
      <c r="O201" s="51">
        <v>1835.14</v>
      </c>
      <c r="P201" s="51">
        <v>1867.92</v>
      </c>
      <c r="Q201" s="66"/>
      <c r="R201" s="66"/>
      <c r="S201" s="66"/>
      <c r="T201" s="66"/>
      <c r="U201" s="100"/>
      <c r="V201" s="77"/>
      <c r="W201" s="78"/>
      <c r="X201" s="347"/>
    </row>
    <row r="202" spans="1:31" ht="58.15" thickBot="1" x14ac:dyDescent="0.4">
      <c r="A202"/>
      <c r="B202" s="79"/>
      <c r="C202" s="79" t="s">
        <v>79</v>
      </c>
      <c r="D202" s="80">
        <f t="shared" ref="D202:P202" si="63">IF(((D200="")*AND(D201="")),"",(D200-D201)*2)</f>
        <v>2044.0399999999995</v>
      </c>
      <c r="E202" s="80">
        <f t="shared" si="63"/>
        <v>2025.6200000000003</v>
      </c>
      <c r="F202" s="80">
        <f t="shared" si="63"/>
        <v>2023.4199999999996</v>
      </c>
      <c r="G202" s="80">
        <f t="shared" si="63"/>
        <v>2035.54</v>
      </c>
      <c r="H202" s="80">
        <f t="shared" si="63"/>
        <v>2044.1200000000003</v>
      </c>
      <c r="I202" s="80">
        <f t="shared" si="63"/>
        <v>2039.3199999999997</v>
      </c>
      <c r="J202" s="80">
        <f t="shared" si="63"/>
        <v>2023.96</v>
      </c>
      <c r="K202" s="80">
        <f t="shared" si="63"/>
        <v>2038.5200000000004</v>
      </c>
      <c r="L202" s="80">
        <f t="shared" si="63"/>
        <v>1988.3199999999997</v>
      </c>
      <c r="M202" s="80">
        <f t="shared" si="63"/>
        <v>2018.6400000000003</v>
      </c>
      <c r="N202" s="80">
        <f t="shared" si="63"/>
        <v>2040.6200000000003</v>
      </c>
      <c r="O202" s="80">
        <f t="shared" si="63"/>
        <v>2037.5399999999995</v>
      </c>
      <c r="P202" s="80">
        <f t="shared" si="63"/>
        <v>2027.9799999999996</v>
      </c>
      <c r="Q202" s="90"/>
      <c r="R202" s="79"/>
      <c r="S202" s="79"/>
      <c r="T202" s="79"/>
      <c r="U202" s="101"/>
      <c r="V202" s="81"/>
      <c r="W202" s="82"/>
      <c r="X202" s="347"/>
    </row>
    <row r="203" spans="1:31" x14ac:dyDescent="0.3">
      <c r="A203" s="70">
        <v>43424</v>
      </c>
      <c r="B203" s="71" t="s">
        <v>76</v>
      </c>
      <c r="C203" s="72" t="s">
        <v>77</v>
      </c>
      <c r="D203" s="51">
        <v>2900.73</v>
      </c>
      <c r="E203" s="51">
        <v>2853.21</v>
      </c>
      <c r="F203" s="51">
        <v>2851.4</v>
      </c>
      <c r="G203" s="51">
        <v>2872.29</v>
      </c>
      <c r="H203" s="51">
        <v>2972.35</v>
      </c>
      <c r="I203" s="51">
        <v>2903.29</v>
      </c>
      <c r="J203" s="51">
        <v>2850.03</v>
      </c>
      <c r="K203" s="51">
        <v>2872.36</v>
      </c>
      <c r="L203" s="51">
        <v>2971.51</v>
      </c>
      <c r="M203" s="51">
        <v>2854.32</v>
      </c>
      <c r="N203" s="51">
        <v>2890.08</v>
      </c>
      <c r="O203" s="51">
        <v>2868.36</v>
      </c>
      <c r="P203" s="51">
        <v>2866.89</v>
      </c>
      <c r="Q203" s="72">
        <f>IF((P204=""),"",MAX(D205:P205))</f>
        <v>2081.8599999999997</v>
      </c>
      <c r="R203" s="72">
        <f>IF(P204="","",MIN(D205:P205))</f>
        <v>2003.7600000000002</v>
      </c>
      <c r="S203" s="72">
        <f>IF((P205=""),"",AVERAGE(D205:P205))</f>
        <v>2048.5661538461541</v>
      </c>
      <c r="T203" s="72">
        <f>IF((P204=""),"",STDEV(D205:P205))</f>
        <v>22.087752842718483</v>
      </c>
      <c r="U203" s="99">
        <f>IF((P204=""),"",((Q203-R203)/(Q203+R203))*100)</f>
        <v>1.9115825749824862</v>
      </c>
      <c r="V203" s="73" t="str">
        <f>IF(P204="","",IF(U203&lt;7.2,IF(S203&gt;1700,IF(S203&lt;2100,"Pass","Fail"),"Fail"),"Fail"))</f>
        <v>Pass</v>
      </c>
      <c r="W203" s="74">
        <v>1335</v>
      </c>
      <c r="X203" s="335" t="s">
        <v>97</v>
      </c>
      <c r="Z203" s="75">
        <v>1600</v>
      </c>
      <c r="AA203" s="75">
        <v>2600</v>
      </c>
      <c r="AB203" s="76">
        <v>1700</v>
      </c>
      <c r="AC203" s="76">
        <v>2100</v>
      </c>
      <c r="AD203" s="69">
        <v>10</v>
      </c>
      <c r="AE203" s="69">
        <v>7.2</v>
      </c>
    </row>
    <row r="204" spans="1:31" ht="16.100000000000001" x14ac:dyDescent="0.35">
      <c r="A204"/>
      <c r="B204" s="66"/>
      <c r="C204" s="66" t="s">
        <v>78</v>
      </c>
      <c r="D204" s="51">
        <v>1898.85</v>
      </c>
      <c r="E204" s="51">
        <v>1835.32</v>
      </c>
      <c r="F204" s="51">
        <v>1828.99</v>
      </c>
      <c r="G204" s="51">
        <v>1831.41</v>
      </c>
      <c r="H204" s="51">
        <v>1941.17</v>
      </c>
      <c r="I204" s="51">
        <v>1879.48</v>
      </c>
      <c r="J204" s="51">
        <v>1825.09</v>
      </c>
      <c r="K204" s="51">
        <v>1844.92</v>
      </c>
      <c r="L204" s="51">
        <v>1957.29</v>
      </c>
      <c r="M204" s="51">
        <v>1837.93</v>
      </c>
      <c r="N204" s="51">
        <v>1849.15</v>
      </c>
      <c r="O204" s="51">
        <v>1833.45</v>
      </c>
      <c r="P204" s="51">
        <v>1848.09</v>
      </c>
      <c r="Q204" s="66"/>
      <c r="R204" s="66"/>
      <c r="S204" s="66"/>
      <c r="T204" s="66"/>
      <c r="U204" s="100"/>
      <c r="V204" s="77"/>
      <c r="W204" s="78"/>
      <c r="X204" s="347"/>
    </row>
    <row r="205" spans="1:31" ht="58.15" thickBot="1" x14ac:dyDescent="0.4">
      <c r="A205"/>
      <c r="B205" s="79"/>
      <c r="C205" s="79" t="s">
        <v>79</v>
      </c>
      <c r="D205" s="80">
        <f t="shared" ref="D205:P205" si="64">IF(((D203="")*AND(D204="")),"",(D203-D204)*2)</f>
        <v>2003.7600000000002</v>
      </c>
      <c r="E205" s="80">
        <f t="shared" si="64"/>
        <v>2035.7800000000002</v>
      </c>
      <c r="F205" s="80">
        <f t="shared" si="64"/>
        <v>2044.8200000000002</v>
      </c>
      <c r="G205" s="80">
        <f t="shared" si="64"/>
        <v>2081.7599999999998</v>
      </c>
      <c r="H205" s="80">
        <f t="shared" si="64"/>
        <v>2062.3599999999997</v>
      </c>
      <c r="I205" s="80">
        <f t="shared" si="64"/>
        <v>2047.62</v>
      </c>
      <c r="J205" s="80">
        <f t="shared" si="64"/>
        <v>2049.8800000000006</v>
      </c>
      <c r="K205" s="80">
        <f t="shared" si="64"/>
        <v>2054.88</v>
      </c>
      <c r="L205" s="80">
        <f t="shared" si="64"/>
        <v>2028.4400000000005</v>
      </c>
      <c r="M205" s="80">
        <f t="shared" si="64"/>
        <v>2032.7800000000002</v>
      </c>
      <c r="N205" s="80">
        <f t="shared" si="64"/>
        <v>2081.8599999999997</v>
      </c>
      <c r="O205" s="80">
        <f t="shared" si="64"/>
        <v>2069.8200000000002</v>
      </c>
      <c r="P205" s="80">
        <f t="shared" si="64"/>
        <v>2037.6</v>
      </c>
      <c r="Q205" s="90"/>
      <c r="R205" s="79"/>
      <c r="S205" s="79"/>
      <c r="T205" s="79"/>
      <c r="U205" s="101"/>
      <c r="V205" s="81"/>
      <c r="W205" s="82"/>
      <c r="X205" s="347"/>
    </row>
    <row r="206" spans="1:31" x14ac:dyDescent="0.3">
      <c r="A206" s="70">
        <v>43430</v>
      </c>
      <c r="B206" s="71" t="s">
        <v>76</v>
      </c>
      <c r="C206" s="72" t="s">
        <v>77</v>
      </c>
      <c r="D206" s="51">
        <v>2893.72</v>
      </c>
      <c r="E206" s="51">
        <v>2849.5</v>
      </c>
      <c r="F206" s="51">
        <v>2849.45</v>
      </c>
      <c r="G206" s="51">
        <v>2866.21</v>
      </c>
      <c r="H206" s="51">
        <v>2971.33</v>
      </c>
      <c r="I206" s="51">
        <v>2900.54</v>
      </c>
      <c r="J206" s="51">
        <v>2850.71</v>
      </c>
      <c r="K206" s="51">
        <v>2868.41</v>
      </c>
      <c r="L206" s="51">
        <v>2963.92</v>
      </c>
      <c r="M206" s="51">
        <v>2850.63</v>
      </c>
      <c r="N206" s="51">
        <v>2885.69</v>
      </c>
      <c r="O206" s="51">
        <v>2868</v>
      </c>
      <c r="P206" s="51">
        <v>2862.35</v>
      </c>
      <c r="Q206" s="72">
        <f>IF((P207=""),"",MAX(D208:P208))</f>
        <v>2081.52</v>
      </c>
      <c r="R206" s="72">
        <f>IF(P207="","",MIN(D208:P208))</f>
        <v>1981.8999999999996</v>
      </c>
      <c r="S206" s="72">
        <f>IF((P208=""),"",AVERAGE(D208:P208))</f>
        <v>2041.3815384615384</v>
      </c>
      <c r="T206" s="72">
        <f>IF((P207=""),"",STDEV(D208:P208))</f>
        <v>26.514233236180306</v>
      </c>
      <c r="U206" s="99">
        <f>IF((P207=""),"",((Q206-R206)/(Q206+R206))*100)</f>
        <v>2.4516294156154266</v>
      </c>
      <c r="V206" s="73" t="str">
        <f>IF(P207="","",IF(U206&lt;7.2,IF(S206&gt;1700,IF(S206&lt;2100,"Pass","Fail"),"Fail"),"Fail"))</f>
        <v>Pass</v>
      </c>
      <c r="W206" s="74">
        <v>74</v>
      </c>
      <c r="X206" s="347"/>
      <c r="Z206" s="75">
        <v>1600</v>
      </c>
      <c r="AA206" s="75">
        <v>2600</v>
      </c>
      <c r="AB206" s="76">
        <v>1700</v>
      </c>
      <c r="AC206" s="76">
        <v>2100</v>
      </c>
      <c r="AD206" s="69">
        <v>10</v>
      </c>
      <c r="AE206" s="69">
        <v>7.2</v>
      </c>
    </row>
    <row r="207" spans="1:31" ht="16.100000000000001" x14ac:dyDescent="0.35">
      <c r="A207"/>
      <c r="B207" s="66"/>
      <c r="C207" s="66" t="s">
        <v>78</v>
      </c>
      <c r="D207" s="51">
        <v>1902.77</v>
      </c>
      <c r="E207" s="51">
        <v>1835.15</v>
      </c>
      <c r="F207" s="51">
        <v>1831.68</v>
      </c>
      <c r="G207" s="51">
        <v>1833.64</v>
      </c>
      <c r="H207" s="51">
        <v>1930.57</v>
      </c>
      <c r="I207" s="51">
        <v>1874.85</v>
      </c>
      <c r="J207" s="51">
        <v>1832.17</v>
      </c>
      <c r="K207" s="51">
        <v>1849.26</v>
      </c>
      <c r="L207" s="51">
        <v>1951.06</v>
      </c>
      <c r="M207" s="51">
        <v>1835.48</v>
      </c>
      <c r="N207" s="51">
        <v>1851.29</v>
      </c>
      <c r="O207" s="51">
        <v>1832.25</v>
      </c>
      <c r="P207" s="51">
        <v>1851.31</v>
      </c>
      <c r="Q207" s="66"/>
      <c r="R207" s="66"/>
      <c r="S207" s="66"/>
      <c r="T207" s="66"/>
      <c r="U207" s="100"/>
      <c r="V207" s="77"/>
      <c r="W207" s="78"/>
      <c r="X207" s="347"/>
    </row>
    <row r="208" spans="1:31" ht="58.15" thickBot="1" x14ac:dyDescent="0.4">
      <c r="A208"/>
      <c r="B208" s="79"/>
      <c r="C208" s="79" t="s">
        <v>79</v>
      </c>
      <c r="D208" s="80">
        <f t="shared" ref="D208:P208" si="65">IF(((D206="")*AND(D207="")),"",(D206-D207)*2)</f>
        <v>1981.8999999999996</v>
      </c>
      <c r="E208" s="80">
        <f t="shared" si="65"/>
        <v>2028.6999999999998</v>
      </c>
      <c r="F208" s="80">
        <f t="shared" si="65"/>
        <v>2035.5399999999995</v>
      </c>
      <c r="G208" s="80">
        <f t="shared" si="65"/>
        <v>2065.14</v>
      </c>
      <c r="H208" s="80">
        <f t="shared" si="65"/>
        <v>2081.52</v>
      </c>
      <c r="I208" s="80">
        <f t="shared" si="65"/>
        <v>2051.38</v>
      </c>
      <c r="J208" s="80">
        <f t="shared" si="65"/>
        <v>2037.08</v>
      </c>
      <c r="K208" s="80">
        <f t="shared" si="65"/>
        <v>2038.2999999999997</v>
      </c>
      <c r="L208" s="80">
        <f t="shared" si="65"/>
        <v>2025.7200000000003</v>
      </c>
      <c r="M208" s="80">
        <f t="shared" si="65"/>
        <v>2030.3000000000002</v>
      </c>
      <c r="N208" s="80">
        <f t="shared" si="65"/>
        <v>2068.8000000000002</v>
      </c>
      <c r="O208" s="80">
        <f t="shared" si="65"/>
        <v>2071.5</v>
      </c>
      <c r="P208" s="80">
        <f t="shared" si="65"/>
        <v>2022.08</v>
      </c>
      <c r="Q208" s="90"/>
      <c r="R208" s="79"/>
      <c r="S208" s="79"/>
      <c r="T208" s="79"/>
      <c r="U208" s="101"/>
      <c r="V208" s="81"/>
      <c r="W208" s="82"/>
      <c r="X208" s="347"/>
    </row>
    <row r="209" spans="1:31" x14ac:dyDescent="0.3">
      <c r="A209" s="70">
        <v>43438</v>
      </c>
      <c r="B209" s="71" t="s">
        <v>76</v>
      </c>
      <c r="C209" s="72" t="s">
        <v>77</v>
      </c>
      <c r="D209" s="51">
        <v>2902.16</v>
      </c>
      <c r="E209" s="51">
        <v>2847.46</v>
      </c>
      <c r="F209" s="51">
        <v>2850.11</v>
      </c>
      <c r="G209" s="51">
        <v>2868.12</v>
      </c>
      <c r="H209" s="51">
        <v>2965.57</v>
      </c>
      <c r="I209" s="51">
        <v>2901.15</v>
      </c>
      <c r="J209" s="51">
        <v>2850.21</v>
      </c>
      <c r="K209" s="51">
        <v>2869.93</v>
      </c>
      <c r="L209" s="51">
        <v>2970.61</v>
      </c>
      <c r="M209" s="51">
        <v>2852.62</v>
      </c>
      <c r="N209" s="51">
        <v>2888.3</v>
      </c>
      <c r="O209" s="51">
        <v>2866.53</v>
      </c>
      <c r="P209" s="51">
        <v>2864.3</v>
      </c>
      <c r="Q209" s="72">
        <f>IF((P210=""),"",MAX(D211:P211))</f>
        <v>2094.3200000000002</v>
      </c>
      <c r="R209" s="72">
        <f>IF(P210="","",MIN(D211:P211))</f>
        <v>2015.5599999999995</v>
      </c>
      <c r="S209" s="72">
        <f>IF((P211=""),"",AVERAGE(D211:P211))</f>
        <v>2061.8923076923074</v>
      </c>
      <c r="T209" s="72">
        <f>IF((P210=""),"",STDEV(D211:P211))</f>
        <v>20.265460827825013</v>
      </c>
      <c r="U209" s="99">
        <f>IF((P210=""),"",((Q209-R209)/(Q209+R209))*100)</f>
        <v>1.916357655211361</v>
      </c>
      <c r="V209" s="73" t="str">
        <f>IF(P210="","",IF(U209&lt;7.2,IF(S209&gt;1700,IF(S209&lt;2100,"Pass","Fail"),"Fail"),"Fail"))</f>
        <v>Pass</v>
      </c>
      <c r="W209" s="74">
        <v>1340</v>
      </c>
      <c r="X209" s="347"/>
      <c r="Z209" s="75">
        <v>1600</v>
      </c>
      <c r="AA209" s="75">
        <v>2600</v>
      </c>
      <c r="AB209" s="76">
        <v>1700</v>
      </c>
      <c r="AC209" s="76">
        <v>2100</v>
      </c>
      <c r="AD209" s="69">
        <v>10</v>
      </c>
      <c r="AE209" s="69">
        <v>7.2</v>
      </c>
    </row>
    <row r="210" spans="1:31" ht="16.100000000000001" x14ac:dyDescent="0.35">
      <c r="A210"/>
      <c r="B210" s="66"/>
      <c r="C210" s="66" t="s">
        <v>78</v>
      </c>
      <c r="D210" s="51">
        <v>1894.38</v>
      </c>
      <c r="E210" s="51">
        <v>1824.53</v>
      </c>
      <c r="F210" s="51">
        <v>1821.45</v>
      </c>
      <c r="G210" s="51">
        <v>1832.22</v>
      </c>
      <c r="H210" s="51">
        <v>1918.41</v>
      </c>
      <c r="I210" s="51">
        <v>1865.34</v>
      </c>
      <c r="J210" s="51">
        <v>1822.94</v>
      </c>
      <c r="K210" s="51">
        <v>1838.53</v>
      </c>
      <c r="L210" s="51">
        <v>1941.55</v>
      </c>
      <c r="M210" s="51">
        <v>1827.86</v>
      </c>
      <c r="N210" s="51">
        <v>1844.12</v>
      </c>
      <c r="O210" s="51">
        <v>1826.96</v>
      </c>
      <c r="P210" s="51">
        <v>1836.48</v>
      </c>
      <c r="Q210" s="66"/>
      <c r="R210" s="66"/>
      <c r="S210" s="66"/>
      <c r="T210" s="66"/>
      <c r="U210" s="100"/>
      <c r="V210" s="77"/>
      <c r="W210" s="78"/>
      <c r="X210" s="347"/>
    </row>
    <row r="211" spans="1:31" ht="58.15" thickBot="1" x14ac:dyDescent="0.4">
      <c r="A211"/>
      <c r="B211" s="79"/>
      <c r="C211" s="79" t="s">
        <v>79</v>
      </c>
      <c r="D211" s="80">
        <f t="shared" ref="D211:P211" si="66">IF(((D209="")*AND(D210="")),"",(D209-D210)*2)</f>
        <v>2015.5599999999995</v>
      </c>
      <c r="E211" s="80">
        <f t="shared" si="66"/>
        <v>2045.8600000000001</v>
      </c>
      <c r="F211" s="80">
        <f t="shared" si="66"/>
        <v>2057.3200000000002</v>
      </c>
      <c r="G211" s="80">
        <f t="shared" si="66"/>
        <v>2071.7999999999997</v>
      </c>
      <c r="H211" s="80">
        <f t="shared" si="66"/>
        <v>2094.3200000000002</v>
      </c>
      <c r="I211" s="80">
        <f t="shared" si="66"/>
        <v>2071.6200000000003</v>
      </c>
      <c r="J211" s="80">
        <f t="shared" si="66"/>
        <v>2054.54</v>
      </c>
      <c r="K211" s="80">
        <f t="shared" si="66"/>
        <v>2062.7999999999997</v>
      </c>
      <c r="L211" s="80">
        <f t="shared" si="66"/>
        <v>2058.1200000000003</v>
      </c>
      <c r="M211" s="80">
        <f t="shared" si="66"/>
        <v>2049.52</v>
      </c>
      <c r="N211" s="80">
        <f t="shared" si="66"/>
        <v>2088.3600000000006</v>
      </c>
      <c r="O211" s="80">
        <f t="shared" si="66"/>
        <v>2079.1400000000003</v>
      </c>
      <c r="P211" s="80">
        <f t="shared" si="66"/>
        <v>2055.6400000000003</v>
      </c>
      <c r="Q211" s="90"/>
      <c r="R211" s="79"/>
      <c r="S211" s="79"/>
      <c r="T211" s="79"/>
      <c r="U211" s="101"/>
      <c r="V211" s="81"/>
      <c r="W211" s="82"/>
      <c r="X211" s="347"/>
    </row>
    <row r="212" spans="1:31" x14ac:dyDescent="0.3">
      <c r="A212" s="70">
        <v>43452</v>
      </c>
      <c r="B212" s="71" t="s">
        <v>76</v>
      </c>
      <c r="C212" s="72" t="s">
        <v>77</v>
      </c>
      <c r="D212" s="51">
        <v>2948.49</v>
      </c>
      <c r="E212" s="51">
        <v>2840.39</v>
      </c>
      <c r="F212" s="51">
        <v>2820.64</v>
      </c>
      <c r="G212" s="51">
        <v>2825.99</v>
      </c>
      <c r="H212" s="51">
        <v>2898.02</v>
      </c>
      <c r="I212" s="51">
        <v>2881.41</v>
      </c>
      <c r="J212" s="51">
        <v>2822.7</v>
      </c>
      <c r="K212" s="51">
        <v>2841.31</v>
      </c>
      <c r="L212" s="51">
        <v>2943.48</v>
      </c>
      <c r="M212" s="51">
        <v>2838.53</v>
      </c>
      <c r="N212" s="51">
        <v>2841.64</v>
      </c>
      <c r="O212" s="51">
        <v>2829.58</v>
      </c>
      <c r="P212" s="51">
        <v>2859.08</v>
      </c>
      <c r="Q212" s="72">
        <f>IF((P213=""),"",MAX(D214:P214))</f>
        <v>2073.8999999999996</v>
      </c>
      <c r="R212" s="72">
        <f>IF(P213="","",MIN(D214:P214))</f>
        <v>2005.42</v>
      </c>
      <c r="S212" s="72">
        <f>IF((P214=""),"",AVERAGE(D214:P214))</f>
        <v>2048.1799999999998</v>
      </c>
      <c r="T212" s="72">
        <f>IF((P213=""),"",STDEV(D214:P214))</f>
        <v>17.023977208631333</v>
      </c>
      <c r="U212" s="99">
        <f>IF((P213=""),"",((Q212-R212)/(Q212+R212))*100)</f>
        <v>1.678711157741966</v>
      </c>
      <c r="V212" s="73" t="str">
        <f>IF(P213="","",IF(U212&lt;7.2,IF(S212&gt;1700,IF(S212&lt;2100,"Pass","Fail"),"Fail"),"Fail"))</f>
        <v>Pass</v>
      </c>
      <c r="W212" s="74">
        <v>1340</v>
      </c>
      <c r="X212" s="347"/>
      <c r="Z212" s="75">
        <v>1600</v>
      </c>
      <c r="AA212" s="75">
        <v>2600</v>
      </c>
      <c r="AB212" s="76">
        <v>1700</v>
      </c>
      <c r="AC212" s="76">
        <v>2100</v>
      </c>
      <c r="AD212" s="69">
        <v>10</v>
      </c>
      <c r="AE212" s="69">
        <v>7.2</v>
      </c>
    </row>
    <row r="213" spans="1:31" ht="16.100000000000001" x14ac:dyDescent="0.35">
      <c r="A213"/>
      <c r="B213" s="66"/>
      <c r="C213" s="66" t="s">
        <v>78</v>
      </c>
      <c r="D213" s="51">
        <v>1932.64</v>
      </c>
      <c r="E213" s="51">
        <v>1815.49</v>
      </c>
      <c r="F213" s="51">
        <v>1794.85</v>
      </c>
      <c r="G213" s="51">
        <v>1794.8</v>
      </c>
      <c r="H213" s="51">
        <v>1871.99</v>
      </c>
      <c r="I213" s="51">
        <v>1862.98</v>
      </c>
      <c r="J213" s="51">
        <v>1797.09</v>
      </c>
      <c r="K213" s="51">
        <v>1812.1</v>
      </c>
      <c r="L213" s="51">
        <v>1940.77</v>
      </c>
      <c r="M213" s="51">
        <v>1815.56</v>
      </c>
      <c r="N213" s="51">
        <v>1804.69</v>
      </c>
      <c r="O213" s="51">
        <v>1798.06</v>
      </c>
      <c r="P213" s="51">
        <v>1837.07</v>
      </c>
      <c r="Q213" s="66"/>
      <c r="R213" s="66"/>
      <c r="S213" s="66"/>
      <c r="T213" s="66"/>
      <c r="U213" s="100"/>
      <c r="V213" s="77"/>
      <c r="W213" s="78"/>
      <c r="X213" s="347"/>
    </row>
    <row r="214" spans="1:31" ht="58.15" thickBot="1" x14ac:dyDescent="0.4">
      <c r="A214"/>
      <c r="B214" s="79"/>
      <c r="C214" s="79" t="s">
        <v>79</v>
      </c>
      <c r="D214" s="80">
        <f t="shared" ref="D214:P214" si="67">IF(((D212="")*AND(D213="")),"",(D212-D213)*2)</f>
        <v>2031.6999999999994</v>
      </c>
      <c r="E214" s="80">
        <f t="shared" si="67"/>
        <v>2049.7999999999997</v>
      </c>
      <c r="F214" s="80">
        <f t="shared" si="67"/>
        <v>2051.58</v>
      </c>
      <c r="G214" s="80">
        <f t="shared" si="67"/>
        <v>2062.3799999999997</v>
      </c>
      <c r="H214" s="80">
        <f t="shared" si="67"/>
        <v>2052.06</v>
      </c>
      <c r="I214" s="80">
        <f t="shared" si="67"/>
        <v>2036.8599999999997</v>
      </c>
      <c r="J214" s="80">
        <f t="shared" si="67"/>
        <v>2051.2199999999998</v>
      </c>
      <c r="K214" s="80">
        <f t="shared" si="67"/>
        <v>2058.42</v>
      </c>
      <c r="L214" s="80">
        <f t="shared" si="67"/>
        <v>2005.42</v>
      </c>
      <c r="M214" s="80">
        <f t="shared" si="67"/>
        <v>2045.9400000000005</v>
      </c>
      <c r="N214" s="80">
        <f t="shared" si="67"/>
        <v>2073.8999999999996</v>
      </c>
      <c r="O214" s="80">
        <f t="shared" si="67"/>
        <v>2063.04</v>
      </c>
      <c r="P214" s="80">
        <f t="shared" si="67"/>
        <v>2044.02</v>
      </c>
      <c r="Q214" s="90"/>
      <c r="R214" s="79"/>
      <c r="S214" s="79"/>
      <c r="T214" s="79"/>
      <c r="U214" s="101"/>
      <c r="V214" s="81"/>
      <c r="W214" s="82"/>
      <c r="X214" s="347"/>
    </row>
    <row r="215" spans="1:31" x14ac:dyDescent="0.3">
      <c r="A215" s="70">
        <v>43452</v>
      </c>
      <c r="B215" s="71" t="s">
        <v>76</v>
      </c>
      <c r="C215" s="72" t="s">
        <v>77</v>
      </c>
      <c r="D215" s="51">
        <v>1935.2</v>
      </c>
      <c r="E215" s="51">
        <v>1817.42</v>
      </c>
      <c r="F215" s="51">
        <v>1800.3</v>
      </c>
      <c r="G215" s="51">
        <v>1793.87</v>
      </c>
      <c r="H215" s="51">
        <v>1872.56</v>
      </c>
      <c r="I215" s="51">
        <v>1865.2</v>
      </c>
      <c r="J215" s="51">
        <v>1796.95</v>
      </c>
      <c r="K215" s="51">
        <v>1815.33</v>
      </c>
      <c r="L215" s="51">
        <v>1942.02</v>
      </c>
      <c r="M215" s="51">
        <v>1813.76</v>
      </c>
      <c r="N215" s="51">
        <v>1804.47</v>
      </c>
      <c r="O215" s="51">
        <v>1799.03</v>
      </c>
      <c r="P215" s="51">
        <v>1836.37</v>
      </c>
      <c r="Q215" s="72">
        <f>IF((P216=""),"",MAX(D217:P217))</f>
        <v>1971.2799999999997</v>
      </c>
      <c r="R215" s="72">
        <f>IF(P216="","",MIN(D217:P217))</f>
        <v>1802.52</v>
      </c>
      <c r="S215" s="72">
        <f>IF((P217=""),"",AVERAGE(D217:P217))</f>
        <v>1925.9830769230766</v>
      </c>
      <c r="T215" s="72">
        <f>IF((P216=""),"",STDEV(D217:P217))</f>
        <v>56.05254014235441</v>
      </c>
      <c r="U215" s="99">
        <f>IF((P216=""),"",((Q215-R215)/(Q215+R215))*100)</f>
        <v>4.4718851025491491</v>
      </c>
      <c r="V215" s="73" t="str">
        <f>IF(P216="","",IF(U215&lt;7.2,IF(S215&gt;1700,IF(S215&lt;2100,"Pass","Fail"),"Fail"),"Fail"))</f>
        <v>Pass</v>
      </c>
      <c r="W215" s="74">
        <v>1428</v>
      </c>
      <c r="X215" s="347"/>
      <c r="Z215" s="75">
        <v>1600</v>
      </c>
      <c r="AA215" s="75">
        <v>2600</v>
      </c>
      <c r="AB215" s="76">
        <v>1700</v>
      </c>
      <c r="AC215" s="76">
        <v>2100</v>
      </c>
      <c r="AD215" s="69">
        <v>10</v>
      </c>
      <c r="AE215" s="69">
        <v>7.2</v>
      </c>
    </row>
    <row r="216" spans="1:31" ht="16.100000000000001" x14ac:dyDescent="0.35">
      <c r="A216"/>
      <c r="B216" s="66"/>
      <c r="C216" s="66" t="s">
        <v>78</v>
      </c>
      <c r="D216" s="51">
        <v>1019.91</v>
      </c>
      <c r="E216" s="51">
        <v>842.23</v>
      </c>
      <c r="F216" s="51">
        <v>816.53</v>
      </c>
      <c r="G216" s="51">
        <v>808.23</v>
      </c>
      <c r="H216" s="51">
        <v>931.85</v>
      </c>
      <c r="I216" s="51">
        <v>916.12</v>
      </c>
      <c r="J216" s="51">
        <v>819.63</v>
      </c>
      <c r="K216" s="51">
        <v>832.4</v>
      </c>
      <c r="L216" s="51">
        <v>1040.76</v>
      </c>
      <c r="M216" s="51">
        <v>841.63</v>
      </c>
      <c r="N216" s="51">
        <v>822.51</v>
      </c>
      <c r="O216" s="51">
        <v>814.22</v>
      </c>
      <c r="P216" s="51">
        <v>867.57</v>
      </c>
      <c r="Q216" s="66"/>
      <c r="R216" s="66"/>
      <c r="S216" s="66"/>
      <c r="T216" s="66"/>
      <c r="U216" s="100"/>
      <c r="V216" s="77"/>
      <c r="W216" s="78"/>
      <c r="X216" s="347"/>
    </row>
    <row r="217" spans="1:31" ht="58.15" thickBot="1" x14ac:dyDescent="0.4">
      <c r="A217"/>
      <c r="B217" s="79"/>
      <c r="C217" s="79" t="s">
        <v>79</v>
      </c>
      <c r="D217" s="80">
        <f t="shared" ref="D217:P217" si="68">IF(((D215="")*AND(D216="")),"",(D215-D216)*2)</f>
        <v>1830.5800000000002</v>
      </c>
      <c r="E217" s="80">
        <f t="shared" si="68"/>
        <v>1950.38</v>
      </c>
      <c r="F217" s="80">
        <f t="shared" si="68"/>
        <v>1967.54</v>
      </c>
      <c r="G217" s="80">
        <f t="shared" si="68"/>
        <v>1971.2799999999997</v>
      </c>
      <c r="H217" s="80">
        <f t="shared" si="68"/>
        <v>1881.4199999999998</v>
      </c>
      <c r="I217" s="80">
        <f t="shared" si="68"/>
        <v>1898.16</v>
      </c>
      <c r="J217" s="80">
        <f t="shared" si="68"/>
        <v>1954.64</v>
      </c>
      <c r="K217" s="80">
        <f t="shared" si="68"/>
        <v>1965.86</v>
      </c>
      <c r="L217" s="80">
        <f t="shared" si="68"/>
        <v>1802.52</v>
      </c>
      <c r="M217" s="80">
        <f t="shared" si="68"/>
        <v>1944.26</v>
      </c>
      <c r="N217" s="80">
        <f t="shared" si="68"/>
        <v>1963.92</v>
      </c>
      <c r="O217" s="80">
        <f t="shared" si="68"/>
        <v>1969.62</v>
      </c>
      <c r="P217" s="80">
        <f t="shared" si="68"/>
        <v>1937.5999999999997</v>
      </c>
      <c r="Q217" s="90"/>
      <c r="R217" s="79"/>
      <c r="S217" s="79"/>
      <c r="T217" s="79"/>
      <c r="U217" s="101"/>
      <c r="V217" s="81"/>
      <c r="W217" s="82"/>
      <c r="X217" s="347"/>
    </row>
    <row r="218" spans="1:31" x14ac:dyDescent="0.3">
      <c r="A218" s="70">
        <v>43458</v>
      </c>
      <c r="B218" s="71" t="s">
        <v>76</v>
      </c>
      <c r="C218" s="72" t="s">
        <v>77</v>
      </c>
      <c r="D218" s="51">
        <v>2898</v>
      </c>
      <c r="E218" s="51">
        <v>2808</v>
      </c>
      <c r="F218" s="51">
        <v>2758</v>
      </c>
      <c r="G218" s="51">
        <v>2735</v>
      </c>
      <c r="H218" s="51">
        <v>2740</v>
      </c>
      <c r="I218" s="51">
        <v>2776</v>
      </c>
      <c r="J218" s="51">
        <v>2854</v>
      </c>
      <c r="K218" s="51">
        <v>2833</v>
      </c>
      <c r="L218" s="51">
        <v>2772</v>
      </c>
      <c r="M218" s="51">
        <v>2744</v>
      </c>
      <c r="N218" s="51">
        <v>2749</v>
      </c>
      <c r="O218" s="51">
        <v>2785</v>
      </c>
      <c r="P218" s="51">
        <v>2841</v>
      </c>
      <c r="Q218" s="72">
        <f>IF((P219=""),"",MAX(D220:P220))</f>
        <v>2056</v>
      </c>
      <c r="R218" s="72">
        <f>IF(P219="","",MIN(D220:P220))</f>
        <v>1906</v>
      </c>
      <c r="S218" s="72">
        <f>IF((P220=""),"",AVERAGE(D220:P220))</f>
        <v>2003.2307692307693</v>
      </c>
      <c r="T218" s="72">
        <f>IF((P219=""),"",STDEV(D220:P220))</f>
        <v>50.606577053043623</v>
      </c>
      <c r="U218" s="99">
        <f>IF((P219=""),"",((Q218-R218)/(Q218+R218))*100)</f>
        <v>3.7859666834931853</v>
      </c>
      <c r="V218" s="73" t="str">
        <f>IF(P219="","",IF(U218&lt;7.2,IF(S218&gt;1700,IF(S218&lt;2100,"Pass","Fail"),"Fail"),"Fail"))</f>
        <v>Pass</v>
      </c>
      <c r="W218" s="74">
        <v>1428</v>
      </c>
      <c r="X218" s="347"/>
      <c r="Z218" s="75">
        <v>1600</v>
      </c>
      <c r="AA218" s="75">
        <v>2600</v>
      </c>
      <c r="AB218" s="76">
        <v>1700</v>
      </c>
      <c r="AC218" s="76">
        <v>2100</v>
      </c>
      <c r="AD218" s="69">
        <v>10</v>
      </c>
      <c r="AE218" s="69">
        <v>7.2</v>
      </c>
    </row>
    <row r="219" spans="1:31" ht="16.100000000000001" x14ac:dyDescent="0.35">
      <c r="A219"/>
      <c r="B219" s="66"/>
      <c r="C219" s="66" t="s">
        <v>78</v>
      </c>
      <c r="D219" s="51">
        <v>1937</v>
      </c>
      <c r="E219" s="51">
        <v>1797</v>
      </c>
      <c r="F219" s="51">
        <v>1745</v>
      </c>
      <c r="G219" s="51">
        <v>1721</v>
      </c>
      <c r="H219" s="51">
        <v>1717</v>
      </c>
      <c r="I219" s="51">
        <v>1748</v>
      </c>
      <c r="J219" s="51">
        <v>1878</v>
      </c>
      <c r="K219" s="51">
        <v>1856</v>
      </c>
      <c r="L219" s="51">
        <v>1753</v>
      </c>
      <c r="M219" s="51">
        <v>1727</v>
      </c>
      <c r="N219" s="51">
        <v>1732</v>
      </c>
      <c r="O219" s="51">
        <v>1773</v>
      </c>
      <c r="P219" s="51">
        <v>1888</v>
      </c>
      <c r="Q219" s="66"/>
      <c r="R219" s="66"/>
      <c r="S219" s="66"/>
      <c r="T219" s="66"/>
      <c r="U219" s="100"/>
      <c r="V219" s="77"/>
      <c r="W219" s="78"/>
      <c r="X219" s="347"/>
    </row>
    <row r="220" spans="1:31" ht="58.15" thickBot="1" x14ac:dyDescent="0.4">
      <c r="A220"/>
      <c r="B220" s="79"/>
      <c r="C220" s="79" t="s">
        <v>79</v>
      </c>
      <c r="D220" s="80">
        <f t="shared" ref="D220:P220" si="69">IF(((D218="")*AND(D219="")),"",(D218-D219)*2)</f>
        <v>1922</v>
      </c>
      <c r="E220" s="80">
        <f t="shared" si="69"/>
        <v>2022</v>
      </c>
      <c r="F220" s="80">
        <f t="shared" si="69"/>
        <v>2026</v>
      </c>
      <c r="G220" s="80">
        <f t="shared" si="69"/>
        <v>2028</v>
      </c>
      <c r="H220" s="80">
        <f t="shared" si="69"/>
        <v>2046</v>
      </c>
      <c r="I220" s="80">
        <f t="shared" si="69"/>
        <v>2056</v>
      </c>
      <c r="J220" s="80">
        <f t="shared" si="69"/>
        <v>1952</v>
      </c>
      <c r="K220" s="80">
        <f t="shared" si="69"/>
        <v>1954</v>
      </c>
      <c r="L220" s="80">
        <f t="shared" si="69"/>
        <v>2038</v>
      </c>
      <c r="M220" s="80">
        <f t="shared" si="69"/>
        <v>2034</v>
      </c>
      <c r="N220" s="80">
        <f t="shared" si="69"/>
        <v>2034</v>
      </c>
      <c r="O220" s="80">
        <f t="shared" si="69"/>
        <v>2024</v>
      </c>
      <c r="P220" s="80">
        <f t="shared" si="69"/>
        <v>1906</v>
      </c>
      <c r="Q220" s="90"/>
      <c r="R220" s="79"/>
      <c r="S220" s="79"/>
      <c r="T220" s="79"/>
      <c r="U220" s="101"/>
      <c r="V220" s="81"/>
      <c r="W220" s="82"/>
      <c r="X220" s="347"/>
    </row>
    <row r="221" spans="1:31" x14ac:dyDescent="0.3">
      <c r="A221" s="70">
        <v>43462</v>
      </c>
      <c r="B221" s="71" t="s">
        <v>76</v>
      </c>
      <c r="C221" s="72" t="s">
        <v>77</v>
      </c>
      <c r="D221" s="51">
        <v>2877.91</v>
      </c>
      <c r="E221" s="51">
        <v>2758.2</v>
      </c>
      <c r="F221" s="51">
        <v>2736.32</v>
      </c>
      <c r="G221" s="51">
        <v>2739.22</v>
      </c>
      <c r="H221" s="51">
        <v>2838.01</v>
      </c>
      <c r="I221" s="51">
        <v>2812.44</v>
      </c>
      <c r="J221" s="51">
        <v>2740.44</v>
      </c>
      <c r="K221" s="51">
        <v>2748.42</v>
      </c>
      <c r="L221" s="51">
        <v>2838.14</v>
      </c>
      <c r="M221" s="51">
        <v>2761.3</v>
      </c>
      <c r="N221" s="51">
        <v>2752.24</v>
      </c>
      <c r="O221" s="51">
        <v>2744.61</v>
      </c>
      <c r="P221" s="51">
        <v>2768.02</v>
      </c>
      <c r="Q221" s="72">
        <f>IF((P222=""),"",MAX(D223:P223))</f>
        <v>2047.7200000000003</v>
      </c>
      <c r="R221" s="72">
        <f>IF(P222="","",MIN(D223:P223))</f>
        <v>1974.9999999999995</v>
      </c>
      <c r="S221" s="72">
        <f>IF((P223=""),"",AVERAGE(D223:P223))</f>
        <v>2022.6046153846155</v>
      </c>
      <c r="T221" s="72">
        <f>IF((P222=""),"",STDEV(D223:P223))</f>
        <v>19.554685975227216</v>
      </c>
      <c r="U221" s="99">
        <f>IF((P222=""),"",((Q221-R221)/(Q221+R221))*100)</f>
        <v>1.8077320817755329</v>
      </c>
      <c r="V221" s="73" t="str">
        <f>IF(P222="","",IF(U221&lt;7.2,IF(S221&gt;1700,IF(S221&lt;2100,"Pass","Fail"),"Fail"),"Fail"))</f>
        <v>Pass</v>
      </c>
      <c r="W221" s="74">
        <v>1340</v>
      </c>
      <c r="X221" s="347"/>
      <c r="Z221" s="75">
        <v>1600</v>
      </c>
      <c r="AA221" s="75">
        <v>2600</v>
      </c>
      <c r="AB221" s="76">
        <v>1700</v>
      </c>
      <c r="AC221" s="76">
        <v>2100</v>
      </c>
      <c r="AD221" s="69">
        <v>10</v>
      </c>
      <c r="AE221" s="69">
        <v>7.2</v>
      </c>
    </row>
    <row r="222" spans="1:31" ht="16.100000000000001" x14ac:dyDescent="0.35">
      <c r="A222"/>
      <c r="B222" s="66"/>
      <c r="C222" s="66" t="s">
        <v>78</v>
      </c>
      <c r="D222" s="51">
        <v>1875.78</v>
      </c>
      <c r="E222" s="51">
        <v>1748.6</v>
      </c>
      <c r="F222" s="51">
        <v>1727.88</v>
      </c>
      <c r="G222" s="51">
        <v>1720.46</v>
      </c>
      <c r="H222" s="51">
        <v>1816.5</v>
      </c>
      <c r="I222" s="51">
        <v>1795.48</v>
      </c>
      <c r="J222" s="51">
        <v>1724.67</v>
      </c>
      <c r="K222" s="51">
        <v>1737.84</v>
      </c>
      <c r="L222" s="51">
        <v>1850.64</v>
      </c>
      <c r="M222" s="51">
        <v>1754.39</v>
      </c>
      <c r="N222" s="51">
        <v>1732.95</v>
      </c>
      <c r="O222" s="51">
        <v>1720.75</v>
      </c>
      <c r="P222" s="51">
        <v>1762.4</v>
      </c>
      <c r="Q222" s="66"/>
      <c r="R222" s="66"/>
      <c r="S222" s="66"/>
      <c r="T222" s="66"/>
      <c r="U222" s="100"/>
      <c r="V222" s="77"/>
      <c r="W222" s="78"/>
      <c r="X222" s="347"/>
    </row>
    <row r="223" spans="1:31" ht="58.15" thickBot="1" x14ac:dyDescent="0.4">
      <c r="A223"/>
      <c r="B223" s="79"/>
      <c r="C223" s="79" t="s">
        <v>79</v>
      </c>
      <c r="D223" s="80">
        <f t="shared" ref="D223:P223" si="70">IF(((D221="")*AND(D222="")),"",(D221-D222)*2)</f>
        <v>2004.2599999999998</v>
      </c>
      <c r="E223" s="80">
        <f t="shared" si="70"/>
        <v>2019.1999999999998</v>
      </c>
      <c r="F223" s="80">
        <f t="shared" si="70"/>
        <v>2016.88</v>
      </c>
      <c r="G223" s="80">
        <f t="shared" si="70"/>
        <v>2037.5199999999995</v>
      </c>
      <c r="H223" s="80">
        <f t="shared" si="70"/>
        <v>2043.0200000000004</v>
      </c>
      <c r="I223" s="80">
        <f t="shared" si="70"/>
        <v>2033.92</v>
      </c>
      <c r="J223" s="80">
        <f t="shared" si="70"/>
        <v>2031.54</v>
      </c>
      <c r="K223" s="80">
        <f t="shared" si="70"/>
        <v>2021.1600000000003</v>
      </c>
      <c r="L223" s="80">
        <f t="shared" si="70"/>
        <v>1974.9999999999995</v>
      </c>
      <c r="M223" s="80">
        <f t="shared" si="70"/>
        <v>2013.8200000000002</v>
      </c>
      <c r="N223" s="80">
        <f t="shared" si="70"/>
        <v>2038.5799999999995</v>
      </c>
      <c r="O223" s="80">
        <f t="shared" si="70"/>
        <v>2047.7200000000003</v>
      </c>
      <c r="P223" s="80">
        <f t="shared" si="70"/>
        <v>2011.2399999999998</v>
      </c>
      <c r="Q223" s="90"/>
      <c r="R223" s="79"/>
      <c r="S223" s="79"/>
      <c r="T223" s="79"/>
      <c r="U223" s="101"/>
      <c r="V223" s="81"/>
      <c r="W223" s="82"/>
      <c r="X223" s="347"/>
    </row>
    <row r="224" spans="1:31" x14ac:dyDescent="0.3">
      <c r="A224" s="70">
        <v>43466</v>
      </c>
      <c r="B224" s="71" t="s">
        <v>76</v>
      </c>
      <c r="C224" s="72" t="s">
        <v>77</v>
      </c>
      <c r="D224" s="51">
        <v>2874.89</v>
      </c>
      <c r="E224" s="51">
        <v>2752.57</v>
      </c>
      <c r="F224" s="51">
        <v>2735.18</v>
      </c>
      <c r="G224" s="51">
        <v>2737.82</v>
      </c>
      <c r="H224" s="51">
        <v>2830.11</v>
      </c>
      <c r="I224" s="51">
        <v>2815.47</v>
      </c>
      <c r="J224" s="51">
        <v>2738.34</v>
      </c>
      <c r="K224" s="51">
        <v>2748.86</v>
      </c>
      <c r="L224" s="51">
        <v>2843.18</v>
      </c>
      <c r="M224" s="51">
        <v>2754.2</v>
      </c>
      <c r="N224" s="51">
        <v>2749.35</v>
      </c>
      <c r="O224" s="51">
        <v>2743.61</v>
      </c>
      <c r="P224" s="51">
        <v>2768.07</v>
      </c>
      <c r="Q224" s="72">
        <f>IF((P225=""),"",MAX(D226:P226))</f>
        <v>2052.7799999999997</v>
      </c>
      <c r="R224" s="72">
        <f>IF(P225="","",MIN(D226:P226))</f>
        <v>1964.0999999999995</v>
      </c>
      <c r="S224" s="72">
        <f>IF((P226=""),"",AVERAGE(D226:P226))</f>
        <v>2024.073846153846</v>
      </c>
      <c r="T224" s="72">
        <f>IF((P225=""),"",STDEV(D226:P226))</f>
        <v>22.943027095562147</v>
      </c>
      <c r="U224" s="99">
        <f>IF((P225=""),"",((Q224-R224)/(Q224+R224))*100)</f>
        <v>2.2076835753121902</v>
      </c>
      <c r="V224" s="73" t="str">
        <f>IF(P225="","",IF(U224&lt;7.2,IF(S224&gt;1700,IF(S224&lt;2100,"Pass","Fail"),"Fail"),"Fail"))</f>
        <v>Pass</v>
      </c>
      <c r="W224" s="74" t="s">
        <v>98</v>
      </c>
      <c r="X224" s="334" t="s">
        <v>99</v>
      </c>
      <c r="Z224" s="75">
        <v>1600</v>
      </c>
      <c r="AA224" s="75">
        <v>2600</v>
      </c>
      <c r="AB224" s="76">
        <v>1700</v>
      </c>
      <c r="AC224" s="76">
        <v>2100</v>
      </c>
      <c r="AD224" s="69">
        <v>10</v>
      </c>
      <c r="AE224" s="69">
        <v>7.2</v>
      </c>
    </row>
    <row r="225" spans="1:24" ht="16.100000000000001" x14ac:dyDescent="0.35">
      <c r="A225"/>
      <c r="B225" s="66"/>
      <c r="C225" s="66" t="s">
        <v>78</v>
      </c>
      <c r="D225" s="51">
        <v>1870.08</v>
      </c>
      <c r="E225" s="51">
        <v>1741.59</v>
      </c>
      <c r="F225" s="51">
        <v>1723.34</v>
      </c>
      <c r="G225" s="51">
        <v>1713.6</v>
      </c>
      <c r="H225" s="51">
        <v>1821.44</v>
      </c>
      <c r="I225" s="51">
        <v>1797.25</v>
      </c>
      <c r="J225" s="51">
        <v>1718.9</v>
      </c>
      <c r="K225" s="51">
        <v>1738.82</v>
      </c>
      <c r="L225" s="51">
        <v>1861.13</v>
      </c>
      <c r="M225" s="51">
        <v>1744.16</v>
      </c>
      <c r="N225" s="51">
        <v>1722.96</v>
      </c>
      <c r="O225" s="51">
        <v>1720.25</v>
      </c>
      <c r="P225" s="51">
        <v>1761.65</v>
      </c>
      <c r="Q225" s="66"/>
      <c r="R225" s="66"/>
      <c r="S225" s="66"/>
      <c r="T225" s="66"/>
      <c r="U225" s="100"/>
      <c r="V225" s="77"/>
      <c r="W225" s="78"/>
      <c r="X225" s="347"/>
    </row>
    <row r="226" spans="1:24" ht="58.15" thickBot="1" x14ac:dyDescent="0.4">
      <c r="A226"/>
      <c r="B226" s="79"/>
      <c r="C226" s="79" t="s">
        <v>79</v>
      </c>
      <c r="D226" s="80">
        <f t="shared" ref="D226:P226" si="71">IF(((D224="")*AND(D225="")),"",(D224-D225)*2)</f>
        <v>2009.62</v>
      </c>
      <c r="E226" s="80">
        <f t="shared" si="71"/>
        <v>2021.9600000000005</v>
      </c>
      <c r="F226" s="80">
        <f t="shared" si="71"/>
        <v>2023.6799999999998</v>
      </c>
      <c r="G226" s="80">
        <f t="shared" si="71"/>
        <v>2048.4400000000005</v>
      </c>
      <c r="H226" s="80">
        <f t="shared" si="71"/>
        <v>2017.3400000000001</v>
      </c>
      <c r="I226" s="80">
        <f t="shared" si="71"/>
        <v>2036.4399999999996</v>
      </c>
      <c r="J226" s="80">
        <f t="shared" si="71"/>
        <v>2038.88</v>
      </c>
      <c r="K226" s="80">
        <f t="shared" si="71"/>
        <v>2020.0800000000004</v>
      </c>
      <c r="L226" s="80">
        <f t="shared" si="71"/>
        <v>1964.0999999999995</v>
      </c>
      <c r="M226" s="80">
        <f t="shared" si="71"/>
        <v>2020.0799999999995</v>
      </c>
      <c r="N226" s="80">
        <f t="shared" si="71"/>
        <v>2052.7799999999997</v>
      </c>
      <c r="O226" s="80">
        <f t="shared" si="71"/>
        <v>2046.7200000000003</v>
      </c>
      <c r="P226" s="80">
        <f t="shared" si="71"/>
        <v>2012.8400000000001</v>
      </c>
      <c r="Q226" s="90"/>
      <c r="R226" s="79"/>
      <c r="S226" s="79"/>
      <c r="T226" s="79"/>
      <c r="U226" s="101"/>
      <c r="V226" s="81"/>
      <c r="W226" s="82"/>
      <c r="X226" s="347"/>
    </row>
  </sheetData>
  <autoFilter ref="A10:AE226"/>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V162:V226">
    <cfRule type="cellIs" dxfId="15" priority="113" stopIfTrue="1" operator="equal">
      <formula>"Fail"</formula>
    </cfRule>
    <cfRule type="cellIs" dxfId="14" priority="114"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245"/>
  <sheetViews>
    <sheetView zoomScale="70" zoomScaleNormal="70" workbookViewId="0">
      <pane ySplit="10" topLeftCell="A234" activePane="bottomLeft" state="frozen"/>
      <selection pane="bottomLeft" activeCell="B238" sqref="B238"/>
    </sheetView>
  </sheetViews>
  <sheetFormatPr defaultColWidth="9" defaultRowHeight="14.4" x14ac:dyDescent="0.3"/>
  <cols>
    <col min="1" max="1" width="13.7265625" style="161" customWidth="1"/>
    <col min="2" max="22" width="9" style="51"/>
    <col min="23" max="23" width="9" style="186"/>
    <col min="24" max="24" width="12" style="98" customWidth="1"/>
    <col min="25" max="25" width="9" style="51"/>
    <col min="26" max="26" width="9" style="92"/>
    <col min="27" max="27" width="18.54296875" style="92" customWidth="1"/>
    <col min="28" max="28" width="24.36328125" style="188" customWidth="1"/>
    <col min="29" max="32" width="9" style="134"/>
    <col min="33" max="33" width="9" style="86" customWidth="1"/>
    <col min="34" max="34" width="9" style="86"/>
    <col min="35" max="16384" width="9" style="51"/>
  </cols>
  <sheetData>
    <row r="1" spans="1:34" s="41" customFormat="1" x14ac:dyDescent="0.3">
      <c r="A1" s="129" t="s">
        <v>11</v>
      </c>
      <c r="B1" s="130"/>
      <c r="C1" s="130"/>
      <c r="D1" s="130"/>
      <c r="E1" s="130"/>
      <c r="F1" s="130"/>
      <c r="G1" s="130"/>
      <c r="H1" s="130"/>
      <c r="I1" s="130"/>
      <c r="J1" s="130"/>
      <c r="K1" s="130"/>
      <c r="L1" s="130"/>
      <c r="M1" s="130"/>
      <c r="N1" s="130"/>
      <c r="O1" s="130"/>
      <c r="P1" s="130"/>
      <c r="Q1" s="130"/>
      <c r="R1" s="130"/>
      <c r="S1" s="131"/>
      <c r="T1" s="130"/>
      <c r="U1" s="130"/>
      <c r="V1" s="130"/>
      <c r="W1" s="132"/>
      <c r="X1" s="326"/>
      <c r="Y1" s="130"/>
      <c r="Z1" s="133"/>
      <c r="AA1" s="133"/>
      <c r="AB1" s="336"/>
      <c r="AC1" s="134"/>
      <c r="AD1" s="134"/>
      <c r="AE1" s="135"/>
      <c r="AF1" s="135"/>
      <c r="AG1" s="136"/>
      <c r="AH1" s="136"/>
    </row>
    <row r="2" spans="1:34" x14ac:dyDescent="0.3">
      <c r="A2" s="137" t="s">
        <v>100</v>
      </c>
      <c r="B2" s="138"/>
      <c r="C2" s="139"/>
      <c r="D2" s="139"/>
      <c r="E2" s="140"/>
      <c r="F2" s="140"/>
      <c r="G2" s="140"/>
      <c r="H2" s="140"/>
      <c r="I2" s="140" t="s">
        <v>101</v>
      </c>
      <c r="J2" s="140"/>
      <c r="K2" s="140"/>
      <c r="L2" s="140"/>
      <c r="M2" s="140"/>
      <c r="N2" s="140"/>
      <c r="O2" s="140"/>
      <c r="P2" s="140"/>
      <c r="Q2" s="140"/>
      <c r="R2" s="140"/>
      <c r="S2" s="141"/>
      <c r="T2" s="139"/>
      <c r="U2" s="138"/>
      <c r="V2" s="140"/>
      <c r="W2" s="132"/>
      <c r="X2" s="327"/>
      <c r="Y2" s="142"/>
      <c r="Z2" s="143"/>
      <c r="AA2" s="143"/>
      <c r="AB2" s="266"/>
    </row>
    <row r="3" spans="1:34" x14ac:dyDescent="0.3">
      <c r="A3" s="144" t="s">
        <v>119</v>
      </c>
      <c r="B3" s="145"/>
      <c r="C3" s="145"/>
      <c r="D3" s="145"/>
      <c r="E3" s="142"/>
      <c r="F3" s="142" t="s">
        <v>120</v>
      </c>
      <c r="G3" s="142"/>
      <c r="H3" s="142"/>
      <c r="I3" s="142"/>
      <c r="J3" s="142"/>
      <c r="K3" s="142"/>
      <c r="L3" s="142"/>
      <c r="M3" s="142"/>
      <c r="N3" s="142"/>
      <c r="O3" s="142"/>
      <c r="P3" s="142"/>
      <c r="Q3" s="142"/>
      <c r="R3" s="142"/>
      <c r="S3" s="146"/>
      <c r="T3" s="145"/>
      <c r="U3" s="145"/>
      <c r="V3" s="142"/>
      <c r="W3" s="132"/>
      <c r="X3" s="328"/>
      <c r="Y3" s="142"/>
      <c r="Z3" s="147"/>
      <c r="AA3" s="147"/>
      <c r="AB3" s="337"/>
    </row>
    <row r="4" spans="1:34" x14ac:dyDescent="0.3">
      <c r="A4" s="137" t="s">
        <v>121</v>
      </c>
      <c r="B4" s="139"/>
      <c r="C4" s="139"/>
      <c r="D4" s="139"/>
      <c r="E4" s="142"/>
      <c r="F4" s="142" t="s">
        <v>122</v>
      </c>
      <c r="G4" s="142"/>
      <c r="H4" s="142"/>
      <c r="I4" s="142"/>
      <c r="J4" s="142"/>
      <c r="K4" s="142"/>
      <c r="L4" s="142"/>
      <c r="M4" s="142"/>
      <c r="N4" s="142"/>
      <c r="O4" s="142"/>
      <c r="P4" s="142"/>
      <c r="Q4" s="142"/>
      <c r="R4" s="142"/>
      <c r="S4" s="146"/>
      <c r="T4" s="139"/>
      <c r="U4" s="139"/>
      <c r="V4" s="142"/>
      <c r="W4" s="132"/>
      <c r="X4" s="328"/>
      <c r="Y4" s="142"/>
      <c r="Z4" s="147"/>
      <c r="AA4" s="147"/>
      <c r="AB4" s="337"/>
    </row>
    <row r="5" spans="1:34" x14ac:dyDescent="0.3">
      <c r="A5" s="137" t="s">
        <v>123</v>
      </c>
      <c r="B5" s="139"/>
      <c r="C5" s="139"/>
      <c r="D5" s="139"/>
      <c r="E5" s="142"/>
      <c r="F5" s="142"/>
      <c r="G5" s="142"/>
      <c r="H5" s="142"/>
      <c r="I5" s="142"/>
      <c r="J5" s="142"/>
      <c r="K5" s="142"/>
      <c r="L5" s="142"/>
      <c r="M5" s="142"/>
      <c r="N5" s="142"/>
      <c r="O5" s="142"/>
      <c r="P5" s="142"/>
      <c r="Q5" s="142"/>
      <c r="R5" s="142"/>
      <c r="S5" s="146"/>
      <c r="T5" s="148"/>
      <c r="U5" s="139"/>
      <c r="V5" s="142"/>
      <c r="W5" s="132"/>
      <c r="X5" s="328"/>
      <c r="Y5" s="142"/>
      <c r="Z5" s="147"/>
      <c r="AA5" s="147"/>
      <c r="AB5" s="337"/>
    </row>
    <row r="6" spans="1:34" x14ac:dyDescent="0.3">
      <c r="A6" s="137" t="s">
        <v>107</v>
      </c>
      <c r="B6" s="139"/>
      <c r="C6" s="139"/>
      <c r="D6" s="139"/>
      <c r="E6" s="142"/>
      <c r="F6" s="142"/>
      <c r="G6" s="142"/>
      <c r="H6" s="142"/>
      <c r="I6" s="142"/>
      <c r="J6" s="142"/>
      <c r="K6" s="142"/>
      <c r="L6" s="142"/>
      <c r="M6" s="142"/>
      <c r="N6" s="142"/>
      <c r="O6" s="142"/>
      <c r="P6" s="142"/>
      <c r="Q6" s="142"/>
      <c r="R6" s="142"/>
      <c r="S6" s="146"/>
      <c r="T6" s="139"/>
      <c r="U6" s="139"/>
      <c r="V6" s="142"/>
      <c r="W6" s="132"/>
      <c r="X6" s="96"/>
      <c r="Y6" s="55"/>
      <c r="Z6" s="149"/>
      <c r="AA6" s="149"/>
      <c r="AB6" s="338"/>
    </row>
    <row r="7" spans="1:34" x14ac:dyDescent="0.3">
      <c r="A7" s="150" t="s">
        <v>108</v>
      </c>
      <c r="B7" s="139"/>
      <c r="C7" s="139"/>
      <c r="D7" s="139"/>
      <c r="E7" s="142"/>
      <c r="F7" s="142"/>
      <c r="G7" s="142"/>
      <c r="H7" s="142"/>
      <c r="I7" s="142"/>
      <c r="J7" s="142"/>
      <c r="K7" s="142"/>
      <c r="L7" s="142"/>
      <c r="M7" s="142"/>
      <c r="N7" s="142"/>
      <c r="O7" s="142"/>
      <c r="P7" s="142"/>
      <c r="Q7" s="142"/>
      <c r="R7" s="142"/>
      <c r="S7" s="146"/>
      <c r="T7" s="139"/>
      <c r="U7" s="139"/>
      <c r="V7" s="142"/>
      <c r="W7" s="132"/>
      <c r="X7" s="328"/>
      <c r="Y7" s="142"/>
      <c r="Z7" s="147"/>
      <c r="AA7" s="147"/>
      <c r="AB7" s="337"/>
    </row>
    <row r="8" spans="1:34" x14ac:dyDescent="0.3">
      <c r="A8" s="151"/>
      <c r="B8" s="152"/>
      <c r="C8" s="153"/>
      <c r="D8" s="153"/>
      <c r="E8" s="153"/>
      <c r="F8" s="153"/>
      <c r="G8" s="153"/>
      <c r="H8" s="153"/>
      <c r="I8" s="153"/>
      <c r="J8" s="153"/>
      <c r="K8" s="153"/>
      <c r="L8" s="153"/>
      <c r="M8" s="153"/>
      <c r="N8" s="153"/>
      <c r="O8" s="153"/>
      <c r="P8" s="153"/>
      <c r="Q8" s="153"/>
      <c r="R8" s="153"/>
      <c r="S8" s="154"/>
      <c r="T8" s="153"/>
      <c r="U8" s="153"/>
      <c r="V8" s="152"/>
      <c r="W8" s="132"/>
      <c r="X8" s="329"/>
      <c r="Y8" s="152"/>
      <c r="Z8" s="155"/>
      <c r="AA8" s="155"/>
      <c r="AB8" s="339"/>
    </row>
    <row r="9" spans="1:34" ht="14.95" thickBot="1" x14ac:dyDescent="0.35">
      <c r="A9" s="312"/>
      <c r="B9" s="105"/>
      <c r="C9" s="373" t="s">
        <v>170</v>
      </c>
      <c r="D9" s="374"/>
      <c r="E9" s="374"/>
      <c r="F9" s="374"/>
      <c r="G9" s="374"/>
      <c r="H9" s="374"/>
      <c r="I9" s="374"/>
      <c r="J9" s="374"/>
      <c r="K9" s="374"/>
      <c r="L9" s="374"/>
      <c r="M9" s="374"/>
      <c r="N9" s="374"/>
      <c r="O9" s="374"/>
      <c r="P9" s="374"/>
      <c r="Q9" s="374"/>
      <c r="R9" s="374"/>
      <c r="S9" s="375"/>
      <c r="W9" s="187"/>
      <c r="Z9" s="51"/>
      <c r="AA9" s="51"/>
      <c r="AC9" s="51"/>
      <c r="AD9" s="51"/>
      <c r="AE9" s="51"/>
      <c r="AF9" s="51"/>
      <c r="AG9" s="51"/>
      <c r="AH9" s="51"/>
    </row>
    <row r="10" spans="1:34" s="102" customFormat="1" ht="41.95" customHeight="1" thickBot="1" x14ac:dyDescent="0.4">
      <c r="A10" s="316" t="s">
        <v>160</v>
      </c>
      <c r="B10" s="117" t="s">
        <v>75</v>
      </c>
      <c r="C10" s="117">
        <v>1</v>
      </c>
      <c r="D10" s="117">
        <v>2</v>
      </c>
      <c r="E10" s="117">
        <v>3</v>
      </c>
      <c r="F10" s="117">
        <v>4</v>
      </c>
      <c r="G10" s="117">
        <v>5</v>
      </c>
      <c r="H10" s="117">
        <v>6</v>
      </c>
      <c r="I10" s="117">
        <v>7</v>
      </c>
      <c r="J10" s="117">
        <v>8</v>
      </c>
      <c r="K10" s="117">
        <v>9</v>
      </c>
      <c r="L10" s="117">
        <v>10</v>
      </c>
      <c r="M10" s="117">
        <v>11</v>
      </c>
      <c r="N10" s="117">
        <v>12</v>
      </c>
      <c r="O10" s="117">
        <v>13</v>
      </c>
      <c r="P10" s="117">
        <v>14</v>
      </c>
      <c r="Q10" s="117">
        <v>15</v>
      </c>
      <c r="R10" s="117">
        <v>16</v>
      </c>
      <c r="S10" s="117">
        <v>17</v>
      </c>
      <c r="T10" s="118" t="s">
        <v>66</v>
      </c>
      <c r="U10" s="118" t="s">
        <v>67</v>
      </c>
      <c r="V10" s="117" t="s">
        <v>159</v>
      </c>
      <c r="W10" s="120" t="s">
        <v>109</v>
      </c>
      <c r="X10" s="119" t="s">
        <v>166</v>
      </c>
      <c r="Y10" s="120" t="s">
        <v>29</v>
      </c>
      <c r="Z10" s="117" t="s">
        <v>41</v>
      </c>
      <c r="AA10" s="117" t="s">
        <v>167</v>
      </c>
      <c r="AB10" s="120" t="s">
        <v>31</v>
      </c>
      <c r="AC10" s="317" t="s">
        <v>73</v>
      </c>
      <c r="AD10" s="317" t="s">
        <v>43</v>
      </c>
      <c r="AE10" s="318" t="s">
        <v>71</v>
      </c>
      <c r="AF10" s="318" t="s">
        <v>72</v>
      </c>
      <c r="AG10" s="318" t="s">
        <v>110</v>
      </c>
      <c r="AH10" s="319" t="s">
        <v>111</v>
      </c>
    </row>
    <row r="11" spans="1:34" x14ac:dyDescent="0.3">
      <c r="A11" s="313">
        <v>43101</v>
      </c>
      <c r="B11" s="111" t="s">
        <v>77</v>
      </c>
      <c r="C11" s="51">
        <v>5502.96</v>
      </c>
      <c r="D11" s="51">
        <v>5483.21</v>
      </c>
      <c r="E11" s="51">
        <v>5481.82</v>
      </c>
      <c r="F11" s="51">
        <v>5468.08</v>
      </c>
      <c r="G11" s="51">
        <v>5482.14</v>
      </c>
      <c r="H11" s="51">
        <v>5482.31</v>
      </c>
      <c r="I11" s="51">
        <v>5495.95</v>
      </c>
      <c r="J11" s="51">
        <v>5507.55</v>
      </c>
      <c r="K11" s="51">
        <v>5553.88</v>
      </c>
      <c r="L11" s="51">
        <v>5540.62</v>
      </c>
      <c r="M11" s="51">
        <v>5513.3</v>
      </c>
      <c r="N11" s="51">
        <v>5497.06</v>
      </c>
      <c r="O11" s="51">
        <v>5528.97</v>
      </c>
      <c r="P11" s="51">
        <v>5477.99</v>
      </c>
      <c r="Q11" s="51">
        <v>5530.83</v>
      </c>
      <c r="R11" s="51">
        <v>5499.43</v>
      </c>
      <c r="S11" s="51">
        <v>5519.56</v>
      </c>
      <c r="T11" s="314">
        <f>IF((S12=""),"",MAX(C13:S13))</f>
        <v>2031.4400000000005</v>
      </c>
      <c r="U11" s="111">
        <f>IF(S12="","",MIN(C13:S13))</f>
        <v>1852.3199999999997</v>
      </c>
      <c r="V11" s="111">
        <f>IF((S13=""),"",AVERAGE(C13:S13))</f>
        <v>1931.9741176470591</v>
      </c>
      <c r="W11" s="158">
        <f>STDEV(C13:S13)</f>
        <v>53.456613138463261</v>
      </c>
      <c r="X11" s="112">
        <f>IF((S12=""),"",((T11-U11)/(T11+U11))*100)</f>
        <v>4.6120254598636574</v>
      </c>
      <c r="Y11" s="113" t="str">
        <f>IF(S12="","",IF(X11&lt;15,IF(V11&gt;1690,IF(V11&lt;2125,"Pass","Fail"),"Fail"),"Fail"))</f>
        <v>Pass</v>
      </c>
      <c r="Z11" s="315">
        <v>1428</v>
      </c>
      <c r="AA11" s="350"/>
      <c r="AC11" s="134">
        <v>1600</v>
      </c>
      <c r="AD11" s="134">
        <v>2600</v>
      </c>
      <c r="AE11" s="160">
        <v>1690</v>
      </c>
      <c r="AF11" s="160">
        <v>2125</v>
      </c>
      <c r="AG11" s="156">
        <v>15</v>
      </c>
      <c r="AH11" s="156">
        <v>15</v>
      </c>
    </row>
    <row r="12" spans="1:34" ht="16.100000000000001" x14ac:dyDescent="0.35">
      <c r="A12"/>
      <c r="B12" s="66" t="s">
        <v>78</v>
      </c>
      <c r="C12" s="51">
        <v>4576.8</v>
      </c>
      <c r="D12" s="51">
        <v>4555.71</v>
      </c>
      <c r="E12" s="51">
        <v>4539.55</v>
      </c>
      <c r="F12" s="51">
        <v>4539.03</v>
      </c>
      <c r="G12" s="51">
        <v>4539.1000000000004</v>
      </c>
      <c r="H12" s="51">
        <v>4512.3599999999997</v>
      </c>
      <c r="I12" s="51">
        <v>4498.3500000000004</v>
      </c>
      <c r="J12" s="51">
        <v>4503.32</v>
      </c>
      <c r="K12" s="51">
        <v>4538.16</v>
      </c>
      <c r="L12" s="51">
        <v>4566.1899999999996</v>
      </c>
      <c r="M12" s="51">
        <v>4538.57</v>
      </c>
      <c r="N12" s="51">
        <v>4523.82</v>
      </c>
      <c r="O12" s="51">
        <v>4573.67</v>
      </c>
      <c r="P12" s="51">
        <v>4524.3100000000004</v>
      </c>
      <c r="Q12" s="51">
        <v>4557.32</v>
      </c>
      <c r="R12" s="51">
        <v>4520.1499999999996</v>
      </c>
      <c r="S12" s="51">
        <v>4537.47</v>
      </c>
      <c r="T12" s="162"/>
      <c r="U12" s="163"/>
      <c r="V12" s="163"/>
      <c r="W12" s="158"/>
      <c r="X12" s="330"/>
      <c r="Y12" s="163"/>
      <c r="Z12" s="159"/>
      <c r="AA12" s="350"/>
    </row>
    <row r="13" spans="1:34" ht="58.15" thickBot="1" x14ac:dyDescent="0.4">
      <c r="A13"/>
      <c r="B13" s="79" t="s">
        <v>79</v>
      </c>
      <c r="C13" s="164">
        <f t="shared" ref="C13:S13" si="0">IF(((C11="")*AND(C12="")),"",(C11-C12)*2)</f>
        <v>1852.3199999999997</v>
      </c>
      <c r="D13" s="164">
        <f t="shared" si="0"/>
        <v>1855</v>
      </c>
      <c r="E13" s="164">
        <f t="shared" si="0"/>
        <v>1884.5399999999991</v>
      </c>
      <c r="F13" s="164">
        <f t="shared" si="0"/>
        <v>1858.1000000000004</v>
      </c>
      <c r="G13" s="164">
        <f t="shared" si="0"/>
        <v>1886.08</v>
      </c>
      <c r="H13" s="164">
        <f t="shared" si="0"/>
        <v>1939.9000000000015</v>
      </c>
      <c r="I13" s="164">
        <f t="shared" si="0"/>
        <v>1995.1999999999989</v>
      </c>
      <c r="J13" s="164">
        <f t="shared" si="0"/>
        <v>2008.4600000000009</v>
      </c>
      <c r="K13" s="164">
        <f t="shared" si="0"/>
        <v>2031.4400000000005</v>
      </c>
      <c r="L13" s="164">
        <f t="shared" si="0"/>
        <v>1948.8600000000006</v>
      </c>
      <c r="M13" s="164">
        <f t="shared" si="0"/>
        <v>1949.4600000000009</v>
      </c>
      <c r="N13" s="164">
        <f t="shared" si="0"/>
        <v>1946.4800000000014</v>
      </c>
      <c r="O13" s="164">
        <f t="shared" si="0"/>
        <v>1910.6000000000004</v>
      </c>
      <c r="P13" s="164">
        <f t="shared" si="0"/>
        <v>1907.3599999999988</v>
      </c>
      <c r="Q13" s="164">
        <f t="shared" si="0"/>
        <v>1947.0200000000004</v>
      </c>
      <c r="R13" s="164">
        <f t="shared" si="0"/>
        <v>1958.5600000000013</v>
      </c>
      <c r="S13" s="165">
        <f t="shared" si="0"/>
        <v>1964.1800000000003</v>
      </c>
      <c r="T13" s="166"/>
      <c r="U13" s="164"/>
      <c r="V13" s="164"/>
      <c r="W13" s="167"/>
      <c r="X13" s="331"/>
      <c r="Y13" s="164"/>
      <c r="Z13" s="168"/>
      <c r="AA13" s="350"/>
    </row>
    <row r="14" spans="1:34" ht="18.7" customHeight="1" x14ac:dyDescent="0.3">
      <c r="A14" s="320">
        <v>43104</v>
      </c>
      <c r="B14" s="66" t="s">
        <v>77</v>
      </c>
      <c r="C14" s="51">
        <v>5470.02</v>
      </c>
      <c r="D14" s="51">
        <v>5466.57</v>
      </c>
      <c r="E14" s="51">
        <v>5468.33</v>
      </c>
      <c r="F14" s="51">
        <v>5458.06</v>
      </c>
      <c r="G14" s="51">
        <v>5450.83</v>
      </c>
      <c r="H14" s="51">
        <v>5463.72</v>
      </c>
      <c r="I14" s="51">
        <v>5469</v>
      </c>
      <c r="J14" s="51">
        <v>5485.88</v>
      </c>
      <c r="K14" s="51">
        <v>5531.85</v>
      </c>
      <c r="L14" s="51">
        <v>5521.87</v>
      </c>
      <c r="M14" s="51">
        <v>5481.55</v>
      </c>
      <c r="N14" s="51">
        <v>5470.45</v>
      </c>
      <c r="O14" s="51">
        <v>5513.49</v>
      </c>
      <c r="P14" s="51">
        <v>5462</v>
      </c>
      <c r="Q14" s="51">
        <v>5513.83</v>
      </c>
      <c r="R14" s="51">
        <v>5472.78</v>
      </c>
      <c r="S14" s="51">
        <v>5494.79</v>
      </c>
      <c r="T14" s="157">
        <f>IF((S15=""),"",MAX(C16:S16))</f>
        <v>2045.9400000000005</v>
      </c>
      <c r="U14" s="66">
        <f>IF(S15="","",MIN(C16:S16))</f>
        <v>1808.7600000000002</v>
      </c>
      <c r="V14" s="72">
        <f>IF((S16=""),"",AVERAGE(C16:S16))</f>
        <v>1927.5929411764707</v>
      </c>
      <c r="W14" s="158">
        <f>STDEV(C16:S16)</f>
        <v>66.871194075317845</v>
      </c>
      <c r="X14" s="100">
        <f>IF((S15=""),"",((T14-U14)/(T14+U14))*100)</f>
        <v>6.1530080161880365</v>
      </c>
      <c r="Y14" s="77" t="str">
        <f>IF(S15="","",IF(X14&lt;15,IF(V14&gt;1690,IF(V14&lt;2125,"Pass","Fail"),"Fail"),"Fail"))</f>
        <v>Pass</v>
      </c>
      <c r="Z14" s="159">
        <v>1335</v>
      </c>
      <c r="AA14" s="335" t="s">
        <v>80</v>
      </c>
      <c r="AC14" s="134">
        <v>1600</v>
      </c>
      <c r="AD14" s="134">
        <v>2600</v>
      </c>
      <c r="AE14" s="160">
        <v>1690</v>
      </c>
      <c r="AF14" s="160">
        <v>2125</v>
      </c>
      <c r="AG14" s="156">
        <v>15</v>
      </c>
      <c r="AH14" s="156">
        <v>15</v>
      </c>
    </row>
    <row r="15" spans="1:34" ht="16.100000000000001" x14ac:dyDescent="0.35">
      <c r="A15"/>
      <c r="B15" s="66" t="s">
        <v>78</v>
      </c>
      <c r="C15" s="51">
        <v>4565.6400000000003</v>
      </c>
      <c r="D15" s="51">
        <v>4551.41</v>
      </c>
      <c r="E15" s="51">
        <v>4532.7299999999996</v>
      </c>
      <c r="F15" s="51">
        <v>4529.68</v>
      </c>
      <c r="G15" s="51">
        <v>4515.59</v>
      </c>
      <c r="H15" s="51">
        <v>4489.3500000000004</v>
      </c>
      <c r="I15" s="51">
        <v>4472.37</v>
      </c>
      <c r="J15" s="51">
        <v>4472.08</v>
      </c>
      <c r="K15" s="51">
        <v>4508.88</v>
      </c>
      <c r="L15" s="51">
        <v>4563.93</v>
      </c>
      <c r="M15" s="51">
        <v>4520.71</v>
      </c>
      <c r="N15" s="51">
        <v>4503.78</v>
      </c>
      <c r="O15" s="51">
        <v>4559.66</v>
      </c>
      <c r="P15" s="51">
        <v>4503.78</v>
      </c>
      <c r="Q15" s="51">
        <v>4535.03</v>
      </c>
      <c r="R15" s="51">
        <v>4487.5600000000004</v>
      </c>
      <c r="S15" s="51">
        <v>4498.3</v>
      </c>
      <c r="T15" s="162"/>
      <c r="U15" s="163"/>
      <c r="V15" s="163"/>
      <c r="W15" s="158"/>
      <c r="X15" s="330"/>
      <c r="Y15" s="163"/>
      <c r="Z15" s="159"/>
      <c r="AA15" s="188"/>
    </row>
    <row r="16" spans="1:34" ht="58.15" thickBot="1" x14ac:dyDescent="0.4">
      <c r="A16"/>
      <c r="B16" s="79" t="s">
        <v>79</v>
      </c>
      <c r="C16" s="164">
        <f t="shared" ref="C16:S16" si="1">IF(((C14="")*AND(C15="")),"",(C14-C15)*2)</f>
        <v>1808.7600000000002</v>
      </c>
      <c r="D16" s="164">
        <f t="shared" si="1"/>
        <v>1830.3199999999997</v>
      </c>
      <c r="E16" s="164">
        <f t="shared" si="1"/>
        <v>1871.2000000000007</v>
      </c>
      <c r="F16" s="164">
        <f t="shared" si="1"/>
        <v>1856.7600000000002</v>
      </c>
      <c r="G16" s="164">
        <f t="shared" si="1"/>
        <v>1870.4799999999996</v>
      </c>
      <c r="H16" s="164">
        <f t="shared" si="1"/>
        <v>1948.7399999999998</v>
      </c>
      <c r="I16" s="164">
        <f t="shared" si="1"/>
        <v>1993.2600000000002</v>
      </c>
      <c r="J16" s="164">
        <f t="shared" si="1"/>
        <v>2027.6000000000004</v>
      </c>
      <c r="K16" s="164">
        <f t="shared" si="1"/>
        <v>2045.9400000000005</v>
      </c>
      <c r="L16" s="164">
        <f t="shared" si="1"/>
        <v>1915.8799999999992</v>
      </c>
      <c r="M16" s="164">
        <f t="shared" si="1"/>
        <v>1921.6800000000003</v>
      </c>
      <c r="N16" s="164">
        <f t="shared" si="1"/>
        <v>1933.3400000000001</v>
      </c>
      <c r="O16" s="164">
        <f t="shared" si="1"/>
        <v>1907.6599999999999</v>
      </c>
      <c r="P16" s="164">
        <f t="shared" si="1"/>
        <v>1916.4400000000005</v>
      </c>
      <c r="Q16" s="164">
        <f t="shared" si="1"/>
        <v>1957.6000000000004</v>
      </c>
      <c r="R16" s="164">
        <f t="shared" si="1"/>
        <v>1970.4399999999987</v>
      </c>
      <c r="S16" s="165">
        <f t="shared" si="1"/>
        <v>1992.9799999999996</v>
      </c>
      <c r="T16" s="166"/>
      <c r="U16" s="164"/>
      <c r="V16" s="164"/>
      <c r="W16" s="167"/>
      <c r="X16" s="331"/>
      <c r="Y16" s="164"/>
      <c r="Z16" s="168"/>
      <c r="AA16" s="188"/>
    </row>
    <row r="17" spans="1:34" x14ac:dyDescent="0.3">
      <c r="A17" s="320">
        <v>43112</v>
      </c>
      <c r="B17" s="66" t="s">
        <v>77</v>
      </c>
      <c r="C17" s="51">
        <v>5527.91</v>
      </c>
      <c r="D17" s="51">
        <v>5505.7</v>
      </c>
      <c r="E17" s="51">
        <v>5497.59</v>
      </c>
      <c r="F17" s="51">
        <v>5492.64</v>
      </c>
      <c r="G17" s="51">
        <v>5491.44</v>
      </c>
      <c r="H17" s="51">
        <v>5500.41</v>
      </c>
      <c r="I17" s="51">
        <v>5516.84</v>
      </c>
      <c r="J17" s="51">
        <v>5542.78</v>
      </c>
      <c r="K17" s="51">
        <v>5587</v>
      </c>
      <c r="L17" s="51">
        <v>5568.78</v>
      </c>
      <c r="M17" s="51">
        <v>5532.29</v>
      </c>
      <c r="N17" s="51">
        <v>5508.37</v>
      </c>
      <c r="O17" s="51">
        <v>5549.49</v>
      </c>
      <c r="P17" s="51">
        <v>5496.93</v>
      </c>
      <c r="Q17" s="51">
        <v>5546.78</v>
      </c>
      <c r="R17" s="51">
        <v>5509.86</v>
      </c>
      <c r="S17" s="51">
        <v>5530.94</v>
      </c>
      <c r="T17" s="157">
        <f>IF((S18=""),"",MAX(C19:S19))</f>
        <v>2042.08</v>
      </c>
      <c r="U17" s="66">
        <f>IF(S18="","",MIN(C19:S19))</f>
        <v>1820.3600000000006</v>
      </c>
      <c r="V17" s="72">
        <f>IF((S19=""),"",AVERAGE(C19:S19))</f>
        <v>1925.7529411764704</v>
      </c>
      <c r="W17" s="158">
        <f>STDEV(C19:S19)</f>
        <v>60.337698804800503</v>
      </c>
      <c r="X17" s="100">
        <f>IF((S18=""),"",((T17-U17)/(T17+U17))*100)</f>
        <v>5.7404127960563613</v>
      </c>
      <c r="Y17" s="77" t="str">
        <f>IF(S18="","",IF(X17&lt;15,IF(V17&gt;1690,IF(V17&lt;2125,"Pass","Fail"),"Fail"),"Fail"))</f>
        <v>Pass</v>
      </c>
      <c r="Z17" s="159" t="s">
        <v>48</v>
      </c>
      <c r="AA17" s="188" t="s">
        <v>81</v>
      </c>
      <c r="AC17" s="134">
        <v>1600</v>
      </c>
      <c r="AD17" s="134">
        <v>2600</v>
      </c>
      <c r="AE17" s="160">
        <v>1690</v>
      </c>
      <c r="AF17" s="160">
        <v>2125</v>
      </c>
      <c r="AG17" s="156">
        <v>15</v>
      </c>
      <c r="AH17" s="156">
        <v>15</v>
      </c>
    </row>
    <row r="18" spans="1:34" ht="16.100000000000001" x14ac:dyDescent="0.35">
      <c r="A18"/>
      <c r="B18" s="66" t="s">
        <v>78</v>
      </c>
      <c r="C18" s="51">
        <v>4617.7299999999996</v>
      </c>
      <c r="D18" s="51">
        <v>4580.05</v>
      </c>
      <c r="E18" s="51">
        <v>4571.45</v>
      </c>
      <c r="F18" s="51">
        <v>4558.16</v>
      </c>
      <c r="G18" s="51">
        <v>4551.84</v>
      </c>
      <c r="H18" s="51">
        <v>4531.91</v>
      </c>
      <c r="I18" s="51">
        <v>4518.8999999999996</v>
      </c>
      <c r="J18" s="51">
        <v>4531.9399999999996</v>
      </c>
      <c r="K18" s="51">
        <v>4565.96</v>
      </c>
      <c r="L18" s="51">
        <v>4612.34</v>
      </c>
      <c r="M18" s="51">
        <v>4560.3599999999997</v>
      </c>
      <c r="N18" s="51">
        <v>4551.32</v>
      </c>
      <c r="O18" s="51">
        <v>4588</v>
      </c>
      <c r="P18" s="51">
        <v>4539.03</v>
      </c>
      <c r="Q18" s="51">
        <v>4570.41</v>
      </c>
      <c r="R18" s="51">
        <v>4530.88</v>
      </c>
      <c r="S18" s="51">
        <v>4556.57</v>
      </c>
      <c r="T18" s="162"/>
      <c r="U18" s="163"/>
      <c r="V18" s="163"/>
      <c r="W18" s="158"/>
      <c r="X18" s="330"/>
      <c r="Y18" s="163"/>
      <c r="Z18" s="159"/>
      <c r="AA18" s="188"/>
    </row>
    <row r="19" spans="1:34" ht="58.15" thickBot="1" x14ac:dyDescent="0.4">
      <c r="A19"/>
      <c r="B19" s="79" t="s">
        <v>79</v>
      </c>
      <c r="C19" s="164">
        <f t="shared" ref="C19:S19" si="2">IF(((C17="")*AND(C18="")),"",(C17-C18)*2)</f>
        <v>1820.3600000000006</v>
      </c>
      <c r="D19" s="164">
        <f t="shared" si="2"/>
        <v>1851.2999999999993</v>
      </c>
      <c r="E19" s="164">
        <f t="shared" si="2"/>
        <v>1852.2800000000007</v>
      </c>
      <c r="F19" s="164">
        <f t="shared" si="2"/>
        <v>1868.9600000000009</v>
      </c>
      <c r="G19" s="164">
        <f t="shared" si="2"/>
        <v>1879.1999999999989</v>
      </c>
      <c r="H19" s="164">
        <f t="shared" si="2"/>
        <v>1937</v>
      </c>
      <c r="I19" s="164">
        <f t="shared" si="2"/>
        <v>1995.880000000001</v>
      </c>
      <c r="J19" s="164">
        <f t="shared" si="2"/>
        <v>2021.6800000000003</v>
      </c>
      <c r="K19" s="164">
        <f t="shared" si="2"/>
        <v>2042.08</v>
      </c>
      <c r="L19" s="164">
        <f t="shared" si="2"/>
        <v>1912.8799999999992</v>
      </c>
      <c r="M19" s="164">
        <f t="shared" si="2"/>
        <v>1943.8600000000006</v>
      </c>
      <c r="N19" s="164">
        <f t="shared" si="2"/>
        <v>1914.1000000000004</v>
      </c>
      <c r="O19" s="164">
        <f t="shared" si="2"/>
        <v>1922.9799999999996</v>
      </c>
      <c r="P19" s="164">
        <f t="shared" si="2"/>
        <v>1915.8000000000011</v>
      </c>
      <c r="Q19" s="164">
        <f t="shared" si="2"/>
        <v>1952.7399999999998</v>
      </c>
      <c r="R19" s="164">
        <f t="shared" si="2"/>
        <v>1957.9599999999991</v>
      </c>
      <c r="S19" s="165">
        <f t="shared" si="2"/>
        <v>1948.7399999999998</v>
      </c>
      <c r="T19" s="166"/>
      <c r="U19" s="164"/>
      <c r="V19" s="164"/>
      <c r="W19" s="167"/>
      <c r="X19" s="331"/>
      <c r="Y19" s="164"/>
      <c r="Z19" s="168"/>
      <c r="AA19" s="188"/>
    </row>
    <row r="20" spans="1:34" x14ac:dyDescent="0.3">
      <c r="A20" s="320">
        <v>43116</v>
      </c>
      <c r="B20" s="66" t="s">
        <v>77</v>
      </c>
      <c r="C20" s="51">
        <v>5399.1</v>
      </c>
      <c r="D20" s="51">
        <v>5340.85</v>
      </c>
      <c r="E20" s="51">
        <v>5319.03</v>
      </c>
      <c r="F20" s="51">
        <v>5304.53</v>
      </c>
      <c r="G20" s="51">
        <v>5301.97</v>
      </c>
      <c r="H20" s="51">
        <v>5318.63</v>
      </c>
      <c r="I20" s="51">
        <v>5345.45</v>
      </c>
      <c r="J20" s="51">
        <v>5396.37</v>
      </c>
      <c r="K20" s="51">
        <v>5477.98</v>
      </c>
      <c r="L20" s="51">
        <v>5444.83</v>
      </c>
      <c r="M20" s="51">
        <v>5374.71</v>
      </c>
      <c r="N20" s="51">
        <v>5339.85</v>
      </c>
      <c r="O20" s="51">
        <v>5369.18</v>
      </c>
      <c r="P20" s="51">
        <v>5304.54</v>
      </c>
      <c r="Q20" s="51">
        <v>5322.54</v>
      </c>
      <c r="R20" s="51">
        <v>5343.81</v>
      </c>
      <c r="S20" s="51">
        <v>5460.9</v>
      </c>
      <c r="T20" s="157">
        <f>IF((S21=""),"",MAX(C22:S22))</f>
        <v>2142.34</v>
      </c>
      <c r="U20" s="66">
        <f>IF(S21="","",MIN(C22:S22))</f>
        <v>1793.2800000000007</v>
      </c>
      <c r="V20" s="72">
        <f>IF((S22=""),"",AVERAGE(C22:S22))</f>
        <v>1914.148235294118</v>
      </c>
      <c r="W20" s="158">
        <f>STDEV(C22:S22)</f>
        <v>80.054822483977546</v>
      </c>
      <c r="X20" s="100">
        <f>IF((S21=""),"",((T20-U20)/(T20+U20))*100)</f>
        <v>8.8692505882173442</v>
      </c>
      <c r="Y20" s="77" t="str">
        <f>IF(S21="","",IF(X20&lt;15,IF(V20&gt;1690,IF(V20&lt;2125,"Pass","Fail"),"Fail"),"Fail"))</f>
        <v>Pass</v>
      </c>
      <c r="Z20" s="159">
        <v>102</v>
      </c>
      <c r="AA20" s="188"/>
      <c r="AC20" s="134">
        <v>1600</v>
      </c>
      <c r="AD20" s="134">
        <v>2600</v>
      </c>
      <c r="AE20" s="160">
        <v>1690</v>
      </c>
      <c r="AF20" s="160">
        <v>2125</v>
      </c>
      <c r="AG20" s="156">
        <v>15</v>
      </c>
      <c r="AH20" s="156">
        <v>15</v>
      </c>
    </row>
    <row r="21" spans="1:34" ht="16.100000000000001" x14ac:dyDescent="0.35">
      <c r="A21"/>
      <c r="B21" s="66" t="s">
        <v>78</v>
      </c>
      <c r="C21" s="51">
        <v>4502.46</v>
      </c>
      <c r="D21" s="51">
        <v>4433.38</v>
      </c>
      <c r="E21" s="51">
        <v>4394.79</v>
      </c>
      <c r="F21" s="51">
        <v>4373.9799999999996</v>
      </c>
      <c r="G21" s="51">
        <v>4362.5</v>
      </c>
      <c r="H21" s="51">
        <v>4360.68</v>
      </c>
      <c r="I21" s="51">
        <v>4371.99</v>
      </c>
      <c r="J21" s="51">
        <v>4402.55</v>
      </c>
      <c r="K21" s="51">
        <v>4474.9799999999996</v>
      </c>
      <c r="L21" s="51">
        <v>4505.58</v>
      </c>
      <c r="M21" s="51">
        <v>4423.1000000000004</v>
      </c>
      <c r="N21" s="51">
        <v>4385.42</v>
      </c>
      <c r="O21" s="51">
        <v>4298.01</v>
      </c>
      <c r="P21" s="51">
        <v>4361.0600000000004</v>
      </c>
      <c r="Q21" s="51">
        <v>4354.3500000000004</v>
      </c>
      <c r="R21" s="51">
        <v>4389.2299999999996</v>
      </c>
      <c r="S21" s="51">
        <v>4499.95</v>
      </c>
      <c r="T21" s="162"/>
      <c r="U21" s="163"/>
      <c r="V21" s="163"/>
      <c r="W21" s="158"/>
      <c r="X21" s="330"/>
      <c r="Y21" s="163"/>
      <c r="Z21" s="159"/>
      <c r="AA21" s="188"/>
    </row>
    <row r="22" spans="1:34" ht="58.15" thickBot="1" x14ac:dyDescent="0.4">
      <c r="A22"/>
      <c r="B22" s="79" t="s">
        <v>79</v>
      </c>
      <c r="C22" s="164">
        <f t="shared" ref="C22:S22" si="3">IF(((C20="")*AND(C21="")),"",(C20-C21)*2)</f>
        <v>1793.2800000000007</v>
      </c>
      <c r="D22" s="164">
        <f t="shared" si="3"/>
        <v>1814.9400000000005</v>
      </c>
      <c r="E22" s="164">
        <f t="shared" si="3"/>
        <v>1848.4799999999996</v>
      </c>
      <c r="F22" s="164">
        <f t="shared" si="3"/>
        <v>1861.1000000000004</v>
      </c>
      <c r="G22" s="164">
        <f t="shared" si="3"/>
        <v>1878.9400000000005</v>
      </c>
      <c r="H22" s="164">
        <f t="shared" si="3"/>
        <v>1915.8999999999996</v>
      </c>
      <c r="I22" s="164">
        <f t="shared" si="3"/>
        <v>1946.92</v>
      </c>
      <c r="J22" s="164">
        <f t="shared" si="3"/>
        <v>1987.6399999999994</v>
      </c>
      <c r="K22" s="164">
        <f t="shared" si="3"/>
        <v>2006</v>
      </c>
      <c r="L22" s="164">
        <f t="shared" si="3"/>
        <v>1878.5</v>
      </c>
      <c r="M22" s="164">
        <f t="shared" si="3"/>
        <v>1903.2199999999993</v>
      </c>
      <c r="N22" s="164">
        <f t="shared" si="3"/>
        <v>1908.8600000000006</v>
      </c>
      <c r="O22" s="164">
        <f t="shared" si="3"/>
        <v>2142.34</v>
      </c>
      <c r="P22" s="164">
        <f t="shared" si="3"/>
        <v>1886.9599999999991</v>
      </c>
      <c r="Q22" s="164">
        <f t="shared" si="3"/>
        <v>1936.3799999999992</v>
      </c>
      <c r="R22" s="164">
        <f t="shared" si="3"/>
        <v>1909.1600000000017</v>
      </c>
      <c r="S22" s="165">
        <f t="shared" si="3"/>
        <v>1921.8999999999996</v>
      </c>
      <c r="T22" s="166"/>
      <c r="U22" s="164"/>
      <c r="V22" s="164"/>
      <c r="W22" s="167"/>
      <c r="X22" s="331"/>
      <c r="Y22" s="164"/>
      <c r="Z22" s="168"/>
      <c r="AA22" s="188"/>
    </row>
    <row r="23" spans="1:34" x14ac:dyDescent="0.3">
      <c r="A23" s="320">
        <v>43118</v>
      </c>
      <c r="B23" s="66" t="s">
        <v>77</v>
      </c>
      <c r="C23" s="51">
        <v>5519.99</v>
      </c>
      <c r="D23" s="51">
        <v>5483.44</v>
      </c>
      <c r="E23" s="51">
        <v>5468.45</v>
      </c>
      <c r="F23" s="51">
        <v>5455.37</v>
      </c>
      <c r="G23" s="51">
        <v>5459.5</v>
      </c>
      <c r="H23" s="51">
        <v>5471.22</v>
      </c>
      <c r="I23" s="51">
        <v>5487.06</v>
      </c>
      <c r="J23" s="51">
        <v>5524.44</v>
      </c>
      <c r="K23" s="51">
        <v>5574.94</v>
      </c>
      <c r="L23" s="51">
        <v>5540.07</v>
      </c>
      <c r="M23" s="51">
        <v>5499.49</v>
      </c>
      <c r="N23" s="51">
        <v>5477.98</v>
      </c>
      <c r="O23" s="51">
        <v>5388.01</v>
      </c>
      <c r="P23" s="51">
        <v>5466.53</v>
      </c>
      <c r="Q23" s="51">
        <v>5521.66</v>
      </c>
      <c r="R23" s="51">
        <v>5490.03</v>
      </c>
      <c r="S23" s="51">
        <v>5530.84</v>
      </c>
      <c r="T23" s="157">
        <f>IF((S24=""),"",MAX(C25:S25))</f>
        <v>1998.9799999999996</v>
      </c>
      <c r="U23" s="66">
        <f>IF(S24="","",MIN(C25:S25))</f>
        <v>1638.92</v>
      </c>
      <c r="V23" s="72">
        <f>IF((S25=""),"",AVERAGE(C25:S25))</f>
        <v>1887.1247058823526</v>
      </c>
      <c r="W23" s="158">
        <f>STDEV(C25:S25)</f>
        <v>81.563467474541483</v>
      </c>
      <c r="X23" s="100">
        <f>IF((S24=""),"",((T23-U23)/(T23+U23))*100)</f>
        <v>9.8974683196349424</v>
      </c>
      <c r="Y23" s="77" t="str">
        <f>IF(S24="","",IF(X23&lt;15,IF(V23&gt;1690,IF(V23&lt;2125,"Pass","Fail"),"Fail"),"Fail"))</f>
        <v>Pass</v>
      </c>
      <c r="Z23" s="159">
        <v>1428</v>
      </c>
      <c r="AA23" s="188" t="s">
        <v>112</v>
      </c>
      <c r="AC23" s="134">
        <v>1600</v>
      </c>
      <c r="AD23" s="134">
        <v>2600</v>
      </c>
      <c r="AE23" s="160">
        <v>1690</v>
      </c>
      <c r="AF23" s="160">
        <v>2125</v>
      </c>
      <c r="AG23" s="156">
        <v>15</v>
      </c>
      <c r="AH23" s="156">
        <v>15</v>
      </c>
    </row>
    <row r="24" spans="1:34" ht="16.100000000000001" x14ac:dyDescent="0.35">
      <c r="A24"/>
      <c r="B24" s="66" t="s">
        <v>78</v>
      </c>
      <c r="C24" s="51">
        <v>4615.45</v>
      </c>
      <c r="D24" s="51">
        <v>4560.46</v>
      </c>
      <c r="E24" s="51">
        <v>4550.2700000000004</v>
      </c>
      <c r="F24" s="51">
        <v>4532.43</v>
      </c>
      <c r="G24" s="51">
        <v>4525.6400000000003</v>
      </c>
      <c r="H24" s="51">
        <v>4520.3100000000004</v>
      </c>
      <c r="I24" s="51">
        <v>4512.26</v>
      </c>
      <c r="J24" s="51">
        <v>4534.34</v>
      </c>
      <c r="K24" s="51">
        <v>4575.45</v>
      </c>
      <c r="L24" s="51">
        <v>4583</v>
      </c>
      <c r="M24" s="51">
        <v>4542.43</v>
      </c>
      <c r="N24" s="51">
        <v>4528.4799999999996</v>
      </c>
      <c r="O24" s="51">
        <v>4568.55</v>
      </c>
      <c r="P24" s="51">
        <v>4520.96</v>
      </c>
      <c r="Q24" s="51">
        <v>4558.37</v>
      </c>
      <c r="R24" s="51">
        <v>4520.87</v>
      </c>
      <c r="S24" s="51">
        <v>4569.1899999999996</v>
      </c>
      <c r="T24" s="162"/>
      <c r="U24" s="163"/>
      <c r="V24" s="163"/>
      <c r="W24" s="158"/>
      <c r="X24" s="330"/>
      <c r="Y24" s="163"/>
      <c r="Z24" s="159"/>
      <c r="AA24" s="350"/>
    </row>
    <row r="25" spans="1:34" ht="58.15" thickBot="1" x14ac:dyDescent="0.4">
      <c r="A25"/>
      <c r="B25" s="79" t="s">
        <v>79</v>
      </c>
      <c r="C25" s="164">
        <f t="shared" ref="C25:S25" si="4">IF(((C23="")*AND(C24="")),"",(C23-C24)*2)</f>
        <v>1809.08</v>
      </c>
      <c r="D25" s="164">
        <f t="shared" si="4"/>
        <v>1845.9599999999991</v>
      </c>
      <c r="E25" s="164">
        <f t="shared" si="4"/>
        <v>1836.3599999999988</v>
      </c>
      <c r="F25" s="164">
        <f t="shared" si="4"/>
        <v>1845.8799999999992</v>
      </c>
      <c r="G25" s="164">
        <f t="shared" si="4"/>
        <v>1867.7199999999993</v>
      </c>
      <c r="H25" s="164">
        <f t="shared" si="4"/>
        <v>1901.8199999999997</v>
      </c>
      <c r="I25" s="164">
        <f t="shared" si="4"/>
        <v>1949.6000000000004</v>
      </c>
      <c r="J25" s="164">
        <f t="shared" si="4"/>
        <v>1980.1999999999989</v>
      </c>
      <c r="K25" s="164">
        <f t="shared" si="4"/>
        <v>1998.9799999999996</v>
      </c>
      <c r="L25" s="164">
        <f t="shared" si="4"/>
        <v>1914.1399999999994</v>
      </c>
      <c r="M25" s="164">
        <f t="shared" si="4"/>
        <v>1914.119999999999</v>
      </c>
      <c r="N25" s="164">
        <f t="shared" si="4"/>
        <v>1899</v>
      </c>
      <c r="O25" s="164">
        <f t="shared" si="4"/>
        <v>1638.92</v>
      </c>
      <c r="P25" s="164">
        <f t="shared" si="4"/>
        <v>1891.1399999999994</v>
      </c>
      <c r="Q25" s="164">
        <f t="shared" si="4"/>
        <v>1926.58</v>
      </c>
      <c r="R25" s="164">
        <f t="shared" si="4"/>
        <v>1938.3199999999997</v>
      </c>
      <c r="S25" s="165">
        <f t="shared" si="4"/>
        <v>1923.3000000000011</v>
      </c>
      <c r="T25" s="166"/>
      <c r="U25" s="164"/>
      <c r="V25" s="164"/>
      <c r="W25" s="167"/>
      <c r="X25" s="331"/>
      <c r="Y25" s="164"/>
      <c r="Z25" s="168"/>
      <c r="AA25" s="350"/>
    </row>
    <row r="26" spans="1:34" x14ac:dyDescent="0.3">
      <c r="A26" s="320">
        <v>43122</v>
      </c>
      <c r="B26" s="66" t="s">
        <v>77</v>
      </c>
      <c r="C26" s="51">
        <v>5482.14</v>
      </c>
      <c r="D26" s="51">
        <v>5439.37</v>
      </c>
      <c r="E26" s="51">
        <v>5423.06</v>
      </c>
      <c r="F26" s="51">
        <v>5402.54</v>
      </c>
      <c r="G26" s="51">
        <v>5397.38</v>
      </c>
      <c r="H26" s="51">
        <v>5409.78</v>
      </c>
      <c r="I26" s="51">
        <v>5434.03</v>
      </c>
      <c r="J26" s="51">
        <v>5478.77</v>
      </c>
      <c r="K26" s="51">
        <v>5534.68</v>
      </c>
      <c r="L26" s="51">
        <v>5595.78</v>
      </c>
      <c r="M26" s="51">
        <v>5456.39</v>
      </c>
      <c r="N26" s="51">
        <v>5419.89</v>
      </c>
      <c r="O26" s="51">
        <v>5475.31</v>
      </c>
      <c r="P26" s="51">
        <v>5415.47</v>
      </c>
      <c r="Q26" s="51">
        <v>5473.42</v>
      </c>
      <c r="R26" s="51">
        <v>5429.67</v>
      </c>
      <c r="S26" s="51">
        <v>5499.33</v>
      </c>
      <c r="T26" s="157">
        <f>IF((S27=""),"",MAX(C28:S28))</f>
        <v>2088.2199999999993</v>
      </c>
      <c r="U26" s="66">
        <f>IF(S27="","",MIN(C28:S28))</f>
        <v>1786.9400000000005</v>
      </c>
      <c r="V26" s="72">
        <f>IF((S28=""),"",AVERAGE(C28:S28))</f>
        <v>1923.2411764705885</v>
      </c>
      <c r="W26" s="158">
        <f>STDEV(C28:S28)</f>
        <v>84.216141110415407</v>
      </c>
      <c r="X26" s="100">
        <f>IF((S27=""),"",((T26-U26)/(T26+U26))*100)</f>
        <v>7.774646724264259</v>
      </c>
      <c r="Y26" s="77" t="str">
        <f>IF(S27="","",IF(X26&lt;15,IF(V26&gt;1690,IF(V26&lt;2125,"Pass","Fail"),"Fail"),"Fail"))</f>
        <v>Pass</v>
      </c>
      <c r="Z26" s="159">
        <v>1428</v>
      </c>
      <c r="AA26" s="188" t="s">
        <v>82</v>
      </c>
      <c r="AC26" s="134">
        <v>1600</v>
      </c>
      <c r="AD26" s="134">
        <v>2600</v>
      </c>
      <c r="AE26" s="160">
        <v>1690</v>
      </c>
      <c r="AF26" s="160">
        <v>2125</v>
      </c>
      <c r="AG26" s="156">
        <v>15</v>
      </c>
      <c r="AH26" s="156">
        <v>15</v>
      </c>
    </row>
    <row r="27" spans="1:34" ht="16.100000000000001" x14ac:dyDescent="0.35">
      <c r="A27"/>
      <c r="B27" s="66" t="s">
        <v>78</v>
      </c>
      <c r="C27" s="51">
        <v>4588.67</v>
      </c>
      <c r="D27" s="51">
        <v>4529.9799999999996</v>
      </c>
      <c r="E27" s="51">
        <v>4491.97</v>
      </c>
      <c r="F27" s="51">
        <v>4468.1000000000004</v>
      </c>
      <c r="G27" s="51">
        <v>4465.83</v>
      </c>
      <c r="H27" s="51">
        <v>4449.5200000000004</v>
      </c>
      <c r="I27" s="51">
        <v>4441.5</v>
      </c>
      <c r="J27" s="51">
        <v>4470.38</v>
      </c>
      <c r="K27" s="51">
        <v>4517.58</v>
      </c>
      <c r="L27" s="51">
        <v>4551.67</v>
      </c>
      <c r="M27" s="51">
        <v>4500.3100000000004</v>
      </c>
      <c r="N27" s="51">
        <v>4480.01</v>
      </c>
      <c r="O27" s="51">
        <v>4526.29</v>
      </c>
      <c r="P27" s="51">
        <v>4450.6099999999997</v>
      </c>
      <c r="Q27" s="51">
        <v>4451.03</v>
      </c>
      <c r="R27" s="51">
        <v>4466.2700000000004</v>
      </c>
      <c r="S27" s="51">
        <v>4569.74</v>
      </c>
      <c r="T27" s="162"/>
      <c r="U27" s="163"/>
      <c r="V27" s="163"/>
      <c r="W27" s="158"/>
      <c r="X27" s="330"/>
      <c r="Y27" s="163"/>
      <c r="Z27" s="159"/>
      <c r="AA27" s="350"/>
    </row>
    <row r="28" spans="1:34" ht="58.15" thickBot="1" x14ac:dyDescent="0.4">
      <c r="A28"/>
      <c r="B28" s="79" t="s">
        <v>79</v>
      </c>
      <c r="C28" s="164">
        <f t="shared" ref="C28:S28" si="5">IF(((C26="")*AND(C27="")),"",(C26-C27)*2)</f>
        <v>1786.9400000000005</v>
      </c>
      <c r="D28" s="164">
        <f t="shared" si="5"/>
        <v>1818.7800000000007</v>
      </c>
      <c r="E28" s="164">
        <f t="shared" si="5"/>
        <v>1862.1800000000003</v>
      </c>
      <c r="F28" s="164">
        <f t="shared" si="5"/>
        <v>1868.8799999999992</v>
      </c>
      <c r="G28" s="164">
        <f t="shared" si="5"/>
        <v>1863.1000000000004</v>
      </c>
      <c r="H28" s="164">
        <f t="shared" si="5"/>
        <v>1920.5199999999986</v>
      </c>
      <c r="I28" s="164">
        <f t="shared" si="5"/>
        <v>1985.0599999999995</v>
      </c>
      <c r="J28" s="164">
        <f t="shared" si="5"/>
        <v>2016.7800000000007</v>
      </c>
      <c r="K28" s="164">
        <f t="shared" si="5"/>
        <v>2034.2000000000007</v>
      </c>
      <c r="L28" s="164">
        <f t="shared" si="5"/>
        <v>2088.2199999999993</v>
      </c>
      <c r="M28" s="164">
        <f t="shared" si="5"/>
        <v>1912.1599999999999</v>
      </c>
      <c r="N28" s="164">
        <f t="shared" si="5"/>
        <v>1879.7600000000002</v>
      </c>
      <c r="O28" s="164">
        <f t="shared" si="5"/>
        <v>1898.0400000000009</v>
      </c>
      <c r="P28" s="164">
        <f t="shared" si="5"/>
        <v>1929.7200000000012</v>
      </c>
      <c r="Q28" s="164">
        <f t="shared" si="5"/>
        <v>2044.7800000000007</v>
      </c>
      <c r="R28" s="164">
        <f t="shared" si="5"/>
        <v>1926.7999999999993</v>
      </c>
      <c r="S28" s="165">
        <f t="shared" si="5"/>
        <v>1859.1800000000003</v>
      </c>
      <c r="T28" s="166"/>
      <c r="U28" s="164"/>
      <c r="V28" s="164"/>
      <c r="W28" s="167"/>
      <c r="X28" s="331"/>
      <c r="Y28" s="164"/>
      <c r="Z28" s="168"/>
      <c r="AA28" s="350"/>
    </row>
    <row r="29" spans="1:34" x14ac:dyDescent="0.3">
      <c r="A29" s="320">
        <v>43125</v>
      </c>
      <c r="B29" s="66" t="s">
        <v>77</v>
      </c>
      <c r="C29" s="51">
        <v>5425.32</v>
      </c>
      <c r="D29" s="51">
        <v>5400.64</v>
      </c>
      <c r="E29" s="51">
        <v>5361.39</v>
      </c>
      <c r="F29" s="51">
        <v>5345.82</v>
      </c>
      <c r="G29" s="51">
        <v>5351.45</v>
      </c>
      <c r="H29" s="51">
        <v>5368.23</v>
      </c>
      <c r="I29" s="51">
        <v>5401.34</v>
      </c>
      <c r="J29" s="51">
        <v>5441.46</v>
      </c>
      <c r="K29" s="51">
        <v>5507.89</v>
      </c>
      <c r="L29" s="51">
        <v>5481.06</v>
      </c>
      <c r="M29" s="51">
        <v>5424.1</v>
      </c>
      <c r="N29" s="51">
        <v>5387.4</v>
      </c>
      <c r="O29" s="51">
        <v>5420.81</v>
      </c>
      <c r="P29" s="51">
        <v>5357.27</v>
      </c>
      <c r="Q29" s="51">
        <v>5368.07</v>
      </c>
      <c r="R29" s="51">
        <v>5387.27</v>
      </c>
      <c r="S29" s="51">
        <v>5486.24</v>
      </c>
      <c r="T29" s="157">
        <f>IF((S30=""),"",MAX(C31:S31))</f>
        <v>1969.7600000000002</v>
      </c>
      <c r="U29" s="66">
        <f>IF(S30="","",MIN(C31:S31))</f>
        <v>1801.58</v>
      </c>
      <c r="V29" s="72">
        <f>IF((S31=""),"",AVERAGE(C31:S31))</f>
        <v>1876.5505882352941</v>
      </c>
      <c r="W29" s="158">
        <f>STDEV(C31:S31)</f>
        <v>46.034245468806724</v>
      </c>
      <c r="X29" s="100">
        <f>IF((S30=""),"",((T29-U29)/(T29+U29))*100)</f>
        <v>4.4594229106895771</v>
      </c>
      <c r="Y29" s="77" t="str">
        <f>IF(S30="","",IF(X29&lt;15,IF(V29&gt;1690,IF(V29&lt;2125,"Pass","Fail"),"Fail"),"Fail"))</f>
        <v>Pass</v>
      </c>
      <c r="Z29" s="159">
        <v>1428</v>
      </c>
      <c r="AA29" s="350"/>
      <c r="AC29" s="134">
        <v>1600</v>
      </c>
      <c r="AD29" s="134">
        <v>2600</v>
      </c>
      <c r="AE29" s="160">
        <v>1690</v>
      </c>
      <c r="AF29" s="160">
        <v>2125</v>
      </c>
      <c r="AG29" s="156">
        <v>15</v>
      </c>
      <c r="AH29" s="156">
        <v>15</v>
      </c>
    </row>
    <row r="30" spans="1:34" ht="16.100000000000001" x14ac:dyDescent="0.35">
      <c r="A30"/>
      <c r="B30" s="66" t="s">
        <v>78</v>
      </c>
      <c r="C30" s="51">
        <v>4524.53</v>
      </c>
      <c r="D30" s="51">
        <v>4471.88</v>
      </c>
      <c r="E30" s="51">
        <v>4459.47</v>
      </c>
      <c r="F30" s="51">
        <v>4435.63</v>
      </c>
      <c r="G30" s="51">
        <v>4432.62</v>
      </c>
      <c r="H30" s="51">
        <v>4423.9399999999996</v>
      </c>
      <c r="I30" s="51">
        <v>4434.8900000000003</v>
      </c>
      <c r="J30" s="51">
        <v>4468.67</v>
      </c>
      <c r="K30" s="51">
        <v>4523.01</v>
      </c>
      <c r="L30" s="51">
        <v>4541.3100000000004</v>
      </c>
      <c r="M30" s="51">
        <v>4474.92</v>
      </c>
      <c r="N30" s="51">
        <v>4445.91</v>
      </c>
      <c r="O30" s="51">
        <v>4489.8599999999997</v>
      </c>
      <c r="P30" s="51">
        <v>4419.08</v>
      </c>
      <c r="Q30" s="51">
        <v>4422.25</v>
      </c>
      <c r="R30" s="51">
        <v>4454.41</v>
      </c>
      <c r="S30" s="51">
        <v>4542.7</v>
      </c>
      <c r="T30" s="162"/>
      <c r="U30" s="163"/>
      <c r="V30" s="163"/>
      <c r="W30" s="158"/>
      <c r="X30" s="330"/>
      <c r="Y30" s="163"/>
      <c r="Z30" s="159"/>
      <c r="AA30" s="350"/>
    </row>
    <row r="31" spans="1:34" ht="58.15" thickBot="1" x14ac:dyDescent="0.4">
      <c r="A31"/>
      <c r="B31" s="79" t="s">
        <v>79</v>
      </c>
      <c r="C31" s="164">
        <f t="shared" ref="C31:S31" si="6">IF(((C29="")*AND(C30="")),"",(C29-C30)*2)</f>
        <v>1801.58</v>
      </c>
      <c r="D31" s="164">
        <f t="shared" si="6"/>
        <v>1857.5200000000004</v>
      </c>
      <c r="E31" s="164">
        <f t="shared" si="6"/>
        <v>1803.8400000000001</v>
      </c>
      <c r="F31" s="164">
        <f t="shared" si="6"/>
        <v>1820.3799999999992</v>
      </c>
      <c r="G31" s="164">
        <f t="shared" si="6"/>
        <v>1837.6599999999999</v>
      </c>
      <c r="H31" s="164">
        <f t="shared" si="6"/>
        <v>1888.58</v>
      </c>
      <c r="I31" s="164">
        <f t="shared" si="6"/>
        <v>1932.8999999999996</v>
      </c>
      <c r="J31" s="164">
        <f t="shared" si="6"/>
        <v>1945.58</v>
      </c>
      <c r="K31" s="164">
        <f t="shared" si="6"/>
        <v>1969.7600000000002</v>
      </c>
      <c r="L31" s="164">
        <f t="shared" si="6"/>
        <v>1879.5</v>
      </c>
      <c r="M31" s="164">
        <f t="shared" si="6"/>
        <v>1898.3600000000006</v>
      </c>
      <c r="N31" s="164">
        <f t="shared" si="6"/>
        <v>1882.9799999999996</v>
      </c>
      <c r="O31" s="164">
        <f t="shared" si="6"/>
        <v>1861.9000000000015</v>
      </c>
      <c r="P31" s="164">
        <f t="shared" si="6"/>
        <v>1876.380000000001</v>
      </c>
      <c r="Q31" s="164">
        <f t="shared" si="6"/>
        <v>1891.6399999999994</v>
      </c>
      <c r="R31" s="164">
        <f t="shared" si="6"/>
        <v>1865.7200000000012</v>
      </c>
      <c r="S31" s="165">
        <f t="shared" si="6"/>
        <v>1887.08</v>
      </c>
      <c r="T31" s="166"/>
      <c r="U31" s="164"/>
      <c r="V31" s="164"/>
      <c r="W31" s="167"/>
      <c r="X31" s="331"/>
      <c r="Y31" s="164"/>
      <c r="Z31" s="168"/>
      <c r="AA31" s="350"/>
    </row>
    <row r="32" spans="1:34" x14ac:dyDescent="0.3">
      <c r="A32" s="321">
        <v>43129</v>
      </c>
      <c r="B32" s="66" t="s">
        <v>77</v>
      </c>
      <c r="C32" s="51">
        <v>2025.61</v>
      </c>
      <c r="D32" s="51">
        <v>2015</v>
      </c>
      <c r="E32" s="51">
        <v>2012.28</v>
      </c>
      <c r="F32" s="51">
        <v>2010.87</v>
      </c>
      <c r="G32" s="51">
        <v>2006.78</v>
      </c>
      <c r="H32" s="51">
        <v>2008.55</v>
      </c>
      <c r="I32" s="51">
        <v>2009.18</v>
      </c>
      <c r="J32" s="51">
        <v>2011.73</v>
      </c>
      <c r="K32" s="51">
        <v>2024.79</v>
      </c>
      <c r="L32" s="51">
        <v>2081.7600000000002</v>
      </c>
      <c r="M32" s="51">
        <v>2008.79</v>
      </c>
      <c r="N32" s="51">
        <v>2008.63</v>
      </c>
      <c r="O32" s="51">
        <v>2066.35</v>
      </c>
      <c r="P32" s="51">
        <v>2026.22</v>
      </c>
      <c r="Q32" s="51">
        <v>2067.56</v>
      </c>
      <c r="R32" s="51">
        <v>2010.48</v>
      </c>
      <c r="S32" s="51">
        <v>2021.67</v>
      </c>
      <c r="T32" s="157">
        <f>IF((S33=""),"",MAX(C34:S34))</f>
        <v>2317.8999999999996</v>
      </c>
      <c r="U32" s="66">
        <f>IF(S33="","",MIN(C34:S34))</f>
        <v>1804.48</v>
      </c>
      <c r="V32" s="72">
        <f>IF((S34=""),"",AVERAGE(C34:S34))</f>
        <v>1941.0094117647056</v>
      </c>
      <c r="W32" s="158">
        <f>STDEV(C34:S34)</f>
        <v>119.02087739502821</v>
      </c>
      <c r="X32" s="100">
        <f>IF((S33=""),"",((T32-U32)/(T32+U32))*100)</f>
        <v>12.454455921094118</v>
      </c>
      <c r="Y32" s="77" t="str">
        <f>IF(S33="","",IF(X32&lt;15,IF(V32&gt;1690,IF(V32&lt;2125,"Pass","Fail"),"Fail"),"Fail"))</f>
        <v>Pass</v>
      </c>
      <c r="Z32" s="159" t="s">
        <v>83</v>
      </c>
      <c r="AA32" s="350"/>
      <c r="AB32" s="188" t="s">
        <v>113</v>
      </c>
      <c r="AC32" s="134">
        <v>1600</v>
      </c>
      <c r="AD32" s="134">
        <v>2600</v>
      </c>
      <c r="AE32" s="160">
        <v>1690</v>
      </c>
      <c r="AF32" s="160">
        <v>2125</v>
      </c>
      <c r="AG32" s="156">
        <v>15</v>
      </c>
      <c r="AH32" s="156">
        <v>15</v>
      </c>
    </row>
    <row r="33" spans="1:34" ht="16.100000000000001" x14ac:dyDescent="0.35">
      <c r="A33"/>
      <c r="B33" s="66" t="s">
        <v>78</v>
      </c>
      <c r="C33" s="51">
        <v>1123.3699999999999</v>
      </c>
      <c r="D33" s="51">
        <v>1105.2</v>
      </c>
      <c r="E33" s="51">
        <v>1093.1300000000001</v>
      </c>
      <c r="F33" s="51">
        <v>1083.07</v>
      </c>
      <c r="G33" s="51">
        <v>1067.54</v>
      </c>
      <c r="H33" s="51">
        <v>1047.1300000000001</v>
      </c>
      <c r="I33" s="51">
        <v>1027.81</v>
      </c>
      <c r="J33" s="51">
        <v>1012.29</v>
      </c>
      <c r="K33" s="51">
        <v>1004.39</v>
      </c>
      <c r="L33" s="51">
        <v>1111.6099999999999</v>
      </c>
      <c r="M33" s="51">
        <v>1059.45</v>
      </c>
      <c r="N33" s="51">
        <v>1062.01</v>
      </c>
      <c r="O33" s="51">
        <v>907.4</v>
      </c>
      <c r="P33" s="51">
        <v>1078.3399999999999</v>
      </c>
      <c r="Q33" s="51">
        <v>1050.69</v>
      </c>
      <c r="R33" s="51">
        <v>1044.81</v>
      </c>
      <c r="S33" s="51">
        <v>1039.43</v>
      </c>
      <c r="T33" s="162"/>
      <c r="U33" s="163"/>
      <c r="V33" s="163"/>
      <c r="W33" s="158"/>
      <c r="X33" s="330"/>
      <c r="Y33" s="163"/>
      <c r="Z33" s="169"/>
      <c r="AA33" s="351"/>
    </row>
    <row r="34" spans="1:34" ht="58.15" thickBot="1" x14ac:dyDescent="0.4">
      <c r="A34"/>
      <c r="B34" s="79" t="s">
        <v>79</v>
      </c>
      <c r="C34" s="164">
        <f t="shared" ref="C34:S34" si="7">IF(((C32="")*AND(C33="")),"",(C32-C33)*2)</f>
        <v>1804.48</v>
      </c>
      <c r="D34" s="164">
        <f t="shared" si="7"/>
        <v>1819.6</v>
      </c>
      <c r="E34" s="164">
        <f t="shared" si="7"/>
        <v>1838.2999999999997</v>
      </c>
      <c r="F34" s="164">
        <f t="shared" si="7"/>
        <v>1855.6</v>
      </c>
      <c r="G34" s="164">
        <f t="shared" si="7"/>
        <v>1878.48</v>
      </c>
      <c r="H34" s="164">
        <f t="shared" si="7"/>
        <v>1922.8399999999997</v>
      </c>
      <c r="I34" s="164">
        <f t="shared" si="7"/>
        <v>1962.7400000000002</v>
      </c>
      <c r="J34" s="164">
        <f t="shared" si="7"/>
        <v>1998.88</v>
      </c>
      <c r="K34" s="164">
        <f t="shared" si="7"/>
        <v>2040.8</v>
      </c>
      <c r="L34" s="164">
        <f t="shared" si="7"/>
        <v>1940.3000000000006</v>
      </c>
      <c r="M34" s="164">
        <f t="shared" si="7"/>
        <v>1898.6799999999998</v>
      </c>
      <c r="N34" s="164">
        <f t="shared" si="7"/>
        <v>1893.2400000000002</v>
      </c>
      <c r="O34" s="164">
        <f t="shared" si="7"/>
        <v>2317.8999999999996</v>
      </c>
      <c r="P34" s="164">
        <f t="shared" si="7"/>
        <v>1895.7600000000002</v>
      </c>
      <c r="Q34" s="164">
        <f t="shared" si="7"/>
        <v>2033.7399999999998</v>
      </c>
      <c r="R34" s="164">
        <f t="shared" si="7"/>
        <v>1931.3400000000001</v>
      </c>
      <c r="S34" s="165">
        <f t="shared" si="7"/>
        <v>1964.48</v>
      </c>
      <c r="T34" s="166"/>
      <c r="U34" s="164"/>
      <c r="V34" s="164"/>
      <c r="W34" s="167"/>
      <c r="X34" s="331"/>
      <c r="Y34" s="164"/>
      <c r="Z34" s="170"/>
      <c r="AA34" s="351"/>
    </row>
    <row r="35" spans="1:34" x14ac:dyDescent="0.3">
      <c r="A35" s="321">
        <v>43132</v>
      </c>
      <c r="B35" s="66" t="s">
        <v>77</v>
      </c>
      <c r="C35" s="51">
        <v>3644.67</v>
      </c>
      <c r="D35" s="51">
        <v>3615.17</v>
      </c>
      <c r="E35" s="51">
        <v>3604.44</v>
      </c>
      <c r="F35" s="51">
        <v>3613.46</v>
      </c>
      <c r="G35" s="51">
        <v>3614.2</v>
      </c>
      <c r="H35" s="51">
        <v>3589.96</v>
      </c>
      <c r="I35" s="51">
        <v>3581.58</v>
      </c>
      <c r="J35" s="51">
        <v>3583.81</v>
      </c>
      <c r="K35" s="51">
        <v>3621.81</v>
      </c>
      <c r="L35" s="51">
        <v>3648.96</v>
      </c>
      <c r="M35" s="51">
        <v>3614.91</v>
      </c>
      <c r="N35" s="51">
        <v>3607.25</v>
      </c>
      <c r="O35" s="51">
        <v>3679.74</v>
      </c>
      <c r="P35" s="51">
        <v>3601.11</v>
      </c>
      <c r="Q35" s="51">
        <v>3635.1</v>
      </c>
      <c r="R35" s="51">
        <v>3571.05</v>
      </c>
      <c r="S35" s="51">
        <v>3591.94</v>
      </c>
      <c r="T35" s="157">
        <f>IF((S36=""),"",MAX(C37:S37))</f>
        <v>1735.3999999999996</v>
      </c>
      <c r="U35" s="66">
        <f>IF(S36="","",MIN(C37:S37))</f>
        <v>1345.5600000000004</v>
      </c>
      <c r="V35" s="72">
        <f>IF((S37=""),"",AVERAGE(C37:S37))</f>
        <v>1560.9117647058824</v>
      </c>
      <c r="W35" s="158">
        <f>STDEV(C37:S37)</f>
        <v>107.58806394271238</v>
      </c>
      <c r="X35" s="100">
        <f>IF((S36=""),"",((T35-U35)/(T35+U35))*100)</f>
        <v>12.653199002908158</v>
      </c>
      <c r="Y35" s="77" t="str">
        <f>IF(S36="","",IF(X35&lt;15,IF(V35&gt;1690,IF(V35&lt;2125,"Pass","Fail"),"Fail"),"Fail"))</f>
        <v>Fail</v>
      </c>
      <c r="Z35" s="159">
        <v>1335</v>
      </c>
      <c r="AA35" s="350"/>
      <c r="AB35" s="188" t="s">
        <v>114</v>
      </c>
      <c r="AC35" s="134">
        <v>1600</v>
      </c>
      <c r="AD35" s="134">
        <v>2600</v>
      </c>
      <c r="AE35" s="160">
        <v>1690</v>
      </c>
      <c r="AF35" s="160">
        <v>2125</v>
      </c>
      <c r="AG35" s="156">
        <v>15</v>
      </c>
      <c r="AH35" s="156">
        <v>15</v>
      </c>
    </row>
    <row r="36" spans="1:34" ht="16.100000000000001" x14ac:dyDescent="0.35">
      <c r="A36"/>
      <c r="B36" s="66" t="s">
        <v>78</v>
      </c>
      <c r="C36" s="51">
        <v>2923.92</v>
      </c>
      <c r="D36" s="51">
        <v>2885.82</v>
      </c>
      <c r="E36" s="51">
        <v>2862.55</v>
      </c>
      <c r="F36" s="51">
        <v>2872.58</v>
      </c>
      <c r="G36" s="51">
        <v>2867.6</v>
      </c>
      <c r="H36" s="51">
        <v>2794.53</v>
      </c>
      <c r="I36" s="51">
        <v>2752.06</v>
      </c>
      <c r="J36" s="51">
        <v>2737.64</v>
      </c>
      <c r="K36" s="51">
        <v>2754.11</v>
      </c>
      <c r="L36" s="51">
        <v>2976.18</v>
      </c>
      <c r="M36" s="51">
        <v>2835.09</v>
      </c>
      <c r="N36" s="51">
        <v>2829.41</v>
      </c>
      <c r="O36" s="51">
        <v>2931.22</v>
      </c>
      <c r="P36" s="51">
        <v>2814.37</v>
      </c>
      <c r="Q36" s="51">
        <v>2772.25</v>
      </c>
      <c r="R36" s="51">
        <v>2768.13</v>
      </c>
      <c r="S36" s="51">
        <v>2773.95</v>
      </c>
      <c r="T36" s="162"/>
      <c r="U36" s="163"/>
      <c r="V36" s="163"/>
      <c r="W36" s="158"/>
      <c r="X36" s="330"/>
      <c r="Y36" s="163"/>
      <c r="Z36" s="159"/>
      <c r="AA36" s="350"/>
    </row>
    <row r="37" spans="1:34" ht="58.15" thickBot="1" x14ac:dyDescent="0.4">
      <c r="A37"/>
      <c r="B37" s="79" t="s">
        <v>79</v>
      </c>
      <c r="C37" s="164">
        <f t="shared" ref="C37:S37" si="8">IF(((C35="")*AND(C36="")),"",(C35-C36)*2)</f>
        <v>1441.5</v>
      </c>
      <c r="D37" s="164">
        <f t="shared" si="8"/>
        <v>1458.6999999999998</v>
      </c>
      <c r="E37" s="164">
        <f t="shared" si="8"/>
        <v>1483.7799999999997</v>
      </c>
      <c r="F37" s="164">
        <f t="shared" si="8"/>
        <v>1481.7600000000002</v>
      </c>
      <c r="G37" s="164">
        <f t="shared" si="8"/>
        <v>1493.1999999999998</v>
      </c>
      <c r="H37" s="164">
        <f t="shared" si="8"/>
        <v>1590.8599999999997</v>
      </c>
      <c r="I37" s="164">
        <f t="shared" si="8"/>
        <v>1659.04</v>
      </c>
      <c r="J37" s="164">
        <f t="shared" si="8"/>
        <v>1692.3400000000001</v>
      </c>
      <c r="K37" s="164">
        <f t="shared" si="8"/>
        <v>1735.3999999999996</v>
      </c>
      <c r="L37" s="164">
        <f t="shared" si="8"/>
        <v>1345.5600000000004</v>
      </c>
      <c r="M37" s="164">
        <f t="shared" si="8"/>
        <v>1559.6399999999994</v>
      </c>
      <c r="N37" s="164">
        <f t="shared" si="8"/>
        <v>1555.6800000000003</v>
      </c>
      <c r="O37" s="164">
        <f t="shared" si="8"/>
        <v>1497.04</v>
      </c>
      <c r="P37" s="164">
        <f t="shared" si="8"/>
        <v>1573.4800000000005</v>
      </c>
      <c r="Q37" s="164">
        <f t="shared" si="8"/>
        <v>1725.6999999999998</v>
      </c>
      <c r="R37" s="164">
        <f t="shared" si="8"/>
        <v>1605.8400000000001</v>
      </c>
      <c r="S37" s="165">
        <f t="shared" si="8"/>
        <v>1635.9800000000005</v>
      </c>
      <c r="T37" s="166"/>
      <c r="U37" s="164"/>
      <c r="V37" s="164"/>
      <c r="W37" s="167"/>
      <c r="X37" s="331"/>
      <c r="Y37" s="164"/>
      <c r="Z37" s="168"/>
      <c r="AA37" s="350"/>
    </row>
    <row r="38" spans="1:34" x14ac:dyDescent="0.3">
      <c r="A38" s="321">
        <v>43132</v>
      </c>
      <c r="B38" s="66" t="s">
        <v>77</v>
      </c>
      <c r="C38" s="51">
        <v>2018.48</v>
      </c>
      <c r="D38" s="51">
        <v>2006.64</v>
      </c>
      <c r="E38" s="51">
        <v>2002.66</v>
      </c>
      <c r="F38" s="51">
        <v>1998.4</v>
      </c>
      <c r="G38" s="51">
        <v>1997.23</v>
      </c>
      <c r="H38" s="51">
        <v>1997.87</v>
      </c>
      <c r="I38" s="51">
        <v>1999.98</v>
      </c>
      <c r="J38" s="51">
        <v>2003</v>
      </c>
      <c r="K38" s="51">
        <v>2015.85</v>
      </c>
      <c r="L38" s="51">
        <v>2006.79</v>
      </c>
      <c r="M38" s="51">
        <v>2001.54</v>
      </c>
      <c r="N38" s="51">
        <v>1998.51</v>
      </c>
      <c r="O38" s="51">
        <v>2056.48</v>
      </c>
      <c r="P38" s="51">
        <v>2013.9</v>
      </c>
      <c r="Q38" s="51">
        <v>2001.87</v>
      </c>
      <c r="R38" s="51">
        <v>2003.67</v>
      </c>
      <c r="S38" s="51">
        <v>2082.04</v>
      </c>
      <c r="T38" s="157">
        <f>IF((S39=""),"",MAX(C40:S40))</f>
        <v>2357.8199999999997</v>
      </c>
      <c r="U38" s="66">
        <f>IF(S39="","",MIN(C40:S40))</f>
        <v>1758.6</v>
      </c>
      <c r="V38" s="72">
        <f>IF((S40=""),"",AVERAGE(C40:S40))</f>
        <v>1925.6235294117648</v>
      </c>
      <c r="W38" s="158">
        <f>STDEV(C40:S40)</f>
        <v>160.97592603170415</v>
      </c>
      <c r="X38" s="100">
        <f>IF((S39=""),"",((T38-U38)/(T38+U38))*100)</f>
        <v>14.556823647732733</v>
      </c>
      <c r="Y38" s="77" t="str">
        <f>IF(S39="","",IF(X38&lt;15,IF(V38&gt;1690,IF(V38&lt;2125,"Pass","Fail"),"Fail"),"Fail"))</f>
        <v>Pass</v>
      </c>
      <c r="Z38" s="159">
        <v>102</v>
      </c>
      <c r="AA38" s="350"/>
      <c r="AC38" s="134">
        <v>1600</v>
      </c>
      <c r="AD38" s="134">
        <v>2600</v>
      </c>
      <c r="AE38" s="160">
        <v>1690</v>
      </c>
      <c r="AF38" s="160">
        <v>2125</v>
      </c>
      <c r="AG38" s="156">
        <v>15</v>
      </c>
      <c r="AH38" s="156">
        <v>15</v>
      </c>
    </row>
    <row r="39" spans="1:34" ht="16.100000000000001" x14ac:dyDescent="0.35">
      <c r="A39"/>
      <c r="B39" s="66" t="s">
        <v>78</v>
      </c>
      <c r="C39" s="51">
        <v>1114.24</v>
      </c>
      <c r="D39" s="51">
        <v>1096.44</v>
      </c>
      <c r="E39" s="51">
        <v>1088.8</v>
      </c>
      <c r="F39" s="51">
        <v>1079.58</v>
      </c>
      <c r="G39" s="51">
        <v>1067.8800000000001</v>
      </c>
      <c r="H39" s="51">
        <v>1050.58</v>
      </c>
      <c r="I39" s="51">
        <v>1036.77</v>
      </c>
      <c r="J39" s="51">
        <v>1028.42</v>
      </c>
      <c r="K39" s="51">
        <v>1029.33</v>
      </c>
      <c r="L39" s="51">
        <v>1127.49</v>
      </c>
      <c r="M39" s="51">
        <v>1056.25</v>
      </c>
      <c r="N39" s="51">
        <v>1057.81</v>
      </c>
      <c r="O39" s="51">
        <v>906.28</v>
      </c>
      <c r="P39" s="51">
        <v>1081.92</v>
      </c>
      <c r="Q39" s="51">
        <v>1057.08</v>
      </c>
      <c r="R39" s="51">
        <v>1055.1099999999999</v>
      </c>
      <c r="S39" s="51">
        <v>903.13</v>
      </c>
      <c r="T39" s="162"/>
      <c r="U39" s="163"/>
      <c r="V39" s="163"/>
      <c r="W39" s="158"/>
      <c r="X39" s="330"/>
      <c r="Y39" s="163"/>
      <c r="Z39" s="159"/>
      <c r="AA39" s="350"/>
    </row>
    <row r="40" spans="1:34" ht="58.15" thickBot="1" x14ac:dyDescent="0.4">
      <c r="A40"/>
      <c r="B40" s="79" t="s">
        <v>79</v>
      </c>
      <c r="C40" s="164">
        <f t="shared" ref="C40:S40" si="9">IF(((C38="")*AND(C39="")),"",(C38-C39)*2)</f>
        <v>1808.48</v>
      </c>
      <c r="D40" s="164">
        <f t="shared" si="9"/>
        <v>1820.4</v>
      </c>
      <c r="E40" s="164">
        <f t="shared" si="9"/>
        <v>1827.7200000000003</v>
      </c>
      <c r="F40" s="164">
        <f t="shared" si="9"/>
        <v>1837.6400000000003</v>
      </c>
      <c r="G40" s="164">
        <f t="shared" si="9"/>
        <v>1858.6999999999998</v>
      </c>
      <c r="H40" s="164">
        <f t="shared" si="9"/>
        <v>1894.58</v>
      </c>
      <c r="I40" s="164">
        <f t="shared" si="9"/>
        <v>1926.42</v>
      </c>
      <c r="J40" s="164">
        <f t="shared" si="9"/>
        <v>1949.1599999999999</v>
      </c>
      <c r="K40" s="164">
        <f t="shared" si="9"/>
        <v>1973.04</v>
      </c>
      <c r="L40" s="164">
        <f t="shared" si="9"/>
        <v>1758.6</v>
      </c>
      <c r="M40" s="164">
        <f t="shared" si="9"/>
        <v>1890.58</v>
      </c>
      <c r="N40" s="164">
        <f t="shared" si="9"/>
        <v>1881.4</v>
      </c>
      <c r="O40" s="164">
        <f t="shared" si="9"/>
        <v>2300.4</v>
      </c>
      <c r="P40" s="164">
        <f t="shared" si="9"/>
        <v>1863.96</v>
      </c>
      <c r="Q40" s="164">
        <f t="shared" si="9"/>
        <v>1889.58</v>
      </c>
      <c r="R40" s="164">
        <f t="shared" si="9"/>
        <v>1897.1200000000003</v>
      </c>
      <c r="S40" s="165">
        <f t="shared" si="9"/>
        <v>2357.8199999999997</v>
      </c>
      <c r="T40" s="166"/>
      <c r="U40" s="164"/>
      <c r="V40" s="164"/>
      <c r="W40" s="167"/>
      <c r="X40" s="331"/>
      <c r="Y40" s="164"/>
      <c r="Z40" s="168"/>
      <c r="AA40" s="350"/>
    </row>
    <row r="41" spans="1:34" x14ac:dyDescent="0.3">
      <c r="A41" s="321">
        <v>43137</v>
      </c>
      <c r="B41" s="66" t="s">
        <v>77</v>
      </c>
      <c r="C41" s="51">
        <v>2018.59</v>
      </c>
      <c r="D41" s="51">
        <v>2006.52</v>
      </c>
      <c r="E41" s="51">
        <v>2004.51</v>
      </c>
      <c r="F41" s="51">
        <v>2000.34</v>
      </c>
      <c r="G41" s="51">
        <v>1998.21</v>
      </c>
      <c r="H41" s="51">
        <v>1999.07</v>
      </c>
      <c r="I41" s="51">
        <v>2001.03</v>
      </c>
      <c r="J41" s="51">
        <v>2002.91</v>
      </c>
      <c r="K41" s="51">
        <v>2017.32</v>
      </c>
      <c r="L41" s="51">
        <v>2082.25</v>
      </c>
      <c r="M41" s="51">
        <v>2002.04</v>
      </c>
      <c r="N41" s="51">
        <v>1999.68</v>
      </c>
      <c r="O41" s="51">
        <v>2055.0100000000002</v>
      </c>
      <c r="P41" s="51">
        <v>2014.55</v>
      </c>
      <c r="Q41" s="51">
        <v>2058.33</v>
      </c>
      <c r="R41" s="51">
        <v>2004.37</v>
      </c>
      <c r="S41" s="51">
        <v>2021.85</v>
      </c>
      <c r="T41" s="157">
        <f>IF((S42=""),"",MAX(C43:S43))</f>
        <v>2290.0800000000004</v>
      </c>
      <c r="U41" s="66">
        <f>IF(S42="","",MIN(C43:S43))</f>
        <v>1807.8799999999997</v>
      </c>
      <c r="V41" s="72">
        <f>IF((S43=""),"",AVERAGE(C43:S43))</f>
        <v>1917.8011764705882</v>
      </c>
      <c r="W41" s="158">
        <f>STDEV(C43:S43)</f>
        <v>109.79494147514005</v>
      </c>
      <c r="X41" s="100">
        <f>IF((S42=""),"",((T41-U41)/(T41+U41))*100)</f>
        <v>11.766830325332622</v>
      </c>
      <c r="Y41" s="77" t="str">
        <f>IF(S42="","",IF(X41&lt;15,IF(V41&gt;1690,IF(V41&lt;2125,"Pass","Fail"),"Fail"),"Fail"))</f>
        <v>Pass</v>
      </c>
      <c r="Z41" s="159">
        <v>1519</v>
      </c>
      <c r="AA41" s="350"/>
      <c r="AC41" s="134">
        <v>1600</v>
      </c>
      <c r="AD41" s="134">
        <v>2600</v>
      </c>
      <c r="AE41" s="160">
        <v>1690</v>
      </c>
      <c r="AF41" s="160">
        <v>2125</v>
      </c>
      <c r="AG41" s="156">
        <v>15</v>
      </c>
      <c r="AH41" s="156">
        <v>15</v>
      </c>
    </row>
    <row r="42" spans="1:34" ht="16.100000000000001" x14ac:dyDescent="0.35">
      <c r="A42"/>
      <c r="B42" s="66" t="s">
        <v>78</v>
      </c>
      <c r="C42" s="51">
        <v>1114.6500000000001</v>
      </c>
      <c r="D42" s="51">
        <v>1097.46</v>
      </c>
      <c r="E42" s="51">
        <v>1086.83</v>
      </c>
      <c r="F42" s="51">
        <v>1078.47</v>
      </c>
      <c r="G42" s="51">
        <v>1068.32</v>
      </c>
      <c r="H42" s="51">
        <v>1049.8399999999999</v>
      </c>
      <c r="I42" s="51">
        <v>1034.68</v>
      </c>
      <c r="J42" s="51">
        <v>1025.44</v>
      </c>
      <c r="K42" s="51">
        <v>1029.67</v>
      </c>
      <c r="L42" s="51">
        <v>1129.8699999999999</v>
      </c>
      <c r="M42" s="51">
        <v>1056.29</v>
      </c>
      <c r="N42" s="51">
        <v>1057.8699999999999</v>
      </c>
      <c r="O42" s="51">
        <v>909.97</v>
      </c>
      <c r="P42" s="51">
        <v>1075.32</v>
      </c>
      <c r="Q42" s="51">
        <v>1055.98</v>
      </c>
      <c r="R42" s="51">
        <v>1052.6400000000001</v>
      </c>
      <c r="S42" s="51">
        <v>1061.97</v>
      </c>
      <c r="T42" s="162"/>
      <c r="U42" s="163"/>
      <c r="V42" s="163"/>
      <c r="W42" s="158"/>
      <c r="X42" s="330"/>
      <c r="Y42" s="163"/>
      <c r="Z42" s="159"/>
      <c r="AA42" s="350"/>
    </row>
    <row r="43" spans="1:34" ht="58.15" thickBot="1" x14ac:dyDescent="0.4">
      <c r="A43"/>
      <c r="B43" s="79" t="s">
        <v>79</v>
      </c>
      <c r="C43" s="164">
        <f t="shared" ref="C43:S43" si="10">IF(((C41="")*AND(C42="")),"",(C41-C42)*2)</f>
        <v>1807.8799999999997</v>
      </c>
      <c r="D43" s="164">
        <f t="shared" si="10"/>
        <v>1818.12</v>
      </c>
      <c r="E43" s="164">
        <f t="shared" si="10"/>
        <v>1835.3600000000001</v>
      </c>
      <c r="F43" s="164">
        <f t="shared" si="10"/>
        <v>1843.7399999999998</v>
      </c>
      <c r="G43" s="164">
        <f t="shared" si="10"/>
        <v>1859.7800000000002</v>
      </c>
      <c r="H43" s="164">
        <f t="shared" si="10"/>
        <v>1898.46</v>
      </c>
      <c r="I43" s="164">
        <f t="shared" si="10"/>
        <v>1932.6999999999998</v>
      </c>
      <c r="J43" s="164">
        <f t="shared" si="10"/>
        <v>1954.94</v>
      </c>
      <c r="K43" s="164">
        <f t="shared" si="10"/>
        <v>1975.2999999999997</v>
      </c>
      <c r="L43" s="164">
        <f t="shared" si="10"/>
        <v>1904.7600000000002</v>
      </c>
      <c r="M43" s="164">
        <f t="shared" si="10"/>
        <v>1891.5</v>
      </c>
      <c r="N43" s="164">
        <f t="shared" si="10"/>
        <v>1883.6200000000003</v>
      </c>
      <c r="O43" s="164">
        <f t="shared" si="10"/>
        <v>2290.0800000000004</v>
      </c>
      <c r="P43" s="164">
        <f t="shared" si="10"/>
        <v>1878.46</v>
      </c>
      <c r="Q43" s="164">
        <f t="shared" si="10"/>
        <v>2004.6999999999998</v>
      </c>
      <c r="R43" s="164">
        <f t="shared" si="10"/>
        <v>1903.4599999999996</v>
      </c>
      <c r="S43" s="165">
        <f t="shared" si="10"/>
        <v>1919.7599999999998</v>
      </c>
      <c r="T43" s="166"/>
      <c r="U43" s="164"/>
      <c r="V43" s="164"/>
      <c r="W43" s="167"/>
      <c r="X43" s="331"/>
      <c r="Y43" s="164"/>
      <c r="Z43" s="168"/>
      <c r="AA43" s="350"/>
    </row>
    <row r="44" spans="1:34" x14ac:dyDescent="0.3">
      <c r="A44" s="321">
        <v>43141</v>
      </c>
      <c r="B44" s="66" t="s">
        <v>77</v>
      </c>
      <c r="C44" s="51">
        <v>2008.52</v>
      </c>
      <c r="D44" s="51">
        <v>1997.71</v>
      </c>
      <c r="E44" s="51">
        <v>1994.47</v>
      </c>
      <c r="F44" s="51">
        <v>1990.74</v>
      </c>
      <c r="G44" s="51">
        <v>1989.64</v>
      </c>
      <c r="H44" s="51">
        <v>1989.97</v>
      </c>
      <c r="I44" s="51">
        <v>1990.67</v>
      </c>
      <c r="J44" s="51">
        <v>1994.38</v>
      </c>
      <c r="K44" s="51">
        <v>2008.63</v>
      </c>
      <c r="L44" s="51">
        <v>2068.66</v>
      </c>
      <c r="M44" s="51">
        <v>1991.92</v>
      </c>
      <c r="N44" s="51">
        <v>1990.52</v>
      </c>
      <c r="O44" s="51">
        <v>2044.92</v>
      </c>
      <c r="P44" s="51">
        <v>2007.25</v>
      </c>
      <c r="Q44" s="51">
        <v>1992.37</v>
      </c>
      <c r="R44" s="51">
        <v>1994.42</v>
      </c>
      <c r="S44" s="51">
        <v>2066.9</v>
      </c>
      <c r="T44" s="157">
        <f>IF((S45=""),"",MAX(C46:S46))</f>
        <v>2269.9</v>
      </c>
      <c r="U44" s="66">
        <f>IF(S45="","",MIN(C46:S46))</f>
        <v>1776.3400000000001</v>
      </c>
      <c r="V44" s="72">
        <f>IF((S46=""),"",AVERAGE(C46:S46))</f>
        <v>1901.2741176470595</v>
      </c>
      <c r="W44" s="158">
        <f>STDEV(C46:S46)</f>
        <v>112.14614232435858</v>
      </c>
      <c r="X44" s="100">
        <f>IF((S45=""),"",((T44-U44)/(T44+U44))*100)</f>
        <v>12.197991221479693</v>
      </c>
      <c r="Y44" s="77" t="str">
        <f>IF(S45="","",IF(X44&lt;15,IF(V44&gt;1690,IF(V44&lt;2125,"Pass","Fail"),"Fail"),"Fail"))</f>
        <v>Pass</v>
      </c>
      <c r="Z44" s="159">
        <v>102</v>
      </c>
      <c r="AA44" s="350"/>
      <c r="AC44" s="134">
        <v>1600</v>
      </c>
      <c r="AD44" s="134">
        <v>2600</v>
      </c>
      <c r="AE44" s="160">
        <v>1690</v>
      </c>
      <c r="AF44" s="160">
        <v>2125</v>
      </c>
      <c r="AG44" s="156">
        <v>15</v>
      </c>
      <c r="AH44" s="156">
        <v>15</v>
      </c>
    </row>
    <row r="45" spans="1:34" ht="16.100000000000001" x14ac:dyDescent="0.35">
      <c r="A45"/>
      <c r="B45" s="66" t="s">
        <v>78</v>
      </c>
      <c r="C45" s="51">
        <v>1120.3499999999999</v>
      </c>
      <c r="D45" s="51">
        <v>1101.02</v>
      </c>
      <c r="E45" s="51">
        <v>1087.5999999999999</v>
      </c>
      <c r="F45" s="51">
        <v>1075.8599999999999</v>
      </c>
      <c r="G45" s="51">
        <v>1061.29</v>
      </c>
      <c r="H45" s="51">
        <v>1040.33</v>
      </c>
      <c r="I45" s="51">
        <v>1019.39</v>
      </c>
      <c r="J45" s="51">
        <v>1025.44</v>
      </c>
      <c r="K45" s="51">
        <v>1029.67</v>
      </c>
      <c r="L45" s="51">
        <v>1129.8699999999999</v>
      </c>
      <c r="M45" s="51">
        <v>1056.29</v>
      </c>
      <c r="N45" s="51">
        <v>1057.8699999999999</v>
      </c>
      <c r="O45" s="51">
        <v>909.97</v>
      </c>
      <c r="P45" s="51">
        <v>1075.32</v>
      </c>
      <c r="Q45" s="51">
        <v>1055.98</v>
      </c>
      <c r="R45" s="51">
        <v>1052.6400000000001</v>
      </c>
      <c r="S45" s="51">
        <v>1061.97</v>
      </c>
      <c r="T45" s="162"/>
      <c r="U45" s="163"/>
      <c r="V45" s="163"/>
      <c r="W45" s="158"/>
      <c r="X45" s="330"/>
      <c r="Y45" s="163"/>
      <c r="Z45" s="159"/>
      <c r="AA45" s="350"/>
    </row>
    <row r="46" spans="1:34" ht="58.15" thickBot="1" x14ac:dyDescent="0.4">
      <c r="A46"/>
      <c r="B46" s="79" t="s">
        <v>79</v>
      </c>
      <c r="C46" s="164">
        <f t="shared" ref="C46:S46" si="11">IF(((C44="")*AND(C45="")),"",(C44-C45)*2)</f>
        <v>1776.3400000000001</v>
      </c>
      <c r="D46" s="164">
        <f t="shared" si="11"/>
        <v>1793.38</v>
      </c>
      <c r="E46" s="164">
        <f t="shared" si="11"/>
        <v>1813.7400000000002</v>
      </c>
      <c r="F46" s="164">
        <f t="shared" si="11"/>
        <v>1829.7600000000002</v>
      </c>
      <c r="G46" s="164">
        <f t="shared" si="11"/>
        <v>1856.7000000000003</v>
      </c>
      <c r="H46" s="164">
        <f t="shared" si="11"/>
        <v>1899.2800000000002</v>
      </c>
      <c r="I46" s="164">
        <f t="shared" si="11"/>
        <v>1942.5600000000002</v>
      </c>
      <c r="J46" s="164">
        <f t="shared" si="11"/>
        <v>1937.88</v>
      </c>
      <c r="K46" s="164">
        <f t="shared" si="11"/>
        <v>1957.92</v>
      </c>
      <c r="L46" s="164">
        <f t="shared" si="11"/>
        <v>1877.58</v>
      </c>
      <c r="M46" s="164">
        <f t="shared" si="11"/>
        <v>1871.2600000000002</v>
      </c>
      <c r="N46" s="164">
        <f t="shared" si="11"/>
        <v>1865.3000000000002</v>
      </c>
      <c r="O46" s="164">
        <f t="shared" si="11"/>
        <v>2269.9</v>
      </c>
      <c r="P46" s="164">
        <f t="shared" si="11"/>
        <v>1863.8600000000001</v>
      </c>
      <c r="Q46" s="164">
        <f t="shared" si="11"/>
        <v>1872.7799999999997</v>
      </c>
      <c r="R46" s="164">
        <f t="shared" si="11"/>
        <v>1883.56</v>
      </c>
      <c r="S46" s="165">
        <f t="shared" si="11"/>
        <v>2009.8600000000001</v>
      </c>
      <c r="T46" s="166"/>
      <c r="U46" s="164"/>
      <c r="V46" s="164"/>
      <c r="W46" s="167"/>
      <c r="X46" s="331"/>
      <c r="Y46" s="164"/>
      <c r="Z46" s="168"/>
      <c r="AA46" s="350"/>
    </row>
    <row r="47" spans="1:34" x14ac:dyDescent="0.3">
      <c r="A47" s="320">
        <v>43146</v>
      </c>
      <c r="B47" s="66" t="s">
        <v>77</v>
      </c>
      <c r="C47" s="51">
        <v>2013.1</v>
      </c>
      <c r="D47" s="51">
        <v>2008.87</v>
      </c>
      <c r="E47" s="51">
        <v>2005.41</v>
      </c>
      <c r="F47" s="51">
        <v>2005.44</v>
      </c>
      <c r="G47" s="51">
        <v>2006.19</v>
      </c>
      <c r="H47" s="51">
        <v>2006.17</v>
      </c>
      <c r="I47" s="51">
        <v>2007.16</v>
      </c>
      <c r="J47" s="51">
        <v>2010.29</v>
      </c>
      <c r="K47" s="51">
        <v>2025.05</v>
      </c>
      <c r="L47" s="51">
        <v>2092.4499999999998</v>
      </c>
      <c r="M47" s="51">
        <v>2007.31</v>
      </c>
      <c r="N47" s="51">
        <v>2005.59</v>
      </c>
      <c r="O47" s="51">
        <v>2062.36</v>
      </c>
      <c r="P47" s="51">
        <v>2021.03</v>
      </c>
      <c r="Q47" s="51">
        <v>2066.12</v>
      </c>
      <c r="R47" s="51">
        <v>2013.43</v>
      </c>
      <c r="S47" s="51">
        <v>2031.57</v>
      </c>
      <c r="T47" s="157">
        <f>IF((S48=""),"",MAX(C49:S49))</f>
        <v>2193.84</v>
      </c>
      <c r="U47" s="66">
        <f>IF(S48="","",MIN(C49:S49))</f>
        <v>1812.46</v>
      </c>
      <c r="V47" s="72">
        <f>IF((S49=""),"",AVERAGE(C49:S49))</f>
        <v>1927.5305882352939</v>
      </c>
      <c r="W47" s="158">
        <f>STDEV(C49:S49)</f>
        <v>87.851573724563153</v>
      </c>
      <c r="X47" s="100">
        <f>IF((S48=""),"",((T47-U47)/(T47+U47))*100)</f>
        <v>9.5195067768264998</v>
      </c>
      <c r="Y47" s="77" t="str">
        <f>IF(S48="","",IF(X47&lt;15,IF(V47&gt;1690,IF(V47&lt;2125,"Pass","Fail"),"Fail"),"Fail"))</f>
        <v>Pass</v>
      </c>
      <c r="Z47" s="159">
        <v>1335</v>
      </c>
      <c r="AA47" s="350"/>
      <c r="AC47" s="134">
        <v>1600</v>
      </c>
      <c r="AD47" s="134">
        <v>2600</v>
      </c>
      <c r="AE47" s="160">
        <v>1690</v>
      </c>
      <c r="AF47" s="160">
        <v>2125</v>
      </c>
      <c r="AG47" s="156">
        <v>15</v>
      </c>
      <c r="AH47" s="156">
        <v>15</v>
      </c>
    </row>
    <row r="48" spans="1:34" ht="16.100000000000001" x14ac:dyDescent="0.35">
      <c r="A48"/>
      <c r="B48" s="66" t="s">
        <v>78</v>
      </c>
      <c r="C48" s="51">
        <v>1096.5999999999999</v>
      </c>
      <c r="D48" s="51">
        <v>1077.8699999999999</v>
      </c>
      <c r="E48" s="51">
        <v>1072.23</v>
      </c>
      <c r="F48" s="51">
        <v>1071.29</v>
      </c>
      <c r="G48" s="51">
        <v>1062.83</v>
      </c>
      <c r="H48" s="51">
        <v>1049.71</v>
      </c>
      <c r="I48" s="51">
        <v>1040.94</v>
      </c>
      <c r="J48" s="51">
        <v>1034.1400000000001</v>
      </c>
      <c r="K48" s="51">
        <v>1061.45</v>
      </c>
      <c r="L48" s="51">
        <v>1123.6600000000001</v>
      </c>
      <c r="M48" s="51">
        <v>1044.18</v>
      </c>
      <c r="N48" s="51">
        <v>1046.5899999999999</v>
      </c>
      <c r="O48" s="51">
        <v>1054.28</v>
      </c>
      <c r="P48" s="51">
        <v>1114.8</v>
      </c>
      <c r="Q48" s="51">
        <v>1058.0999999999999</v>
      </c>
      <c r="R48" s="51">
        <v>1060.21</v>
      </c>
      <c r="S48" s="51">
        <v>934.65</v>
      </c>
      <c r="T48" s="162"/>
      <c r="U48" s="163"/>
      <c r="V48" s="163"/>
      <c r="W48" s="158"/>
      <c r="X48" s="330"/>
      <c r="Y48" s="163"/>
      <c r="Z48" s="159"/>
      <c r="AA48" s="350"/>
    </row>
    <row r="49" spans="1:34" ht="58.15" thickBot="1" x14ac:dyDescent="0.4">
      <c r="A49"/>
      <c r="B49" s="79" t="s">
        <v>79</v>
      </c>
      <c r="C49" s="164">
        <f t="shared" ref="C49:S49" si="12">IF(((C47="")*AND(C48="")),"",(C47-C48)*2)</f>
        <v>1833</v>
      </c>
      <c r="D49" s="164">
        <f t="shared" si="12"/>
        <v>1862</v>
      </c>
      <c r="E49" s="164">
        <f t="shared" si="12"/>
        <v>1866.3600000000001</v>
      </c>
      <c r="F49" s="164">
        <f t="shared" si="12"/>
        <v>1868.3000000000002</v>
      </c>
      <c r="G49" s="164">
        <f t="shared" si="12"/>
        <v>1886.7200000000003</v>
      </c>
      <c r="H49" s="164">
        <f t="shared" si="12"/>
        <v>1912.92</v>
      </c>
      <c r="I49" s="164">
        <f t="shared" si="12"/>
        <v>1932.44</v>
      </c>
      <c r="J49" s="164">
        <f t="shared" si="12"/>
        <v>1952.2999999999997</v>
      </c>
      <c r="K49" s="164">
        <f t="shared" si="12"/>
        <v>1927.1999999999998</v>
      </c>
      <c r="L49" s="164">
        <f t="shared" si="12"/>
        <v>1937.5799999999995</v>
      </c>
      <c r="M49" s="164">
        <f t="shared" si="12"/>
        <v>1926.2599999999998</v>
      </c>
      <c r="N49" s="164">
        <f t="shared" si="12"/>
        <v>1918</v>
      </c>
      <c r="O49" s="164">
        <f t="shared" si="12"/>
        <v>2016.1600000000003</v>
      </c>
      <c r="P49" s="164">
        <f t="shared" si="12"/>
        <v>1812.46</v>
      </c>
      <c r="Q49" s="164">
        <f t="shared" si="12"/>
        <v>2016.04</v>
      </c>
      <c r="R49" s="164">
        <f t="shared" si="12"/>
        <v>1906.44</v>
      </c>
      <c r="S49" s="165">
        <f t="shared" si="12"/>
        <v>2193.84</v>
      </c>
      <c r="T49" s="166"/>
      <c r="U49" s="164"/>
      <c r="V49" s="164"/>
      <c r="W49" s="167"/>
      <c r="X49" s="331"/>
      <c r="Y49" s="164"/>
      <c r="Z49" s="168"/>
      <c r="AA49" s="350"/>
    </row>
    <row r="50" spans="1:34" x14ac:dyDescent="0.3">
      <c r="A50" s="320">
        <v>43151</v>
      </c>
      <c r="B50" s="66" t="s">
        <v>77</v>
      </c>
      <c r="C50" s="51">
        <v>2001.95</v>
      </c>
      <c r="D50" s="51">
        <v>1989.8</v>
      </c>
      <c r="E50" s="51">
        <v>1983.86</v>
      </c>
      <c r="F50" s="51">
        <v>1980.24</v>
      </c>
      <c r="G50" s="51">
        <v>1979.69</v>
      </c>
      <c r="H50" s="51">
        <v>1980.64</v>
      </c>
      <c r="I50" s="51">
        <v>1982.42</v>
      </c>
      <c r="J50" s="51">
        <v>1986.71</v>
      </c>
      <c r="K50" s="51">
        <v>2003.35</v>
      </c>
      <c r="L50" s="51">
        <v>1991.96</v>
      </c>
      <c r="M50" s="51">
        <v>1984.59</v>
      </c>
      <c r="N50" s="51">
        <v>1982.3</v>
      </c>
      <c r="O50" s="51">
        <v>2033.33</v>
      </c>
      <c r="P50" s="51">
        <v>1994.6</v>
      </c>
      <c r="Q50" s="51">
        <v>1983.5</v>
      </c>
      <c r="R50" s="51">
        <v>1987.68</v>
      </c>
      <c r="S50" s="51">
        <v>2008.59</v>
      </c>
      <c r="T50" s="157">
        <f>IF((S51=""),"",MAX(C52:S52))</f>
        <v>1979.3599999999997</v>
      </c>
      <c r="U50" s="66">
        <f>IF(S51="","",MIN(C52:S52))</f>
        <v>1787.38</v>
      </c>
      <c r="V50" s="72">
        <f>IF((S52=""),"",AVERAGE(C52:S52))</f>
        <v>1869.7082352941177</v>
      </c>
      <c r="W50" s="158">
        <f>STDEV(C52:S52)</f>
        <v>51.699258727192351</v>
      </c>
      <c r="X50" s="100">
        <f>IF((S51=""),"",((T50-U50)/(T50+U50))*100)</f>
        <v>5.0967149312137172</v>
      </c>
      <c r="Y50" s="77" t="str">
        <f>IF(S51="","",IF(X50&lt;15,IF(V50&gt;1690,IF(V50&lt;2125,"Pass","Fail"),"Fail"),"Fail"))</f>
        <v>Pass</v>
      </c>
      <c r="Z50" s="159">
        <v>102</v>
      </c>
      <c r="AA50" s="350"/>
      <c r="AC50" s="134">
        <v>1600</v>
      </c>
      <c r="AD50" s="134">
        <v>2600</v>
      </c>
      <c r="AE50" s="160">
        <v>1690</v>
      </c>
      <c r="AF50" s="160">
        <v>2125</v>
      </c>
      <c r="AG50" s="156">
        <v>15</v>
      </c>
      <c r="AH50" s="156">
        <v>15</v>
      </c>
    </row>
    <row r="51" spans="1:34" ht="16.100000000000001" x14ac:dyDescent="0.35">
      <c r="A51"/>
      <c r="B51" s="66" t="s">
        <v>78</v>
      </c>
      <c r="C51" s="51">
        <v>1101.52</v>
      </c>
      <c r="D51" s="51">
        <v>1076.29</v>
      </c>
      <c r="E51" s="51">
        <v>1065.1300000000001</v>
      </c>
      <c r="F51" s="51">
        <v>1060.19</v>
      </c>
      <c r="G51" s="51">
        <v>1048.4100000000001</v>
      </c>
      <c r="H51" s="51">
        <v>1032.2</v>
      </c>
      <c r="I51" s="51">
        <v>1016.7</v>
      </c>
      <c r="J51" s="51">
        <v>1046.7</v>
      </c>
      <c r="K51" s="51">
        <v>1040.21</v>
      </c>
      <c r="L51" s="51">
        <v>1098.27</v>
      </c>
      <c r="M51" s="51">
        <v>1035.1199999999999</v>
      </c>
      <c r="N51" s="51">
        <v>1037.96</v>
      </c>
      <c r="O51" s="51">
        <v>1043.6500000000001</v>
      </c>
      <c r="P51" s="51">
        <v>1095.3800000000001</v>
      </c>
      <c r="Q51" s="51">
        <v>1039.95</v>
      </c>
      <c r="R51" s="51">
        <v>1041</v>
      </c>
      <c r="S51" s="51">
        <v>1084.01</v>
      </c>
      <c r="T51" s="162"/>
      <c r="U51" s="163"/>
      <c r="V51" s="163"/>
      <c r="W51" s="158"/>
      <c r="X51" s="330"/>
      <c r="Y51" s="163"/>
      <c r="Z51" s="159"/>
      <c r="AA51" s="350"/>
    </row>
    <row r="52" spans="1:34" ht="58.15" thickBot="1" x14ac:dyDescent="0.4">
      <c r="A52"/>
      <c r="B52" s="79" t="s">
        <v>79</v>
      </c>
      <c r="C52" s="164">
        <f t="shared" ref="C52:S52" si="13">IF(((C50="")*AND(C51="")),"",(C50-C51)*2)</f>
        <v>1800.8600000000001</v>
      </c>
      <c r="D52" s="164">
        <f t="shared" si="13"/>
        <v>1827.02</v>
      </c>
      <c r="E52" s="164">
        <f t="shared" si="13"/>
        <v>1837.4599999999996</v>
      </c>
      <c r="F52" s="164">
        <f t="shared" si="13"/>
        <v>1840.1</v>
      </c>
      <c r="G52" s="164">
        <f t="shared" si="13"/>
        <v>1862.56</v>
      </c>
      <c r="H52" s="164">
        <f t="shared" si="13"/>
        <v>1896.88</v>
      </c>
      <c r="I52" s="164">
        <f t="shared" si="13"/>
        <v>1931.44</v>
      </c>
      <c r="J52" s="164">
        <f t="shared" si="13"/>
        <v>1880.02</v>
      </c>
      <c r="K52" s="164">
        <f t="shared" si="13"/>
        <v>1926.2799999999997</v>
      </c>
      <c r="L52" s="164">
        <f t="shared" si="13"/>
        <v>1787.38</v>
      </c>
      <c r="M52" s="164">
        <f t="shared" si="13"/>
        <v>1898.94</v>
      </c>
      <c r="N52" s="164">
        <f t="shared" si="13"/>
        <v>1888.6799999999998</v>
      </c>
      <c r="O52" s="164">
        <f t="shared" si="13"/>
        <v>1979.3599999999997</v>
      </c>
      <c r="P52" s="164">
        <f t="shared" si="13"/>
        <v>1798.4399999999996</v>
      </c>
      <c r="Q52" s="164">
        <f t="shared" si="13"/>
        <v>1887.1</v>
      </c>
      <c r="R52" s="164">
        <f t="shared" si="13"/>
        <v>1893.3600000000001</v>
      </c>
      <c r="S52" s="165">
        <f t="shared" si="13"/>
        <v>1849.1599999999999</v>
      </c>
      <c r="T52" s="166"/>
      <c r="U52" s="164"/>
      <c r="V52" s="164"/>
      <c r="W52" s="167"/>
      <c r="X52" s="331"/>
      <c r="Y52" s="164"/>
      <c r="Z52" s="168"/>
      <c r="AA52" s="350"/>
    </row>
    <row r="53" spans="1:34" x14ac:dyDescent="0.3">
      <c r="A53" s="320">
        <v>43156</v>
      </c>
      <c r="B53" s="66" t="s">
        <v>77</v>
      </c>
      <c r="C53" s="51">
        <v>2019.12</v>
      </c>
      <c r="D53" s="51">
        <v>2014.12</v>
      </c>
      <c r="E53" s="51">
        <v>2006.45</v>
      </c>
      <c r="F53" s="51">
        <v>2004.44</v>
      </c>
      <c r="G53" s="51">
        <v>2001.72</v>
      </c>
      <c r="H53" s="51">
        <v>2000.37</v>
      </c>
      <c r="I53" s="51">
        <v>2004.53</v>
      </c>
      <c r="J53" s="51">
        <v>2006.42</v>
      </c>
      <c r="K53" s="51">
        <v>2023.6</v>
      </c>
      <c r="L53" s="51">
        <v>2090.6799999999998</v>
      </c>
      <c r="M53" s="51">
        <v>2008.12</v>
      </c>
      <c r="N53" s="51">
        <v>2004.58</v>
      </c>
      <c r="O53" s="51">
        <v>2028.12</v>
      </c>
      <c r="P53" s="51">
        <v>2011.26</v>
      </c>
      <c r="Q53" s="51">
        <v>2005.61</v>
      </c>
      <c r="R53" s="51">
        <v>2008.85</v>
      </c>
      <c r="S53" s="51">
        <v>2055.94</v>
      </c>
      <c r="T53" s="157">
        <f>IF((S54=""),"",MAX(C55:S55))</f>
        <v>1967.3799999999997</v>
      </c>
      <c r="U53" s="66">
        <f>IF(S54="","",MIN(C55:S55))</f>
        <v>1826.1399999999999</v>
      </c>
      <c r="V53" s="72">
        <f>IF((S55=""),"",AVERAGE(C55:S55))</f>
        <v>1914.7494117647061</v>
      </c>
      <c r="W53" s="158">
        <f>STDEV(C55:S55)</f>
        <v>39.332750423563702</v>
      </c>
      <c r="X53" s="100">
        <f>IF((S54=""),"",((T53-U53)/(T53+U53))*100)</f>
        <v>3.723191125919985</v>
      </c>
      <c r="Y53" s="77" t="str">
        <f>IF(S54="","",IF(X53&lt;15,IF(V53&gt;1690,IF(V53&lt;2125,"Pass","Fail"),"Fail"),"Fail"))</f>
        <v>Pass</v>
      </c>
      <c r="Z53" s="159"/>
      <c r="AA53" s="350"/>
      <c r="AC53" s="134">
        <v>1600</v>
      </c>
      <c r="AD53" s="134">
        <v>2600</v>
      </c>
      <c r="AE53" s="160">
        <v>1690</v>
      </c>
      <c r="AF53" s="160">
        <v>2125</v>
      </c>
      <c r="AG53" s="156">
        <v>15</v>
      </c>
      <c r="AH53" s="156">
        <v>15</v>
      </c>
    </row>
    <row r="54" spans="1:34" ht="16.100000000000001" x14ac:dyDescent="0.35">
      <c r="A54"/>
      <c r="B54" s="66" t="s">
        <v>78</v>
      </c>
      <c r="C54" s="51">
        <v>1106.05</v>
      </c>
      <c r="D54" s="51">
        <v>1080.72</v>
      </c>
      <c r="E54" s="51">
        <v>1068.25</v>
      </c>
      <c r="F54" s="51">
        <v>1063.18</v>
      </c>
      <c r="G54" s="51">
        <v>1053.92</v>
      </c>
      <c r="H54" s="51">
        <v>1032.06</v>
      </c>
      <c r="I54" s="51">
        <v>1048</v>
      </c>
      <c r="J54" s="51">
        <v>1051</v>
      </c>
      <c r="K54" s="51">
        <v>1046.81</v>
      </c>
      <c r="L54" s="51">
        <v>1106.99</v>
      </c>
      <c r="M54" s="51">
        <v>1036.93</v>
      </c>
      <c r="N54" s="51">
        <v>1038.1500000000001</v>
      </c>
      <c r="O54" s="51">
        <v>1045.53</v>
      </c>
      <c r="P54" s="51">
        <v>1074.53</v>
      </c>
      <c r="Q54" s="51">
        <v>1041.08</v>
      </c>
      <c r="R54" s="51">
        <v>1044</v>
      </c>
      <c r="S54" s="51">
        <v>1081.3599999999999</v>
      </c>
      <c r="T54" s="162"/>
      <c r="U54" s="163"/>
      <c r="V54" s="163"/>
      <c r="W54" s="158"/>
      <c r="X54" s="330"/>
      <c r="Y54" s="163"/>
      <c r="Z54" s="159"/>
      <c r="AA54" s="350"/>
    </row>
    <row r="55" spans="1:34" ht="58.15" thickBot="1" x14ac:dyDescent="0.4">
      <c r="A55"/>
      <c r="B55" s="79" t="s">
        <v>79</v>
      </c>
      <c r="C55" s="164">
        <f t="shared" ref="C55:S55" si="14">IF(((C53="")*AND(C54="")),"",(C53-C54)*2)</f>
        <v>1826.1399999999999</v>
      </c>
      <c r="D55" s="164">
        <f t="shared" si="14"/>
        <v>1866.7999999999997</v>
      </c>
      <c r="E55" s="164">
        <f t="shared" si="14"/>
        <v>1876.4</v>
      </c>
      <c r="F55" s="164">
        <f t="shared" si="14"/>
        <v>1882.52</v>
      </c>
      <c r="G55" s="164">
        <f t="shared" si="14"/>
        <v>1895.6</v>
      </c>
      <c r="H55" s="164">
        <f t="shared" si="14"/>
        <v>1936.62</v>
      </c>
      <c r="I55" s="164">
        <f t="shared" si="14"/>
        <v>1913.06</v>
      </c>
      <c r="J55" s="164">
        <f t="shared" si="14"/>
        <v>1910.8400000000001</v>
      </c>
      <c r="K55" s="164">
        <f t="shared" si="14"/>
        <v>1953.58</v>
      </c>
      <c r="L55" s="164">
        <f t="shared" si="14"/>
        <v>1967.3799999999997</v>
      </c>
      <c r="M55" s="164">
        <f t="shared" si="14"/>
        <v>1942.3799999999997</v>
      </c>
      <c r="N55" s="164">
        <f t="shared" si="14"/>
        <v>1932.8599999999997</v>
      </c>
      <c r="O55" s="164">
        <f t="shared" si="14"/>
        <v>1965.1799999999998</v>
      </c>
      <c r="P55" s="164">
        <f t="shared" si="14"/>
        <v>1873.46</v>
      </c>
      <c r="Q55" s="164">
        <f t="shared" si="14"/>
        <v>1929.06</v>
      </c>
      <c r="R55" s="164">
        <f t="shared" si="14"/>
        <v>1929.6999999999998</v>
      </c>
      <c r="S55" s="165">
        <f t="shared" si="14"/>
        <v>1949.1600000000003</v>
      </c>
      <c r="T55" s="166"/>
      <c r="U55" s="164"/>
      <c r="V55" s="164"/>
      <c r="W55" s="167"/>
      <c r="X55" s="331"/>
      <c r="Y55" s="164"/>
      <c r="Z55" s="168"/>
      <c r="AA55" s="350"/>
    </row>
    <row r="56" spans="1:34" x14ac:dyDescent="0.3">
      <c r="A56" s="321">
        <v>43178</v>
      </c>
      <c r="B56" s="66" t="s">
        <v>77</v>
      </c>
      <c r="C56" s="51">
        <v>2027.48</v>
      </c>
      <c r="D56" s="51">
        <v>2017.05</v>
      </c>
      <c r="E56" s="51">
        <v>2010.43</v>
      </c>
      <c r="F56" s="51">
        <v>2007.1</v>
      </c>
      <c r="G56" s="51">
        <v>2006.02</v>
      </c>
      <c r="H56" s="51">
        <v>2007.07</v>
      </c>
      <c r="I56" s="51">
        <v>2007.38</v>
      </c>
      <c r="J56" s="51">
        <v>2014.09</v>
      </c>
      <c r="K56" s="51">
        <v>2023.46</v>
      </c>
      <c r="L56" s="51">
        <v>2091.1799999999998</v>
      </c>
      <c r="M56" s="51">
        <v>2011.61</v>
      </c>
      <c r="N56" s="51">
        <v>2006.57</v>
      </c>
      <c r="O56" s="51">
        <v>1865.92</v>
      </c>
      <c r="P56" s="51">
        <v>2016.99</v>
      </c>
      <c r="Q56" s="51">
        <v>2008.04</v>
      </c>
      <c r="R56" s="51">
        <v>2011.31</v>
      </c>
      <c r="S56" s="51">
        <v>2067.36</v>
      </c>
      <c r="T56" s="157">
        <f>IF((S57=""),"",MAX(C58:S58))</f>
        <v>2172.3599999999997</v>
      </c>
      <c r="U56" s="66">
        <f>IF(S57="","",MIN(C58:S58))</f>
        <v>1749.8400000000001</v>
      </c>
      <c r="V56" s="72">
        <f>IF((S58=""),"",AVERAGE(C58:S58))</f>
        <v>2020.1247058823526</v>
      </c>
      <c r="W56" s="158">
        <f>STDEV(C58:S58)</f>
        <v>83.280001059501529</v>
      </c>
      <c r="X56" s="100">
        <f>IF((S57=""),"",((T56-U56)/(T56+U56))*100)</f>
        <v>10.772525623374625</v>
      </c>
      <c r="Y56" s="77" t="str">
        <f>IF(S57="","",IF(X56&lt;15,IF(V56&gt;1690,IF(V56&lt;2125,"Pass","Fail"),"Fail"),"Fail"))</f>
        <v>Pass</v>
      </c>
      <c r="Z56" s="159">
        <v>121</v>
      </c>
      <c r="AA56" s="350"/>
      <c r="AC56" s="134">
        <v>1600</v>
      </c>
      <c r="AD56" s="134">
        <v>2600</v>
      </c>
      <c r="AE56" s="160">
        <v>1690</v>
      </c>
      <c r="AF56" s="160">
        <v>2125</v>
      </c>
      <c r="AG56" s="156">
        <v>15</v>
      </c>
      <c r="AH56" s="156">
        <v>15</v>
      </c>
    </row>
    <row r="57" spans="1:34" ht="16.100000000000001" x14ac:dyDescent="0.35">
      <c r="A57"/>
      <c r="B57" s="66" t="s">
        <v>78</v>
      </c>
      <c r="C57" s="51">
        <v>1047</v>
      </c>
      <c r="D57" s="51">
        <v>1019</v>
      </c>
      <c r="E57" s="51">
        <v>1010</v>
      </c>
      <c r="F57" s="51">
        <v>1005</v>
      </c>
      <c r="G57" s="51">
        <v>997</v>
      </c>
      <c r="H57" s="51">
        <v>986</v>
      </c>
      <c r="I57" s="51">
        <v>978</v>
      </c>
      <c r="J57" s="51">
        <v>977</v>
      </c>
      <c r="K57" s="51">
        <v>1022</v>
      </c>
      <c r="L57" s="51">
        <v>1005</v>
      </c>
      <c r="M57" s="51">
        <v>981</v>
      </c>
      <c r="N57" s="51">
        <v>983</v>
      </c>
      <c r="O57" s="51">
        <v>991</v>
      </c>
      <c r="P57" s="51">
        <v>997</v>
      </c>
      <c r="Q57" s="51">
        <v>996</v>
      </c>
      <c r="R57" s="51">
        <v>999</v>
      </c>
      <c r="S57" s="51">
        <v>1035</v>
      </c>
      <c r="T57" s="162"/>
      <c r="U57" s="163"/>
      <c r="V57" s="163"/>
      <c r="W57" s="158"/>
      <c r="X57" s="330"/>
      <c r="Y57" s="163"/>
      <c r="Z57" s="169"/>
      <c r="AA57" s="351"/>
    </row>
    <row r="58" spans="1:34" ht="58.15" thickBot="1" x14ac:dyDescent="0.4">
      <c r="A58"/>
      <c r="B58" s="79" t="s">
        <v>79</v>
      </c>
      <c r="C58" s="164">
        <f t="shared" ref="C58:S58" si="15">IF(((C56="")*AND(C57="")),"",(C56-C57)*2)</f>
        <v>1960.96</v>
      </c>
      <c r="D58" s="164">
        <f t="shared" si="15"/>
        <v>1996.1</v>
      </c>
      <c r="E58" s="164">
        <f t="shared" si="15"/>
        <v>2000.8600000000001</v>
      </c>
      <c r="F58" s="164">
        <f t="shared" si="15"/>
        <v>2004.1999999999998</v>
      </c>
      <c r="G58" s="164">
        <f t="shared" si="15"/>
        <v>2018.04</v>
      </c>
      <c r="H58" s="164">
        <f t="shared" si="15"/>
        <v>2042.1399999999999</v>
      </c>
      <c r="I58" s="164">
        <f t="shared" si="15"/>
        <v>2058.7600000000002</v>
      </c>
      <c r="J58" s="164">
        <f t="shared" si="15"/>
        <v>2074.1799999999998</v>
      </c>
      <c r="K58" s="164">
        <f t="shared" si="15"/>
        <v>2002.92</v>
      </c>
      <c r="L58" s="164">
        <f t="shared" si="15"/>
        <v>2172.3599999999997</v>
      </c>
      <c r="M58" s="164">
        <f t="shared" si="15"/>
        <v>2061.2199999999998</v>
      </c>
      <c r="N58" s="164">
        <f t="shared" si="15"/>
        <v>2047.1399999999999</v>
      </c>
      <c r="O58" s="164">
        <f t="shared" si="15"/>
        <v>1749.8400000000001</v>
      </c>
      <c r="P58" s="164">
        <f t="shared" si="15"/>
        <v>2039.98</v>
      </c>
      <c r="Q58" s="164">
        <f t="shared" si="15"/>
        <v>2024.08</v>
      </c>
      <c r="R58" s="164">
        <f t="shared" si="15"/>
        <v>2024.62</v>
      </c>
      <c r="S58" s="165">
        <f t="shared" si="15"/>
        <v>2064.7200000000003</v>
      </c>
      <c r="T58" s="166"/>
      <c r="U58" s="164"/>
      <c r="V58" s="164"/>
      <c r="W58" s="167"/>
      <c r="X58" s="331"/>
      <c r="Y58" s="164"/>
      <c r="Z58" s="170"/>
      <c r="AA58" s="351"/>
    </row>
    <row r="59" spans="1:34" x14ac:dyDescent="0.3">
      <c r="A59" s="321">
        <v>43182</v>
      </c>
      <c r="B59" s="66" t="s">
        <v>77</v>
      </c>
      <c r="C59" s="51">
        <v>2025.24</v>
      </c>
      <c r="D59" s="51">
        <v>2020.53</v>
      </c>
      <c r="E59" s="51">
        <v>2016.62</v>
      </c>
      <c r="F59" s="51">
        <v>2017.1</v>
      </c>
      <c r="G59" s="51">
        <v>2016.82</v>
      </c>
      <c r="H59" s="51">
        <v>2018.25</v>
      </c>
      <c r="I59" s="51">
        <v>2020.41</v>
      </c>
      <c r="J59" s="51">
        <v>2024.06</v>
      </c>
      <c r="K59" s="51">
        <v>2038.05</v>
      </c>
      <c r="L59" s="51">
        <v>2029.8</v>
      </c>
      <c r="M59" s="51">
        <v>2021.29</v>
      </c>
      <c r="N59" s="51">
        <v>2016.23</v>
      </c>
      <c r="O59" s="51">
        <v>2044.97</v>
      </c>
      <c r="P59" s="51">
        <v>2030.78</v>
      </c>
      <c r="Q59" s="51">
        <v>2055.19</v>
      </c>
      <c r="R59" s="51">
        <v>2028.33</v>
      </c>
      <c r="S59" s="51">
        <v>2044.53</v>
      </c>
      <c r="T59" s="157">
        <f>IF((S60=""),"",MAX(C61:S61))</f>
        <v>2101.98</v>
      </c>
      <c r="U59" s="66">
        <f>IF(S60="","",MIN(C61:S61))</f>
        <v>1952.3600000000001</v>
      </c>
      <c r="V59" s="72">
        <f>IF((S61=""),"",AVERAGE(C61:S61))</f>
        <v>2034.8117647058821</v>
      </c>
      <c r="W59" s="158">
        <f>STDEV(C61:S61)</f>
        <v>41.109282442547901</v>
      </c>
      <c r="X59" s="100">
        <f>IF((S60=""),"",((T59-U59)/(T59+U59))*100)</f>
        <v>3.6903663728251672</v>
      </c>
      <c r="Y59" s="77" t="str">
        <f>IF(S60="","",IF(X59&lt;15,IF(V59&gt;1690,IF(V59&lt;2125,"Pass","Fail"),"Fail"),"Fail"))</f>
        <v>Pass</v>
      </c>
      <c r="Z59" s="159">
        <v>1159</v>
      </c>
      <c r="AA59" s="340" t="s">
        <v>115</v>
      </c>
      <c r="AC59" s="134">
        <v>1600</v>
      </c>
      <c r="AD59" s="134">
        <v>2600</v>
      </c>
      <c r="AE59" s="160">
        <v>1690</v>
      </c>
      <c r="AF59" s="160">
        <v>2125</v>
      </c>
      <c r="AG59" s="156">
        <v>15</v>
      </c>
      <c r="AH59" s="156">
        <v>15</v>
      </c>
    </row>
    <row r="60" spans="1:34" ht="16.100000000000001" x14ac:dyDescent="0.35">
      <c r="A60"/>
      <c r="B60" s="66" t="s">
        <v>78</v>
      </c>
      <c r="C60" s="51">
        <v>1049.06</v>
      </c>
      <c r="D60" s="51">
        <v>1023.53</v>
      </c>
      <c r="E60" s="51">
        <v>1015.43</v>
      </c>
      <c r="F60" s="51">
        <v>1014.97</v>
      </c>
      <c r="G60" s="51">
        <v>1010.57</v>
      </c>
      <c r="H60" s="51">
        <v>995.7</v>
      </c>
      <c r="I60" s="51">
        <v>985.77</v>
      </c>
      <c r="J60" s="51">
        <v>984.25</v>
      </c>
      <c r="K60" s="51">
        <v>1023.78</v>
      </c>
      <c r="L60" s="51">
        <v>1009.7</v>
      </c>
      <c r="M60" s="51">
        <v>986.56</v>
      </c>
      <c r="N60" s="51">
        <v>989.58</v>
      </c>
      <c r="O60" s="51">
        <v>999.89</v>
      </c>
      <c r="P60" s="51">
        <v>1010.54</v>
      </c>
      <c r="Q60" s="51">
        <v>1004.2</v>
      </c>
      <c r="R60" s="51">
        <v>1011.77</v>
      </c>
      <c r="S60" s="51">
        <v>1057</v>
      </c>
      <c r="T60" s="162"/>
      <c r="U60" s="163"/>
      <c r="V60" s="163"/>
      <c r="W60" s="158"/>
      <c r="X60" s="330"/>
      <c r="Y60" s="163"/>
      <c r="Z60" s="159"/>
      <c r="AA60" s="350"/>
    </row>
    <row r="61" spans="1:34" ht="58.15" thickBot="1" x14ac:dyDescent="0.4">
      <c r="A61"/>
      <c r="B61" s="79" t="s">
        <v>79</v>
      </c>
      <c r="C61" s="164">
        <f t="shared" ref="C61:S61" si="16">IF(((C59="")*AND(C60="")),"",(C59-C60)*2)</f>
        <v>1952.3600000000001</v>
      </c>
      <c r="D61" s="164">
        <f t="shared" si="16"/>
        <v>1994</v>
      </c>
      <c r="E61" s="164">
        <f t="shared" si="16"/>
        <v>2002.3799999999999</v>
      </c>
      <c r="F61" s="164">
        <f t="shared" si="16"/>
        <v>2004.2599999999998</v>
      </c>
      <c r="G61" s="164">
        <f t="shared" si="16"/>
        <v>2012.4999999999998</v>
      </c>
      <c r="H61" s="164">
        <f t="shared" si="16"/>
        <v>2045.1</v>
      </c>
      <c r="I61" s="164">
        <f t="shared" si="16"/>
        <v>2069.2800000000002</v>
      </c>
      <c r="J61" s="164">
        <f t="shared" si="16"/>
        <v>2079.62</v>
      </c>
      <c r="K61" s="164">
        <f t="shared" si="16"/>
        <v>2028.54</v>
      </c>
      <c r="L61" s="164">
        <f t="shared" si="16"/>
        <v>2040.1999999999998</v>
      </c>
      <c r="M61" s="164">
        <f t="shared" si="16"/>
        <v>2069.46</v>
      </c>
      <c r="N61" s="164">
        <f t="shared" si="16"/>
        <v>2053.3000000000002</v>
      </c>
      <c r="O61" s="164">
        <f t="shared" si="16"/>
        <v>2090.16</v>
      </c>
      <c r="P61" s="164">
        <f t="shared" si="16"/>
        <v>2040.48</v>
      </c>
      <c r="Q61" s="164">
        <f t="shared" si="16"/>
        <v>2101.98</v>
      </c>
      <c r="R61" s="164">
        <f t="shared" si="16"/>
        <v>2033.12</v>
      </c>
      <c r="S61" s="165">
        <f t="shared" si="16"/>
        <v>1975.06</v>
      </c>
      <c r="T61" s="166"/>
      <c r="U61" s="164"/>
      <c r="V61" s="164"/>
      <c r="W61" s="167"/>
      <c r="X61" s="331"/>
      <c r="Y61" s="164"/>
      <c r="Z61" s="168"/>
      <c r="AA61" s="350"/>
    </row>
    <row r="62" spans="1:34" x14ac:dyDescent="0.3">
      <c r="A62" s="321">
        <v>43199</v>
      </c>
      <c r="B62" s="66" t="s">
        <v>77</v>
      </c>
      <c r="C62" s="51">
        <v>2047.38</v>
      </c>
      <c r="D62" s="51">
        <v>2016.95</v>
      </c>
      <c r="E62" s="51">
        <v>1993.87</v>
      </c>
      <c r="F62" s="51">
        <v>1983.85</v>
      </c>
      <c r="G62" s="51">
        <v>1981.97</v>
      </c>
      <c r="H62" s="51">
        <v>1988.46</v>
      </c>
      <c r="I62" s="51">
        <v>2006.88</v>
      </c>
      <c r="J62" s="51">
        <v>2030.28</v>
      </c>
      <c r="K62" s="51">
        <v>2064.4299999999998</v>
      </c>
      <c r="L62" s="51">
        <v>2020.67</v>
      </c>
      <c r="M62" s="51">
        <v>2011.76</v>
      </c>
      <c r="N62" s="51">
        <v>1995.99</v>
      </c>
      <c r="O62" s="51">
        <v>2012.46</v>
      </c>
      <c r="P62" s="51">
        <v>1996.26</v>
      </c>
      <c r="Q62" s="51">
        <v>1997.3</v>
      </c>
      <c r="R62" s="51">
        <v>2013.4</v>
      </c>
      <c r="S62" s="51">
        <v>2078.81</v>
      </c>
      <c r="T62" s="157">
        <f>IF((S63=""),"",MAX(C64:S64))</f>
        <v>2111.38</v>
      </c>
      <c r="U62" s="66">
        <f>IF(S63="","",MIN(C64:S64))</f>
        <v>1953.1800000000003</v>
      </c>
      <c r="V62" s="72">
        <f>IF((S64=""),"",AVERAGE(C64:S64))</f>
        <v>2047.2423529411767</v>
      </c>
      <c r="W62" s="158">
        <f>STDEV(C64:S64)</f>
        <v>41.167202286743326</v>
      </c>
      <c r="X62" s="100">
        <f>IF((S63=""),"",((T62-U62)/(T62+U62))*100)</f>
        <v>3.8921802113881894</v>
      </c>
      <c r="Y62" s="77" t="str">
        <f>IF(S63="","",IF(X62&lt;15,IF(V62&gt;1690,IF(V62&lt;2125,"Pass","Fail"),"Fail"),"Fail"))</f>
        <v>Pass</v>
      </c>
      <c r="Z62" s="159">
        <v>1159</v>
      </c>
      <c r="AA62" s="350"/>
      <c r="AC62" s="134">
        <v>1600</v>
      </c>
      <c r="AD62" s="134">
        <v>2600</v>
      </c>
      <c r="AE62" s="160">
        <v>1690</v>
      </c>
      <c r="AF62" s="160">
        <v>2125</v>
      </c>
      <c r="AG62" s="156">
        <v>15</v>
      </c>
      <c r="AH62" s="156">
        <v>15</v>
      </c>
    </row>
    <row r="63" spans="1:34" ht="16.100000000000001" x14ac:dyDescent="0.35">
      <c r="A63"/>
      <c r="B63" s="66" t="s">
        <v>78</v>
      </c>
      <c r="C63" s="51">
        <v>1070.79</v>
      </c>
      <c r="D63" s="51">
        <v>1022.8</v>
      </c>
      <c r="E63" s="51">
        <v>995.21</v>
      </c>
      <c r="F63" s="51">
        <v>980</v>
      </c>
      <c r="G63" s="51">
        <v>968.48</v>
      </c>
      <c r="H63" s="51">
        <v>960.15</v>
      </c>
      <c r="I63" s="51">
        <v>959.34</v>
      </c>
      <c r="J63" s="51">
        <v>974.59</v>
      </c>
      <c r="K63" s="51">
        <v>1026.1600000000001</v>
      </c>
      <c r="L63" s="51">
        <v>996.73</v>
      </c>
      <c r="M63" s="51">
        <v>976.06</v>
      </c>
      <c r="N63" s="51">
        <v>967.29</v>
      </c>
      <c r="O63" s="51">
        <v>982.01</v>
      </c>
      <c r="P63" s="51">
        <v>972.46</v>
      </c>
      <c r="Q63" s="51">
        <v>970.93</v>
      </c>
      <c r="R63" s="51">
        <v>982.58</v>
      </c>
      <c r="S63" s="51">
        <v>1033.58</v>
      </c>
      <c r="T63" s="162"/>
      <c r="U63" s="163"/>
      <c r="V63" s="163"/>
      <c r="W63" s="158"/>
      <c r="X63" s="330"/>
      <c r="Y63" s="163"/>
      <c r="Z63" s="159"/>
      <c r="AA63" s="350"/>
    </row>
    <row r="64" spans="1:34" ht="58.15" thickBot="1" x14ac:dyDescent="0.4">
      <c r="A64"/>
      <c r="B64" s="79" t="s">
        <v>79</v>
      </c>
      <c r="C64" s="164">
        <f t="shared" ref="C64:S64" si="17">IF(((C62="")*AND(C63="")),"",(C62-C63)*2)</f>
        <v>1953.1800000000003</v>
      </c>
      <c r="D64" s="164">
        <f t="shared" si="17"/>
        <v>1988.3000000000002</v>
      </c>
      <c r="E64" s="164">
        <f t="shared" si="17"/>
        <v>1997.3199999999997</v>
      </c>
      <c r="F64" s="164">
        <f t="shared" si="17"/>
        <v>2007.6999999999998</v>
      </c>
      <c r="G64" s="164">
        <f t="shared" si="17"/>
        <v>2026.98</v>
      </c>
      <c r="H64" s="164">
        <f t="shared" si="17"/>
        <v>2056.62</v>
      </c>
      <c r="I64" s="164">
        <f t="shared" si="17"/>
        <v>2095.08</v>
      </c>
      <c r="J64" s="164">
        <f t="shared" si="17"/>
        <v>2111.38</v>
      </c>
      <c r="K64" s="164">
        <f t="shared" si="17"/>
        <v>2076.5399999999995</v>
      </c>
      <c r="L64" s="164">
        <f t="shared" si="17"/>
        <v>2047.88</v>
      </c>
      <c r="M64" s="164">
        <f t="shared" si="17"/>
        <v>2071.4</v>
      </c>
      <c r="N64" s="164">
        <f t="shared" si="17"/>
        <v>2057.4</v>
      </c>
      <c r="O64" s="164">
        <f t="shared" si="17"/>
        <v>2060.9</v>
      </c>
      <c r="P64" s="164">
        <f t="shared" si="17"/>
        <v>2047.6</v>
      </c>
      <c r="Q64" s="164">
        <f t="shared" si="17"/>
        <v>2052.7399999999998</v>
      </c>
      <c r="R64" s="164">
        <f t="shared" si="17"/>
        <v>2061.6400000000003</v>
      </c>
      <c r="S64" s="165">
        <f t="shared" si="17"/>
        <v>2090.46</v>
      </c>
      <c r="T64" s="166"/>
      <c r="U64" s="164"/>
      <c r="V64" s="164"/>
      <c r="W64" s="167"/>
      <c r="X64" s="331"/>
      <c r="Y64" s="164"/>
      <c r="Z64" s="168"/>
      <c r="AA64" s="350"/>
    </row>
    <row r="65" spans="1:34" x14ac:dyDescent="0.3">
      <c r="A65" s="321">
        <v>43203</v>
      </c>
      <c r="B65" s="66" t="s">
        <v>77</v>
      </c>
      <c r="C65" s="51">
        <v>2015.24</v>
      </c>
      <c r="D65" s="51">
        <v>2002.32</v>
      </c>
      <c r="E65" s="51">
        <v>1998</v>
      </c>
      <c r="F65" s="51">
        <v>1996.16</v>
      </c>
      <c r="G65" s="51">
        <v>1993.95</v>
      </c>
      <c r="H65" s="51">
        <v>1994.68</v>
      </c>
      <c r="I65" s="51">
        <v>1996.41</v>
      </c>
      <c r="J65" s="51">
        <v>2000.42</v>
      </c>
      <c r="K65" s="51">
        <v>2013.97</v>
      </c>
      <c r="L65" s="51">
        <v>2077.9299999999998</v>
      </c>
      <c r="M65" s="51">
        <v>1999.68</v>
      </c>
      <c r="N65" s="51">
        <v>1996.04</v>
      </c>
      <c r="O65" s="51">
        <v>2025.02</v>
      </c>
      <c r="P65" s="51">
        <v>2004.79</v>
      </c>
      <c r="Q65" s="51">
        <v>1997.28</v>
      </c>
      <c r="R65" s="51">
        <v>2001.06</v>
      </c>
      <c r="S65" s="51">
        <v>1869.1</v>
      </c>
      <c r="T65" s="157">
        <f>IF((S66=""),"",MAX(C67:S67))</f>
        <v>2209.7599999999998</v>
      </c>
      <c r="U65" s="66">
        <f>IF(S66="","",MIN(C67:S67))</f>
        <v>1963.52</v>
      </c>
      <c r="V65" s="72">
        <f>IF((S67=""),"",AVERAGE(C67:S67))</f>
        <v>2064.52</v>
      </c>
      <c r="W65" s="158">
        <f>STDEV(C67:S67)</f>
        <v>59.918953178439288</v>
      </c>
      <c r="X65" s="100">
        <f>IF((S66=""),"",((T65-U65)/(T65+U65))*100)</f>
        <v>5.9003948932254673</v>
      </c>
      <c r="Y65" s="77" t="str">
        <f>IF(S66="","",IF(X65&lt;13,IF(V65&gt;1970,IF(V65&lt;2300,"Pass","Fail"),"Fail"),"Fail"))</f>
        <v>Pass</v>
      </c>
      <c r="Z65" s="159">
        <v>1159</v>
      </c>
      <c r="AA65" s="350"/>
      <c r="AC65" s="134">
        <v>1600</v>
      </c>
      <c r="AD65" s="134">
        <v>2600</v>
      </c>
      <c r="AE65" s="160">
        <v>1690</v>
      </c>
      <c r="AF65" s="160">
        <v>2125</v>
      </c>
      <c r="AG65" s="156">
        <v>15</v>
      </c>
      <c r="AH65" s="156">
        <v>15</v>
      </c>
    </row>
    <row r="66" spans="1:34" ht="16.100000000000001" x14ac:dyDescent="0.35">
      <c r="A66"/>
      <c r="B66" s="66" t="s">
        <v>78</v>
      </c>
      <c r="C66" s="51">
        <v>1033.48</v>
      </c>
      <c r="D66" s="51">
        <v>1004.43</v>
      </c>
      <c r="E66" s="51">
        <v>995.35</v>
      </c>
      <c r="F66" s="51">
        <v>986.97</v>
      </c>
      <c r="G66" s="51">
        <v>975.67</v>
      </c>
      <c r="H66" s="51">
        <v>956.27</v>
      </c>
      <c r="I66" s="51">
        <v>939.51</v>
      </c>
      <c r="J66" s="51">
        <v>931.26</v>
      </c>
      <c r="K66" s="51">
        <v>959.47</v>
      </c>
      <c r="L66" s="51">
        <v>973.05</v>
      </c>
      <c r="M66" s="51">
        <v>957.36</v>
      </c>
      <c r="N66" s="51">
        <v>960.75</v>
      </c>
      <c r="O66" s="51">
        <v>985.34</v>
      </c>
      <c r="P66" s="51">
        <v>976.57</v>
      </c>
      <c r="Q66" s="51">
        <v>963.95</v>
      </c>
      <c r="R66" s="51">
        <v>964.92</v>
      </c>
      <c r="S66" s="51">
        <v>869.28</v>
      </c>
      <c r="T66" s="162"/>
      <c r="U66" s="163"/>
      <c r="V66" s="163"/>
      <c r="W66" s="158"/>
      <c r="X66" s="330"/>
      <c r="Y66" s="163"/>
      <c r="Z66" s="169"/>
      <c r="AA66" s="351"/>
    </row>
    <row r="67" spans="1:34" ht="58.15" thickBot="1" x14ac:dyDescent="0.4">
      <c r="A67"/>
      <c r="B67" s="79" t="s">
        <v>79</v>
      </c>
      <c r="C67" s="164">
        <f t="shared" ref="C67:S67" si="18">IF(((C65="")*AND(C66="")),"",(C65-C66)*2)</f>
        <v>1963.52</v>
      </c>
      <c r="D67" s="164">
        <f t="shared" si="18"/>
        <v>1995.78</v>
      </c>
      <c r="E67" s="164">
        <f t="shared" si="18"/>
        <v>2005.3</v>
      </c>
      <c r="F67" s="164">
        <f t="shared" si="18"/>
        <v>2018.38</v>
      </c>
      <c r="G67" s="164">
        <f t="shared" si="18"/>
        <v>2036.5600000000002</v>
      </c>
      <c r="H67" s="164">
        <f t="shared" si="18"/>
        <v>2076.8200000000002</v>
      </c>
      <c r="I67" s="164">
        <f t="shared" si="18"/>
        <v>2113.8000000000002</v>
      </c>
      <c r="J67" s="164">
        <f t="shared" si="18"/>
        <v>2138.3200000000002</v>
      </c>
      <c r="K67" s="164">
        <f t="shared" si="18"/>
        <v>2109</v>
      </c>
      <c r="L67" s="164">
        <f t="shared" si="18"/>
        <v>2209.7599999999998</v>
      </c>
      <c r="M67" s="164">
        <f t="shared" si="18"/>
        <v>2084.6400000000003</v>
      </c>
      <c r="N67" s="164">
        <f t="shared" si="18"/>
        <v>2070.58</v>
      </c>
      <c r="O67" s="164">
        <f t="shared" si="18"/>
        <v>2079.3599999999997</v>
      </c>
      <c r="P67" s="164">
        <f t="shared" si="18"/>
        <v>2056.4399999999996</v>
      </c>
      <c r="Q67" s="164">
        <f t="shared" si="18"/>
        <v>2066.66</v>
      </c>
      <c r="R67" s="164">
        <f t="shared" si="18"/>
        <v>2072.2799999999997</v>
      </c>
      <c r="S67" s="165">
        <f t="shared" si="18"/>
        <v>1999.6399999999999</v>
      </c>
      <c r="T67" s="166"/>
      <c r="U67" s="164"/>
      <c r="V67" s="164"/>
      <c r="W67" s="167"/>
      <c r="X67" s="331"/>
      <c r="Y67" s="164"/>
      <c r="Z67" s="170"/>
      <c r="AA67" s="351"/>
    </row>
    <row r="68" spans="1:34" x14ac:dyDescent="0.3">
      <c r="A68" s="321">
        <v>43206</v>
      </c>
      <c r="B68" s="66" t="s">
        <v>77</v>
      </c>
      <c r="C68" s="51">
        <v>2046.54</v>
      </c>
      <c r="D68" s="51">
        <v>2031.63</v>
      </c>
      <c r="E68" s="51">
        <v>2017.91</v>
      </c>
      <c r="F68" s="51">
        <v>2009.61</v>
      </c>
      <c r="G68" s="51">
        <v>2007.77</v>
      </c>
      <c r="H68" s="51">
        <v>2012.49</v>
      </c>
      <c r="I68" s="51">
        <v>2018.78</v>
      </c>
      <c r="J68" s="51">
        <v>2030.4</v>
      </c>
      <c r="K68" s="51">
        <v>2049.21</v>
      </c>
      <c r="L68" s="51">
        <v>2037.1</v>
      </c>
      <c r="M68" s="51">
        <v>2025.84</v>
      </c>
      <c r="N68" s="51">
        <v>2015.11</v>
      </c>
      <c r="O68" s="51">
        <v>2041.82</v>
      </c>
      <c r="P68" s="51">
        <v>2022.12</v>
      </c>
      <c r="Q68" s="51">
        <v>2050.0700000000002</v>
      </c>
      <c r="R68" s="51">
        <v>2027.72</v>
      </c>
      <c r="S68" s="51">
        <v>2045.62</v>
      </c>
      <c r="T68" s="157">
        <f>IF((S69=""),"",MAX(C70:S70))</f>
        <v>2102.3200000000006</v>
      </c>
      <c r="U68" s="66">
        <f>IF(S69="","",MIN(C70:S70))</f>
        <v>1953.92</v>
      </c>
      <c r="V68" s="72">
        <f>IF((S70=""),"",AVERAGE(C70:S70))</f>
        <v>2037.1058823529413</v>
      </c>
      <c r="W68" s="158">
        <f>STDEV(C70:S70)</f>
        <v>46.334415268084484</v>
      </c>
      <c r="X68" s="100">
        <f>IF((S69=""),"",((T68-U68)/(T68+U68))*100)</f>
        <v>3.6585606374376396</v>
      </c>
      <c r="Y68" s="77" t="str">
        <f>IF(S69="","",IF(X68&lt;15,IF(V68&gt;1690,IF(V68&lt;2125,"Pass","Fail"),"Fail"),"Fail"))</f>
        <v>Pass</v>
      </c>
      <c r="Z68" s="159">
        <v>1335</v>
      </c>
      <c r="AA68" s="350"/>
      <c r="AC68" s="134">
        <v>1600</v>
      </c>
      <c r="AD68" s="134">
        <v>2600</v>
      </c>
      <c r="AE68" s="160">
        <v>1690</v>
      </c>
      <c r="AF68" s="160">
        <v>2125</v>
      </c>
      <c r="AG68" s="156">
        <v>15</v>
      </c>
      <c r="AH68" s="156">
        <v>15</v>
      </c>
    </row>
    <row r="69" spans="1:34" ht="16.100000000000001" x14ac:dyDescent="0.35">
      <c r="A69"/>
      <c r="B69" s="66" t="s">
        <v>78</v>
      </c>
      <c r="C69" s="51">
        <v>1069.58</v>
      </c>
      <c r="D69" s="51">
        <v>1036.98</v>
      </c>
      <c r="E69" s="51">
        <v>1020.67</v>
      </c>
      <c r="F69" s="51">
        <v>1011.33</v>
      </c>
      <c r="G69" s="51">
        <v>1002.41</v>
      </c>
      <c r="H69" s="51">
        <v>988.61</v>
      </c>
      <c r="I69" s="51">
        <v>979.42</v>
      </c>
      <c r="J69" s="51">
        <v>981.72</v>
      </c>
      <c r="K69" s="51">
        <v>1002.41</v>
      </c>
      <c r="L69" s="51">
        <v>1016.08</v>
      </c>
      <c r="M69" s="51">
        <v>994.46</v>
      </c>
      <c r="N69" s="51">
        <v>994.49</v>
      </c>
      <c r="O69" s="51">
        <v>995.14</v>
      </c>
      <c r="P69" s="51">
        <v>1020.6</v>
      </c>
      <c r="Q69" s="51">
        <v>998.91</v>
      </c>
      <c r="R69" s="51">
        <v>1006.97</v>
      </c>
      <c r="S69" s="51">
        <v>1054.56</v>
      </c>
      <c r="T69" s="162"/>
      <c r="U69" s="163"/>
      <c r="V69" s="163"/>
      <c r="W69" s="158"/>
      <c r="X69" s="330"/>
      <c r="Y69" s="163"/>
      <c r="Z69" s="159"/>
      <c r="AA69" s="350"/>
    </row>
    <row r="70" spans="1:34" ht="58.15" thickBot="1" x14ac:dyDescent="0.4">
      <c r="A70"/>
      <c r="B70" s="79" t="s">
        <v>79</v>
      </c>
      <c r="C70" s="164">
        <f t="shared" ref="C70:S70" si="19">IF(((C68="")*AND(C69="")),"",(C68-C69)*2)</f>
        <v>1953.92</v>
      </c>
      <c r="D70" s="164">
        <f t="shared" si="19"/>
        <v>1989.3000000000002</v>
      </c>
      <c r="E70" s="164">
        <f t="shared" si="19"/>
        <v>1994.4800000000002</v>
      </c>
      <c r="F70" s="164">
        <f t="shared" si="19"/>
        <v>1996.5599999999997</v>
      </c>
      <c r="G70" s="164">
        <f t="shared" si="19"/>
        <v>2010.72</v>
      </c>
      <c r="H70" s="164">
        <f t="shared" si="19"/>
        <v>2047.76</v>
      </c>
      <c r="I70" s="164">
        <f t="shared" si="19"/>
        <v>2078.7200000000003</v>
      </c>
      <c r="J70" s="164">
        <f t="shared" si="19"/>
        <v>2097.36</v>
      </c>
      <c r="K70" s="164">
        <f t="shared" si="19"/>
        <v>2093.6000000000004</v>
      </c>
      <c r="L70" s="164">
        <f t="shared" si="19"/>
        <v>2042.0399999999997</v>
      </c>
      <c r="M70" s="164">
        <f t="shared" si="19"/>
        <v>2062.7599999999998</v>
      </c>
      <c r="N70" s="164">
        <f t="shared" si="19"/>
        <v>2041.2399999999998</v>
      </c>
      <c r="O70" s="164">
        <f t="shared" si="19"/>
        <v>2093.3599999999997</v>
      </c>
      <c r="P70" s="164">
        <f t="shared" si="19"/>
        <v>2003.0399999999997</v>
      </c>
      <c r="Q70" s="164">
        <f t="shared" si="19"/>
        <v>2102.3200000000006</v>
      </c>
      <c r="R70" s="164">
        <f t="shared" si="19"/>
        <v>2041.5</v>
      </c>
      <c r="S70" s="165">
        <f t="shared" si="19"/>
        <v>1982.12</v>
      </c>
      <c r="T70" s="166"/>
      <c r="U70" s="164"/>
      <c r="V70" s="164"/>
      <c r="W70" s="167"/>
      <c r="X70" s="331"/>
      <c r="Y70" s="164"/>
      <c r="Z70" s="168"/>
      <c r="AA70" s="350"/>
    </row>
    <row r="71" spans="1:34" x14ac:dyDescent="0.3">
      <c r="A71" s="320">
        <v>43214</v>
      </c>
      <c r="B71" s="66" t="s">
        <v>77</v>
      </c>
      <c r="C71" s="51">
        <v>2052.9499999999998</v>
      </c>
      <c r="D71" s="51">
        <v>2036.97</v>
      </c>
      <c r="E71" s="51">
        <v>2025.25</v>
      </c>
      <c r="F71" s="51">
        <v>2017.73</v>
      </c>
      <c r="G71" s="51">
        <v>2016.37</v>
      </c>
      <c r="H71" s="51">
        <v>2019.65</v>
      </c>
      <c r="I71" s="51">
        <v>2025.15</v>
      </c>
      <c r="J71" s="51">
        <v>2038.16</v>
      </c>
      <c r="K71" s="51">
        <v>2057.4299999999998</v>
      </c>
      <c r="L71" s="51">
        <v>2043.22</v>
      </c>
      <c r="M71" s="51">
        <v>2032.82</v>
      </c>
      <c r="N71" s="51">
        <v>2024.59</v>
      </c>
      <c r="O71" s="51">
        <v>2053.6</v>
      </c>
      <c r="P71" s="51">
        <v>2032.06</v>
      </c>
      <c r="Q71" s="51">
        <v>2062.2399999999998</v>
      </c>
      <c r="R71" s="51">
        <v>2035.31</v>
      </c>
      <c r="S71" s="51">
        <v>2051.63</v>
      </c>
      <c r="T71" s="157">
        <f>IF((S72=""),"",MAX(C73:S73))</f>
        <v>2052.7799999999997</v>
      </c>
      <c r="U71" s="66">
        <f>IF(S72="","",MIN(C73:S73))</f>
        <v>1917.6599999999999</v>
      </c>
      <c r="V71" s="72">
        <f>IF((S73=""),"",AVERAGE(C73:S73))</f>
        <v>1981.6411764705879</v>
      </c>
      <c r="W71" s="158">
        <f>STDEV(C73:S73)</f>
        <v>42.76743590080445</v>
      </c>
      <c r="X71" s="100">
        <f>IF((S72=""),"",((T71-U71)/(T71+U71))*100)</f>
        <v>3.4031492731284168</v>
      </c>
      <c r="Y71" s="77" t="str">
        <f>IF(S72="","",IF(X71&lt;13,IF(V71&gt;1970,IF(V71&lt;2300,"Pass","Fail"),"Fail"),"Fail"))</f>
        <v>Pass</v>
      </c>
      <c r="Z71" s="159">
        <v>74</v>
      </c>
      <c r="AA71" s="350"/>
      <c r="AC71" s="134">
        <v>1600</v>
      </c>
      <c r="AD71" s="134">
        <v>2600</v>
      </c>
      <c r="AE71" s="160">
        <v>1690</v>
      </c>
      <c r="AF71" s="160">
        <v>2125</v>
      </c>
      <c r="AG71" s="156">
        <v>15</v>
      </c>
      <c r="AH71" s="156">
        <v>15</v>
      </c>
    </row>
    <row r="72" spans="1:34" ht="16.100000000000001" x14ac:dyDescent="0.35">
      <c r="A72"/>
      <c r="B72" s="66" t="s">
        <v>78</v>
      </c>
      <c r="C72" s="51">
        <v>1092.1300000000001</v>
      </c>
      <c r="D72" s="51">
        <v>1067.68</v>
      </c>
      <c r="E72" s="51">
        <v>1051.8</v>
      </c>
      <c r="F72" s="51">
        <v>1044.42</v>
      </c>
      <c r="G72" s="51">
        <v>1034.45</v>
      </c>
      <c r="H72" s="51">
        <v>1024.1099999999999</v>
      </c>
      <c r="I72" s="51">
        <v>1015.56</v>
      </c>
      <c r="J72" s="51">
        <v>1020.06</v>
      </c>
      <c r="K72" s="51">
        <v>1058.94</v>
      </c>
      <c r="L72" s="51">
        <v>1048.54</v>
      </c>
      <c r="M72" s="51">
        <v>1027.52</v>
      </c>
      <c r="N72" s="51">
        <v>1025.47</v>
      </c>
      <c r="O72" s="51">
        <v>1033.1199999999999</v>
      </c>
      <c r="P72" s="51">
        <v>1073.23</v>
      </c>
      <c r="Q72" s="51">
        <v>1035.8499999999999</v>
      </c>
      <c r="R72" s="51">
        <v>1042.55</v>
      </c>
      <c r="S72" s="51">
        <v>1085.75</v>
      </c>
      <c r="T72" s="162"/>
      <c r="U72" s="163"/>
      <c r="V72" s="163"/>
      <c r="W72" s="158"/>
      <c r="X72" s="330"/>
      <c r="Y72" s="163"/>
      <c r="Z72" s="169"/>
      <c r="AA72" s="351"/>
    </row>
    <row r="73" spans="1:34" ht="58.15" thickBot="1" x14ac:dyDescent="0.4">
      <c r="A73"/>
      <c r="B73" s="79" t="s">
        <v>79</v>
      </c>
      <c r="C73" s="164">
        <f t="shared" ref="C73:S73" si="20">IF(((C71="")*AND(C72="")),"",(C71-C72)*2)</f>
        <v>1921.6399999999994</v>
      </c>
      <c r="D73" s="164">
        <f t="shared" si="20"/>
        <v>1938.58</v>
      </c>
      <c r="E73" s="164">
        <f t="shared" si="20"/>
        <v>1946.9</v>
      </c>
      <c r="F73" s="164">
        <f t="shared" si="20"/>
        <v>1946.62</v>
      </c>
      <c r="G73" s="164">
        <f t="shared" si="20"/>
        <v>1963.8399999999997</v>
      </c>
      <c r="H73" s="164">
        <f t="shared" si="20"/>
        <v>1991.0800000000004</v>
      </c>
      <c r="I73" s="164">
        <f t="shared" si="20"/>
        <v>2019.1800000000003</v>
      </c>
      <c r="J73" s="164">
        <f t="shared" si="20"/>
        <v>2036.2000000000003</v>
      </c>
      <c r="K73" s="164">
        <f t="shared" si="20"/>
        <v>1996.9799999999996</v>
      </c>
      <c r="L73" s="164">
        <f t="shared" si="20"/>
        <v>1989.3600000000001</v>
      </c>
      <c r="M73" s="164">
        <f t="shared" si="20"/>
        <v>2010.6</v>
      </c>
      <c r="N73" s="164">
        <f t="shared" si="20"/>
        <v>1998.2399999999998</v>
      </c>
      <c r="O73" s="164">
        <f t="shared" si="20"/>
        <v>2040.96</v>
      </c>
      <c r="P73" s="164">
        <f t="shared" si="20"/>
        <v>1917.6599999999999</v>
      </c>
      <c r="Q73" s="164">
        <f t="shared" si="20"/>
        <v>2052.7799999999997</v>
      </c>
      <c r="R73" s="164">
        <f t="shared" si="20"/>
        <v>1985.52</v>
      </c>
      <c r="S73" s="165">
        <f t="shared" si="20"/>
        <v>1931.7600000000002</v>
      </c>
      <c r="T73" s="166"/>
      <c r="U73" s="164"/>
      <c r="V73" s="164"/>
      <c r="W73" s="167"/>
      <c r="X73" s="331"/>
      <c r="Y73" s="164"/>
      <c r="Z73" s="170"/>
      <c r="AA73" s="351"/>
    </row>
    <row r="74" spans="1:34" x14ac:dyDescent="0.3">
      <c r="A74" s="320">
        <v>43221</v>
      </c>
      <c r="B74" s="66" t="s">
        <v>77</v>
      </c>
      <c r="C74" s="51">
        <v>2025.18</v>
      </c>
      <c r="D74" s="51">
        <v>2011.66</v>
      </c>
      <c r="E74" s="51">
        <v>2006.53</v>
      </c>
      <c r="F74" s="51">
        <v>2003.15</v>
      </c>
      <c r="G74" s="51">
        <v>2002.21</v>
      </c>
      <c r="H74" s="51">
        <v>2000.88</v>
      </c>
      <c r="I74" s="51">
        <v>2002.96</v>
      </c>
      <c r="J74" s="51">
        <v>2009.36</v>
      </c>
      <c r="K74" s="51">
        <v>2020.53</v>
      </c>
      <c r="L74" s="51">
        <v>2083.77</v>
      </c>
      <c r="M74" s="51">
        <v>2007.28</v>
      </c>
      <c r="N74" s="51">
        <v>2003.08</v>
      </c>
      <c r="O74" s="51">
        <v>2034.58</v>
      </c>
      <c r="P74" s="51">
        <v>2015.08</v>
      </c>
      <c r="Q74" s="51">
        <v>2004.92</v>
      </c>
      <c r="R74" s="51">
        <v>2008.36</v>
      </c>
      <c r="S74" s="51">
        <v>2061.04</v>
      </c>
      <c r="T74" s="157">
        <f>IF((S75=""),"",MAX(C76:S76))</f>
        <v>2369.6799999999998</v>
      </c>
      <c r="U74" s="66">
        <f>IF(S75="","",MIN(C76:S76))</f>
        <v>1966.02</v>
      </c>
      <c r="V74" s="72">
        <f>IF((S76=""),"",AVERAGE(C76:S76))</f>
        <v>2059.2705882352939</v>
      </c>
      <c r="W74" s="158">
        <f>STDEV(C76:S76)</f>
        <v>86.350476292156856</v>
      </c>
      <c r="X74" s="100">
        <f>IF((S75=""),"",((T74-U74)/(T74+U74))*100)</f>
        <v>9.3101459971861491</v>
      </c>
      <c r="Y74" s="77" t="str">
        <f>IF(S75="","",IF(X74&lt;15,IF(V74&gt;1690,IF(V74&lt;2125,"Pass","Fail"),"Fail"),"Fail"))</f>
        <v>Pass</v>
      </c>
      <c r="Z74" s="159">
        <v>74</v>
      </c>
      <c r="AA74" s="350"/>
      <c r="AC74" s="134">
        <v>1600</v>
      </c>
      <c r="AD74" s="134">
        <v>2600</v>
      </c>
      <c r="AE74" s="160">
        <v>1690</v>
      </c>
      <c r="AF74" s="160">
        <v>2125</v>
      </c>
      <c r="AG74" s="156">
        <v>15</v>
      </c>
      <c r="AH74" s="156">
        <v>15</v>
      </c>
    </row>
    <row r="75" spans="1:34" ht="16.100000000000001" x14ac:dyDescent="0.35">
      <c r="A75"/>
      <c r="B75" s="66" t="s">
        <v>78</v>
      </c>
      <c r="C75" s="51">
        <v>1042.17</v>
      </c>
      <c r="D75" s="51">
        <v>1013.04</v>
      </c>
      <c r="E75" s="51">
        <v>1004.44</v>
      </c>
      <c r="F75" s="51">
        <v>999.24</v>
      </c>
      <c r="G75" s="51">
        <v>991.51</v>
      </c>
      <c r="H75" s="51">
        <v>976.97</v>
      </c>
      <c r="I75" s="51">
        <v>964.67</v>
      </c>
      <c r="J75" s="51">
        <v>962.66</v>
      </c>
      <c r="K75" s="51">
        <v>992.71</v>
      </c>
      <c r="L75" s="51">
        <v>1048.6199999999999</v>
      </c>
      <c r="M75" s="51">
        <v>971.99</v>
      </c>
      <c r="N75" s="51">
        <v>974.74</v>
      </c>
      <c r="O75" s="51">
        <v>849.74</v>
      </c>
      <c r="P75" s="51">
        <v>995.93</v>
      </c>
      <c r="Q75" s="51">
        <v>986.19</v>
      </c>
      <c r="R75" s="51">
        <v>989.97</v>
      </c>
      <c r="S75" s="51">
        <v>1032.18</v>
      </c>
      <c r="T75" s="162"/>
      <c r="U75" s="163"/>
      <c r="V75" s="163"/>
      <c r="W75" s="158"/>
      <c r="X75" s="330"/>
      <c r="Y75" s="163"/>
      <c r="Z75" s="159"/>
      <c r="AA75" s="350"/>
    </row>
    <row r="76" spans="1:34" ht="58.15" thickBot="1" x14ac:dyDescent="0.4">
      <c r="A76"/>
      <c r="B76" s="79" t="s">
        <v>79</v>
      </c>
      <c r="C76" s="164">
        <f t="shared" ref="C76:S76" si="21">IF(((C74="")*AND(C75="")),"",(C74-C75)*2)</f>
        <v>1966.02</v>
      </c>
      <c r="D76" s="164">
        <f t="shared" si="21"/>
        <v>1997.2400000000002</v>
      </c>
      <c r="E76" s="164">
        <f t="shared" si="21"/>
        <v>2004.1799999999998</v>
      </c>
      <c r="F76" s="164">
        <f t="shared" si="21"/>
        <v>2007.8200000000002</v>
      </c>
      <c r="G76" s="164">
        <f t="shared" si="21"/>
        <v>2021.4</v>
      </c>
      <c r="H76" s="164">
        <f t="shared" si="21"/>
        <v>2047.8200000000002</v>
      </c>
      <c r="I76" s="164">
        <f t="shared" si="21"/>
        <v>2076.58</v>
      </c>
      <c r="J76" s="164">
        <f t="shared" si="21"/>
        <v>2093.3999999999996</v>
      </c>
      <c r="K76" s="164">
        <f t="shared" si="21"/>
        <v>2055.64</v>
      </c>
      <c r="L76" s="164">
        <f t="shared" si="21"/>
        <v>2070.3000000000002</v>
      </c>
      <c r="M76" s="164">
        <f t="shared" si="21"/>
        <v>2070.58</v>
      </c>
      <c r="N76" s="164">
        <f t="shared" si="21"/>
        <v>2056.6799999999998</v>
      </c>
      <c r="O76" s="164">
        <f t="shared" si="21"/>
        <v>2369.6799999999998</v>
      </c>
      <c r="P76" s="164">
        <f t="shared" si="21"/>
        <v>2038.3</v>
      </c>
      <c r="Q76" s="164">
        <f t="shared" si="21"/>
        <v>2037.46</v>
      </c>
      <c r="R76" s="164">
        <f t="shared" si="21"/>
        <v>2036.7799999999997</v>
      </c>
      <c r="S76" s="165">
        <f t="shared" si="21"/>
        <v>2057.7199999999998</v>
      </c>
      <c r="T76" s="166"/>
      <c r="U76" s="164"/>
      <c r="V76" s="164"/>
      <c r="W76" s="167"/>
      <c r="X76" s="331"/>
      <c r="Y76" s="164"/>
      <c r="Z76" s="168"/>
      <c r="AA76" s="350"/>
    </row>
    <row r="77" spans="1:34" x14ac:dyDescent="0.3">
      <c r="A77" s="320">
        <v>43234</v>
      </c>
      <c r="B77" s="66" t="s">
        <v>77</v>
      </c>
      <c r="C77" s="51">
        <v>1968.81</v>
      </c>
      <c r="D77" s="51">
        <v>1954.69</v>
      </c>
      <c r="E77" s="51">
        <v>1952.39</v>
      </c>
      <c r="F77" s="51">
        <v>1957.52</v>
      </c>
      <c r="G77" s="51">
        <v>1961.21</v>
      </c>
      <c r="H77" s="51">
        <v>1953.8</v>
      </c>
      <c r="I77" s="51">
        <v>1951.8</v>
      </c>
      <c r="J77" s="51">
        <v>1957.78</v>
      </c>
      <c r="K77" s="51">
        <v>1977.51</v>
      </c>
      <c r="L77" s="51">
        <v>2053.64</v>
      </c>
      <c r="M77" s="51">
        <v>1965.87</v>
      </c>
      <c r="N77" s="51">
        <v>1957.84</v>
      </c>
      <c r="O77" s="51">
        <v>1958.15</v>
      </c>
      <c r="P77" s="51">
        <v>1978.7</v>
      </c>
      <c r="Q77" s="51">
        <v>1940.86</v>
      </c>
      <c r="R77" s="51">
        <v>1940.66</v>
      </c>
      <c r="S77" s="51">
        <v>1953.62</v>
      </c>
      <c r="T77" s="157">
        <f>IF((S78=""),"",MAX(C79:S79))</f>
        <v>2038.0200000000002</v>
      </c>
      <c r="U77" s="66">
        <f>IF(S78="","",MIN(C79:S79))</f>
        <v>1666.6799999999998</v>
      </c>
      <c r="V77" s="72">
        <f>IF((S79=""),"",AVERAGE(C79:S79))</f>
        <v>1772.8023529411767</v>
      </c>
      <c r="W77" s="158">
        <f>STDEV(C79:S79)</f>
        <v>86.593111701322158</v>
      </c>
      <c r="X77" s="100">
        <f>IF((S78=""),"",((T77-U77)/(T77+U77))*100)</f>
        <v>10.023483682889314</v>
      </c>
      <c r="Y77" s="77" t="str">
        <f>IF(S78="","",IF(X77&lt;15,IF(V77&gt;1690,IF(V77&lt;2125,"Pass","Fail"),"Fail"),"Fail"))</f>
        <v>Pass</v>
      </c>
      <c r="Z77" s="159" t="s">
        <v>85</v>
      </c>
      <c r="AA77" s="350"/>
      <c r="AC77" s="134">
        <v>1600</v>
      </c>
      <c r="AD77" s="134">
        <v>2600</v>
      </c>
      <c r="AE77" s="160">
        <v>1690</v>
      </c>
      <c r="AF77" s="160">
        <v>2125</v>
      </c>
      <c r="AG77" s="156">
        <v>15</v>
      </c>
      <c r="AH77" s="156">
        <v>15</v>
      </c>
    </row>
    <row r="78" spans="1:34" ht="16.100000000000001" x14ac:dyDescent="0.35">
      <c r="A78"/>
      <c r="B78" s="66" t="s">
        <v>78</v>
      </c>
      <c r="C78" s="51">
        <v>1126.46</v>
      </c>
      <c r="D78" s="51">
        <v>1106.22</v>
      </c>
      <c r="E78" s="51">
        <v>1102.71</v>
      </c>
      <c r="F78" s="51">
        <v>1106.51</v>
      </c>
      <c r="G78" s="51">
        <v>1095.05</v>
      </c>
      <c r="H78" s="51">
        <v>1065.1500000000001</v>
      </c>
      <c r="I78" s="51">
        <v>1038.8</v>
      </c>
      <c r="J78" s="51">
        <v>1033.8599999999999</v>
      </c>
      <c r="K78" s="51">
        <v>1074.6400000000001</v>
      </c>
      <c r="L78" s="51">
        <v>1145.98</v>
      </c>
      <c r="M78" s="51">
        <v>1067.3699999999999</v>
      </c>
      <c r="N78" s="51">
        <v>1073.0899999999999</v>
      </c>
      <c r="O78" s="51">
        <v>939.14</v>
      </c>
      <c r="P78" s="51">
        <v>1099.27</v>
      </c>
      <c r="Q78" s="51">
        <v>1107.52</v>
      </c>
      <c r="R78" s="51">
        <v>1054.32</v>
      </c>
      <c r="S78" s="51">
        <v>1079.94</v>
      </c>
      <c r="T78" s="162"/>
      <c r="U78" s="163"/>
      <c r="V78" s="163"/>
      <c r="W78" s="158"/>
      <c r="X78" s="330"/>
      <c r="Y78" s="163"/>
      <c r="Z78" s="159"/>
      <c r="AA78" s="350"/>
    </row>
    <row r="79" spans="1:34" ht="58.15" thickBot="1" x14ac:dyDescent="0.4">
      <c r="A79"/>
      <c r="B79" s="79" t="s">
        <v>79</v>
      </c>
      <c r="C79" s="164">
        <f t="shared" ref="C79:S79" si="22">IF(((C77="")*AND(C78="")),"",(C77-C78)*2)</f>
        <v>1684.6999999999998</v>
      </c>
      <c r="D79" s="164">
        <f t="shared" si="22"/>
        <v>1696.94</v>
      </c>
      <c r="E79" s="164">
        <f t="shared" si="22"/>
        <v>1699.3600000000001</v>
      </c>
      <c r="F79" s="164">
        <f t="shared" si="22"/>
        <v>1702.02</v>
      </c>
      <c r="G79" s="164">
        <f t="shared" si="22"/>
        <v>1732.3200000000002</v>
      </c>
      <c r="H79" s="164">
        <f t="shared" si="22"/>
        <v>1777.2999999999997</v>
      </c>
      <c r="I79" s="164">
        <f t="shared" si="22"/>
        <v>1826</v>
      </c>
      <c r="J79" s="164">
        <f t="shared" si="22"/>
        <v>1847.8400000000001</v>
      </c>
      <c r="K79" s="164">
        <f t="shared" si="22"/>
        <v>1805.7399999999998</v>
      </c>
      <c r="L79" s="164">
        <f t="shared" si="22"/>
        <v>1815.3199999999997</v>
      </c>
      <c r="M79" s="164">
        <f t="shared" si="22"/>
        <v>1797</v>
      </c>
      <c r="N79" s="164">
        <f t="shared" si="22"/>
        <v>1769.5</v>
      </c>
      <c r="O79" s="164">
        <f t="shared" si="22"/>
        <v>2038.0200000000002</v>
      </c>
      <c r="P79" s="164">
        <f t="shared" si="22"/>
        <v>1758.8600000000001</v>
      </c>
      <c r="Q79" s="164">
        <f t="shared" si="22"/>
        <v>1666.6799999999998</v>
      </c>
      <c r="R79" s="164">
        <f t="shared" si="22"/>
        <v>1772.6800000000003</v>
      </c>
      <c r="S79" s="165">
        <f t="shared" si="22"/>
        <v>1747.3599999999997</v>
      </c>
      <c r="T79" s="166"/>
      <c r="U79" s="164"/>
      <c r="V79" s="164"/>
      <c r="W79" s="167"/>
      <c r="X79" s="331"/>
      <c r="Y79" s="164"/>
      <c r="Z79" s="168"/>
      <c r="AA79" s="350"/>
    </row>
    <row r="80" spans="1:34" x14ac:dyDescent="0.3">
      <c r="A80" s="320">
        <v>43234</v>
      </c>
      <c r="B80" s="66" t="s">
        <v>77</v>
      </c>
      <c r="C80" s="51">
        <v>3859.23</v>
      </c>
      <c r="D80" s="51">
        <v>3845.53</v>
      </c>
      <c r="E80" s="51">
        <v>3836.94</v>
      </c>
      <c r="F80" s="51">
        <v>3834.82</v>
      </c>
      <c r="G80" s="51">
        <v>3833.16</v>
      </c>
      <c r="H80" s="51">
        <v>3838.05</v>
      </c>
      <c r="I80" s="51">
        <v>3842.21</v>
      </c>
      <c r="J80" s="51">
        <v>3853.68</v>
      </c>
      <c r="K80" s="51">
        <v>3875.9</v>
      </c>
      <c r="L80" s="51">
        <v>3931.42</v>
      </c>
      <c r="M80" s="51">
        <v>3846.22</v>
      </c>
      <c r="N80" s="51">
        <v>3840.17</v>
      </c>
      <c r="O80" s="51">
        <v>3847.26</v>
      </c>
      <c r="P80" s="51">
        <v>3846.71</v>
      </c>
      <c r="Q80" s="51">
        <v>3847.64</v>
      </c>
      <c r="R80" s="51">
        <v>3857.28</v>
      </c>
      <c r="S80" s="51">
        <v>3903.07</v>
      </c>
      <c r="T80" s="157">
        <f>IF((S81=""),"",MAX(C82:S82))</f>
        <v>2194.9000000000005</v>
      </c>
      <c r="U80" s="66">
        <f>IF(S81="","",MIN(C82:S82))</f>
        <v>1978.58</v>
      </c>
      <c r="V80" s="72">
        <f>IF((S82=""),"",AVERAGE(C82:S82))</f>
        <v>2050.9188235294118</v>
      </c>
      <c r="W80" s="158">
        <f>STDEV(C82:S82)</f>
        <v>48.699064400965781</v>
      </c>
      <c r="X80" s="100">
        <f>IF((S81=""),"",((T80-U80)/(T80+U80))*100)</f>
        <v>5.1832044241256838</v>
      </c>
      <c r="Y80" s="77" t="str">
        <f>IF(S81="","",IF(X80&lt;15,IF(V80&gt;1690,IF(V80&lt;2125,"Pass","Fail"),"Fail"),"Fail"))</f>
        <v>Pass</v>
      </c>
      <c r="Z80" s="159">
        <v>1159</v>
      </c>
      <c r="AA80" s="188" t="s">
        <v>86</v>
      </c>
      <c r="AC80" s="134">
        <v>1600</v>
      </c>
      <c r="AD80" s="134">
        <v>2600</v>
      </c>
      <c r="AE80" s="160">
        <v>1690</v>
      </c>
      <c r="AF80" s="160">
        <v>2125</v>
      </c>
      <c r="AG80" s="156">
        <v>15</v>
      </c>
      <c r="AH80" s="156">
        <v>15</v>
      </c>
    </row>
    <row r="81" spans="1:34" ht="16.100000000000001" x14ac:dyDescent="0.35">
      <c r="A81"/>
      <c r="B81" s="66" t="s">
        <v>78</v>
      </c>
      <c r="C81" s="51">
        <v>2869.94</v>
      </c>
      <c r="D81" s="51">
        <v>2838.15</v>
      </c>
      <c r="E81" s="51">
        <v>2831.09</v>
      </c>
      <c r="F81" s="51">
        <v>2825.12</v>
      </c>
      <c r="G81" s="51">
        <v>2821.03</v>
      </c>
      <c r="H81" s="51">
        <v>2808.67</v>
      </c>
      <c r="I81" s="51">
        <v>2800.26</v>
      </c>
      <c r="J81" s="51">
        <v>2800.56</v>
      </c>
      <c r="K81" s="51">
        <v>2864.19</v>
      </c>
      <c r="L81" s="51">
        <v>2833.97</v>
      </c>
      <c r="M81" s="51">
        <v>2806.42</v>
      </c>
      <c r="N81" s="51">
        <v>2805.4</v>
      </c>
      <c r="O81" s="51">
        <v>2831.75</v>
      </c>
      <c r="P81" s="51">
        <v>2825.6</v>
      </c>
      <c r="Q81" s="51">
        <v>2819.38</v>
      </c>
      <c r="R81" s="51">
        <v>2833.33</v>
      </c>
      <c r="S81" s="51">
        <v>2891.62</v>
      </c>
      <c r="T81" s="162"/>
      <c r="U81" s="163"/>
      <c r="V81" s="163"/>
      <c r="W81" s="158"/>
      <c r="X81" s="330"/>
      <c r="Y81" s="163"/>
      <c r="Z81" s="159"/>
      <c r="AA81" s="350"/>
    </row>
    <row r="82" spans="1:34" ht="58.15" thickBot="1" x14ac:dyDescent="0.4">
      <c r="A82"/>
      <c r="B82" s="79" t="s">
        <v>79</v>
      </c>
      <c r="C82" s="164">
        <f t="shared" ref="C82:S82" si="23">IF(((C80="")*AND(C81="")),"",(C80-C81)*2)</f>
        <v>1978.58</v>
      </c>
      <c r="D82" s="164">
        <f t="shared" si="23"/>
        <v>2014.7600000000002</v>
      </c>
      <c r="E82" s="164">
        <f t="shared" si="23"/>
        <v>2011.6999999999998</v>
      </c>
      <c r="F82" s="164">
        <f t="shared" si="23"/>
        <v>2019.4000000000005</v>
      </c>
      <c r="G82" s="164">
        <f t="shared" si="23"/>
        <v>2024.2599999999993</v>
      </c>
      <c r="H82" s="164">
        <f t="shared" si="23"/>
        <v>2058.7600000000002</v>
      </c>
      <c r="I82" s="164">
        <f t="shared" si="23"/>
        <v>2083.8999999999996</v>
      </c>
      <c r="J82" s="164">
        <f t="shared" si="23"/>
        <v>2106.2399999999998</v>
      </c>
      <c r="K82" s="164">
        <f t="shared" si="23"/>
        <v>2023.42</v>
      </c>
      <c r="L82" s="164">
        <f t="shared" si="23"/>
        <v>2194.9000000000005</v>
      </c>
      <c r="M82" s="164">
        <f t="shared" si="23"/>
        <v>2079.5999999999995</v>
      </c>
      <c r="N82" s="164">
        <f t="shared" si="23"/>
        <v>2069.54</v>
      </c>
      <c r="O82" s="164">
        <f t="shared" si="23"/>
        <v>2031.0200000000004</v>
      </c>
      <c r="P82" s="164">
        <f t="shared" si="23"/>
        <v>2042.2200000000003</v>
      </c>
      <c r="Q82" s="164">
        <f t="shared" si="23"/>
        <v>2056.5199999999995</v>
      </c>
      <c r="R82" s="164">
        <f t="shared" si="23"/>
        <v>2047.9000000000005</v>
      </c>
      <c r="S82" s="165">
        <f t="shared" si="23"/>
        <v>2022.9000000000005</v>
      </c>
      <c r="T82" s="166"/>
      <c r="U82" s="164"/>
      <c r="V82" s="164"/>
      <c r="W82" s="167"/>
      <c r="X82" s="331"/>
      <c r="Y82" s="164"/>
      <c r="Z82" s="168"/>
      <c r="AA82" s="350"/>
    </row>
    <row r="83" spans="1:34" x14ac:dyDescent="0.3">
      <c r="A83" s="320">
        <v>43238</v>
      </c>
      <c r="B83" s="66" t="s">
        <v>77</v>
      </c>
      <c r="C83" s="51">
        <v>3796.65</v>
      </c>
      <c r="D83" s="51">
        <v>3787.68</v>
      </c>
      <c r="E83" s="51">
        <v>3782.28</v>
      </c>
      <c r="F83" s="51">
        <v>3775.58</v>
      </c>
      <c r="G83" s="51">
        <v>3777.81</v>
      </c>
      <c r="H83" s="51">
        <v>3779.01</v>
      </c>
      <c r="I83" s="51">
        <v>3782.87</v>
      </c>
      <c r="J83" s="51">
        <v>3793.31</v>
      </c>
      <c r="K83" s="51">
        <v>3819.97</v>
      </c>
      <c r="L83" s="51">
        <v>3802.34</v>
      </c>
      <c r="M83" s="51">
        <v>3792.99</v>
      </c>
      <c r="N83" s="51">
        <v>3778.96</v>
      </c>
      <c r="O83" s="51">
        <v>3777.36</v>
      </c>
      <c r="P83" s="51">
        <v>3799.72</v>
      </c>
      <c r="Q83" s="51">
        <v>3788.97</v>
      </c>
      <c r="R83" s="51">
        <v>3800.82</v>
      </c>
      <c r="S83" s="51">
        <v>3830.81</v>
      </c>
      <c r="T83" s="157">
        <f>IF((S84=""),"",MAX(C85:S85))</f>
        <v>2109.3999999999996</v>
      </c>
      <c r="U83" s="66">
        <f>IF(S84="","",MIN(C85:S85))</f>
        <v>1977.9400000000005</v>
      </c>
      <c r="V83" s="72">
        <f>IF((S85=""),"",AVERAGE(C85:S85))</f>
        <v>2044.2576470588237</v>
      </c>
      <c r="W83" s="158">
        <f>STDEV(C85:S85)</f>
        <v>35.695243298199287</v>
      </c>
      <c r="X83" s="100">
        <f>IF((S84=""),"",((T83-U83)/(T83+U83))*100)</f>
        <v>3.21627268590328</v>
      </c>
      <c r="Y83" s="77" t="str">
        <f>IF(S84="","",IF(X83&lt;15,IF(V83&gt;1690,IF(V83&lt;2125,"Pass","Fail"),"Fail"),"Fail"))</f>
        <v>Pass</v>
      </c>
      <c r="Z83" s="159">
        <v>64</v>
      </c>
      <c r="AA83" s="350"/>
      <c r="AC83" s="134">
        <v>1600</v>
      </c>
      <c r="AD83" s="134">
        <v>2600</v>
      </c>
      <c r="AE83" s="160">
        <v>1690</v>
      </c>
      <c r="AF83" s="160">
        <v>2125</v>
      </c>
      <c r="AG83" s="156">
        <v>15</v>
      </c>
      <c r="AH83" s="156">
        <v>15</v>
      </c>
    </row>
    <row r="84" spans="1:34" ht="16.100000000000001" x14ac:dyDescent="0.35">
      <c r="A84"/>
      <c r="B84" s="66" t="s">
        <v>78</v>
      </c>
      <c r="C84" s="51">
        <v>2807.68</v>
      </c>
      <c r="D84" s="51">
        <v>2781.13</v>
      </c>
      <c r="E84" s="51">
        <v>2772.08</v>
      </c>
      <c r="F84" s="51">
        <v>2769.2</v>
      </c>
      <c r="G84" s="51">
        <v>2760.2</v>
      </c>
      <c r="H84" s="51">
        <v>2747.77</v>
      </c>
      <c r="I84" s="51">
        <v>2741.08</v>
      </c>
      <c r="J84" s="51">
        <v>2738.61</v>
      </c>
      <c r="K84" s="51">
        <v>2782.1</v>
      </c>
      <c r="L84" s="51">
        <v>2772.14</v>
      </c>
      <c r="M84" s="51">
        <v>2748.18</v>
      </c>
      <c r="N84" s="51">
        <v>2747.94</v>
      </c>
      <c r="O84" s="51">
        <v>2773.33</v>
      </c>
      <c r="P84" s="51">
        <v>2768.95</v>
      </c>
      <c r="Q84" s="51">
        <v>2779.08</v>
      </c>
      <c r="R84" s="51">
        <v>2774.44</v>
      </c>
      <c r="S84" s="51">
        <v>2827.03</v>
      </c>
      <c r="T84" s="162"/>
      <c r="U84" s="163"/>
      <c r="V84" s="163"/>
      <c r="W84" s="158"/>
      <c r="X84" s="330"/>
      <c r="Y84" s="163"/>
      <c r="Z84" s="159"/>
      <c r="AA84" s="350"/>
    </row>
    <row r="85" spans="1:34" ht="58.15" thickBot="1" x14ac:dyDescent="0.4">
      <c r="A85"/>
      <c r="B85" s="79" t="s">
        <v>79</v>
      </c>
      <c r="C85" s="164">
        <f t="shared" ref="C85:S85" si="24">IF(((C83="")*AND(C84="")),"",(C83-C84)*2)</f>
        <v>1977.9400000000005</v>
      </c>
      <c r="D85" s="164">
        <f t="shared" si="24"/>
        <v>2013.0999999999995</v>
      </c>
      <c r="E85" s="164">
        <f t="shared" si="24"/>
        <v>2020.4000000000005</v>
      </c>
      <c r="F85" s="164">
        <f t="shared" si="24"/>
        <v>2012.7600000000002</v>
      </c>
      <c r="G85" s="164">
        <f t="shared" si="24"/>
        <v>2035.2200000000003</v>
      </c>
      <c r="H85" s="164">
        <f t="shared" si="24"/>
        <v>2062.4800000000005</v>
      </c>
      <c r="I85" s="164">
        <f t="shared" si="24"/>
        <v>2083.58</v>
      </c>
      <c r="J85" s="164">
        <f t="shared" si="24"/>
        <v>2109.3999999999996</v>
      </c>
      <c r="K85" s="164">
        <f t="shared" si="24"/>
        <v>2075.7399999999998</v>
      </c>
      <c r="L85" s="164">
        <f t="shared" si="24"/>
        <v>2060.4000000000005</v>
      </c>
      <c r="M85" s="164">
        <f t="shared" si="24"/>
        <v>2089.62</v>
      </c>
      <c r="N85" s="164">
        <f t="shared" si="24"/>
        <v>2062.04</v>
      </c>
      <c r="O85" s="164">
        <f t="shared" si="24"/>
        <v>2008.0600000000004</v>
      </c>
      <c r="P85" s="164">
        <f t="shared" si="24"/>
        <v>2061.54</v>
      </c>
      <c r="Q85" s="164">
        <f t="shared" si="24"/>
        <v>2019.7799999999997</v>
      </c>
      <c r="R85" s="164">
        <f t="shared" si="24"/>
        <v>2052.7600000000002</v>
      </c>
      <c r="S85" s="165">
        <f t="shared" si="24"/>
        <v>2007.5599999999995</v>
      </c>
      <c r="T85" s="166"/>
      <c r="U85" s="164"/>
      <c r="V85" s="164"/>
      <c r="W85" s="167"/>
      <c r="X85" s="331"/>
      <c r="Y85" s="164"/>
      <c r="Z85" s="168"/>
      <c r="AA85" s="350"/>
    </row>
    <row r="86" spans="1:34" x14ac:dyDescent="0.3">
      <c r="A86" s="320">
        <v>43242</v>
      </c>
      <c r="B86" s="66" t="s">
        <v>77</v>
      </c>
      <c r="C86" s="51">
        <v>1994.61</v>
      </c>
      <c r="D86" s="51">
        <v>1985.66</v>
      </c>
      <c r="E86" s="51">
        <v>1983.17</v>
      </c>
      <c r="F86" s="51">
        <v>1980.37</v>
      </c>
      <c r="G86" s="51">
        <v>1979.89</v>
      </c>
      <c r="H86" s="51">
        <v>1982.18</v>
      </c>
      <c r="I86" s="51">
        <v>1983.74</v>
      </c>
      <c r="J86" s="51">
        <v>1988.68</v>
      </c>
      <c r="K86" s="51">
        <v>2007.84</v>
      </c>
      <c r="L86" s="51">
        <v>1997.73</v>
      </c>
      <c r="M86" s="51">
        <v>1985.76</v>
      </c>
      <c r="N86" s="51">
        <v>1984.21</v>
      </c>
      <c r="O86" s="51">
        <v>1981.7</v>
      </c>
      <c r="P86" s="51">
        <v>1981.15</v>
      </c>
      <c r="Q86" s="51">
        <v>1986.03</v>
      </c>
      <c r="R86" s="51">
        <v>1992.5</v>
      </c>
      <c r="S86" s="51">
        <v>2013.39</v>
      </c>
      <c r="T86" s="157">
        <f>IF((S87=""),"",MAX(C88:S88))</f>
        <v>2104.36</v>
      </c>
      <c r="U86" s="66">
        <f>IF(S87="","",MIN(C88:S88))</f>
        <v>1972.9599999999998</v>
      </c>
      <c r="V86" s="72">
        <f>IF((S88=""),"",AVERAGE(C88:S88))</f>
        <v>2039.1623529411766</v>
      </c>
      <c r="W86" s="158">
        <f>STDEV(C88:S88)</f>
        <v>34.171003703690779</v>
      </c>
      <c r="X86" s="100">
        <f>IF((S87=""),"",((T86-U86)/(T86+U86))*100)</f>
        <v>3.2227051102194664</v>
      </c>
      <c r="Y86" s="77" t="str">
        <f>IF(S87="","",IF(X86&lt;15,IF(V86&gt;1690,IF(V86&lt;2125,"Pass","Fail"),"Fail"),"Fail"))</f>
        <v>Pass</v>
      </c>
      <c r="Z86" s="159">
        <v>102</v>
      </c>
      <c r="AA86" s="350"/>
      <c r="AC86" s="134">
        <v>1600</v>
      </c>
      <c r="AD86" s="134">
        <v>2600</v>
      </c>
      <c r="AE86" s="160">
        <v>1690</v>
      </c>
      <c r="AF86" s="160">
        <v>2125</v>
      </c>
      <c r="AG86" s="156">
        <v>15</v>
      </c>
      <c r="AH86" s="156">
        <v>15</v>
      </c>
    </row>
    <row r="87" spans="1:34" ht="16.100000000000001" x14ac:dyDescent="0.35">
      <c r="A87"/>
      <c r="B87" s="66" t="s">
        <v>78</v>
      </c>
      <c r="C87" s="51">
        <v>1008.13</v>
      </c>
      <c r="D87" s="51">
        <v>988.52</v>
      </c>
      <c r="E87" s="51">
        <v>983</v>
      </c>
      <c r="F87" s="51">
        <v>976.83</v>
      </c>
      <c r="G87" s="51">
        <v>968.03</v>
      </c>
      <c r="H87" s="51">
        <v>955.85</v>
      </c>
      <c r="I87" s="51">
        <v>944.78</v>
      </c>
      <c r="J87" s="51">
        <v>936.5</v>
      </c>
      <c r="K87" s="51">
        <v>969.54</v>
      </c>
      <c r="L87" s="51">
        <v>968.81</v>
      </c>
      <c r="M87" s="51">
        <v>950.65</v>
      </c>
      <c r="N87" s="51">
        <v>956.27</v>
      </c>
      <c r="O87" s="51">
        <v>962.96</v>
      </c>
      <c r="P87" s="51">
        <v>968.95</v>
      </c>
      <c r="Q87" s="51">
        <v>966.42</v>
      </c>
      <c r="R87" s="51">
        <v>968.36</v>
      </c>
      <c r="S87" s="51">
        <v>1002.13</v>
      </c>
      <c r="T87" s="162"/>
      <c r="U87" s="163"/>
      <c r="V87" s="163"/>
      <c r="W87" s="158"/>
      <c r="X87" s="330"/>
      <c r="Y87" s="163"/>
      <c r="Z87" s="159"/>
      <c r="AA87" s="350"/>
    </row>
    <row r="88" spans="1:34" ht="58.15" thickBot="1" x14ac:dyDescent="0.4">
      <c r="A88"/>
      <c r="B88" s="79" t="s">
        <v>79</v>
      </c>
      <c r="C88" s="164">
        <f t="shared" ref="C88:S88" si="25">IF(((C86="")*AND(C87="")),"",(C86-C87)*2)</f>
        <v>1972.9599999999998</v>
      </c>
      <c r="D88" s="164">
        <f t="shared" si="25"/>
        <v>1994.2800000000002</v>
      </c>
      <c r="E88" s="164">
        <f t="shared" si="25"/>
        <v>2000.3400000000001</v>
      </c>
      <c r="F88" s="164">
        <f t="shared" si="25"/>
        <v>2007.0799999999997</v>
      </c>
      <c r="G88" s="164">
        <f t="shared" si="25"/>
        <v>2023.7200000000003</v>
      </c>
      <c r="H88" s="164">
        <f t="shared" si="25"/>
        <v>2052.66</v>
      </c>
      <c r="I88" s="164">
        <f t="shared" si="25"/>
        <v>2077.92</v>
      </c>
      <c r="J88" s="164">
        <f t="shared" si="25"/>
        <v>2104.36</v>
      </c>
      <c r="K88" s="164">
        <f t="shared" si="25"/>
        <v>2076.6</v>
      </c>
      <c r="L88" s="164">
        <f t="shared" si="25"/>
        <v>2057.84</v>
      </c>
      <c r="M88" s="164">
        <f t="shared" si="25"/>
        <v>2070.2200000000003</v>
      </c>
      <c r="N88" s="164">
        <f t="shared" si="25"/>
        <v>2055.88</v>
      </c>
      <c r="O88" s="164">
        <f t="shared" si="25"/>
        <v>2037.48</v>
      </c>
      <c r="P88" s="164">
        <f t="shared" si="25"/>
        <v>2024.4</v>
      </c>
      <c r="Q88" s="164">
        <f t="shared" si="25"/>
        <v>2039.22</v>
      </c>
      <c r="R88" s="164">
        <f t="shared" si="25"/>
        <v>2048.2799999999997</v>
      </c>
      <c r="S88" s="165">
        <f t="shared" si="25"/>
        <v>2022.5200000000002</v>
      </c>
      <c r="T88" s="166"/>
      <c r="U88" s="164"/>
      <c r="V88" s="164"/>
      <c r="W88" s="167"/>
      <c r="X88" s="331"/>
      <c r="Y88" s="164"/>
      <c r="Z88" s="168"/>
      <c r="AA88" s="350"/>
    </row>
    <row r="89" spans="1:34" x14ac:dyDescent="0.3">
      <c r="A89" s="321">
        <v>43243</v>
      </c>
      <c r="B89" s="66" t="s">
        <v>77</v>
      </c>
      <c r="C89" s="51">
        <v>2048.13</v>
      </c>
      <c r="D89" s="51">
        <v>2035.34</v>
      </c>
      <c r="E89" s="51">
        <v>2027.11</v>
      </c>
      <c r="F89" s="51">
        <v>2017.49</v>
      </c>
      <c r="G89" s="51">
        <v>2014.12</v>
      </c>
      <c r="H89" s="51">
        <v>2019.03</v>
      </c>
      <c r="I89" s="51">
        <v>2027.01</v>
      </c>
      <c r="J89" s="51">
        <v>2036.1</v>
      </c>
      <c r="K89" s="51">
        <v>2058.41</v>
      </c>
      <c r="L89" s="51">
        <v>2056.16</v>
      </c>
      <c r="M89" s="51">
        <v>2038.47</v>
      </c>
      <c r="N89" s="51">
        <v>2026.81</v>
      </c>
      <c r="O89" s="51">
        <v>2016.21</v>
      </c>
      <c r="P89" s="51">
        <v>2017.22</v>
      </c>
      <c r="Q89" s="51">
        <v>2025.51</v>
      </c>
      <c r="R89" s="51">
        <v>2040.24</v>
      </c>
      <c r="S89" s="51">
        <v>2061.36</v>
      </c>
      <c r="T89" s="157">
        <f>IF((S90=""),"",MAX(C91:S91))</f>
        <v>2094.1999999999998</v>
      </c>
      <c r="U89" s="66">
        <f>IF(S90="","",MIN(C91:S91))</f>
        <v>1948.2600000000002</v>
      </c>
      <c r="V89" s="72">
        <f>IF((S91=""),"",AVERAGE(C91:S91))</f>
        <v>2033.3788235294114</v>
      </c>
      <c r="W89" s="158">
        <f>STDEV(C91:S91)</f>
        <v>35.543918938820013</v>
      </c>
      <c r="X89" s="100">
        <f>IF((S90=""),"",((T89-U89)/(T89+U89))*100)</f>
        <v>3.6101779609445632</v>
      </c>
      <c r="Y89" s="77" t="str">
        <f>IF(S90="","",IF(X89&lt;15,IF(V89&gt;1690,IF(V89&lt;2125,"Pass","Fail"),"Fail"),"Fail"))</f>
        <v>Pass</v>
      </c>
      <c r="Z89" s="159">
        <v>1159</v>
      </c>
      <c r="AA89" s="350"/>
      <c r="AC89" s="134">
        <v>1600</v>
      </c>
      <c r="AD89" s="134">
        <v>2600</v>
      </c>
      <c r="AE89" s="160">
        <v>1690</v>
      </c>
      <c r="AF89" s="160">
        <v>2125</v>
      </c>
      <c r="AG89" s="156">
        <v>15</v>
      </c>
      <c r="AH89" s="156">
        <v>15</v>
      </c>
    </row>
    <row r="90" spans="1:34" ht="16.100000000000001" x14ac:dyDescent="0.35">
      <c r="A90"/>
      <c r="B90" s="66" t="s">
        <v>78</v>
      </c>
      <c r="C90" s="51">
        <v>1074</v>
      </c>
      <c r="D90" s="51">
        <v>1039</v>
      </c>
      <c r="E90" s="51">
        <v>1023</v>
      </c>
      <c r="F90" s="51">
        <v>1011</v>
      </c>
      <c r="G90" s="51">
        <v>1001</v>
      </c>
      <c r="H90" s="51">
        <v>992</v>
      </c>
      <c r="I90" s="51">
        <v>988</v>
      </c>
      <c r="J90" s="51">
        <v>989</v>
      </c>
      <c r="K90" s="51">
        <v>1024</v>
      </c>
      <c r="L90" s="51">
        <v>1052</v>
      </c>
      <c r="M90" s="51">
        <v>1006</v>
      </c>
      <c r="N90" s="51">
        <v>1000</v>
      </c>
      <c r="O90" s="51">
        <v>999</v>
      </c>
      <c r="P90" s="51">
        <v>1002</v>
      </c>
      <c r="Q90" s="51">
        <v>1007</v>
      </c>
      <c r="R90" s="51">
        <v>1017</v>
      </c>
      <c r="S90" s="51">
        <v>1057</v>
      </c>
      <c r="T90" s="162"/>
      <c r="U90" s="163"/>
      <c r="V90" s="163"/>
      <c r="W90" s="158"/>
      <c r="X90" s="330"/>
      <c r="Y90" s="163"/>
      <c r="Z90" s="159"/>
      <c r="AA90" s="350"/>
    </row>
    <row r="91" spans="1:34" ht="58.15" thickBot="1" x14ac:dyDescent="0.4">
      <c r="A91"/>
      <c r="B91" s="79" t="s">
        <v>79</v>
      </c>
      <c r="C91" s="164">
        <f t="shared" ref="C91:S91" si="26">IF(((C89="")*AND(C90="")),"",(C89-C90)*2)</f>
        <v>1948.2600000000002</v>
      </c>
      <c r="D91" s="164">
        <f t="shared" si="26"/>
        <v>1992.6799999999998</v>
      </c>
      <c r="E91" s="164">
        <f t="shared" si="26"/>
        <v>2008.2199999999998</v>
      </c>
      <c r="F91" s="164">
        <f t="shared" si="26"/>
        <v>2012.98</v>
      </c>
      <c r="G91" s="164">
        <f t="shared" si="26"/>
        <v>2026.2399999999998</v>
      </c>
      <c r="H91" s="164">
        <f t="shared" si="26"/>
        <v>2054.06</v>
      </c>
      <c r="I91" s="164">
        <f t="shared" si="26"/>
        <v>2078.02</v>
      </c>
      <c r="J91" s="164">
        <f t="shared" si="26"/>
        <v>2094.1999999999998</v>
      </c>
      <c r="K91" s="164">
        <f t="shared" si="26"/>
        <v>2068.8199999999997</v>
      </c>
      <c r="L91" s="164">
        <f t="shared" si="26"/>
        <v>2008.3199999999997</v>
      </c>
      <c r="M91" s="164">
        <f t="shared" si="26"/>
        <v>2064.94</v>
      </c>
      <c r="N91" s="164">
        <f t="shared" si="26"/>
        <v>2053.62</v>
      </c>
      <c r="O91" s="164">
        <f t="shared" si="26"/>
        <v>2034.42</v>
      </c>
      <c r="P91" s="164">
        <f t="shared" si="26"/>
        <v>2030.44</v>
      </c>
      <c r="Q91" s="164">
        <f t="shared" si="26"/>
        <v>2037.02</v>
      </c>
      <c r="R91" s="164">
        <f t="shared" si="26"/>
        <v>2046.48</v>
      </c>
      <c r="S91" s="165">
        <f t="shared" si="26"/>
        <v>2008.7200000000003</v>
      </c>
      <c r="T91" s="166"/>
      <c r="U91" s="164"/>
      <c r="V91" s="164"/>
      <c r="W91" s="167"/>
      <c r="X91" s="331"/>
      <c r="Y91" s="164"/>
      <c r="Z91" s="168"/>
      <c r="AA91" s="350"/>
    </row>
    <row r="92" spans="1:34" x14ac:dyDescent="0.3">
      <c r="A92" s="320">
        <v>43248</v>
      </c>
      <c r="B92" s="66" t="s">
        <v>77</v>
      </c>
      <c r="C92" s="51">
        <v>2026.18</v>
      </c>
      <c r="D92" s="51">
        <v>2014.76</v>
      </c>
      <c r="E92" s="51">
        <v>2009.89</v>
      </c>
      <c r="F92" s="51">
        <v>2005.79</v>
      </c>
      <c r="G92" s="51">
        <v>2003.8</v>
      </c>
      <c r="H92" s="51">
        <v>2006.5</v>
      </c>
      <c r="I92" s="51">
        <v>2008.14</v>
      </c>
      <c r="J92" s="51">
        <v>2011.34</v>
      </c>
      <c r="K92" s="51">
        <v>2024.56</v>
      </c>
      <c r="L92" s="51">
        <v>2014.14</v>
      </c>
      <c r="M92" s="51">
        <v>2008.94</v>
      </c>
      <c r="N92" s="51">
        <v>2007.02</v>
      </c>
      <c r="O92" s="51">
        <v>2006.09</v>
      </c>
      <c r="P92" s="51">
        <v>2006.16</v>
      </c>
      <c r="Q92" s="51">
        <v>2008.3</v>
      </c>
      <c r="R92" s="51">
        <v>2011.85</v>
      </c>
      <c r="S92" s="51">
        <v>2024.62</v>
      </c>
      <c r="T92" s="157">
        <f>IF((S93=""),"",MAX(C94:S94))</f>
        <v>2045.2399999999998</v>
      </c>
      <c r="U92" s="66">
        <f>IF(S93="","",MIN(C94:S94))</f>
        <v>1967.88</v>
      </c>
      <c r="V92" s="72">
        <f>IF((S94=""),"",AVERAGE(C94:S94))</f>
        <v>2005.3035294117649</v>
      </c>
      <c r="W92" s="158">
        <f>STDEV(C94:S94)</f>
        <v>24.624366220569073</v>
      </c>
      <c r="X92" s="100">
        <f>IF((S93=""),"",((T92-U92)/(T92+U92))*100)</f>
        <v>1.9276772187225819</v>
      </c>
      <c r="Y92" s="77" t="str">
        <f>IF(S93="","",IF(X92&lt;15,IF(V92&gt;1690,IF(V92&lt;2125,"Pass","Fail"),"Fail"),"Fail"))</f>
        <v>Pass</v>
      </c>
      <c r="Z92" s="159">
        <v>1335</v>
      </c>
      <c r="AA92" s="350"/>
      <c r="AC92" s="134">
        <v>1600</v>
      </c>
      <c r="AD92" s="134">
        <v>2600</v>
      </c>
      <c r="AE92" s="160">
        <v>1690</v>
      </c>
      <c r="AF92" s="160">
        <v>2125</v>
      </c>
      <c r="AG92" s="156">
        <v>15</v>
      </c>
      <c r="AH92" s="156">
        <v>15</v>
      </c>
    </row>
    <row r="93" spans="1:34" ht="16.100000000000001" x14ac:dyDescent="0.35">
      <c r="A93"/>
      <c r="B93" s="66" t="s">
        <v>78</v>
      </c>
      <c r="C93" s="51">
        <v>1008</v>
      </c>
      <c r="D93" s="51">
        <v>1018</v>
      </c>
      <c r="E93" s="51">
        <v>1007</v>
      </c>
      <c r="F93" s="51">
        <v>1006</v>
      </c>
      <c r="G93" s="51">
        <v>1013</v>
      </c>
      <c r="H93" s="51">
        <v>1018</v>
      </c>
      <c r="I93" s="51">
        <v>1005</v>
      </c>
      <c r="J93" s="51">
        <v>1000</v>
      </c>
      <c r="K93" s="51">
        <v>1002</v>
      </c>
      <c r="L93" s="51">
        <v>1018</v>
      </c>
      <c r="M93" s="51">
        <v>1025</v>
      </c>
      <c r="N93" s="51">
        <v>1015</v>
      </c>
      <c r="O93" s="51">
        <v>1010</v>
      </c>
      <c r="P93" s="51">
        <v>1012</v>
      </c>
      <c r="Q93" s="51">
        <v>1002</v>
      </c>
      <c r="R93" s="51">
        <v>992</v>
      </c>
      <c r="S93" s="51">
        <v>1002</v>
      </c>
      <c r="T93" s="162"/>
      <c r="U93" s="163"/>
      <c r="V93" s="163"/>
      <c r="W93" s="158"/>
      <c r="X93" s="330"/>
      <c r="Y93" s="163"/>
      <c r="Z93" s="159"/>
      <c r="AA93" s="350"/>
    </row>
    <row r="94" spans="1:34" ht="58.15" thickBot="1" x14ac:dyDescent="0.4">
      <c r="A94"/>
      <c r="B94" s="79" t="s">
        <v>79</v>
      </c>
      <c r="C94" s="164">
        <f t="shared" ref="C94:S94" si="27">IF(((C92="")*AND(C93="")),"",(C92-C93)*2)</f>
        <v>2036.3600000000001</v>
      </c>
      <c r="D94" s="164">
        <f t="shared" si="27"/>
        <v>1993.52</v>
      </c>
      <c r="E94" s="164">
        <f t="shared" si="27"/>
        <v>2005.7800000000002</v>
      </c>
      <c r="F94" s="164">
        <f t="shared" si="27"/>
        <v>1999.58</v>
      </c>
      <c r="G94" s="164">
        <f t="shared" si="27"/>
        <v>1981.6</v>
      </c>
      <c r="H94" s="164">
        <f t="shared" si="27"/>
        <v>1977</v>
      </c>
      <c r="I94" s="164">
        <f t="shared" si="27"/>
        <v>2006.2800000000002</v>
      </c>
      <c r="J94" s="164">
        <f t="shared" si="27"/>
        <v>2022.6799999999998</v>
      </c>
      <c r="K94" s="164">
        <f t="shared" si="27"/>
        <v>2045.12</v>
      </c>
      <c r="L94" s="164">
        <f t="shared" si="27"/>
        <v>1992.2800000000002</v>
      </c>
      <c r="M94" s="164">
        <f t="shared" si="27"/>
        <v>1967.88</v>
      </c>
      <c r="N94" s="164">
        <f t="shared" si="27"/>
        <v>1984.04</v>
      </c>
      <c r="O94" s="164">
        <f t="shared" si="27"/>
        <v>1992.1799999999998</v>
      </c>
      <c r="P94" s="164">
        <f t="shared" si="27"/>
        <v>1988.3200000000002</v>
      </c>
      <c r="Q94" s="164">
        <f t="shared" si="27"/>
        <v>2012.6</v>
      </c>
      <c r="R94" s="164">
        <f t="shared" si="27"/>
        <v>2039.6999999999998</v>
      </c>
      <c r="S94" s="165">
        <f t="shared" si="27"/>
        <v>2045.2399999999998</v>
      </c>
      <c r="T94" s="166"/>
      <c r="U94" s="164"/>
      <c r="V94" s="164"/>
      <c r="W94" s="167"/>
      <c r="X94" s="331"/>
      <c r="Y94" s="164"/>
      <c r="Z94" s="168"/>
      <c r="AA94" s="350"/>
    </row>
    <row r="95" spans="1:34" x14ac:dyDescent="0.3">
      <c r="A95" s="320">
        <v>43251</v>
      </c>
      <c r="B95" s="66" t="s">
        <v>77</v>
      </c>
      <c r="C95" s="51">
        <v>2016.51</v>
      </c>
      <c r="D95" s="51">
        <v>2005.85</v>
      </c>
      <c r="E95" s="51">
        <v>2001.2</v>
      </c>
      <c r="F95" s="51">
        <v>1996.41</v>
      </c>
      <c r="G95" s="51">
        <v>1997.17</v>
      </c>
      <c r="H95" s="51">
        <v>1995.14</v>
      </c>
      <c r="I95" s="51">
        <v>1997.77</v>
      </c>
      <c r="J95" s="51">
        <v>2002.92</v>
      </c>
      <c r="K95" s="51">
        <v>2015.83</v>
      </c>
      <c r="L95" s="51">
        <v>2007.66</v>
      </c>
      <c r="M95" s="51">
        <v>2000.6</v>
      </c>
      <c r="N95" s="51">
        <v>1996.68</v>
      </c>
      <c r="O95" s="51">
        <v>1994.76</v>
      </c>
      <c r="P95" s="51">
        <v>1996.06</v>
      </c>
      <c r="Q95" s="51">
        <v>1998.4</v>
      </c>
      <c r="R95" s="51">
        <v>2004.05</v>
      </c>
      <c r="S95" s="51">
        <v>2016.87</v>
      </c>
      <c r="T95" s="157">
        <f>IF((S96=""),"",MAX(C97:S97))</f>
        <v>2114.08</v>
      </c>
      <c r="U95" s="66">
        <f>IF(S96="","",MIN(C97:S97))</f>
        <v>1961.96</v>
      </c>
      <c r="V95" s="72">
        <f>IF((S97=""),"",AVERAGE(C97:S97))</f>
        <v>2042.0847058823526</v>
      </c>
      <c r="W95" s="158">
        <f>STDEV(C97:S97)</f>
        <v>36.451366592633889</v>
      </c>
      <c r="X95" s="100">
        <f>IF((S96=""),"",((T95-U95)/(T95+U95))*100)</f>
        <v>3.7320536599248264</v>
      </c>
      <c r="Y95" s="77" t="str">
        <f>IF(S96="","",IF(X95&lt;15,IF(V95&gt;1690,IF(V95&lt;2125,"Pass","Fail"),"Fail"),"Fail"))</f>
        <v>Pass</v>
      </c>
      <c r="Z95" s="159"/>
      <c r="AA95" s="350"/>
      <c r="AC95" s="134">
        <v>1600</v>
      </c>
      <c r="AD95" s="134">
        <v>2600</v>
      </c>
      <c r="AE95" s="160">
        <v>1690</v>
      </c>
      <c r="AF95" s="160">
        <v>2125</v>
      </c>
      <c r="AG95" s="156">
        <v>15</v>
      </c>
      <c r="AH95" s="156">
        <v>15</v>
      </c>
    </row>
    <row r="96" spans="1:34" ht="16.100000000000001" x14ac:dyDescent="0.35">
      <c r="A96"/>
      <c r="B96" s="66" t="s">
        <v>78</v>
      </c>
      <c r="C96" s="51">
        <v>1035.53</v>
      </c>
      <c r="D96" s="51">
        <v>1007.46</v>
      </c>
      <c r="E96" s="51">
        <v>1000.9</v>
      </c>
      <c r="F96" s="51">
        <v>991.65</v>
      </c>
      <c r="G96" s="51">
        <v>979.62</v>
      </c>
      <c r="H96" s="51">
        <v>964.31</v>
      </c>
      <c r="I96" s="51">
        <v>952.72</v>
      </c>
      <c r="J96" s="51">
        <v>945.88</v>
      </c>
      <c r="K96" s="51">
        <v>994.48</v>
      </c>
      <c r="L96" s="51">
        <v>976.51</v>
      </c>
      <c r="M96" s="51">
        <v>963.92</v>
      </c>
      <c r="N96" s="51">
        <v>967.89</v>
      </c>
      <c r="O96" s="51">
        <v>975.05</v>
      </c>
      <c r="P96" s="51">
        <v>979.4</v>
      </c>
      <c r="Q96" s="51">
        <v>974.72</v>
      </c>
      <c r="R96" s="51">
        <v>975.22</v>
      </c>
      <c r="S96" s="51">
        <v>1000.9</v>
      </c>
      <c r="T96" s="162"/>
      <c r="U96" s="163"/>
      <c r="V96" s="163"/>
      <c r="W96" s="158"/>
      <c r="X96" s="330"/>
      <c r="Y96" s="163"/>
      <c r="Z96" s="159"/>
      <c r="AA96" s="350"/>
    </row>
    <row r="97" spans="1:34" ht="58.15" thickBot="1" x14ac:dyDescent="0.4">
      <c r="A97"/>
      <c r="B97" s="79" t="s">
        <v>79</v>
      </c>
      <c r="C97" s="164">
        <f t="shared" ref="C97:S97" si="28">IF(((C95="")*AND(C96="")),"",(C95-C96)*2)</f>
        <v>1961.96</v>
      </c>
      <c r="D97" s="164">
        <f t="shared" si="28"/>
        <v>1996.7799999999997</v>
      </c>
      <c r="E97" s="164">
        <f t="shared" si="28"/>
        <v>2000.6000000000001</v>
      </c>
      <c r="F97" s="164">
        <f t="shared" si="28"/>
        <v>2009.5200000000002</v>
      </c>
      <c r="G97" s="164">
        <f t="shared" si="28"/>
        <v>2035.1000000000001</v>
      </c>
      <c r="H97" s="164">
        <f t="shared" si="28"/>
        <v>2061.6600000000003</v>
      </c>
      <c r="I97" s="164">
        <f t="shared" si="28"/>
        <v>2090.1</v>
      </c>
      <c r="J97" s="164">
        <f t="shared" si="28"/>
        <v>2114.08</v>
      </c>
      <c r="K97" s="164">
        <f t="shared" si="28"/>
        <v>2042.6999999999998</v>
      </c>
      <c r="L97" s="164">
        <f t="shared" si="28"/>
        <v>2062.3000000000002</v>
      </c>
      <c r="M97" s="164">
        <f t="shared" si="28"/>
        <v>2073.3599999999997</v>
      </c>
      <c r="N97" s="164">
        <f t="shared" si="28"/>
        <v>2057.58</v>
      </c>
      <c r="O97" s="164">
        <f t="shared" si="28"/>
        <v>2039.42</v>
      </c>
      <c r="P97" s="164">
        <f t="shared" si="28"/>
        <v>2033.32</v>
      </c>
      <c r="Q97" s="164">
        <f t="shared" si="28"/>
        <v>2047.3600000000001</v>
      </c>
      <c r="R97" s="164">
        <f t="shared" si="28"/>
        <v>2057.66</v>
      </c>
      <c r="S97" s="165">
        <f t="shared" si="28"/>
        <v>2031.9399999999998</v>
      </c>
      <c r="T97" s="166"/>
      <c r="U97" s="164"/>
      <c r="V97" s="164"/>
      <c r="W97" s="167"/>
      <c r="X97" s="331"/>
      <c r="Y97" s="164"/>
      <c r="Z97" s="168"/>
      <c r="AA97" s="350"/>
    </row>
    <row r="98" spans="1:34" x14ac:dyDescent="0.3">
      <c r="A98" s="321">
        <v>43255</v>
      </c>
      <c r="B98" s="66" t="s">
        <v>77</v>
      </c>
      <c r="C98" s="51">
        <v>2006.98</v>
      </c>
      <c r="D98" s="51">
        <v>2004.16</v>
      </c>
      <c r="E98" s="51">
        <v>2000.87</v>
      </c>
      <c r="F98" s="51">
        <v>1998.55</v>
      </c>
      <c r="G98" s="51">
        <v>1999.93</v>
      </c>
      <c r="H98" s="51">
        <v>2000.59</v>
      </c>
      <c r="I98" s="51">
        <v>2002.73</v>
      </c>
      <c r="J98" s="51">
        <v>2008.24</v>
      </c>
      <c r="K98" s="51">
        <v>2022.97</v>
      </c>
      <c r="L98" s="51">
        <v>2014.15</v>
      </c>
      <c r="M98" s="51">
        <v>2005.16</v>
      </c>
      <c r="N98" s="51">
        <v>2001.17</v>
      </c>
      <c r="O98" s="51">
        <v>2000.91</v>
      </c>
      <c r="P98" s="51">
        <v>2001.47</v>
      </c>
      <c r="Q98" s="51">
        <v>2005.48</v>
      </c>
      <c r="R98" s="51">
        <v>2008.45</v>
      </c>
      <c r="S98" s="51">
        <v>2026.28</v>
      </c>
      <c r="T98" s="157">
        <f>IF((S99=""),"",MAX(C100:S100))</f>
        <v>2058.48</v>
      </c>
      <c r="U98" s="66">
        <f>IF(S99="","",MIN(C100:S100))</f>
        <v>1919.96</v>
      </c>
      <c r="V98" s="72">
        <f>IF((S100=""),"",AVERAGE(C100:S100))</f>
        <v>1997.3047058823529</v>
      </c>
      <c r="W98" s="158">
        <f>STDEV(C100:S100)</f>
        <v>35.374187290602023</v>
      </c>
      <c r="X98" s="100">
        <f>IF((S99=""),"",((T98-U98)/(T98+U98))*100)</f>
        <v>3.481766722635002</v>
      </c>
      <c r="Y98" s="77" t="str">
        <f>IF(S99="","",IF(X98&lt;15,IF(V98&gt;1690,IF(V98&lt;2125,"Pass","Fail"),"Fail"),"Fail"))</f>
        <v>Pass</v>
      </c>
      <c r="Z98" s="159">
        <v>1335</v>
      </c>
      <c r="AA98" s="350"/>
      <c r="AC98" s="134">
        <v>1600</v>
      </c>
      <c r="AD98" s="134">
        <v>2600</v>
      </c>
      <c r="AE98" s="160">
        <v>1690</v>
      </c>
      <c r="AF98" s="160">
        <v>2125</v>
      </c>
      <c r="AG98" s="156">
        <v>15</v>
      </c>
      <c r="AH98" s="156">
        <v>15</v>
      </c>
    </row>
    <row r="99" spans="1:34" ht="16.100000000000001" x14ac:dyDescent="0.35">
      <c r="A99"/>
      <c r="B99" s="66" t="s">
        <v>78</v>
      </c>
      <c r="C99" s="51">
        <v>1047</v>
      </c>
      <c r="D99" s="51">
        <v>1027</v>
      </c>
      <c r="E99" s="51">
        <v>1018</v>
      </c>
      <c r="F99" s="51">
        <v>1014</v>
      </c>
      <c r="G99" s="51">
        <v>1008</v>
      </c>
      <c r="H99" s="51">
        <v>993</v>
      </c>
      <c r="I99" s="51">
        <v>981</v>
      </c>
      <c r="J99" s="51">
        <v>979</v>
      </c>
      <c r="K99" s="51">
        <v>1007</v>
      </c>
      <c r="L99" s="51">
        <v>1027</v>
      </c>
      <c r="M99" s="51">
        <v>990</v>
      </c>
      <c r="N99" s="51">
        <v>991</v>
      </c>
      <c r="O99" s="51">
        <v>999</v>
      </c>
      <c r="P99" s="51">
        <v>1005</v>
      </c>
      <c r="Q99" s="51">
        <v>1002</v>
      </c>
      <c r="R99" s="51">
        <v>1005</v>
      </c>
      <c r="S99" s="51">
        <v>1038</v>
      </c>
      <c r="T99" s="162"/>
      <c r="U99" s="163"/>
      <c r="V99" s="163"/>
      <c r="W99" s="158"/>
      <c r="X99" s="330"/>
      <c r="Y99" s="163"/>
      <c r="Z99" s="159"/>
      <c r="AA99" s="350"/>
    </row>
    <row r="100" spans="1:34" ht="58.15" thickBot="1" x14ac:dyDescent="0.4">
      <c r="A100"/>
      <c r="B100" s="79" t="s">
        <v>79</v>
      </c>
      <c r="C100" s="164">
        <f t="shared" ref="C100:S100" si="29">IF(((C98="")*AND(C99="")),"",(C98-C99)*2)</f>
        <v>1919.96</v>
      </c>
      <c r="D100" s="164">
        <f t="shared" si="29"/>
        <v>1954.3200000000002</v>
      </c>
      <c r="E100" s="164">
        <f t="shared" si="29"/>
        <v>1965.7399999999998</v>
      </c>
      <c r="F100" s="164">
        <f t="shared" si="29"/>
        <v>1969.1</v>
      </c>
      <c r="G100" s="164">
        <f t="shared" si="29"/>
        <v>1983.8600000000001</v>
      </c>
      <c r="H100" s="164">
        <f t="shared" si="29"/>
        <v>2015.1799999999998</v>
      </c>
      <c r="I100" s="164">
        <f t="shared" si="29"/>
        <v>2043.46</v>
      </c>
      <c r="J100" s="164">
        <f t="shared" si="29"/>
        <v>2058.48</v>
      </c>
      <c r="K100" s="164">
        <f t="shared" si="29"/>
        <v>2031.94</v>
      </c>
      <c r="L100" s="164">
        <f t="shared" si="29"/>
        <v>1974.3000000000002</v>
      </c>
      <c r="M100" s="164">
        <f t="shared" si="29"/>
        <v>2030.3200000000002</v>
      </c>
      <c r="N100" s="164">
        <f t="shared" si="29"/>
        <v>2020.3400000000001</v>
      </c>
      <c r="O100" s="164">
        <f t="shared" si="29"/>
        <v>2003.8200000000002</v>
      </c>
      <c r="P100" s="164">
        <f t="shared" si="29"/>
        <v>1992.94</v>
      </c>
      <c r="Q100" s="164">
        <f t="shared" si="29"/>
        <v>2006.96</v>
      </c>
      <c r="R100" s="164">
        <f t="shared" si="29"/>
        <v>2006.9</v>
      </c>
      <c r="S100" s="165">
        <f t="shared" si="29"/>
        <v>1976.56</v>
      </c>
      <c r="T100" s="166"/>
      <c r="U100" s="164"/>
      <c r="V100" s="164"/>
      <c r="W100" s="167"/>
      <c r="X100" s="331"/>
      <c r="Y100" s="164"/>
      <c r="Z100" s="168"/>
      <c r="AA100" s="350"/>
    </row>
    <row r="101" spans="1:34" x14ac:dyDescent="0.3">
      <c r="A101" s="321">
        <v>43258</v>
      </c>
      <c r="B101" s="66" t="s">
        <v>77</v>
      </c>
      <c r="C101" s="51">
        <v>1989.03</v>
      </c>
      <c r="D101" s="51">
        <v>1983.32</v>
      </c>
      <c r="E101" s="51">
        <v>1979.75</v>
      </c>
      <c r="F101" s="51">
        <v>1977.11</v>
      </c>
      <c r="G101" s="51">
        <v>1978.25</v>
      </c>
      <c r="H101" s="51">
        <v>1978.47</v>
      </c>
      <c r="I101" s="51">
        <v>1980.69</v>
      </c>
      <c r="J101" s="51">
        <v>1984.74</v>
      </c>
      <c r="K101" s="51">
        <v>1998.52</v>
      </c>
      <c r="L101" s="51">
        <v>1994.2</v>
      </c>
      <c r="M101" s="51">
        <v>1983.15</v>
      </c>
      <c r="N101" s="51">
        <v>1980.24</v>
      </c>
      <c r="O101" s="51">
        <v>1977.2</v>
      </c>
      <c r="P101" s="51">
        <v>1978.96</v>
      </c>
      <c r="Q101" s="51">
        <v>1980.67</v>
      </c>
      <c r="R101" s="51">
        <v>1987.9</v>
      </c>
      <c r="S101" s="51">
        <v>2005.32</v>
      </c>
      <c r="T101" s="157">
        <f>IF((S102=""),"",MAX(C103:S103))</f>
        <v>2164.6800000000003</v>
      </c>
      <c r="U101" s="66">
        <f>IF(S102="","",MIN(C103:S103))</f>
        <v>1978.04</v>
      </c>
      <c r="V101" s="72">
        <f>IF((S103=""),"",AVERAGE(C103:S103))</f>
        <v>2072.185882352941</v>
      </c>
      <c r="W101" s="158">
        <f>STDEV(C103:S103)</f>
        <v>47.757801857238981</v>
      </c>
      <c r="X101" s="100">
        <f>IF((S102=""),"",((T101-U101)/(T101+U101))*100)</f>
        <v>4.5052525876718752</v>
      </c>
      <c r="Y101" s="77" t="str">
        <f>IF(S102="","",IF(X101&lt;15,IF(V101&gt;1690,IF(V101&lt;2125,"Pass","Fail"),"Fail"),"Fail"))</f>
        <v>Pass</v>
      </c>
      <c r="Z101" s="159">
        <v>1335</v>
      </c>
      <c r="AA101" s="350"/>
      <c r="AC101" s="134">
        <v>1600</v>
      </c>
      <c r="AD101" s="134">
        <v>2600</v>
      </c>
      <c r="AE101" s="160">
        <v>1690</v>
      </c>
      <c r="AF101" s="160">
        <v>2125</v>
      </c>
      <c r="AG101" s="156">
        <v>15</v>
      </c>
      <c r="AH101" s="156">
        <v>15</v>
      </c>
    </row>
    <row r="102" spans="1:34" ht="16.100000000000001" x14ac:dyDescent="0.35">
      <c r="A102"/>
      <c r="B102" s="66" t="s">
        <v>78</v>
      </c>
      <c r="C102" s="51">
        <v>1000.01</v>
      </c>
      <c r="D102" s="51">
        <v>978.56</v>
      </c>
      <c r="E102" s="51">
        <v>970.6</v>
      </c>
      <c r="F102" s="51">
        <v>962.4</v>
      </c>
      <c r="G102" s="51">
        <v>949.1</v>
      </c>
      <c r="H102" s="51">
        <v>932.53</v>
      </c>
      <c r="I102" s="51">
        <v>915.99</v>
      </c>
      <c r="J102" s="51">
        <v>902.4</v>
      </c>
      <c r="K102" s="51">
        <v>929.32</v>
      </c>
      <c r="L102" s="51">
        <v>951.9</v>
      </c>
      <c r="M102" s="51">
        <v>934.06</v>
      </c>
      <c r="N102" s="51">
        <v>937.69</v>
      </c>
      <c r="O102" s="51">
        <v>945.71</v>
      </c>
      <c r="P102" s="51">
        <v>947.85</v>
      </c>
      <c r="Q102" s="51">
        <v>942.88</v>
      </c>
      <c r="R102" s="51">
        <v>941.71</v>
      </c>
      <c r="S102" s="51">
        <v>981.23</v>
      </c>
      <c r="T102" s="162"/>
      <c r="U102" s="163"/>
      <c r="V102" s="163"/>
      <c r="W102" s="158"/>
      <c r="X102" s="330"/>
      <c r="Y102" s="163"/>
      <c r="Z102" s="159"/>
      <c r="AA102" s="350"/>
    </row>
    <row r="103" spans="1:34" ht="58.15" thickBot="1" x14ac:dyDescent="0.4">
      <c r="A103"/>
      <c r="B103" s="79" t="s">
        <v>79</v>
      </c>
      <c r="C103" s="164">
        <f t="shared" ref="C103:S103" si="30">IF(((C101="")*AND(C102="")),"",(C101-C102)*2)</f>
        <v>1978.04</v>
      </c>
      <c r="D103" s="164">
        <f t="shared" si="30"/>
        <v>2009.52</v>
      </c>
      <c r="E103" s="164">
        <f t="shared" si="30"/>
        <v>2018.3</v>
      </c>
      <c r="F103" s="164">
        <f t="shared" si="30"/>
        <v>2029.4199999999998</v>
      </c>
      <c r="G103" s="164">
        <f t="shared" si="30"/>
        <v>2058.3000000000002</v>
      </c>
      <c r="H103" s="164">
        <f t="shared" si="30"/>
        <v>2091.88</v>
      </c>
      <c r="I103" s="164">
        <f t="shared" si="30"/>
        <v>2129.4</v>
      </c>
      <c r="J103" s="164">
        <f t="shared" si="30"/>
        <v>2164.6800000000003</v>
      </c>
      <c r="K103" s="164">
        <f t="shared" si="30"/>
        <v>2138.3999999999996</v>
      </c>
      <c r="L103" s="164">
        <f t="shared" si="30"/>
        <v>2084.6000000000004</v>
      </c>
      <c r="M103" s="164">
        <f t="shared" si="30"/>
        <v>2098.1800000000003</v>
      </c>
      <c r="N103" s="164">
        <f t="shared" si="30"/>
        <v>2085.1</v>
      </c>
      <c r="O103" s="164">
        <f t="shared" si="30"/>
        <v>2062.98</v>
      </c>
      <c r="P103" s="164">
        <f t="shared" si="30"/>
        <v>2062.2200000000003</v>
      </c>
      <c r="Q103" s="164">
        <f t="shared" si="30"/>
        <v>2075.58</v>
      </c>
      <c r="R103" s="164">
        <f t="shared" si="30"/>
        <v>2092.38</v>
      </c>
      <c r="S103" s="165">
        <f t="shared" si="30"/>
        <v>2048.1799999999998</v>
      </c>
      <c r="T103" s="166"/>
      <c r="U103" s="164"/>
      <c r="V103" s="164"/>
      <c r="W103" s="167"/>
      <c r="X103" s="331"/>
      <c r="Y103" s="164"/>
      <c r="Z103" s="168"/>
      <c r="AA103" s="350"/>
    </row>
    <row r="104" spans="1:34" x14ac:dyDescent="0.3">
      <c r="A104" s="321">
        <v>43262</v>
      </c>
      <c r="B104" s="66" t="s">
        <v>77</v>
      </c>
      <c r="C104" s="51">
        <v>1993.82</v>
      </c>
      <c r="D104" s="51">
        <v>1990.88</v>
      </c>
      <c r="E104" s="51">
        <v>1986.95</v>
      </c>
      <c r="F104" s="51">
        <v>1986.4</v>
      </c>
      <c r="G104" s="51">
        <v>1986.02</v>
      </c>
      <c r="H104" s="51">
        <v>1984.42</v>
      </c>
      <c r="I104" s="51">
        <v>1990.71</v>
      </c>
      <c r="J104" s="51">
        <v>1994.33</v>
      </c>
      <c r="K104" s="51">
        <v>2001.31</v>
      </c>
      <c r="L104" s="51">
        <v>1998.32</v>
      </c>
      <c r="M104" s="51">
        <v>1991.56</v>
      </c>
      <c r="N104" s="51">
        <v>1987</v>
      </c>
      <c r="O104" s="51">
        <v>1985.36</v>
      </c>
      <c r="P104" s="51">
        <v>1987.34</v>
      </c>
      <c r="Q104" s="51">
        <v>1991.4</v>
      </c>
      <c r="R104" s="51">
        <v>1996.74</v>
      </c>
      <c r="S104" s="51">
        <v>2011.41</v>
      </c>
      <c r="T104" s="157">
        <f>IF((S105=""),"",MAX(C106:S106))</f>
        <v>2117.8199999999997</v>
      </c>
      <c r="U104" s="66">
        <f>IF(S105="","",MIN(C106:S106))</f>
        <v>1964.12</v>
      </c>
      <c r="V104" s="72">
        <f>IF((S106=""),"",AVERAGE(C106:S106))</f>
        <v>2046.1976470588236</v>
      </c>
      <c r="W104" s="158">
        <f>STDEV(C106:S106)</f>
        <v>40.50568841678465</v>
      </c>
      <c r="X104" s="100">
        <f>IF((S105=""),"",((T104-U104)/(T104+U104))*100)</f>
        <v>3.7653664679049625</v>
      </c>
      <c r="Y104" s="77" t="str">
        <f>IF(S105="","",IF(X104&lt;15,IF(V104&gt;1690,IF(V104&lt;2125,"Pass","Fail"),"Fail"),"Fail"))</f>
        <v>Pass</v>
      </c>
      <c r="Z104" s="159">
        <v>1159</v>
      </c>
      <c r="AA104" s="188" t="s">
        <v>87</v>
      </c>
      <c r="AC104" s="134">
        <v>1600</v>
      </c>
      <c r="AD104" s="134">
        <v>2600</v>
      </c>
      <c r="AE104" s="160">
        <v>1690</v>
      </c>
      <c r="AF104" s="160">
        <v>2125</v>
      </c>
      <c r="AG104" s="156">
        <v>15</v>
      </c>
      <c r="AH104" s="156">
        <v>15</v>
      </c>
    </row>
    <row r="105" spans="1:34" ht="16.100000000000001" x14ac:dyDescent="0.35">
      <c r="A105"/>
      <c r="B105" s="66" t="s">
        <v>78</v>
      </c>
      <c r="C105" s="51">
        <v>1011.76</v>
      </c>
      <c r="D105" s="51">
        <v>995.4</v>
      </c>
      <c r="E105" s="51">
        <v>989.79</v>
      </c>
      <c r="F105" s="51">
        <v>982.89</v>
      </c>
      <c r="G105" s="51">
        <v>970.85</v>
      </c>
      <c r="H105" s="51">
        <v>958</v>
      </c>
      <c r="I105" s="51">
        <v>944.02</v>
      </c>
      <c r="J105" s="51">
        <v>935.42</v>
      </c>
      <c r="K105" s="51">
        <v>959.28</v>
      </c>
      <c r="L105" s="51">
        <v>966.98</v>
      </c>
      <c r="M105" s="51">
        <v>954.24</v>
      </c>
      <c r="N105" s="51">
        <v>959.33</v>
      </c>
      <c r="O105" s="51">
        <v>966.32</v>
      </c>
      <c r="P105" s="51">
        <v>971.15</v>
      </c>
      <c r="Q105" s="51">
        <v>968.7</v>
      </c>
      <c r="R105" s="51">
        <v>969.16</v>
      </c>
      <c r="S105" s="51">
        <v>968</v>
      </c>
      <c r="T105" s="162"/>
      <c r="U105" s="163"/>
      <c r="V105" s="163"/>
      <c r="W105" s="158"/>
      <c r="X105" s="330"/>
      <c r="Y105" s="163"/>
      <c r="Z105" s="159"/>
      <c r="AA105" s="350"/>
      <c r="AE105" s="160"/>
      <c r="AF105" s="160"/>
      <c r="AG105" s="156"/>
      <c r="AH105" s="156"/>
    </row>
    <row r="106" spans="1:34" ht="58.15" thickBot="1" x14ac:dyDescent="0.4">
      <c r="A106"/>
      <c r="B106" s="79" t="s">
        <v>79</v>
      </c>
      <c r="C106" s="164">
        <f t="shared" ref="C106:S106" si="31">IF(((C104="")*AND(C105="")),"",(C104-C105)*2)</f>
        <v>1964.12</v>
      </c>
      <c r="D106" s="164">
        <f t="shared" si="31"/>
        <v>1990.9600000000003</v>
      </c>
      <c r="E106" s="164">
        <f t="shared" si="31"/>
        <v>1994.3200000000002</v>
      </c>
      <c r="F106" s="164">
        <f t="shared" si="31"/>
        <v>2007.0200000000002</v>
      </c>
      <c r="G106" s="164">
        <f t="shared" si="31"/>
        <v>2030.34</v>
      </c>
      <c r="H106" s="164">
        <f t="shared" si="31"/>
        <v>2052.84</v>
      </c>
      <c r="I106" s="164">
        <f t="shared" si="31"/>
        <v>2093.38</v>
      </c>
      <c r="J106" s="164">
        <f t="shared" si="31"/>
        <v>2117.8199999999997</v>
      </c>
      <c r="K106" s="164">
        <f t="shared" si="31"/>
        <v>2084.06</v>
      </c>
      <c r="L106" s="164">
        <f t="shared" si="31"/>
        <v>2062.6799999999998</v>
      </c>
      <c r="M106" s="164">
        <f t="shared" si="31"/>
        <v>2074.64</v>
      </c>
      <c r="N106" s="164">
        <f t="shared" si="31"/>
        <v>2055.34</v>
      </c>
      <c r="O106" s="164">
        <f t="shared" si="31"/>
        <v>2038.0799999999997</v>
      </c>
      <c r="P106" s="164">
        <f t="shared" si="31"/>
        <v>2032.3799999999999</v>
      </c>
      <c r="Q106" s="164">
        <f t="shared" si="31"/>
        <v>2045.4</v>
      </c>
      <c r="R106" s="164">
        <f t="shared" si="31"/>
        <v>2055.16</v>
      </c>
      <c r="S106" s="165">
        <f t="shared" si="31"/>
        <v>2086.8200000000002</v>
      </c>
      <c r="T106" s="166"/>
      <c r="U106" s="164"/>
      <c r="V106" s="164"/>
      <c r="W106" s="167"/>
      <c r="X106" s="331"/>
      <c r="Y106" s="164"/>
      <c r="Z106" s="168"/>
      <c r="AA106" s="350"/>
      <c r="AE106" s="160"/>
      <c r="AF106" s="160"/>
      <c r="AG106" s="156"/>
      <c r="AH106" s="156"/>
    </row>
    <row r="107" spans="1:34" x14ac:dyDescent="0.3">
      <c r="A107" s="321">
        <v>43272</v>
      </c>
      <c r="B107" s="66" t="s">
        <v>77</v>
      </c>
      <c r="C107" s="51">
        <v>2044.23</v>
      </c>
      <c r="D107" s="51">
        <v>2009.69</v>
      </c>
      <c r="E107" s="51">
        <v>1986.86</v>
      </c>
      <c r="F107" s="51">
        <v>1971.06</v>
      </c>
      <c r="G107" s="51">
        <v>1964.13</v>
      </c>
      <c r="H107" s="51">
        <v>1967.84</v>
      </c>
      <c r="I107" s="51">
        <v>1978.73</v>
      </c>
      <c r="J107" s="51">
        <v>1995.12</v>
      </c>
      <c r="K107" s="51">
        <v>2007.96</v>
      </c>
      <c r="L107" s="51">
        <v>2042.14</v>
      </c>
      <c r="M107" s="51">
        <v>2008.47</v>
      </c>
      <c r="N107" s="51">
        <v>1987.22</v>
      </c>
      <c r="O107" s="51">
        <v>1971.64</v>
      </c>
      <c r="P107" s="51">
        <v>1968.38</v>
      </c>
      <c r="Q107" s="51">
        <v>1980.22</v>
      </c>
      <c r="R107" s="51">
        <v>1994.97</v>
      </c>
      <c r="S107" s="51">
        <v>2008.06</v>
      </c>
      <c r="T107" s="157">
        <f>IF((S108=""),"",MAX(C109:S109))</f>
        <v>2112.2399999999998</v>
      </c>
      <c r="U107" s="66">
        <f>IF(S108="","",MIN(C109:S109))</f>
        <v>1958.46</v>
      </c>
      <c r="V107" s="72">
        <f>IF((S109=""),"",AVERAGE(C109:S109))</f>
        <v>2040.7905882352939</v>
      </c>
      <c r="W107" s="158">
        <f>STDEV(C109:S109)</f>
        <v>36.530545518543128</v>
      </c>
      <c r="X107" s="100">
        <f>IF((S108=""),"",((T107-U107)/(T107+U107))*100)</f>
        <v>3.7777286461787836</v>
      </c>
      <c r="Y107" s="77" t="str">
        <f>IF(S108="","",IF(X107&lt;15,IF(V107&gt;1690,IF(V107&lt;2125,"Pass","Fail"),"Fail"),"Fail"))</f>
        <v>Pass</v>
      </c>
      <c r="Z107" s="159">
        <v>1159</v>
      </c>
      <c r="AA107" s="188" t="s">
        <v>88</v>
      </c>
      <c r="AC107" s="134">
        <v>1600</v>
      </c>
      <c r="AD107" s="134">
        <v>2600</v>
      </c>
      <c r="AE107" s="160">
        <v>1690</v>
      </c>
      <c r="AF107" s="160">
        <v>2125</v>
      </c>
      <c r="AG107" s="156">
        <v>15</v>
      </c>
      <c r="AH107" s="156">
        <v>15</v>
      </c>
    </row>
    <row r="108" spans="1:34" ht="16.100000000000001" x14ac:dyDescent="0.35">
      <c r="A108"/>
      <c r="B108" s="66" t="s">
        <v>78</v>
      </c>
      <c r="C108" s="51">
        <v>1065</v>
      </c>
      <c r="D108" s="51">
        <v>1012</v>
      </c>
      <c r="E108" s="51">
        <v>984</v>
      </c>
      <c r="F108" s="51">
        <v>966</v>
      </c>
      <c r="G108" s="51">
        <v>951</v>
      </c>
      <c r="H108" s="51">
        <v>938</v>
      </c>
      <c r="I108" s="51">
        <v>933</v>
      </c>
      <c r="J108" s="51">
        <v>939</v>
      </c>
      <c r="K108" s="51">
        <v>984</v>
      </c>
      <c r="L108" s="51">
        <v>1026</v>
      </c>
      <c r="M108" s="51">
        <v>974</v>
      </c>
      <c r="N108" s="51">
        <v>957</v>
      </c>
      <c r="O108" s="51">
        <v>951</v>
      </c>
      <c r="P108" s="51">
        <v>949</v>
      </c>
      <c r="Q108" s="51">
        <v>953</v>
      </c>
      <c r="R108" s="51">
        <v>964</v>
      </c>
      <c r="S108" s="51">
        <v>994</v>
      </c>
      <c r="T108" s="162"/>
      <c r="U108" s="163"/>
      <c r="V108" s="163"/>
      <c r="W108" s="158"/>
      <c r="X108" s="330"/>
      <c r="Y108" s="163"/>
      <c r="Z108" s="159"/>
      <c r="AA108" s="350"/>
    </row>
    <row r="109" spans="1:34" ht="58.15" thickBot="1" x14ac:dyDescent="0.4">
      <c r="A109"/>
      <c r="B109" s="79" t="s">
        <v>79</v>
      </c>
      <c r="C109" s="164">
        <f t="shared" ref="C109:S109" si="32">IF(((C107="")*AND(C108="")),"",(C107-C108)*2)</f>
        <v>1958.46</v>
      </c>
      <c r="D109" s="164">
        <f t="shared" si="32"/>
        <v>1995.38</v>
      </c>
      <c r="E109" s="164">
        <f t="shared" si="32"/>
        <v>2005.7199999999998</v>
      </c>
      <c r="F109" s="164">
        <f t="shared" si="32"/>
        <v>2010.12</v>
      </c>
      <c r="G109" s="164">
        <f t="shared" si="32"/>
        <v>2026.2600000000002</v>
      </c>
      <c r="H109" s="164">
        <f t="shared" si="32"/>
        <v>2059.6799999999998</v>
      </c>
      <c r="I109" s="164">
        <f t="shared" si="32"/>
        <v>2091.46</v>
      </c>
      <c r="J109" s="164">
        <f t="shared" si="32"/>
        <v>2112.2399999999998</v>
      </c>
      <c r="K109" s="164">
        <f t="shared" si="32"/>
        <v>2047.92</v>
      </c>
      <c r="L109" s="164">
        <f t="shared" si="32"/>
        <v>2032.2800000000002</v>
      </c>
      <c r="M109" s="164">
        <f t="shared" si="32"/>
        <v>2068.94</v>
      </c>
      <c r="N109" s="164">
        <f t="shared" si="32"/>
        <v>2060.44</v>
      </c>
      <c r="O109" s="164">
        <f t="shared" si="32"/>
        <v>2041.2800000000002</v>
      </c>
      <c r="P109" s="164">
        <f t="shared" si="32"/>
        <v>2038.7600000000002</v>
      </c>
      <c r="Q109" s="164">
        <f t="shared" si="32"/>
        <v>2054.44</v>
      </c>
      <c r="R109" s="164">
        <f t="shared" si="32"/>
        <v>2061.94</v>
      </c>
      <c r="S109" s="165">
        <f t="shared" si="32"/>
        <v>2028.12</v>
      </c>
      <c r="T109" s="166"/>
      <c r="U109" s="164"/>
      <c r="V109" s="164"/>
      <c r="W109" s="167"/>
      <c r="X109" s="331"/>
      <c r="Y109" s="164"/>
      <c r="Z109" s="168"/>
      <c r="AA109" s="350"/>
    </row>
    <row r="110" spans="1:34" x14ac:dyDescent="0.3">
      <c r="A110" s="320">
        <v>43283</v>
      </c>
      <c r="B110" s="66" t="s">
        <v>77</v>
      </c>
      <c r="C110" s="51">
        <v>2049.15</v>
      </c>
      <c r="D110" s="51">
        <v>2038.12</v>
      </c>
      <c r="E110" s="51">
        <v>2026.24</v>
      </c>
      <c r="F110" s="51">
        <v>2018.69</v>
      </c>
      <c r="G110" s="51">
        <v>2015.15</v>
      </c>
      <c r="H110" s="51">
        <v>2020.8</v>
      </c>
      <c r="I110" s="51">
        <v>2028.76</v>
      </c>
      <c r="J110" s="51">
        <v>2040.34</v>
      </c>
      <c r="K110" s="51">
        <v>2058.04</v>
      </c>
      <c r="L110" s="51">
        <v>2058.3200000000002</v>
      </c>
      <c r="M110" s="51">
        <v>2040.69</v>
      </c>
      <c r="N110" s="51">
        <v>2029.26</v>
      </c>
      <c r="O110" s="51">
        <v>2018.44</v>
      </c>
      <c r="P110" s="51">
        <v>2021.1</v>
      </c>
      <c r="Q110" s="51">
        <v>2028.49</v>
      </c>
      <c r="R110" s="51">
        <v>2040.51</v>
      </c>
      <c r="S110" s="51">
        <v>2064.66</v>
      </c>
      <c r="T110" s="157">
        <f>IF((S111=""),"",MAX(C112:S112))</f>
        <v>2116.6799999999998</v>
      </c>
      <c r="U110" s="66">
        <f>IF(S111="","",MIN(C112:S112))</f>
        <v>1944.3000000000002</v>
      </c>
      <c r="V110" s="72">
        <f>IF((S112=""),"",AVERAGE(C112:S112))</f>
        <v>2031.0305882352943</v>
      </c>
      <c r="W110" s="158">
        <f>STDEV(C112:S112)</f>
        <v>42.239434843311393</v>
      </c>
      <c r="X110" s="100">
        <f>IF((S111=""),"",((T110-U110)/(T110+U110))*100)</f>
        <v>4.2447882038325639</v>
      </c>
      <c r="Y110" s="77" t="str">
        <f>IF(S111="","",IF(X110&lt;15,IF(V110&gt;1690,IF(V110&lt;2125,"Pass","Fail"),"Fail"),"Fail"))</f>
        <v>Pass</v>
      </c>
      <c r="Z110" s="159">
        <v>1340</v>
      </c>
      <c r="AA110" s="350"/>
      <c r="AC110" s="134">
        <v>1600</v>
      </c>
      <c r="AD110" s="134">
        <v>2600</v>
      </c>
      <c r="AE110" s="160">
        <v>1690</v>
      </c>
      <c r="AF110" s="160">
        <v>2125</v>
      </c>
      <c r="AG110" s="156">
        <v>15</v>
      </c>
      <c r="AH110" s="156">
        <v>15</v>
      </c>
    </row>
    <row r="111" spans="1:34" ht="16.100000000000001" x14ac:dyDescent="0.35">
      <c r="A111"/>
      <c r="B111" s="66" t="s">
        <v>78</v>
      </c>
      <c r="C111" s="51">
        <v>1077</v>
      </c>
      <c r="D111" s="51">
        <v>1047</v>
      </c>
      <c r="E111" s="51">
        <v>1031</v>
      </c>
      <c r="F111" s="51">
        <v>1019</v>
      </c>
      <c r="G111" s="51">
        <v>1007</v>
      </c>
      <c r="H111" s="51">
        <v>992</v>
      </c>
      <c r="I111" s="51">
        <v>983</v>
      </c>
      <c r="J111" s="51">
        <v>982</v>
      </c>
      <c r="K111" s="51">
        <v>1032</v>
      </c>
      <c r="L111" s="51">
        <v>1060</v>
      </c>
      <c r="M111" s="51">
        <v>1010</v>
      </c>
      <c r="N111" s="51">
        <v>1003</v>
      </c>
      <c r="O111" s="51">
        <v>1004</v>
      </c>
      <c r="P111" s="51">
        <v>1005</v>
      </c>
      <c r="Q111" s="51">
        <v>1006</v>
      </c>
      <c r="R111" s="51">
        <v>1015</v>
      </c>
      <c r="S111" s="51">
        <v>1060</v>
      </c>
      <c r="T111" s="162"/>
      <c r="U111" s="163"/>
      <c r="V111" s="163"/>
      <c r="W111" s="158"/>
      <c r="X111" s="330"/>
      <c r="Y111" s="163"/>
      <c r="Z111" s="159"/>
      <c r="AA111" s="350"/>
    </row>
    <row r="112" spans="1:34" ht="58.15" thickBot="1" x14ac:dyDescent="0.4">
      <c r="A112"/>
      <c r="B112" s="79" t="s">
        <v>79</v>
      </c>
      <c r="C112" s="164">
        <f t="shared" ref="C112:S112" si="33">IF(((C110="")*AND(C111="")),"",(C110-C111)*2)</f>
        <v>1944.3000000000002</v>
      </c>
      <c r="D112" s="164">
        <f t="shared" si="33"/>
        <v>1982.2399999999998</v>
      </c>
      <c r="E112" s="164">
        <f t="shared" si="33"/>
        <v>1990.48</v>
      </c>
      <c r="F112" s="164">
        <f t="shared" si="33"/>
        <v>1999.38</v>
      </c>
      <c r="G112" s="164">
        <f t="shared" si="33"/>
        <v>2016.3000000000002</v>
      </c>
      <c r="H112" s="164">
        <f t="shared" si="33"/>
        <v>2057.6</v>
      </c>
      <c r="I112" s="164">
        <f t="shared" si="33"/>
        <v>2091.52</v>
      </c>
      <c r="J112" s="164">
        <f t="shared" si="33"/>
        <v>2116.6799999999998</v>
      </c>
      <c r="K112" s="164">
        <f t="shared" si="33"/>
        <v>2052.08</v>
      </c>
      <c r="L112" s="164">
        <f t="shared" si="33"/>
        <v>1996.6400000000003</v>
      </c>
      <c r="M112" s="164">
        <f t="shared" si="33"/>
        <v>2061.38</v>
      </c>
      <c r="N112" s="164">
        <f t="shared" si="33"/>
        <v>2052.52</v>
      </c>
      <c r="O112" s="164">
        <f t="shared" si="33"/>
        <v>2028.88</v>
      </c>
      <c r="P112" s="164">
        <f t="shared" si="33"/>
        <v>2032.1999999999998</v>
      </c>
      <c r="Q112" s="164">
        <f t="shared" si="33"/>
        <v>2044.98</v>
      </c>
      <c r="R112" s="164">
        <f t="shared" si="33"/>
        <v>2051.02</v>
      </c>
      <c r="S112" s="165">
        <f t="shared" si="33"/>
        <v>2009.3199999999997</v>
      </c>
      <c r="T112" s="166"/>
      <c r="U112" s="164"/>
      <c r="V112" s="164"/>
      <c r="W112" s="167"/>
      <c r="X112" s="331"/>
      <c r="Y112" s="164"/>
      <c r="Z112" s="168"/>
      <c r="AA112" s="350"/>
    </row>
    <row r="113" spans="1:34" x14ac:dyDescent="0.3">
      <c r="A113" s="320">
        <v>43283</v>
      </c>
      <c r="B113" s="66" t="s">
        <v>77</v>
      </c>
      <c r="C113" s="51">
        <v>1996.82</v>
      </c>
      <c r="D113" s="51">
        <v>1986.01</v>
      </c>
      <c r="E113" s="51">
        <v>1981.13</v>
      </c>
      <c r="F113" s="51">
        <v>1979.17</v>
      </c>
      <c r="G113" s="51">
        <v>1975.86</v>
      </c>
      <c r="H113" s="51">
        <v>1978.19</v>
      </c>
      <c r="I113" s="51">
        <v>1979.13</v>
      </c>
      <c r="J113" s="51">
        <v>1983.67</v>
      </c>
      <c r="K113" s="51">
        <v>2004.11</v>
      </c>
      <c r="L113" s="51">
        <v>1993.8</v>
      </c>
      <c r="M113" s="51">
        <v>1985.39</v>
      </c>
      <c r="N113" s="51">
        <v>1980.49</v>
      </c>
      <c r="O113" s="51">
        <v>1979</v>
      </c>
      <c r="P113" s="51">
        <v>1977.7</v>
      </c>
      <c r="Q113" s="51">
        <v>1978.16</v>
      </c>
      <c r="R113" s="51">
        <v>1984.9</v>
      </c>
      <c r="S113" s="51">
        <v>2004.11</v>
      </c>
      <c r="T113" s="157">
        <f>IF((S114=""),"",MAX(C115:S115))</f>
        <v>2203.2199999999998</v>
      </c>
      <c r="U113" s="66">
        <f>IF(S114="","",MIN(C115:S115))</f>
        <v>1957.6</v>
      </c>
      <c r="V113" s="72">
        <f>IF((S115=""),"",AVERAGE(C115:S115))</f>
        <v>2037.1647058823528</v>
      </c>
      <c r="W113" s="158">
        <f>STDEV(C115:S115)</f>
        <v>68.231932601023303</v>
      </c>
      <c r="X113" s="100">
        <f>IF((S114=""),"",((T113-U113)/(T113+U113))*100)</f>
        <v>5.9031633187688941</v>
      </c>
      <c r="Y113" s="77" t="str">
        <f>IF(S114="","",IF(X113&lt;15,IF(V113&gt;1690,IF(V113&lt;2125,"Pass","Fail"),"Fail"),"Fail"))</f>
        <v>Pass</v>
      </c>
      <c r="Z113" s="159">
        <v>1428</v>
      </c>
      <c r="AA113" s="350"/>
      <c r="AC113" s="134">
        <v>1600</v>
      </c>
      <c r="AD113" s="134">
        <v>2600</v>
      </c>
      <c r="AE113" s="160">
        <v>1690</v>
      </c>
      <c r="AF113" s="160">
        <v>2125</v>
      </c>
      <c r="AG113" s="156">
        <v>15</v>
      </c>
      <c r="AH113" s="156">
        <v>15</v>
      </c>
    </row>
    <row r="114" spans="1:34" ht="16.100000000000001" x14ac:dyDescent="0.35">
      <c r="A114"/>
      <c r="B114" s="66" t="s">
        <v>78</v>
      </c>
      <c r="C114" s="51">
        <v>1007.64</v>
      </c>
      <c r="D114" s="51">
        <v>987.5</v>
      </c>
      <c r="E114" s="51">
        <v>979.5</v>
      </c>
      <c r="F114" s="51">
        <v>969.8</v>
      </c>
      <c r="G114" s="51">
        <v>960.8</v>
      </c>
      <c r="H114" s="51">
        <v>946.7</v>
      </c>
      <c r="I114" s="51">
        <v>929.8</v>
      </c>
      <c r="J114" s="51">
        <v>913.1</v>
      </c>
      <c r="K114" s="51">
        <v>902.5</v>
      </c>
      <c r="L114" s="51">
        <v>947.2</v>
      </c>
      <c r="M114" s="51">
        <v>998.4</v>
      </c>
      <c r="N114" s="51">
        <v>989.6</v>
      </c>
      <c r="O114" s="51">
        <v>1000.2</v>
      </c>
      <c r="P114" s="51">
        <v>978.4</v>
      </c>
      <c r="Q114" s="51">
        <v>996.3</v>
      </c>
      <c r="R114" s="51">
        <v>956.4</v>
      </c>
      <c r="S114" s="51">
        <v>967.9</v>
      </c>
      <c r="T114" s="162"/>
      <c r="U114" s="163"/>
      <c r="V114" s="163"/>
      <c r="W114" s="158"/>
      <c r="X114" s="330"/>
      <c r="Y114" s="163"/>
      <c r="Z114" s="159"/>
      <c r="AA114" s="350"/>
    </row>
    <row r="115" spans="1:34" ht="58.15" thickBot="1" x14ac:dyDescent="0.4">
      <c r="A115"/>
      <c r="B115" s="79" t="s">
        <v>79</v>
      </c>
      <c r="C115" s="164">
        <f t="shared" ref="C115:S115" si="34">IF(((C113="")*AND(C114="")),"",(C113-C114)*2)</f>
        <v>1978.36</v>
      </c>
      <c r="D115" s="164">
        <f t="shared" si="34"/>
        <v>1997.02</v>
      </c>
      <c r="E115" s="164">
        <f t="shared" si="34"/>
        <v>2003.2600000000002</v>
      </c>
      <c r="F115" s="164">
        <f t="shared" si="34"/>
        <v>2018.7400000000002</v>
      </c>
      <c r="G115" s="164">
        <f t="shared" si="34"/>
        <v>2030.12</v>
      </c>
      <c r="H115" s="164">
        <f t="shared" si="34"/>
        <v>2062.98</v>
      </c>
      <c r="I115" s="164">
        <f t="shared" si="34"/>
        <v>2098.6600000000003</v>
      </c>
      <c r="J115" s="164">
        <f t="shared" si="34"/>
        <v>2141.1400000000003</v>
      </c>
      <c r="K115" s="164">
        <f t="shared" si="34"/>
        <v>2203.2199999999998</v>
      </c>
      <c r="L115" s="164">
        <f t="shared" si="34"/>
        <v>2093.1999999999998</v>
      </c>
      <c r="M115" s="164">
        <f t="shared" si="34"/>
        <v>1973.9800000000002</v>
      </c>
      <c r="N115" s="164">
        <f t="shared" si="34"/>
        <v>1981.78</v>
      </c>
      <c r="O115" s="164">
        <f t="shared" si="34"/>
        <v>1957.6</v>
      </c>
      <c r="P115" s="164">
        <f t="shared" si="34"/>
        <v>1998.6000000000001</v>
      </c>
      <c r="Q115" s="164">
        <f t="shared" si="34"/>
        <v>1963.7200000000003</v>
      </c>
      <c r="R115" s="164">
        <f t="shared" si="34"/>
        <v>2057</v>
      </c>
      <c r="S115" s="165">
        <f t="shared" si="34"/>
        <v>2072.42</v>
      </c>
      <c r="T115" s="166"/>
      <c r="U115" s="164"/>
      <c r="V115" s="164"/>
      <c r="W115" s="167"/>
      <c r="X115" s="331"/>
      <c r="Y115" s="164"/>
      <c r="Z115" s="168"/>
      <c r="AA115" s="350"/>
    </row>
    <row r="116" spans="1:34" x14ac:dyDescent="0.3">
      <c r="A116" s="320">
        <v>43294</v>
      </c>
      <c r="B116" s="66" t="s">
        <v>77</v>
      </c>
      <c r="C116" s="51">
        <v>3067</v>
      </c>
      <c r="D116" s="51">
        <v>3055</v>
      </c>
      <c r="E116" s="51">
        <v>3050</v>
      </c>
      <c r="F116" s="51">
        <v>3046</v>
      </c>
      <c r="G116" s="51">
        <v>3045</v>
      </c>
      <c r="H116" s="51">
        <v>3045</v>
      </c>
      <c r="I116" s="51">
        <v>3050</v>
      </c>
      <c r="J116" s="51">
        <v>3057</v>
      </c>
      <c r="K116" s="51">
        <v>3074</v>
      </c>
      <c r="L116" s="51">
        <v>3077</v>
      </c>
      <c r="M116" s="51">
        <v>3057</v>
      </c>
      <c r="N116" s="51">
        <v>3049</v>
      </c>
      <c r="O116" s="51">
        <v>3054</v>
      </c>
      <c r="P116" s="51">
        <v>3047</v>
      </c>
      <c r="Q116" s="51">
        <v>3053</v>
      </c>
      <c r="R116" s="51">
        <v>3063</v>
      </c>
      <c r="S116" s="51">
        <v>3063</v>
      </c>
      <c r="T116" s="157">
        <f>IF((S117=""),"",MAX(C118:S118))</f>
        <v>2176</v>
      </c>
      <c r="U116" s="66">
        <f>IF(S117="","",MIN(C118:S118))</f>
        <v>2008</v>
      </c>
      <c r="V116" s="72">
        <f>IF((S118=""),"",AVERAGE(C118:S118))</f>
        <v>2093.8823529411766</v>
      </c>
      <c r="W116" s="158">
        <f>STDEV(C118:S118)</f>
        <v>42.263876941398152</v>
      </c>
      <c r="X116" s="100">
        <f>IF((S117=""),"",((T116-U116)/(T116+U116))*100)</f>
        <v>4.0152963671128106</v>
      </c>
      <c r="Y116" s="77" t="str">
        <f>IF(S117="","",IF(X116&lt;15,IF(V116&gt;1690,IF(V116&lt;2125,"Pass","Fail"),"Fail"),"Fail"))</f>
        <v>Pass</v>
      </c>
      <c r="Z116" s="159">
        <v>1335</v>
      </c>
      <c r="AA116" s="350"/>
      <c r="AC116" s="134">
        <v>1600</v>
      </c>
      <c r="AD116" s="134">
        <v>2600</v>
      </c>
      <c r="AE116" s="160">
        <v>1690</v>
      </c>
      <c r="AF116" s="160">
        <v>2125</v>
      </c>
      <c r="AG116" s="156">
        <v>15</v>
      </c>
      <c r="AH116" s="156">
        <v>15</v>
      </c>
    </row>
    <row r="117" spans="1:34" ht="16.100000000000001" x14ac:dyDescent="0.35">
      <c r="A117"/>
      <c r="B117" s="66" t="s">
        <v>78</v>
      </c>
      <c r="C117" s="51">
        <v>2063</v>
      </c>
      <c r="D117" s="51">
        <v>2039</v>
      </c>
      <c r="E117" s="51">
        <v>2028</v>
      </c>
      <c r="F117" s="51">
        <v>2020</v>
      </c>
      <c r="G117" s="51">
        <v>2008</v>
      </c>
      <c r="H117" s="51">
        <v>1990</v>
      </c>
      <c r="I117" s="51">
        <v>1975</v>
      </c>
      <c r="J117" s="51">
        <v>1969</v>
      </c>
      <c r="K117" s="51">
        <v>2014</v>
      </c>
      <c r="L117" s="51">
        <v>2029</v>
      </c>
      <c r="M117" s="51">
        <v>1996</v>
      </c>
      <c r="N117" s="51">
        <v>2002</v>
      </c>
      <c r="O117" s="51">
        <v>2005</v>
      </c>
      <c r="P117" s="51">
        <v>2002</v>
      </c>
      <c r="Q117" s="51">
        <v>2005</v>
      </c>
      <c r="R117" s="51">
        <v>2004</v>
      </c>
      <c r="S117" s="51">
        <v>2005</v>
      </c>
      <c r="T117" s="162"/>
      <c r="U117" s="163"/>
      <c r="V117" s="163"/>
      <c r="W117" s="158"/>
      <c r="X117" s="330"/>
      <c r="Y117" s="163"/>
      <c r="Z117" s="159"/>
      <c r="AA117" s="350"/>
    </row>
    <row r="118" spans="1:34" ht="58.15" thickBot="1" x14ac:dyDescent="0.4">
      <c r="A118"/>
      <c r="B118" s="79" t="s">
        <v>79</v>
      </c>
      <c r="C118" s="164">
        <f t="shared" ref="C118:S118" si="35">IF(((C116="")*AND(C117="")),"",(C116-C117)*2)</f>
        <v>2008</v>
      </c>
      <c r="D118" s="164">
        <f t="shared" si="35"/>
        <v>2032</v>
      </c>
      <c r="E118" s="164">
        <f t="shared" si="35"/>
        <v>2044</v>
      </c>
      <c r="F118" s="164">
        <f t="shared" si="35"/>
        <v>2052</v>
      </c>
      <c r="G118" s="164">
        <f t="shared" si="35"/>
        <v>2074</v>
      </c>
      <c r="H118" s="164">
        <f t="shared" si="35"/>
        <v>2110</v>
      </c>
      <c r="I118" s="164">
        <f t="shared" si="35"/>
        <v>2150</v>
      </c>
      <c r="J118" s="164">
        <f t="shared" si="35"/>
        <v>2176</v>
      </c>
      <c r="K118" s="164">
        <f t="shared" si="35"/>
        <v>2120</v>
      </c>
      <c r="L118" s="164">
        <f t="shared" si="35"/>
        <v>2096</v>
      </c>
      <c r="M118" s="164">
        <f t="shared" si="35"/>
        <v>2122</v>
      </c>
      <c r="N118" s="164">
        <f t="shared" si="35"/>
        <v>2094</v>
      </c>
      <c r="O118" s="164">
        <f t="shared" si="35"/>
        <v>2098</v>
      </c>
      <c r="P118" s="164">
        <f t="shared" si="35"/>
        <v>2090</v>
      </c>
      <c r="Q118" s="164">
        <f t="shared" si="35"/>
        <v>2096</v>
      </c>
      <c r="R118" s="164">
        <f t="shared" si="35"/>
        <v>2118</v>
      </c>
      <c r="S118" s="165">
        <f t="shared" si="35"/>
        <v>2116</v>
      </c>
      <c r="T118" s="166"/>
      <c r="U118" s="164"/>
      <c r="V118" s="164"/>
      <c r="W118" s="167"/>
      <c r="X118" s="331"/>
      <c r="Y118" s="164"/>
      <c r="Z118" s="168"/>
      <c r="AA118" s="350"/>
    </row>
    <row r="119" spans="1:34" x14ac:dyDescent="0.3">
      <c r="A119" s="320">
        <v>43300</v>
      </c>
      <c r="B119" s="66" t="s">
        <v>77</v>
      </c>
      <c r="C119" s="51">
        <v>2002</v>
      </c>
      <c r="D119" s="51">
        <v>1984</v>
      </c>
      <c r="E119" s="51">
        <v>1979</v>
      </c>
      <c r="F119" s="51">
        <v>1976</v>
      </c>
      <c r="G119" s="51">
        <v>1975</v>
      </c>
      <c r="H119" s="51">
        <v>1974</v>
      </c>
      <c r="I119" s="51">
        <v>1975</v>
      </c>
      <c r="J119" s="51">
        <v>1979</v>
      </c>
      <c r="K119" s="51">
        <v>1993</v>
      </c>
      <c r="L119" s="51">
        <v>1987</v>
      </c>
      <c r="M119" s="51">
        <v>1978</v>
      </c>
      <c r="N119" s="51">
        <v>1976</v>
      </c>
      <c r="O119" s="51">
        <v>1975</v>
      </c>
      <c r="P119" s="51">
        <v>1975</v>
      </c>
      <c r="Q119" s="51">
        <v>1977</v>
      </c>
      <c r="R119" s="51">
        <v>1980</v>
      </c>
      <c r="S119" s="51">
        <v>1996</v>
      </c>
      <c r="T119" s="157">
        <f>IF((S120=""),"",MAX(C121:S121))</f>
        <v>2106</v>
      </c>
      <c r="U119" s="66">
        <f>IF(S120="","",MIN(C121:S121))</f>
        <v>1962</v>
      </c>
      <c r="V119" s="72">
        <f>IF((S121=""),"",AVERAGE(C121:S121))</f>
        <v>2038.2352941176471</v>
      </c>
      <c r="W119" s="158">
        <f>STDEV(C121:S121)</f>
        <v>40.142759950837814</v>
      </c>
      <c r="X119" s="100">
        <f>IF((S120=""),"",((T119-U119)/(T119+U119))*100)</f>
        <v>3.5398230088495577</v>
      </c>
      <c r="Y119" s="77" t="str">
        <f>IF(S120="","",IF(X119&lt;15,IF(V119&gt;1690,IF(V119&lt;2125,"Pass","Fail"),"Fail"),"Fail"))</f>
        <v>Pass</v>
      </c>
      <c r="Z119" s="159">
        <v>1335</v>
      </c>
      <c r="AA119" s="350"/>
      <c r="AC119" s="134">
        <v>1600</v>
      </c>
      <c r="AD119" s="134">
        <v>2600</v>
      </c>
      <c r="AE119" s="160">
        <v>1690</v>
      </c>
      <c r="AF119" s="160">
        <v>2125</v>
      </c>
      <c r="AG119" s="156">
        <v>15</v>
      </c>
      <c r="AH119" s="156">
        <v>15</v>
      </c>
    </row>
    <row r="120" spans="1:34" ht="16.100000000000001" x14ac:dyDescent="0.35">
      <c r="A120"/>
      <c r="B120" s="66" t="s">
        <v>78</v>
      </c>
      <c r="C120" s="51">
        <v>1021</v>
      </c>
      <c r="D120" s="51">
        <v>988</v>
      </c>
      <c r="E120" s="51">
        <v>979</v>
      </c>
      <c r="F120" s="51">
        <v>972</v>
      </c>
      <c r="G120" s="51">
        <v>961</v>
      </c>
      <c r="H120" s="51">
        <v>947</v>
      </c>
      <c r="I120" s="51">
        <v>933</v>
      </c>
      <c r="J120" s="51">
        <v>926</v>
      </c>
      <c r="K120" s="51">
        <v>951</v>
      </c>
      <c r="L120" s="51">
        <v>961</v>
      </c>
      <c r="M120" s="51">
        <v>967</v>
      </c>
      <c r="N120" s="51">
        <v>943</v>
      </c>
      <c r="O120" s="51">
        <v>948</v>
      </c>
      <c r="P120" s="51">
        <v>956</v>
      </c>
      <c r="Q120" s="51">
        <v>955</v>
      </c>
      <c r="R120" s="51">
        <v>990</v>
      </c>
      <c r="S120" s="51">
        <v>958</v>
      </c>
      <c r="T120" s="162"/>
      <c r="U120" s="163"/>
      <c r="V120" s="163"/>
      <c r="W120" s="158"/>
      <c r="X120" s="330"/>
      <c r="Y120" s="163"/>
      <c r="Z120" s="159"/>
      <c r="AA120" s="350"/>
    </row>
    <row r="121" spans="1:34" ht="58.15" thickBot="1" x14ac:dyDescent="0.4">
      <c r="A121"/>
      <c r="B121" s="79" t="s">
        <v>79</v>
      </c>
      <c r="C121" s="164">
        <f t="shared" ref="C121:S121" si="36">IF(((C119="")*AND(C120="")),"",(C119-C120)*2)</f>
        <v>1962</v>
      </c>
      <c r="D121" s="164">
        <f t="shared" si="36"/>
        <v>1992</v>
      </c>
      <c r="E121" s="164">
        <f t="shared" si="36"/>
        <v>2000</v>
      </c>
      <c r="F121" s="164">
        <f t="shared" si="36"/>
        <v>2008</v>
      </c>
      <c r="G121" s="164">
        <f t="shared" si="36"/>
        <v>2028</v>
      </c>
      <c r="H121" s="164">
        <f t="shared" si="36"/>
        <v>2054</v>
      </c>
      <c r="I121" s="164">
        <f t="shared" si="36"/>
        <v>2084</v>
      </c>
      <c r="J121" s="164">
        <f t="shared" si="36"/>
        <v>2106</v>
      </c>
      <c r="K121" s="164">
        <f t="shared" si="36"/>
        <v>2084</v>
      </c>
      <c r="L121" s="164">
        <f t="shared" si="36"/>
        <v>2052</v>
      </c>
      <c r="M121" s="164">
        <f t="shared" si="36"/>
        <v>2022</v>
      </c>
      <c r="N121" s="164">
        <f t="shared" si="36"/>
        <v>2066</v>
      </c>
      <c r="O121" s="164">
        <f t="shared" si="36"/>
        <v>2054</v>
      </c>
      <c r="P121" s="164">
        <f t="shared" si="36"/>
        <v>2038</v>
      </c>
      <c r="Q121" s="164">
        <f t="shared" si="36"/>
        <v>2044</v>
      </c>
      <c r="R121" s="164">
        <f t="shared" si="36"/>
        <v>1980</v>
      </c>
      <c r="S121" s="165">
        <f t="shared" si="36"/>
        <v>2076</v>
      </c>
      <c r="T121" s="166"/>
      <c r="U121" s="164"/>
      <c r="V121" s="164"/>
      <c r="W121" s="167"/>
      <c r="X121" s="331"/>
      <c r="Y121" s="164"/>
      <c r="Z121" s="168"/>
      <c r="AA121" s="350"/>
    </row>
    <row r="122" spans="1:34" x14ac:dyDescent="0.3">
      <c r="A122" s="321">
        <v>43305</v>
      </c>
      <c r="B122" s="66" t="s">
        <v>77</v>
      </c>
      <c r="C122" s="51">
        <v>2059.35</v>
      </c>
      <c r="D122" s="51">
        <v>2029.83</v>
      </c>
      <c r="E122" s="51">
        <v>2008.67</v>
      </c>
      <c r="F122" s="51">
        <v>1997.54</v>
      </c>
      <c r="G122" s="51">
        <v>1993.19</v>
      </c>
      <c r="H122" s="51">
        <v>2004.39</v>
      </c>
      <c r="I122" s="51">
        <v>2021.64</v>
      </c>
      <c r="J122" s="51">
        <v>2043.27</v>
      </c>
      <c r="K122" s="51">
        <v>2075.39</v>
      </c>
      <c r="L122" s="51">
        <v>2030.66</v>
      </c>
      <c r="M122" s="51">
        <v>2026.88</v>
      </c>
      <c r="N122" s="51">
        <v>2009.88</v>
      </c>
      <c r="O122" s="51">
        <v>1998.27</v>
      </c>
      <c r="P122" s="51">
        <v>1999.06</v>
      </c>
      <c r="Q122" s="51">
        <v>2010.17</v>
      </c>
      <c r="R122" s="51">
        <v>2025.71</v>
      </c>
      <c r="S122" s="51">
        <v>2039.1</v>
      </c>
      <c r="T122" s="157">
        <f>IF((S123=""),"",MAX(C124:S124))</f>
        <v>2106.54</v>
      </c>
      <c r="U122" s="66">
        <f>IF(S123="","",MIN(C124:S124))</f>
        <v>1944.6999999999998</v>
      </c>
      <c r="V122" s="72">
        <f>IF((S124=""),"",AVERAGE(C124:S124))</f>
        <v>2040.4705882352941</v>
      </c>
      <c r="W122" s="158">
        <f>STDEV(C124:S124)</f>
        <v>39.764989071824942</v>
      </c>
      <c r="X122" s="100">
        <f>IF((S123=""),"",((T122-U122)/(T122+U122))*100)</f>
        <v>3.9948262754119765</v>
      </c>
      <c r="Y122" s="77" t="str">
        <f>IF(S123="","",IF(X122&lt;15,IF(V122&gt;1690,IF(V122&lt;2125,"Pass","Fail"),"Fail"),"Fail"))</f>
        <v>Pass</v>
      </c>
      <c r="Z122" s="159">
        <v>1340</v>
      </c>
      <c r="AA122" s="350"/>
      <c r="AC122" s="134">
        <v>1600</v>
      </c>
      <c r="AD122" s="134">
        <v>2600</v>
      </c>
      <c r="AE122" s="160">
        <v>1690</v>
      </c>
      <c r="AF122" s="160">
        <v>2125</v>
      </c>
      <c r="AG122" s="156">
        <v>15</v>
      </c>
      <c r="AH122" s="156">
        <v>15</v>
      </c>
    </row>
    <row r="123" spans="1:34" ht="16.100000000000001" x14ac:dyDescent="0.35">
      <c r="A123"/>
      <c r="B123" s="66" t="s">
        <v>78</v>
      </c>
      <c r="C123" s="51">
        <v>1087</v>
      </c>
      <c r="D123" s="51">
        <v>1034</v>
      </c>
      <c r="E123" s="51">
        <v>1008</v>
      </c>
      <c r="F123" s="51">
        <v>991</v>
      </c>
      <c r="G123" s="51">
        <v>979</v>
      </c>
      <c r="H123" s="51">
        <v>975</v>
      </c>
      <c r="I123" s="51">
        <v>978</v>
      </c>
      <c r="J123" s="51">
        <v>990</v>
      </c>
      <c r="K123" s="51">
        <v>1030</v>
      </c>
      <c r="L123" s="51">
        <v>1012</v>
      </c>
      <c r="M123" s="51">
        <v>990</v>
      </c>
      <c r="N123" s="51">
        <v>982</v>
      </c>
      <c r="O123" s="51">
        <v>978</v>
      </c>
      <c r="P123" s="51">
        <v>982</v>
      </c>
      <c r="Q123" s="51">
        <v>988</v>
      </c>
      <c r="R123" s="51">
        <v>998</v>
      </c>
      <c r="S123" s="51">
        <v>1027</v>
      </c>
      <c r="T123" s="162"/>
      <c r="U123" s="163"/>
      <c r="V123" s="163"/>
      <c r="W123" s="158"/>
      <c r="X123" s="330"/>
      <c r="Y123" s="163"/>
      <c r="Z123" s="159"/>
      <c r="AA123" s="350"/>
    </row>
    <row r="124" spans="1:34" ht="58.15" thickBot="1" x14ac:dyDescent="0.4">
      <c r="A124"/>
      <c r="B124" s="79" t="s">
        <v>79</v>
      </c>
      <c r="C124" s="164">
        <f t="shared" ref="C124:S124" si="37">IF(((C122="")*AND(C123="")),"",(C122-C123)*2)</f>
        <v>1944.6999999999998</v>
      </c>
      <c r="D124" s="164">
        <f t="shared" si="37"/>
        <v>1991.6599999999999</v>
      </c>
      <c r="E124" s="164">
        <f t="shared" si="37"/>
        <v>2001.3400000000001</v>
      </c>
      <c r="F124" s="164">
        <f t="shared" si="37"/>
        <v>2013.08</v>
      </c>
      <c r="G124" s="164">
        <f t="shared" si="37"/>
        <v>2028.38</v>
      </c>
      <c r="H124" s="164">
        <f t="shared" si="37"/>
        <v>2058.7800000000002</v>
      </c>
      <c r="I124" s="164">
        <f t="shared" si="37"/>
        <v>2087.2800000000002</v>
      </c>
      <c r="J124" s="164">
        <f t="shared" si="37"/>
        <v>2106.54</v>
      </c>
      <c r="K124" s="164">
        <f t="shared" si="37"/>
        <v>2090.7799999999997</v>
      </c>
      <c r="L124" s="164">
        <f t="shared" si="37"/>
        <v>2037.3200000000002</v>
      </c>
      <c r="M124" s="164">
        <f t="shared" si="37"/>
        <v>2073.7600000000002</v>
      </c>
      <c r="N124" s="164">
        <f t="shared" si="37"/>
        <v>2055.7600000000002</v>
      </c>
      <c r="O124" s="164">
        <f t="shared" si="37"/>
        <v>2040.54</v>
      </c>
      <c r="P124" s="164">
        <f t="shared" si="37"/>
        <v>2034.12</v>
      </c>
      <c r="Q124" s="164">
        <f t="shared" si="37"/>
        <v>2044.3400000000001</v>
      </c>
      <c r="R124" s="164">
        <f t="shared" si="37"/>
        <v>2055.42</v>
      </c>
      <c r="S124" s="165">
        <f t="shared" si="37"/>
        <v>2024.1999999999998</v>
      </c>
      <c r="T124" s="166"/>
      <c r="U124" s="164"/>
      <c r="V124" s="164"/>
      <c r="W124" s="167"/>
      <c r="X124" s="331"/>
      <c r="Y124" s="164"/>
      <c r="Z124" s="168"/>
      <c r="AA124" s="350"/>
    </row>
    <row r="125" spans="1:34" x14ac:dyDescent="0.3">
      <c r="A125" s="321">
        <v>43308</v>
      </c>
      <c r="B125" s="66" t="s">
        <v>77</v>
      </c>
      <c r="C125" s="51">
        <v>2069.9</v>
      </c>
      <c r="D125" s="51">
        <v>2050.2199999999998</v>
      </c>
      <c r="E125" s="51">
        <v>2033.77</v>
      </c>
      <c r="F125" s="51">
        <v>2025.56</v>
      </c>
      <c r="G125" s="51">
        <v>2024.59</v>
      </c>
      <c r="H125" s="51">
        <v>2029.71</v>
      </c>
      <c r="I125" s="51">
        <v>2043.52</v>
      </c>
      <c r="J125" s="51">
        <v>2061.48</v>
      </c>
      <c r="K125" s="51">
        <v>2082.15</v>
      </c>
      <c r="L125" s="51">
        <v>2051.63</v>
      </c>
      <c r="M125" s="51">
        <v>2044.57</v>
      </c>
      <c r="N125" s="51">
        <v>2034.67</v>
      </c>
      <c r="O125" s="51">
        <v>2027.23</v>
      </c>
      <c r="P125" s="51">
        <v>2028.64</v>
      </c>
      <c r="Q125" s="51">
        <v>2035.24</v>
      </c>
      <c r="R125" s="51">
        <v>2046.43</v>
      </c>
      <c r="S125" s="51">
        <v>2060.0100000000002</v>
      </c>
      <c r="T125" s="157">
        <f>IF((S126=""),"",MAX(C127:S127))</f>
        <v>2129.8000000000002</v>
      </c>
      <c r="U125" s="66">
        <f>IF(S126="","",MIN(C127:S127))</f>
        <v>1984.4399999999996</v>
      </c>
      <c r="V125" s="72">
        <f>IF((S127=""),"",AVERAGE(C127:S127))</f>
        <v>2045.5670588235294</v>
      </c>
      <c r="W125" s="158">
        <f>STDEV(C127:S127)</f>
        <v>37.806347311778573</v>
      </c>
      <c r="X125" s="100">
        <f>IF((S126=""),"",((T125-U125)/(T125+U125))*100)</f>
        <v>3.5330948121645935</v>
      </c>
      <c r="Y125" s="77" t="str">
        <f>IF(S126="","",IF(X125&lt;15,IF(V125&gt;1690,IF(V125&lt;2125,"Pass","Fail"),"Fail"),"Fail"))</f>
        <v>Pass</v>
      </c>
      <c r="Z125" s="159">
        <v>1340</v>
      </c>
      <c r="AA125" s="350"/>
      <c r="AC125" s="134">
        <v>1600</v>
      </c>
      <c r="AD125" s="134">
        <v>2600</v>
      </c>
      <c r="AE125" s="160">
        <v>1690</v>
      </c>
      <c r="AF125" s="160">
        <v>2125</v>
      </c>
      <c r="AG125" s="156">
        <v>15</v>
      </c>
      <c r="AH125" s="156">
        <v>15</v>
      </c>
    </row>
    <row r="126" spans="1:34" ht="16.100000000000001" x14ac:dyDescent="0.35">
      <c r="A126"/>
      <c r="B126" s="66" t="s">
        <v>78</v>
      </c>
      <c r="C126" s="51">
        <v>1005</v>
      </c>
      <c r="D126" s="51">
        <v>1058</v>
      </c>
      <c r="E126" s="51">
        <v>1034</v>
      </c>
      <c r="F126" s="51">
        <v>1021</v>
      </c>
      <c r="G126" s="51">
        <v>1012</v>
      </c>
      <c r="H126" s="51">
        <v>1003</v>
      </c>
      <c r="I126" s="51">
        <v>1002</v>
      </c>
      <c r="J126" s="51">
        <v>1011</v>
      </c>
      <c r="K126" s="51">
        <v>1052</v>
      </c>
      <c r="L126" s="51">
        <v>1031</v>
      </c>
      <c r="M126" s="51">
        <v>1011</v>
      </c>
      <c r="N126" s="51">
        <v>1006</v>
      </c>
      <c r="O126" s="51">
        <v>1007</v>
      </c>
      <c r="P126" s="51">
        <v>1011</v>
      </c>
      <c r="Q126" s="51">
        <v>1013</v>
      </c>
      <c r="R126" s="51">
        <v>1022</v>
      </c>
      <c r="S126" s="51">
        <v>1063</v>
      </c>
      <c r="T126" s="162"/>
      <c r="U126" s="163"/>
      <c r="V126" s="163"/>
      <c r="W126" s="158"/>
      <c r="X126" s="330"/>
      <c r="Y126" s="163"/>
      <c r="Z126" s="159"/>
      <c r="AA126" s="350"/>
    </row>
    <row r="127" spans="1:34" ht="58.15" thickBot="1" x14ac:dyDescent="0.4">
      <c r="A127"/>
      <c r="B127" s="79" t="s">
        <v>79</v>
      </c>
      <c r="C127" s="164">
        <f t="shared" ref="C127:S127" si="38">IF(((C125="")*AND(C126="")),"",(C125-C126)*2)</f>
        <v>2129.8000000000002</v>
      </c>
      <c r="D127" s="164">
        <f t="shared" si="38"/>
        <v>1984.4399999999996</v>
      </c>
      <c r="E127" s="164">
        <f t="shared" si="38"/>
        <v>1999.54</v>
      </c>
      <c r="F127" s="164">
        <f t="shared" si="38"/>
        <v>2009.12</v>
      </c>
      <c r="G127" s="164">
        <f t="shared" si="38"/>
        <v>2025.1799999999998</v>
      </c>
      <c r="H127" s="164">
        <f t="shared" si="38"/>
        <v>2053.42</v>
      </c>
      <c r="I127" s="164">
        <f t="shared" si="38"/>
        <v>2083.04</v>
      </c>
      <c r="J127" s="164">
        <f t="shared" si="38"/>
        <v>2100.96</v>
      </c>
      <c r="K127" s="164">
        <f t="shared" si="38"/>
        <v>2060.3000000000002</v>
      </c>
      <c r="L127" s="164">
        <f t="shared" si="38"/>
        <v>2041.2600000000002</v>
      </c>
      <c r="M127" s="164">
        <f t="shared" si="38"/>
        <v>2067.14</v>
      </c>
      <c r="N127" s="164">
        <f t="shared" si="38"/>
        <v>2057.34</v>
      </c>
      <c r="O127" s="164">
        <f t="shared" si="38"/>
        <v>2040.46</v>
      </c>
      <c r="P127" s="164">
        <f t="shared" si="38"/>
        <v>2035.2800000000002</v>
      </c>
      <c r="Q127" s="164">
        <f t="shared" si="38"/>
        <v>2044.48</v>
      </c>
      <c r="R127" s="164">
        <f t="shared" si="38"/>
        <v>2048.86</v>
      </c>
      <c r="S127" s="165">
        <f t="shared" si="38"/>
        <v>1994.0200000000004</v>
      </c>
      <c r="T127" s="166"/>
      <c r="U127" s="164"/>
      <c r="V127" s="164"/>
      <c r="W127" s="167"/>
      <c r="X127" s="331"/>
      <c r="Y127" s="164"/>
      <c r="Z127" s="168"/>
      <c r="AA127" s="350"/>
    </row>
    <row r="128" spans="1:34" x14ac:dyDescent="0.3">
      <c r="A128" s="320">
        <v>43314</v>
      </c>
      <c r="B128" s="66" t="s">
        <v>77</v>
      </c>
      <c r="C128" s="51">
        <v>2049.15</v>
      </c>
      <c r="D128" s="51">
        <v>2038.12</v>
      </c>
      <c r="E128" s="51">
        <v>2026.24</v>
      </c>
      <c r="F128" s="51">
        <v>2018.69</v>
      </c>
      <c r="G128" s="51">
        <v>2015.15</v>
      </c>
      <c r="H128" s="51">
        <v>2020.8</v>
      </c>
      <c r="I128" s="51">
        <v>2028.76</v>
      </c>
      <c r="J128" s="51">
        <v>2040.34</v>
      </c>
      <c r="K128" s="51">
        <v>2058.04</v>
      </c>
      <c r="L128" s="51">
        <v>2058.3200000000002</v>
      </c>
      <c r="M128" s="51">
        <v>2040.69</v>
      </c>
      <c r="N128" s="51">
        <v>2029.26</v>
      </c>
      <c r="O128" s="51">
        <v>2018.44</v>
      </c>
      <c r="P128" s="51">
        <v>2021.1</v>
      </c>
      <c r="Q128" s="51">
        <v>2028.49</v>
      </c>
      <c r="R128" s="51">
        <v>2040.51</v>
      </c>
      <c r="S128" s="51">
        <v>2064.66</v>
      </c>
      <c r="T128" s="157">
        <f>IF((S129=""),"",MAX(C130:S130))</f>
        <v>2099.2999999999997</v>
      </c>
      <c r="U128" s="66">
        <f>IF(S129="","",MIN(C130:S130))</f>
        <v>1941.02</v>
      </c>
      <c r="V128" s="72">
        <f>IF((S130=""),"",AVERAGE(C130:S130))</f>
        <v>2033.4211764705885</v>
      </c>
      <c r="W128" s="158">
        <f>STDEV(C130:S130)</f>
        <v>40.803867139395145</v>
      </c>
      <c r="X128" s="100">
        <f>IF((S129=""),"",((T128-U128)/(T128+U128))*100)</f>
        <v>3.9175114842388661</v>
      </c>
      <c r="Y128" s="77" t="str">
        <f>IF(S129="","",IF(X128&lt;15,IF(V128&gt;1690,IF(V128&lt;2125,"Pass","Fail"),"Fail"),"Fail"))</f>
        <v>Pass</v>
      </c>
      <c r="Z128" s="159">
        <v>74</v>
      </c>
      <c r="AA128" s="350"/>
      <c r="AC128" s="134">
        <v>1600</v>
      </c>
      <c r="AD128" s="134">
        <v>2600</v>
      </c>
      <c r="AE128" s="160">
        <v>1690</v>
      </c>
      <c r="AF128" s="160">
        <v>2125</v>
      </c>
      <c r="AG128" s="156">
        <v>15</v>
      </c>
      <c r="AH128" s="156">
        <v>15</v>
      </c>
    </row>
    <row r="129" spans="1:34" ht="16.100000000000001" x14ac:dyDescent="0.35">
      <c r="A129"/>
      <c r="B129" s="66" t="s">
        <v>78</v>
      </c>
      <c r="C129" s="51">
        <v>1078.6400000000001</v>
      </c>
      <c r="D129" s="51">
        <v>1044.72</v>
      </c>
      <c r="E129" s="51">
        <v>1031.69</v>
      </c>
      <c r="F129" s="51">
        <v>1022</v>
      </c>
      <c r="G129" s="51">
        <v>1010.88</v>
      </c>
      <c r="H129" s="51">
        <v>1000.48</v>
      </c>
      <c r="I129" s="51">
        <v>992.75</v>
      </c>
      <c r="J129" s="51">
        <v>990.69</v>
      </c>
      <c r="K129" s="51">
        <v>1017.9</v>
      </c>
      <c r="L129" s="51">
        <v>1024.3699999999999</v>
      </c>
      <c r="M129" s="51">
        <v>1004.21</v>
      </c>
      <c r="N129" s="51">
        <v>1003.89</v>
      </c>
      <c r="O129" s="51">
        <v>1007</v>
      </c>
      <c r="P129" s="51">
        <v>1011</v>
      </c>
      <c r="Q129" s="51">
        <v>1011.46</v>
      </c>
      <c r="R129" s="51">
        <v>1015</v>
      </c>
      <c r="S129" s="51">
        <v>1046</v>
      </c>
      <c r="T129" s="162"/>
      <c r="U129" s="163"/>
      <c r="V129" s="163"/>
      <c r="W129" s="158"/>
      <c r="X129" s="330"/>
      <c r="Y129" s="163"/>
      <c r="Z129" s="159"/>
      <c r="AA129" s="350"/>
    </row>
    <row r="130" spans="1:34" ht="58.15" thickBot="1" x14ac:dyDescent="0.4">
      <c r="A130"/>
      <c r="B130" s="79" t="s">
        <v>79</v>
      </c>
      <c r="C130" s="164">
        <f t="shared" ref="C130:S130" si="39">IF(((C128="")*AND(C129="")),"",(C128-C129)*2)</f>
        <v>1941.02</v>
      </c>
      <c r="D130" s="164">
        <f t="shared" si="39"/>
        <v>1986.7999999999997</v>
      </c>
      <c r="E130" s="164">
        <f t="shared" si="39"/>
        <v>1989.1</v>
      </c>
      <c r="F130" s="164">
        <f t="shared" si="39"/>
        <v>1993.38</v>
      </c>
      <c r="G130" s="164">
        <f t="shared" si="39"/>
        <v>2008.5400000000002</v>
      </c>
      <c r="H130" s="164">
        <f t="shared" si="39"/>
        <v>2040.6399999999999</v>
      </c>
      <c r="I130" s="164">
        <f t="shared" si="39"/>
        <v>2072.02</v>
      </c>
      <c r="J130" s="164">
        <f t="shared" si="39"/>
        <v>2099.2999999999997</v>
      </c>
      <c r="K130" s="164">
        <f t="shared" si="39"/>
        <v>2080.2799999999997</v>
      </c>
      <c r="L130" s="164">
        <f t="shared" si="39"/>
        <v>2067.9000000000005</v>
      </c>
      <c r="M130" s="164">
        <f t="shared" si="39"/>
        <v>2072.96</v>
      </c>
      <c r="N130" s="164">
        <f t="shared" si="39"/>
        <v>2050.7399999999998</v>
      </c>
      <c r="O130" s="164">
        <f t="shared" si="39"/>
        <v>2022.88</v>
      </c>
      <c r="P130" s="164">
        <f t="shared" si="39"/>
        <v>2020.1999999999998</v>
      </c>
      <c r="Q130" s="164">
        <f t="shared" si="39"/>
        <v>2034.06</v>
      </c>
      <c r="R130" s="164">
        <f t="shared" si="39"/>
        <v>2051.02</v>
      </c>
      <c r="S130" s="165">
        <f t="shared" si="39"/>
        <v>2037.3199999999997</v>
      </c>
      <c r="T130" s="166"/>
      <c r="U130" s="164"/>
      <c r="V130" s="164"/>
      <c r="W130" s="167"/>
      <c r="X130" s="331"/>
      <c r="Y130" s="164"/>
      <c r="Z130" s="168"/>
      <c r="AA130" s="350"/>
    </row>
    <row r="131" spans="1:34" x14ac:dyDescent="0.3">
      <c r="A131" s="320">
        <v>43318</v>
      </c>
      <c r="B131" s="66" t="s">
        <v>77</v>
      </c>
      <c r="C131" s="51">
        <v>2049.15</v>
      </c>
      <c r="D131" s="51">
        <v>2038.12</v>
      </c>
      <c r="E131" s="51">
        <v>2026.24</v>
      </c>
      <c r="F131" s="51">
        <v>2018.69</v>
      </c>
      <c r="G131" s="51">
        <v>2015.15</v>
      </c>
      <c r="H131" s="51">
        <v>2020.8</v>
      </c>
      <c r="I131" s="51">
        <v>2028.76</v>
      </c>
      <c r="J131" s="51">
        <v>2040.34</v>
      </c>
      <c r="K131" s="51">
        <v>2058.04</v>
      </c>
      <c r="L131" s="51">
        <v>2058.3200000000002</v>
      </c>
      <c r="M131" s="51">
        <v>2040.69</v>
      </c>
      <c r="N131" s="51">
        <v>2029.26</v>
      </c>
      <c r="O131" s="51">
        <v>2018.44</v>
      </c>
      <c r="P131" s="51">
        <v>2021.1</v>
      </c>
      <c r="Q131" s="51">
        <v>2028.49</v>
      </c>
      <c r="R131" s="51">
        <v>2040.51</v>
      </c>
      <c r="S131" s="51">
        <v>2064.66</v>
      </c>
      <c r="T131" s="157">
        <f>IF((S132=""),"",MAX(C133:S133))</f>
        <v>2128.6799999999998</v>
      </c>
      <c r="U131" s="66">
        <f>IF(S132="","",MIN(C133:S133))</f>
        <v>1960.3000000000002</v>
      </c>
      <c r="V131" s="72">
        <f>IF((S133=""),"",AVERAGE(C133:S133))</f>
        <v>2060.5600000000004</v>
      </c>
      <c r="W131" s="158">
        <f>STDEV(C133:S133)</f>
        <v>41.111253325579838</v>
      </c>
      <c r="X131" s="100">
        <f>IF((S132=""),"",((T131-U131)/(T131+U131))*100)</f>
        <v>4.1178973729389643</v>
      </c>
      <c r="Y131" s="77" t="str">
        <f>IF(S132="","",IF(X131&lt;15,IF(V131&gt;1690,IF(V131&lt;2125,"Pass","Fail"),"Fail"),"Fail"))</f>
        <v>Pass</v>
      </c>
      <c r="Z131" s="159">
        <v>74</v>
      </c>
      <c r="AA131" s="188" t="s">
        <v>89</v>
      </c>
      <c r="AC131" s="134">
        <v>1600</v>
      </c>
      <c r="AD131" s="134">
        <v>2600</v>
      </c>
      <c r="AE131" s="160">
        <v>1690</v>
      </c>
      <c r="AF131" s="160">
        <v>2125</v>
      </c>
      <c r="AG131" s="156">
        <v>15</v>
      </c>
      <c r="AH131" s="156">
        <v>15</v>
      </c>
    </row>
    <row r="132" spans="1:34" ht="16.100000000000001" x14ac:dyDescent="0.35">
      <c r="A132"/>
      <c r="B132" s="66" t="s">
        <v>78</v>
      </c>
      <c r="C132" s="51">
        <v>1069</v>
      </c>
      <c r="D132" s="51">
        <v>1031</v>
      </c>
      <c r="E132" s="51">
        <v>1014</v>
      </c>
      <c r="F132" s="51">
        <v>1004</v>
      </c>
      <c r="G132" s="51">
        <v>993</v>
      </c>
      <c r="H132" s="51">
        <v>981</v>
      </c>
      <c r="I132" s="51">
        <v>974</v>
      </c>
      <c r="J132" s="51">
        <v>976</v>
      </c>
      <c r="K132" s="51">
        <v>1026</v>
      </c>
      <c r="L132" s="51">
        <v>1014</v>
      </c>
      <c r="M132" s="51">
        <v>989</v>
      </c>
      <c r="N132" s="51">
        <v>985</v>
      </c>
      <c r="O132" s="51">
        <v>988</v>
      </c>
      <c r="P132" s="51">
        <v>992</v>
      </c>
      <c r="Q132" s="51">
        <v>993</v>
      </c>
      <c r="R132" s="51">
        <v>1002</v>
      </c>
      <c r="S132" s="51">
        <v>1051</v>
      </c>
      <c r="T132" s="162"/>
      <c r="U132" s="163"/>
      <c r="V132" s="163"/>
      <c r="W132" s="158"/>
      <c r="X132" s="330"/>
      <c r="Y132" s="163"/>
      <c r="Z132" s="159"/>
      <c r="AA132" s="350"/>
    </row>
    <row r="133" spans="1:34" ht="58.15" thickBot="1" x14ac:dyDescent="0.4">
      <c r="A133"/>
      <c r="B133" s="79" t="s">
        <v>79</v>
      </c>
      <c r="C133" s="164">
        <f t="shared" ref="C133:S133" si="40">IF(((C131="")*AND(C132="")),"",(C131-C132)*2)</f>
        <v>1960.3000000000002</v>
      </c>
      <c r="D133" s="164">
        <f t="shared" si="40"/>
        <v>2014.2399999999998</v>
      </c>
      <c r="E133" s="164">
        <f t="shared" si="40"/>
        <v>2024.48</v>
      </c>
      <c r="F133" s="164">
        <f t="shared" si="40"/>
        <v>2029.38</v>
      </c>
      <c r="G133" s="164">
        <f t="shared" si="40"/>
        <v>2044.3000000000002</v>
      </c>
      <c r="H133" s="164">
        <f t="shared" si="40"/>
        <v>2079.6</v>
      </c>
      <c r="I133" s="164">
        <f t="shared" si="40"/>
        <v>2109.52</v>
      </c>
      <c r="J133" s="164">
        <f t="shared" si="40"/>
        <v>2128.6799999999998</v>
      </c>
      <c r="K133" s="164">
        <f t="shared" si="40"/>
        <v>2064.08</v>
      </c>
      <c r="L133" s="164">
        <f t="shared" si="40"/>
        <v>2088.6400000000003</v>
      </c>
      <c r="M133" s="164">
        <f t="shared" si="40"/>
        <v>2103.38</v>
      </c>
      <c r="N133" s="164">
        <f t="shared" si="40"/>
        <v>2088.52</v>
      </c>
      <c r="O133" s="164">
        <f t="shared" si="40"/>
        <v>2060.88</v>
      </c>
      <c r="P133" s="164">
        <f t="shared" si="40"/>
        <v>2058.1999999999998</v>
      </c>
      <c r="Q133" s="164">
        <f t="shared" si="40"/>
        <v>2070.98</v>
      </c>
      <c r="R133" s="164">
        <f t="shared" si="40"/>
        <v>2077.02</v>
      </c>
      <c r="S133" s="165">
        <f t="shared" si="40"/>
        <v>2027.3199999999997</v>
      </c>
      <c r="T133" s="166"/>
      <c r="U133" s="164"/>
      <c r="V133" s="164"/>
      <c r="W133" s="167"/>
      <c r="X133" s="331"/>
      <c r="Y133" s="164"/>
      <c r="Z133" s="168"/>
      <c r="AA133" s="350"/>
    </row>
    <row r="134" spans="1:34" x14ac:dyDescent="0.3">
      <c r="A134" s="320">
        <v>43321</v>
      </c>
      <c r="B134" s="66" t="s">
        <v>77</v>
      </c>
      <c r="C134" s="51">
        <v>2097.06</v>
      </c>
      <c r="D134" s="51">
        <v>2084.7600000000002</v>
      </c>
      <c r="E134" s="51">
        <v>2081.94</v>
      </c>
      <c r="F134" s="51">
        <v>2080.06</v>
      </c>
      <c r="G134" s="51">
        <v>2080.62</v>
      </c>
      <c r="H134" s="51">
        <v>2079.94</v>
      </c>
      <c r="I134" s="51">
        <v>2078.9699999999998</v>
      </c>
      <c r="J134" s="51">
        <v>2082.29</v>
      </c>
      <c r="K134" s="51">
        <v>2093.81</v>
      </c>
      <c r="L134" s="51">
        <v>2086.5300000000002</v>
      </c>
      <c r="M134" s="51">
        <v>2080.7800000000002</v>
      </c>
      <c r="N134" s="51">
        <v>2078.06</v>
      </c>
      <c r="O134" s="51">
        <v>2078.35</v>
      </c>
      <c r="P134" s="51">
        <v>2080.79</v>
      </c>
      <c r="Q134" s="51">
        <v>2080.17</v>
      </c>
      <c r="R134" s="51">
        <v>2082.5700000000002</v>
      </c>
      <c r="S134" s="51">
        <v>2092.09</v>
      </c>
      <c r="T134" s="157">
        <f>IF((S135=""),"",MAX(C136:S136))</f>
        <v>2116.94</v>
      </c>
      <c r="U134" s="66">
        <f>IF(S135="","",MIN(C136:S136))</f>
        <v>1990.44</v>
      </c>
      <c r="V134" s="72">
        <f>IF((S136=""),"",AVERAGE(C136:S136))</f>
        <v>2049.6588235294116</v>
      </c>
      <c r="W134" s="158">
        <f>STDEV(C136:S136)</f>
        <v>34.341916421909396</v>
      </c>
      <c r="X134" s="100">
        <f>IF((S135=""),"",((T134-U134)/(T134+U134))*100)</f>
        <v>3.0798221737457938</v>
      </c>
      <c r="Y134" s="77" t="str">
        <f>IF(S135="","",IF(X134&lt;15,IF(V134&gt;1690,IF(V134&lt;2125,"Pass","Fail"),"Fail"),"Fail"))</f>
        <v>Pass</v>
      </c>
      <c r="Z134" s="159">
        <v>1428</v>
      </c>
      <c r="AA134" s="350"/>
      <c r="AC134" s="134">
        <v>1600</v>
      </c>
      <c r="AD134" s="134">
        <v>2600</v>
      </c>
      <c r="AE134" s="160">
        <v>1690</v>
      </c>
      <c r="AF134" s="160">
        <v>2125</v>
      </c>
      <c r="AG134" s="156">
        <v>15</v>
      </c>
      <c r="AH134" s="156">
        <v>15</v>
      </c>
    </row>
    <row r="135" spans="1:34" ht="16.100000000000001" x14ac:dyDescent="0.35">
      <c r="A135"/>
      <c r="B135" s="66" t="s">
        <v>78</v>
      </c>
      <c r="C135" s="51">
        <v>1101.8399999999999</v>
      </c>
      <c r="D135" s="51">
        <v>1081.49</v>
      </c>
      <c r="E135" s="51">
        <v>1076.1099999999999</v>
      </c>
      <c r="F135" s="51">
        <v>1073.43</v>
      </c>
      <c r="G135" s="51">
        <v>1063</v>
      </c>
      <c r="H135" s="51">
        <v>1052.17</v>
      </c>
      <c r="I135" s="51">
        <v>1038.73</v>
      </c>
      <c r="J135" s="51">
        <v>1027.29</v>
      </c>
      <c r="K135" s="51">
        <v>1035.3399999999999</v>
      </c>
      <c r="L135" s="51">
        <v>1050.6400000000001</v>
      </c>
      <c r="M135" s="51">
        <v>1044.52</v>
      </c>
      <c r="N135" s="51">
        <v>1051.58</v>
      </c>
      <c r="O135" s="51">
        <v>1059.8399999999999</v>
      </c>
      <c r="P135" s="51">
        <v>1061.95</v>
      </c>
      <c r="Q135" s="51">
        <v>1056.5899999999999</v>
      </c>
      <c r="R135" s="51">
        <v>1054.51</v>
      </c>
      <c r="S135" s="51">
        <v>1067.6600000000001</v>
      </c>
      <c r="T135" s="162"/>
      <c r="U135" s="163"/>
      <c r="V135" s="163"/>
      <c r="W135" s="158"/>
      <c r="X135" s="330"/>
      <c r="Y135" s="163"/>
      <c r="Z135" s="159"/>
      <c r="AA135" s="350"/>
    </row>
    <row r="136" spans="1:34" ht="58.15" thickBot="1" x14ac:dyDescent="0.4">
      <c r="A136"/>
      <c r="B136" s="79" t="s">
        <v>79</v>
      </c>
      <c r="C136" s="164">
        <f t="shared" ref="C136:S136" si="41">IF(((C134="")*AND(C135="")),"",(C134-C135)*2)</f>
        <v>1990.44</v>
      </c>
      <c r="D136" s="164">
        <f t="shared" si="41"/>
        <v>2006.5400000000004</v>
      </c>
      <c r="E136" s="164">
        <f t="shared" si="41"/>
        <v>2011.6600000000003</v>
      </c>
      <c r="F136" s="164">
        <f t="shared" si="41"/>
        <v>2013.2599999999998</v>
      </c>
      <c r="G136" s="164">
        <f t="shared" si="41"/>
        <v>2035.2399999999998</v>
      </c>
      <c r="H136" s="164">
        <f t="shared" si="41"/>
        <v>2055.54</v>
      </c>
      <c r="I136" s="164">
        <f t="shared" si="41"/>
        <v>2080.4799999999996</v>
      </c>
      <c r="J136" s="164">
        <f t="shared" si="41"/>
        <v>2110</v>
      </c>
      <c r="K136" s="164">
        <f t="shared" si="41"/>
        <v>2116.94</v>
      </c>
      <c r="L136" s="164">
        <f t="shared" si="41"/>
        <v>2071.7800000000002</v>
      </c>
      <c r="M136" s="164">
        <f t="shared" si="41"/>
        <v>2072.5200000000004</v>
      </c>
      <c r="N136" s="164">
        <f t="shared" si="41"/>
        <v>2052.96</v>
      </c>
      <c r="O136" s="164">
        <f t="shared" si="41"/>
        <v>2037.02</v>
      </c>
      <c r="P136" s="164">
        <f t="shared" si="41"/>
        <v>2037.6799999999998</v>
      </c>
      <c r="Q136" s="164">
        <f t="shared" si="41"/>
        <v>2047.1600000000003</v>
      </c>
      <c r="R136" s="164">
        <f t="shared" si="41"/>
        <v>2056.1200000000003</v>
      </c>
      <c r="S136" s="165">
        <f t="shared" si="41"/>
        <v>2048.86</v>
      </c>
      <c r="T136" s="166"/>
      <c r="U136" s="164"/>
      <c r="V136" s="164"/>
      <c r="W136" s="167"/>
      <c r="X136" s="331"/>
      <c r="Y136" s="164"/>
      <c r="Z136" s="168"/>
      <c r="AA136" s="350"/>
    </row>
    <row r="137" spans="1:34" x14ac:dyDescent="0.3">
      <c r="A137" s="320">
        <v>43325</v>
      </c>
      <c r="B137" s="66" t="s">
        <v>77</v>
      </c>
      <c r="C137" s="51">
        <v>2080.66</v>
      </c>
      <c r="D137" s="51">
        <v>2069.66</v>
      </c>
      <c r="E137" s="51">
        <v>2063.39</v>
      </c>
      <c r="F137" s="51">
        <v>2060.5300000000002</v>
      </c>
      <c r="G137" s="51">
        <v>2056.79</v>
      </c>
      <c r="H137" s="51">
        <v>2059.02</v>
      </c>
      <c r="I137" s="51">
        <v>2059.36</v>
      </c>
      <c r="J137" s="51">
        <v>2064.8200000000002</v>
      </c>
      <c r="K137" s="51">
        <v>2076.84</v>
      </c>
      <c r="L137" s="51">
        <v>2067.77</v>
      </c>
      <c r="M137" s="51">
        <v>2063.54</v>
      </c>
      <c r="N137" s="51">
        <v>2059.21</v>
      </c>
      <c r="O137" s="51">
        <v>2057.4</v>
      </c>
      <c r="P137" s="51">
        <v>2058.54</v>
      </c>
      <c r="Q137" s="51">
        <v>2061.5700000000002</v>
      </c>
      <c r="R137" s="51">
        <v>2066.2399999999998</v>
      </c>
      <c r="S137" s="51">
        <v>2076.98</v>
      </c>
      <c r="T137" s="157">
        <f>IF((S138=""),"",MAX(C139:S139))</f>
        <v>2141.6400000000003</v>
      </c>
      <c r="U137" s="66">
        <f>IF(S138="","",MIN(C139:S139))</f>
        <v>1955.3199999999997</v>
      </c>
      <c r="V137" s="72">
        <f>IF((S139=""),"",AVERAGE(C139:S139))</f>
        <v>2065.8023529411762</v>
      </c>
      <c r="W137" s="158">
        <f>STDEV(C139:S139)</f>
        <v>42.513096148335954</v>
      </c>
      <c r="X137" s="100">
        <f>IF((S138=""),"",((T137-U137)/(T137+U137))*100)</f>
        <v>4.547762243224259</v>
      </c>
      <c r="Y137" s="77" t="str">
        <f>IF(S138="","",IF(X137&lt;15,IF(V137&gt;1690,IF(V137&lt;2125,"Pass","Fail"),"Fail"),"Fail"))</f>
        <v>Pass</v>
      </c>
      <c r="Z137" s="159">
        <v>1159</v>
      </c>
      <c r="AA137" s="350"/>
      <c r="AC137" s="134">
        <v>1600</v>
      </c>
      <c r="AD137" s="134">
        <v>2600</v>
      </c>
      <c r="AE137" s="160">
        <v>1690</v>
      </c>
      <c r="AF137" s="160">
        <v>2125</v>
      </c>
      <c r="AG137" s="156">
        <v>15</v>
      </c>
      <c r="AH137" s="156">
        <v>15</v>
      </c>
    </row>
    <row r="138" spans="1:34" ht="16.100000000000001" x14ac:dyDescent="0.35">
      <c r="A138"/>
      <c r="B138" s="66" t="s">
        <v>78</v>
      </c>
      <c r="C138" s="51">
        <v>1103</v>
      </c>
      <c r="D138" s="51">
        <v>1060</v>
      </c>
      <c r="E138" s="51">
        <v>1050</v>
      </c>
      <c r="F138" s="51">
        <v>1041</v>
      </c>
      <c r="G138" s="51">
        <v>1029</v>
      </c>
      <c r="H138" s="51">
        <v>1014</v>
      </c>
      <c r="I138" s="51">
        <v>1000</v>
      </c>
      <c r="J138" s="51">
        <v>994</v>
      </c>
      <c r="K138" s="51">
        <v>1036</v>
      </c>
      <c r="L138" s="51">
        <v>1032</v>
      </c>
      <c r="M138" s="51">
        <v>1013</v>
      </c>
      <c r="N138" s="51">
        <v>1017</v>
      </c>
      <c r="O138" s="51">
        <v>1024</v>
      </c>
      <c r="P138" s="51">
        <v>1028</v>
      </c>
      <c r="Q138" s="51">
        <v>1024</v>
      </c>
      <c r="R138" s="51">
        <v>1022</v>
      </c>
      <c r="S138" s="51">
        <v>1056</v>
      </c>
      <c r="T138" s="162"/>
      <c r="U138" s="163"/>
      <c r="V138" s="163"/>
      <c r="W138" s="158"/>
      <c r="X138" s="330"/>
      <c r="Y138" s="163"/>
      <c r="Z138" s="159"/>
      <c r="AA138" s="350"/>
    </row>
    <row r="139" spans="1:34" ht="58.15" thickBot="1" x14ac:dyDescent="0.4">
      <c r="A139"/>
      <c r="B139" s="79" t="s">
        <v>79</v>
      </c>
      <c r="C139" s="164">
        <f t="shared" ref="C139:S139" si="42">IF(((C137="")*AND(C138="")),"",(C137-C138)*2)</f>
        <v>1955.3199999999997</v>
      </c>
      <c r="D139" s="164">
        <f t="shared" si="42"/>
        <v>2019.3199999999997</v>
      </c>
      <c r="E139" s="164">
        <f t="shared" si="42"/>
        <v>2026.7799999999997</v>
      </c>
      <c r="F139" s="164">
        <f t="shared" si="42"/>
        <v>2039.0600000000004</v>
      </c>
      <c r="G139" s="164">
        <f t="shared" si="42"/>
        <v>2055.58</v>
      </c>
      <c r="H139" s="164">
        <f t="shared" si="42"/>
        <v>2090.04</v>
      </c>
      <c r="I139" s="164">
        <f t="shared" si="42"/>
        <v>2118.7200000000003</v>
      </c>
      <c r="J139" s="164">
        <f t="shared" si="42"/>
        <v>2141.6400000000003</v>
      </c>
      <c r="K139" s="164">
        <f t="shared" si="42"/>
        <v>2081.6800000000003</v>
      </c>
      <c r="L139" s="164">
        <f t="shared" si="42"/>
        <v>2071.54</v>
      </c>
      <c r="M139" s="164">
        <f t="shared" si="42"/>
        <v>2101.08</v>
      </c>
      <c r="N139" s="164">
        <f t="shared" si="42"/>
        <v>2084.42</v>
      </c>
      <c r="O139" s="164">
        <f t="shared" si="42"/>
        <v>2066.8000000000002</v>
      </c>
      <c r="P139" s="164">
        <f t="shared" si="42"/>
        <v>2061.08</v>
      </c>
      <c r="Q139" s="164">
        <f t="shared" si="42"/>
        <v>2075.1400000000003</v>
      </c>
      <c r="R139" s="164">
        <f t="shared" si="42"/>
        <v>2088.4799999999996</v>
      </c>
      <c r="S139" s="165">
        <f t="shared" si="42"/>
        <v>2041.96</v>
      </c>
      <c r="T139" s="166"/>
      <c r="U139" s="164"/>
      <c r="V139" s="164"/>
      <c r="W139" s="167"/>
      <c r="X139" s="331"/>
      <c r="Y139" s="164"/>
      <c r="Z139" s="168"/>
      <c r="AA139" s="350"/>
    </row>
    <row r="140" spans="1:34" x14ac:dyDescent="0.3">
      <c r="A140" s="321">
        <v>43336</v>
      </c>
      <c r="B140" s="66" t="s">
        <v>77</v>
      </c>
      <c r="C140" s="171">
        <v>2055</v>
      </c>
      <c r="D140" s="172">
        <v>2014</v>
      </c>
      <c r="E140" s="172">
        <v>1991</v>
      </c>
      <c r="F140" s="172">
        <v>1978</v>
      </c>
      <c r="G140" s="172">
        <v>1975</v>
      </c>
      <c r="H140" s="172">
        <v>1984</v>
      </c>
      <c r="I140" s="172">
        <v>2001</v>
      </c>
      <c r="J140" s="172">
        <v>2025</v>
      </c>
      <c r="K140" s="172">
        <v>2062</v>
      </c>
      <c r="L140" s="172">
        <v>2020</v>
      </c>
      <c r="M140" s="172">
        <v>2009</v>
      </c>
      <c r="N140" s="172">
        <v>1992</v>
      </c>
      <c r="O140" s="172">
        <v>1980</v>
      </c>
      <c r="P140" s="172">
        <v>1979</v>
      </c>
      <c r="Q140" s="172">
        <v>1990</v>
      </c>
      <c r="R140" s="172">
        <v>2008</v>
      </c>
      <c r="S140" s="172">
        <v>2038</v>
      </c>
      <c r="T140" s="157">
        <f>IF((S141=""),"",MAX(C142:S142))</f>
        <v>2050</v>
      </c>
      <c r="U140" s="66">
        <f>IF(S141="","",MIN(C142:S142))</f>
        <v>1964</v>
      </c>
      <c r="V140" s="72">
        <f>IF((S142=""),"",AVERAGE(C142:S142))</f>
        <v>2012.9411764705883</v>
      </c>
      <c r="W140" s="158">
        <f>STDEV(C142:S142)</f>
        <v>26.010744386299514</v>
      </c>
      <c r="X140" s="100">
        <f>IF((S141=""),"",((T140-U140)/(T140+U140))*100)</f>
        <v>2.142501245640259</v>
      </c>
      <c r="Y140" s="77" t="str">
        <f>IF(S141="","",IF(X140&lt;15,IF(V140&gt;1690,IF(V140&lt;2125,"Pass","Fail"),"Fail"),"Fail"))</f>
        <v>Pass</v>
      </c>
      <c r="Z140" s="159"/>
      <c r="AA140" s="350"/>
      <c r="AB140" s="188" t="s">
        <v>91</v>
      </c>
      <c r="AC140" s="134">
        <v>1600</v>
      </c>
      <c r="AD140" s="134">
        <v>2600</v>
      </c>
      <c r="AE140" s="160">
        <v>1690</v>
      </c>
      <c r="AF140" s="160">
        <v>2125</v>
      </c>
      <c r="AG140" s="156">
        <v>15</v>
      </c>
      <c r="AH140" s="156">
        <v>15</v>
      </c>
    </row>
    <row r="141" spans="1:34" ht="16.100000000000001" x14ac:dyDescent="0.35">
      <c r="A141"/>
      <c r="B141" s="66" t="s">
        <v>78</v>
      </c>
      <c r="C141" s="171">
        <v>1073</v>
      </c>
      <c r="D141" s="172">
        <v>1020</v>
      </c>
      <c r="E141" s="172">
        <v>993</v>
      </c>
      <c r="F141" s="172">
        <v>978</v>
      </c>
      <c r="G141" s="172">
        <v>971</v>
      </c>
      <c r="H141" s="172">
        <v>970</v>
      </c>
      <c r="I141" s="172">
        <v>979</v>
      </c>
      <c r="J141" s="172">
        <v>1000</v>
      </c>
      <c r="K141" s="172">
        <v>1066</v>
      </c>
      <c r="L141" s="172">
        <v>1004</v>
      </c>
      <c r="M141" s="172">
        <v>986</v>
      </c>
      <c r="N141" s="172">
        <v>974</v>
      </c>
      <c r="O141" s="172">
        <v>969</v>
      </c>
      <c r="P141" s="172">
        <v>973</v>
      </c>
      <c r="Q141" s="172">
        <v>981</v>
      </c>
      <c r="R141" s="172">
        <v>999</v>
      </c>
      <c r="S141" s="172">
        <v>1055</v>
      </c>
      <c r="T141" s="162"/>
      <c r="U141" s="163"/>
      <c r="V141" s="163"/>
      <c r="W141" s="158"/>
      <c r="X141" s="330"/>
      <c r="Y141" s="163"/>
      <c r="Z141" s="159"/>
      <c r="AA141" s="350"/>
      <c r="AB141" s="335"/>
    </row>
    <row r="142" spans="1:34" ht="58.15" thickBot="1" x14ac:dyDescent="0.4">
      <c r="A142"/>
      <c r="B142" s="79" t="s">
        <v>79</v>
      </c>
      <c r="C142" s="164">
        <f t="shared" ref="C142:S142" si="43">IF(((C140="")*AND(C141="")),"",(C140-C141)*2)</f>
        <v>1964</v>
      </c>
      <c r="D142" s="164">
        <f t="shared" si="43"/>
        <v>1988</v>
      </c>
      <c r="E142" s="164">
        <f t="shared" si="43"/>
        <v>1996</v>
      </c>
      <c r="F142" s="164">
        <f t="shared" si="43"/>
        <v>2000</v>
      </c>
      <c r="G142" s="164">
        <f t="shared" si="43"/>
        <v>2008</v>
      </c>
      <c r="H142" s="164">
        <f t="shared" si="43"/>
        <v>2028</v>
      </c>
      <c r="I142" s="164">
        <f t="shared" si="43"/>
        <v>2044</v>
      </c>
      <c r="J142" s="164">
        <f t="shared" si="43"/>
        <v>2050</v>
      </c>
      <c r="K142" s="164">
        <f t="shared" si="43"/>
        <v>1992</v>
      </c>
      <c r="L142" s="164">
        <f t="shared" si="43"/>
        <v>2032</v>
      </c>
      <c r="M142" s="164">
        <f t="shared" si="43"/>
        <v>2046</v>
      </c>
      <c r="N142" s="164">
        <f t="shared" si="43"/>
        <v>2036</v>
      </c>
      <c r="O142" s="164">
        <f t="shared" si="43"/>
        <v>2022</v>
      </c>
      <c r="P142" s="164">
        <f t="shared" si="43"/>
        <v>2012</v>
      </c>
      <c r="Q142" s="164">
        <f t="shared" si="43"/>
        <v>2018</v>
      </c>
      <c r="R142" s="164">
        <f t="shared" si="43"/>
        <v>2018</v>
      </c>
      <c r="S142" s="165">
        <f t="shared" si="43"/>
        <v>1966</v>
      </c>
      <c r="T142" s="166"/>
      <c r="U142" s="164"/>
      <c r="V142" s="164"/>
      <c r="W142" s="167"/>
      <c r="X142" s="331"/>
      <c r="Y142" s="164"/>
      <c r="Z142" s="168"/>
      <c r="AA142" s="350"/>
    </row>
    <row r="143" spans="1:34" x14ac:dyDescent="0.3">
      <c r="A143" s="320">
        <v>43340</v>
      </c>
      <c r="B143" s="66" t="s">
        <v>77</v>
      </c>
      <c r="C143" s="171">
        <v>2040</v>
      </c>
      <c r="D143" s="172">
        <v>2015</v>
      </c>
      <c r="E143" s="172">
        <v>1996</v>
      </c>
      <c r="F143" s="172">
        <v>1985</v>
      </c>
      <c r="G143" s="172">
        <v>1979</v>
      </c>
      <c r="H143" s="172">
        <v>1990</v>
      </c>
      <c r="I143" s="172">
        <v>2006</v>
      </c>
      <c r="J143" s="172">
        <v>2028</v>
      </c>
      <c r="K143" s="172">
        <v>2049</v>
      </c>
      <c r="L143" s="172">
        <v>2020</v>
      </c>
      <c r="M143" s="172">
        <v>2010</v>
      </c>
      <c r="N143" s="172">
        <v>1996</v>
      </c>
      <c r="O143" s="172">
        <v>1985</v>
      </c>
      <c r="P143" s="172">
        <v>1987</v>
      </c>
      <c r="Q143" s="172">
        <v>1997</v>
      </c>
      <c r="R143" s="172">
        <v>2011</v>
      </c>
      <c r="S143" s="172">
        <v>2027</v>
      </c>
      <c r="T143" s="157">
        <f>IF((S144=""),"",MAX(C145:S145))</f>
        <v>2060</v>
      </c>
      <c r="U143" s="66">
        <f>IF(S144="","",MIN(C145:S145))</f>
        <v>1948</v>
      </c>
      <c r="V143" s="72">
        <f>IF((S145=""),"",AVERAGE(C145:S145))</f>
        <v>2015.1764705882354</v>
      </c>
      <c r="W143" s="158">
        <f>STDEV(C145:S145)</f>
        <v>28.134132504214627</v>
      </c>
      <c r="X143" s="100">
        <f>IF((S144=""),"",((T143-U143)/(T143+U143))*100)</f>
        <v>2.7944111776447107</v>
      </c>
      <c r="Y143" s="77" t="str">
        <f>IF(S144="","",IF(X143&lt;15,IF(V143&gt;1690,IF(V143&lt;2125,"Pass","Fail"),"Fail"),"Fail"))</f>
        <v>Pass</v>
      </c>
      <c r="Z143" s="159">
        <v>1340</v>
      </c>
      <c r="AA143" s="350"/>
      <c r="AC143" s="134">
        <v>1600</v>
      </c>
      <c r="AD143" s="134">
        <v>2600</v>
      </c>
      <c r="AE143" s="160">
        <v>1690</v>
      </c>
      <c r="AF143" s="160">
        <v>2125</v>
      </c>
      <c r="AG143" s="156">
        <v>15</v>
      </c>
      <c r="AH143" s="156">
        <v>15</v>
      </c>
    </row>
    <row r="144" spans="1:34" ht="16.100000000000001" x14ac:dyDescent="0.35">
      <c r="A144"/>
      <c r="B144" s="66" t="s">
        <v>78</v>
      </c>
      <c r="C144" s="171">
        <v>1066</v>
      </c>
      <c r="D144" s="172">
        <v>1022</v>
      </c>
      <c r="E144" s="172">
        <v>999</v>
      </c>
      <c r="F144" s="172">
        <v>982</v>
      </c>
      <c r="G144" s="172">
        <v>972</v>
      </c>
      <c r="H144" s="172">
        <v>973</v>
      </c>
      <c r="I144" s="172">
        <v>982</v>
      </c>
      <c r="J144" s="172">
        <v>998</v>
      </c>
      <c r="K144" s="172">
        <v>1056</v>
      </c>
      <c r="L144" s="172">
        <v>1010</v>
      </c>
      <c r="M144" s="172">
        <v>988</v>
      </c>
      <c r="N144" s="172">
        <v>978</v>
      </c>
      <c r="O144" s="172">
        <v>973</v>
      </c>
      <c r="P144" s="172">
        <v>977</v>
      </c>
      <c r="Q144" s="172">
        <v>984</v>
      </c>
      <c r="R144" s="172">
        <v>998</v>
      </c>
      <c r="S144" s="172">
        <v>1034</v>
      </c>
      <c r="T144" s="162"/>
      <c r="U144" s="163"/>
      <c r="V144" s="163"/>
      <c r="W144" s="158"/>
      <c r="X144" s="330"/>
      <c r="Y144" s="163"/>
      <c r="Z144" s="159"/>
      <c r="AA144" s="350"/>
    </row>
    <row r="145" spans="1:34" ht="58.15" thickBot="1" x14ac:dyDescent="0.4">
      <c r="A145"/>
      <c r="B145" s="79" t="s">
        <v>79</v>
      </c>
      <c r="C145" s="164">
        <f t="shared" ref="C145:S145" si="44">IF(((C143="")*AND(C144="")),"",(C143-C144)*2)</f>
        <v>1948</v>
      </c>
      <c r="D145" s="164">
        <f t="shared" si="44"/>
        <v>1986</v>
      </c>
      <c r="E145" s="164">
        <f t="shared" si="44"/>
        <v>1994</v>
      </c>
      <c r="F145" s="164">
        <f t="shared" si="44"/>
        <v>2006</v>
      </c>
      <c r="G145" s="164">
        <f t="shared" si="44"/>
        <v>2014</v>
      </c>
      <c r="H145" s="164">
        <f t="shared" si="44"/>
        <v>2034</v>
      </c>
      <c r="I145" s="164">
        <f t="shared" si="44"/>
        <v>2048</v>
      </c>
      <c r="J145" s="164">
        <f t="shared" si="44"/>
        <v>2060</v>
      </c>
      <c r="K145" s="164">
        <f t="shared" si="44"/>
        <v>1986</v>
      </c>
      <c r="L145" s="164">
        <f t="shared" si="44"/>
        <v>2020</v>
      </c>
      <c r="M145" s="164">
        <f t="shared" si="44"/>
        <v>2044</v>
      </c>
      <c r="N145" s="164">
        <f t="shared" si="44"/>
        <v>2036</v>
      </c>
      <c r="O145" s="164">
        <f t="shared" si="44"/>
        <v>2024</v>
      </c>
      <c r="P145" s="164">
        <f t="shared" si="44"/>
        <v>2020</v>
      </c>
      <c r="Q145" s="164">
        <f t="shared" si="44"/>
        <v>2026</v>
      </c>
      <c r="R145" s="164">
        <f t="shared" si="44"/>
        <v>2026</v>
      </c>
      <c r="S145" s="165">
        <f t="shared" si="44"/>
        <v>1986</v>
      </c>
      <c r="T145" s="166"/>
      <c r="U145" s="164"/>
      <c r="V145" s="164"/>
      <c r="W145" s="167"/>
      <c r="X145" s="331"/>
      <c r="Y145" s="164"/>
      <c r="Z145" s="168"/>
      <c r="AA145" s="350"/>
    </row>
    <row r="146" spans="1:34" x14ac:dyDescent="0.3">
      <c r="A146" s="320">
        <v>43344</v>
      </c>
      <c r="B146" s="66" t="s">
        <v>77</v>
      </c>
      <c r="C146" s="51">
        <v>2027.55</v>
      </c>
      <c r="D146" s="51">
        <v>2020.81</v>
      </c>
      <c r="E146" s="51">
        <v>2015.17</v>
      </c>
      <c r="F146" s="51">
        <v>2012.86</v>
      </c>
      <c r="G146" s="51">
        <v>2011.5</v>
      </c>
      <c r="H146" s="51">
        <v>2012.41</v>
      </c>
      <c r="I146" s="51">
        <v>2013.65</v>
      </c>
      <c r="J146" s="51">
        <v>2016.72</v>
      </c>
      <c r="K146" s="51">
        <v>2021.1</v>
      </c>
      <c r="L146" s="51">
        <v>2019.41</v>
      </c>
      <c r="M146" s="51">
        <v>2017.01</v>
      </c>
      <c r="N146" s="51">
        <v>2013.85</v>
      </c>
      <c r="O146" s="51">
        <v>2010.78</v>
      </c>
      <c r="P146" s="51">
        <v>2011.99</v>
      </c>
      <c r="Q146" s="51">
        <v>2014.33</v>
      </c>
      <c r="R146" s="51">
        <v>2018.76</v>
      </c>
      <c r="S146" s="51">
        <v>2021.4</v>
      </c>
      <c r="T146" s="157">
        <f>IF((S147=""),"",MAX(C148:S148))</f>
        <v>2123.44</v>
      </c>
      <c r="U146" s="66">
        <f>IF(S147="","",MIN(C148:S148))</f>
        <v>1949.1</v>
      </c>
      <c r="V146" s="72">
        <f>IF((S148=""),"",AVERAGE(C148:S148))</f>
        <v>2048.9764705882353</v>
      </c>
      <c r="W146" s="158">
        <f>STDEV(C148:S148)</f>
        <v>42.674258772293967</v>
      </c>
      <c r="X146" s="100">
        <f>IF((S147=""),"",((T146-U146)/(T146+U146))*100)</f>
        <v>4.2808664862714707</v>
      </c>
      <c r="Y146" s="77" t="str">
        <f>IF(S147="","",IF(X146&lt;15,IF(V146&gt;1690,IF(V146&lt;2125,"Pass","Fail"),"Fail"),"Fail"))</f>
        <v>Pass</v>
      </c>
      <c r="Z146" s="159">
        <v>1428</v>
      </c>
      <c r="AA146" s="350"/>
      <c r="AC146" s="134">
        <v>1600</v>
      </c>
      <c r="AD146" s="134">
        <v>2600</v>
      </c>
      <c r="AE146" s="160">
        <v>1690</v>
      </c>
      <c r="AF146" s="160">
        <v>2125</v>
      </c>
      <c r="AG146" s="156">
        <v>15</v>
      </c>
      <c r="AH146" s="156">
        <v>15</v>
      </c>
    </row>
    <row r="147" spans="1:34" ht="16.100000000000001" x14ac:dyDescent="0.35">
      <c r="A147"/>
      <c r="B147" s="66" t="s">
        <v>78</v>
      </c>
      <c r="C147" s="51">
        <v>1053</v>
      </c>
      <c r="D147" s="51">
        <v>1023</v>
      </c>
      <c r="E147" s="51">
        <v>1014</v>
      </c>
      <c r="F147" s="51">
        <v>1006</v>
      </c>
      <c r="G147" s="51">
        <v>996</v>
      </c>
      <c r="H147" s="51">
        <v>978</v>
      </c>
      <c r="I147" s="51">
        <v>963</v>
      </c>
      <c r="J147" s="51">
        <v>955</v>
      </c>
      <c r="K147" s="51">
        <v>978</v>
      </c>
      <c r="L147" s="51">
        <v>1001</v>
      </c>
      <c r="M147" s="51">
        <v>980</v>
      </c>
      <c r="N147" s="51">
        <v>983</v>
      </c>
      <c r="O147" s="51">
        <v>991</v>
      </c>
      <c r="P147" s="51">
        <v>992</v>
      </c>
      <c r="Q147" s="51">
        <v>984</v>
      </c>
      <c r="R147" s="51">
        <v>982</v>
      </c>
      <c r="S147" s="51">
        <v>984</v>
      </c>
      <c r="T147" s="162"/>
      <c r="U147" s="163"/>
      <c r="V147" s="163"/>
      <c r="W147" s="158"/>
      <c r="X147" s="330"/>
      <c r="Y147" s="163"/>
      <c r="Z147" s="159"/>
      <c r="AA147" s="350"/>
    </row>
    <row r="148" spans="1:34" ht="58.15" thickBot="1" x14ac:dyDescent="0.4">
      <c r="A148"/>
      <c r="B148" s="79" t="s">
        <v>79</v>
      </c>
      <c r="C148" s="164">
        <f t="shared" ref="C148:S148" si="45">IF(((C146="")*AND(C147="")),"",(C146-C147)*2)</f>
        <v>1949.1</v>
      </c>
      <c r="D148" s="164">
        <f t="shared" si="45"/>
        <v>1995.62</v>
      </c>
      <c r="E148" s="164">
        <f t="shared" si="45"/>
        <v>2002.3400000000001</v>
      </c>
      <c r="F148" s="164">
        <f t="shared" si="45"/>
        <v>2013.7199999999998</v>
      </c>
      <c r="G148" s="164">
        <f t="shared" si="45"/>
        <v>2031</v>
      </c>
      <c r="H148" s="164">
        <f t="shared" si="45"/>
        <v>2068.8200000000002</v>
      </c>
      <c r="I148" s="164">
        <f t="shared" si="45"/>
        <v>2101.3000000000002</v>
      </c>
      <c r="J148" s="164">
        <f t="shared" si="45"/>
        <v>2123.44</v>
      </c>
      <c r="K148" s="164">
        <f t="shared" si="45"/>
        <v>2086.1999999999998</v>
      </c>
      <c r="L148" s="164">
        <f t="shared" si="45"/>
        <v>2036.8200000000002</v>
      </c>
      <c r="M148" s="164">
        <f t="shared" si="45"/>
        <v>2074.02</v>
      </c>
      <c r="N148" s="164">
        <f t="shared" si="45"/>
        <v>2061.6999999999998</v>
      </c>
      <c r="O148" s="164">
        <f t="shared" si="45"/>
        <v>2039.56</v>
      </c>
      <c r="P148" s="164">
        <f t="shared" si="45"/>
        <v>2039.98</v>
      </c>
      <c r="Q148" s="164">
        <f t="shared" si="45"/>
        <v>2060.66</v>
      </c>
      <c r="R148" s="164">
        <f t="shared" si="45"/>
        <v>2073.52</v>
      </c>
      <c r="S148" s="165">
        <f t="shared" si="45"/>
        <v>2074.8000000000002</v>
      </c>
      <c r="T148" s="166"/>
      <c r="U148" s="164"/>
      <c r="V148" s="164"/>
      <c r="W148" s="167"/>
      <c r="X148" s="331"/>
      <c r="Y148" s="164"/>
      <c r="Z148" s="168"/>
      <c r="AA148" s="350"/>
    </row>
    <row r="149" spans="1:34" x14ac:dyDescent="0.3">
      <c r="A149" s="320">
        <v>43348</v>
      </c>
      <c r="B149" s="66" t="s">
        <v>77</v>
      </c>
      <c r="C149" s="51">
        <v>2057.16</v>
      </c>
      <c r="D149" s="51">
        <v>2044.81</v>
      </c>
      <c r="E149" s="51">
        <v>2038.17</v>
      </c>
      <c r="F149" s="51">
        <v>2033.33</v>
      </c>
      <c r="G149" s="51">
        <v>2032.25</v>
      </c>
      <c r="H149" s="51">
        <v>2034.57</v>
      </c>
      <c r="I149" s="51">
        <v>2038.77</v>
      </c>
      <c r="J149" s="51">
        <v>2046.94</v>
      </c>
      <c r="K149" s="51">
        <v>2057.5</v>
      </c>
      <c r="L149" s="51">
        <v>2051.16</v>
      </c>
      <c r="M149" s="51">
        <v>2044.23</v>
      </c>
      <c r="N149" s="51">
        <v>2038.73</v>
      </c>
      <c r="O149" s="51">
        <v>2033.09</v>
      </c>
      <c r="P149" s="51">
        <v>2033.54</v>
      </c>
      <c r="Q149" s="51">
        <v>2037.85</v>
      </c>
      <c r="R149" s="51">
        <v>2044.98</v>
      </c>
      <c r="S149" s="51">
        <v>2052.64</v>
      </c>
      <c r="T149" s="157">
        <f>IF((S150=""),"",MAX(C151:S151))</f>
        <v>2119.88</v>
      </c>
      <c r="U149" s="66">
        <f>IF(S150="","",MIN(C151:S151))</f>
        <v>1970.3199999999997</v>
      </c>
      <c r="V149" s="72">
        <f>IF((S151=""),"",AVERAGE(C151:S151))</f>
        <v>2057.0258823529412</v>
      </c>
      <c r="W149" s="158">
        <f>STDEV(C151:S151)</f>
        <v>37.15401779397888</v>
      </c>
      <c r="X149" s="100">
        <f>IF((S150=""),"",((T149-U149)/(T149+U149))*100)</f>
        <v>3.6565449122292404</v>
      </c>
      <c r="Y149" s="77" t="str">
        <f>IF(S150="","",IF(X149&lt;15,IF(V149&gt;1690,IF(V149&lt;2125,"Pass","Fail"),"Fail"),"Fail"))</f>
        <v>Pass</v>
      </c>
      <c r="Z149" s="159">
        <v>121</v>
      </c>
      <c r="AA149" s="350"/>
      <c r="AC149" s="134">
        <v>1600</v>
      </c>
      <c r="AD149" s="134">
        <v>2600</v>
      </c>
      <c r="AE149" s="160">
        <v>1690</v>
      </c>
      <c r="AF149" s="160">
        <v>2125</v>
      </c>
      <c r="AG149" s="156">
        <v>15</v>
      </c>
      <c r="AH149" s="156">
        <v>15</v>
      </c>
    </row>
    <row r="150" spans="1:34" ht="16.100000000000001" x14ac:dyDescent="0.35">
      <c r="A150"/>
      <c r="B150" s="66" t="s">
        <v>78</v>
      </c>
      <c r="C150" s="51">
        <v>1072</v>
      </c>
      <c r="D150" s="51">
        <v>1038</v>
      </c>
      <c r="E150" s="51">
        <v>1024</v>
      </c>
      <c r="F150" s="51">
        <v>1013</v>
      </c>
      <c r="G150" s="51">
        <v>1001</v>
      </c>
      <c r="H150" s="51">
        <v>992</v>
      </c>
      <c r="I150" s="51">
        <v>986</v>
      </c>
      <c r="J150" s="51">
        <v>987</v>
      </c>
      <c r="K150" s="51">
        <v>1038</v>
      </c>
      <c r="L150" s="51">
        <v>1025</v>
      </c>
      <c r="M150" s="51">
        <v>1001</v>
      </c>
      <c r="N150" s="51">
        <v>999</v>
      </c>
      <c r="O150" s="51">
        <v>999</v>
      </c>
      <c r="P150" s="51">
        <v>1003</v>
      </c>
      <c r="Q150" s="51">
        <v>1003</v>
      </c>
      <c r="R150" s="51">
        <v>1007</v>
      </c>
      <c r="S150" s="51">
        <v>1047</v>
      </c>
      <c r="T150" s="162"/>
      <c r="U150" s="163"/>
      <c r="V150" s="163"/>
      <c r="W150" s="158"/>
      <c r="X150" s="330"/>
      <c r="Y150" s="163"/>
      <c r="Z150" s="159"/>
      <c r="AA150" s="350"/>
    </row>
    <row r="151" spans="1:34" ht="58.15" thickBot="1" x14ac:dyDescent="0.4">
      <c r="A151"/>
      <c r="B151" s="79" t="s">
        <v>79</v>
      </c>
      <c r="C151" s="164">
        <f t="shared" ref="C151:S151" si="46">IF(((C149="")*AND(C150="")),"",(C149-C150)*2)</f>
        <v>1970.3199999999997</v>
      </c>
      <c r="D151" s="164">
        <f t="shared" si="46"/>
        <v>2013.62</v>
      </c>
      <c r="E151" s="164">
        <f t="shared" si="46"/>
        <v>2028.3400000000001</v>
      </c>
      <c r="F151" s="164">
        <f t="shared" si="46"/>
        <v>2040.6599999999999</v>
      </c>
      <c r="G151" s="164">
        <f t="shared" si="46"/>
        <v>2062.5</v>
      </c>
      <c r="H151" s="164">
        <f t="shared" si="46"/>
        <v>2085.14</v>
      </c>
      <c r="I151" s="164">
        <f t="shared" si="46"/>
        <v>2105.54</v>
      </c>
      <c r="J151" s="164">
        <f t="shared" si="46"/>
        <v>2119.88</v>
      </c>
      <c r="K151" s="164">
        <f t="shared" si="46"/>
        <v>2039</v>
      </c>
      <c r="L151" s="164">
        <f t="shared" si="46"/>
        <v>2052.3199999999997</v>
      </c>
      <c r="M151" s="164">
        <f t="shared" si="46"/>
        <v>2086.46</v>
      </c>
      <c r="N151" s="164">
        <f t="shared" si="46"/>
        <v>2079.46</v>
      </c>
      <c r="O151" s="164">
        <f t="shared" si="46"/>
        <v>2068.1799999999998</v>
      </c>
      <c r="P151" s="164">
        <f t="shared" si="46"/>
        <v>2061.08</v>
      </c>
      <c r="Q151" s="164">
        <f t="shared" si="46"/>
        <v>2069.6999999999998</v>
      </c>
      <c r="R151" s="164">
        <f t="shared" si="46"/>
        <v>2075.96</v>
      </c>
      <c r="S151" s="165">
        <f t="shared" si="46"/>
        <v>2011.2799999999997</v>
      </c>
      <c r="T151" s="166"/>
      <c r="U151" s="164"/>
      <c r="V151" s="164"/>
      <c r="W151" s="167"/>
      <c r="X151" s="331"/>
      <c r="Y151" s="164"/>
      <c r="Z151" s="168"/>
      <c r="AA151" s="350"/>
    </row>
    <row r="152" spans="1:34" x14ac:dyDescent="0.3">
      <c r="A152" s="320">
        <v>43352</v>
      </c>
      <c r="B152" s="66" t="s">
        <v>77</v>
      </c>
      <c r="C152" s="51">
        <v>2040</v>
      </c>
      <c r="D152" s="51">
        <v>2028</v>
      </c>
      <c r="E152" s="51">
        <v>2022</v>
      </c>
      <c r="F152" s="51">
        <v>2019</v>
      </c>
      <c r="G152" s="51">
        <v>2015</v>
      </c>
      <c r="H152" s="51">
        <v>2017</v>
      </c>
      <c r="I152" s="51">
        <v>2019</v>
      </c>
      <c r="J152" s="51">
        <v>2023</v>
      </c>
      <c r="K152" s="51">
        <v>2031</v>
      </c>
      <c r="L152" s="51">
        <v>2024</v>
      </c>
      <c r="M152" s="51">
        <v>2023</v>
      </c>
      <c r="N152" s="51">
        <v>2019</v>
      </c>
      <c r="O152" s="51">
        <v>2017</v>
      </c>
      <c r="P152" s="51">
        <v>2017</v>
      </c>
      <c r="Q152" s="51">
        <v>2021</v>
      </c>
      <c r="R152" s="51">
        <v>2025</v>
      </c>
      <c r="S152" s="51">
        <v>2030</v>
      </c>
      <c r="T152" s="157">
        <f>IF((S153=""),"",MAX(C154:S154))</f>
        <v>1958</v>
      </c>
      <c r="U152" s="66">
        <f>IF(S153="","",MIN(C154:S154))</f>
        <v>1866</v>
      </c>
      <c r="V152" s="72">
        <f>IF((S154=""),"",AVERAGE(C154:S154))</f>
        <v>1915.7647058823529</v>
      </c>
      <c r="W152" s="158">
        <f>STDEV(C154:S154)</f>
        <v>23.998774478514282</v>
      </c>
      <c r="X152" s="100">
        <f>IF((S153=""),"",((T152-U152)/(T152+U152))*100)</f>
        <v>2.4058577405857742</v>
      </c>
      <c r="Y152" s="77" t="str">
        <f>IF(S153="","",IF(X152&lt;15,IF(V152&gt;1690,IF(V152&lt;2125,"Pass","Fail"),"Fail"),"Fail"))</f>
        <v>Pass</v>
      </c>
      <c r="Z152" s="159">
        <v>74</v>
      </c>
      <c r="AA152" s="350"/>
      <c r="AC152" s="134">
        <v>1600</v>
      </c>
      <c r="AD152" s="134">
        <v>2600</v>
      </c>
      <c r="AE152" s="160">
        <v>1690</v>
      </c>
      <c r="AF152" s="160">
        <v>2125</v>
      </c>
      <c r="AG152" s="156">
        <v>15</v>
      </c>
      <c r="AH152" s="156">
        <v>15</v>
      </c>
    </row>
    <row r="153" spans="1:34" ht="16.100000000000001" x14ac:dyDescent="0.35">
      <c r="A153"/>
      <c r="B153" s="66" t="s">
        <v>78</v>
      </c>
      <c r="C153" s="51">
        <v>1099</v>
      </c>
      <c r="D153" s="51">
        <v>1077</v>
      </c>
      <c r="E153" s="51">
        <v>1072</v>
      </c>
      <c r="F153" s="51">
        <v>1068</v>
      </c>
      <c r="G153" s="51">
        <v>1062</v>
      </c>
      <c r="H153" s="51">
        <v>1054</v>
      </c>
      <c r="I153" s="51">
        <v>1047</v>
      </c>
      <c r="J153" s="51">
        <v>1044</v>
      </c>
      <c r="K153" s="51">
        <v>1082</v>
      </c>
      <c r="L153" s="51">
        <v>1061</v>
      </c>
      <c r="M153" s="51">
        <v>1048</v>
      </c>
      <c r="N153" s="51">
        <v>1051</v>
      </c>
      <c r="O153" s="51">
        <v>1058</v>
      </c>
      <c r="P153" s="51">
        <v>1063</v>
      </c>
      <c r="Q153" s="51">
        <v>1061</v>
      </c>
      <c r="R153" s="51">
        <v>1062</v>
      </c>
      <c r="S153" s="51">
        <v>1097</v>
      </c>
      <c r="T153" s="162"/>
      <c r="U153" s="163"/>
      <c r="V153" s="163"/>
      <c r="W153" s="158"/>
      <c r="X153" s="330"/>
      <c r="Y153" s="163"/>
      <c r="Z153" s="159"/>
      <c r="AA153" s="350"/>
    </row>
    <row r="154" spans="1:34" ht="58.15" thickBot="1" x14ac:dyDescent="0.4">
      <c r="A154"/>
      <c r="B154" s="79" t="s">
        <v>79</v>
      </c>
      <c r="C154" s="164">
        <f t="shared" ref="C154:S154" si="47">IF(((C152="")*AND(C153="")),"",(C152-C153)*2)</f>
        <v>1882</v>
      </c>
      <c r="D154" s="164">
        <f t="shared" si="47"/>
        <v>1902</v>
      </c>
      <c r="E154" s="164">
        <f t="shared" si="47"/>
        <v>1900</v>
      </c>
      <c r="F154" s="164">
        <f t="shared" si="47"/>
        <v>1902</v>
      </c>
      <c r="G154" s="164">
        <f t="shared" si="47"/>
        <v>1906</v>
      </c>
      <c r="H154" s="164">
        <f t="shared" si="47"/>
        <v>1926</v>
      </c>
      <c r="I154" s="164">
        <f t="shared" si="47"/>
        <v>1944</v>
      </c>
      <c r="J154" s="164">
        <f t="shared" si="47"/>
        <v>1958</v>
      </c>
      <c r="K154" s="164">
        <f t="shared" si="47"/>
        <v>1898</v>
      </c>
      <c r="L154" s="164">
        <f t="shared" si="47"/>
        <v>1926</v>
      </c>
      <c r="M154" s="164">
        <f t="shared" si="47"/>
        <v>1950</v>
      </c>
      <c r="N154" s="164">
        <f t="shared" si="47"/>
        <v>1936</v>
      </c>
      <c r="O154" s="164">
        <f t="shared" si="47"/>
        <v>1918</v>
      </c>
      <c r="P154" s="164">
        <f t="shared" si="47"/>
        <v>1908</v>
      </c>
      <c r="Q154" s="164">
        <f t="shared" si="47"/>
        <v>1920</v>
      </c>
      <c r="R154" s="164">
        <f t="shared" si="47"/>
        <v>1926</v>
      </c>
      <c r="S154" s="165">
        <f t="shared" si="47"/>
        <v>1866</v>
      </c>
      <c r="T154" s="166"/>
      <c r="U154" s="164"/>
      <c r="V154" s="164"/>
      <c r="W154" s="167"/>
      <c r="X154" s="331"/>
      <c r="Y154" s="164"/>
      <c r="Z154" s="168"/>
      <c r="AA154" s="350"/>
    </row>
    <row r="155" spans="1:34" x14ac:dyDescent="0.3">
      <c r="A155" s="320">
        <v>43357</v>
      </c>
      <c r="B155" s="66" t="s">
        <v>77</v>
      </c>
      <c r="C155" s="51">
        <v>2026.47</v>
      </c>
      <c r="D155" s="51">
        <v>2014.95</v>
      </c>
      <c r="E155" s="51">
        <v>2009.49</v>
      </c>
      <c r="F155" s="51">
        <v>2005.96</v>
      </c>
      <c r="G155" s="51">
        <v>2006.67</v>
      </c>
      <c r="H155" s="51">
        <v>2004.54</v>
      </c>
      <c r="I155" s="51">
        <v>2005.34</v>
      </c>
      <c r="J155" s="51">
        <v>2009.7</v>
      </c>
      <c r="K155" s="51">
        <v>2019.11</v>
      </c>
      <c r="L155" s="51">
        <v>2012.9</v>
      </c>
      <c r="M155" s="51">
        <v>2007.89</v>
      </c>
      <c r="N155" s="51">
        <v>2007.37</v>
      </c>
      <c r="O155" s="51">
        <v>2003.37</v>
      </c>
      <c r="P155" s="51">
        <v>2005.36</v>
      </c>
      <c r="Q155" s="51">
        <v>2006.98</v>
      </c>
      <c r="R155" s="51">
        <v>2013.75</v>
      </c>
      <c r="S155" s="51">
        <v>2021.56</v>
      </c>
      <c r="T155" s="157">
        <f>IF((S156=""),"",MAX(C157:S157))</f>
        <v>2032.2199999999998</v>
      </c>
      <c r="U155" s="66">
        <f>IF(S156="","",MIN(C157:S157))</f>
        <v>1938.62</v>
      </c>
      <c r="V155" s="72">
        <f>IF((S157=""),"",AVERAGE(C157:S157))</f>
        <v>1989.9400000000003</v>
      </c>
      <c r="W155" s="158">
        <f>STDEV(C157:S157)</f>
        <v>24.899310231410031</v>
      </c>
      <c r="X155" s="100">
        <f>IF((S156=""),"",((T155-U155)/(T155+U155))*100)</f>
        <v>2.3571838704153256</v>
      </c>
      <c r="Y155" s="77" t="str">
        <f>IF(S156="","",IF(X155&lt;15,IF(V155&gt;1690,IF(V155&lt;2125,"Pass","Fail"),"Fail"),"Fail"))</f>
        <v>Pass</v>
      </c>
      <c r="Z155" s="159">
        <v>1159</v>
      </c>
      <c r="AA155" s="188" t="s">
        <v>92</v>
      </c>
      <c r="AC155" s="134">
        <v>1600</v>
      </c>
      <c r="AD155" s="134">
        <v>2600</v>
      </c>
      <c r="AE155" s="160">
        <v>1690</v>
      </c>
      <c r="AF155" s="160">
        <v>2125</v>
      </c>
      <c r="AG155" s="156">
        <v>15</v>
      </c>
      <c r="AH155" s="156">
        <v>15</v>
      </c>
    </row>
    <row r="156" spans="1:34" ht="16.100000000000001" x14ac:dyDescent="0.35">
      <c r="A156"/>
      <c r="B156" s="66" t="s">
        <v>78</v>
      </c>
      <c r="C156" s="51">
        <v>1035.23</v>
      </c>
      <c r="D156" s="51">
        <v>1018</v>
      </c>
      <c r="E156" s="51">
        <v>1010</v>
      </c>
      <c r="F156" s="51">
        <v>1003</v>
      </c>
      <c r="G156" s="51">
        <v>1005</v>
      </c>
      <c r="H156" s="51">
        <v>1035.23</v>
      </c>
      <c r="I156" s="51">
        <v>1018</v>
      </c>
      <c r="J156" s="51">
        <v>1010</v>
      </c>
      <c r="K156" s="51">
        <v>1003</v>
      </c>
      <c r="L156" s="51">
        <v>1005</v>
      </c>
      <c r="M156" s="51">
        <v>1035.23</v>
      </c>
      <c r="N156" s="51">
        <v>1018</v>
      </c>
      <c r="O156" s="51">
        <v>1010</v>
      </c>
      <c r="P156" s="51">
        <v>1003</v>
      </c>
      <c r="Q156" s="51">
        <v>1005</v>
      </c>
      <c r="R156" s="51">
        <v>1035.23</v>
      </c>
      <c r="S156" s="51">
        <v>1018</v>
      </c>
      <c r="T156" s="162"/>
      <c r="U156" s="163"/>
      <c r="V156" s="163"/>
      <c r="W156" s="158"/>
      <c r="X156" s="330"/>
      <c r="Y156" s="163"/>
      <c r="Z156" s="159"/>
      <c r="AA156" s="350"/>
    </row>
    <row r="157" spans="1:34" ht="58.15" thickBot="1" x14ac:dyDescent="0.4">
      <c r="A157"/>
      <c r="B157" s="79" t="s">
        <v>79</v>
      </c>
      <c r="C157" s="164">
        <f t="shared" ref="C157:S157" si="48">IF(((C155="")*AND(C156="")),"",(C155-C156)*2)</f>
        <v>1982.48</v>
      </c>
      <c r="D157" s="164">
        <f t="shared" si="48"/>
        <v>1993.9</v>
      </c>
      <c r="E157" s="164">
        <f t="shared" si="48"/>
        <v>1998.98</v>
      </c>
      <c r="F157" s="164">
        <f t="shared" si="48"/>
        <v>2005.92</v>
      </c>
      <c r="G157" s="164">
        <f t="shared" si="48"/>
        <v>2003.3400000000001</v>
      </c>
      <c r="H157" s="164">
        <f t="shared" si="48"/>
        <v>1938.62</v>
      </c>
      <c r="I157" s="164">
        <f t="shared" si="48"/>
        <v>1974.6799999999998</v>
      </c>
      <c r="J157" s="164">
        <f t="shared" si="48"/>
        <v>1999.4</v>
      </c>
      <c r="K157" s="164">
        <f t="shared" si="48"/>
        <v>2032.2199999999998</v>
      </c>
      <c r="L157" s="164">
        <f t="shared" si="48"/>
        <v>2015.8000000000002</v>
      </c>
      <c r="M157" s="164">
        <f t="shared" si="48"/>
        <v>1945.3200000000002</v>
      </c>
      <c r="N157" s="164">
        <f t="shared" si="48"/>
        <v>1978.7399999999998</v>
      </c>
      <c r="O157" s="164">
        <f t="shared" si="48"/>
        <v>1986.7399999999998</v>
      </c>
      <c r="P157" s="164">
        <f t="shared" si="48"/>
        <v>2004.7199999999998</v>
      </c>
      <c r="Q157" s="164">
        <f t="shared" si="48"/>
        <v>2003.96</v>
      </c>
      <c r="R157" s="164">
        <f t="shared" si="48"/>
        <v>1957.04</v>
      </c>
      <c r="S157" s="165">
        <f t="shared" si="48"/>
        <v>2007.12</v>
      </c>
      <c r="T157" s="166"/>
      <c r="U157" s="164"/>
      <c r="V157" s="164"/>
      <c r="W157" s="167"/>
      <c r="X157" s="331"/>
      <c r="Y157" s="164"/>
      <c r="Z157" s="168"/>
      <c r="AA157" s="350"/>
    </row>
    <row r="158" spans="1:34" x14ac:dyDescent="0.3">
      <c r="A158" s="320">
        <v>43362</v>
      </c>
      <c r="B158" s="66" t="s">
        <v>77</v>
      </c>
      <c r="C158" s="51">
        <v>2518.1999999999998</v>
      </c>
      <c r="D158" s="51">
        <v>2506.7199999999998</v>
      </c>
      <c r="E158" s="51">
        <v>2501.31</v>
      </c>
      <c r="F158" s="51">
        <v>2493.94</v>
      </c>
      <c r="G158" s="51">
        <v>2492.59</v>
      </c>
      <c r="H158" s="51">
        <v>2492.17</v>
      </c>
      <c r="I158" s="51">
        <v>2498.36</v>
      </c>
      <c r="J158" s="51">
        <v>2501.8000000000002</v>
      </c>
      <c r="K158" s="51">
        <v>2508.5300000000002</v>
      </c>
      <c r="L158" s="51">
        <v>2502.92</v>
      </c>
      <c r="M158" s="51">
        <v>2498.91</v>
      </c>
      <c r="N158" s="51">
        <v>2496.94</v>
      </c>
      <c r="O158" s="51">
        <v>2493.19</v>
      </c>
      <c r="P158" s="51">
        <v>2497.3200000000002</v>
      </c>
      <c r="Q158" s="51">
        <v>2498.67</v>
      </c>
      <c r="R158" s="51">
        <v>2504.87</v>
      </c>
      <c r="S158" s="51">
        <v>2510.46</v>
      </c>
      <c r="T158" s="157">
        <f>IF((S159=""),"",MAX(C160:S160))</f>
        <v>2183.1800000000003</v>
      </c>
      <c r="U158" s="66">
        <f>IF(S159="","",MIN(C160:S160))</f>
        <v>2007.8599999999997</v>
      </c>
      <c r="V158" s="72">
        <f>IF((S160=""),"",AVERAGE(C160:S160))</f>
        <v>2092.9964705882353</v>
      </c>
      <c r="W158" s="158">
        <f>STDEV(C160:S160)</f>
        <v>46.842437615528937</v>
      </c>
      <c r="X158" s="100">
        <f>IF((S159=""),"",((T158-U158)/(T158+U158))*100)</f>
        <v>4.1832098953959074</v>
      </c>
      <c r="Y158" s="77" t="str">
        <f>IF(S159="","",IF(X158&lt;15,IF(V158&gt;1690,IF(V158&lt;2125,"Pass","Fail"),"Fail"),"Fail"))</f>
        <v>Pass</v>
      </c>
      <c r="Z158" s="159">
        <v>1340</v>
      </c>
      <c r="AA158" s="350"/>
      <c r="AC158" s="134">
        <v>1600</v>
      </c>
      <c r="AD158" s="134">
        <v>2600</v>
      </c>
      <c r="AE158" s="160">
        <v>1690</v>
      </c>
      <c r="AF158" s="160">
        <v>2125</v>
      </c>
      <c r="AG158" s="156">
        <v>15</v>
      </c>
      <c r="AH158" s="156">
        <v>15</v>
      </c>
    </row>
    <row r="159" spans="1:34" ht="16.100000000000001" x14ac:dyDescent="0.35">
      <c r="A159"/>
      <c r="B159" s="66" t="s">
        <v>78</v>
      </c>
      <c r="C159" s="51">
        <v>1514.27</v>
      </c>
      <c r="D159" s="51">
        <v>1491.69</v>
      </c>
      <c r="E159" s="51">
        <v>1480.7</v>
      </c>
      <c r="F159" s="51">
        <v>1471.87</v>
      </c>
      <c r="G159" s="51">
        <v>1458.04</v>
      </c>
      <c r="H159" s="51">
        <v>1441.35</v>
      </c>
      <c r="I159" s="51">
        <v>1425.55</v>
      </c>
      <c r="J159" s="51">
        <v>1417.02</v>
      </c>
      <c r="K159" s="51">
        <v>1416.94</v>
      </c>
      <c r="L159" s="51">
        <v>1451.11</v>
      </c>
      <c r="M159" s="51">
        <v>1447.33</v>
      </c>
      <c r="N159" s="51">
        <v>1450.21</v>
      </c>
      <c r="O159" s="51">
        <v>1455.19</v>
      </c>
      <c r="P159" s="51">
        <v>1454.28</v>
      </c>
      <c r="Q159" s="51">
        <v>1448.48</v>
      </c>
      <c r="R159" s="51">
        <v>1446.9</v>
      </c>
      <c r="S159" s="51">
        <v>1455.5</v>
      </c>
      <c r="T159" s="162"/>
      <c r="U159" s="163"/>
      <c r="V159" s="163"/>
      <c r="W159" s="158"/>
      <c r="X159" s="330"/>
      <c r="Y159" s="163"/>
      <c r="Z159" s="159"/>
      <c r="AA159" s="350"/>
    </row>
    <row r="160" spans="1:34" ht="58.15" thickBot="1" x14ac:dyDescent="0.4">
      <c r="A160"/>
      <c r="B160" s="79" t="s">
        <v>79</v>
      </c>
      <c r="C160" s="164">
        <f t="shared" ref="C160:S160" si="49">IF(((C158="")*AND(C159="")),"",(C158-C159)*2)</f>
        <v>2007.8599999999997</v>
      </c>
      <c r="D160" s="164">
        <f t="shared" si="49"/>
        <v>2030.0599999999995</v>
      </c>
      <c r="E160" s="164">
        <f t="shared" si="49"/>
        <v>2041.2199999999998</v>
      </c>
      <c r="F160" s="164">
        <f t="shared" si="49"/>
        <v>2044.1400000000003</v>
      </c>
      <c r="G160" s="164">
        <f t="shared" si="49"/>
        <v>2069.1000000000004</v>
      </c>
      <c r="H160" s="164">
        <f t="shared" si="49"/>
        <v>2101.6400000000003</v>
      </c>
      <c r="I160" s="164">
        <f t="shared" si="49"/>
        <v>2145.6200000000003</v>
      </c>
      <c r="J160" s="164">
        <f t="shared" si="49"/>
        <v>2169.5600000000004</v>
      </c>
      <c r="K160" s="164">
        <f t="shared" si="49"/>
        <v>2183.1800000000003</v>
      </c>
      <c r="L160" s="164">
        <f t="shared" si="49"/>
        <v>2103.6200000000003</v>
      </c>
      <c r="M160" s="164">
        <f t="shared" si="49"/>
        <v>2103.16</v>
      </c>
      <c r="N160" s="164">
        <f t="shared" si="49"/>
        <v>2093.46</v>
      </c>
      <c r="O160" s="164">
        <f t="shared" si="49"/>
        <v>2076</v>
      </c>
      <c r="P160" s="164">
        <f t="shared" si="49"/>
        <v>2086.0800000000004</v>
      </c>
      <c r="Q160" s="164">
        <f t="shared" si="49"/>
        <v>2100.38</v>
      </c>
      <c r="R160" s="164">
        <f t="shared" si="49"/>
        <v>2115.9399999999996</v>
      </c>
      <c r="S160" s="165">
        <f t="shared" si="49"/>
        <v>2109.92</v>
      </c>
      <c r="T160" s="166"/>
      <c r="U160" s="164"/>
      <c r="V160" s="164"/>
      <c r="W160" s="167"/>
      <c r="X160" s="331"/>
      <c r="Y160" s="164"/>
      <c r="Z160" s="168"/>
      <c r="AA160" s="350"/>
    </row>
    <row r="161" spans="1:34" x14ac:dyDescent="0.3">
      <c r="A161" s="320">
        <v>43367</v>
      </c>
      <c r="B161" s="66" t="s">
        <v>77</v>
      </c>
      <c r="C161" s="51">
        <v>4425.38</v>
      </c>
      <c r="D161" s="51">
        <v>4385.76</v>
      </c>
      <c r="E161" s="51">
        <v>4370.12</v>
      </c>
      <c r="F161" s="51">
        <v>4362.49</v>
      </c>
      <c r="G161" s="51">
        <v>4356.63</v>
      </c>
      <c r="H161" s="51">
        <v>4334.28</v>
      </c>
      <c r="I161" s="51">
        <v>4320.54</v>
      </c>
      <c r="J161" s="51">
        <v>4325.55</v>
      </c>
      <c r="K161" s="51">
        <v>4354.92</v>
      </c>
      <c r="L161" s="51">
        <v>4363.08</v>
      </c>
      <c r="M161" s="51">
        <v>4341.83</v>
      </c>
      <c r="N161" s="51">
        <v>4334.28</v>
      </c>
      <c r="O161" s="51">
        <v>4346.46</v>
      </c>
      <c r="P161" s="51">
        <v>4349.82</v>
      </c>
      <c r="Q161" s="51">
        <v>4341.62</v>
      </c>
      <c r="R161" s="51">
        <v>4343.91</v>
      </c>
      <c r="S161" s="51">
        <v>4370.8900000000003</v>
      </c>
      <c r="T161" s="157">
        <f>IF((S162=""),"",MAX(C163:S163))</f>
        <v>1843.1000000000004</v>
      </c>
      <c r="U161" s="66">
        <f>IF(S162="","",MIN(C163:S163))</f>
        <v>1710.9799999999996</v>
      </c>
      <c r="V161" s="72">
        <f>IF((S163=""),"",AVERAGE(C163:S163))</f>
        <v>1769.8305882352938</v>
      </c>
      <c r="W161" s="158">
        <f>STDEV(C163:S163)</f>
        <v>39.43815609130781</v>
      </c>
      <c r="X161" s="100">
        <f>IF((S162=""),"",((T161-U161)/(T161+U161))*100)</f>
        <v>3.7174177283572911</v>
      </c>
      <c r="Y161" s="77" t="str">
        <f>IF(S162="","",IF(X161&lt;15,IF(V161&gt;1690,IF(V161&lt;2125,"Pass","Fail"),"Fail"),"Fail"))</f>
        <v>Pass</v>
      </c>
      <c r="Z161" s="159">
        <v>1340</v>
      </c>
      <c r="AA161" s="350"/>
      <c r="AC161" s="134">
        <v>1600</v>
      </c>
      <c r="AD161" s="134">
        <v>2600</v>
      </c>
      <c r="AE161" s="160">
        <v>1690</v>
      </c>
      <c r="AF161" s="160">
        <v>2125</v>
      </c>
      <c r="AG161" s="156">
        <v>15</v>
      </c>
      <c r="AH161" s="156">
        <v>15</v>
      </c>
    </row>
    <row r="162" spans="1:34" ht="16.100000000000001" x14ac:dyDescent="0.35">
      <c r="A162"/>
      <c r="B162" s="66" t="s">
        <v>78</v>
      </c>
      <c r="C162" s="51">
        <v>3550</v>
      </c>
      <c r="D162" s="51">
        <v>3521</v>
      </c>
      <c r="E162" s="51">
        <v>3509</v>
      </c>
      <c r="F162" s="51">
        <v>3507</v>
      </c>
      <c r="G162" s="51">
        <v>3495</v>
      </c>
      <c r="H162" s="51">
        <v>3452</v>
      </c>
      <c r="I162" s="51">
        <v>3421</v>
      </c>
      <c r="J162" s="51">
        <v>3404</v>
      </c>
      <c r="K162" s="51">
        <v>3442</v>
      </c>
      <c r="L162" s="51">
        <v>3452</v>
      </c>
      <c r="M162" s="51">
        <v>3437</v>
      </c>
      <c r="N162" s="51">
        <v>3453</v>
      </c>
      <c r="O162" s="51">
        <v>3474</v>
      </c>
      <c r="P162" s="51">
        <v>3472</v>
      </c>
      <c r="Q162" s="51">
        <v>3461</v>
      </c>
      <c r="R162" s="51">
        <v>3457</v>
      </c>
      <c r="S162" s="51">
        <v>3477</v>
      </c>
      <c r="T162" s="162"/>
      <c r="U162" s="163"/>
      <c r="V162" s="163"/>
      <c r="W162" s="158"/>
      <c r="X162" s="330"/>
      <c r="Y162" s="163"/>
      <c r="Z162" s="159"/>
      <c r="AA162" s="350"/>
    </row>
    <row r="163" spans="1:34" ht="58.15" thickBot="1" x14ac:dyDescent="0.4">
      <c r="A163"/>
      <c r="B163" s="79" t="s">
        <v>79</v>
      </c>
      <c r="C163" s="164">
        <f t="shared" ref="C163:S163" si="50">IF(((C161="")*AND(C162="")),"",(C161-C162)*2)</f>
        <v>1750.7600000000002</v>
      </c>
      <c r="D163" s="164">
        <f t="shared" si="50"/>
        <v>1729.5200000000004</v>
      </c>
      <c r="E163" s="164">
        <f t="shared" si="50"/>
        <v>1722.2399999999998</v>
      </c>
      <c r="F163" s="164">
        <f t="shared" si="50"/>
        <v>1710.9799999999996</v>
      </c>
      <c r="G163" s="164">
        <f t="shared" si="50"/>
        <v>1723.2600000000002</v>
      </c>
      <c r="H163" s="164">
        <f t="shared" si="50"/>
        <v>1764.5599999999995</v>
      </c>
      <c r="I163" s="164">
        <f t="shared" si="50"/>
        <v>1799.08</v>
      </c>
      <c r="J163" s="164">
        <f t="shared" si="50"/>
        <v>1843.1000000000004</v>
      </c>
      <c r="K163" s="164">
        <f t="shared" si="50"/>
        <v>1825.8400000000001</v>
      </c>
      <c r="L163" s="164">
        <f t="shared" si="50"/>
        <v>1822.1599999999999</v>
      </c>
      <c r="M163" s="164">
        <f t="shared" si="50"/>
        <v>1809.6599999999999</v>
      </c>
      <c r="N163" s="164">
        <f t="shared" si="50"/>
        <v>1762.5599999999995</v>
      </c>
      <c r="O163" s="164">
        <f t="shared" si="50"/>
        <v>1744.92</v>
      </c>
      <c r="P163" s="164">
        <f t="shared" si="50"/>
        <v>1755.6399999999994</v>
      </c>
      <c r="Q163" s="164">
        <f t="shared" si="50"/>
        <v>1761.2399999999998</v>
      </c>
      <c r="R163" s="164">
        <f t="shared" si="50"/>
        <v>1773.8199999999997</v>
      </c>
      <c r="S163" s="165">
        <f t="shared" si="50"/>
        <v>1787.7800000000007</v>
      </c>
      <c r="T163" s="166"/>
      <c r="U163" s="164"/>
      <c r="V163" s="164"/>
      <c r="W163" s="167"/>
      <c r="X163" s="331"/>
      <c r="Y163" s="164"/>
      <c r="Z163" s="168"/>
      <c r="AA163" s="350"/>
    </row>
    <row r="164" spans="1:34" x14ac:dyDescent="0.3">
      <c r="A164" s="320">
        <v>43367</v>
      </c>
      <c r="B164" s="66" t="s">
        <v>77</v>
      </c>
      <c r="C164" s="51">
        <v>3930.55</v>
      </c>
      <c r="D164" s="51">
        <v>3857.58</v>
      </c>
      <c r="E164" s="51">
        <v>3811.75</v>
      </c>
      <c r="F164" s="51">
        <v>3782.68</v>
      </c>
      <c r="G164" s="51">
        <v>3780.11</v>
      </c>
      <c r="H164" s="51">
        <v>3796.93</v>
      </c>
      <c r="I164" s="51">
        <v>3832.78</v>
      </c>
      <c r="J164" s="51">
        <v>3883.87</v>
      </c>
      <c r="K164" s="51">
        <v>3954.96</v>
      </c>
      <c r="L164" s="51">
        <v>3860.69</v>
      </c>
      <c r="M164" s="51">
        <v>3847.39</v>
      </c>
      <c r="N164" s="51">
        <v>3812.43</v>
      </c>
      <c r="O164" s="51">
        <v>3788.98</v>
      </c>
      <c r="P164" s="51">
        <v>3787.08</v>
      </c>
      <c r="Q164" s="51">
        <v>3810.8</v>
      </c>
      <c r="R164" s="51">
        <v>3844.18</v>
      </c>
      <c r="S164" s="51">
        <v>3898.66</v>
      </c>
      <c r="T164" s="157">
        <f>IF((S165=""),"",MAX(C166:S166))</f>
        <v>2142.7600000000002</v>
      </c>
      <c r="U164" s="66">
        <f>IF(S165="","",MIN(C166:S166))</f>
        <v>2050.3600000000006</v>
      </c>
      <c r="V164" s="72">
        <f>IF((S166=""),"",AVERAGE(C166:S166))</f>
        <v>2090.9752941176471</v>
      </c>
      <c r="W164" s="158">
        <f>STDEV(C166:S166)</f>
        <v>27.686616378145445</v>
      </c>
      <c r="X164" s="100">
        <f>IF((S165=""),"",((T164-U164)/(T164+U164))*100)</f>
        <v>2.2036097225931912</v>
      </c>
      <c r="Y164" s="77" t="str">
        <f>IF(S165="","",IF(X164&lt;15,IF(V164&gt;1690,IF(V164&lt;2125,"Pass","Fail"),"Fail"),"Fail"))</f>
        <v>Pass</v>
      </c>
      <c r="Z164" s="159">
        <v>1428</v>
      </c>
      <c r="AA164" s="350"/>
      <c r="AB164" s="188" t="s">
        <v>116</v>
      </c>
      <c r="AC164" s="134">
        <v>1600</v>
      </c>
      <c r="AD164" s="134">
        <v>2600</v>
      </c>
      <c r="AE164" s="160">
        <v>1690</v>
      </c>
      <c r="AF164" s="160">
        <v>2125</v>
      </c>
      <c r="AG164" s="156">
        <v>15</v>
      </c>
      <c r="AH164" s="156">
        <v>15</v>
      </c>
    </row>
    <row r="165" spans="1:34" ht="16.100000000000001" x14ac:dyDescent="0.35">
      <c r="A165"/>
      <c r="B165" s="66" t="s">
        <v>78</v>
      </c>
      <c r="C165" s="51">
        <v>2905.37</v>
      </c>
      <c r="D165" s="51">
        <v>2822.57</v>
      </c>
      <c r="E165" s="51">
        <v>2775.88</v>
      </c>
      <c r="F165" s="51">
        <v>2750.83</v>
      </c>
      <c r="G165" s="51">
        <v>2741.61</v>
      </c>
      <c r="H165" s="51">
        <v>2743.91</v>
      </c>
      <c r="I165" s="51">
        <v>2766.6</v>
      </c>
      <c r="J165" s="51">
        <v>2812.49</v>
      </c>
      <c r="K165" s="51">
        <v>2921.02</v>
      </c>
      <c r="L165" s="51">
        <v>2813.06</v>
      </c>
      <c r="M165" s="51">
        <v>2782.49</v>
      </c>
      <c r="N165" s="51">
        <v>2754.88</v>
      </c>
      <c r="O165" s="51">
        <v>2742.72</v>
      </c>
      <c r="P165" s="51">
        <v>2746.01</v>
      </c>
      <c r="Q165" s="51">
        <v>2761.98</v>
      </c>
      <c r="R165" s="51">
        <v>2794.72</v>
      </c>
      <c r="S165" s="51">
        <v>2871.99</v>
      </c>
      <c r="T165" s="162"/>
      <c r="U165" s="163"/>
      <c r="V165" s="163"/>
      <c r="W165" s="158"/>
      <c r="X165" s="330"/>
      <c r="Y165" s="163"/>
      <c r="Z165" s="159"/>
      <c r="AA165" s="350"/>
    </row>
    <row r="166" spans="1:34" ht="58.15" thickBot="1" x14ac:dyDescent="0.4">
      <c r="A166"/>
      <c r="B166" s="79" t="s">
        <v>79</v>
      </c>
      <c r="C166" s="164">
        <f t="shared" ref="C166:S166" si="51">IF(((C164="")*AND(C165="")),"",(C164-C165)*2)</f>
        <v>2050.3600000000006</v>
      </c>
      <c r="D166" s="164">
        <f t="shared" si="51"/>
        <v>2070.0199999999995</v>
      </c>
      <c r="E166" s="164">
        <f t="shared" si="51"/>
        <v>2071.7399999999998</v>
      </c>
      <c r="F166" s="164">
        <f t="shared" si="51"/>
        <v>2063.6999999999998</v>
      </c>
      <c r="G166" s="164">
        <f t="shared" si="51"/>
        <v>2077</v>
      </c>
      <c r="H166" s="164">
        <f t="shared" si="51"/>
        <v>2106.04</v>
      </c>
      <c r="I166" s="164">
        <f t="shared" si="51"/>
        <v>2132.3600000000006</v>
      </c>
      <c r="J166" s="164">
        <f t="shared" si="51"/>
        <v>2142.7600000000002</v>
      </c>
      <c r="K166" s="164">
        <f t="shared" si="51"/>
        <v>2067.88</v>
      </c>
      <c r="L166" s="164">
        <f t="shared" si="51"/>
        <v>2095.2600000000002</v>
      </c>
      <c r="M166" s="164">
        <f t="shared" si="51"/>
        <v>2129.8000000000002</v>
      </c>
      <c r="N166" s="164">
        <f t="shared" si="51"/>
        <v>2115.0999999999995</v>
      </c>
      <c r="O166" s="164">
        <f t="shared" si="51"/>
        <v>2092.5200000000004</v>
      </c>
      <c r="P166" s="164">
        <f t="shared" si="51"/>
        <v>2082.1399999999994</v>
      </c>
      <c r="Q166" s="164">
        <f t="shared" si="51"/>
        <v>2097.6400000000003</v>
      </c>
      <c r="R166" s="164">
        <f t="shared" si="51"/>
        <v>2098.92</v>
      </c>
      <c r="S166" s="165">
        <f t="shared" si="51"/>
        <v>2053.34</v>
      </c>
      <c r="T166" s="166"/>
      <c r="U166" s="164"/>
      <c r="V166" s="164"/>
      <c r="W166" s="167"/>
      <c r="X166" s="331"/>
      <c r="Y166" s="164"/>
      <c r="Z166" s="168"/>
      <c r="AA166" s="350"/>
    </row>
    <row r="167" spans="1:34" x14ac:dyDescent="0.3">
      <c r="A167" s="320">
        <v>43367</v>
      </c>
      <c r="B167" s="66" t="s">
        <v>77</v>
      </c>
      <c r="C167" s="51">
        <v>5450.75</v>
      </c>
      <c r="D167" s="51">
        <v>5415.78</v>
      </c>
      <c r="E167" s="51">
        <v>5396.82</v>
      </c>
      <c r="F167" s="51">
        <v>5389.73</v>
      </c>
      <c r="G167" s="51">
        <v>5385.12</v>
      </c>
      <c r="H167" s="51">
        <v>5388.68</v>
      </c>
      <c r="I167" s="51">
        <v>5396.49</v>
      </c>
      <c r="J167" s="51">
        <v>5411.96</v>
      </c>
      <c r="K167" s="51">
        <v>5455.36</v>
      </c>
      <c r="L167" s="51">
        <v>5428.57</v>
      </c>
      <c r="M167" s="51">
        <v>5404.86</v>
      </c>
      <c r="N167" s="51">
        <v>5388.85</v>
      </c>
      <c r="O167" s="51">
        <v>5385.31</v>
      </c>
      <c r="P167" s="51">
        <v>5379.78</v>
      </c>
      <c r="Q167" s="51">
        <v>5390.77</v>
      </c>
      <c r="R167" s="51">
        <v>5400.58</v>
      </c>
      <c r="S167" s="51">
        <v>5409.08</v>
      </c>
      <c r="T167" s="157">
        <f>IF((S168=""),"",MAX(C169:S169))</f>
        <v>2120.6799999999985</v>
      </c>
      <c r="U167" s="66">
        <f>IF(S168="","",MIN(C169:S169))</f>
        <v>1987.0200000000004</v>
      </c>
      <c r="V167" s="72">
        <f>IF((S169=""),"",AVERAGE(C169:S169))</f>
        <v>2061.9211764705883</v>
      </c>
      <c r="W167" s="158">
        <f>STDEV(C169:S169)</f>
        <v>37.225846176136812</v>
      </c>
      <c r="X167" s="100">
        <f>IF((S168=""),"",((T167-U167)/(T167+U167))*100)</f>
        <v>3.2538890376609313</v>
      </c>
      <c r="Y167" s="77" t="str">
        <f>IF(S168="","",IF(X167&lt;15,IF(V167&gt;1690,IF(V167&lt;2125,"Pass","Fail"),"Fail"),"Fail"))</f>
        <v>Pass</v>
      </c>
      <c r="Z167" s="159">
        <v>1428</v>
      </c>
      <c r="AA167" s="350"/>
      <c r="AB167" s="188" t="s">
        <v>117</v>
      </c>
      <c r="AC167" s="134">
        <v>1600</v>
      </c>
      <c r="AD167" s="134">
        <v>2600</v>
      </c>
      <c r="AE167" s="160">
        <v>1690</v>
      </c>
      <c r="AF167" s="160">
        <v>2125</v>
      </c>
      <c r="AG167" s="156">
        <v>15</v>
      </c>
      <c r="AH167" s="156">
        <v>15</v>
      </c>
    </row>
    <row r="168" spans="1:34" ht="16.100000000000001" x14ac:dyDescent="0.35">
      <c r="A168"/>
      <c r="B168" s="66" t="s">
        <v>78</v>
      </c>
      <c r="C168" s="51">
        <v>4443.5</v>
      </c>
      <c r="D168" s="51">
        <v>4395.6499999999996</v>
      </c>
      <c r="E168" s="51">
        <v>4373.2</v>
      </c>
      <c r="F168" s="51">
        <v>4364.83</v>
      </c>
      <c r="G168" s="51">
        <v>4360.2299999999996</v>
      </c>
      <c r="H168" s="51">
        <v>4344.6400000000003</v>
      </c>
      <c r="I168" s="51">
        <v>4339.62</v>
      </c>
      <c r="J168" s="51">
        <v>4356.1400000000003</v>
      </c>
      <c r="K168" s="51">
        <v>4450.45</v>
      </c>
      <c r="L168" s="51">
        <v>4395.25</v>
      </c>
      <c r="M168" s="51">
        <v>4344.5200000000004</v>
      </c>
      <c r="N168" s="51">
        <v>4343.24</v>
      </c>
      <c r="O168" s="51">
        <v>4348.05</v>
      </c>
      <c r="P168" s="51">
        <v>4355.3100000000004</v>
      </c>
      <c r="Q168" s="51">
        <v>4356.95</v>
      </c>
      <c r="R168" s="51">
        <v>4365.01</v>
      </c>
      <c r="S168" s="51">
        <v>4415.57</v>
      </c>
      <c r="T168" s="162"/>
      <c r="U168" s="163"/>
      <c r="V168" s="163"/>
      <c r="W168" s="158"/>
      <c r="X168" s="330"/>
      <c r="Y168" s="163"/>
      <c r="Z168" s="159"/>
      <c r="AA168" s="350"/>
    </row>
    <row r="169" spans="1:34" ht="58.15" thickBot="1" x14ac:dyDescent="0.4">
      <c r="A169"/>
      <c r="B169" s="79" t="s">
        <v>79</v>
      </c>
      <c r="C169" s="164">
        <f t="shared" ref="C169:S169" si="52">IF(((C167="")*AND(C168="")),"",(C167-C168)*2)</f>
        <v>2014.5</v>
      </c>
      <c r="D169" s="164">
        <f t="shared" si="52"/>
        <v>2040.2600000000002</v>
      </c>
      <c r="E169" s="164">
        <f t="shared" si="52"/>
        <v>2047.2399999999998</v>
      </c>
      <c r="F169" s="164">
        <f t="shared" si="52"/>
        <v>2049.7999999999993</v>
      </c>
      <c r="G169" s="164">
        <f t="shared" si="52"/>
        <v>2049.7800000000007</v>
      </c>
      <c r="H169" s="164">
        <f t="shared" si="52"/>
        <v>2088.08</v>
      </c>
      <c r="I169" s="164">
        <f t="shared" si="52"/>
        <v>2113.7399999999998</v>
      </c>
      <c r="J169" s="164">
        <f t="shared" si="52"/>
        <v>2111.6399999999994</v>
      </c>
      <c r="K169" s="164">
        <f t="shared" si="52"/>
        <v>2009.8199999999997</v>
      </c>
      <c r="L169" s="164">
        <f t="shared" si="52"/>
        <v>2066.6399999999994</v>
      </c>
      <c r="M169" s="164">
        <f t="shared" si="52"/>
        <v>2120.6799999999985</v>
      </c>
      <c r="N169" s="164">
        <f t="shared" si="52"/>
        <v>2091.2200000000012</v>
      </c>
      <c r="O169" s="164">
        <f t="shared" si="52"/>
        <v>2074.5200000000004</v>
      </c>
      <c r="P169" s="164">
        <f t="shared" si="52"/>
        <v>2048.9399999999987</v>
      </c>
      <c r="Q169" s="164">
        <f t="shared" si="52"/>
        <v>2067.6400000000012</v>
      </c>
      <c r="R169" s="164">
        <f t="shared" si="52"/>
        <v>2071.1399999999994</v>
      </c>
      <c r="S169" s="165">
        <f t="shared" si="52"/>
        <v>1987.0200000000004</v>
      </c>
      <c r="T169" s="166"/>
      <c r="U169" s="164"/>
      <c r="V169" s="164"/>
      <c r="W169" s="167"/>
      <c r="X169" s="331"/>
      <c r="Y169" s="164"/>
      <c r="Z169" s="168"/>
      <c r="AA169" s="350"/>
    </row>
    <row r="170" spans="1:34" x14ac:dyDescent="0.3">
      <c r="A170" s="320">
        <v>43368</v>
      </c>
      <c r="B170" s="66" t="s">
        <v>77</v>
      </c>
      <c r="C170" s="51">
        <v>2002</v>
      </c>
      <c r="D170" s="51">
        <v>1984</v>
      </c>
      <c r="E170" s="51">
        <v>1979</v>
      </c>
      <c r="F170" s="51">
        <v>1976</v>
      </c>
      <c r="G170" s="51">
        <v>1975</v>
      </c>
      <c r="H170" s="51">
        <v>1974</v>
      </c>
      <c r="I170" s="51">
        <v>1975</v>
      </c>
      <c r="J170" s="51">
        <v>1979</v>
      </c>
      <c r="K170" s="51">
        <v>1993</v>
      </c>
      <c r="L170" s="51">
        <v>1987</v>
      </c>
      <c r="M170" s="51">
        <v>1978</v>
      </c>
      <c r="N170" s="51">
        <v>1976</v>
      </c>
      <c r="O170" s="51">
        <v>1975</v>
      </c>
      <c r="P170" s="51">
        <v>1975</v>
      </c>
      <c r="Q170" s="51">
        <v>1977</v>
      </c>
      <c r="R170" s="51">
        <v>1980</v>
      </c>
      <c r="S170" s="51">
        <v>1996</v>
      </c>
      <c r="T170" s="157">
        <f>IF((S171=""),"",MAX(C172:S172))</f>
        <v>2129.58</v>
      </c>
      <c r="U170" s="66">
        <f>IF(S171="","",MIN(C172:S172))</f>
        <v>2013.02</v>
      </c>
      <c r="V170" s="72">
        <f>IF((S172=""),"",AVERAGE(C172:S172))</f>
        <v>2098.3235294117644</v>
      </c>
      <c r="W170" s="158">
        <f>STDEV(C172:S172)</f>
        <v>31.253575983632739</v>
      </c>
      <c r="X170" s="100">
        <f>IF((S171=""),"",((T170-U170)/(T170+U170))*100)</f>
        <v>2.8136918843238532</v>
      </c>
      <c r="Y170" s="77" t="str">
        <f>IF(S171="","",IF(X170&lt;15,IF(V170&gt;1690,IF(V170&lt;2125,"Pass","Fail"),"Fail"),"Fail"))</f>
        <v>Pass</v>
      </c>
      <c r="Z170" s="159">
        <v>1340</v>
      </c>
      <c r="AA170" s="350"/>
      <c r="AC170" s="134">
        <v>1600</v>
      </c>
      <c r="AD170" s="134">
        <v>2600</v>
      </c>
      <c r="AE170" s="160">
        <v>1690</v>
      </c>
      <c r="AF170" s="160">
        <v>2125</v>
      </c>
      <c r="AG170" s="156">
        <v>15</v>
      </c>
      <c r="AH170" s="156">
        <v>15</v>
      </c>
    </row>
    <row r="171" spans="1:34" ht="16.100000000000001" x14ac:dyDescent="0.35">
      <c r="A171"/>
      <c r="B171" s="66" t="s">
        <v>78</v>
      </c>
      <c r="C171" s="51">
        <v>995.49</v>
      </c>
      <c r="D171" s="51">
        <v>958.94</v>
      </c>
      <c r="E171" s="51">
        <v>934.83</v>
      </c>
      <c r="F171" s="51">
        <v>924.28</v>
      </c>
      <c r="G171" s="51">
        <v>918.33</v>
      </c>
      <c r="H171" s="51">
        <v>911.59</v>
      </c>
      <c r="I171" s="51">
        <v>911.7</v>
      </c>
      <c r="J171" s="51">
        <v>926.81</v>
      </c>
      <c r="K171" s="51">
        <v>958.19</v>
      </c>
      <c r="L171" s="51">
        <v>933.48</v>
      </c>
      <c r="M171" s="51">
        <v>919.4</v>
      </c>
      <c r="N171" s="51">
        <v>911.21</v>
      </c>
      <c r="O171" s="51">
        <v>913.2</v>
      </c>
      <c r="P171" s="51">
        <v>916.79</v>
      </c>
      <c r="Q171" s="51">
        <v>919.26</v>
      </c>
      <c r="R171" s="51">
        <v>932.3</v>
      </c>
      <c r="S171" s="51">
        <v>959.45</v>
      </c>
      <c r="T171" s="162"/>
      <c r="U171" s="163"/>
      <c r="V171" s="163"/>
      <c r="W171" s="158"/>
      <c r="X171" s="330"/>
      <c r="Y171" s="163"/>
      <c r="Z171" s="159"/>
      <c r="AA171" s="350"/>
    </row>
    <row r="172" spans="1:34" ht="58.15" thickBot="1" x14ac:dyDescent="0.4">
      <c r="A172"/>
      <c r="B172" s="79" t="s">
        <v>79</v>
      </c>
      <c r="C172" s="164">
        <f t="shared" ref="C172:S172" si="53">IF(((C170="")*AND(C171="")),"",(C170-C171)*2)</f>
        <v>2013.02</v>
      </c>
      <c r="D172" s="164">
        <f t="shared" si="53"/>
        <v>2050.12</v>
      </c>
      <c r="E172" s="164">
        <f t="shared" si="53"/>
        <v>2088.34</v>
      </c>
      <c r="F172" s="164">
        <f t="shared" si="53"/>
        <v>2103.44</v>
      </c>
      <c r="G172" s="164">
        <f t="shared" si="53"/>
        <v>2113.34</v>
      </c>
      <c r="H172" s="164">
        <f t="shared" si="53"/>
        <v>2124.8199999999997</v>
      </c>
      <c r="I172" s="164">
        <f t="shared" si="53"/>
        <v>2126.6</v>
      </c>
      <c r="J172" s="164">
        <f t="shared" si="53"/>
        <v>2104.38</v>
      </c>
      <c r="K172" s="164">
        <f t="shared" si="53"/>
        <v>2069.62</v>
      </c>
      <c r="L172" s="164">
        <f t="shared" si="53"/>
        <v>2107.04</v>
      </c>
      <c r="M172" s="164">
        <f t="shared" si="53"/>
        <v>2117.1999999999998</v>
      </c>
      <c r="N172" s="164">
        <f t="shared" si="53"/>
        <v>2129.58</v>
      </c>
      <c r="O172" s="164">
        <f t="shared" si="53"/>
        <v>2123.6</v>
      </c>
      <c r="P172" s="164">
        <f t="shared" si="53"/>
        <v>2116.42</v>
      </c>
      <c r="Q172" s="164">
        <f t="shared" si="53"/>
        <v>2115.48</v>
      </c>
      <c r="R172" s="164">
        <f t="shared" si="53"/>
        <v>2095.4</v>
      </c>
      <c r="S172" s="165">
        <f t="shared" si="53"/>
        <v>2073.1</v>
      </c>
      <c r="T172" s="166"/>
      <c r="U172" s="164"/>
      <c r="V172" s="164"/>
      <c r="W172" s="167"/>
      <c r="X172" s="331"/>
      <c r="Y172" s="164"/>
      <c r="Z172" s="168"/>
      <c r="AA172" s="350"/>
    </row>
    <row r="173" spans="1:34" x14ac:dyDescent="0.3">
      <c r="A173" s="320">
        <v>43370</v>
      </c>
      <c r="B173" s="66" t="s">
        <v>77</v>
      </c>
      <c r="C173" s="171">
        <v>5552</v>
      </c>
      <c r="D173" s="172">
        <v>5491</v>
      </c>
      <c r="E173" s="172">
        <v>5452</v>
      </c>
      <c r="F173" s="172">
        <v>5417</v>
      </c>
      <c r="G173" s="172">
        <v>5405</v>
      </c>
      <c r="H173" s="172">
        <v>5404</v>
      </c>
      <c r="I173" s="172">
        <v>5421</v>
      </c>
      <c r="J173" s="172">
        <v>5456</v>
      </c>
      <c r="K173" s="172">
        <v>5517</v>
      </c>
      <c r="L173" s="172">
        <v>5469</v>
      </c>
      <c r="M173" s="172">
        <v>5442</v>
      </c>
      <c r="N173" s="172">
        <v>5427</v>
      </c>
      <c r="O173" s="172">
        <v>5417</v>
      </c>
      <c r="P173" s="172">
        <v>5413</v>
      </c>
      <c r="Q173" s="172">
        <v>5428</v>
      </c>
      <c r="R173" s="172">
        <v>5443</v>
      </c>
      <c r="S173" s="172">
        <v>5434</v>
      </c>
      <c r="T173" s="157">
        <f>IF((S174=""),"",MAX(C175:S175))</f>
        <v>2166</v>
      </c>
      <c r="U173" s="66">
        <f>IF(S174="","",MIN(C175:S175))</f>
        <v>2002</v>
      </c>
      <c r="V173" s="72">
        <f>IF((S175=""),"",AVERAGE(C175:S175))</f>
        <v>2090.2352941176468</v>
      </c>
      <c r="W173" s="158">
        <f>STDEV(C175:S175)</f>
        <v>47.528319731193832</v>
      </c>
      <c r="X173" s="100">
        <f>IF((S174=""),"",((T173-U173)/(T173+U173))*100)</f>
        <v>3.9347408829174668</v>
      </c>
      <c r="Y173" s="77" t="str">
        <f>IF(S174="","",IF(X173&lt;15,IF(V173&gt;1690,IF(V173&lt;2125,"Pass","Fail"),"Fail"),"Fail"))</f>
        <v>Pass</v>
      </c>
      <c r="Z173" s="159">
        <v>1340</v>
      </c>
      <c r="AA173" s="350"/>
      <c r="AC173" s="134">
        <v>1600</v>
      </c>
      <c r="AD173" s="134">
        <v>2600</v>
      </c>
      <c r="AE173" s="160">
        <v>1690</v>
      </c>
      <c r="AF173" s="160">
        <v>2125</v>
      </c>
      <c r="AG173" s="156">
        <v>15</v>
      </c>
      <c r="AH173" s="156">
        <v>15</v>
      </c>
    </row>
    <row r="174" spans="1:34" ht="16.100000000000001" x14ac:dyDescent="0.35">
      <c r="A174"/>
      <c r="B174" s="66" t="s">
        <v>78</v>
      </c>
      <c r="C174" s="171">
        <v>4551</v>
      </c>
      <c r="D174" s="172">
        <v>4467</v>
      </c>
      <c r="E174" s="172">
        <v>4425</v>
      </c>
      <c r="F174" s="172">
        <v>4400</v>
      </c>
      <c r="G174" s="172">
        <v>4378</v>
      </c>
      <c r="H174" s="172">
        <v>4356</v>
      </c>
      <c r="I174" s="172">
        <v>4347</v>
      </c>
      <c r="J174" s="172">
        <v>4373</v>
      </c>
      <c r="K174" s="172">
        <v>4454</v>
      </c>
      <c r="L174" s="172">
        <v>4442</v>
      </c>
      <c r="M174" s="172">
        <v>4377</v>
      </c>
      <c r="N174" s="172">
        <v>4365</v>
      </c>
      <c r="O174" s="172">
        <v>4368</v>
      </c>
      <c r="P174" s="172">
        <v>4337</v>
      </c>
      <c r="Q174" s="172">
        <v>4380</v>
      </c>
      <c r="R174" s="172">
        <v>4389</v>
      </c>
      <c r="S174" s="172">
        <v>4412</v>
      </c>
      <c r="T174" s="162"/>
      <c r="U174" s="163"/>
      <c r="V174" s="163"/>
      <c r="W174" s="158"/>
      <c r="X174" s="330"/>
      <c r="Y174" s="163"/>
      <c r="Z174" s="159"/>
      <c r="AA174" s="350"/>
      <c r="AE174" s="160"/>
      <c r="AF174" s="160"/>
      <c r="AG174" s="156"/>
      <c r="AH174" s="156"/>
    </row>
    <row r="175" spans="1:34" ht="58.15" thickBot="1" x14ac:dyDescent="0.4">
      <c r="A175"/>
      <c r="B175" s="79" t="s">
        <v>79</v>
      </c>
      <c r="C175" s="164">
        <f t="shared" ref="C175:S175" si="54">IF(((C173="")*AND(C174="")),"",(C173-C174)*2)</f>
        <v>2002</v>
      </c>
      <c r="D175" s="164">
        <f t="shared" si="54"/>
        <v>2048</v>
      </c>
      <c r="E175" s="164">
        <f t="shared" si="54"/>
        <v>2054</v>
      </c>
      <c r="F175" s="164">
        <f t="shared" si="54"/>
        <v>2034</v>
      </c>
      <c r="G175" s="164">
        <f t="shared" si="54"/>
        <v>2054</v>
      </c>
      <c r="H175" s="164">
        <f t="shared" si="54"/>
        <v>2096</v>
      </c>
      <c r="I175" s="164">
        <f t="shared" si="54"/>
        <v>2148</v>
      </c>
      <c r="J175" s="164">
        <f t="shared" si="54"/>
        <v>2166</v>
      </c>
      <c r="K175" s="164">
        <f t="shared" si="54"/>
        <v>2126</v>
      </c>
      <c r="L175" s="164">
        <f t="shared" si="54"/>
        <v>2054</v>
      </c>
      <c r="M175" s="164">
        <f t="shared" si="54"/>
        <v>2130</v>
      </c>
      <c r="N175" s="164">
        <f t="shared" si="54"/>
        <v>2124</v>
      </c>
      <c r="O175" s="164">
        <f t="shared" si="54"/>
        <v>2098</v>
      </c>
      <c r="P175" s="164">
        <f t="shared" si="54"/>
        <v>2152</v>
      </c>
      <c r="Q175" s="164">
        <f t="shared" si="54"/>
        <v>2096</v>
      </c>
      <c r="R175" s="164">
        <f t="shared" si="54"/>
        <v>2108</v>
      </c>
      <c r="S175" s="165">
        <f t="shared" si="54"/>
        <v>2044</v>
      </c>
      <c r="T175" s="166"/>
      <c r="U175" s="164"/>
      <c r="V175" s="164"/>
      <c r="W175" s="167"/>
      <c r="X175" s="331"/>
      <c r="Y175" s="164"/>
      <c r="Z175" s="168"/>
      <c r="AA175" s="350"/>
      <c r="AE175" s="160"/>
      <c r="AF175" s="160"/>
      <c r="AG175" s="156"/>
      <c r="AH175" s="156"/>
    </row>
    <row r="176" spans="1:34" x14ac:dyDescent="0.3">
      <c r="A176" s="320">
        <v>43375</v>
      </c>
      <c r="B176" s="66" t="s">
        <v>77</v>
      </c>
      <c r="C176" s="51">
        <v>4482.78</v>
      </c>
      <c r="D176" s="51">
        <v>4425.7</v>
      </c>
      <c r="E176" s="51">
        <v>4391.2</v>
      </c>
      <c r="F176" s="51">
        <v>4370.72</v>
      </c>
      <c r="G176" s="51">
        <v>4350.49</v>
      </c>
      <c r="H176" s="51">
        <v>4329.49</v>
      </c>
      <c r="I176" s="51">
        <v>4323.0600000000004</v>
      </c>
      <c r="J176" s="51">
        <v>4343.7299999999996</v>
      </c>
      <c r="K176" s="51">
        <v>4389.8</v>
      </c>
      <c r="L176" s="51">
        <v>4363.59</v>
      </c>
      <c r="M176" s="51">
        <v>4340.46</v>
      </c>
      <c r="N176" s="51">
        <v>4343.32</v>
      </c>
      <c r="O176" s="51">
        <v>4348.5200000000004</v>
      </c>
      <c r="P176" s="51">
        <v>4350.97</v>
      </c>
      <c r="Q176" s="51">
        <v>4341.57</v>
      </c>
      <c r="R176" s="51">
        <v>4355.51</v>
      </c>
      <c r="S176" s="51">
        <v>4368.84</v>
      </c>
      <c r="T176" s="157">
        <f>IF((S177=""),"",MAX(C178:S178))</f>
        <v>1873.3000000000002</v>
      </c>
      <c r="U176" s="66">
        <f>IF(S177="","",MIN(C178:S178))</f>
        <v>1693.9600000000009</v>
      </c>
      <c r="V176" s="72">
        <f>IF((S178=""),"",AVERAGE(C178:S178))</f>
        <v>1765.671764705882</v>
      </c>
      <c r="W176" s="158">
        <f>STDEV(C178:S178)</f>
        <v>45.729004504156507</v>
      </c>
      <c r="X176" s="100">
        <f>IF((S177=""),"",((T176-U176)/(T176+U176))*100)</f>
        <v>5.0273879672353337</v>
      </c>
      <c r="Y176" s="77" t="str">
        <f>IF(S177="","",IF(X176&lt;15,IF(V176&gt;1690,IF(V176&lt;2125,"Pass","Fail"),"Fail"),"Fail"))</f>
        <v>Pass</v>
      </c>
      <c r="Z176" s="159">
        <v>1340</v>
      </c>
      <c r="AA176" s="350"/>
      <c r="AC176" s="134">
        <v>1600</v>
      </c>
      <c r="AD176" s="134">
        <v>2600</v>
      </c>
      <c r="AE176" s="160">
        <v>1690</v>
      </c>
      <c r="AF176" s="160">
        <v>2125</v>
      </c>
      <c r="AG176" s="156">
        <v>15</v>
      </c>
      <c r="AH176" s="156">
        <v>15</v>
      </c>
    </row>
    <row r="177" spans="1:34" ht="16.100000000000001" x14ac:dyDescent="0.35">
      <c r="A177"/>
      <c r="B177" s="66" t="s">
        <v>78</v>
      </c>
      <c r="C177" s="51">
        <v>3601.07</v>
      </c>
      <c r="D177" s="51">
        <v>3552.26</v>
      </c>
      <c r="E177" s="51">
        <v>3530.93</v>
      </c>
      <c r="F177" s="51">
        <v>3523.74</v>
      </c>
      <c r="G177" s="51">
        <v>3497.77</v>
      </c>
      <c r="H177" s="51">
        <v>3458.93</v>
      </c>
      <c r="I177" s="51">
        <v>3424.19</v>
      </c>
      <c r="J177" s="51">
        <v>3422.52</v>
      </c>
      <c r="K177" s="51">
        <v>3453.15</v>
      </c>
      <c r="L177" s="51">
        <v>3461.51</v>
      </c>
      <c r="M177" s="51">
        <v>3454.07</v>
      </c>
      <c r="N177" s="51">
        <v>3457.01</v>
      </c>
      <c r="O177" s="51">
        <v>3482.02</v>
      </c>
      <c r="P177" s="51">
        <v>3472.72</v>
      </c>
      <c r="Q177" s="51">
        <v>3467.85</v>
      </c>
      <c r="R177" s="51">
        <v>3471.13</v>
      </c>
      <c r="S177" s="51">
        <v>3480.67</v>
      </c>
      <c r="T177" s="162"/>
      <c r="U177" s="163"/>
      <c r="V177" s="163"/>
      <c r="W177" s="158"/>
      <c r="X177" s="330"/>
      <c r="Y177" s="163"/>
      <c r="Z177" s="159"/>
      <c r="AA177" s="350"/>
      <c r="AE177" s="160"/>
      <c r="AF177" s="160"/>
      <c r="AG177" s="156"/>
      <c r="AH177" s="156"/>
    </row>
    <row r="178" spans="1:34" ht="58.15" thickBot="1" x14ac:dyDescent="0.4">
      <c r="A178"/>
      <c r="B178" s="79" t="s">
        <v>79</v>
      </c>
      <c r="C178" s="164">
        <f t="shared" ref="C178:S178" si="55">IF(((C176="")*AND(C177="")),"",(C176-C177)*2)</f>
        <v>1763.4199999999992</v>
      </c>
      <c r="D178" s="164">
        <f t="shared" si="55"/>
        <v>1746.8799999999992</v>
      </c>
      <c r="E178" s="164">
        <f t="shared" si="55"/>
        <v>1720.54</v>
      </c>
      <c r="F178" s="164">
        <f t="shared" si="55"/>
        <v>1693.9600000000009</v>
      </c>
      <c r="G178" s="164">
        <f t="shared" si="55"/>
        <v>1705.4399999999996</v>
      </c>
      <c r="H178" s="164">
        <f t="shared" si="55"/>
        <v>1741.12</v>
      </c>
      <c r="I178" s="164">
        <f t="shared" si="55"/>
        <v>1797.7400000000007</v>
      </c>
      <c r="J178" s="164">
        <f t="shared" si="55"/>
        <v>1842.4199999999992</v>
      </c>
      <c r="K178" s="164">
        <f t="shared" si="55"/>
        <v>1873.3000000000002</v>
      </c>
      <c r="L178" s="164">
        <f t="shared" si="55"/>
        <v>1804.1599999999999</v>
      </c>
      <c r="M178" s="164">
        <f t="shared" si="55"/>
        <v>1772.7799999999997</v>
      </c>
      <c r="N178" s="164">
        <f t="shared" si="55"/>
        <v>1772.619999999999</v>
      </c>
      <c r="O178" s="164">
        <f t="shared" si="55"/>
        <v>1733.0000000000009</v>
      </c>
      <c r="P178" s="164">
        <f t="shared" si="55"/>
        <v>1756.5000000000009</v>
      </c>
      <c r="Q178" s="164">
        <f t="shared" si="55"/>
        <v>1747.4399999999996</v>
      </c>
      <c r="R178" s="164">
        <f t="shared" si="55"/>
        <v>1768.7600000000002</v>
      </c>
      <c r="S178" s="165">
        <f t="shared" si="55"/>
        <v>1776.3400000000001</v>
      </c>
      <c r="T178" s="166"/>
      <c r="U178" s="164"/>
      <c r="V178" s="164"/>
      <c r="W178" s="167"/>
      <c r="X178" s="331"/>
      <c r="Y178" s="164"/>
      <c r="Z178" s="168"/>
      <c r="AA178" s="350"/>
      <c r="AE178" s="160"/>
      <c r="AF178" s="160"/>
      <c r="AG178" s="156"/>
      <c r="AH178" s="156"/>
    </row>
    <row r="179" spans="1:34" x14ac:dyDescent="0.3">
      <c r="A179" s="320">
        <v>43378</v>
      </c>
      <c r="B179" s="66" t="s">
        <v>77</v>
      </c>
      <c r="C179" s="51">
        <v>4478.41</v>
      </c>
      <c r="D179" s="51">
        <v>4439.1099999999997</v>
      </c>
      <c r="E179" s="51">
        <v>4417.72</v>
      </c>
      <c r="F179" s="51">
        <v>4406.55</v>
      </c>
      <c r="G179" s="51">
        <v>4396.93</v>
      </c>
      <c r="H179" s="51">
        <v>4379.6000000000004</v>
      </c>
      <c r="I179" s="51">
        <v>4379.24</v>
      </c>
      <c r="J179" s="51">
        <v>4378.92</v>
      </c>
      <c r="K179" s="51">
        <v>4410.8900000000003</v>
      </c>
      <c r="L179" s="51">
        <v>4406.7299999999996</v>
      </c>
      <c r="M179" s="51">
        <v>4375.1400000000003</v>
      </c>
      <c r="N179" s="51">
        <v>4386.53</v>
      </c>
      <c r="O179" s="51">
        <v>4390.3900000000003</v>
      </c>
      <c r="P179" s="51">
        <v>4395.59</v>
      </c>
      <c r="Q179" s="51">
        <v>4394.8100000000004</v>
      </c>
      <c r="R179" s="51">
        <v>4404.8999999999996</v>
      </c>
      <c r="S179" s="51">
        <v>4428.97</v>
      </c>
      <c r="T179" s="157">
        <f>IF((S180=""),"",MAX(C181:S181))</f>
        <v>1922.5200000000004</v>
      </c>
      <c r="U179" s="66">
        <f>IF(S180="","",MIN(C181:S181))</f>
        <v>1754.0200000000004</v>
      </c>
      <c r="V179" s="72">
        <f>IF((S181=""),"",AVERAGE(C181:S181))</f>
        <v>1817.7200000000003</v>
      </c>
      <c r="W179" s="158">
        <f>STDEV(C181:S181)</f>
        <v>45.442804160834839</v>
      </c>
      <c r="X179" s="100">
        <f>IF((S180=""),"",((T179-U179)/(T179+U179))*100)</f>
        <v>4.5831134708176702</v>
      </c>
      <c r="Y179" s="77" t="str">
        <f>IF(S180="","",IF(X179&lt;15,IF(V179&gt;1690,IF(V179&lt;2125,"Pass","Fail"),"Fail"),"Fail"))</f>
        <v>Pass</v>
      </c>
      <c r="Z179" s="159">
        <v>1340</v>
      </c>
      <c r="AA179" s="350"/>
      <c r="AC179" s="134">
        <v>1600</v>
      </c>
      <c r="AD179" s="134">
        <v>2600</v>
      </c>
      <c r="AE179" s="160">
        <v>1690</v>
      </c>
      <c r="AF179" s="160">
        <v>2125</v>
      </c>
      <c r="AG179" s="156">
        <v>15</v>
      </c>
      <c r="AH179" s="156">
        <v>15</v>
      </c>
    </row>
    <row r="180" spans="1:34" ht="16.100000000000001" x14ac:dyDescent="0.35">
      <c r="A180"/>
      <c r="B180" s="66" t="s">
        <v>78</v>
      </c>
      <c r="C180" s="51">
        <v>3579.59</v>
      </c>
      <c r="D180" s="51">
        <v>3550.23</v>
      </c>
      <c r="E180" s="51">
        <v>3540.71</v>
      </c>
      <c r="F180" s="51">
        <v>3526.16</v>
      </c>
      <c r="G180" s="51">
        <v>3499.83</v>
      </c>
      <c r="H180" s="51">
        <v>3477.29</v>
      </c>
      <c r="I180" s="51">
        <v>3451.28</v>
      </c>
      <c r="J180" s="51">
        <v>3434.59</v>
      </c>
      <c r="K180" s="51">
        <v>3449.63</v>
      </c>
      <c r="L180" s="51">
        <v>3478.76</v>
      </c>
      <c r="M180" s="51">
        <v>3464.19</v>
      </c>
      <c r="N180" s="51">
        <v>3482.54</v>
      </c>
      <c r="O180" s="51">
        <v>3501.26</v>
      </c>
      <c r="P180" s="51">
        <v>3500.28</v>
      </c>
      <c r="Q180" s="51">
        <v>3492.43</v>
      </c>
      <c r="R180" s="51">
        <v>3489.05</v>
      </c>
      <c r="S180" s="51">
        <v>3501.99</v>
      </c>
      <c r="T180" s="162"/>
      <c r="U180" s="163"/>
      <c r="V180" s="163"/>
      <c r="W180" s="158"/>
      <c r="X180" s="330"/>
      <c r="Y180" s="163"/>
      <c r="Z180" s="159"/>
      <c r="AA180" s="350"/>
      <c r="AE180" s="160"/>
      <c r="AF180" s="160"/>
      <c r="AG180" s="156"/>
      <c r="AH180" s="156"/>
    </row>
    <row r="181" spans="1:34" ht="57.6" x14ac:dyDescent="0.35">
      <c r="A181"/>
      <c r="B181" s="173" t="s">
        <v>79</v>
      </c>
      <c r="C181" s="174">
        <f t="shared" ref="C181:S181" si="56">IF(((C179="")*AND(C180="")),"",(C179-C180)*2)</f>
        <v>1797.6399999999994</v>
      </c>
      <c r="D181" s="174">
        <f t="shared" si="56"/>
        <v>1777.7599999999993</v>
      </c>
      <c r="E181" s="174">
        <f t="shared" si="56"/>
        <v>1754.0200000000004</v>
      </c>
      <c r="F181" s="174">
        <f t="shared" si="56"/>
        <v>1760.7800000000007</v>
      </c>
      <c r="G181" s="174">
        <f t="shared" si="56"/>
        <v>1794.2000000000007</v>
      </c>
      <c r="H181" s="174">
        <f t="shared" si="56"/>
        <v>1804.6200000000008</v>
      </c>
      <c r="I181" s="174">
        <f t="shared" si="56"/>
        <v>1855.9199999999992</v>
      </c>
      <c r="J181" s="174">
        <f t="shared" si="56"/>
        <v>1888.6599999999999</v>
      </c>
      <c r="K181" s="174">
        <f t="shared" si="56"/>
        <v>1922.5200000000004</v>
      </c>
      <c r="L181" s="174">
        <f t="shared" si="56"/>
        <v>1855.9399999999987</v>
      </c>
      <c r="M181" s="174">
        <f t="shared" si="56"/>
        <v>1821.9000000000005</v>
      </c>
      <c r="N181" s="174">
        <f t="shared" si="56"/>
        <v>1807.9799999999996</v>
      </c>
      <c r="O181" s="174">
        <f t="shared" si="56"/>
        <v>1778.2600000000002</v>
      </c>
      <c r="P181" s="174">
        <f t="shared" si="56"/>
        <v>1790.62</v>
      </c>
      <c r="Q181" s="174">
        <f t="shared" si="56"/>
        <v>1804.7600000000011</v>
      </c>
      <c r="R181" s="174">
        <f t="shared" si="56"/>
        <v>1831.6999999999989</v>
      </c>
      <c r="S181" s="175">
        <f t="shared" si="56"/>
        <v>1853.9600000000009</v>
      </c>
      <c r="T181" s="176"/>
      <c r="U181" s="174"/>
      <c r="V181" s="174"/>
      <c r="W181" s="132"/>
      <c r="X181" s="332"/>
      <c r="Y181" s="174"/>
      <c r="Z181" s="177"/>
      <c r="AA181" s="350"/>
      <c r="AE181" s="160"/>
      <c r="AF181" s="160"/>
      <c r="AG181" s="156"/>
      <c r="AH181" s="156"/>
    </row>
    <row r="182" spans="1:34" x14ac:dyDescent="0.3">
      <c r="A182" s="322">
        <v>43382</v>
      </c>
      <c r="B182" s="66" t="s">
        <v>77</v>
      </c>
      <c r="C182" s="163">
        <v>4466.09</v>
      </c>
      <c r="D182" s="163">
        <v>4436.43</v>
      </c>
      <c r="E182" s="163">
        <v>4418.18</v>
      </c>
      <c r="F182" s="163">
        <v>4410.8500000000004</v>
      </c>
      <c r="G182" s="163">
        <v>4407.16</v>
      </c>
      <c r="H182" s="163">
        <v>4375.6400000000003</v>
      </c>
      <c r="I182" s="163">
        <v>4363.46</v>
      </c>
      <c r="J182" s="163">
        <v>4362.91</v>
      </c>
      <c r="K182" s="163">
        <v>4399.8999999999996</v>
      </c>
      <c r="L182" s="163">
        <v>4399.28</v>
      </c>
      <c r="M182" s="163">
        <v>4380.17</v>
      </c>
      <c r="N182" s="163">
        <v>4374.3100000000004</v>
      </c>
      <c r="O182" s="163">
        <v>4384.51</v>
      </c>
      <c r="P182" s="163">
        <v>4383.16</v>
      </c>
      <c r="Q182" s="163">
        <v>4383.55</v>
      </c>
      <c r="R182" s="163">
        <v>4387.08</v>
      </c>
      <c r="S182" s="163">
        <v>4406.6899999999996</v>
      </c>
      <c r="T182" s="66">
        <f>IF((S183=""),"",MAX(C184:S184))</f>
        <v>1864.8599999999997</v>
      </c>
      <c r="U182" s="66">
        <f>IF(S183="","",MIN(C184:S184))</f>
        <v>1715.5200000000004</v>
      </c>
      <c r="V182" s="66">
        <f>IF((S184=""),"",AVERAGE(C184:S184))</f>
        <v>1781.541176470588</v>
      </c>
      <c r="W182" s="178">
        <f>STDEV(C184:S184)</f>
        <v>40.195906800685499</v>
      </c>
      <c r="X182" s="100">
        <f>IF((S183=""),"",((T182-U182)/(T182+U182))*100)</f>
        <v>4.1710656410771829</v>
      </c>
      <c r="Y182" s="77" t="str">
        <f>IF(S183="","",IF(X182&lt;15,IF(V182&gt;1690,IF(V182&lt;2125,"Pass","Fail"),"Fail"),"Fail"))</f>
        <v>Pass</v>
      </c>
      <c r="Z182" s="179">
        <v>1335</v>
      </c>
      <c r="AA182" s="350"/>
      <c r="AC182" s="134">
        <v>1600</v>
      </c>
      <c r="AD182" s="134">
        <v>2600</v>
      </c>
      <c r="AE182" s="160">
        <v>1690</v>
      </c>
      <c r="AF182" s="160">
        <v>2125</v>
      </c>
      <c r="AG182" s="156">
        <v>15</v>
      </c>
      <c r="AH182" s="156">
        <v>15</v>
      </c>
    </row>
    <row r="183" spans="1:34" ht="16.100000000000001" x14ac:dyDescent="0.35">
      <c r="A183"/>
      <c r="B183" s="66" t="s">
        <v>78</v>
      </c>
      <c r="C183" s="163">
        <v>3586.92</v>
      </c>
      <c r="D183" s="163">
        <v>3560.9</v>
      </c>
      <c r="E183" s="163">
        <v>3547.02</v>
      </c>
      <c r="F183" s="163">
        <v>3553.09</v>
      </c>
      <c r="G183" s="163">
        <v>3544.64</v>
      </c>
      <c r="H183" s="163">
        <v>3485.15</v>
      </c>
      <c r="I183" s="163">
        <v>3455.58</v>
      </c>
      <c r="J183" s="163">
        <v>3447.92</v>
      </c>
      <c r="K183" s="163">
        <v>3467.47</v>
      </c>
      <c r="L183" s="163">
        <v>3488.25</v>
      </c>
      <c r="M183" s="163">
        <v>3471.02</v>
      </c>
      <c r="N183" s="163">
        <v>3485.77</v>
      </c>
      <c r="O183" s="163">
        <v>3504.22</v>
      </c>
      <c r="P183" s="163">
        <v>3508.09</v>
      </c>
      <c r="Q183" s="163">
        <v>3491.92</v>
      </c>
      <c r="R183" s="163">
        <v>3488.47</v>
      </c>
      <c r="S183" s="163">
        <v>3509.84</v>
      </c>
      <c r="T183" s="163"/>
      <c r="U183" s="163"/>
      <c r="V183" s="163"/>
      <c r="W183" s="178"/>
      <c r="X183" s="330"/>
      <c r="Y183" s="163"/>
      <c r="Z183" s="179"/>
      <c r="AA183" s="350"/>
      <c r="AE183" s="160"/>
      <c r="AF183" s="160"/>
      <c r="AG183" s="156"/>
      <c r="AH183" s="156"/>
    </row>
    <row r="184" spans="1:34" ht="57.6" x14ac:dyDescent="0.35">
      <c r="A184"/>
      <c r="B184" s="173" t="s">
        <v>79</v>
      </c>
      <c r="C184" s="174">
        <f t="shared" ref="C184:S184" si="57">IF(((C182="")*AND(C183="")),"",(C182-C183)*2)</f>
        <v>1758.3400000000001</v>
      </c>
      <c r="D184" s="174">
        <f t="shared" si="57"/>
        <v>1751.0600000000004</v>
      </c>
      <c r="E184" s="174">
        <f t="shared" si="57"/>
        <v>1742.3200000000006</v>
      </c>
      <c r="F184" s="174">
        <f t="shared" si="57"/>
        <v>1715.5200000000004</v>
      </c>
      <c r="G184" s="174">
        <f t="shared" si="57"/>
        <v>1725.04</v>
      </c>
      <c r="H184" s="174">
        <f t="shared" si="57"/>
        <v>1780.9800000000005</v>
      </c>
      <c r="I184" s="174">
        <f t="shared" si="57"/>
        <v>1815.7600000000002</v>
      </c>
      <c r="J184" s="174">
        <f t="shared" si="57"/>
        <v>1829.9799999999996</v>
      </c>
      <c r="K184" s="174">
        <f t="shared" si="57"/>
        <v>1864.8599999999997</v>
      </c>
      <c r="L184" s="174">
        <f t="shared" si="57"/>
        <v>1822.0599999999995</v>
      </c>
      <c r="M184" s="174">
        <f t="shared" si="57"/>
        <v>1818.3000000000002</v>
      </c>
      <c r="N184" s="174">
        <f t="shared" si="57"/>
        <v>1777.0800000000008</v>
      </c>
      <c r="O184" s="174">
        <f t="shared" si="57"/>
        <v>1760.5800000000008</v>
      </c>
      <c r="P184" s="174">
        <f t="shared" si="57"/>
        <v>1750.1399999999994</v>
      </c>
      <c r="Q184" s="174">
        <f t="shared" si="57"/>
        <v>1783.2600000000002</v>
      </c>
      <c r="R184" s="174">
        <f t="shared" si="57"/>
        <v>1797.2200000000003</v>
      </c>
      <c r="S184" s="174">
        <f t="shared" si="57"/>
        <v>1793.6999999999989</v>
      </c>
      <c r="T184" s="174"/>
      <c r="U184" s="174"/>
      <c r="V184" s="174"/>
      <c r="W184" s="180"/>
      <c r="X184" s="332"/>
      <c r="Y184" s="174"/>
      <c r="Z184" s="181"/>
      <c r="AA184" s="350"/>
      <c r="AE184" s="160"/>
      <c r="AF184" s="160"/>
      <c r="AG184" s="156"/>
      <c r="AH184" s="156"/>
    </row>
    <row r="185" spans="1:34" x14ac:dyDescent="0.3">
      <c r="A185" s="322">
        <v>43385</v>
      </c>
      <c r="B185" s="66" t="s">
        <v>77</v>
      </c>
      <c r="C185" s="163">
        <v>4442.01</v>
      </c>
      <c r="D185" s="163">
        <v>4404.62</v>
      </c>
      <c r="E185" s="163">
        <v>4387.8599999999997</v>
      </c>
      <c r="F185" s="163">
        <v>4386.71</v>
      </c>
      <c r="G185" s="163">
        <v>4380.57</v>
      </c>
      <c r="H185" s="163">
        <v>4355.84</v>
      </c>
      <c r="I185" s="163">
        <v>4349.3100000000004</v>
      </c>
      <c r="J185" s="163">
        <v>4354.45</v>
      </c>
      <c r="K185" s="163">
        <v>4388.1099999999997</v>
      </c>
      <c r="L185" s="163">
        <v>4376.62</v>
      </c>
      <c r="M185" s="163">
        <v>4348.8100000000004</v>
      </c>
      <c r="N185" s="163">
        <v>4347.71</v>
      </c>
      <c r="O185" s="163">
        <v>4360.59</v>
      </c>
      <c r="P185" s="163">
        <v>4363.2299999999996</v>
      </c>
      <c r="Q185" s="163">
        <v>4361.3500000000004</v>
      </c>
      <c r="R185" s="163">
        <v>4370.76</v>
      </c>
      <c r="S185" s="163">
        <v>4397.8999999999996</v>
      </c>
      <c r="T185" s="66">
        <f>IF((S186=""),"",MAX(C187:S187))</f>
        <v>1871.8999999999996</v>
      </c>
      <c r="U185" s="66">
        <f>IF(S186="","",MIN(C187:S187))</f>
        <v>1724.3199999999997</v>
      </c>
      <c r="V185" s="66">
        <f>IF((S187=""),"",AVERAGE(C187:S187))</f>
        <v>1785.3164705882355</v>
      </c>
      <c r="W185" s="178">
        <f>STDEV(C187:S187)</f>
        <v>46.219695604414277</v>
      </c>
      <c r="X185" s="100">
        <f>IF((S186=""),"",((T185-U185)/(T185+U185))*100)</f>
        <v>4.1037533854992176</v>
      </c>
      <c r="Y185" s="77" t="str">
        <f>IF(S186="","",IF(X185&lt;15,IF(V185&gt;1690,IF(V185&lt;2125,"Pass","Fail"),"Fail"),"Fail"))</f>
        <v>Pass</v>
      </c>
      <c r="Z185" s="179">
        <v>102</v>
      </c>
      <c r="AA185" s="188" t="s">
        <v>93</v>
      </c>
      <c r="AC185" s="134">
        <v>1600</v>
      </c>
      <c r="AD185" s="134">
        <v>2600</v>
      </c>
      <c r="AE185" s="160">
        <v>1690</v>
      </c>
      <c r="AF185" s="160">
        <v>2125</v>
      </c>
      <c r="AG185" s="156">
        <v>15</v>
      </c>
      <c r="AH185" s="156">
        <v>15</v>
      </c>
    </row>
    <row r="186" spans="1:34" ht="16.100000000000001" x14ac:dyDescent="0.35">
      <c r="A186"/>
      <c r="B186" s="66" t="s">
        <v>78</v>
      </c>
      <c r="C186" s="51">
        <v>3560.54</v>
      </c>
      <c r="D186" s="51">
        <v>3533.7</v>
      </c>
      <c r="E186" s="51">
        <v>3523.92</v>
      </c>
      <c r="F186" s="51">
        <v>3524.55</v>
      </c>
      <c r="G186" s="51">
        <v>3517.15</v>
      </c>
      <c r="H186" s="51">
        <v>3464.79</v>
      </c>
      <c r="I186" s="51">
        <v>3435.84</v>
      </c>
      <c r="J186" s="51">
        <v>3418.5</v>
      </c>
      <c r="K186" s="51">
        <v>3457.54</v>
      </c>
      <c r="L186" s="51">
        <v>3463.46</v>
      </c>
      <c r="M186" s="51">
        <v>3447.36</v>
      </c>
      <c r="N186" s="51">
        <v>3460.86</v>
      </c>
      <c r="O186" s="51">
        <v>3490.75</v>
      </c>
      <c r="P186" s="51">
        <v>3478.75</v>
      </c>
      <c r="Q186" s="51">
        <v>3469.77</v>
      </c>
      <c r="R186" s="51">
        <v>3459.24</v>
      </c>
      <c r="S186" s="51">
        <v>3494.54</v>
      </c>
      <c r="T186" s="163"/>
      <c r="U186" s="163"/>
      <c r="V186" s="163"/>
      <c r="W186" s="178"/>
      <c r="X186" s="330"/>
      <c r="Y186" s="163"/>
      <c r="Z186" s="179"/>
      <c r="AA186" s="350"/>
      <c r="AE186" s="160"/>
      <c r="AF186" s="160"/>
      <c r="AG186" s="156"/>
      <c r="AH186" s="156"/>
    </row>
    <row r="187" spans="1:34" ht="58.15" thickBot="1" x14ac:dyDescent="0.4">
      <c r="A187"/>
      <c r="B187" s="79" t="s">
        <v>79</v>
      </c>
      <c r="C187" s="164">
        <f t="shared" ref="C187:S187" si="58">IF(((C185="")*AND(C186="")),"",(C185-C186)*2)</f>
        <v>1762.9400000000005</v>
      </c>
      <c r="D187" s="164">
        <f t="shared" si="58"/>
        <v>1741.8400000000001</v>
      </c>
      <c r="E187" s="164">
        <f t="shared" si="58"/>
        <v>1727.8799999999992</v>
      </c>
      <c r="F187" s="164">
        <f t="shared" si="58"/>
        <v>1724.3199999999997</v>
      </c>
      <c r="G187" s="164">
        <f t="shared" si="58"/>
        <v>1726.8399999999992</v>
      </c>
      <c r="H187" s="164">
        <f t="shared" si="58"/>
        <v>1782.1000000000004</v>
      </c>
      <c r="I187" s="164">
        <f t="shared" si="58"/>
        <v>1826.9400000000005</v>
      </c>
      <c r="J187" s="164">
        <f t="shared" si="58"/>
        <v>1871.8999999999996</v>
      </c>
      <c r="K187" s="164">
        <f t="shared" si="58"/>
        <v>1861.1399999999994</v>
      </c>
      <c r="L187" s="164">
        <f t="shared" si="58"/>
        <v>1826.3199999999997</v>
      </c>
      <c r="M187" s="164">
        <f t="shared" si="58"/>
        <v>1802.9000000000005</v>
      </c>
      <c r="N187" s="164">
        <f t="shared" si="58"/>
        <v>1773.6999999999998</v>
      </c>
      <c r="O187" s="164">
        <f t="shared" si="58"/>
        <v>1739.6800000000003</v>
      </c>
      <c r="P187" s="164">
        <f t="shared" si="58"/>
        <v>1768.9599999999991</v>
      </c>
      <c r="Q187" s="164">
        <f t="shared" si="58"/>
        <v>1783.1600000000008</v>
      </c>
      <c r="R187" s="164">
        <f t="shared" si="58"/>
        <v>1823.0400000000009</v>
      </c>
      <c r="S187" s="164">
        <f t="shared" si="58"/>
        <v>1806.7199999999993</v>
      </c>
      <c r="T187" s="164"/>
      <c r="U187" s="164"/>
      <c r="V187" s="164"/>
      <c r="W187" s="182"/>
      <c r="X187" s="331"/>
      <c r="Y187" s="164"/>
      <c r="Z187" s="183"/>
      <c r="AA187" s="350"/>
      <c r="AE187" s="160"/>
      <c r="AF187" s="160"/>
      <c r="AG187" s="156"/>
      <c r="AH187" s="156"/>
    </row>
    <row r="188" spans="1:34" x14ac:dyDescent="0.3">
      <c r="A188" s="320">
        <v>43388</v>
      </c>
      <c r="B188" s="66" t="s">
        <v>77</v>
      </c>
      <c r="C188" s="51">
        <v>5492</v>
      </c>
      <c r="D188" s="51">
        <v>5452</v>
      </c>
      <c r="E188" s="51">
        <v>5435</v>
      </c>
      <c r="F188" s="51">
        <v>5425</v>
      </c>
      <c r="G188" s="51">
        <v>5413</v>
      </c>
      <c r="H188" s="51">
        <v>5415</v>
      </c>
      <c r="I188" s="51">
        <v>5427</v>
      </c>
      <c r="J188" s="51">
        <v>5446</v>
      </c>
      <c r="K188" s="51">
        <v>5495</v>
      </c>
      <c r="L188" s="51">
        <v>5467</v>
      </c>
      <c r="M188" s="51">
        <v>5441</v>
      </c>
      <c r="N188" s="51">
        <v>5428</v>
      </c>
      <c r="O188" s="51">
        <v>5422</v>
      </c>
      <c r="P188" s="51">
        <v>5414</v>
      </c>
      <c r="Q188" s="51">
        <v>5421</v>
      </c>
      <c r="R188" s="51">
        <v>5431</v>
      </c>
      <c r="S188" s="51">
        <v>5443</v>
      </c>
      <c r="T188" s="157">
        <f>IF((S189=""),"",MAX(C190:S190))</f>
        <v>2152</v>
      </c>
      <c r="U188" s="66">
        <f>IF(S189="","",MIN(C190:S190))</f>
        <v>2014</v>
      </c>
      <c r="V188" s="72">
        <f>IF((S190=""),"",AVERAGE(C190:S190))</f>
        <v>2086.2352941176468</v>
      </c>
      <c r="W188" s="158">
        <f>STDEV(C190:S190)</f>
        <v>35.460417037460076</v>
      </c>
      <c r="X188" s="100">
        <f>IF((S189=""),"",((T188-U188)/(T188+U188))*100)</f>
        <v>3.3125300048007684</v>
      </c>
      <c r="Y188" s="77" t="str">
        <f>IF(S189="","",IF(X188&lt;15,IF(V188&gt;1690,IF(V188&lt;2125,"Pass","Fail"),"Fail"),"Fail"))</f>
        <v>Pass</v>
      </c>
      <c r="Z188" s="159">
        <v>1340</v>
      </c>
      <c r="AA188" s="350"/>
      <c r="AC188" s="134">
        <v>1600</v>
      </c>
      <c r="AD188" s="134">
        <v>2600</v>
      </c>
      <c r="AE188" s="160">
        <v>1690</v>
      </c>
      <c r="AF188" s="160">
        <v>2125</v>
      </c>
      <c r="AG188" s="156">
        <v>15</v>
      </c>
      <c r="AH188" s="156">
        <v>15</v>
      </c>
    </row>
    <row r="189" spans="1:34" ht="16.100000000000001" x14ac:dyDescent="0.35">
      <c r="A189"/>
      <c r="B189" s="66" t="s">
        <v>78</v>
      </c>
      <c r="C189" s="51">
        <v>4485</v>
      </c>
      <c r="D189" s="51">
        <v>4426</v>
      </c>
      <c r="E189" s="51">
        <v>4408</v>
      </c>
      <c r="F189" s="51">
        <v>4392</v>
      </c>
      <c r="G189" s="51">
        <v>4380</v>
      </c>
      <c r="H189" s="51">
        <v>4368</v>
      </c>
      <c r="I189" s="51">
        <v>4358</v>
      </c>
      <c r="J189" s="51">
        <v>4370</v>
      </c>
      <c r="K189" s="51">
        <v>4448</v>
      </c>
      <c r="L189" s="51">
        <v>4421</v>
      </c>
      <c r="M189" s="51">
        <v>4376</v>
      </c>
      <c r="N189" s="51">
        <v>4371</v>
      </c>
      <c r="O189" s="51">
        <v>4374</v>
      </c>
      <c r="P189" s="51">
        <v>4378</v>
      </c>
      <c r="Q189" s="51">
        <v>4376</v>
      </c>
      <c r="R189" s="51">
        <v>4383</v>
      </c>
      <c r="S189" s="51">
        <v>4420</v>
      </c>
      <c r="T189" s="162"/>
      <c r="U189" s="163"/>
      <c r="V189" s="163"/>
      <c r="W189" s="158"/>
      <c r="X189" s="330"/>
      <c r="Y189" s="163"/>
      <c r="Z189" s="159"/>
      <c r="AA189" s="350"/>
      <c r="AE189" s="160"/>
      <c r="AF189" s="160"/>
      <c r="AG189" s="156"/>
      <c r="AH189" s="156"/>
    </row>
    <row r="190" spans="1:34" ht="57.6" x14ac:dyDescent="0.35">
      <c r="A190"/>
      <c r="B190" s="173" t="s">
        <v>79</v>
      </c>
      <c r="C190" s="174">
        <f t="shared" ref="C190:S190" si="59">IF(((C188="")*AND(C189="")),"",(C188-C189)*2)</f>
        <v>2014</v>
      </c>
      <c r="D190" s="174">
        <f t="shared" si="59"/>
        <v>2052</v>
      </c>
      <c r="E190" s="174">
        <f t="shared" si="59"/>
        <v>2054</v>
      </c>
      <c r="F190" s="174">
        <f t="shared" si="59"/>
        <v>2066</v>
      </c>
      <c r="G190" s="174">
        <f t="shared" si="59"/>
        <v>2066</v>
      </c>
      <c r="H190" s="174">
        <f t="shared" si="59"/>
        <v>2094</v>
      </c>
      <c r="I190" s="174">
        <f t="shared" si="59"/>
        <v>2138</v>
      </c>
      <c r="J190" s="174">
        <f t="shared" si="59"/>
        <v>2152</v>
      </c>
      <c r="K190" s="174">
        <f t="shared" si="59"/>
        <v>2094</v>
      </c>
      <c r="L190" s="174">
        <f t="shared" si="59"/>
        <v>2092</v>
      </c>
      <c r="M190" s="174">
        <f t="shared" si="59"/>
        <v>2130</v>
      </c>
      <c r="N190" s="174">
        <f t="shared" si="59"/>
        <v>2114</v>
      </c>
      <c r="O190" s="174">
        <f t="shared" si="59"/>
        <v>2096</v>
      </c>
      <c r="P190" s="174">
        <f t="shared" si="59"/>
        <v>2072</v>
      </c>
      <c r="Q190" s="174">
        <f t="shared" si="59"/>
        <v>2090</v>
      </c>
      <c r="R190" s="174">
        <f t="shared" si="59"/>
        <v>2096</v>
      </c>
      <c r="S190" s="175">
        <f t="shared" si="59"/>
        <v>2046</v>
      </c>
      <c r="T190" s="176"/>
      <c r="U190" s="174"/>
      <c r="V190" s="174"/>
      <c r="W190" s="132"/>
      <c r="X190" s="332"/>
      <c r="Y190" s="174"/>
      <c r="Z190" s="177"/>
      <c r="AA190" s="350"/>
      <c r="AE190" s="160"/>
      <c r="AF190" s="160"/>
      <c r="AG190" s="156"/>
      <c r="AH190" s="156"/>
    </row>
    <row r="191" spans="1:34" x14ac:dyDescent="0.3">
      <c r="A191" s="321">
        <v>43391</v>
      </c>
      <c r="B191" s="66" t="s">
        <v>77</v>
      </c>
      <c r="C191" s="51">
        <v>5518.23</v>
      </c>
      <c r="D191" s="51">
        <v>5495.63</v>
      </c>
      <c r="E191" s="51">
        <v>5477.54</v>
      </c>
      <c r="F191" s="51">
        <v>5467.55</v>
      </c>
      <c r="G191" s="51">
        <v>5453.99</v>
      </c>
      <c r="H191" s="51">
        <v>5460.56</v>
      </c>
      <c r="I191" s="51">
        <v>5464.92</v>
      </c>
      <c r="J191" s="51">
        <v>5478.17</v>
      </c>
      <c r="K191" s="51">
        <v>5504.34</v>
      </c>
      <c r="L191" s="51">
        <v>5486.92</v>
      </c>
      <c r="M191" s="51">
        <v>5476.74</v>
      </c>
      <c r="N191" s="51">
        <v>5472.96</v>
      </c>
      <c r="O191" s="51">
        <v>5464.77</v>
      </c>
      <c r="P191" s="51">
        <v>5456.21</v>
      </c>
      <c r="Q191" s="51">
        <v>5469.24</v>
      </c>
      <c r="R191" s="51">
        <v>5478.64</v>
      </c>
      <c r="S191" s="51">
        <v>5483.86</v>
      </c>
      <c r="T191" s="66">
        <f>IF((S192=""),"",MAX(C193:S193))</f>
        <v>2157.9799999999996</v>
      </c>
      <c r="U191" s="66">
        <f>IF(S192="","",MIN(C193:S193))</f>
        <v>2052.5</v>
      </c>
      <c r="V191" s="66">
        <f>IF((S193=""),"",AVERAGE(C193:S193))</f>
        <v>2102.5705882352941</v>
      </c>
      <c r="W191" s="178">
        <f>STDEV(C193:S193)</f>
        <v>35.282165549783642</v>
      </c>
      <c r="X191" s="100">
        <f>IF((S192=""),"",((T191-U191)/(T191+U191))*100)</f>
        <v>2.5051775569531163</v>
      </c>
      <c r="Y191" s="77" t="str">
        <f>IF(S192="","",IF(X191&lt;15,IF(V191&gt;1690,IF(V191&lt;2125,"Pass","Fail"),"Fail"),"Fail"))</f>
        <v>Pass</v>
      </c>
      <c r="Z191" s="179">
        <v>121</v>
      </c>
      <c r="AA191" s="188" t="s">
        <v>94</v>
      </c>
      <c r="AC191" s="134">
        <v>1600</v>
      </c>
      <c r="AD191" s="134">
        <v>2600</v>
      </c>
      <c r="AE191" s="160">
        <v>1690</v>
      </c>
      <c r="AF191" s="160">
        <v>2125</v>
      </c>
      <c r="AG191" s="156">
        <v>15</v>
      </c>
      <c r="AH191" s="156">
        <v>15</v>
      </c>
    </row>
    <row r="192" spans="1:34" ht="16.100000000000001" x14ac:dyDescent="0.35">
      <c r="A192"/>
      <c r="B192" s="66" t="s">
        <v>78</v>
      </c>
      <c r="C192" s="51">
        <v>4491.62</v>
      </c>
      <c r="D192" s="51">
        <v>4464.3599999999997</v>
      </c>
      <c r="E192" s="51">
        <v>4451.29</v>
      </c>
      <c r="F192" s="51">
        <v>4433.71</v>
      </c>
      <c r="G192" s="51">
        <v>4420.5</v>
      </c>
      <c r="H192" s="51">
        <v>4410.3</v>
      </c>
      <c r="I192" s="51">
        <v>4398.38</v>
      </c>
      <c r="J192" s="51">
        <v>4399.21</v>
      </c>
      <c r="K192" s="51">
        <v>4425.3500000000004</v>
      </c>
      <c r="L192" s="51">
        <v>4419.17</v>
      </c>
      <c r="M192" s="51">
        <v>4403.47</v>
      </c>
      <c r="N192" s="51">
        <v>4415.2700000000004</v>
      </c>
      <c r="O192" s="51">
        <v>4416.07</v>
      </c>
      <c r="P192" s="51">
        <v>4416.7299999999996</v>
      </c>
      <c r="Q192" s="51">
        <v>4416.04</v>
      </c>
      <c r="R192" s="51">
        <v>4427.49</v>
      </c>
      <c r="S192" s="51">
        <v>4429.46</v>
      </c>
      <c r="T192" s="163"/>
      <c r="U192" s="163"/>
      <c r="V192" s="163"/>
      <c r="W192" s="178"/>
      <c r="X192" s="330"/>
      <c r="Y192" s="163"/>
      <c r="Z192" s="179"/>
      <c r="AA192" s="188"/>
      <c r="AE192" s="160"/>
      <c r="AF192" s="160"/>
      <c r="AG192" s="156"/>
      <c r="AH192" s="156"/>
    </row>
    <row r="193" spans="1:34" ht="58.15" thickBot="1" x14ac:dyDescent="0.4">
      <c r="A193"/>
      <c r="B193" s="79" t="s">
        <v>79</v>
      </c>
      <c r="C193" s="164">
        <f t="shared" ref="C193:S193" si="60">IF(((C191="")*AND(C192="")),"",(C191-C192)*2)</f>
        <v>2053.2199999999993</v>
      </c>
      <c r="D193" s="164">
        <f t="shared" si="60"/>
        <v>2062.5400000000009</v>
      </c>
      <c r="E193" s="164">
        <f t="shared" si="60"/>
        <v>2052.5</v>
      </c>
      <c r="F193" s="164">
        <f t="shared" si="60"/>
        <v>2067.6800000000003</v>
      </c>
      <c r="G193" s="164">
        <f t="shared" si="60"/>
        <v>2066.9799999999996</v>
      </c>
      <c r="H193" s="164">
        <f t="shared" si="60"/>
        <v>2100.5200000000004</v>
      </c>
      <c r="I193" s="164">
        <f t="shared" si="60"/>
        <v>2133.08</v>
      </c>
      <c r="J193" s="164">
        <f t="shared" si="60"/>
        <v>2157.92</v>
      </c>
      <c r="K193" s="164">
        <f t="shared" si="60"/>
        <v>2157.9799999999996</v>
      </c>
      <c r="L193" s="164">
        <f t="shared" si="60"/>
        <v>2135.5</v>
      </c>
      <c r="M193" s="164">
        <f t="shared" si="60"/>
        <v>2146.5399999999991</v>
      </c>
      <c r="N193" s="164">
        <f t="shared" si="60"/>
        <v>2115.3799999999992</v>
      </c>
      <c r="O193" s="164">
        <f t="shared" si="60"/>
        <v>2097.4000000000015</v>
      </c>
      <c r="P193" s="164">
        <f t="shared" si="60"/>
        <v>2078.9600000000009</v>
      </c>
      <c r="Q193" s="164">
        <f t="shared" si="60"/>
        <v>2106.3999999999996</v>
      </c>
      <c r="R193" s="164">
        <f t="shared" si="60"/>
        <v>2102.3000000000011</v>
      </c>
      <c r="S193" s="164">
        <f t="shared" si="60"/>
        <v>2108.7999999999993</v>
      </c>
      <c r="T193" s="164"/>
      <c r="U193" s="164"/>
      <c r="V193" s="164"/>
      <c r="W193" s="182"/>
      <c r="X193" s="331"/>
      <c r="Y193" s="164"/>
      <c r="Z193" s="183"/>
      <c r="AA193" s="188"/>
      <c r="AE193" s="160"/>
      <c r="AF193" s="160"/>
      <c r="AG193" s="156"/>
      <c r="AH193" s="156"/>
    </row>
    <row r="194" spans="1:34" x14ac:dyDescent="0.3">
      <c r="A194" s="321">
        <v>43395</v>
      </c>
      <c r="B194" s="66" t="s">
        <v>77</v>
      </c>
      <c r="C194" s="51">
        <v>4491.62</v>
      </c>
      <c r="D194" s="51">
        <v>4464.3599999999997</v>
      </c>
      <c r="E194" s="51">
        <v>4451.29</v>
      </c>
      <c r="F194" s="51">
        <v>4433.71</v>
      </c>
      <c r="G194" s="51">
        <v>4420.5</v>
      </c>
      <c r="H194" s="51">
        <v>4410.3</v>
      </c>
      <c r="I194" s="51">
        <v>4398.38</v>
      </c>
      <c r="J194" s="51">
        <v>4399.21</v>
      </c>
      <c r="K194" s="51">
        <v>4425.3500000000004</v>
      </c>
      <c r="L194" s="51">
        <v>4419.17</v>
      </c>
      <c r="M194" s="51">
        <v>4403.47</v>
      </c>
      <c r="N194" s="51">
        <v>4415.2700000000004</v>
      </c>
      <c r="O194" s="51">
        <v>4416.07</v>
      </c>
      <c r="P194" s="51">
        <v>4416.7299999999996</v>
      </c>
      <c r="Q194" s="51">
        <v>4416.04</v>
      </c>
      <c r="R194" s="51">
        <v>4427.49</v>
      </c>
      <c r="S194" s="51">
        <v>4429.46</v>
      </c>
      <c r="T194" s="66">
        <f>IF((S195=""),"",MAX(C196:S196))</f>
        <v>1902.6800000000003</v>
      </c>
      <c r="U194" s="66">
        <f>IF(S195="","",MIN(C196:S196))</f>
        <v>1747.8199999999997</v>
      </c>
      <c r="V194" s="66">
        <f>IF((S196=""),"",AVERAGE(C196:S196))</f>
        <v>1805.150588235294</v>
      </c>
      <c r="W194" s="178">
        <f>STDEV(C196:S196)</f>
        <v>45.920919044400414</v>
      </c>
      <c r="X194" s="100">
        <f>IF((S195=""),"",((T194-U194)/(T194+U194))*100)</f>
        <v>4.2421586084098228</v>
      </c>
      <c r="Y194" s="77" t="str">
        <f>IF(S195="","",IF(X194&lt;15,IF(V194&gt;1690,IF(V194&lt;2125,"Pass","Fail"),"Fail"),"Fail"))</f>
        <v>Pass</v>
      </c>
      <c r="Z194" s="179">
        <v>121</v>
      </c>
      <c r="AA194" s="188" t="s">
        <v>95</v>
      </c>
      <c r="AC194" s="134">
        <v>1600</v>
      </c>
      <c r="AD194" s="134">
        <v>2600</v>
      </c>
      <c r="AE194" s="160">
        <v>1690</v>
      </c>
      <c r="AF194" s="160">
        <v>2125</v>
      </c>
      <c r="AG194" s="156">
        <v>15</v>
      </c>
      <c r="AH194" s="156">
        <v>15</v>
      </c>
    </row>
    <row r="195" spans="1:34" ht="16.100000000000001" x14ac:dyDescent="0.35">
      <c r="A195"/>
      <c r="B195" s="66" t="s">
        <v>78</v>
      </c>
      <c r="C195" s="51">
        <v>3615.46</v>
      </c>
      <c r="D195" s="51">
        <v>3583.25</v>
      </c>
      <c r="E195" s="51">
        <v>3566.19</v>
      </c>
      <c r="F195" s="51">
        <v>3559.8</v>
      </c>
      <c r="G195" s="51">
        <v>3539.87</v>
      </c>
      <c r="H195" s="51">
        <v>3507.86</v>
      </c>
      <c r="I195" s="51">
        <v>3472.15</v>
      </c>
      <c r="J195" s="51">
        <v>3463.6</v>
      </c>
      <c r="K195" s="51">
        <v>3474.01</v>
      </c>
      <c r="L195" s="51">
        <v>3500.74</v>
      </c>
      <c r="M195" s="51">
        <v>3497.93</v>
      </c>
      <c r="N195" s="51">
        <v>3510.78</v>
      </c>
      <c r="O195" s="51">
        <v>3534.98</v>
      </c>
      <c r="P195" s="51">
        <v>3530.76</v>
      </c>
      <c r="Q195" s="51">
        <v>3517.15</v>
      </c>
      <c r="R195" s="51">
        <v>3516.88</v>
      </c>
      <c r="S195" s="51">
        <v>3503.23</v>
      </c>
      <c r="T195" s="163"/>
      <c r="U195" s="163"/>
      <c r="V195" s="163"/>
      <c r="W195" s="178"/>
      <c r="X195" s="330"/>
      <c r="Y195" s="163"/>
      <c r="Z195" s="179"/>
      <c r="AA195" s="350"/>
      <c r="AE195" s="160"/>
      <c r="AF195" s="160"/>
      <c r="AG195" s="156"/>
      <c r="AH195" s="156"/>
    </row>
    <row r="196" spans="1:34" ht="58.15" thickBot="1" x14ac:dyDescent="0.4">
      <c r="A196"/>
      <c r="B196" s="79" t="s">
        <v>79</v>
      </c>
      <c r="C196" s="164">
        <f t="shared" ref="C196:S196" si="61">IF(((C194="")*AND(C195="")),"",(C194-C195)*2)</f>
        <v>1752.3199999999997</v>
      </c>
      <c r="D196" s="164">
        <f t="shared" si="61"/>
        <v>1762.2199999999993</v>
      </c>
      <c r="E196" s="164">
        <f t="shared" si="61"/>
        <v>1770.1999999999998</v>
      </c>
      <c r="F196" s="164">
        <f t="shared" si="61"/>
        <v>1747.8199999999997</v>
      </c>
      <c r="G196" s="164">
        <f t="shared" si="61"/>
        <v>1761.2600000000002</v>
      </c>
      <c r="H196" s="164">
        <f t="shared" si="61"/>
        <v>1804.88</v>
      </c>
      <c r="I196" s="164">
        <f t="shared" si="61"/>
        <v>1852.46</v>
      </c>
      <c r="J196" s="164">
        <f t="shared" si="61"/>
        <v>1871.2200000000003</v>
      </c>
      <c r="K196" s="164">
        <f t="shared" si="61"/>
        <v>1902.6800000000003</v>
      </c>
      <c r="L196" s="164">
        <f t="shared" si="61"/>
        <v>1836.8600000000006</v>
      </c>
      <c r="M196" s="164">
        <f t="shared" si="61"/>
        <v>1811.0800000000008</v>
      </c>
      <c r="N196" s="164">
        <f t="shared" si="61"/>
        <v>1808.9800000000005</v>
      </c>
      <c r="O196" s="164">
        <f t="shared" si="61"/>
        <v>1762.1799999999994</v>
      </c>
      <c r="P196" s="164">
        <f t="shared" si="61"/>
        <v>1771.9399999999987</v>
      </c>
      <c r="Q196" s="164">
        <f t="shared" si="61"/>
        <v>1797.7799999999997</v>
      </c>
      <c r="R196" s="164">
        <f t="shared" si="61"/>
        <v>1821.2199999999993</v>
      </c>
      <c r="S196" s="164">
        <f t="shared" si="61"/>
        <v>1852.46</v>
      </c>
      <c r="T196" s="164"/>
      <c r="U196" s="164"/>
      <c r="V196" s="164"/>
      <c r="W196" s="182"/>
      <c r="X196" s="331"/>
      <c r="Y196" s="164"/>
      <c r="Z196" s="183"/>
      <c r="AA196" s="350"/>
      <c r="AE196" s="160"/>
      <c r="AF196" s="160"/>
      <c r="AG196" s="156"/>
      <c r="AH196" s="156"/>
    </row>
    <row r="197" spans="1:34" x14ac:dyDescent="0.3">
      <c r="A197" s="321">
        <v>43398</v>
      </c>
      <c r="B197" s="66" t="s">
        <v>77</v>
      </c>
      <c r="C197" s="51">
        <v>5500.05</v>
      </c>
      <c r="D197" s="51">
        <v>5480.57</v>
      </c>
      <c r="E197" s="51">
        <v>5460.37</v>
      </c>
      <c r="F197" s="51">
        <v>5436.08</v>
      </c>
      <c r="G197" s="51">
        <v>5434.28</v>
      </c>
      <c r="H197" s="51">
        <v>5438.46</v>
      </c>
      <c r="I197" s="51">
        <v>5445.17</v>
      </c>
      <c r="J197" s="51">
        <v>5461.34</v>
      </c>
      <c r="K197" s="51">
        <v>5469.56</v>
      </c>
      <c r="L197" s="51">
        <v>5457.23</v>
      </c>
      <c r="M197" s="51">
        <v>5450.98</v>
      </c>
      <c r="N197" s="51">
        <v>5444.45</v>
      </c>
      <c r="O197" s="51">
        <v>5441.94</v>
      </c>
      <c r="P197" s="51">
        <v>5438.62</v>
      </c>
      <c r="Q197" s="51">
        <v>5447.85</v>
      </c>
      <c r="R197" s="51">
        <v>5446.6</v>
      </c>
      <c r="S197" s="51">
        <v>5454.82</v>
      </c>
      <c r="T197" s="66">
        <f>IF((S198=""),"",MAX(C199:S199))</f>
        <v>2203.16</v>
      </c>
      <c r="U197" s="66">
        <f>IF(S198="","",MIN(C199:S199))</f>
        <v>2057.58</v>
      </c>
      <c r="V197" s="66">
        <f>IF((S199=""),"",AVERAGE(C199:S199))</f>
        <v>2145.276470588235</v>
      </c>
      <c r="W197" s="178">
        <f>STDEV(C199:S199)</f>
        <v>39.714053706020856</v>
      </c>
      <c r="X197" s="100">
        <f>IF((S198=""),"",((T197-U197)/(T197+U197))*100)</f>
        <v>3.4167773673117803</v>
      </c>
      <c r="Y197" s="77" t="str">
        <f>IF(S198="","",IF(X197&lt;15,IF(V197&gt;1690,IF(V197&lt;2125,"Pass","Fail"),"Fail"),"Fail"))</f>
        <v>Fail</v>
      </c>
      <c r="Z197" s="179">
        <v>121</v>
      </c>
      <c r="AA197" s="350"/>
      <c r="AC197" s="134">
        <v>1600</v>
      </c>
      <c r="AD197" s="134">
        <v>2600</v>
      </c>
      <c r="AE197" s="160">
        <v>1690</v>
      </c>
      <c r="AF197" s="160">
        <v>2125</v>
      </c>
      <c r="AG197" s="156">
        <v>15</v>
      </c>
      <c r="AH197" s="156">
        <v>15</v>
      </c>
    </row>
    <row r="198" spans="1:34" ht="16.100000000000001" x14ac:dyDescent="0.35">
      <c r="A198"/>
      <c r="B198" s="66" t="s">
        <v>78</v>
      </c>
      <c r="C198" s="51">
        <v>4471.26</v>
      </c>
      <c r="D198" s="51">
        <v>4434.62</v>
      </c>
      <c r="E198" s="51">
        <v>4408.55</v>
      </c>
      <c r="F198" s="51">
        <v>4388.71</v>
      </c>
      <c r="G198" s="51">
        <v>4368.59</v>
      </c>
      <c r="H198" s="51">
        <v>4348.74</v>
      </c>
      <c r="I198" s="51">
        <v>4343.59</v>
      </c>
      <c r="J198" s="51">
        <v>4359.8900000000003</v>
      </c>
      <c r="K198" s="51">
        <v>4379.8900000000003</v>
      </c>
      <c r="L198" s="51">
        <v>4379.82</v>
      </c>
      <c r="M198" s="51">
        <v>4368.34</v>
      </c>
      <c r="N198" s="51">
        <v>4361.04</v>
      </c>
      <c r="O198" s="51">
        <v>4365.51</v>
      </c>
      <c r="P198" s="51">
        <v>4359.62</v>
      </c>
      <c r="Q198" s="51">
        <v>4375.13</v>
      </c>
      <c r="R198" s="51">
        <v>4374.97</v>
      </c>
      <c r="S198" s="51">
        <v>4385.25</v>
      </c>
      <c r="T198" s="163"/>
      <c r="U198" s="163"/>
      <c r="V198" s="163"/>
      <c r="W198" s="178"/>
      <c r="X198" s="330"/>
      <c r="Y198" s="163"/>
      <c r="Z198" s="179"/>
      <c r="AA198" s="350"/>
      <c r="AE198" s="160"/>
      <c r="AF198" s="160"/>
      <c r="AG198" s="156"/>
      <c r="AH198" s="156"/>
    </row>
    <row r="199" spans="1:34" ht="58.15" thickBot="1" x14ac:dyDescent="0.4">
      <c r="A199"/>
      <c r="B199" s="79" t="s">
        <v>79</v>
      </c>
      <c r="C199" s="164">
        <f t="shared" ref="C199:S199" si="62">IF(((C197="")*AND(C198="")),"",(C197-C198)*2)</f>
        <v>2057.58</v>
      </c>
      <c r="D199" s="164">
        <f t="shared" si="62"/>
        <v>2091.8999999999996</v>
      </c>
      <c r="E199" s="164">
        <f t="shared" si="62"/>
        <v>2103.6399999999994</v>
      </c>
      <c r="F199" s="164">
        <f t="shared" si="62"/>
        <v>2094.7399999999998</v>
      </c>
      <c r="G199" s="164">
        <f t="shared" si="62"/>
        <v>2131.3799999999992</v>
      </c>
      <c r="H199" s="164">
        <f t="shared" si="62"/>
        <v>2179.4400000000005</v>
      </c>
      <c r="I199" s="164">
        <f t="shared" si="62"/>
        <v>2203.16</v>
      </c>
      <c r="J199" s="164">
        <f t="shared" si="62"/>
        <v>2202.8999999999996</v>
      </c>
      <c r="K199" s="164">
        <f t="shared" si="62"/>
        <v>2179.34</v>
      </c>
      <c r="L199" s="164">
        <f t="shared" si="62"/>
        <v>2154.8199999999997</v>
      </c>
      <c r="M199" s="164">
        <f t="shared" si="62"/>
        <v>2165.2799999999988</v>
      </c>
      <c r="N199" s="164">
        <f t="shared" si="62"/>
        <v>2166.8199999999997</v>
      </c>
      <c r="O199" s="164">
        <f t="shared" si="62"/>
        <v>2152.8599999999988</v>
      </c>
      <c r="P199" s="164">
        <f t="shared" si="62"/>
        <v>2158</v>
      </c>
      <c r="Q199" s="164">
        <f t="shared" si="62"/>
        <v>2145.4400000000005</v>
      </c>
      <c r="R199" s="164">
        <f t="shared" si="62"/>
        <v>2143.2600000000002</v>
      </c>
      <c r="S199" s="164">
        <f t="shared" si="62"/>
        <v>2139.1399999999994</v>
      </c>
      <c r="T199" s="164"/>
      <c r="U199" s="164"/>
      <c r="V199" s="164"/>
      <c r="W199" s="182"/>
      <c r="X199" s="331"/>
      <c r="Y199" s="164"/>
      <c r="Z199" s="183"/>
      <c r="AA199" s="350"/>
      <c r="AE199" s="160"/>
      <c r="AF199" s="160"/>
      <c r="AG199" s="156"/>
      <c r="AH199" s="156"/>
    </row>
    <row r="200" spans="1:34" x14ac:dyDescent="0.3">
      <c r="A200" s="320">
        <v>43401</v>
      </c>
      <c r="B200" s="66" t="s">
        <v>77</v>
      </c>
      <c r="C200" s="171">
        <v>4542</v>
      </c>
      <c r="D200" s="172">
        <v>4483</v>
      </c>
      <c r="E200" s="172">
        <v>4449</v>
      </c>
      <c r="F200" s="172">
        <v>4421</v>
      </c>
      <c r="G200" s="172">
        <v>4397</v>
      </c>
      <c r="H200" s="172">
        <v>4383</v>
      </c>
      <c r="I200" s="172">
        <v>4380</v>
      </c>
      <c r="J200" s="172">
        <v>4397</v>
      </c>
      <c r="K200" s="172">
        <v>4481</v>
      </c>
      <c r="L200" s="172">
        <v>4443</v>
      </c>
      <c r="M200" s="172">
        <v>4401</v>
      </c>
      <c r="N200" s="172">
        <v>4394</v>
      </c>
      <c r="O200" s="172">
        <v>4394</v>
      </c>
      <c r="P200" s="172">
        <v>4397</v>
      </c>
      <c r="Q200" s="172">
        <v>4404</v>
      </c>
      <c r="R200" s="172">
        <v>4414</v>
      </c>
      <c r="S200" s="184">
        <v>4437</v>
      </c>
      <c r="T200" s="157">
        <f>IF((S201=""),"",MAX(C202:S202))</f>
        <v>1914</v>
      </c>
      <c r="U200" s="66">
        <f>IF(S201="","",MIN(C202:S202))</f>
        <v>1754</v>
      </c>
      <c r="V200" s="72">
        <f>IF((S202=""),"",AVERAGE(C202:S202))</f>
        <v>1807.5294117647059</v>
      </c>
      <c r="W200" s="158">
        <f>STDEV(C202:S202)</f>
        <v>43.090192687923235</v>
      </c>
      <c r="X200" s="100">
        <f>IF((S201=""),"",((T200-U200)/(T200+U200))*100)</f>
        <v>4.3620501635768809</v>
      </c>
      <c r="Y200" s="77" t="str">
        <f>IF(S201="","",IF(X200&lt;15,IF(V200&gt;1690,IF(V200&lt;2125,"Pass","Fail"),"Fail"),"Fail"))</f>
        <v>Pass</v>
      </c>
      <c r="Z200" s="159">
        <v>1340</v>
      </c>
      <c r="AA200" s="350"/>
      <c r="AC200" s="134">
        <v>1600</v>
      </c>
      <c r="AD200" s="134">
        <v>2600</v>
      </c>
      <c r="AE200" s="160">
        <v>1690</v>
      </c>
      <c r="AF200" s="160">
        <v>2125</v>
      </c>
      <c r="AG200" s="156">
        <v>15</v>
      </c>
      <c r="AH200" s="156">
        <v>15</v>
      </c>
    </row>
    <row r="201" spans="1:34" ht="16.100000000000001" x14ac:dyDescent="0.35">
      <c r="A201"/>
      <c r="B201" s="66" t="s">
        <v>78</v>
      </c>
      <c r="C201" s="171">
        <v>3644</v>
      </c>
      <c r="D201" s="172">
        <v>3595</v>
      </c>
      <c r="E201" s="172">
        <v>3569</v>
      </c>
      <c r="F201" s="172">
        <v>3544</v>
      </c>
      <c r="G201" s="172">
        <v>3513</v>
      </c>
      <c r="H201" s="172">
        <v>3488</v>
      </c>
      <c r="I201" s="172">
        <v>3465</v>
      </c>
      <c r="J201" s="172">
        <v>3459</v>
      </c>
      <c r="K201" s="172">
        <v>3524</v>
      </c>
      <c r="L201" s="172">
        <v>3526</v>
      </c>
      <c r="M201" s="172">
        <v>3486</v>
      </c>
      <c r="N201" s="172">
        <v>3495</v>
      </c>
      <c r="O201" s="172">
        <v>3504</v>
      </c>
      <c r="P201" s="172">
        <v>3513</v>
      </c>
      <c r="Q201" s="172">
        <v>3508</v>
      </c>
      <c r="R201" s="172">
        <v>3502</v>
      </c>
      <c r="S201" s="172">
        <v>3518</v>
      </c>
      <c r="T201" s="162"/>
      <c r="U201" s="163"/>
      <c r="V201" s="163"/>
      <c r="W201" s="158"/>
      <c r="X201" s="330"/>
      <c r="Y201" s="163"/>
      <c r="Z201" s="159"/>
      <c r="AA201" s="350"/>
      <c r="AE201" s="160"/>
      <c r="AF201" s="160"/>
      <c r="AG201" s="156"/>
      <c r="AH201" s="156"/>
    </row>
    <row r="202" spans="1:34" ht="57.6" x14ac:dyDescent="0.35">
      <c r="A202"/>
      <c r="B202" s="173" t="s">
        <v>79</v>
      </c>
      <c r="C202" s="174">
        <f t="shared" ref="C202:S202" si="63">IF(((C200="")*AND(C201="")),"",(C200-C201)*2)</f>
        <v>1796</v>
      </c>
      <c r="D202" s="174">
        <f t="shared" si="63"/>
        <v>1776</v>
      </c>
      <c r="E202" s="174">
        <f t="shared" si="63"/>
        <v>1760</v>
      </c>
      <c r="F202" s="174">
        <f t="shared" si="63"/>
        <v>1754</v>
      </c>
      <c r="G202" s="174">
        <f t="shared" si="63"/>
        <v>1768</v>
      </c>
      <c r="H202" s="174">
        <f t="shared" si="63"/>
        <v>1790</v>
      </c>
      <c r="I202" s="174">
        <f t="shared" si="63"/>
        <v>1830</v>
      </c>
      <c r="J202" s="174">
        <f t="shared" si="63"/>
        <v>1876</v>
      </c>
      <c r="K202" s="174">
        <f t="shared" si="63"/>
        <v>1914</v>
      </c>
      <c r="L202" s="174">
        <f t="shared" si="63"/>
        <v>1834</v>
      </c>
      <c r="M202" s="174">
        <f t="shared" si="63"/>
        <v>1830</v>
      </c>
      <c r="N202" s="174">
        <f t="shared" si="63"/>
        <v>1798</v>
      </c>
      <c r="O202" s="174">
        <f t="shared" si="63"/>
        <v>1780</v>
      </c>
      <c r="P202" s="174">
        <f t="shared" si="63"/>
        <v>1768</v>
      </c>
      <c r="Q202" s="174">
        <f t="shared" si="63"/>
        <v>1792</v>
      </c>
      <c r="R202" s="174">
        <f t="shared" si="63"/>
        <v>1824</v>
      </c>
      <c r="S202" s="175">
        <f t="shared" si="63"/>
        <v>1838</v>
      </c>
      <c r="T202" s="176"/>
      <c r="U202" s="174"/>
      <c r="V202" s="174"/>
      <c r="W202" s="132"/>
      <c r="X202" s="332"/>
      <c r="Y202" s="174"/>
      <c r="Z202" s="177"/>
      <c r="AA202" s="350"/>
      <c r="AE202" s="160"/>
      <c r="AF202" s="160"/>
      <c r="AG202" s="156"/>
      <c r="AH202" s="156"/>
    </row>
    <row r="203" spans="1:34" x14ac:dyDescent="0.3">
      <c r="A203" s="321">
        <v>43402</v>
      </c>
      <c r="B203" s="66" t="s">
        <v>77</v>
      </c>
      <c r="C203" s="51">
        <v>3587.35</v>
      </c>
      <c r="D203" s="51">
        <v>3566.26</v>
      </c>
      <c r="E203" s="51">
        <v>3530.51</v>
      </c>
      <c r="F203" s="51">
        <v>3520.28</v>
      </c>
      <c r="G203" s="51">
        <v>3492.5</v>
      </c>
      <c r="H203" s="51">
        <v>3467.64</v>
      </c>
      <c r="I203" s="51">
        <v>3440.4</v>
      </c>
      <c r="J203" s="51">
        <v>3436.84</v>
      </c>
      <c r="K203" s="51">
        <v>3449.81</v>
      </c>
      <c r="L203" s="51">
        <v>3462.1</v>
      </c>
      <c r="M203" s="51">
        <v>3466.43</v>
      </c>
      <c r="N203" s="51">
        <v>3478.05</v>
      </c>
      <c r="O203" s="51">
        <v>3485.77</v>
      </c>
      <c r="P203" s="51">
        <v>3492.65</v>
      </c>
      <c r="Q203" s="51">
        <v>3483.67</v>
      </c>
      <c r="R203" s="51">
        <v>3479.19</v>
      </c>
      <c r="S203" s="51">
        <v>3475.58</v>
      </c>
      <c r="T203" s="66">
        <f>IF((S204=""),"",MAX(C205:S205))</f>
        <v>1939.8000000000002</v>
      </c>
      <c r="U203" s="66">
        <f>IF(S204="","",MIN(C205:S205))</f>
        <v>1752.96</v>
      </c>
      <c r="V203" s="66">
        <f>IF((S205=""),"",AVERAGE(C205:S205))</f>
        <v>1821.3941176470587</v>
      </c>
      <c r="W203" s="178">
        <f>STDEV(C205:S205)</f>
        <v>51.840178319863966</v>
      </c>
      <c r="X203" s="100">
        <f>IF((S204=""),"",((T203-U203)/(T203+U203))*100)</f>
        <v>5.0596301953010787</v>
      </c>
      <c r="Y203" s="77" t="str">
        <f>IF(S204="","",IF(X203&lt;15,IF(V203&gt;1690,IF(V203&lt;2125,"Pass","Fail"),"Fail"),"Fail"))</f>
        <v>Pass</v>
      </c>
      <c r="Z203" s="179">
        <v>1428</v>
      </c>
      <c r="AA203" s="188" t="s">
        <v>118</v>
      </c>
      <c r="AC203" s="134">
        <v>1600</v>
      </c>
      <c r="AD203" s="134">
        <v>2600</v>
      </c>
      <c r="AE203" s="160">
        <v>1690</v>
      </c>
      <c r="AF203" s="160">
        <v>2125</v>
      </c>
      <c r="AG203" s="156">
        <v>15</v>
      </c>
      <c r="AH203" s="156">
        <v>15</v>
      </c>
    </row>
    <row r="204" spans="1:34" ht="16.100000000000001" x14ac:dyDescent="0.35">
      <c r="A204"/>
      <c r="B204" s="66" t="s">
        <v>78</v>
      </c>
      <c r="C204" s="51">
        <v>2710.87</v>
      </c>
      <c r="D204" s="51">
        <v>2687.31</v>
      </c>
      <c r="E204" s="51">
        <v>2649.6</v>
      </c>
      <c r="F204" s="51">
        <v>2636.11</v>
      </c>
      <c r="G204" s="51">
        <v>2606.7600000000002</v>
      </c>
      <c r="H204" s="51">
        <v>2554.2600000000002</v>
      </c>
      <c r="I204" s="51">
        <v>2513.62</v>
      </c>
      <c r="J204" s="51">
        <v>2488.9899999999998</v>
      </c>
      <c r="K204" s="51">
        <v>2479.91</v>
      </c>
      <c r="L204" s="51">
        <v>2527.6</v>
      </c>
      <c r="M204" s="51">
        <v>2541.94</v>
      </c>
      <c r="N204" s="51">
        <v>2572.83</v>
      </c>
      <c r="O204" s="51">
        <v>2587.54</v>
      </c>
      <c r="P204" s="51">
        <v>2587.6799999999998</v>
      </c>
      <c r="Q204" s="51">
        <v>2574.62</v>
      </c>
      <c r="R204" s="51">
        <v>2562.54</v>
      </c>
      <c r="S204" s="51">
        <v>2551</v>
      </c>
      <c r="T204" s="163"/>
      <c r="U204" s="163"/>
      <c r="V204" s="163"/>
      <c r="W204" s="178"/>
      <c r="X204" s="330"/>
      <c r="Y204" s="163"/>
      <c r="Z204" s="179"/>
      <c r="AA204" s="350"/>
      <c r="AE204" s="160"/>
      <c r="AF204" s="160"/>
      <c r="AG204" s="156"/>
      <c r="AH204" s="156"/>
    </row>
    <row r="205" spans="1:34" ht="58.15" thickBot="1" x14ac:dyDescent="0.4">
      <c r="A205"/>
      <c r="B205" s="79" t="s">
        <v>79</v>
      </c>
      <c r="C205" s="164">
        <f t="shared" ref="C205:S205" si="64">IF(((C203="")*AND(C204="")),"",(C203-C204)*2)</f>
        <v>1752.96</v>
      </c>
      <c r="D205" s="164">
        <f t="shared" si="64"/>
        <v>1757.9000000000005</v>
      </c>
      <c r="E205" s="164">
        <f t="shared" si="64"/>
        <v>1761.8200000000006</v>
      </c>
      <c r="F205" s="164">
        <f t="shared" si="64"/>
        <v>1768.3400000000001</v>
      </c>
      <c r="G205" s="164">
        <f t="shared" si="64"/>
        <v>1771.4799999999996</v>
      </c>
      <c r="H205" s="164">
        <f t="shared" si="64"/>
        <v>1826.7599999999993</v>
      </c>
      <c r="I205" s="164">
        <f t="shared" si="64"/>
        <v>1853.5600000000004</v>
      </c>
      <c r="J205" s="164">
        <f t="shared" si="64"/>
        <v>1895.7000000000007</v>
      </c>
      <c r="K205" s="164">
        <f t="shared" si="64"/>
        <v>1939.8000000000002</v>
      </c>
      <c r="L205" s="164">
        <f t="shared" si="64"/>
        <v>1869</v>
      </c>
      <c r="M205" s="164">
        <f t="shared" si="64"/>
        <v>1848.9799999999996</v>
      </c>
      <c r="N205" s="164">
        <f t="shared" si="64"/>
        <v>1810.4400000000005</v>
      </c>
      <c r="O205" s="164">
        <f t="shared" si="64"/>
        <v>1796.46</v>
      </c>
      <c r="P205" s="164">
        <f t="shared" si="64"/>
        <v>1809.9400000000005</v>
      </c>
      <c r="Q205" s="164">
        <f t="shared" si="64"/>
        <v>1818.1000000000004</v>
      </c>
      <c r="R205" s="164">
        <f t="shared" si="64"/>
        <v>1833.3000000000002</v>
      </c>
      <c r="S205" s="164">
        <f t="shared" si="64"/>
        <v>1849.1599999999999</v>
      </c>
      <c r="T205" s="164"/>
      <c r="U205" s="164"/>
      <c r="V205" s="164"/>
      <c r="W205" s="182"/>
      <c r="X205" s="331"/>
      <c r="Y205" s="164"/>
      <c r="Z205" s="183"/>
      <c r="AA205" s="350"/>
      <c r="AE205" s="160"/>
      <c r="AF205" s="160"/>
      <c r="AG205" s="156"/>
      <c r="AH205" s="156"/>
    </row>
    <row r="206" spans="1:34" x14ac:dyDescent="0.3">
      <c r="A206" s="321">
        <v>43404</v>
      </c>
      <c r="B206" s="66" t="s">
        <v>77</v>
      </c>
      <c r="C206" s="51">
        <v>5514.22</v>
      </c>
      <c r="D206" s="51">
        <v>5481</v>
      </c>
      <c r="E206" s="51">
        <v>5464.62</v>
      </c>
      <c r="F206" s="51">
        <v>5437.1</v>
      </c>
      <c r="G206" s="51">
        <v>5437.38</v>
      </c>
      <c r="H206" s="51">
        <v>5432.73</v>
      </c>
      <c r="I206" s="51">
        <v>5434.39</v>
      </c>
      <c r="J206" s="51">
        <v>5459.38</v>
      </c>
      <c r="K206" s="51">
        <v>5483.84</v>
      </c>
      <c r="L206" s="51">
        <v>5463.62</v>
      </c>
      <c r="M206" s="51">
        <v>5451.74</v>
      </c>
      <c r="N206" s="51">
        <v>5443.12</v>
      </c>
      <c r="O206" s="51">
        <v>5430.65</v>
      </c>
      <c r="P206" s="51">
        <v>5427.98</v>
      </c>
      <c r="Q206" s="51">
        <v>5432.84</v>
      </c>
      <c r="R206" s="51">
        <v>5449.16</v>
      </c>
      <c r="S206" s="51">
        <v>5460.63</v>
      </c>
      <c r="T206" s="157">
        <f>IF((S207=""),"",MAX(C208:S208))</f>
        <v>2187.6399999999994</v>
      </c>
      <c r="U206" s="66">
        <f>IF(S207="","",MIN(C208:S208))</f>
        <v>2046.92</v>
      </c>
      <c r="V206" s="72">
        <f>IF((S208=""),"",AVERAGE(C208:S208))</f>
        <v>2114.9682352941172</v>
      </c>
      <c r="W206" s="158">
        <f>STDEV(C208:S208)</f>
        <v>42.847579312502489</v>
      </c>
      <c r="X206" s="100">
        <f>IF((S207=""),"",((T206-U206)/(T206+U206))*100)</f>
        <v>3.3231315650268121</v>
      </c>
      <c r="Y206" s="77" t="str">
        <f>IF(S207="","",IF(X206&lt;15,IF(V206&gt;1690,IF(V206&lt;2125,"Pass","Fail"),"Fail"),"Fail"))</f>
        <v>Pass</v>
      </c>
      <c r="Z206" s="159">
        <v>1335</v>
      </c>
      <c r="AA206" s="188" t="s">
        <v>96</v>
      </c>
      <c r="AC206" s="134">
        <v>1600</v>
      </c>
      <c r="AD206" s="134">
        <v>2600</v>
      </c>
      <c r="AE206" s="160">
        <v>1690</v>
      </c>
      <c r="AF206" s="160">
        <v>2125</v>
      </c>
      <c r="AG206" s="156">
        <v>15</v>
      </c>
      <c r="AH206" s="156">
        <v>15</v>
      </c>
    </row>
    <row r="207" spans="1:34" ht="16.100000000000001" x14ac:dyDescent="0.35">
      <c r="A207"/>
      <c r="B207" s="66" t="s">
        <v>78</v>
      </c>
      <c r="C207" s="51">
        <v>4490.76</v>
      </c>
      <c r="D207" s="51">
        <v>4451.54</v>
      </c>
      <c r="E207" s="51">
        <v>4426.0200000000004</v>
      </c>
      <c r="F207" s="51">
        <v>4405.88</v>
      </c>
      <c r="G207" s="51">
        <v>4393.4399999999996</v>
      </c>
      <c r="H207" s="51">
        <v>4376.93</v>
      </c>
      <c r="I207" s="51">
        <v>4352.6499999999996</v>
      </c>
      <c r="J207" s="51">
        <v>4365.5600000000004</v>
      </c>
      <c r="K207" s="51">
        <v>4391.2299999999996</v>
      </c>
      <c r="L207" s="51">
        <v>4392.7299999999996</v>
      </c>
      <c r="M207" s="51">
        <v>4376.8500000000004</v>
      </c>
      <c r="N207" s="51">
        <v>4379.7</v>
      </c>
      <c r="O207" s="51">
        <v>4383.8500000000004</v>
      </c>
      <c r="P207" s="51">
        <v>4382.66</v>
      </c>
      <c r="Q207" s="51">
        <v>4381.67</v>
      </c>
      <c r="R207" s="51">
        <v>4378.74</v>
      </c>
      <c r="S207" s="51">
        <v>4396.96</v>
      </c>
      <c r="T207" s="162"/>
      <c r="U207" s="163"/>
      <c r="V207" s="163"/>
      <c r="W207" s="158"/>
      <c r="X207" s="330"/>
      <c r="Y207" s="163"/>
      <c r="Z207" s="159"/>
      <c r="AA207" s="350"/>
      <c r="AE207" s="160"/>
      <c r="AF207" s="160"/>
      <c r="AG207" s="156"/>
      <c r="AH207" s="156"/>
    </row>
    <row r="208" spans="1:34" ht="58.15" thickBot="1" x14ac:dyDescent="0.4">
      <c r="A208"/>
      <c r="B208" s="173" t="s">
        <v>79</v>
      </c>
      <c r="C208" s="174">
        <f t="shared" ref="C208:S208" si="65">IF(((C206="")*AND(C207="")),"",(C206-C207)*2)</f>
        <v>2046.92</v>
      </c>
      <c r="D208" s="174">
        <f t="shared" si="65"/>
        <v>2058.92</v>
      </c>
      <c r="E208" s="174">
        <f t="shared" si="65"/>
        <v>2077.1999999999989</v>
      </c>
      <c r="F208" s="174">
        <f t="shared" si="65"/>
        <v>2062.4400000000005</v>
      </c>
      <c r="G208" s="174">
        <f t="shared" si="65"/>
        <v>2087.880000000001</v>
      </c>
      <c r="H208" s="174">
        <f t="shared" si="65"/>
        <v>2111.5999999999985</v>
      </c>
      <c r="I208" s="174">
        <f t="shared" si="65"/>
        <v>2163.4800000000014</v>
      </c>
      <c r="J208" s="174">
        <f t="shared" si="65"/>
        <v>2187.6399999999994</v>
      </c>
      <c r="K208" s="174">
        <f t="shared" si="65"/>
        <v>2185.2200000000012</v>
      </c>
      <c r="L208" s="174">
        <f t="shared" si="65"/>
        <v>2141.7800000000007</v>
      </c>
      <c r="M208" s="174">
        <f t="shared" si="65"/>
        <v>2149.7799999999988</v>
      </c>
      <c r="N208" s="174">
        <f t="shared" si="65"/>
        <v>2126.84</v>
      </c>
      <c r="O208" s="174">
        <f t="shared" si="65"/>
        <v>2093.5999999999985</v>
      </c>
      <c r="P208" s="174">
        <f t="shared" si="65"/>
        <v>2090.6399999999994</v>
      </c>
      <c r="Q208" s="174">
        <f t="shared" si="65"/>
        <v>2102.34</v>
      </c>
      <c r="R208" s="174">
        <f t="shared" si="65"/>
        <v>2140.84</v>
      </c>
      <c r="S208" s="175">
        <f t="shared" si="65"/>
        <v>2127.34</v>
      </c>
      <c r="T208" s="176"/>
      <c r="U208" s="174"/>
      <c r="V208" s="174"/>
      <c r="W208" s="132"/>
      <c r="X208" s="332"/>
      <c r="Y208" s="174"/>
      <c r="Z208" s="177"/>
      <c r="AA208" s="350"/>
      <c r="AE208" s="160"/>
      <c r="AF208" s="160"/>
      <c r="AG208" s="156"/>
      <c r="AH208" s="156"/>
    </row>
    <row r="209" spans="1:34" x14ac:dyDescent="0.3">
      <c r="A209" s="321">
        <v>43409</v>
      </c>
      <c r="B209" s="66" t="s">
        <v>77</v>
      </c>
      <c r="C209" s="51">
        <v>5519.96</v>
      </c>
      <c r="D209" s="51">
        <v>5505.68</v>
      </c>
      <c r="E209" s="51">
        <v>5482.94</v>
      </c>
      <c r="F209" s="51">
        <v>5460.74</v>
      </c>
      <c r="G209" s="51">
        <v>5450.46</v>
      </c>
      <c r="H209" s="51">
        <v>5457.07</v>
      </c>
      <c r="I209" s="51">
        <v>5459.95</v>
      </c>
      <c r="J209" s="51">
        <v>5475.18</v>
      </c>
      <c r="K209" s="51">
        <v>5476</v>
      </c>
      <c r="L209" s="51">
        <v>5482.18</v>
      </c>
      <c r="M209" s="51">
        <v>5470.71</v>
      </c>
      <c r="N209" s="51">
        <v>5461.66</v>
      </c>
      <c r="O209" s="51">
        <v>5458.97</v>
      </c>
      <c r="P209" s="51">
        <v>5459.05</v>
      </c>
      <c r="Q209" s="51">
        <v>5460.91</v>
      </c>
      <c r="R209" s="51">
        <v>5475.29</v>
      </c>
      <c r="S209" s="51">
        <v>5475.77</v>
      </c>
      <c r="T209" s="157">
        <f>IF((S210=""),"",MAX(C211:S211))</f>
        <v>2205.6000000000004</v>
      </c>
      <c r="U209" s="66">
        <f>IF(S210="","",MIN(C211:S211))</f>
        <v>2033.08</v>
      </c>
      <c r="V209" s="72">
        <f>IF((S211=""),"",AVERAGE(C211:S211))</f>
        <v>2122.967058823529</v>
      </c>
      <c r="W209" s="158">
        <f>STDEV(C211:S211)</f>
        <v>43.033942383412231</v>
      </c>
      <c r="X209" s="100">
        <f>IF((S210=""),"",((T209-U209)/(T209+U209))*100)</f>
        <v>4.0701350420414002</v>
      </c>
      <c r="Y209" s="77" t="str">
        <f>IF(S210="","",IF(X209&lt;15,IF(V209&gt;1690,IF(V209&lt;2125,"Pass","Fail"),"Fail"),"Fail"))</f>
        <v>Pass</v>
      </c>
      <c r="Z209" s="159">
        <v>1335</v>
      </c>
      <c r="AA209" s="350"/>
      <c r="AC209" s="134">
        <v>1600</v>
      </c>
      <c r="AD209" s="134">
        <v>2600</v>
      </c>
      <c r="AE209" s="160">
        <v>1690</v>
      </c>
      <c r="AF209" s="160">
        <v>2125</v>
      </c>
      <c r="AG209" s="156">
        <v>15</v>
      </c>
      <c r="AH209" s="156">
        <v>15</v>
      </c>
    </row>
    <row r="210" spans="1:34" ht="16.100000000000001" x14ac:dyDescent="0.35">
      <c r="A210"/>
      <c r="B210" s="66" t="s">
        <v>78</v>
      </c>
      <c r="C210" s="51">
        <v>4503.42</v>
      </c>
      <c r="D210" s="51">
        <v>4463.3999999999996</v>
      </c>
      <c r="E210" s="51">
        <v>4438.72</v>
      </c>
      <c r="F210" s="51">
        <v>4430.68</v>
      </c>
      <c r="G210" s="51">
        <v>4404.8900000000003</v>
      </c>
      <c r="H210" s="51">
        <v>4390.92</v>
      </c>
      <c r="I210" s="51">
        <v>4376.1099999999997</v>
      </c>
      <c r="J210" s="51">
        <v>4372.38</v>
      </c>
      <c r="K210" s="51">
        <v>4394.79</v>
      </c>
      <c r="L210" s="51">
        <v>4405.62</v>
      </c>
      <c r="M210" s="51">
        <v>4393.91</v>
      </c>
      <c r="N210" s="51">
        <v>4401.63</v>
      </c>
      <c r="O210" s="51">
        <v>4408.43</v>
      </c>
      <c r="P210" s="51">
        <v>4401.97</v>
      </c>
      <c r="Q210" s="51">
        <v>4393.42</v>
      </c>
      <c r="R210" s="51">
        <v>4402.55</v>
      </c>
      <c r="S210" s="51">
        <v>4404.46</v>
      </c>
      <c r="T210" s="162"/>
      <c r="U210" s="163"/>
      <c r="V210" s="163"/>
      <c r="W210" s="158"/>
      <c r="X210" s="330"/>
      <c r="Y210" s="163"/>
      <c r="Z210" s="159"/>
      <c r="AA210" s="350"/>
      <c r="AE210" s="160"/>
      <c r="AF210" s="160"/>
      <c r="AG210" s="156"/>
      <c r="AH210" s="156"/>
    </row>
    <row r="211" spans="1:34" ht="58.15" thickBot="1" x14ac:dyDescent="0.4">
      <c r="A211"/>
      <c r="B211" s="173" t="s">
        <v>79</v>
      </c>
      <c r="C211" s="174">
        <f t="shared" ref="C211:S211" si="66">IF(((C209="")*AND(C210="")),"",(C209-C210)*2)</f>
        <v>2033.08</v>
      </c>
      <c r="D211" s="174">
        <f t="shared" si="66"/>
        <v>2084.5600000000013</v>
      </c>
      <c r="E211" s="174">
        <f t="shared" si="66"/>
        <v>2088.4399999999987</v>
      </c>
      <c r="F211" s="174">
        <f t="shared" si="66"/>
        <v>2060.119999999999</v>
      </c>
      <c r="G211" s="174">
        <f t="shared" si="66"/>
        <v>2091.1399999999994</v>
      </c>
      <c r="H211" s="174">
        <f t="shared" si="66"/>
        <v>2132.2999999999993</v>
      </c>
      <c r="I211" s="174">
        <f t="shared" si="66"/>
        <v>2167.6800000000003</v>
      </c>
      <c r="J211" s="174">
        <f t="shared" si="66"/>
        <v>2205.6000000000004</v>
      </c>
      <c r="K211" s="174">
        <f t="shared" si="66"/>
        <v>2162.42</v>
      </c>
      <c r="L211" s="174">
        <f t="shared" si="66"/>
        <v>2153.1200000000008</v>
      </c>
      <c r="M211" s="174">
        <f t="shared" si="66"/>
        <v>2153.6000000000004</v>
      </c>
      <c r="N211" s="174">
        <f t="shared" si="66"/>
        <v>2120.0599999999995</v>
      </c>
      <c r="O211" s="174">
        <f t="shared" si="66"/>
        <v>2101.08</v>
      </c>
      <c r="P211" s="174">
        <f t="shared" si="66"/>
        <v>2114.16</v>
      </c>
      <c r="Q211" s="174">
        <f t="shared" si="66"/>
        <v>2134.9799999999996</v>
      </c>
      <c r="R211" s="174">
        <f t="shared" si="66"/>
        <v>2145.4799999999996</v>
      </c>
      <c r="S211" s="175">
        <f t="shared" si="66"/>
        <v>2142.6200000000008</v>
      </c>
      <c r="T211" s="176"/>
      <c r="U211" s="174"/>
      <c r="V211" s="174"/>
      <c r="W211" s="132"/>
      <c r="X211" s="332"/>
      <c r="Y211" s="174"/>
      <c r="Z211" s="177"/>
      <c r="AA211" s="350"/>
      <c r="AE211" s="160"/>
      <c r="AF211" s="160"/>
      <c r="AG211" s="156"/>
      <c r="AH211" s="156"/>
    </row>
    <row r="212" spans="1:34" x14ac:dyDescent="0.3">
      <c r="A212" s="321">
        <v>43413</v>
      </c>
      <c r="B212" s="66" t="s">
        <v>77</v>
      </c>
      <c r="C212" s="51">
        <v>3784.36</v>
      </c>
      <c r="D212" s="51">
        <v>3767.09</v>
      </c>
      <c r="E212" s="51">
        <v>3763.27</v>
      </c>
      <c r="F212" s="51">
        <v>3756.08</v>
      </c>
      <c r="G212" s="51">
        <v>3751.17</v>
      </c>
      <c r="H212" s="51">
        <v>3750.93</v>
      </c>
      <c r="I212" s="51">
        <v>3757.9</v>
      </c>
      <c r="J212" s="51">
        <v>3764.63</v>
      </c>
      <c r="K212" s="51">
        <v>3775.6</v>
      </c>
      <c r="L212" s="51">
        <v>3768.77</v>
      </c>
      <c r="M212" s="51">
        <v>3761.62</v>
      </c>
      <c r="N212" s="51">
        <v>3755.95</v>
      </c>
      <c r="O212" s="51">
        <v>3755.32</v>
      </c>
      <c r="P212" s="51">
        <v>3755.07</v>
      </c>
      <c r="Q212" s="51">
        <v>3759.73</v>
      </c>
      <c r="R212" s="51">
        <v>3767</v>
      </c>
      <c r="S212" s="51">
        <v>3774.98</v>
      </c>
      <c r="T212" s="157">
        <f>IF((S213=""),"",MAX(C214:S214))</f>
        <v>2182.66</v>
      </c>
      <c r="U212" s="66">
        <f>IF(S213="","",MIN(C214:S214))</f>
        <v>2031.3200000000006</v>
      </c>
      <c r="V212" s="72">
        <f>IF((S214=""),"",AVERAGE(C214:S214))</f>
        <v>2100.38</v>
      </c>
      <c r="W212" s="158">
        <f>STDEV(C214:S214)</f>
        <v>41.019817771413841</v>
      </c>
      <c r="X212" s="100">
        <f>IF((S213=""),"",((T212-U212)/(T212+U212))*100)</f>
        <v>3.5913791712347765</v>
      </c>
      <c r="Y212" s="77" t="str">
        <f>IF(S213="","",IF(X212&lt;15,IF(V212&gt;1690,IF(V212&lt;2125,"Pass","Fail"),"Fail"),"Fail"))</f>
        <v>Pass</v>
      </c>
      <c r="Z212" s="159">
        <v>1428</v>
      </c>
      <c r="AA212" s="350"/>
      <c r="AC212" s="134">
        <v>1600</v>
      </c>
      <c r="AD212" s="134">
        <v>2600</v>
      </c>
      <c r="AE212" s="160">
        <v>1690</v>
      </c>
      <c r="AF212" s="160">
        <v>2125</v>
      </c>
      <c r="AG212" s="156">
        <v>15</v>
      </c>
      <c r="AH212" s="156">
        <v>15</v>
      </c>
    </row>
    <row r="213" spans="1:34" ht="16.100000000000001" x14ac:dyDescent="0.35">
      <c r="A213"/>
      <c r="B213" s="66" t="s">
        <v>78</v>
      </c>
      <c r="C213" s="51">
        <v>2768.7</v>
      </c>
      <c r="D213" s="51">
        <v>2746.63</v>
      </c>
      <c r="E213" s="51">
        <v>2735.14</v>
      </c>
      <c r="F213" s="51">
        <v>2724.09</v>
      </c>
      <c r="G213" s="51">
        <v>2713.98</v>
      </c>
      <c r="H213" s="51">
        <v>2699.11</v>
      </c>
      <c r="I213" s="51">
        <v>2688.31</v>
      </c>
      <c r="J213" s="51">
        <v>2679.7</v>
      </c>
      <c r="K213" s="51">
        <v>2684.27</v>
      </c>
      <c r="L213" s="51">
        <v>2709.62</v>
      </c>
      <c r="M213" s="51">
        <v>2702.89</v>
      </c>
      <c r="N213" s="51">
        <v>2706.78</v>
      </c>
      <c r="O213" s="51">
        <v>2711.8</v>
      </c>
      <c r="P213" s="51">
        <v>2711.36</v>
      </c>
      <c r="Q213" s="51">
        <v>2708.61</v>
      </c>
      <c r="R213" s="51">
        <v>2706.01</v>
      </c>
      <c r="S213" s="51">
        <v>2719.24</v>
      </c>
      <c r="T213" s="162"/>
      <c r="U213" s="163"/>
      <c r="V213" s="163"/>
      <c r="W213" s="158"/>
      <c r="X213" s="330"/>
      <c r="Y213" s="163"/>
      <c r="Z213" s="159"/>
      <c r="AA213" s="350"/>
      <c r="AE213" s="160"/>
      <c r="AF213" s="160"/>
      <c r="AG213" s="156"/>
      <c r="AH213" s="156"/>
    </row>
    <row r="214" spans="1:34" ht="58.15" thickBot="1" x14ac:dyDescent="0.4">
      <c r="A214"/>
      <c r="B214" s="173" t="s">
        <v>79</v>
      </c>
      <c r="C214" s="174">
        <f t="shared" ref="C214:S214" si="67">IF(((C212="")*AND(C213="")),"",(C212-C213)*2)</f>
        <v>2031.3200000000006</v>
      </c>
      <c r="D214" s="174">
        <f t="shared" si="67"/>
        <v>2040.92</v>
      </c>
      <c r="E214" s="174">
        <f t="shared" si="67"/>
        <v>2056.2600000000002</v>
      </c>
      <c r="F214" s="174">
        <f t="shared" si="67"/>
        <v>2063.9799999999996</v>
      </c>
      <c r="G214" s="174">
        <f t="shared" si="67"/>
        <v>2074.38</v>
      </c>
      <c r="H214" s="174">
        <f t="shared" si="67"/>
        <v>2103.6399999999994</v>
      </c>
      <c r="I214" s="174">
        <f t="shared" si="67"/>
        <v>2139.1800000000003</v>
      </c>
      <c r="J214" s="174">
        <f t="shared" si="67"/>
        <v>2169.8600000000006</v>
      </c>
      <c r="K214" s="174">
        <f t="shared" si="67"/>
        <v>2182.66</v>
      </c>
      <c r="L214" s="174">
        <f t="shared" si="67"/>
        <v>2118.3000000000002</v>
      </c>
      <c r="M214" s="174">
        <f t="shared" si="67"/>
        <v>2117.46</v>
      </c>
      <c r="N214" s="174">
        <f t="shared" si="67"/>
        <v>2098.3399999999992</v>
      </c>
      <c r="O214" s="174">
        <f t="shared" si="67"/>
        <v>2087.04</v>
      </c>
      <c r="P214" s="174">
        <f t="shared" si="67"/>
        <v>2087.42</v>
      </c>
      <c r="Q214" s="174">
        <f t="shared" si="67"/>
        <v>2102.2399999999998</v>
      </c>
      <c r="R214" s="174">
        <f t="shared" si="67"/>
        <v>2121.9799999999996</v>
      </c>
      <c r="S214" s="175">
        <f t="shared" si="67"/>
        <v>2111.4800000000005</v>
      </c>
      <c r="T214" s="176"/>
      <c r="U214" s="174"/>
      <c r="V214" s="174"/>
      <c r="W214" s="132"/>
      <c r="X214" s="332"/>
      <c r="Y214" s="174"/>
      <c r="Z214" s="177"/>
      <c r="AA214" s="350"/>
      <c r="AE214" s="160"/>
      <c r="AF214" s="160"/>
      <c r="AG214" s="156"/>
      <c r="AH214" s="156"/>
    </row>
    <row r="215" spans="1:34" x14ac:dyDescent="0.3">
      <c r="A215" s="321">
        <v>43420</v>
      </c>
      <c r="B215" s="66" t="s">
        <v>77</v>
      </c>
      <c r="C215" s="51">
        <v>4502.29</v>
      </c>
      <c r="D215" s="51">
        <v>4457.3599999999997</v>
      </c>
      <c r="E215" s="51">
        <v>4446.6400000000003</v>
      </c>
      <c r="F215" s="51">
        <v>4424.87</v>
      </c>
      <c r="G215" s="51">
        <v>4407.2700000000004</v>
      </c>
      <c r="H215" s="51">
        <v>4385.01</v>
      </c>
      <c r="I215" s="51">
        <v>4374.1499999999996</v>
      </c>
      <c r="J215" s="51">
        <v>4373.71</v>
      </c>
      <c r="K215" s="51">
        <v>4389.79</v>
      </c>
      <c r="L215" s="51">
        <v>4403.37</v>
      </c>
      <c r="M215" s="51">
        <v>4388.3599999999997</v>
      </c>
      <c r="N215" s="51">
        <v>4389.08</v>
      </c>
      <c r="O215" s="51">
        <v>4397.2700000000004</v>
      </c>
      <c r="P215" s="51">
        <v>4398.45</v>
      </c>
      <c r="Q215" s="51">
        <v>4389.16</v>
      </c>
      <c r="R215" s="51">
        <v>4395</v>
      </c>
      <c r="S215" s="51">
        <v>4402.4799999999996</v>
      </c>
      <c r="T215" s="157">
        <f>IF((S216=""),"",MAX(C217:S217))</f>
        <v>1875.4399999999996</v>
      </c>
      <c r="U215" s="66">
        <f>IF(S216="","",MIN(C217:S217))</f>
        <v>1726.9399999999996</v>
      </c>
      <c r="V215" s="72">
        <f>IF((S217=""),"",AVERAGE(C217:S217))</f>
        <v>1778.778823529412</v>
      </c>
      <c r="W215" s="158">
        <f>STDEV(C217:S217)</f>
        <v>44.504668558808433</v>
      </c>
      <c r="X215" s="100">
        <f>IF((S216=""),"",((T215-U215)/(T215+U215))*100)</f>
        <v>4.122274718380627</v>
      </c>
      <c r="Y215" s="77" t="str">
        <f>IF(S216="","",IF(X215&lt;15,IF(V215&gt;1690,IF(V215&lt;2125,"Pass","Fail"),"Fail"),"Fail"))</f>
        <v>Pass</v>
      </c>
      <c r="Z215" s="159">
        <v>1428</v>
      </c>
      <c r="AA215" s="350"/>
      <c r="AC215" s="134">
        <v>1600</v>
      </c>
      <c r="AD215" s="134">
        <v>2600</v>
      </c>
      <c r="AE215" s="160">
        <v>1690</v>
      </c>
      <c r="AF215" s="160">
        <v>2125</v>
      </c>
      <c r="AG215" s="156">
        <v>15</v>
      </c>
      <c r="AH215" s="156">
        <v>15</v>
      </c>
    </row>
    <row r="216" spans="1:34" ht="16.100000000000001" x14ac:dyDescent="0.35">
      <c r="A216"/>
      <c r="B216" s="66" t="s">
        <v>78</v>
      </c>
      <c r="C216" s="51">
        <v>3621.81</v>
      </c>
      <c r="D216" s="51">
        <v>3593.87</v>
      </c>
      <c r="E216" s="51">
        <v>3573.59</v>
      </c>
      <c r="F216" s="51">
        <v>3561.4</v>
      </c>
      <c r="G216" s="51">
        <v>3543.59</v>
      </c>
      <c r="H216" s="51">
        <v>3499.51</v>
      </c>
      <c r="I216" s="51">
        <v>3461.5</v>
      </c>
      <c r="J216" s="51">
        <v>3445.26</v>
      </c>
      <c r="K216" s="51">
        <v>3452.07</v>
      </c>
      <c r="L216" s="51">
        <v>3499.21</v>
      </c>
      <c r="M216" s="51">
        <v>3490.26</v>
      </c>
      <c r="N216" s="51">
        <v>3505.16</v>
      </c>
      <c r="O216" s="51">
        <v>3523.2</v>
      </c>
      <c r="P216" s="51">
        <v>3527.55</v>
      </c>
      <c r="Q216" s="51">
        <v>3506.79</v>
      </c>
      <c r="R216" s="51">
        <v>3499.93</v>
      </c>
      <c r="S216" s="51">
        <v>3499.94</v>
      </c>
      <c r="T216" s="162"/>
      <c r="U216" s="163"/>
      <c r="V216" s="163"/>
      <c r="W216" s="158"/>
      <c r="X216" s="330"/>
      <c r="Y216" s="163"/>
      <c r="Z216" s="159"/>
      <c r="AA216" s="350"/>
      <c r="AE216" s="160"/>
      <c r="AF216" s="160"/>
      <c r="AG216" s="156"/>
      <c r="AH216" s="156"/>
    </row>
    <row r="217" spans="1:34" ht="57.6" x14ac:dyDescent="0.35">
      <c r="A217"/>
      <c r="B217" s="173" t="s">
        <v>79</v>
      </c>
      <c r="C217" s="174">
        <f t="shared" ref="C217:S217" si="68">IF(((C215="")*AND(C216="")),"",(C215-C216)*2)</f>
        <v>1760.96</v>
      </c>
      <c r="D217" s="174">
        <f t="shared" si="68"/>
        <v>1726.9799999999996</v>
      </c>
      <c r="E217" s="174">
        <f t="shared" si="68"/>
        <v>1746.1000000000004</v>
      </c>
      <c r="F217" s="174">
        <f t="shared" si="68"/>
        <v>1726.9399999999996</v>
      </c>
      <c r="G217" s="174">
        <f t="shared" si="68"/>
        <v>1727.3600000000006</v>
      </c>
      <c r="H217" s="174">
        <f t="shared" si="68"/>
        <v>1771</v>
      </c>
      <c r="I217" s="174">
        <f t="shared" si="68"/>
        <v>1825.2999999999993</v>
      </c>
      <c r="J217" s="174">
        <f t="shared" si="68"/>
        <v>1856.8999999999996</v>
      </c>
      <c r="K217" s="174">
        <f t="shared" si="68"/>
        <v>1875.4399999999996</v>
      </c>
      <c r="L217" s="174">
        <f t="shared" si="68"/>
        <v>1808.3199999999997</v>
      </c>
      <c r="M217" s="174">
        <f t="shared" si="68"/>
        <v>1796.1999999999989</v>
      </c>
      <c r="N217" s="174">
        <f t="shared" si="68"/>
        <v>1767.8400000000001</v>
      </c>
      <c r="O217" s="174">
        <f t="shared" si="68"/>
        <v>1748.1400000000012</v>
      </c>
      <c r="P217" s="174">
        <f t="shared" si="68"/>
        <v>1741.7999999999993</v>
      </c>
      <c r="Q217" s="174">
        <f t="shared" si="68"/>
        <v>1764.7399999999998</v>
      </c>
      <c r="R217" s="174">
        <f t="shared" si="68"/>
        <v>1790.1400000000003</v>
      </c>
      <c r="S217" s="175">
        <f t="shared" si="68"/>
        <v>1805.079999999999</v>
      </c>
      <c r="T217" s="176"/>
      <c r="U217" s="174"/>
      <c r="V217" s="174"/>
      <c r="W217" s="132"/>
      <c r="X217" s="332"/>
      <c r="Y217" s="174"/>
      <c r="Z217" s="177"/>
      <c r="AA217" s="350"/>
      <c r="AE217" s="160"/>
      <c r="AF217" s="160"/>
      <c r="AG217" s="156"/>
      <c r="AH217" s="156"/>
    </row>
    <row r="218" spans="1:34" x14ac:dyDescent="0.3">
      <c r="A218" s="321">
        <v>43424</v>
      </c>
      <c r="B218" s="66" t="s">
        <v>77</v>
      </c>
      <c r="C218" s="51">
        <v>2793.29</v>
      </c>
      <c r="D218" s="51">
        <v>2784.55</v>
      </c>
      <c r="E218" s="51">
        <v>2784.68</v>
      </c>
      <c r="F218" s="51">
        <v>2788.24</v>
      </c>
      <c r="G218" s="51">
        <v>2789.39</v>
      </c>
      <c r="H218" s="51">
        <v>2787.72</v>
      </c>
      <c r="I218" s="51">
        <v>2784.93</v>
      </c>
      <c r="J218" s="51">
        <v>2790.27</v>
      </c>
      <c r="K218" s="51">
        <v>2802.41</v>
      </c>
      <c r="L218" s="51">
        <v>2790.13</v>
      </c>
      <c r="M218" s="51">
        <v>2784.82</v>
      </c>
      <c r="N218" s="51">
        <v>2783.27</v>
      </c>
      <c r="O218" s="51">
        <v>2786.89</v>
      </c>
      <c r="P218" s="51">
        <v>2784.12</v>
      </c>
      <c r="Q218" s="51">
        <v>2780.76</v>
      </c>
      <c r="R218" s="51">
        <v>2783.46</v>
      </c>
      <c r="S218" s="51">
        <v>2794.27</v>
      </c>
      <c r="T218" s="66">
        <f>IF((S219=""),"",MAX(C220:S220))</f>
        <v>1890.54</v>
      </c>
      <c r="U218" s="66">
        <f>IF(S219="","",MIN(C220:S220))</f>
        <v>1674.58</v>
      </c>
      <c r="V218" s="66">
        <f>IF((S220=""),"",AVERAGE(C220:S220))</f>
        <v>1793.6705882352942</v>
      </c>
      <c r="W218" s="178">
        <f>STDEV(C220:S220)</f>
        <v>54.257793503628129</v>
      </c>
      <c r="X218" s="100">
        <f>IF((S219=""),"",((T218-U218)/(T218+U218))*100)</f>
        <v>6.057580109505432</v>
      </c>
      <c r="Y218" s="77" t="str">
        <f>IF(S219="","",IF(X218&lt;15,IF(V218&gt;1690,IF(V218&lt;2125,"Pass","Fail"),"Fail"),"Fail"))</f>
        <v>Pass</v>
      </c>
      <c r="Z218" s="159">
        <v>1335</v>
      </c>
      <c r="AA218" s="188" t="s">
        <v>97</v>
      </c>
      <c r="AC218" s="134">
        <v>1600</v>
      </c>
      <c r="AD218" s="134">
        <v>2600</v>
      </c>
      <c r="AE218" s="160">
        <v>1690</v>
      </c>
      <c r="AF218" s="160">
        <v>2125</v>
      </c>
      <c r="AG218" s="156">
        <v>15</v>
      </c>
      <c r="AH218" s="156">
        <v>15</v>
      </c>
    </row>
    <row r="219" spans="1:34" ht="16.100000000000001" x14ac:dyDescent="0.35">
      <c r="A219"/>
      <c r="B219" s="66" t="s">
        <v>78</v>
      </c>
      <c r="C219" s="163">
        <v>1956</v>
      </c>
      <c r="D219" s="163">
        <v>1920</v>
      </c>
      <c r="E219" s="163">
        <v>1913</v>
      </c>
      <c r="F219" s="163">
        <v>1914</v>
      </c>
      <c r="G219" s="163">
        <v>1903</v>
      </c>
      <c r="H219" s="163">
        <v>1879</v>
      </c>
      <c r="I219" s="163">
        <v>1856</v>
      </c>
      <c r="J219" s="163">
        <v>1845</v>
      </c>
      <c r="K219" s="163">
        <v>1865</v>
      </c>
      <c r="L219" s="163">
        <v>1910</v>
      </c>
      <c r="M219" s="163">
        <v>1874</v>
      </c>
      <c r="N219" s="163">
        <v>1879</v>
      </c>
      <c r="O219" s="163">
        <v>1893</v>
      </c>
      <c r="P219" s="163">
        <v>1893</v>
      </c>
      <c r="Q219" s="163">
        <v>1878</v>
      </c>
      <c r="R219" s="163">
        <v>1874</v>
      </c>
      <c r="S219" s="163">
        <v>1895</v>
      </c>
      <c r="T219" s="163"/>
      <c r="U219" s="163"/>
      <c r="V219" s="163"/>
      <c r="W219" s="178"/>
      <c r="X219" s="330"/>
      <c r="Y219" s="163"/>
      <c r="Z219" s="159"/>
      <c r="AA219" s="350"/>
      <c r="AE219" s="160"/>
      <c r="AF219" s="160"/>
      <c r="AG219" s="156"/>
      <c r="AH219" s="156"/>
    </row>
    <row r="220" spans="1:34" ht="57.6" x14ac:dyDescent="0.35">
      <c r="A220"/>
      <c r="B220" s="66" t="s">
        <v>79</v>
      </c>
      <c r="C220" s="163">
        <f t="shared" ref="C220:S220" si="69">IF(((C218="")*AND(C219="")),"",(C218-C219)*2)</f>
        <v>1674.58</v>
      </c>
      <c r="D220" s="163">
        <f t="shared" si="69"/>
        <v>1729.1000000000004</v>
      </c>
      <c r="E220" s="163">
        <f t="shared" si="69"/>
        <v>1743.3599999999997</v>
      </c>
      <c r="F220" s="163">
        <f t="shared" si="69"/>
        <v>1748.4799999999996</v>
      </c>
      <c r="G220" s="163">
        <f t="shared" si="69"/>
        <v>1772.7799999999997</v>
      </c>
      <c r="H220" s="163">
        <f t="shared" si="69"/>
        <v>1817.4399999999996</v>
      </c>
      <c r="I220" s="163">
        <f t="shared" si="69"/>
        <v>1857.8599999999997</v>
      </c>
      <c r="J220" s="163">
        <f t="shared" si="69"/>
        <v>1890.54</v>
      </c>
      <c r="K220" s="163">
        <f t="shared" si="69"/>
        <v>1874.8199999999997</v>
      </c>
      <c r="L220" s="163">
        <f t="shared" si="69"/>
        <v>1760.2600000000002</v>
      </c>
      <c r="M220" s="163">
        <f t="shared" si="69"/>
        <v>1821.6400000000003</v>
      </c>
      <c r="N220" s="163">
        <f t="shared" si="69"/>
        <v>1808.54</v>
      </c>
      <c r="O220" s="163">
        <f t="shared" si="69"/>
        <v>1787.7799999999997</v>
      </c>
      <c r="P220" s="163">
        <f t="shared" si="69"/>
        <v>1782.2399999999998</v>
      </c>
      <c r="Q220" s="163">
        <f t="shared" si="69"/>
        <v>1805.5200000000004</v>
      </c>
      <c r="R220" s="163">
        <f t="shared" si="69"/>
        <v>1818.92</v>
      </c>
      <c r="S220" s="163">
        <f t="shared" si="69"/>
        <v>1798.54</v>
      </c>
      <c r="T220" s="163"/>
      <c r="U220" s="163"/>
      <c r="V220" s="163"/>
      <c r="W220" s="185"/>
      <c r="X220" s="330"/>
      <c r="Y220" s="163"/>
      <c r="Z220" s="159"/>
      <c r="AA220" s="350"/>
      <c r="AE220" s="160"/>
      <c r="AF220" s="160"/>
      <c r="AG220" s="156"/>
      <c r="AH220" s="156"/>
    </row>
    <row r="221" spans="1:34" x14ac:dyDescent="0.3">
      <c r="A221" s="321">
        <v>43430</v>
      </c>
      <c r="B221" s="66" t="s">
        <v>77</v>
      </c>
      <c r="C221" s="51">
        <v>5453.18</v>
      </c>
      <c r="D221" s="51">
        <v>5405.18</v>
      </c>
      <c r="E221" s="51">
        <v>5360.14</v>
      </c>
      <c r="F221" s="51">
        <v>5342.6</v>
      </c>
      <c r="G221" s="51">
        <v>5333.08</v>
      </c>
      <c r="H221" s="51">
        <v>5332.02</v>
      </c>
      <c r="I221" s="51">
        <v>5349.69</v>
      </c>
      <c r="J221" s="51">
        <v>5366.12</v>
      </c>
      <c r="K221" s="51">
        <v>5399.17</v>
      </c>
      <c r="L221" s="51">
        <v>5367.58</v>
      </c>
      <c r="M221" s="51">
        <v>5363.36</v>
      </c>
      <c r="N221" s="51">
        <v>5345.9</v>
      </c>
      <c r="O221" s="51">
        <v>5342.68</v>
      </c>
      <c r="P221" s="51">
        <v>5333.15</v>
      </c>
      <c r="Q221" s="51">
        <v>5345.15</v>
      </c>
      <c r="R221" s="51">
        <v>5370.78</v>
      </c>
      <c r="S221" s="51">
        <v>5388.9</v>
      </c>
      <c r="T221" s="66">
        <f>IF((S222=""),"",MAX(C223:S223))</f>
        <v>2197.2399999999998</v>
      </c>
      <c r="U221" s="66">
        <f>IF(S222="","",MIN(C223:S223))</f>
        <v>2041.1599999999999</v>
      </c>
      <c r="V221" s="66">
        <f>IF((S223=""),"",AVERAGE(C223:S223))</f>
        <v>2118.6552941176478</v>
      </c>
      <c r="W221" s="178">
        <f>STDEV(C223:S223)</f>
        <v>45.858000681130449</v>
      </c>
      <c r="X221" s="100">
        <f>IF((S222=""),"",((T221-U221)/(T221+U221))*100)</f>
        <v>3.6825217063042639</v>
      </c>
      <c r="Y221" s="77" t="str">
        <f>IF(S222="","",IF(X221&lt;15,IF(V221&gt;1690,IF(V221&lt;2125,"Pass","Fail"),"Fail"),"Fail"))</f>
        <v>Pass</v>
      </c>
      <c r="Z221" s="159">
        <v>74</v>
      </c>
      <c r="AA221" s="350"/>
      <c r="AC221" s="134">
        <v>1600</v>
      </c>
      <c r="AD221" s="134">
        <v>2600</v>
      </c>
      <c r="AE221" s="160">
        <v>1690</v>
      </c>
      <c r="AF221" s="160">
        <v>2125</v>
      </c>
      <c r="AG221" s="156">
        <v>15</v>
      </c>
      <c r="AH221" s="156">
        <v>15</v>
      </c>
    </row>
    <row r="222" spans="1:34" ht="16.100000000000001" x14ac:dyDescent="0.35">
      <c r="A222"/>
      <c r="B222" s="66" t="s">
        <v>78</v>
      </c>
      <c r="C222" s="51">
        <v>4432.6000000000004</v>
      </c>
      <c r="D222" s="51">
        <v>4374.6899999999996</v>
      </c>
      <c r="E222" s="51">
        <v>4333.5</v>
      </c>
      <c r="F222" s="51">
        <v>4303.3599999999997</v>
      </c>
      <c r="G222" s="51">
        <v>4286.6899999999996</v>
      </c>
      <c r="H222" s="51">
        <v>4266.33</v>
      </c>
      <c r="I222" s="51">
        <v>4265.4399999999996</v>
      </c>
      <c r="J222" s="51">
        <v>4268.08</v>
      </c>
      <c r="K222" s="51">
        <v>4300.55</v>
      </c>
      <c r="L222" s="51">
        <v>4307.4799999999996</v>
      </c>
      <c r="M222" s="51">
        <v>4299.1499999999996</v>
      </c>
      <c r="N222" s="51">
        <v>4290.33</v>
      </c>
      <c r="O222" s="51">
        <v>4285.66</v>
      </c>
      <c r="P222" s="51">
        <v>4281.4799999999996</v>
      </c>
      <c r="Q222" s="51">
        <v>4289.03</v>
      </c>
      <c r="R222" s="51">
        <v>4293.76</v>
      </c>
      <c r="S222" s="51">
        <v>4311.9799999999996</v>
      </c>
      <c r="T222" s="163"/>
      <c r="U222" s="163"/>
      <c r="V222" s="163"/>
      <c r="W222" s="178"/>
      <c r="X222" s="330"/>
      <c r="Y222" s="163"/>
      <c r="Z222" s="159"/>
      <c r="AA222" s="350"/>
      <c r="AE222" s="160"/>
      <c r="AF222" s="160"/>
      <c r="AG222" s="156"/>
      <c r="AH222" s="156"/>
    </row>
    <row r="223" spans="1:34" ht="58.15" thickBot="1" x14ac:dyDescent="0.4">
      <c r="A223"/>
      <c r="B223" s="66" t="s">
        <v>79</v>
      </c>
      <c r="C223" s="163">
        <f t="shared" ref="C223:S223" si="70">IF(((C221="")*AND(C222="")),"",(C221-C222)*2)</f>
        <v>2041.1599999999999</v>
      </c>
      <c r="D223" s="163">
        <f t="shared" si="70"/>
        <v>2060.9800000000014</v>
      </c>
      <c r="E223" s="163">
        <f t="shared" si="70"/>
        <v>2053.2800000000007</v>
      </c>
      <c r="F223" s="163">
        <f t="shared" si="70"/>
        <v>2078.4800000000014</v>
      </c>
      <c r="G223" s="163">
        <f t="shared" si="70"/>
        <v>2092.7800000000007</v>
      </c>
      <c r="H223" s="163">
        <f t="shared" si="70"/>
        <v>2131.380000000001</v>
      </c>
      <c r="I223" s="163">
        <f t="shared" si="70"/>
        <v>2168.5</v>
      </c>
      <c r="J223" s="163">
        <f t="shared" si="70"/>
        <v>2196.08</v>
      </c>
      <c r="K223" s="163">
        <f t="shared" si="70"/>
        <v>2197.2399999999998</v>
      </c>
      <c r="L223" s="163">
        <f t="shared" si="70"/>
        <v>2120.2000000000007</v>
      </c>
      <c r="M223" s="163">
        <f t="shared" si="70"/>
        <v>2128.42</v>
      </c>
      <c r="N223" s="163">
        <f t="shared" si="70"/>
        <v>2111.1399999999994</v>
      </c>
      <c r="O223" s="163">
        <f t="shared" si="70"/>
        <v>2114.0400000000009</v>
      </c>
      <c r="P223" s="163">
        <f t="shared" si="70"/>
        <v>2103.34</v>
      </c>
      <c r="Q223" s="163">
        <f t="shared" si="70"/>
        <v>2112.2399999999998</v>
      </c>
      <c r="R223" s="163">
        <f t="shared" si="70"/>
        <v>2154.0399999999991</v>
      </c>
      <c r="S223" s="163">
        <f t="shared" si="70"/>
        <v>2153.84</v>
      </c>
      <c r="T223" s="163"/>
      <c r="U223" s="163"/>
      <c r="V223" s="163"/>
      <c r="W223" s="185"/>
      <c r="X223" s="330"/>
      <c r="Y223" s="163"/>
      <c r="Z223" s="159"/>
      <c r="AA223" s="350"/>
      <c r="AE223" s="160"/>
      <c r="AF223" s="160"/>
      <c r="AG223" s="156"/>
      <c r="AH223" s="156"/>
    </row>
    <row r="224" spans="1:34" x14ac:dyDescent="0.3">
      <c r="A224" s="320">
        <v>43438</v>
      </c>
      <c r="B224" s="66" t="s">
        <v>77</v>
      </c>
      <c r="C224" s="171">
        <v>5269</v>
      </c>
      <c r="D224" s="172">
        <v>5245</v>
      </c>
      <c r="E224" s="172">
        <v>5230</v>
      </c>
      <c r="F224" s="172">
        <v>5219</v>
      </c>
      <c r="G224" s="172">
        <v>5214</v>
      </c>
      <c r="H224" s="172">
        <v>5226</v>
      </c>
      <c r="I224" s="172">
        <v>5231</v>
      </c>
      <c r="J224" s="172">
        <v>5245</v>
      </c>
      <c r="K224" s="172">
        <v>5287</v>
      </c>
      <c r="L224" s="172">
        <v>5262</v>
      </c>
      <c r="M224" s="172">
        <v>5243</v>
      </c>
      <c r="N224" s="172">
        <v>5225</v>
      </c>
      <c r="O224" s="172">
        <v>5216</v>
      </c>
      <c r="P224" s="172">
        <v>5220</v>
      </c>
      <c r="Q224" s="172">
        <v>5226</v>
      </c>
      <c r="R224" s="172">
        <v>5232</v>
      </c>
      <c r="S224" s="184">
        <v>5253</v>
      </c>
      <c r="T224" s="157">
        <f>IF((S225=""),"",MAX(C226:S226))</f>
        <v>2184</v>
      </c>
      <c r="U224" s="66">
        <f>IF(S225="","",MIN(C226:S226))</f>
        <v>2026</v>
      </c>
      <c r="V224" s="72">
        <f>IF((S226=""),"",AVERAGE(C226:S226))</f>
        <v>2121.6470588235293</v>
      </c>
      <c r="W224" s="158">
        <f>STDEV(C226:S226)</f>
        <v>36.367810589294812</v>
      </c>
      <c r="X224" s="100">
        <f>IF((S225=""),"",((T224-U224)/(T224+U224))*100)</f>
        <v>3.7529691211401426</v>
      </c>
      <c r="Y224" s="77" t="str">
        <f>IF(S225="","",IF(X224&lt;15,IF(V224&gt;1690,IF(V224&lt;2125,"Pass","Fail"),"Fail"),"Fail"))</f>
        <v>Pass</v>
      </c>
      <c r="Z224" s="159">
        <v>1340</v>
      </c>
      <c r="AA224" s="350"/>
      <c r="AC224" s="134">
        <v>1600</v>
      </c>
      <c r="AD224" s="134">
        <v>2600</v>
      </c>
      <c r="AE224" s="160">
        <v>1690</v>
      </c>
      <c r="AF224" s="160">
        <v>2125</v>
      </c>
      <c r="AG224" s="156">
        <v>15</v>
      </c>
      <c r="AH224" s="156">
        <v>15</v>
      </c>
    </row>
    <row r="225" spans="1:34" ht="16.100000000000001" x14ac:dyDescent="0.35">
      <c r="A225"/>
      <c r="B225" s="66" t="s">
        <v>78</v>
      </c>
      <c r="C225" s="171">
        <v>4256</v>
      </c>
      <c r="D225" s="172">
        <v>4195</v>
      </c>
      <c r="E225" s="172">
        <v>4175</v>
      </c>
      <c r="F225" s="172">
        <v>4164</v>
      </c>
      <c r="G225" s="172">
        <v>4161</v>
      </c>
      <c r="H225" s="172">
        <v>4153</v>
      </c>
      <c r="I225" s="172">
        <v>4151</v>
      </c>
      <c r="J225" s="172">
        <v>4153</v>
      </c>
      <c r="K225" s="172">
        <v>4228</v>
      </c>
      <c r="L225" s="172">
        <v>4221</v>
      </c>
      <c r="M225" s="172">
        <v>4160</v>
      </c>
      <c r="N225" s="172">
        <v>4156</v>
      </c>
      <c r="O225" s="172">
        <v>4158</v>
      </c>
      <c r="P225" s="172">
        <v>4158</v>
      </c>
      <c r="Q225" s="172">
        <v>4156</v>
      </c>
      <c r="R225" s="172">
        <v>4161</v>
      </c>
      <c r="S225" s="172">
        <v>4203</v>
      </c>
      <c r="T225" s="162"/>
      <c r="U225" s="163"/>
      <c r="V225" s="163"/>
      <c r="W225" s="158"/>
      <c r="X225" s="330"/>
      <c r="Y225" s="163"/>
      <c r="Z225" s="159"/>
      <c r="AA225" s="350"/>
      <c r="AE225" s="160"/>
      <c r="AF225" s="160"/>
      <c r="AG225" s="156"/>
      <c r="AH225" s="156"/>
    </row>
    <row r="226" spans="1:34" ht="58.15" thickBot="1" x14ac:dyDescent="0.4">
      <c r="A226"/>
      <c r="B226" s="173" t="s">
        <v>79</v>
      </c>
      <c r="C226" s="174">
        <f t="shared" ref="C226:S226" si="71">IF(((C224="")*AND(C225="")),"",(C224-C225)*2)</f>
        <v>2026</v>
      </c>
      <c r="D226" s="174">
        <f t="shared" si="71"/>
        <v>2100</v>
      </c>
      <c r="E226" s="174">
        <f t="shared" si="71"/>
        <v>2110</v>
      </c>
      <c r="F226" s="174">
        <f t="shared" si="71"/>
        <v>2110</v>
      </c>
      <c r="G226" s="174">
        <f t="shared" si="71"/>
        <v>2106</v>
      </c>
      <c r="H226" s="174">
        <f t="shared" si="71"/>
        <v>2146</v>
      </c>
      <c r="I226" s="174">
        <f t="shared" si="71"/>
        <v>2160</v>
      </c>
      <c r="J226" s="174">
        <f t="shared" si="71"/>
        <v>2184</v>
      </c>
      <c r="K226" s="174">
        <f t="shared" si="71"/>
        <v>2118</v>
      </c>
      <c r="L226" s="174">
        <f t="shared" si="71"/>
        <v>2082</v>
      </c>
      <c r="M226" s="174">
        <f t="shared" si="71"/>
        <v>2166</v>
      </c>
      <c r="N226" s="174">
        <f t="shared" si="71"/>
        <v>2138</v>
      </c>
      <c r="O226" s="174">
        <f t="shared" si="71"/>
        <v>2116</v>
      </c>
      <c r="P226" s="174">
        <f t="shared" si="71"/>
        <v>2124</v>
      </c>
      <c r="Q226" s="174">
        <f t="shared" si="71"/>
        <v>2140</v>
      </c>
      <c r="R226" s="174">
        <f t="shared" si="71"/>
        <v>2142</v>
      </c>
      <c r="S226" s="175">
        <f t="shared" si="71"/>
        <v>2100</v>
      </c>
      <c r="T226" s="176"/>
      <c r="U226" s="174"/>
      <c r="V226" s="174"/>
      <c r="W226" s="132"/>
      <c r="X226" s="332"/>
      <c r="Y226" s="174"/>
      <c r="Z226" s="177"/>
      <c r="AA226" s="350"/>
      <c r="AE226" s="160"/>
      <c r="AF226" s="160"/>
      <c r="AG226" s="156"/>
      <c r="AH226" s="156"/>
    </row>
    <row r="227" spans="1:34" x14ac:dyDescent="0.3">
      <c r="A227" s="320">
        <v>43452</v>
      </c>
      <c r="B227" s="66" t="s">
        <v>77</v>
      </c>
      <c r="C227" s="51">
        <v>4200.8900000000003</v>
      </c>
      <c r="D227" s="51">
        <v>4169.22</v>
      </c>
      <c r="E227" s="51">
        <v>4161.34</v>
      </c>
      <c r="F227" s="51">
        <v>4161.1400000000003</v>
      </c>
      <c r="G227" s="51">
        <v>4146.22</v>
      </c>
      <c r="H227" s="51">
        <v>4136.21</v>
      </c>
      <c r="I227" s="51">
        <v>4136.83</v>
      </c>
      <c r="J227" s="51">
        <v>4136.8</v>
      </c>
      <c r="K227" s="51">
        <v>4153.5600000000004</v>
      </c>
      <c r="L227" s="51">
        <v>4153.46</v>
      </c>
      <c r="M227" s="51">
        <v>4143.1899999999996</v>
      </c>
      <c r="N227" s="51">
        <v>4142.93</v>
      </c>
      <c r="O227" s="51">
        <v>4140.47</v>
      </c>
      <c r="P227" s="51">
        <v>4143.6099999999997</v>
      </c>
      <c r="Q227" s="51">
        <v>4133.29</v>
      </c>
      <c r="R227" s="51">
        <v>4142.8900000000003</v>
      </c>
      <c r="S227" s="51">
        <v>4158.54</v>
      </c>
      <c r="T227" s="157">
        <f>IF((S228=""),"",MAX(C229:S229))</f>
        <v>1961.0600000000004</v>
      </c>
      <c r="U227" s="66">
        <f>IF(S228="","",MIN(C229:S229))</f>
        <v>1453.0600000000004</v>
      </c>
      <c r="V227" s="72">
        <f>IF((S229=""),"",AVERAGE(C229:S229))</f>
        <v>1558.6141176470589</v>
      </c>
      <c r="W227" s="158">
        <f>STDEV(C229:S229)</f>
        <v>118.24932108995513</v>
      </c>
      <c r="X227" s="100">
        <f>IF((S228=""),"",((T227-U227)/(T227+U227))*100)</f>
        <v>14.87938326713765</v>
      </c>
      <c r="Y227" s="77" t="str">
        <f>IF(S228="","",IF(X227&lt;15,IF(V227&gt;1690,IF(V227&lt;2125,"Pass","Fail"),"Fail"),"Fail"))</f>
        <v>Fail</v>
      </c>
      <c r="Z227" s="159">
        <v>1340</v>
      </c>
      <c r="AA227" s="350"/>
      <c r="AC227" s="134">
        <v>1600</v>
      </c>
      <c r="AD227" s="134">
        <v>2600</v>
      </c>
      <c r="AE227" s="160">
        <v>1690</v>
      </c>
      <c r="AF227" s="160">
        <v>2125</v>
      </c>
      <c r="AG227" s="156">
        <v>15</v>
      </c>
      <c r="AH227" s="156">
        <v>15</v>
      </c>
    </row>
    <row r="228" spans="1:34" ht="16.100000000000001" x14ac:dyDescent="0.35">
      <c r="A228"/>
      <c r="B228" s="66" t="s">
        <v>78</v>
      </c>
      <c r="C228" s="51">
        <v>3466.01</v>
      </c>
      <c r="D228" s="51">
        <v>3442.69</v>
      </c>
      <c r="E228" s="51">
        <v>3429.3</v>
      </c>
      <c r="F228" s="51">
        <v>3418.79</v>
      </c>
      <c r="G228" s="51">
        <v>3400.07</v>
      </c>
      <c r="H228" s="51">
        <v>3371.6</v>
      </c>
      <c r="I228" s="51">
        <v>3342.73</v>
      </c>
      <c r="J228" s="51">
        <v>3324.49</v>
      </c>
      <c r="K228" s="51">
        <v>3326.76</v>
      </c>
      <c r="L228" s="51">
        <v>3365.89</v>
      </c>
      <c r="M228" s="51">
        <v>3364.67</v>
      </c>
      <c r="N228" s="51">
        <v>3162.4</v>
      </c>
      <c r="O228" s="51">
        <v>3391.64</v>
      </c>
      <c r="P228" s="51">
        <v>3390.21</v>
      </c>
      <c r="Q228" s="51">
        <v>3375.86</v>
      </c>
      <c r="R228" s="51">
        <v>3366.75</v>
      </c>
      <c r="S228" s="51">
        <v>3372.51</v>
      </c>
      <c r="T228" s="162"/>
      <c r="U228" s="163"/>
      <c r="V228" s="163"/>
      <c r="W228" s="158"/>
      <c r="X228" s="330"/>
      <c r="Y228" s="163"/>
      <c r="Z228" s="159"/>
      <c r="AA228" s="350"/>
      <c r="AE228" s="160"/>
      <c r="AF228" s="160"/>
      <c r="AG228" s="156"/>
      <c r="AH228" s="156"/>
    </row>
    <row r="229" spans="1:34" ht="58.15" thickBot="1" x14ac:dyDescent="0.4">
      <c r="A229"/>
      <c r="B229" s="173" t="s">
        <v>79</v>
      </c>
      <c r="C229" s="174">
        <f t="shared" ref="C229:S229" si="72">IF(((C227="")*AND(C228="")),"",(C227-C228)*2)</f>
        <v>1469.7600000000002</v>
      </c>
      <c r="D229" s="174">
        <f t="shared" si="72"/>
        <v>1453.0600000000004</v>
      </c>
      <c r="E229" s="174">
        <f t="shared" si="72"/>
        <v>1464.08</v>
      </c>
      <c r="F229" s="174">
        <f t="shared" si="72"/>
        <v>1484.7000000000007</v>
      </c>
      <c r="G229" s="174">
        <f t="shared" si="72"/>
        <v>1492.3000000000002</v>
      </c>
      <c r="H229" s="174">
        <f t="shared" si="72"/>
        <v>1529.2200000000003</v>
      </c>
      <c r="I229" s="174">
        <f t="shared" si="72"/>
        <v>1588.1999999999998</v>
      </c>
      <c r="J229" s="174">
        <f t="shared" si="72"/>
        <v>1624.6200000000008</v>
      </c>
      <c r="K229" s="174">
        <f t="shared" si="72"/>
        <v>1653.6000000000004</v>
      </c>
      <c r="L229" s="174">
        <f t="shared" si="72"/>
        <v>1575.1400000000003</v>
      </c>
      <c r="M229" s="174">
        <f t="shared" si="72"/>
        <v>1557.0399999999991</v>
      </c>
      <c r="N229" s="174">
        <f t="shared" si="72"/>
        <v>1961.0600000000004</v>
      </c>
      <c r="O229" s="174">
        <f t="shared" si="72"/>
        <v>1497.6600000000008</v>
      </c>
      <c r="P229" s="174">
        <f t="shared" si="72"/>
        <v>1506.7999999999993</v>
      </c>
      <c r="Q229" s="174">
        <f t="shared" si="72"/>
        <v>1514.8599999999997</v>
      </c>
      <c r="R229" s="174">
        <f t="shared" si="72"/>
        <v>1552.2800000000007</v>
      </c>
      <c r="S229" s="175">
        <f t="shared" si="72"/>
        <v>1572.0599999999995</v>
      </c>
      <c r="T229" s="176"/>
      <c r="U229" s="174"/>
      <c r="V229" s="174"/>
      <c r="W229" s="132"/>
      <c r="X229" s="332"/>
      <c r="Y229" s="174"/>
      <c r="Z229" s="177"/>
      <c r="AA229" s="350"/>
      <c r="AE229" s="160"/>
      <c r="AF229" s="160"/>
      <c r="AG229" s="156"/>
      <c r="AH229" s="156"/>
    </row>
    <row r="230" spans="1:34" x14ac:dyDescent="0.3">
      <c r="A230" s="320">
        <v>43452</v>
      </c>
      <c r="B230" s="66" t="s">
        <v>77</v>
      </c>
      <c r="C230" s="51">
        <v>3466.96</v>
      </c>
      <c r="D230" s="51">
        <v>3440.71</v>
      </c>
      <c r="E230" s="51">
        <v>3427.86</v>
      </c>
      <c r="F230" s="51">
        <v>3417.67</v>
      </c>
      <c r="G230" s="51">
        <v>3399.1</v>
      </c>
      <c r="H230" s="51">
        <v>3370.92</v>
      </c>
      <c r="I230" s="51">
        <v>3343.3</v>
      </c>
      <c r="J230" s="51">
        <v>3325.73</v>
      </c>
      <c r="K230" s="51">
        <v>3327.01</v>
      </c>
      <c r="L230" s="51">
        <v>3367.87</v>
      </c>
      <c r="M230" s="51">
        <v>3364.86</v>
      </c>
      <c r="N230" s="51">
        <v>3375.84</v>
      </c>
      <c r="O230" s="51">
        <v>3390.67</v>
      </c>
      <c r="P230" s="51">
        <v>3390.87</v>
      </c>
      <c r="Q230" s="51">
        <v>3375.75</v>
      </c>
      <c r="R230" s="51">
        <v>3365.91</v>
      </c>
      <c r="S230" s="51">
        <v>3372.73</v>
      </c>
      <c r="T230" s="157">
        <f>IF((S231=""),"",MAX(C232:S232))</f>
        <v>1754.4000000000005</v>
      </c>
      <c r="U230" s="66">
        <f>IF(S231="","",MIN(C232:S232))</f>
        <v>1623.6000000000004</v>
      </c>
      <c r="V230" s="72">
        <f>IF((S232=""),"",AVERAGE(C232:S232))</f>
        <v>1688.8823529411766</v>
      </c>
      <c r="W230" s="158">
        <f>STDEV(C232:S232)</f>
        <v>41.022037907905712</v>
      </c>
      <c r="X230" s="100">
        <f>IF((S231=""),"",((T230-U230)/(T230+U230))*100)</f>
        <v>3.8721136767317983</v>
      </c>
      <c r="Y230" s="77" t="str">
        <f>IF(S231="","",IF(X230&lt;15,IF(V230&gt;1690,IF(V230&lt;2125,"Pass","Fail"),"Fail"),"Fail"))</f>
        <v>Fail</v>
      </c>
      <c r="Z230" s="159">
        <v>1428</v>
      </c>
      <c r="AA230" s="350"/>
      <c r="AC230" s="134">
        <v>1600</v>
      </c>
      <c r="AD230" s="134">
        <v>2600</v>
      </c>
      <c r="AE230" s="160">
        <v>1690</v>
      </c>
      <c r="AF230" s="160">
        <v>2125</v>
      </c>
      <c r="AG230" s="156">
        <v>15</v>
      </c>
      <c r="AH230" s="156">
        <v>15</v>
      </c>
    </row>
    <row r="231" spans="1:34" ht="16.100000000000001" x14ac:dyDescent="0.35">
      <c r="A231"/>
      <c r="B231" s="66" t="s">
        <v>78</v>
      </c>
      <c r="C231" s="51">
        <v>2630.29</v>
      </c>
      <c r="D231" s="51">
        <v>2616.06</v>
      </c>
      <c r="E231" s="51">
        <v>2616.06</v>
      </c>
      <c r="F231" s="51">
        <v>2602.92</v>
      </c>
      <c r="G231" s="51">
        <v>2537.7800000000002</v>
      </c>
      <c r="H231" s="51">
        <v>2537.7800000000002</v>
      </c>
      <c r="I231" s="51">
        <v>2490.88</v>
      </c>
      <c r="J231" s="51">
        <v>2456.89</v>
      </c>
      <c r="K231" s="51">
        <v>2449.81</v>
      </c>
      <c r="L231" s="51">
        <v>2498.41</v>
      </c>
      <c r="M231" s="51">
        <v>2508.48</v>
      </c>
      <c r="N231" s="51">
        <v>2508.48</v>
      </c>
      <c r="O231" s="51">
        <v>2564.5300000000002</v>
      </c>
      <c r="P231" s="51">
        <v>2565.5700000000002</v>
      </c>
      <c r="Q231" s="51">
        <v>2542.21</v>
      </c>
      <c r="R231" s="51">
        <v>2522.35</v>
      </c>
      <c r="S231" s="51">
        <v>2519.7600000000002</v>
      </c>
      <c r="T231" s="162"/>
      <c r="U231" s="163"/>
      <c r="V231" s="163"/>
      <c r="W231" s="158"/>
      <c r="X231" s="330"/>
      <c r="Y231" s="163"/>
      <c r="Z231" s="159"/>
      <c r="AA231" s="350"/>
      <c r="AE231" s="160"/>
      <c r="AF231" s="160"/>
      <c r="AG231" s="156"/>
      <c r="AH231" s="156"/>
    </row>
    <row r="232" spans="1:34" ht="58.15" thickBot="1" x14ac:dyDescent="0.4">
      <c r="A232"/>
      <c r="B232" s="173" t="s">
        <v>79</v>
      </c>
      <c r="C232" s="174">
        <f t="shared" ref="C232:S232" si="73">IF(((C230="")*AND(C231="")),"",(C230-C231)*2)</f>
        <v>1673.3400000000001</v>
      </c>
      <c r="D232" s="174">
        <f t="shared" si="73"/>
        <v>1649.3000000000002</v>
      </c>
      <c r="E232" s="174">
        <f t="shared" si="73"/>
        <v>1623.6000000000004</v>
      </c>
      <c r="F232" s="174">
        <f t="shared" si="73"/>
        <v>1629.5</v>
      </c>
      <c r="G232" s="174">
        <f t="shared" si="73"/>
        <v>1722.6399999999994</v>
      </c>
      <c r="H232" s="174">
        <f t="shared" si="73"/>
        <v>1666.2799999999997</v>
      </c>
      <c r="I232" s="174">
        <f t="shared" si="73"/>
        <v>1704.8400000000001</v>
      </c>
      <c r="J232" s="174">
        <f t="shared" si="73"/>
        <v>1737.6800000000003</v>
      </c>
      <c r="K232" s="174">
        <f t="shared" si="73"/>
        <v>1754.4000000000005</v>
      </c>
      <c r="L232" s="174">
        <f t="shared" si="73"/>
        <v>1738.92</v>
      </c>
      <c r="M232" s="174">
        <f t="shared" si="73"/>
        <v>1712.7600000000002</v>
      </c>
      <c r="N232" s="174">
        <f t="shared" si="73"/>
        <v>1734.7200000000003</v>
      </c>
      <c r="O232" s="174">
        <f t="shared" si="73"/>
        <v>1652.2799999999997</v>
      </c>
      <c r="P232" s="174">
        <f t="shared" si="73"/>
        <v>1650.5999999999995</v>
      </c>
      <c r="Q232" s="174">
        <f t="shared" si="73"/>
        <v>1667.08</v>
      </c>
      <c r="R232" s="174">
        <f t="shared" si="73"/>
        <v>1687.12</v>
      </c>
      <c r="S232" s="175">
        <f t="shared" si="73"/>
        <v>1705.9399999999996</v>
      </c>
      <c r="T232" s="176"/>
      <c r="U232" s="174"/>
      <c r="V232" s="174"/>
      <c r="W232" s="132"/>
      <c r="X232" s="332"/>
      <c r="Y232" s="174"/>
      <c r="Z232" s="177"/>
      <c r="AA232" s="350"/>
      <c r="AE232" s="160"/>
      <c r="AF232" s="160"/>
      <c r="AG232" s="156"/>
      <c r="AH232" s="156"/>
    </row>
    <row r="233" spans="1:34" x14ac:dyDescent="0.3">
      <c r="A233" s="320">
        <v>43452</v>
      </c>
      <c r="B233" s="66" t="s">
        <v>77</v>
      </c>
      <c r="C233" s="51">
        <v>5330.88</v>
      </c>
      <c r="D233" s="51">
        <v>5314.71</v>
      </c>
      <c r="E233" s="51">
        <v>5302.81</v>
      </c>
      <c r="F233" s="51">
        <v>5296.44</v>
      </c>
      <c r="G233" s="51">
        <v>5284.67</v>
      </c>
      <c r="H233" s="51">
        <v>5297.27</v>
      </c>
      <c r="I233" s="51">
        <v>5295.76</v>
      </c>
      <c r="J233" s="51">
        <v>5314.36</v>
      </c>
      <c r="K233" s="51">
        <v>5336.86</v>
      </c>
      <c r="L233" s="51">
        <v>5320.97</v>
      </c>
      <c r="M233" s="51">
        <v>5312.01</v>
      </c>
      <c r="N233" s="51">
        <v>5302.94</v>
      </c>
      <c r="O233" s="51">
        <v>5297.7</v>
      </c>
      <c r="P233" s="51">
        <v>5296.57</v>
      </c>
      <c r="Q233" s="51">
        <v>5299.82</v>
      </c>
      <c r="R233" s="51">
        <v>5308.56</v>
      </c>
      <c r="S233" s="51">
        <v>5319.44</v>
      </c>
      <c r="T233" s="157">
        <f>IF((S234=""),"",MAX(C235:S235))</f>
        <v>2163.2199999999993</v>
      </c>
      <c r="U233" s="66">
        <f>IF(S234="","",MIN(C235:S235))</f>
        <v>2082.2000000000007</v>
      </c>
      <c r="V233" s="72">
        <f>IF((S235=""),"",AVERAGE(C235:S235))</f>
        <v>2120.6164705882352</v>
      </c>
      <c r="W233" s="158">
        <f>STDEV(C235:S235)</f>
        <v>21.513204358363147</v>
      </c>
      <c r="X233" s="100">
        <f>IF((S234=""),"",((T233-U233)/(T233+U233))*100)</f>
        <v>1.9084095330968105</v>
      </c>
      <c r="Y233" s="77" t="str">
        <f>IF(S234="","",IF(X233&lt;15,IF(V233&gt;1690,IF(V233&lt;2125,"Pass","Fail"),"Fail"),"Fail"))</f>
        <v>Pass</v>
      </c>
      <c r="Z233" s="159">
        <v>1428</v>
      </c>
      <c r="AA233" s="350"/>
      <c r="AC233" s="134">
        <v>1600</v>
      </c>
      <c r="AD233" s="134">
        <v>2600</v>
      </c>
      <c r="AE233" s="160">
        <v>1690</v>
      </c>
      <c r="AF233" s="160">
        <v>2125</v>
      </c>
      <c r="AG233" s="156">
        <v>15</v>
      </c>
      <c r="AH233" s="156">
        <v>15</v>
      </c>
    </row>
    <row r="234" spans="1:34" ht="16.100000000000001" x14ac:dyDescent="0.35">
      <c r="A234"/>
      <c r="B234" s="66" t="s">
        <v>78</v>
      </c>
      <c r="C234" s="51">
        <v>4249.2700000000004</v>
      </c>
      <c r="D234" s="51">
        <v>4235.3900000000003</v>
      </c>
      <c r="E234" s="51">
        <v>4235.47</v>
      </c>
      <c r="F234" s="51">
        <v>4241.88</v>
      </c>
      <c r="G234" s="51">
        <v>4243.57</v>
      </c>
      <c r="H234" s="51">
        <v>4249.1899999999996</v>
      </c>
      <c r="I234" s="51">
        <v>4246.55</v>
      </c>
      <c r="J234" s="51">
        <v>4262.45</v>
      </c>
      <c r="K234" s="51">
        <v>4283.53</v>
      </c>
      <c r="L234" s="51">
        <v>4259.8900000000003</v>
      </c>
      <c r="M234" s="51">
        <v>4252.1400000000003</v>
      </c>
      <c r="N234" s="51">
        <v>4241.6499999999996</v>
      </c>
      <c r="O234" s="51">
        <v>4240.6400000000003</v>
      </c>
      <c r="P234" s="51">
        <v>4239.96</v>
      </c>
      <c r="Q234" s="51">
        <v>4231.41</v>
      </c>
      <c r="R234" s="51">
        <v>4239.71</v>
      </c>
      <c r="S234" s="51">
        <v>4253.83</v>
      </c>
      <c r="T234" s="162"/>
      <c r="U234" s="163"/>
      <c r="V234" s="163"/>
      <c r="W234" s="158"/>
      <c r="X234" s="330"/>
      <c r="Y234" s="163"/>
      <c r="Z234" s="159"/>
      <c r="AA234" s="350"/>
      <c r="AE234" s="160"/>
      <c r="AF234" s="160"/>
      <c r="AG234" s="156"/>
      <c r="AH234" s="156"/>
    </row>
    <row r="235" spans="1:34" ht="58.15" thickBot="1" x14ac:dyDescent="0.4">
      <c r="A235"/>
      <c r="B235" s="173" t="s">
        <v>79</v>
      </c>
      <c r="C235" s="174">
        <f t="shared" ref="C235:S235" si="74">IF(((C233="")*AND(C234="")),"",(C233-C234)*2)</f>
        <v>2163.2199999999993</v>
      </c>
      <c r="D235" s="174">
        <f t="shared" si="74"/>
        <v>2158.6399999999994</v>
      </c>
      <c r="E235" s="174">
        <f t="shared" si="74"/>
        <v>2134.6800000000003</v>
      </c>
      <c r="F235" s="174">
        <f t="shared" si="74"/>
        <v>2109.119999999999</v>
      </c>
      <c r="G235" s="174">
        <f t="shared" si="74"/>
        <v>2082.2000000000007</v>
      </c>
      <c r="H235" s="174">
        <f t="shared" si="74"/>
        <v>2096.1600000000017</v>
      </c>
      <c r="I235" s="174">
        <f t="shared" si="74"/>
        <v>2098.42</v>
      </c>
      <c r="J235" s="174">
        <f t="shared" si="74"/>
        <v>2103.8199999999997</v>
      </c>
      <c r="K235" s="174">
        <f t="shared" si="74"/>
        <v>2106.66</v>
      </c>
      <c r="L235" s="174">
        <f t="shared" si="74"/>
        <v>2122.16</v>
      </c>
      <c r="M235" s="174">
        <f t="shared" si="74"/>
        <v>2119.7399999999998</v>
      </c>
      <c r="N235" s="174">
        <f t="shared" si="74"/>
        <v>2122.58</v>
      </c>
      <c r="O235" s="174">
        <f t="shared" si="74"/>
        <v>2114.119999999999</v>
      </c>
      <c r="P235" s="174">
        <f t="shared" si="74"/>
        <v>2113.2199999999993</v>
      </c>
      <c r="Q235" s="174">
        <f t="shared" si="74"/>
        <v>2136.8199999999997</v>
      </c>
      <c r="R235" s="174">
        <f t="shared" si="74"/>
        <v>2137.7000000000007</v>
      </c>
      <c r="S235" s="175">
        <f t="shared" si="74"/>
        <v>2131.2199999999993</v>
      </c>
      <c r="T235" s="176"/>
      <c r="U235" s="174"/>
      <c r="V235" s="174"/>
      <c r="W235" s="132"/>
      <c r="X235" s="332"/>
      <c r="Y235" s="174"/>
      <c r="Z235" s="177"/>
      <c r="AA235" s="350"/>
      <c r="AE235" s="160"/>
      <c r="AF235" s="160"/>
      <c r="AG235" s="156"/>
      <c r="AH235" s="156"/>
    </row>
    <row r="236" spans="1:34" x14ac:dyDescent="0.3">
      <c r="A236" s="320">
        <v>43458</v>
      </c>
      <c r="B236" s="66" t="s">
        <v>77</v>
      </c>
      <c r="C236" s="171">
        <v>4369</v>
      </c>
      <c r="D236" s="172">
        <v>4306</v>
      </c>
      <c r="E236" s="172">
        <v>4285</v>
      </c>
      <c r="F236" s="172">
        <v>4268</v>
      </c>
      <c r="G236" s="172">
        <v>4260</v>
      </c>
      <c r="H236" s="172">
        <v>4240</v>
      </c>
      <c r="I236" s="172">
        <v>4224</v>
      </c>
      <c r="J236" s="172">
        <v>4227</v>
      </c>
      <c r="K236" s="172">
        <v>4293</v>
      </c>
      <c r="L236" s="172">
        <v>4306</v>
      </c>
      <c r="M236" s="172">
        <v>4251</v>
      </c>
      <c r="N236" s="172">
        <v>4249</v>
      </c>
      <c r="O236" s="172">
        <v>4250</v>
      </c>
      <c r="P236" s="172">
        <v>4253</v>
      </c>
      <c r="Q236" s="172">
        <v>4245</v>
      </c>
      <c r="R236" s="172">
        <v>4249</v>
      </c>
      <c r="S236" s="172">
        <v>4297</v>
      </c>
      <c r="T236" s="157">
        <f>IF((S237=""),"",MAX(C238:S238))</f>
        <v>1880</v>
      </c>
      <c r="U236" s="66">
        <f>IF(S237="","",MIN(C238:S238))</f>
        <v>1700</v>
      </c>
      <c r="V236" s="72">
        <f>IF((S238=""),"",AVERAGE(C238:S238))</f>
        <v>1772</v>
      </c>
      <c r="W236" s="158">
        <f>STDEV(C238:S238)</f>
        <v>51.249390240275055</v>
      </c>
      <c r="X236" s="100">
        <f>IF((S237=""),"",((T236-U236)/(T236+U236))*100)</f>
        <v>5.027932960893855</v>
      </c>
      <c r="Y236" s="77" t="str">
        <f>IF(S237="","",IF(X236&lt;15,IF(V236&gt;1690,IF(V236&lt;2125,"Pass","Fail"),"Fail"),"Fail"))</f>
        <v>Pass</v>
      </c>
      <c r="Z236" s="159">
        <v>1428</v>
      </c>
      <c r="AA236" s="350"/>
      <c r="AC236" s="134">
        <v>1600</v>
      </c>
      <c r="AD236" s="134">
        <v>2600</v>
      </c>
      <c r="AE236" s="160">
        <v>1690</v>
      </c>
      <c r="AF236" s="160">
        <v>2125</v>
      </c>
      <c r="AG236" s="156">
        <v>15</v>
      </c>
      <c r="AH236" s="156">
        <v>15</v>
      </c>
    </row>
    <row r="237" spans="1:34" ht="16.100000000000001" x14ac:dyDescent="0.35">
      <c r="A237"/>
      <c r="B237" s="66" t="s">
        <v>78</v>
      </c>
      <c r="C237" s="171">
        <v>3509</v>
      </c>
      <c r="D237" s="172">
        <v>3448</v>
      </c>
      <c r="E237" s="172">
        <v>3428</v>
      </c>
      <c r="F237" s="172">
        <v>3418</v>
      </c>
      <c r="G237" s="172">
        <v>3396</v>
      </c>
      <c r="H237" s="172">
        <v>3355</v>
      </c>
      <c r="I237" s="172">
        <v>3310</v>
      </c>
      <c r="J237" s="172">
        <v>3287</v>
      </c>
      <c r="K237" s="172">
        <v>3366</v>
      </c>
      <c r="L237" s="172">
        <v>3406</v>
      </c>
      <c r="M237" s="172">
        <v>3350</v>
      </c>
      <c r="N237" s="172">
        <v>3359</v>
      </c>
      <c r="O237" s="172">
        <v>3381</v>
      </c>
      <c r="P237" s="172">
        <v>3379</v>
      </c>
      <c r="Q237" s="172">
        <v>3361</v>
      </c>
      <c r="R237" s="172">
        <v>3351</v>
      </c>
      <c r="S237" s="172">
        <v>3406</v>
      </c>
      <c r="T237" s="162"/>
      <c r="U237" s="163"/>
      <c r="V237" s="163"/>
      <c r="W237" s="158"/>
      <c r="X237" s="330"/>
      <c r="Y237" s="163"/>
      <c r="Z237" s="159"/>
      <c r="AA237" s="350"/>
      <c r="AE237" s="160"/>
      <c r="AF237" s="160"/>
      <c r="AG237" s="156"/>
      <c r="AH237" s="156"/>
    </row>
    <row r="238" spans="1:34" ht="58.15" thickBot="1" x14ac:dyDescent="0.4">
      <c r="A238"/>
      <c r="B238" s="173" t="s">
        <v>79</v>
      </c>
      <c r="C238" s="174">
        <f t="shared" ref="C238:S238" si="75">IF(((C236="")*AND(C237="")),"",(C236-C237)*2)</f>
        <v>1720</v>
      </c>
      <c r="D238" s="174">
        <f t="shared" si="75"/>
        <v>1716</v>
      </c>
      <c r="E238" s="174">
        <f t="shared" si="75"/>
        <v>1714</v>
      </c>
      <c r="F238" s="174">
        <f t="shared" si="75"/>
        <v>1700</v>
      </c>
      <c r="G238" s="174">
        <f t="shared" si="75"/>
        <v>1728</v>
      </c>
      <c r="H238" s="174">
        <f t="shared" si="75"/>
        <v>1770</v>
      </c>
      <c r="I238" s="174">
        <f t="shared" si="75"/>
        <v>1828</v>
      </c>
      <c r="J238" s="174">
        <f t="shared" si="75"/>
        <v>1880</v>
      </c>
      <c r="K238" s="174">
        <f t="shared" si="75"/>
        <v>1854</v>
      </c>
      <c r="L238" s="174">
        <f t="shared" si="75"/>
        <v>1800</v>
      </c>
      <c r="M238" s="174">
        <f t="shared" si="75"/>
        <v>1802</v>
      </c>
      <c r="N238" s="174">
        <f t="shared" si="75"/>
        <v>1780</v>
      </c>
      <c r="O238" s="174">
        <f t="shared" si="75"/>
        <v>1738</v>
      </c>
      <c r="P238" s="174">
        <f t="shared" si="75"/>
        <v>1748</v>
      </c>
      <c r="Q238" s="174">
        <f t="shared" si="75"/>
        <v>1768</v>
      </c>
      <c r="R238" s="174">
        <f t="shared" si="75"/>
        <v>1796</v>
      </c>
      <c r="S238" s="175">
        <f t="shared" si="75"/>
        <v>1782</v>
      </c>
      <c r="T238" s="176"/>
      <c r="U238" s="174"/>
      <c r="V238" s="174"/>
      <c r="W238" s="132"/>
      <c r="X238" s="332"/>
      <c r="Y238" s="174"/>
      <c r="Z238" s="177"/>
      <c r="AA238" s="350"/>
      <c r="AE238" s="160"/>
      <c r="AF238" s="160"/>
      <c r="AG238" s="156"/>
      <c r="AH238" s="156"/>
    </row>
    <row r="239" spans="1:34" x14ac:dyDescent="0.3">
      <c r="A239" s="320">
        <v>43460</v>
      </c>
      <c r="B239" s="66" t="s">
        <v>77</v>
      </c>
      <c r="C239" s="171">
        <v>5407</v>
      </c>
      <c r="D239" s="172">
        <v>5366</v>
      </c>
      <c r="E239" s="172">
        <v>5345</v>
      </c>
      <c r="F239" s="172">
        <v>5339</v>
      </c>
      <c r="G239" s="172">
        <v>5335</v>
      </c>
      <c r="H239" s="172">
        <v>5339</v>
      </c>
      <c r="I239" s="172">
        <v>5351</v>
      </c>
      <c r="J239" s="172">
        <v>5367</v>
      </c>
      <c r="K239" s="172">
        <v>5403</v>
      </c>
      <c r="L239" s="172">
        <v>5365</v>
      </c>
      <c r="M239" s="172">
        <v>5354</v>
      </c>
      <c r="N239" s="172">
        <v>5342</v>
      </c>
      <c r="O239" s="172">
        <v>5339</v>
      </c>
      <c r="P239" s="172">
        <v>5339</v>
      </c>
      <c r="Q239" s="172">
        <v>5345</v>
      </c>
      <c r="R239" s="172">
        <v>5359</v>
      </c>
      <c r="S239" s="184">
        <v>5365</v>
      </c>
      <c r="T239" s="157">
        <f>IF((S240=""),"",MAX(C241:S241))</f>
        <v>2176</v>
      </c>
      <c r="U239" s="66">
        <f>IF(S240="","",MIN(C241:S241))</f>
        <v>2022</v>
      </c>
      <c r="V239" s="72">
        <f>IF((S241=""),"",AVERAGE(C241:S241))</f>
        <v>2108.4705882352941</v>
      </c>
      <c r="W239" s="158">
        <f>STDEV(C241:S241)</f>
        <v>38.739704514649475</v>
      </c>
      <c r="X239" s="100">
        <f>IF((S240=""),"",((T239-U239)/(T239+U239))*100)</f>
        <v>3.6684135302525012</v>
      </c>
      <c r="Y239" s="77" t="str">
        <f>IF(S240="","",IF(X239&lt;15,IF(V239&gt;1690,IF(V239&lt;2125,"Pass","Fail"),"Fail"),"Fail"))</f>
        <v>Pass</v>
      </c>
      <c r="Z239" s="159">
        <v>1340</v>
      </c>
      <c r="AA239" s="350"/>
      <c r="AC239" s="134">
        <v>1600</v>
      </c>
      <c r="AD239" s="134">
        <v>2600</v>
      </c>
      <c r="AE239" s="160">
        <v>1690</v>
      </c>
      <c r="AF239" s="160">
        <v>2125</v>
      </c>
      <c r="AG239" s="156">
        <v>15</v>
      </c>
      <c r="AH239" s="156">
        <v>15</v>
      </c>
    </row>
    <row r="240" spans="1:34" ht="16.100000000000001" x14ac:dyDescent="0.35">
      <c r="A240"/>
      <c r="B240" s="66" t="s">
        <v>78</v>
      </c>
      <c r="C240" s="171">
        <v>4396</v>
      </c>
      <c r="D240" s="172">
        <v>4321</v>
      </c>
      <c r="E240" s="172">
        <v>4307</v>
      </c>
      <c r="F240" s="172">
        <v>4289</v>
      </c>
      <c r="G240" s="172">
        <v>4285</v>
      </c>
      <c r="H240" s="172">
        <v>4283</v>
      </c>
      <c r="I240" s="172">
        <v>4273</v>
      </c>
      <c r="J240" s="172">
        <v>4279</v>
      </c>
      <c r="K240" s="172">
        <v>4336</v>
      </c>
      <c r="L240" s="172">
        <v>4316</v>
      </c>
      <c r="M240" s="172">
        <v>4275</v>
      </c>
      <c r="N240" s="172">
        <v>4275</v>
      </c>
      <c r="O240" s="172">
        <v>4283</v>
      </c>
      <c r="P240" s="172">
        <v>4288</v>
      </c>
      <c r="Q240" s="172">
        <v>4288</v>
      </c>
      <c r="R240" s="172">
        <v>4301</v>
      </c>
      <c r="S240" s="184">
        <v>4343</v>
      </c>
      <c r="T240" s="162"/>
      <c r="U240" s="163"/>
      <c r="V240" s="163"/>
      <c r="W240" s="158"/>
      <c r="X240" s="330"/>
      <c r="Y240" s="163"/>
      <c r="Z240" s="159"/>
      <c r="AA240" s="350"/>
      <c r="AE240" s="160"/>
      <c r="AF240" s="160"/>
      <c r="AG240" s="156"/>
      <c r="AH240" s="156"/>
    </row>
    <row r="241" spans="1:34" ht="58.15" thickBot="1" x14ac:dyDescent="0.4">
      <c r="A241"/>
      <c r="B241" s="173" t="s">
        <v>79</v>
      </c>
      <c r="C241" s="174">
        <f t="shared" ref="C241:S241" si="76">IF(((C239="")*AND(C240="")),"",(C239-C240)*2)</f>
        <v>2022</v>
      </c>
      <c r="D241" s="174">
        <f t="shared" si="76"/>
        <v>2090</v>
      </c>
      <c r="E241" s="174">
        <f t="shared" si="76"/>
        <v>2076</v>
      </c>
      <c r="F241" s="174">
        <f t="shared" si="76"/>
        <v>2100</v>
      </c>
      <c r="G241" s="174">
        <f t="shared" si="76"/>
        <v>2100</v>
      </c>
      <c r="H241" s="174">
        <f t="shared" si="76"/>
        <v>2112</v>
      </c>
      <c r="I241" s="174">
        <f t="shared" si="76"/>
        <v>2156</v>
      </c>
      <c r="J241" s="174">
        <f t="shared" si="76"/>
        <v>2176</v>
      </c>
      <c r="K241" s="174">
        <f t="shared" si="76"/>
        <v>2134</v>
      </c>
      <c r="L241" s="174">
        <f t="shared" si="76"/>
        <v>2098</v>
      </c>
      <c r="M241" s="174">
        <f t="shared" si="76"/>
        <v>2158</v>
      </c>
      <c r="N241" s="174">
        <f t="shared" si="76"/>
        <v>2134</v>
      </c>
      <c r="O241" s="174">
        <f t="shared" si="76"/>
        <v>2112</v>
      </c>
      <c r="P241" s="174">
        <f t="shared" si="76"/>
        <v>2102</v>
      </c>
      <c r="Q241" s="174">
        <f t="shared" si="76"/>
        <v>2114</v>
      </c>
      <c r="R241" s="174">
        <f t="shared" si="76"/>
        <v>2116</v>
      </c>
      <c r="S241" s="175">
        <f t="shared" si="76"/>
        <v>2044</v>
      </c>
      <c r="T241" s="176"/>
      <c r="U241" s="174"/>
      <c r="V241" s="174"/>
      <c r="W241" s="132"/>
      <c r="X241" s="332"/>
      <c r="Y241" s="174"/>
      <c r="Z241" s="177"/>
      <c r="AA241" s="350"/>
      <c r="AE241" s="160"/>
      <c r="AF241" s="160"/>
      <c r="AG241" s="156"/>
      <c r="AH241" s="156"/>
    </row>
    <row r="242" spans="1:34" x14ac:dyDescent="0.3">
      <c r="A242" s="320">
        <v>43466</v>
      </c>
      <c r="B242" s="66" t="s">
        <v>77</v>
      </c>
      <c r="C242" s="171">
        <v>5381</v>
      </c>
      <c r="D242" s="172">
        <v>5337</v>
      </c>
      <c r="E242" s="172">
        <v>5314</v>
      </c>
      <c r="F242" s="172">
        <v>5309</v>
      </c>
      <c r="G242" s="172">
        <v>5304</v>
      </c>
      <c r="H242" s="172">
        <v>5309</v>
      </c>
      <c r="I242" s="172">
        <v>5322</v>
      </c>
      <c r="J242" s="172">
        <v>5336</v>
      </c>
      <c r="K242" s="172">
        <v>5374</v>
      </c>
      <c r="L242" s="172">
        <v>5333</v>
      </c>
      <c r="M242" s="172">
        <v>5320</v>
      </c>
      <c r="N242" s="172">
        <v>5318</v>
      </c>
      <c r="O242" s="172">
        <v>5311</v>
      </c>
      <c r="P242" s="172">
        <v>5307</v>
      </c>
      <c r="Q242" s="172">
        <v>5322</v>
      </c>
      <c r="R242" s="172">
        <v>5338</v>
      </c>
      <c r="S242" s="184">
        <v>5358</v>
      </c>
      <c r="T242" s="157">
        <f>IF((S243=""),"",MAX(C244:S244))</f>
        <v>2190</v>
      </c>
      <c r="U242" s="66">
        <f>IF(S243="","",MIN(C244:S244))</f>
        <v>2024</v>
      </c>
      <c r="V242" s="72">
        <f>IF((S244=""),"",AVERAGE(C244:S244))</f>
        <v>2114.2352941176468</v>
      </c>
      <c r="W242" s="158">
        <f>STDEV(C244:S244)</f>
        <v>42.976053523684428</v>
      </c>
      <c r="X242" s="100">
        <f>IF((S243=""),"",((T242-U242)/(T242+U242))*100)</f>
        <v>3.9392501186521121</v>
      </c>
      <c r="Y242" s="77" t="str">
        <f>IF(S243="","",IF(X242&lt;15,IF(V242&gt;1690,IF(V242&lt;2125,"Pass","Fail"),"Fail"),"Fail"))</f>
        <v>Pass</v>
      </c>
      <c r="Z242" s="159" t="s">
        <v>98</v>
      </c>
      <c r="AA242" s="334" t="s">
        <v>99</v>
      </c>
      <c r="AC242" s="134">
        <v>1600</v>
      </c>
      <c r="AD242" s="134">
        <v>2600</v>
      </c>
      <c r="AE242" s="160">
        <v>1690</v>
      </c>
      <c r="AF242" s="160">
        <v>2125</v>
      </c>
      <c r="AG242" s="156">
        <v>15</v>
      </c>
      <c r="AH242" s="156">
        <v>15</v>
      </c>
    </row>
    <row r="243" spans="1:34" ht="16.100000000000001" x14ac:dyDescent="0.35">
      <c r="A243"/>
      <c r="B243" s="66" t="s">
        <v>78</v>
      </c>
      <c r="C243" s="171">
        <v>4369</v>
      </c>
      <c r="D243" s="172">
        <v>4302</v>
      </c>
      <c r="E243" s="172">
        <v>4281</v>
      </c>
      <c r="F243" s="172">
        <v>4268</v>
      </c>
      <c r="G243" s="172">
        <v>4253</v>
      </c>
      <c r="H243" s="172">
        <v>4248</v>
      </c>
      <c r="I243" s="172">
        <v>4240</v>
      </c>
      <c r="J243" s="172">
        <v>4241</v>
      </c>
      <c r="K243" s="172">
        <v>4311</v>
      </c>
      <c r="L243" s="172">
        <v>4279</v>
      </c>
      <c r="M243" s="172">
        <v>4242</v>
      </c>
      <c r="N243" s="172">
        <v>4251</v>
      </c>
      <c r="O243" s="172">
        <v>4254</v>
      </c>
      <c r="P243" s="172">
        <v>4253</v>
      </c>
      <c r="Q243" s="172">
        <v>4246</v>
      </c>
      <c r="R243" s="172">
        <v>4260</v>
      </c>
      <c r="S243" s="184">
        <v>4324</v>
      </c>
      <c r="T243" s="162"/>
      <c r="U243" s="163"/>
      <c r="V243" s="163"/>
      <c r="W243" s="158"/>
      <c r="X243" s="330"/>
      <c r="Y243" s="163"/>
      <c r="Z243" s="159"/>
      <c r="AA243" s="350"/>
    </row>
    <row r="244" spans="1:34" ht="57.6" x14ac:dyDescent="0.35">
      <c r="A244"/>
      <c r="B244" s="66" t="s">
        <v>79</v>
      </c>
      <c r="C244" s="163">
        <f t="shared" ref="C244:S244" si="77">IF(((C242="")*AND(C243="")),"",(C242-C243)*2)</f>
        <v>2024</v>
      </c>
      <c r="D244" s="163">
        <f t="shared" si="77"/>
        <v>2070</v>
      </c>
      <c r="E244" s="163">
        <f t="shared" si="77"/>
        <v>2066</v>
      </c>
      <c r="F244" s="163">
        <f t="shared" si="77"/>
        <v>2082</v>
      </c>
      <c r="G244" s="163">
        <f t="shared" si="77"/>
        <v>2102</v>
      </c>
      <c r="H244" s="163">
        <f t="shared" si="77"/>
        <v>2122</v>
      </c>
      <c r="I244" s="163">
        <f t="shared" si="77"/>
        <v>2164</v>
      </c>
      <c r="J244" s="163">
        <f t="shared" si="77"/>
        <v>2190</v>
      </c>
      <c r="K244" s="163">
        <f t="shared" si="77"/>
        <v>2126</v>
      </c>
      <c r="L244" s="163">
        <f t="shared" si="77"/>
        <v>2108</v>
      </c>
      <c r="M244" s="163">
        <f t="shared" si="77"/>
        <v>2156</v>
      </c>
      <c r="N244" s="163">
        <f t="shared" si="77"/>
        <v>2134</v>
      </c>
      <c r="O244" s="163">
        <f t="shared" si="77"/>
        <v>2114</v>
      </c>
      <c r="P244" s="163">
        <f t="shared" si="77"/>
        <v>2108</v>
      </c>
      <c r="Q244" s="163">
        <f t="shared" si="77"/>
        <v>2152</v>
      </c>
      <c r="R244" s="163">
        <f t="shared" si="77"/>
        <v>2156</v>
      </c>
      <c r="S244" s="323">
        <f t="shared" si="77"/>
        <v>2068</v>
      </c>
      <c r="T244" s="162"/>
      <c r="U244" s="163"/>
      <c r="V244" s="163"/>
      <c r="W244" s="324"/>
      <c r="X244" s="330"/>
      <c r="Y244" s="163"/>
      <c r="Z244" s="159"/>
      <c r="AA244" s="350"/>
    </row>
    <row r="245" spans="1:34" x14ac:dyDescent="0.3">
      <c r="W245" s="132"/>
    </row>
  </sheetData>
  <autoFilter ref="A10:AH244"/>
  <mergeCells count="1">
    <mergeCell ref="C9:S9"/>
  </mergeCells>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cfRule type="cellIs" dxfId="13" priority="61" stopIfTrue="1" operator="equal">
      <formula>"Fail"</formula>
    </cfRule>
    <cfRule type="cellIs" dxfId="12" priority="6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6:A123"/>
  <sheetViews>
    <sheetView workbookViewId="0">
      <selection activeCell="W21" sqref="W21"/>
    </sheetView>
  </sheetViews>
  <sheetFormatPr defaultRowHeight="16.100000000000001" x14ac:dyDescent="0.35"/>
  <sheetData>
    <row r="26" spans="1:1" x14ac:dyDescent="0.35">
      <c r="A26" s="230"/>
    </row>
    <row r="27" spans="1:1" x14ac:dyDescent="0.35">
      <c r="A27" s="230"/>
    </row>
    <row r="28" spans="1:1" x14ac:dyDescent="0.35">
      <c r="A28" s="230"/>
    </row>
    <row r="29" spans="1:1" x14ac:dyDescent="0.35">
      <c r="A29" s="230"/>
    </row>
    <row r="30" spans="1:1" x14ac:dyDescent="0.35">
      <c r="A30" s="230"/>
    </row>
    <row r="31" spans="1:1" x14ac:dyDescent="0.35">
      <c r="A31" s="230"/>
    </row>
    <row r="32" spans="1:1" x14ac:dyDescent="0.35">
      <c r="A32" s="230"/>
    </row>
    <row r="33" spans="1:1" x14ac:dyDescent="0.35">
      <c r="A33" s="230"/>
    </row>
    <row r="34" spans="1:1" x14ac:dyDescent="0.35">
      <c r="A34" s="230"/>
    </row>
    <row r="35" spans="1:1" x14ac:dyDescent="0.35">
      <c r="A35" s="230"/>
    </row>
    <row r="36" spans="1:1" x14ac:dyDescent="0.35">
      <c r="A36" s="230"/>
    </row>
    <row r="37" spans="1:1" x14ac:dyDescent="0.35">
      <c r="A37" s="230"/>
    </row>
    <row r="38" spans="1:1" x14ac:dyDescent="0.35">
      <c r="A38" s="230"/>
    </row>
    <row r="39" spans="1:1" x14ac:dyDescent="0.35">
      <c r="A39" s="230"/>
    </row>
    <row r="40" spans="1:1" x14ac:dyDescent="0.35">
      <c r="A40" s="230"/>
    </row>
    <row r="41" spans="1:1" x14ac:dyDescent="0.35">
      <c r="A41" s="230"/>
    </row>
    <row r="42" spans="1:1" x14ac:dyDescent="0.35">
      <c r="A42" s="230"/>
    </row>
    <row r="43" spans="1:1" x14ac:dyDescent="0.35">
      <c r="A43" s="230"/>
    </row>
    <row r="44" spans="1:1" x14ac:dyDescent="0.35">
      <c r="A44" s="230"/>
    </row>
    <row r="45" spans="1:1" x14ac:dyDescent="0.35">
      <c r="A45" s="230"/>
    </row>
    <row r="46" spans="1:1" x14ac:dyDescent="0.35">
      <c r="A46" s="230"/>
    </row>
    <row r="47" spans="1:1" x14ac:dyDescent="0.35">
      <c r="A47" s="230"/>
    </row>
    <row r="48" spans="1:1" x14ac:dyDescent="0.35">
      <c r="A48" s="230"/>
    </row>
    <row r="49" spans="1:1" x14ac:dyDescent="0.35">
      <c r="A49" s="230"/>
    </row>
    <row r="50" spans="1:1" x14ac:dyDescent="0.35">
      <c r="A50" s="230"/>
    </row>
    <row r="51" spans="1:1" x14ac:dyDescent="0.35">
      <c r="A51" s="230"/>
    </row>
    <row r="52" spans="1:1" x14ac:dyDescent="0.35">
      <c r="A52" s="230"/>
    </row>
    <row r="53" spans="1:1" x14ac:dyDescent="0.35">
      <c r="A53" s="230"/>
    </row>
    <row r="54" spans="1:1" x14ac:dyDescent="0.35">
      <c r="A54" s="230"/>
    </row>
    <row r="55" spans="1:1" x14ac:dyDescent="0.35">
      <c r="A55" s="230"/>
    </row>
    <row r="56" spans="1:1" x14ac:dyDescent="0.35">
      <c r="A56" s="230"/>
    </row>
    <row r="57" spans="1:1" x14ac:dyDescent="0.35">
      <c r="A57" s="230"/>
    </row>
    <row r="58" spans="1:1" x14ac:dyDescent="0.35">
      <c r="A58" s="230"/>
    </row>
    <row r="59" spans="1:1" x14ac:dyDescent="0.35">
      <c r="A59" s="230"/>
    </row>
    <row r="60" spans="1:1" x14ac:dyDescent="0.35">
      <c r="A60" s="230"/>
    </row>
    <row r="61" spans="1:1" x14ac:dyDescent="0.35">
      <c r="A61" s="230"/>
    </row>
    <row r="62" spans="1:1" x14ac:dyDescent="0.35">
      <c r="A62" s="230"/>
    </row>
    <row r="63" spans="1:1" x14ac:dyDescent="0.35">
      <c r="A63" s="230"/>
    </row>
    <row r="64" spans="1:1" x14ac:dyDescent="0.35">
      <c r="A64" s="230"/>
    </row>
    <row r="65" spans="1:1" x14ac:dyDescent="0.35">
      <c r="A65" s="230"/>
    </row>
    <row r="66" spans="1:1" x14ac:dyDescent="0.35">
      <c r="A66" s="230"/>
    </row>
    <row r="67" spans="1:1" x14ac:dyDescent="0.35">
      <c r="A67" s="230"/>
    </row>
    <row r="68" spans="1:1" x14ac:dyDescent="0.35">
      <c r="A68" s="230"/>
    </row>
    <row r="69" spans="1:1" x14ac:dyDescent="0.35">
      <c r="A69" s="230"/>
    </row>
    <row r="70" spans="1:1" x14ac:dyDescent="0.35">
      <c r="A70" s="230"/>
    </row>
    <row r="71" spans="1:1" x14ac:dyDescent="0.35">
      <c r="A71" s="230"/>
    </row>
    <row r="72" spans="1:1" x14ac:dyDescent="0.35">
      <c r="A72" s="230"/>
    </row>
    <row r="73" spans="1:1" x14ac:dyDescent="0.35">
      <c r="A73" s="230"/>
    </row>
    <row r="74" spans="1:1" x14ac:dyDescent="0.35">
      <c r="A74" s="230"/>
    </row>
    <row r="75" spans="1:1" x14ac:dyDescent="0.35">
      <c r="A75" s="230"/>
    </row>
    <row r="76" spans="1:1" x14ac:dyDescent="0.35">
      <c r="A76" s="230"/>
    </row>
    <row r="77" spans="1:1" x14ac:dyDescent="0.35">
      <c r="A77" s="230"/>
    </row>
    <row r="78" spans="1:1" x14ac:dyDescent="0.35">
      <c r="A78" s="230"/>
    </row>
    <row r="79" spans="1:1" x14ac:dyDescent="0.35">
      <c r="A79" s="230"/>
    </row>
    <row r="80" spans="1:1" x14ac:dyDescent="0.35">
      <c r="A80" s="230"/>
    </row>
    <row r="81" spans="1:1" x14ac:dyDescent="0.35">
      <c r="A81" s="230"/>
    </row>
    <row r="82" spans="1:1" x14ac:dyDescent="0.35">
      <c r="A82" s="230"/>
    </row>
    <row r="83" spans="1:1" x14ac:dyDescent="0.35">
      <c r="A83" s="230"/>
    </row>
    <row r="84" spans="1:1" x14ac:dyDescent="0.35">
      <c r="A84" s="230"/>
    </row>
    <row r="85" spans="1:1" x14ac:dyDescent="0.35">
      <c r="A85" s="230"/>
    </row>
    <row r="86" spans="1:1" x14ac:dyDescent="0.35">
      <c r="A86" s="230"/>
    </row>
    <row r="87" spans="1:1" x14ac:dyDescent="0.35">
      <c r="A87" s="230"/>
    </row>
    <row r="88" spans="1:1" x14ac:dyDescent="0.35">
      <c r="A88" s="230"/>
    </row>
    <row r="89" spans="1:1" x14ac:dyDescent="0.35">
      <c r="A89" s="230"/>
    </row>
    <row r="90" spans="1:1" x14ac:dyDescent="0.35">
      <c r="A90" s="230"/>
    </row>
    <row r="91" spans="1:1" x14ac:dyDescent="0.35">
      <c r="A91" s="230"/>
    </row>
    <row r="92" spans="1:1" x14ac:dyDescent="0.35">
      <c r="A92" s="230"/>
    </row>
    <row r="93" spans="1:1" x14ac:dyDescent="0.35">
      <c r="A93" s="230"/>
    </row>
    <row r="94" spans="1:1" x14ac:dyDescent="0.35">
      <c r="A94" s="230"/>
    </row>
    <row r="95" spans="1:1" x14ac:dyDescent="0.35">
      <c r="A95" s="230"/>
    </row>
    <row r="96" spans="1:1" x14ac:dyDescent="0.35">
      <c r="A96" s="230"/>
    </row>
    <row r="97" spans="1:1" x14ac:dyDescent="0.35">
      <c r="A97" s="230"/>
    </row>
    <row r="98" spans="1:1" x14ac:dyDescent="0.35">
      <c r="A98" s="230"/>
    </row>
    <row r="99" spans="1:1" x14ac:dyDescent="0.35">
      <c r="A99" s="230"/>
    </row>
    <row r="100" spans="1:1" x14ac:dyDescent="0.35">
      <c r="A100" s="230"/>
    </row>
    <row r="101" spans="1:1" x14ac:dyDescent="0.35">
      <c r="A101" s="230"/>
    </row>
    <row r="102" spans="1:1" x14ac:dyDescent="0.35">
      <c r="A102" s="230"/>
    </row>
    <row r="103" spans="1:1" x14ac:dyDescent="0.35">
      <c r="A103" s="230"/>
    </row>
    <row r="104" spans="1:1" x14ac:dyDescent="0.35">
      <c r="A104" s="230"/>
    </row>
    <row r="105" spans="1:1" x14ac:dyDescent="0.35">
      <c r="A105" s="230"/>
    </row>
    <row r="106" spans="1:1" x14ac:dyDescent="0.35">
      <c r="A106" s="230"/>
    </row>
    <row r="107" spans="1:1" x14ac:dyDescent="0.35">
      <c r="A107" s="230"/>
    </row>
    <row r="108" spans="1:1" x14ac:dyDescent="0.35">
      <c r="A108" s="230"/>
    </row>
    <row r="109" spans="1:1" x14ac:dyDescent="0.35">
      <c r="A109" s="230"/>
    </row>
    <row r="110" spans="1:1" x14ac:dyDescent="0.35">
      <c r="A110" s="230"/>
    </row>
    <row r="111" spans="1:1" x14ac:dyDescent="0.35">
      <c r="A111" s="230"/>
    </row>
    <row r="112" spans="1:1" x14ac:dyDescent="0.35">
      <c r="A112" s="230"/>
    </row>
    <row r="113" spans="1:1" x14ac:dyDescent="0.35">
      <c r="A113" s="230"/>
    </row>
    <row r="114" spans="1:1" x14ac:dyDescent="0.35">
      <c r="A114" s="230"/>
    </row>
    <row r="115" spans="1:1" x14ac:dyDescent="0.35">
      <c r="A115" s="230"/>
    </row>
    <row r="116" spans="1:1" x14ac:dyDescent="0.35">
      <c r="A116" s="230"/>
    </row>
    <row r="117" spans="1:1" x14ac:dyDescent="0.35">
      <c r="A117" s="230"/>
    </row>
    <row r="118" spans="1:1" x14ac:dyDescent="0.35">
      <c r="A118" s="230"/>
    </row>
    <row r="119" spans="1:1" x14ac:dyDescent="0.35">
      <c r="A119" s="230"/>
    </row>
    <row r="120" spans="1:1" x14ac:dyDescent="0.35">
      <c r="A120" s="230"/>
    </row>
    <row r="121" spans="1:1" x14ac:dyDescent="0.35">
      <c r="A121" s="230"/>
    </row>
    <row r="122" spans="1:1" x14ac:dyDescent="0.35">
      <c r="A122" s="230"/>
    </row>
    <row r="123" spans="1:1" x14ac:dyDescent="0.35">
      <c r="A123" s="230"/>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0"/>
  <sheetViews>
    <sheetView topLeftCell="H7" zoomScale="90" zoomScaleNormal="90" workbookViewId="0">
      <selection activeCell="X52" sqref="X52"/>
    </sheetView>
  </sheetViews>
  <sheetFormatPr defaultRowHeight="16.100000000000001" x14ac:dyDescent="0.35"/>
  <sheetData>
    <row r="29" spans="1:1" x14ac:dyDescent="0.35">
      <c r="A29" s="230"/>
    </row>
    <row r="30" spans="1:1" x14ac:dyDescent="0.35">
      <c r="A30" s="230"/>
    </row>
    <row r="31" spans="1:1" x14ac:dyDescent="0.35">
      <c r="A31" s="230"/>
    </row>
    <row r="32" spans="1:1" x14ac:dyDescent="0.35">
      <c r="A32" s="230"/>
    </row>
    <row r="33" spans="1:1" x14ac:dyDescent="0.35">
      <c r="A33" s="230"/>
    </row>
    <row r="34" spans="1:1" x14ac:dyDescent="0.35">
      <c r="A34" s="230"/>
    </row>
    <row r="35" spans="1:1" x14ac:dyDescent="0.35">
      <c r="A35" s="230"/>
    </row>
    <row r="36" spans="1:1" x14ac:dyDescent="0.35">
      <c r="A36" s="230"/>
    </row>
    <row r="37" spans="1:1" x14ac:dyDescent="0.35">
      <c r="A37" s="230"/>
    </row>
    <row r="38" spans="1:1" x14ac:dyDescent="0.35">
      <c r="A38" s="230"/>
    </row>
    <row r="39" spans="1:1" x14ac:dyDescent="0.35">
      <c r="A39" s="230"/>
    </row>
    <row r="40" spans="1:1" x14ac:dyDescent="0.35">
      <c r="A40" s="230"/>
    </row>
    <row r="41" spans="1:1" x14ac:dyDescent="0.35">
      <c r="A41" s="230"/>
    </row>
    <row r="42" spans="1:1" x14ac:dyDescent="0.35">
      <c r="A42" s="230"/>
    </row>
    <row r="43" spans="1:1" x14ac:dyDescent="0.35">
      <c r="A43" s="230"/>
    </row>
    <row r="44" spans="1:1" x14ac:dyDescent="0.35">
      <c r="A44" s="230"/>
    </row>
    <row r="45" spans="1:1" x14ac:dyDescent="0.35">
      <c r="A45" s="230"/>
    </row>
    <row r="46" spans="1:1" x14ac:dyDescent="0.35">
      <c r="A46" s="230"/>
    </row>
    <row r="47" spans="1:1" x14ac:dyDescent="0.35">
      <c r="A47" s="230"/>
    </row>
    <row r="48" spans="1:1" x14ac:dyDescent="0.35">
      <c r="A48" s="230"/>
    </row>
    <row r="49" spans="1:1" x14ac:dyDescent="0.35">
      <c r="A49" s="230"/>
    </row>
    <row r="50" spans="1:1" x14ac:dyDescent="0.35">
      <c r="A50" s="230"/>
    </row>
    <row r="51" spans="1:1" x14ac:dyDescent="0.35">
      <c r="A51" s="230"/>
    </row>
    <row r="52" spans="1:1" x14ac:dyDescent="0.35">
      <c r="A52" s="230"/>
    </row>
    <row r="53" spans="1:1" x14ac:dyDescent="0.35">
      <c r="A53" s="230"/>
    </row>
    <row r="54" spans="1:1" x14ac:dyDescent="0.35">
      <c r="A54" s="230"/>
    </row>
    <row r="55" spans="1:1" x14ac:dyDescent="0.35">
      <c r="A55" s="230"/>
    </row>
    <row r="56" spans="1:1" x14ac:dyDescent="0.35">
      <c r="A56" s="230"/>
    </row>
    <row r="57" spans="1:1" x14ac:dyDescent="0.35">
      <c r="A57" s="230"/>
    </row>
    <row r="58" spans="1:1" x14ac:dyDescent="0.35">
      <c r="A58" s="230"/>
    </row>
    <row r="59" spans="1:1" x14ac:dyDescent="0.35">
      <c r="A59" s="230"/>
    </row>
    <row r="60" spans="1:1" x14ac:dyDescent="0.35">
      <c r="A60" s="230"/>
    </row>
    <row r="61" spans="1:1" x14ac:dyDescent="0.35">
      <c r="A61" s="230"/>
    </row>
    <row r="62" spans="1:1" x14ac:dyDescent="0.35">
      <c r="A62" s="230"/>
    </row>
    <row r="63" spans="1:1" x14ac:dyDescent="0.35">
      <c r="A63" s="230"/>
    </row>
    <row r="64" spans="1:1" x14ac:dyDescent="0.35">
      <c r="A64" s="230"/>
    </row>
    <row r="65" spans="1:1" x14ac:dyDescent="0.35">
      <c r="A65" s="230"/>
    </row>
    <row r="66" spans="1:1" x14ac:dyDescent="0.35">
      <c r="A66" s="230"/>
    </row>
    <row r="67" spans="1:1" x14ac:dyDescent="0.35">
      <c r="A67" s="230"/>
    </row>
    <row r="68" spans="1:1" x14ac:dyDescent="0.35">
      <c r="A68" s="230"/>
    </row>
    <row r="69" spans="1:1" x14ac:dyDescent="0.35">
      <c r="A69" s="230"/>
    </row>
    <row r="70" spans="1:1" x14ac:dyDescent="0.35">
      <c r="A70" s="230"/>
    </row>
    <row r="71" spans="1:1" x14ac:dyDescent="0.35">
      <c r="A71" s="230"/>
    </row>
    <row r="72" spans="1:1" x14ac:dyDescent="0.35">
      <c r="A72" s="230"/>
    </row>
    <row r="73" spans="1:1" x14ac:dyDescent="0.35">
      <c r="A73" s="230"/>
    </row>
    <row r="74" spans="1:1" x14ac:dyDescent="0.35">
      <c r="A74" s="230"/>
    </row>
    <row r="75" spans="1:1" x14ac:dyDescent="0.35">
      <c r="A75" s="230"/>
    </row>
    <row r="76" spans="1:1" x14ac:dyDescent="0.35">
      <c r="A76" s="230"/>
    </row>
    <row r="77" spans="1:1" x14ac:dyDescent="0.35">
      <c r="A77" s="230"/>
    </row>
    <row r="78" spans="1:1" x14ac:dyDescent="0.35">
      <c r="A78" s="230"/>
    </row>
    <row r="79" spans="1:1" x14ac:dyDescent="0.35">
      <c r="A79" s="230"/>
    </row>
    <row r="80" spans="1:1" x14ac:dyDescent="0.35">
      <c r="A80" s="230"/>
    </row>
    <row r="81" spans="1:1" x14ac:dyDescent="0.35">
      <c r="A81" s="230"/>
    </row>
    <row r="82" spans="1:1" x14ac:dyDescent="0.35">
      <c r="A82" s="230"/>
    </row>
    <row r="83" spans="1:1" x14ac:dyDescent="0.35">
      <c r="A83" s="230"/>
    </row>
    <row r="84" spans="1:1" x14ac:dyDescent="0.35">
      <c r="A84" s="230"/>
    </row>
    <row r="85" spans="1:1" x14ac:dyDescent="0.35">
      <c r="A85" s="230"/>
    </row>
    <row r="86" spans="1:1" x14ac:dyDescent="0.35">
      <c r="A86" s="230"/>
    </row>
    <row r="87" spans="1:1" x14ac:dyDescent="0.35">
      <c r="A87" s="230"/>
    </row>
    <row r="88" spans="1:1" x14ac:dyDescent="0.35">
      <c r="A88" s="230"/>
    </row>
    <row r="89" spans="1:1" x14ac:dyDescent="0.35">
      <c r="A89" s="230"/>
    </row>
    <row r="90" spans="1:1" x14ac:dyDescent="0.35">
      <c r="A90" s="230"/>
    </row>
    <row r="91" spans="1:1" x14ac:dyDescent="0.35">
      <c r="A91" s="230"/>
    </row>
    <row r="92" spans="1:1" x14ac:dyDescent="0.35">
      <c r="A92" s="230"/>
    </row>
    <row r="93" spans="1:1" x14ac:dyDescent="0.35">
      <c r="A93" s="230"/>
    </row>
    <row r="94" spans="1:1" x14ac:dyDescent="0.35">
      <c r="A94" s="230"/>
    </row>
    <row r="95" spans="1:1" x14ac:dyDescent="0.35">
      <c r="A95" s="230"/>
    </row>
    <row r="96" spans="1:1" x14ac:dyDescent="0.35">
      <c r="A96" s="230"/>
    </row>
    <row r="97" spans="1:1" x14ac:dyDescent="0.35">
      <c r="A97" s="230"/>
    </row>
    <row r="98" spans="1:1" x14ac:dyDescent="0.35">
      <c r="A98" s="230"/>
    </row>
    <row r="99" spans="1:1" x14ac:dyDescent="0.35">
      <c r="A99" s="230"/>
    </row>
    <row r="100" spans="1:1" x14ac:dyDescent="0.35">
      <c r="A100" s="230"/>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6"/>
  <sheetViews>
    <sheetView topLeftCell="A13" workbookViewId="0">
      <selection activeCell="J17" sqref="J17"/>
    </sheetView>
  </sheetViews>
  <sheetFormatPr defaultRowHeight="16.100000000000001" x14ac:dyDescent="0.35"/>
  <sheetData>
    <row r="29" spans="1:1" x14ac:dyDescent="0.35">
      <c r="A29" s="230"/>
    </row>
    <row r="30" spans="1:1" x14ac:dyDescent="0.35">
      <c r="A30" s="230"/>
    </row>
    <row r="31" spans="1:1" x14ac:dyDescent="0.35">
      <c r="A31" s="230"/>
    </row>
    <row r="32" spans="1:1" x14ac:dyDescent="0.35">
      <c r="A32" s="230"/>
    </row>
    <row r="33" spans="1:1" x14ac:dyDescent="0.35">
      <c r="A33" s="230"/>
    </row>
    <row r="34" spans="1:1" x14ac:dyDescent="0.35">
      <c r="A34" s="230"/>
    </row>
    <row r="35" spans="1:1" x14ac:dyDescent="0.35">
      <c r="A35" s="230"/>
    </row>
    <row r="36" spans="1:1" x14ac:dyDescent="0.35">
      <c r="A36" s="230"/>
    </row>
    <row r="37" spans="1:1" x14ac:dyDescent="0.35">
      <c r="A37" s="230"/>
    </row>
    <row r="38" spans="1:1" x14ac:dyDescent="0.35">
      <c r="A38" s="230"/>
    </row>
    <row r="39" spans="1:1" x14ac:dyDescent="0.35">
      <c r="A39" s="230"/>
    </row>
    <row r="40" spans="1:1" x14ac:dyDescent="0.35">
      <c r="A40" s="230"/>
    </row>
    <row r="41" spans="1:1" x14ac:dyDescent="0.35">
      <c r="A41" s="230"/>
    </row>
    <row r="42" spans="1:1" x14ac:dyDescent="0.35">
      <c r="A42" s="230"/>
    </row>
    <row r="43" spans="1:1" x14ac:dyDescent="0.35">
      <c r="A43" s="230"/>
    </row>
    <row r="44" spans="1:1" x14ac:dyDescent="0.35">
      <c r="A44" s="230"/>
    </row>
    <row r="45" spans="1:1" x14ac:dyDescent="0.35">
      <c r="A45" s="230"/>
    </row>
    <row r="46" spans="1:1" x14ac:dyDescent="0.35">
      <c r="A46" s="230"/>
    </row>
    <row r="47" spans="1:1" x14ac:dyDescent="0.35">
      <c r="A47" s="230"/>
    </row>
    <row r="48" spans="1:1" x14ac:dyDescent="0.35">
      <c r="A48" s="230"/>
    </row>
    <row r="49" spans="1:1" x14ac:dyDescent="0.35">
      <c r="A49" s="230"/>
    </row>
    <row r="50" spans="1:1" x14ac:dyDescent="0.35">
      <c r="A50" s="230"/>
    </row>
    <row r="51" spans="1:1" x14ac:dyDescent="0.35">
      <c r="A51" s="230"/>
    </row>
    <row r="52" spans="1:1" x14ac:dyDescent="0.35">
      <c r="A52" s="230"/>
    </row>
    <row r="53" spans="1:1" x14ac:dyDescent="0.35">
      <c r="A53" s="230"/>
    </row>
    <row r="54" spans="1:1" x14ac:dyDescent="0.35">
      <c r="A54" s="230"/>
    </row>
    <row r="55" spans="1:1" x14ac:dyDescent="0.35">
      <c r="A55" s="230"/>
    </row>
    <row r="56" spans="1:1" x14ac:dyDescent="0.35">
      <c r="A56" s="230"/>
    </row>
    <row r="57" spans="1:1" x14ac:dyDescent="0.35">
      <c r="A57" s="230"/>
    </row>
    <row r="58" spans="1:1" x14ac:dyDescent="0.35">
      <c r="A58" s="230"/>
    </row>
    <row r="59" spans="1:1" x14ac:dyDescent="0.35">
      <c r="A59" s="230"/>
    </row>
    <row r="60" spans="1:1" x14ac:dyDescent="0.35">
      <c r="A60" s="230"/>
    </row>
    <row r="61" spans="1:1" x14ac:dyDescent="0.35">
      <c r="A61" s="230"/>
    </row>
    <row r="62" spans="1:1" x14ac:dyDescent="0.35">
      <c r="A62" s="230"/>
    </row>
    <row r="63" spans="1:1" x14ac:dyDescent="0.35">
      <c r="A63" s="230"/>
    </row>
    <row r="64" spans="1:1" x14ac:dyDescent="0.35">
      <c r="A64" s="230"/>
    </row>
    <row r="65" spans="1:1" x14ac:dyDescent="0.35">
      <c r="A65" s="230"/>
    </row>
    <row r="66" spans="1:1" x14ac:dyDescent="0.35">
      <c r="A66" s="230"/>
    </row>
    <row r="67" spans="1:1" x14ac:dyDescent="0.35">
      <c r="A67" s="230"/>
    </row>
    <row r="68" spans="1:1" x14ac:dyDescent="0.35">
      <c r="A68" s="230"/>
    </row>
    <row r="69" spans="1:1" x14ac:dyDescent="0.35">
      <c r="A69" s="230"/>
    </row>
    <row r="70" spans="1:1" x14ac:dyDescent="0.35">
      <c r="A70" s="230"/>
    </row>
    <row r="71" spans="1:1" x14ac:dyDescent="0.35">
      <c r="A71" s="230"/>
    </row>
    <row r="72" spans="1:1" x14ac:dyDescent="0.35">
      <c r="A72" s="230"/>
    </row>
    <row r="73" spans="1:1" x14ac:dyDescent="0.35">
      <c r="A73" s="230"/>
    </row>
    <row r="74" spans="1:1" x14ac:dyDescent="0.35">
      <c r="A74" s="230"/>
    </row>
    <row r="75" spans="1:1" x14ac:dyDescent="0.35">
      <c r="A75" s="230"/>
    </row>
    <row r="76" spans="1:1" x14ac:dyDescent="0.35">
      <c r="A76" s="230"/>
    </row>
    <row r="77" spans="1:1" x14ac:dyDescent="0.35">
      <c r="A77" s="230"/>
    </row>
    <row r="78" spans="1:1" x14ac:dyDescent="0.35">
      <c r="A78" s="230"/>
    </row>
    <row r="79" spans="1:1" x14ac:dyDescent="0.35">
      <c r="A79" s="230"/>
    </row>
    <row r="80" spans="1:1" x14ac:dyDescent="0.35">
      <c r="A80" s="230"/>
    </row>
    <row r="81" spans="1:1" x14ac:dyDescent="0.35">
      <c r="A81" s="230"/>
    </row>
    <row r="82" spans="1:1" x14ac:dyDescent="0.35">
      <c r="A82" s="230"/>
    </row>
    <row r="83" spans="1:1" x14ac:dyDescent="0.35">
      <c r="A83" s="230"/>
    </row>
    <row r="84" spans="1:1" x14ac:dyDescent="0.35">
      <c r="A84" s="230"/>
    </row>
    <row r="85" spans="1:1" x14ac:dyDescent="0.35">
      <c r="A85" s="230"/>
    </row>
    <row r="86" spans="1:1" x14ac:dyDescent="0.35">
      <c r="A86" s="230"/>
    </row>
    <row r="87" spans="1:1" x14ac:dyDescent="0.35">
      <c r="A87" s="230"/>
    </row>
    <row r="88" spans="1:1" x14ac:dyDescent="0.35">
      <c r="A88" s="230"/>
    </row>
    <row r="89" spans="1:1" x14ac:dyDescent="0.35">
      <c r="A89" s="230"/>
    </row>
    <row r="90" spans="1:1" x14ac:dyDescent="0.35">
      <c r="A90" s="230"/>
    </row>
    <row r="91" spans="1:1" x14ac:dyDescent="0.35">
      <c r="A91" s="230"/>
    </row>
    <row r="92" spans="1:1" x14ac:dyDescent="0.35">
      <c r="A92" s="230"/>
    </row>
    <row r="93" spans="1:1" x14ac:dyDescent="0.35">
      <c r="A93" s="230"/>
    </row>
    <row r="94" spans="1:1" x14ac:dyDescent="0.35">
      <c r="A94" s="230"/>
    </row>
    <row r="95" spans="1:1" x14ac:dyDescent="0.35">
      <c r="A95" s="230"/>
    </row>
    <row r="96" spans="1:1" x14ac:dyDescent="0.35">
      <c r="A96" s="230"/>
    </row>
    <row r="97" spans="1:1" x14ac:dyDescent="0.35">
      <c r="A97" s="230"/>
    </row>
    <row r="98" spans="1:1" x14ac:dyDescent="0.35">
      <c r="A98" s="230"/>
    </row>
    <row r="99" spans="1:1" x14ac:dyDescent="0.35">
      <c r="A99" s="230"/>
    </row>
    <row r="100" spans="1:1" x14ac:dyDescent="0.35">
      <c r="A100" s="230"/>
    </row>
    <row r="101" spans="1:1" x14ac:dyDescent="0.35">
      <c r="A101" s="230"/>
    </row>
    <row r="102" spans="1:1" x14ac:dyDescent="0.35">
      <c r="A102" s="230"/>
    </row>
    <row r="103" spans="1:1" x14ac:dyDescent="0.35">
      <c r="A103" s="230"/>
    </row>
    <row r="104" spans="1:1" x14ac:dyDescent="0.35">
      <c r="A104" s="230"/>
    </row>
    <row r="105" spans="1:1" x14ac:dyDescent="0.35">
      <c r="A105" s="230"/>
    </row>
    <row r="106" spans="1:1" x14ac:dyDescent="0.35">
      <c r="A106" s="230"/>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J4" sqref="J4"/>
    </sheetView>
  </sheetViews>
  <sheetFormatPr defaultRowHeight="16.10000000000000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63305</xdr:colOff>
                    <xdr:row>2</xdr:row>
                    <xdr:rowOff>140677</xdr:rowOff>
                  </from>
                  <to>
                    <xdr:col>5</xdr:col>
                    <xdr:colOff>379828</xdr:colOff>
                    <xdr:row>6</xdr:row>
                    <xdr:rowOff>126609</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4"/>
  <sheetViews>
    <sheetView workbookViewId="0">
      <selection activeCell="I23" sqref="I23"/>
    </sheetView>
  </sheetViews>
  <sheetFormatPr defaultRowHeight="16.100000000000001" x14ac:dyDescent="0.35"/>
  <sheetData>
    <row r="1" spans="2:17" x14ac:dyDescent="0.35">
      <c r="B1" s="190" t="s">
        <v>124</v>
      </c>
      <c r="G1" s="190" t="s">
        <v>125</v>
      </c>
      <c r="K1" s="190" t="s">
        <v>126</v>
      </c>
      <c r="O1" s="190" t="s">
        <v>127</v>
      </c>
    </row>
    <row r="2" spans="2:17" ht="16.649999999999999" thickBot="1" x14ac:dyDescent="0.4">
      <c r="B2" t="s">
        <v>128</v>
      </c>
      <c r="C2" t="s">
        <v>109</v>
      </c>
      <c r="D2" t="s">
        <v>129</v>
      </c>
    </row>
    <row r="3" spans="2:17" ht="16.649999999999999" thickBot="1" x14ac:dyDescent="0.4">
      <c r="B3" s="191"/>
      <c r="C3" s="191"/>
      <c r="D3" s="191"/>
      <c r="G3" s="191"/>
      <c r="H3" s="191"/>
      <c r="I3" s="191"/>
      <c r="K3" s="191">
        <v>2049.1364705882347</v>
      </c>
      <c r="L3" s="192">
        <v>25.454682511579186</v>
      </c>
      <c r="M3" s="193">
        <v>2.0932258980408713</v>
      </c>
      <c r="O3" s="191">
        <v>1660.6423529411763</v>
      </c>
      <c r="P3" s="192">
        <v>80.101840766099997</v>
      </c>
      <c r="Q3" s="193">
        <v>8.0280655951701121</v>
      </c>
    </row>
    <row r="4" spans="2:17" ht="16.649999999999999" thickBot="1" x14ac:dyDescent="0.4">
      <c r="B4" s="191"/>
      <c r="C4" s="191"/>
      <c r="D4" s="191"/>
      <c r="G4" s="191"/>
      <c r="H4" s="191"/>
      <c r="I4" s="191"/>
      <c r="K4" s="191">
        <v>1872.4517647058824</v>
      </c>
      <c r="L4" s="192">
        <v>27.69718944119812</v>
      </c>
      <c r="M4" s="193">
        <v>2.3541736462304779</v>
      </c>
      <c r="O4" s="191">
        <v>2134.0776470588235</v>
      </c>
      <c r="P4" s="192">
        <v>65.273169787582447</v>
      </c>
      <c r="Q4" s="193">
        <v>6.6226682719256953</v>
      </c>
    </row>
    <row r="5" spans="2:17" ht="16.649999999999999" thickBot="1" x14ac:dyDescent="0.4">
      <c r="B5" s="191"/>
      <c r="C5" s="191"/>
      <c r="D5" s="191"/>
      <c r="G5" s="191"/>
      <c r="H5" s="191"/>
      <c r="I5" s="191"/>
      <c r="K5" s="191">
        <v>1915.8623529411766</v>
      </c>
      <c r="L5" s="192">
        <v>56.543826755155884</v>
      </c>
      <c r="M5" s="193">
        <v>5.7001001291822497</v>
      </c>
      <c r="O5" s="191">
        <v>2170.2705882352943</v>
      </c>
      <c r="P5" s="192">
        <v>27.403519954234891</v>
      </c>
      <c r="Q5" s="193">
        <v>2.4457394576240161</v>
      </c>
    </row>
    <row r="6" spans="2:17" ht="16.649999999999999" thickBot="1" x14ac:dyDescent="0.4">
      <c r="B6" s="191"/>
      <c r="C6" s="191"/>
      <c r="D6" s="191"/>
      <c r="G6" s="191"/>
      <c r="H6" s="191"/>
      <c r="I6" s="191"/>
      <c r="K6" s="191">
        <v>1918.8847058823535</v>
      </c>
      <c r="L6" s="192">
        <v>79.545708095841348</v>
      </c>
      <c r="M6" s="193">
        <v>7.9992260669033906</v>
      </c>
      <c r="O6" s="191">
        <v>2191.3529411764707</v>
      </c>
      <c r="P6" s="192">
        <v>30.108024628981287</v>
      </c>
      <c r="Q6" s="193">
        <v>2.177860103436851</v>
      </c>
    </row>
    <row r="7" spans="2:17" ht="16.649999999999999" thickBot="1" x14ac:dyDescent="0.4">
      <c r="B7" s="191"/>
      <c r="C7" s="191"/>
      <c r="D7" s="191"/>
      <c r="G7" s="191"/>
      <c r="H7" s="191"/>
      <c r="I7" s="191"/>
      <c r="K7" s="191">
        <v>1927.0776470588235</v>
      </c>
      <c r="L7" s="192">
        <v>57.286746234346133</v>
      </c>
      <c r="M7" s="193">
        <v>5.6794408888751011</v>
      </c>
      <c r="O7" s="191">
        <v>2181.3823529411766</v>
      </c>
      <c r="P7" s="192">
        <v>27.814009853280613</v>
      </c>
      <c r="Q7" s="193">
        <v>2.3561053339350932</v>
      </c>
    </row>
    <row r="8" spans="2:17" ht="16.649999999999999" thickBot="1" x14ac:dyDescent="0.4">
      <c r="B8" s="191"/>
      <c r="C8" s="191"/>
      <c r="D8" s="191"/>
      <c r="G8" s="191"/>
      <c r="H8" s="191"/>
      <c r="I8" s="191"/>
      <c r="K8" s="191">
        <v>1936.0552941176468</v>
      </c>
      <c r="L8" s="192">
        <v>56.210183031835705</v>
      </c>
      <c r="M8" s="193">
        <v>5.3528918778567709</v>
      </c>
      <c r="O8" s="191">
        <v>2205.2505882352943</v>
      </c>
      <c r="P8" s="192">
        <v>29.023806709005125</v>
      </c>
      <c r="Q8" s="193">
        <v>2.7632684370091884</v>
      </c>
    </row>
    <row r="9" spans="2:17" ht="16.649999999999999" thickBot="1" x14ac:dyDescent="0.4">
      <c r="B9" s="191"/>
      <c r="C9" s="191"/>
      <c r="D9" s="191"/>
      <c r="G9" s="191"/>
      <c r="H9" s="191"/>
      <c r="I9" s="191"/>
      <c r="K9" s="191">
        <v>1907.0329411764706</v>
      </c>
      <c r="L9" s="192">
        <v>58.580913248765299</v>
      </c>
      <c r="M9" s="193">
        <v>5.9773066743534065</v>
      </c>
      <c r="O9" s="191">
        <v>2222.5623529411764</v>
      </c>
      <c r="P9" s="192">
        <v>33.272269897296525</v>
      </c>
      <c r="Q9" s="193">
        <v>2.7337522062686759</v>
      </c>
    </row>
    <row r="10" spans="2:17" ht="16.649999999999999" thickBot="1" x14ac:dyDescent="0.4">
      <c r="B10" s="191"/>
      <c r="C10" s="191"/>
      <c r="D10" s="191"/>
      <c r="G10" s="191"/>
      <c r="H10" s="191"/>
      <c r="I10" s="191"/>
      <c r="K10" s="191">
        <v>1896.6694117647062</v>
      </c>
      <c r="L10" s="192">
        <v>62.816440171994572</v>
      </c>
      <c r="M10" s="193">
        <v>7.5555363284376398</v>
      </c>
      <c r="O10" s="191">
        <v>2200.5094117647059</v>
      </c>
      <c r="P10" s="192">
        <v>24.950190497898134</v>
      </c>
      <c r="Q10" s="193">
        <v>1.8988603214292423</v>
      </c>
    </row>
    <row r="11" spans="2:17" ht="16.649999999999999" thickBot="1" x14ac:dyDescent="0.4">
      <c r="B11" s="191"/>
      <c r="C11" s="191"/>
      <c r="D11" s="191"/>
      <c r="G11" s="191"/>
      <c r="H11" s="191"/>
      <c r="I11" s="191"/>
      <c r="K11" s="191">
        <v>1920.6070588235291</v>
      </c>
      <c r="L11" s="192">
        <v>50.162724179011995</v>
      </c>
      <c r="M11" s="193">
        <v>4.9048873883147461</v>
      </c>
      <c r="O11" s="191">
        <v>2184.6152941176474</v>
      </c>
      <c r="P11" s="192">
        <v>85.64341233551275</v>
      </c>
      <c r="Q11" s="193">
        <v>7.6437410154402921</v>
      </c>
    </row>
    <row r="12" spans="2:17" ht="16.649999999999999" thickBot="1" x14ac:dyDescent="0.4">
      <c r="B12" s="191"/>
      <c r="C12" s="191"/>
      <c r="D12" s="191"/>
      <c r="G12" s="191"/>
      <c r="H12" s="191"/>
      <c r="I12" s="191"/>
      <c r="K12" s="191">
        <v>1901.427058823529</v>
      </c>
      <c r="L12" s="192">
        <v>64.551922489262424</v>
      </c>
      <c r="M12" s="193">
        <v>7.6772731665932641</v>
      </c>
      <c r="O12" s="191">
        <v>2175.7623529411762</v>
      </c>
      <c r="P12" s="192">
        <v>76.842450143899086</v>
      </c>
      <c r="Q12" s="193">
        <v>6.6146304316786226</v>
      </c>
    </row>
    <row r="13" spans="2:17" ht="16.649999999999999" thickBot="1" x14ac:dyDescent="0.4">
      <c r="B13" s="191"/>
      <c r="C13" s="191"/>
      <c r="D13" s="191"/>
      <c r="G13" s="191"/>
      <c r="H13" s="191"/>
      <c r="I13" s="191"/>
      <c r="K13" s="191">
        <v>1958.1058823529413</v>
      </c>
      <c r="L13" s="192">
        <v>98.476846457605475</v>
      </c>
      <c r="M13" s="193">
        <v>8.7660870419490706</v>
      </c>
      <c r="O13" s="191">
        <v>2205.4823529411765</v>
      </c>
      <c r="P13" s="192">
        <v>37.584136202922863</v>
      </c>
      <c r="Q13" s="193">
        <v>2.85967857780056</v>
      </c>
    </row>
    <row r="14" spans="2:17" ht="16.649999999999999" thickBot="1" x14ac:dyDescent="0.4">
      <c r="B14" s="191"/>
      <c r="C14" s="191"/>
      <c r="D14" s="191"/>
      <c r="G14" s="191"/>
      <c r="H14" s="191"/>
      <c r="I14" s="191"/>
      <c r="K14" s="191">
        <v>1901.1352941176472</v>
      </c>
      <c r="L14" s="192">
        <v>87.654788668222793</v>
      </c>
      <c r="M14" s="193">
        <v>10.91714203271696</v>
      </c>
      <c r="O14" s="191">
        <v>2204.3470588235296</v>
      </c>
      <c r="P14" s="192">
        <v>57.725162598803806</v>
      </c>
      <c r="Q14" s="193">
        <v>5.5842745031934742</v>
      </c>
    </row>
    <row r="15" spans="2:17" ht="16.649999999999999" thickBot="1" x14ac:dyDescent="0.4">
      <c r="B15" s="191"/>
      <c r="C15" s="191"/>
      <c r="D15" s="191"/>
      <c r="G15" s="191"/>
      <c r="H15" s="191"/>
      <c r="I15" s="191"/>
      <c r="K15" s="191">
        <v>1892.6247058823526</v>
      </c>
      <c r="L15" s="192">
        <v>102.15808228657755</v>
      </c>
      <c r="M15" s="193">
        <v>11.871987661461333</v>
      </c>
      <c r="O15" s="191">
        <v>2204.4541176470589</v>
      </c>
      <c r="P15" s="192">
        <v>76.172126714663435</v>
      </c>
      <c r="Q15" s="193">
        <v>7.6710389732943263</v>
      </c>
    </row>
    <row r="16" spans="2:17" ht="16.649999999999999" thickBot="1" x14ac:dyDescent="0.4">
      <c r="B16" s="191"/>
      <c r="C16" s="191"/>
      <c r="D16" s="191"/>
      <c r="G16" s="191"/>
      <c r="H16" s="191"/>
      <c r="I16" s="191"/>
      <c r="K16" s="191">
        <v>1929.465882352941</v>
      </c>
      <c r="L16" s="192">
        <v>65.121968937030758</v>
      </c>
      <c r="M16" s="193">
        <v>5.5315084952016909</v>
      </c>
      <c r="O16" s="191">
        <v>2190.2482352941179</v>
      </c>
      <c r="P16" s="192">
        <v>80.264474725380381</v>
      </c>
      <c r="Q16" s="193">
        <v>8.3762144310894815</v>
      </c>
    </row>
    <row r="17" spans="2:17" ht="16.649999999999999" thickBot="1" x14ac:dyDescent="0.4">
      <c r="B17" s="191"/>
      <c r="C17" s="191"/>
      <c r="D17" s="191"/>
      <c r="G17" s="191"/>
      <c r="H17" s="191"/>
      <c r="I17" s="191"/>
      <c r="K17" s="191">
        <v>1919.2894117647056</v>
      </c>
      <c r="L17" s="192">
        <v>47.02672437968976</v>
      </c>
      <c r="M17" s="193">
        <v>4.256326726026562</v>
      </c>
      <c r="O17" s="191">
        <v>2181.3576470588241</v>
      </c>
      <c r="P17" s="192">
        <v>104.84620996544119</v>
      </c>
      <c r="Q17" s="193">
        <v>8.9167500577322762</v>
      </c>
    </row>
    <row r="18" spans="2:17" ht="16.649999999999999" thickBot="1" x14ac:dyDescent="0.4">
      <c r="B18" s="191"/>
      <c r="C18" s="191"/>
      <c r="D18" s="191"/>
      <c r="G18" s="191"/>
      <c r="H18" s="191"/>
      <c r="I18" s="191"/>
      <c r="K18" s="191">
        <v>1614.9364705882351</v>
      </c>
      <c r="L18" s="192">
        <v>77.388350297475839</v>
      </c>
      <c r="M18" s="193">
        <v>9.5930943414682197</v>
      </c>
      <c r="O18" s="191">
        <v>2176.1082352941175</v>
      </c>
      <c r="P18" s="192">
        <v>91.103472782006961</v>
      </c>
      <c r="Q18" s="193">
        <v>9.7725370416599624</v>
      </c>
    </row>
    <row r="19" spans="2:17" ht="16.649999999999999" thickBot="1" x14ac:dyDescent="0.4">
      <c r="B19" s="191"/>
      <c r="C19" s="191"/>
      <c r="D19" s="191"/>
      <c r="G19" s="191"/>
      <c r="H19" s="191"/>
      <c r="I19" s="191"/>
      <c r="K19" s="191">
        <v>1943.074117647059</v>
      </c>
      <c r="L19" s="192">
        <v>58.00947972733065</v>
      </c>
      <c r="M19" s="193">
        <v>5.725241850088886</v>
      </c>
      <c r="O19" s="191">
        <v>2193.3411764705879</v>
      </c>
      <c r="P19" s="192">
        <v>36.926188857364018</v>
      </c>
      <c r="Q19" s="193">
        <v>3.314770131287986</v>
      </c>
    </row>
    <row r="20" spans="2:17" ht="16.649999999999999" thickBot="1" x14ac:dyDescent="0.4">
      <c r="B20" s="191"/>
      <c r="C20" s="191"/>
      <c r="D20" s="191"/>
      <c r="G20" s="191">
        <v>2093.7815384615387</v>
      </c>
      <c r="H20" s="191">
        <v>70.208008784139807</v>
      </c>
      <c r="I20" s="191">
        <v>5.0075725214554705</v>
      </c>
      <c r="K20" s="191">
        <v>1943.074117647059</v>
      </c>
      <c r="L20" s="192">
        <v>58.00947972733065</v>
      </c>
      <c r="M20" s="193">
        <v>5.725241850088886</v>
      </c>
      <c r="O20" s="191">
        <v>2172.0082352941176</v>
      </c>
      <c r="P20" s="192">
        <v>68.462228658875787</v>
      </c>
      <c r="Q20" s="193">
        <v>6.6692865837878186</v>
      </c>
    </row>
    <row r="21" spans="2:17" ht="16.649999999999999" thickBot="1" x14ac:dyDescent="0.4">
      <c r="B21" s="191"/>
      <c r="C21" s="191"/>
      <c r="D21" s="191"/>
      <c r="G21" s="191">
        <v>2128.5</v>
      </c>
      <c r="H21" s="191">
        <v>71.190675419373335</v>
      </c>
      <c r="I21" s="191">
        <v>5.101407778573126</v>
      </c>
      <c r="K21" s="191">
        <v>1920.1388235294119</v>
      </c>
      <c r="L21" s="192">
        <v>71.527829713539944</v>
      </c>
      <c r="M21" s="193">
        <v>6.3934289177778059</v>
      </c>
      <c r="O21" s="191">
        <v>1857.4341176470589</v>
      </c>
      <c r="P21" s="192">
        <v>59.271445808545167</v>
      </c>
      <c r="Q21" s="193">
        <v>7.4171126557260258</v>
      </c>
    </row>
    <row r="22" spans="2:17" ht="16.649999999999999" thickBot="1" x14ac:dyDescent="0.4">
      <c r="B22" s="191">
        <v>1832.1107692307692</v>
      </c>
      <c r="C22" s="191">
        <v>28.92695353863019</v>
      </c>
      <c r="D22" s="191">
        <v>2.637997714687526</v>
      </c>
      <c r="G22" s="191">
        <v>2067.0600000000004</v>
      </c>
      <c r="H22" s="191">
        <v>70.824979115168986</v>
      </c>
      <c r="I22" s="191">
        <v>5.2458839194029414</v>
      </c>
      <c r="K22" s="191">
        <v>1921.3964705882352</v>
      </c>
      <c r="L22" s="192">
        <v>61.74939766317663</v>
      </c>
      <c r="M22" s="193">
        <v>5.5974794039410085</v>
      </c>
      <c r="O22" s="191">
        <v>2241.4364705882349</v>
      </c>
      <c r="P22" s="192">
        <v>76.942599460681606</v>
      </c>
      <c r="Q22" s="193">
        <v>8.2261492251243329</v>
      </c>
    </row>
    <row r="23" spans="2:17" ht="16.649999999999999" thickBot="1" x14ac:dyDescent="0.4">
      <c r="B23" s="191">
        <v>1838.6584615384616</v>
      </c>
      <c r="C23" s="191">
        <v>24.520360874911319</v>
      </c>
      <c r="D23" s="191">
        <v>2.4549560620210822</v>
      </c>
      <c r="G23" s="191">
        <v>2020.4999999999998</v>
      </c>
      <c r="H23" s="191">
        <v>64.620549879027152</v>
      </c>
      <c r="I23" s="191">
        <v>5.0479887900597031</v>
      </c>
      <c r="K23" s="191">
        <v>1931.9741176470591</v>
      </c>
      <c r="L23" s="192">
        <v>53.45661313846324</v>
      </c>
      <c r="M23" s="193">
        <v>4.6120254598636574</v>
      </c>
      <c r="O23" s="191">
        <v>2241.4364705882349</v>
      </c>
      <c r="P23" s="192">
        <v>76.942599460681606</v>
      </c>
      <c r="Q23" s="193">
        <v>8.2261492251243329</v>
      </c>
    </row>
    <row r="24" spans="2:17" ht="16.649999999999999" thickBot="1" x14ac:dyDescent="0.4">
      <c r="B24" s="191">
        <v>1860.4461538461537</v>
      </c>
      <c r="C24" s="191">
        <v>26.213469037392525</v>
      </c>
      <c r="D24" s="191">
        <v>2.5123725559131254</v>
      </c>
      <c r="G24" s="191">
        <v>2053.0261538461541</v>
      </c>
      <c r="H24" s="191">
        <v>65.993026593518877</v>
      </c>
      <c r="I24" s="191">
        <v>5.1884595181224444</v>
      </c>
      <c r="K24" s="191">
        <v>1927.5929411764707</v>
      </c>
      <c r="L24" s="192">
        <v>66.871194075321498</v>
      </c>
      <c r="M24" s="193">
        <v>6.1530080161880365</v>
      </c>
      <c r="O24" s="191">
        <v>2212.6894117647062</v>
      </c>
      <c r="P24" s="192">
        <v>73.160291865752072</v>
      </c>
      <c r="Q24" s="193">
        <v>8.4624748669830687</v>
      </c>
    </row>
    <row r="25" spans="2:17" ht="16.649999999999999" thickBot="1" x14ac:dyDescent="0.4">
      <c r="B25" s="191">
        <v>1778.783076923077</v>
      </c>
      <c r="C25" s="191">
        <v>34.429273248355493</v>
      </c>
      <c r="D25" s="191">
        <v>3.4827558903706679</v>
      </c>
      <c r="G25" s="191">
        <v>2072.8046153846158</v>
      </c>
      <c r="H25" s="191">
        <v>68.363427919623149</v>
      </c>
      <c r="I25" s="191">
        <v>5.2837784760408653</v>
      </c>
      <c r="K25" s="191">
        <v>1925.7529411764704</v>
      </c>
      <c r="L25" s="192">
        <v>60.337698804816199</v>
      </c>
      <c r="M25" s="193">
        <v>5.7404127960563613</v>
      </c>
      <c r="O25" s="191">
        <v>2194.0047058823534</v>
      </c>
      <c r="P25" s="192">
        <v>69.370256785362855</v>
      </c>
      <c r="Q25" s="193">
        <v>8.1716177687850564</v>
      </c>
    </row>
    <row r="26" spans="2:17" ht="16.649999999999999" thickBot="1" x14ac:dyDescent="0.4">
      <c r="B26" s="191">
        <v>1837.4769230769232</v>
      </c>
      <c r="C26" s="191">
        <v>39.828109710076717</v>
      </c>
      <c r="D26" s="191">
        <v>3.9694740309651886</v>
      </c>
      <c r="G26" s="191">
        <v>1826.8092307692305</v>
      </c>
      <c r="H26" s="191">
        <v>50.794717320724743</v>
      </c>
      <c r="I26" s="191">
        <v>5.0370267245672151</v>
      </c>
      <c r="K26" s="191">
        <v>1914.148235294118</v>
      </c>
      <c r="L26" s="192">
        <v>80.054822483972231</v>
      </c>
      <c r="M26" s="193">
        <v>8.8692505882173442</v>
      </c>
      <c r="O26" s="191">
        <v>2077.4599999999996</v>
      </c>
      <c r="P26" s="192">
        <v>56.739270351327306</v>
      </c>
      <c r="Q26" s="193">
        <v>5.3297992029137582</v>
      </c>
    </row>
    <row r="27" spans="2:17" ht="16.649999999999999" thickBot="1" x14ac:dyDescent="0.4">
      <c r="B27" s="191">
        <v>1833.9692307692308</v>
      </c>
      <c r="C27" s="191">
        <v>35.394710165408412</v>
      </c>
      <c r="D27" s="191">
        <v>3.6290632233716731</v>
      </c>
      <c r="G27" s="191">
        <v>1921.7461538461537</v>
      </c>
      <c r="H27" s="191">
        <v>37.069873108879307</v>
      </c>
      <c r="I27" s="191">
        <v>3.4038354812850722</v>
      </c>
      <c r="K27" s="191">
        <v>1887.1247058823526</v>
      </c>
      <c r="L27" s="192">
        <v>81.563467474538541</v>
      </c>
      <c r="M27" s="193">
        <v>9.8974683196349424</v>
      </c>
      <c r="O27" s="191">
        <v>2118.1799999999998</v>
      </c>
      <c r="P27" s="192">
        <v>45.2726655941592</v>
      </c>
      <c r="Q27" s="193">
        <v>4.9042402176937383</v>
      </c>
    </row>
    <row r="28" spans="2:17" ht="16.649999999999999" thickBot="1" x14ac:dyDescent="0.4">
      <c r="B28" s="191">
        <v>1859.7015384615381</v>
      </c>
      <c r="C28" s="191">
        <v>34.825270002823494</v>
      </c>
      <c r="D28" s="191">
        <v>3.3058342382642643</v>
      </c>
      <c r="G28" s="191">
        <v>1944.7446153846154</v>
      </c>
      <c r="H28" s="191">
        <v>35.799527141989778</v>
      </c>
      <c r="I28" s="191">
        <v>3.3778428144625332</v>
      </c>
      <c r="K28" s="191">
        <v>1923.2411764705885</v>
      </c>
      <c r="L28" s="192">
        <v>84.216141110414171</v>
      </c>
      <c r="M28" s="193">
        <v>7.774646724264259</v>
      </c>
      <c r="O28" s="191">
        <v>2138.4694117647055</v>
      </c>
      <c r="P28" s="192">
        <v>56.766607313477891</v>
      </c>
      <c r="Q28" s="193">
        <v>5.6642876813995464</v>
      </c>
    </row>
    <row r="29" spans="2:17" ht="16.649999999999999" thickBot="1" x14ac:dyDescent="0.4">
      <c r="B29" s="191">
        <v>1615.0246153846156</v>
      </c>
      <c r="C29" s="191">
        <v>12.728574557068205</v>
      </c>
      <c r="D29" s="191">
        <v>1.1778068594286377</v>
      </c>
      <c r="G29" s="191">
        <v>1998.5461538461541</v>
      </c>
      <c r="H29" s="191">
        <v>28.862082836154876</v>
      </c>
      <c r="I29" s="191">
        <v>2.4894023153771689</v>
      </c>
      <c r="K29" s="191">
        <v>1876.5505882352941</v>
      </c>
      <c r="L29" s="192">
        <v>46.034245468812593</v>
      </c>
      <c r="M29" s="193">
        <v>4.4594229106895771</v>
      </c>
      <c r="O29" s="191">
        <v>2129.8682352941173</v>
      </c>
      <c r="P29" s="192">
        <v>43.978693170003169</v>
      </c>
      <c r="Q29" s="193">
        <v>4.6576231884057702</v>
      </c>
    </row>
    <row r="30" spans="2:17" ht="16.649999999999999" thickBot="1" x14ac:dyDescent="0.4">
      <c r="B30" s="191">
        <v>1827.4276923076925</v>
      </c>
      <c r="C30" s="191">
        <v>44.857801654011787</v>
      </c>
      <c r="D30" s="191">
        <v>4.4299922222773809</v>
      </c>
      <c r="G30" s="191">
        <v>2025.658461538462</v>
      </c>
      <c r="H30" s="191">
        <v>23.268753671720543</v>
      </c>
      <c r="I30" s="191">
        <v>1.9924673214681239</v>
      </c>
      <c r="K30" s="191">
        <v>1941.0094117647056</v>
      </c>
      <c r="L30" s="192">
        <v>119.02087739503203</v>
      </c>
      <c r="M30" s="193">
        <v>12.454455921094118</v>
      </c>
      <c r="O30" s="191">
        <v>2118.2200000000003</v>
      </c>
      <c r="P30" s="192">
        <v>92.590719297339731</v>
      </c>
      <c r="Q30" s="193">
        <v>10.595164852898133</v>
      </c>
    </row>
    <row r="31" spans="2:17" ht="16.649999999999999" thickBot="1" x14ac:dyDescent="0.4">
      <c r="B31" s="191">
        <v>1718.6830769230769</v>
      </c>
      <c r="C31" s="191">
        <v>24.237407515575246</v>
      </c>
      <c r="D31" s="191">
        <v>2.5850768182056592</v>
      </c>
      <c r="G31" s="191">
        <v>2033.8399999999997</v>
      </c>
      <c r="H31" s="191">
        <v>23.66656150214812</v>
      </c>
      <c r="I31" s="191">
        <v>2.1490223709705645</v>
      </c>
      <c r="K31" s="191">
        <v>1560.9117647058824</v>
      </c>
      <c r="L31" s="192">
        <v>107.58806394271302</v>
      </c>
      <c r="M31" s="193">
        <v>12.653199002908158</v>
      </c>
      <c r="O31" s="191">
        <v>2162.2988235294119</v>
      </c>
      <c r="P31" s="192">
        <v>49.279619758352965</v>
      </c>
      <c r="Q31" s="193">
        <v>5.43219811976443</v>
      </c>
    </row>
    <row r="32" spans="2:17" ht="16.649999999999999" thickBot="1" x14ac:dyDescent="0.4">
      <c r="B32" s="191">
        <v>1854.2046153846156</v>
      </c>
      <c r="C32" s="191">
        <v>41.494186865011038</v>
      </c>
      <c r="D32" s="191">
        <v>4.107098136997628</v>
      </c>
      <c r="G32" s="191">
        <v>2017.0646153846153</v>
      </c>
      <c r="H32" s="191">
        <v>26.242023745425065</v>
      </c>
      <c r="I32" s="191">
        <v>2.3832596301889413</v>
      </c>
      <c r="K32" s="191">
        <v>1925.6235294117648</v>
      </c>
      <c r="L32" s="192">
        <v>160.97592603170139</v>
      </c>
      <c r="M32" s="193">
        <v>14.556823647732733</v>
      </c>
      <c r="O32" s="191">
        <v>1869.8047058823529</v>
      </c>
      <c r="P32" s="192">
        <v>40.505751153030744</v>
      </c>
      <c r="Q32" s="193">
        <v>4.3428442926212929</v>
      </c>
    </row>
    <row r="33" spans="1:17" ht="16.649999999999999" thickBot="1" x14ac:dyDescent="0.4">
      <c r="B33" s="191">
        <v>1861.3215384615387</v>
      </c>
      <c r="C33" s="191">
        <v>42.533047905138432</v>
      </c>
      <c r="D33" s="191">
        <v>4.1275756722206483</v>
      </c>
      <c r="G33" s="191">
        <v>2068.6800000000003</v>
      </c>
      <c r="H33" s="191">
        <v>21.977497582720289</v>
      </c>
      <c r="I33" s="191">
        <v>1.8690642138113098</v>
      </c>
      <c r="K33" s="191">
        <v>1917.8011764705882</v>
      </c>
      <c r="L33" s="192">
        <v>109.79494147514089</v>
      </c>
      <c r="M33" s="193">
        <v>11.766830325332622</v>
      </c>
      <c r="O33" s="191">
        <v>2116.9082352941177</v>
      </c>
      <c r="P33" s="192">
        <v>30.572671668350708</v>
      </c>
      <c r="Q33" s="193">
        <v>2.5462876379278114</v>
      </c>
    </row>
    <row r="34" spans="1:17" ht="16.649999999999999" thickBot="1" x14ac:dyDescent="0.4">
      <c r="B34" s="191">
        <v>1613.9353846153842</v>
      </c>
      <c r="C34" s="191">
        <v>10.713496640126142</v>
      </c>
      <c r="D34" s="191">
        <v>1.0734960518649783</v>
      </c>
      <c r="G34" s="191">
        <v>2080.3030769230772</v>
      </c>
      <c r="H34" s="191">
        <v>23.556211984873855</v>
      </c>
      <c r="I34" s="191">
        <v>1.9530836389538595</v>
      </c>
      <c r="K34" s="191">
        <v>1901.2741176470595</v>
      </c>
      <c r="L34" s="192">
        <v>112.14614232434835</v>
      </c>
      <c r="M34" s="193">
        <v>12.197991221479693</v>
      </c>
      <c r="O34" s="191">
        <v>2133.9776470588231</v>
      </c>
      <c r="P34" s="192">
        <v>36.270314226894392</v>
      </c>
      <c r="Q34" s="193">
        <v>3.8458422103702672</v>
      </c>
    </row>
    <row r="35" spans="1:17" ht="16.649999999999999" thickBot="1" x14ac:dyDescent="0.4">
      <c r="B35" s="191">
        <v>1812.7446153846156</v>
      </c>
      <c r="C35" s="191">
        <v>53.322760089746815</v>
      </c>
      <c r="D35" s="191">
        <v>4.6932014058337561</v>
      </c>
      <c r="G35" s="191">
        <v>2078.2753846153846</v>
      </c>
      <c r="H35" s="191">
        <v>22.960551900801498</v>
      </c>
      <c r="I35" s="191">
        <v>1.9118295652840951</v>
      </c>
      <c r="K35" s="191">
        <v>1927.5305882352939</v>
      </c>
      <c r="L35" s="192">
        <v>87.85157372456365</v>
      </c>
      <c r="M35" s="193">
        <v>9.5195067768264998</v>
      </c>
      <c r="O35" s="191">
        <v>2117.5494117647058</v>
      </c>
      <c r="P35" s="192">
        <v>46.609848271414705</v>
      </c>
      <c r="Q35" s="193">
        <v>4.2488753250740832</v>
      </c>
    </row>
    <row r="36" spans="1:17" ht="16.649999999999999" thickBot="1" x14ac:dyDescent="0.4">
      <c r="B36" s="191">
        <v>1755.7753846153848</v>
      </c>
      <c r="C36" s="191">
        <v>53.737053730083503</v>
      </c>
      <c r="D36" s="191">
        <v>4.6192693492714598</v>
      </c>
      <c r="G36" s="191">
        <v>2062.2430769230764</v>
      </c>
      <c r="H36" s="191">
        <v>22.838676036037452</v>
      </c>
      <c r="I36" s="191">
        <v>2.0303586967030958</v>
      </c>
      <c r="K36" s="191">
        <v>1869.7082352941177</v>
      </c>
      <c r="L36" s="192">
        <v>51.699258727186837</v>
      </c>
      <c r="M36" s="193">
        <v>5.0967149312137172</v>
      </c>
      <c r="O36" s="191">
        <v>2117.5976470588239</v>
      </c>
      <c r="P36" s="192">
        <v>52.553046477966816</v>
      </c>
      <c r="Q36" s="193">
        <v>5.1073086788532045</v>
      </c>
    </row>
    <row r="37" spans="1:17" ht="16.649999999999999" thickBot="1" x14ac:dyDescent="0.4">
      <c r="B37" s="191">
        <v>1852.9107692307696</v>
      </c>
      <c r="C37" s="191">
        <v>57.553774631711285</v>
      </c>
      <c r="D37" s="191">
        <v>5.0690688054772259</v>
      </c>
      <c r="G37" s="191">
        <v>2067.7830769230777</v>
      </c>
      <c r="H37" s="191">
        <v>22.639664081913683</v>
      </c>
      <c r="I37" s="191">
        <v>1.9031642274541687</v>
      </c>
      <c r="K37" s="191">
        <v>1914.7494117647061</v>
      </c>
      <c r="L37" s="192">
        <v>39.332750423538343</v>
      </c>
      <c r="M37" s="193">
        <v>3.723191125919985</v>
      </c>
      <c r="O37" s="191">
        <v>2134.5670588235294</v>
      </c>
      <c r="P37" s="192">
        <v>33.162074679679456</v>
      </c>
      <c r="Q37" s="193">
        <v>3.0542145018595153</v>
      </c>
    </row>
    <row r="38" spans="1:17" ht="16.649999999999999" thickBot="1" x14ac:dyDescent="0.4">
      <c r="B38" s="191">
        <v>1895.6923076923076</v>
      </c>
      <c r="C38" s="191">
        <v>57.375059354194491</v>
      </c>
      <c r="D38" s="191">
        <v>4.5940170940170946</v>
      </c>
      <c r="G38" s="191">
        <v>2146.6261538461536</v>
      </c>
      <c r="H38" s="191">
        <v>30.029549208110705</v>
      </c>
      <c r="I38" s="191">
        <v>2.4648001369590564</v>
      </c>
      <c r="K38" s="191">
        <v>2020.1247058823526</v>
      </c>
      <c r="L38" s="192">
        <v>83.280001059505111</v>
      </c>
      <c r="M38" s="193">
        <v>10.772525623374625</v>
      </c>
      <c r="O38" s="191">
        <v>2084.0458823529411</v>
      </c>
      <c r="P38" s="192">
        <v>30.043525729108357</v>
      </c>
      <c r="Q38" s="193">
        <v>2.7826756460037441</v>
      </c>
    </row>
    <row r="39" spans="1:17" x14ac:dyDescent="0.35">
      <c r="B39" s="191">
        <v>2028.0369230769227</v>
      </c>
      <c r="C39" s="191">
        <v>69.199323622010098</v>
      </c>
      <c r="D39" s="191">
        <v>5.2848401016373199</v>
      </c>
      <c r="G39" s="191">
        <v>2232.3076923076924</v>
      </c>
      <c r="H39" s="191">
        <v>24.205318339103503</v>
      </c>
      <c r="I39" s="191">
        <v>1.9660411081322611</v>
      </c>
      <c r="K39" s="191">
        <v>2034.8117647058821</v>
      </c>
      <c r="L39" s="192">
        <v>41.109282442559234</v>
      </c>
      <c r="M39" s="193">
        <v>3.6903663728251672</v>
      </c>
      <c r="O39" s="191">
        <v>2093.3588235294114</v>
      </c>
      <c r="P39" s="192">
        <v>27.415725843596331</v>
      </c>
      <c r="Q39" s="193">
        <v>2.8597646346539545</v>
      </c>
    </row>
    <row r="40" spans="1:17" x14ac:dyDescent="0.35">
      <c r="D40">
        <f>STDEV(D3:D39)</f>
        <v>1.2442798011288194</v>
      </c>
      <c r="E40" t="s">
        <v>109</v>
      </c>
      <c r="I40">
        <f>STDEV(I3:I39)</f>
        <v>1.449091937565661</v>
      </c>
      <c r="M40">
        <f>STDEV(M3:M39)</f>
        <v>3.1571482942330844</v>
      </c>
      <c r="Q40">
        <f>STDEV(Q3:Q39)</f>
        <v>2.4957821901502992</v>
      </c>
    </row>
    <row r="41" spans="1:17" x14ac:dyDescent="0.35">
      <c r="A41" t="s">
        <v>130</v>
      </c>
      <c r="B41">
        <f>AVERAGE(B3:B39)</f>
        <v>1815.3835042735043</v>
      </c>
      <c r="C41">
        <f t="shared" ref="C41:Q41" si="0">AVERAGE(C3:C39)</f>
        <v>38.43836850790418</v>
      </c>
      <c r="D41">
        <f t="shared" si="0"/>
        <v>3.5418831240458513</v>
      </c>
      <c r="G41">
        <f t="shared" si="0"/>
        <v>2047.0150000000006</v>
      </c>
      <c r="H41">
        <f t="shared" si="0"/>
        <v>40.255583808572737</v>
      </c>
      <c r="I41">
        <f t="shared" si="0"/>
        <v>3.2903144624636007</v>
      </c>
      <c r="K41">
        <f t="shared" si="0"/>
        <v>1907.7939268680443</v>
      </c>
      <c r="L41">
        <f t="shared" si="0"/>
        <v>71.656926597826967</v>
      </c>
      <c r="M41">
        <f t="shared" si="0"/>
        <v>7.3948497337602648</v>
      </c>
      <c r="O41">
        <f t="shared" si="0"/>
        <v>2135.4886486486489</v>
      </c>
      <c r="P41">
        <f t="shared" si="0"/>
        <v>54.890930324188503</v>
      </c>
      <c r="Q41">
        <f t="shared" si="0"/>
        <v>5.4682127407012366</v>
      </c>
    </row>
    <row r="42" spans="1:17" x14ac:dyDescent="0.35">
      <c r="C42">
        <f>3*C41</f>
        <v>115.31510552371253</v>
      </c>
      <c r="D42">
        <f>3*D40</f>
        <v>3.7328394033864583</v>
      </c>
      <c r="E42" t="s">
        <v>131</v>
      </c>
      <c r="H42">
        <f>3*H41</f>
        <v>120.76675142571821</v>
      </c>
      <c r="I42">
        <f>3*I40</f>
        <v>4.3472758126969833</v>
      </c>
      <c r="L42">
        <f>3*L41</f>
        <v>214.97077979348092</v>
      </c>
      <c r="M42">
        <f>3*M40</f>
        <v>9.4714448826992523</v>
      </c>
      <c r="P42">
        <f>3*P41</f>
        <v>164.67279097256551</v>
      </c>
      <c r="Q42">
        <f>3*Q40</f>
        <v>7.4873465704508977</v>
      </c>
    </row>
    <row r="43" spans="1:17" x14ac:dyDescent="0.35">
      <c r="A43" s="194" t="s">
        <v>71</v>
      </c>
      <c r="B43" s="194">
        <f>B41-C42</f>
        <v>1700.0683987497919</v>
      </c>
      <c r="C43" s="194"/>
      <c r="D43" s="194">
        <f>D41-D42</f>
        <v>-0.19095627934060699</v>
      </c>
      <c r="F43" s="194" t="s">
        <v>71</v>
      </c>
      <c r="G43" s="194">
        <f>G41-H42</f>
        <v>1926.2482485742823</v>
      </c>
      <c r="H43" s="194"/>
      <c r="I43" s="194">
        <f>I41-I42</f>
        <v>-1.0569613502333826</v>
      </c>
      <c r="K43" s="194">
        <f>K41-L42</f>
        <v>1692.8231470745634</v>
      </c>
      <c r="L43" s="194"/>
      <c r="M43" s="194">
        <f>M41-M42</f>
        <v>-2.0765951489389876</v>
      </c>
      <c r="O43" s="194">
        <f>O41-P42</f>
        <v>1970.8158576760834</v>
      </c>
      <c r="P43" s="194"/>
      <c r="Q43" s="194">
        <f>Q41-Q42</f>
        <v>-2.019133829749661</v>
      </c>
    </row>
    <row r="44" spans="1:17" x14ac:dyDescent="0.35">
      <c r="A44" s="194" t="s">
        <v>72</v>
      </c>
      <c r="B44" s="194">
        <f>B41+C42</f>
        <v>1930.6986097972167</v>
      </c>
      <c r="C44" s="194"/>
      <c r="D44" s="194">
        <f>D41+D42</f>
        <v>7.27472252743231</v>
      </c>
      <c r="F44" s="194" t="s">
        <v>72</v>
      </c>
      <c r="G44" s="194">
        <f>G41+H42</f>
        <v>2167.7817514257185</v>
      </c>
      <c r="H44" s="194"/>
      <c r="I44" s="194">
        <f>I41+I42</f>
        <v>7.6375902751605835</v>
      </c>
      <c r="K44" s="194">
        <f>K41+L42</f>
        <v>2122.7647066615255</v>
      </c>
      <c r="L44" s="194"/>
      <c r="M44" s="194">
        <f>M41+M42</f>
        <v>16.866294616459516</v>
      </c>
      <c r="O44" s="194">
        <f>O41+P42</f>
        <v>2300.1614396212144</v>
      </c>
      <c r="P44" s="194"/>
      <c r="Q44" s="194">
        <f>Q41+Q42</f>
        <v>12.955559311152134</v>
      </c>
    </row>
  </sheetData>
  <conditionalFormatting sqref="I3:I29">
    <cfRule type="cellIs" dxfId="11" priority="7" stopIfTrue="1" operator="equal">
      <formula>"Fail"</formula>
    </cfRule>
    <cfRule type="cellIs" dxfId="10" priority="8" stopIfTrue="1" operator="equal">
      <formula>"Pass"</formula>
    </cfRule>
  </conditionalFormatting>
  <conditionalFormatting sqref="I3:I38">
    <cfRule type="cellIs" dxfId="9" priority="5" stopIfTrue="1" operator="equal">
      <formula>"Fail"</formula>
    </cfRule>
    <cfRule type="cellIs" dxfId="8" priority="6" stopIfTrue="1" operator="equal">
      <formula>"Pass"</formula>
    </cfRule>
  </conditionalFormatting>
  <conditionalFormatting sqref="D3:D39">
    <cfRule type="cellIs" dxfId="7" priority="3" stopIfTrue="1" operator="equal">
      <formula>"Fail"</formula>
    </cfRule>
    <cfRule type="cellIs" dxfId="6" priority="4" stopIfTrue="1" operator="equal">
      <formula>"Pass"</formula>
    </cfRule>
  </conditionalFormatting>
  <conditionalFormatting sqref="I3:I39">
    <cfRule type="cellIs" dxfId="5" priority="1" stopIfTrue="1" operator="equal">
      <formula>"Fail"</formula>
    </cfRule>
    <cfRule type="cellIs" dxfId="4" priority="2" stopIfTrue="1" operator="equal">
      <formula>"Pass"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7"/>
  <sheetViews>
    <sheetView workbookViewId="0">
      <selection activeCell="C6" sqref="C6"/>
    </sheetView>
  </sheetViews>
  <sheetFormatPr defaultRowHeight="16.100000000000001" x14ac:dyDescent="0.35"/>
  <cols>
    <col min="1" max="1" width="10.36328125" bestFit="1" customWidth="1"/>
    <col min="6" max="6" width="9" style="228"/>
    <col min="7" max="7" width="9" style="227"/>
    <col min="8" max="8" width="9" style="229"/>
  </cols>
  <sheetData>
    <row r="1" spans="1:10" ht="22.15" x14ac:dyDescent="0.35">
      <c r="A1" s="195" t="s">
        <v>132</v>
      </c>
      <c r="B1" s="364" t="s">
        <v>40</v>
      </c>
      <c r="C1" s="365"/>
      <c r="D1" s="22" t="s">
        <v>133</v>
      </c>
      <c r="E1" s="22" t="s">
        <v>29</v>
      </c>
      <c r="F1" s="196" t="s">
        <v>41</v>
      </c>
      <c r="G1" s="197"/>
      <c r="H1" s="198"/>
    </row>
    <row r="2" spans="1:10" x14ac:dyDescent="0.35">
      <c r="A2" s="195"/>
      <c r="B2" s="199" t="s">
        <v>44</v>
      </c>
      <c r="C2" s="199" t="s">
        <v>45</v>
      </c>
      <c r="D2" s="200"/>
      <c r="E2" s="200"/>
      <c r="F2" s="196"/>
      <c r="G2" s="197"/>
      <c r="H2" s="198"/>
    </row>
    <row r="3" spans="1:10" x14ac:dyDescent="0.35">
      <c r="A3" s="201">
        <v>43304</v>
      </c>
      <c r="B3" s="31">
        <v>9</v>
      </c>
      <c r="C3" s="31">
        <v>15</v>
      </c>
      <c r="D3" s="202">
        <f>IF(((C3="")*AND(B3="")),"",(C3-B3))</f>
        <v>6</v>
      </c>
      <c r="E3" s="30" t="str">
        <f>IF(D3="","",IF(D3&lt;60,"Pass","Fail"))</f>
        <v>Pass</v>
      </c>
      <c r="F3" s="203">
        <v>1340</v>
      </c>
      <c r="G3" s="204"/>
      <c r="H3" s="198"/>
    </row>
    <row r="4" spans="1:10" x14ac:dyDescent="0.35">
      <c r="A4" s="201">
        <v>43305</v>
      </c>
      <c r="B4" s="31">
        <v>13</v>
      </c>
      <c r="C4" s="31">
        <v>63</v>
      </c>
      <c r="D4" s="202">
        <f t="shared" ref="D4:D49" si="0">IF(((C4="")*AND(B4="")),"",(C4-B4))</f>
        <v>50</v>
      </c>
      <c r="E4" s="30" t="str">
        <f t="shared" ref="E4:E49" si="1">IF(D4="","",IF(D4&lt;60,"Pass","Fail"))</f>
        <v>Pass</v>
      </c>
      <c r="F4" s="203">
        <v>1340</v>
      </c>
      <c r="G4" s="204"/>
      <c r="H4" s="198"/>
      <c r="I4" s="205"/>
      <c r="J4" s="205"/>
    </row>
    <row r="5" spans="1:10" x14ac:dyDescent="0.35">
      <c r="A5" s="201">
        <v>43306</v>
      </c>
      <c r="B5" s="31">
        <v>21</v>
      </c>
      <c r="C5" s="31">
        <v>23</v>
      </c>
      <c r="D5" s="202">
        <f t="shared" si="0"/>
        <v>2</v>
      </c>
      <c r="E5" s="30" t="str">
        <f t="shared" si="1"/>
        <v>Pass</v>
      </c>
      <c r="F5" s="203">
        <v>121</v>
      </c>
      <c r="G5" s="204"/>
      <c r="H5" s="198"/>
      <c r="I5" s="205"/>
      <c r="J5" s="205"/>
    </row>
    <row r="6" spans="1:10" x14ac:dyDescent="0.35">
      <c r="A6" s="201">
        <v>43308</v>
      </c>
      <c r="B6" s="32">
        <v>14</v>
      </c>
      <c r="C6" s="32">
        <v>39</v>
      </c>
      <c r="D6" s="32">
        <f>IF(((C6="")*AND(B6="")),"",(C6-B6))</f>
        <v>25</v>
      </c>
      <c r="E6" s="26" t="str">
        <f>IF(D6="","",IF(D6&lt;60,"Pass","Fail"))</f>
        <v>Pass</v>
      </c>
      <c r="F6" s="189">
        <v>1340</v>
      </c>
      <c r="G6" s="204"/>
      <c r="H6" s="198"/>
    </row>
    <row r="7" spans="1:10" x14ac:dyDescent="0.35">
      <c r="A7" s="201">
        <v>43311</v>
      </c>
      <c r="B7" s="31">
        <v>29</v>
      </c>
      <c r="C7" s="31">
        <v>38</v>
      </c>
      <c r="D7" s="202">
        <f t="shared" si="0"/>
        <v>9</v>
      </c>
      <c r="E7" s="30" t="str">
        <f t="shared" si="1"/>
        <v>Pass</v>
      </c>
      <c r="F7" s="203">
        <v>1340</v>
      </c>
      <c r="G7" s="204"/>
      <c r="H7" s="198"/>
    </row>
    <row r="8" spans="1:10" x14ac:dyDescent="0.35">
      <c r="A8" s="201">
        <v>43313</v>
      </c>
      <c r="B8" s="32">
        <v>8</v>
      </c>
      <c r="C8" s="32">
        <v>24</v>
      </c>
      <c r="D8" s="32">
        <f>IF(((C8="")*AND(B8="")),"",(C8-B8))</f>
        <v>16</v>
      </c>
      <c r="E8" s="26" t="str">
        <f>IF(D8="","",IF(D8&lt;60,"Pass","Fail"))</f>
        <v>Pass</v>
      </c>
      <c r="F8" s="189">
        <v>74</v>
      </c>
      <c r="G8" s="204"/>
      <c r="H8" s="198"/>
    </row>
    <row r="9" spans="1:10" x14ac:dyDescent="0.35">
      <c r="A9" s="201">
        <v>43318</v>
      </c>
      <c r="B9" s="31">
        <v>6</v>
      </c>
      <c r="C9" s="31">
        <v>9</v>
      </c>
      <c r="D9" s="202">
        <f>IF(((C9="")*AND(B9="")),"",(C9-B9))</f>
        <v>3</v>
      </c>
      <c r="E9" s="30" t="str">
        <f>IF(D9="","",IF(D9&lt;60,"Pass","Fail"))</f>
        <v>Pass</v>
      </c>
      <c r="F9" s="203">
        <v>1340</v>
      </c>
      <c r="G9" s="204"/>
      <c r="H9" s="198"/>
    </row>
    <row r="10" spans="1:10" x14ac:dyDescent="0.35">
      <c r="A10" s="201">
        <v>43320</v>
      </c>
      <c r="B10" s="206">
        <v>6</v>
      </c>
      <c r="C10" s="206">
        <v>8</v>
      </c>
      <c r="D10" s="206">
        <f>IF(((C10="")*AND(B10="")),"",(C10-B10))</f>
        <v>2</v>
      </c>
      <c r="E10" s="30" t="str">
        <f>IF(D10="","",IF(D10&lt;60,"Pass","Fail"))</f>
        <v>Pass</v>
      </c>
      <c r="F10" s="207">
        <v>1519</v>
      </c>
      <c r="G10" s="204"/>
      <c r="H10" s="198"/>
    </row>
    <row r="11" spans="1:10" x14ac:dyDescent="0.35">
      <c r="A11" s="201">
        <v>43321</v>
      </c>
      <c r="B11" s="32">
        <v>8</v>
      </c>
      <c r="C11" s="32">
        <v>19</v>
      </c>
      <c r="D11" s="32">
        <f>IF(((C11="")*AND(B11="")),"",(C11-B11))</f>
        <v>11</v>
      </c>
      <c r="E11" s="26" t="str">
        <f>IF(D11="","",IF(D11&lt;60,"Pass","Fail"))</f>
        <v>Pass</v>
      </c>
      <c r="F11" s="189">
        <v>1428</v>
      </c>
      <c r="G11" s="204"/>
      <c r="H11" s="198"/>
    </row>
    <row r="12" spans="1:10" x14ac:dyDescent="0.35">
      <c r="A12" s="201"/>
      <c r="B12" s="31"/>
      <c r="C12" s="31"/>
      <c r="D12" s="202" t="str">
        <f t="shared" si="0"/>
        <v/>
      </c>
      <c r="E12" s="30" t="str">
        <f t="shared" si="1"/>
        <v/>
      </c>
      <c r="F12" s="203"/>
      <c r="G12" s="204"/>
      <c r="H12" s="198"/>
    </row>
    <row r="13" spans="1:10" x14ac:dyDescent="0.35">
      <c r="A13" s="201"/>
      <c r="B13" s="31"/>
      <c r="C13" s="31"/>
      <c r="D13" s="202" t="str">
        <f t="shared" si="0"/>
        <v/>
      </c>
      <c r="E13" s="30" t="str">
        <f t="shared" si="1"/>
        <v/>
      </c>
      <c r="F13" s="203"/>
      <c r="G13" s="204"/>
      <c r="H13" s="198"/>
    </row>
    <row r="14" spans="1:10" x14ac:dyDescent="0.35">
      <c r="A14" s="201"/>
      <c r="B14" s="31"/>
      <c r="C14" s="31"/>
      <c r="D14" s="202" t="str">
        <f t="shared" si="0"/>
        <v/>
      </c>
      <c r="E14" s="30" t="str">
        <f t="shared" si="1"/>
        <v/>
      </c>
      <c r="F14" s="203"/>
      <c r="G14" s="204"/>
      <c r="H14" s="198"/>
    </row>
    <row r="15" spans="1:10" x14ac:dyDescent="0.35">
      <c r="A15" s="201"/>
      <c r="B15" s="31"/>
      <c r="C15" s="31"/>
      <c r="D15" s="202" t="str">
        <f t="shared" si="0"/>
        <v/>
      </c>
      <c r="E15" s="30" t="str">
        <f t="shared" si="1"/>
        <v/>
      </c>
      <c r="F15" s="203"/>
      <c r="G15" s="204"/>
      <c r="H15" s="198"/>
    </row>
    <row r="16" spans="1:10" x14ac:dyDescent="0.35">
      <c r="A16" s="201"/>
      <c r="B16" s="31"/>
      <c r="C16" s="31"/>
      <c r="D16" s="202" t="str">
        <f t="shared" si="0"/>
        <v/>
      </c>
      <c r="E16" s="30" t="str">
        <f t="shared" si="1"/>
        <v/>
      </c>
      <c r="F16" s="203"/>
      <c r="G16" s="204"/>
      <c r="H16" s="198"/>
    </row>
    <row r="17" spans="1:8" x14ac:dyDescent="0.35">
      <c r="A17" s="201"/>
      <c r="B17" s="31"/>
      <c r="C17" s="31"/>
      <c r="D17" s="202" t="str">
        <f t="shared" si="0"/>
        <v/>
      </c>
      <c r="E17" s="30" t="str">
        <f t="shared" si="1"/>
        <v/>
      </c>
      <c r="F17" s="203"/>
      <c r="G17" s="204"/>
      <c r="H17" s="198"/>
    </row>
    <row r="18" spans="1:8" x14ac:dyDescent="0.35">
      <c r="A18" s="201"/>
      <c r="B18" s="31"/>
      <c r="C18" s="31"/>
      <c r="D18" s="202" t="str">
        <f t="shared" si="0"/>
        <v/>
      </c>
      <c r="E18" s="30" t="str">
        <f t="shared" si="1"/>
        <v/>
      </c>
      <c r="F18" s="203"/>
      <c r="G18" s="204"/>
      <c r="H18" s="198"/>
    </row>
    <row r="19" spans="1:8" x14ac:dyDescent="0.35">
      <c r="A19" s="201"/>
      <c r="B19" s="31"/>
      <c r="C19" s="31"/>
      <c r="D19" s="202" t="str">
        <f t="shared" si="0"/>
        <v/>
      </c>
      <c r="E19" s="30" t="str">
        <f t="shared" si="1"/>
        <v/>
      </c>
      <c r="F19" s="203"/>
      <c r="G19" s="204"/>
      <c r="H19" s="198"/>
    </row>
    <row r="20" spans="1:8" x14ac:dyDescent="0.35">
      <c r="A20" s="201"/>
      <c r="B20" s="31"/>
      <c r="C20" s="31"/>
      <c r="D20" s="202" t="str">
        <f t="shared" si="0"/>
        <v/>
      </c>
      <c r="E20" s="30" t="str">
        <f t="shared" si="1"/>
        <v/>
      </c>
      <c r="F20" s="203"/>
      <c r="G20" s="204"/>
      <c r="H20" s="198"/>
    </row>
    <row r="21" spans="1:8" x14ac:dyDescent="0.35">
      <c r="A21" s="201"/>
      <c r="B21" s="31"/>
      <c r="C21" s="31"/>
      <c r="D21" s="202" t="str">
        <f t="shared" si="0"/>
        <v/>
      </c>
      <c r="E21" s="30" t="str">
        <f t="shared" si="1"/>
        <v/>
      </c>
      <c r="F21" s="203"/>
      <c r="G21" s="204"/>
      <c r="H21" s="198"/>
    </row>
    <row r="22" spans="1:8" x14ac:dyDescent="0.35">
      <c r="A22" s="201"/>
      <c r="B22" s="31"/>
      <c r="C22" s="31"/>
      <c r="D22" s="202" t="str">
        <f t="shared" si="0"/>
        <v/>
      </c>
      <c r="E22" s="30" t="str">
        <f t="shared" si="1"/>
        <v/>
      </c>
      <c r="F22" s="203"/>
      <c r="G22" s="204"/>
      <c r="H22" s="198"/>
    </row>
    <row r="23" spans="1:8" x14ac:dyDescent="0.35">
      <c r="A23" s="201"/>
      <c r="B23" s="31"/>
      <c r="C23" s="31"/>
      <c r="D23" s="202" t="str">
        <f t="shared" si="0"/>
        <v/>
      </c>
      <c r="E23" s="30" t="str">
        <f t="shared" si="1"/>
        <v/>
      </c>
      <c r="F23" s="203"/>
      <c r="G23" s="204"/>
      <c r="H23" s="198"/>
    </row>
    <row r="24" spans="1:8" x14ac:dyDescent="0.35">
      <c r="A24" s="201"/>
      <c r="B24" s="31"/>
      <c r="C24" s="31"/>
      <c r="D24" s="202" t="str">
        <f t="shared" si="0"/>
        <v/>
      </c>
      <c r="E24" s="30" t="str">
        <f t="shared" si="1"/>
        <v/>
      </c>
      <c r="F24" s="203"/>
      <c r="G24" s="204"/>
      <c r="H24" s="198"/>
    </row>
    <row r="25" spans="1:8" x14ac:dyDescent="0.35">
      <c r="A25" s="201"/>
      <c r="B25" s="31"/>
      <c r="C25" s="31"/>
      <c r="D25" s="202" t="str">
        <f>IF(((C25="")*AND(B25="")),"",(C25-B25))</f>
        <v/>
      </c>
      <c r="E25" s="30" t="str">
        <f>IF(D25="","",IF(D25&lt;60,"Pass","Fail"))</f>
        <v/>
      </c>
      <c r="F25" s="203"/>
      <c r="G25" s="204"/>
      <c r="H25" s="198"/>
    </row>
    <row r="26" spans="1:8" x14ac:dyDescent="0.35">
      <c r="A26" s="201"/>
      <c r="B26" s="31"/>
      <c r="C26" s="31"/>
      <c r="D26" s="202" t="str">
        <f t="shared" si="0"/>
        <v/>
      </c>
      <c r="E26" s="30" t="str">
        <f t="shared" si="1"/>
        <v/>
      </c>
      <c r="F26" s="203"/>
      <c r="G26" s="204"/>
      <c r="H26" s="198"/>
    </row>
    <row r="27" spans="1:8" x14ac:dyDescent="0.35">
      <c r="A27" s="201"/>
      <c r="B27" s="31"/>
      <c r="C27" s="31"/>
      <c r="D27" s="202" t="str">
        <f>IF(((C27="")*AND(B27="")),"",(C27-B27))</f>
        <v/>
      </c>
      <c r="E27" s="30" t="str">
        <f>IF(D27="","",IF(D27&lt;60,"Pass","Fail"))</f>
        <v/>
      </c>
      <c r="F27" s="203"/>
      <c r="G27" s="204"/>
      <c r="H27" s="198"/>
    </row>
    <row r="28" spans="1:8" x14ac:dyDescent="0.35">
      <c r="A28" s="201"/>
      <c r="B28" s="31"/>
      <c r="C28" s="31"/>
      <c r="D28" s="202" t="str">
        <f t="shared" si="0"/>
        <v/>
      </c>
      <c r="E28" s="30" t="str">
        <f t="shared" si="1"/>
        <v/>
      </c>
      <c r="F28" s="203"/>
      <c r="G28" s="204"/>
      <c r="H28" s="198"/>
    </row>
    <row r="29" spans="1:8" x14ac:dyDescent="0.35">
      <c r="A29" s="201"/>
      <c r="B29" s="31"/>
      <c r="C29" s="31"/>
      <c r="D29" s="202" t="str">
        <f t="shared" si="0"/>
        <v/>
      </c>
      <c r="E29" s="30" t="str">
        <f t="shared" si="1"/>
        <v/>
      </c>
      <c r="F29" s="203"/>
      <c r="G29" s="204"/>
      <c r="H29" s="198"/>
    </row>
    <row r="30" spans="1:8" x14ac:dyDescent="0.35">
      <c r="A30" s="201"/>
      <c r="B30" s="31"/>
      <c r="C30" s="31"/>
      <c r="D30" s="202" t="str">
        <f>IF(((C30="")*AND(B30="")),"",(C30-B30))</f>
        <v/>
      </c>
      <c r="E30" s="30" t="str">
        <f>IF(D30="","",IF(D30&lt;60,"Pass","Fail"))</f>
        <v/>
      </c>
      <c r="F30" s="203"/>
      <c r="G30" s="204"/>
      <c r="H30" s="198"/>
    </row>
    <row r="31" spans="1:8" x14ac:dyDescent="0.35">
      <c r="A31" s="201"/>
      <c r="B31" s="31"/>
      <c r="C31" s="31"/>
      <c r="D31" s="202" t="str">
        <f>IF(((C31="")*AND(B31="")),"",(C31-B31))</f>
        <v/>
      </c>
      <c r="E31" s="30" t="str">
        <f>IF(D31="","",IF(D31&lt;60,"Pass","Fail"))</f>
        <v/>
      </c>
      <c r="F31" s="203"/>
      <c r="G31" s="204"/>
      <c r="H31" s="198"/>
    </row>
    <row r="32" spans="1:8" x14ac:dyDescent="0.35">
      <c r="A32" s="201"/>
      <c r="B32" s="31"/>
      <c r="C32" s="31"/>
      <c r="D32" s="202" t="str">
        <f t="shared" si="0"/>
        <v/>
      </c>
      <c r="E32" s="30" t="str">
        <f t="shared" si="1"/>
        <v/>
      </c>
      <c r="F32" s="203"/>
      <c r="G32" s="204"/>
      <c r="H32" s="198"/>
    </row>
    <row r="33" spans="1:8" x14ac:dyDescent="0.35">
      <c r="A33" s="201"/>
      <c r="B33" s="31"/>
      <c r="C33" s="31"/>
      <c r="D33" s="202" t="str">
        <f t="shared" si="0"/>
        <v/>
      </c>
      <c r="E33" s="30" t="str">
        <f t="shared" si="1"/>
        <v/>
      </c>
      <c r="F33" s="203"/>
      <c r="G33" s="204"/>
      <c r="H33" s="198"/>
    </row>
    <row r="34" spans="1:8" x14ac:dyDescent="0.35">
      <c r="A34" s="201"/>
      <c r="B34" s="31"/>
      <c r="C34" s="31"/>
      <c r="D34" s="202" t="str">
        <f t="shared" si="0"/>
        <v/>
      </c>
      <c r="E34" s="30" t="str">
        <f t="shared" si="1"/>
        <v/>
      </c>
      <c r="F34" s="203"/>
      <c r="G34" s="204"/>
      <c r="H34" s="198"/>
    </row>
    <row r="35" spans="1:8" x14ac:dyDescent="0.35">
      <c r="A35" s="201"/>
      <c r="B35" s="31"/>
      <c r="C35" s="31"/>
      <c r="D35" s="202" t="str">
        <f t="shared" si="0"/>
        <v/>
      </c>
      <c r="E35" s="30" t="str">
        <f t="shared" si="1"/>
        <v/>
      </c>
      <c r="F35" s="203"/>
      <c r="G35" s="204"/>
      <c r="H35" s="198"/>
    </row>
    <row r="36" spans="1:8" x14ac:dyDescent="0.35">
      <c r="A36" s="201"/>
      <c r="B36" s="31"/>
      <c r="C36" s="31"/>
      <c r="D36" s="202" t="str">
        <f t="shared" si="0"/>
        <v/>
      </c>
      <c r="E36" s="30" t="str">
        <f t="shared" si="1"/>
        <v/>
      </c>
      <c r="F36" s="203"/>
      <c r="G36" s="204"/>
      <c r="H36" s="198"/>
    </row>
    <row r="37" spans="1:8" x14ac:dyDescent="0.35">
      <c r="A37" s="201"/>
      <c r="B37" s="31"/>
      <c r="C37" s="31"/>
      <c r="D37" s="202" t="str">
        <f t="shared" si="0"/>
        <v/>
      </c>
      <c r="E37" s="30" t="str">
        <f t="shared" si="1"/>
        <v/>
      </c>
      <c r="F37" s="203"/>
      <c r="G37" s="204"/>
      <c r="H37" s="198"/>
    </row>
    <row r="38" spans="1:8" x14ac:dyDescent="0.35">
      <c r="A38" s="201"/>
      <c r="B38" s="31"/>
      <c r="C38" s="31"/>
      <c r="D38" s="202" t="str">
        <f t="shared" si="0"/>
        <v/>
      </c>
      <c r="E38" s="30" t="str">
        <f t="shared" si="1"/>
        <v/>
      </c>
      <c r="F38" s="203"/>
      <c r="G38" s="204"/>
      <c r="H38" s="198"/>
    </row>
    <row r="39" spans="1:8" x14ac:dyDescent="0.35">
      <c r="A39" s="201"/>
      <c r="B39" s="31"/>
      <c r="C39" s="31"/>
      <c r="D39" s="202" t="str">
        <f t="shared" si="0"/>
        <v/>
      </c>
      <c r="E39" s="30" t="str">
        <f t="shared" si="1"/>
        <v/>
      </c>
      <c r="F39" s="203"/>
      <c r="G39" s="204"/>
      <c r="H39" s="198"/>
    </row>
    <row r="40" spans="1:8" x14ac:dyDescent="0.35">
      <c r="A40" s="208"/>
      <c r="B40" s="209"/>
      <c r="C40" s="209"/>
      <c r="D40" s="202" t="str">
        <f t="shared" si="0"/>
        <v/>
      </c>
      <c r="E40" s="30" t="str">
        <f t="shared" si="1"/>
        <v/>
      </c>
      <c r="F40" s="210"/>
      <c r="G40" s="204"/>
      <c r="H40" s="198"/>
    </row>
    <row r="41" spans="1:8" x14ac:dyDescent="0.35">
      <c r="A41" s="201"/>
      <c r="B41" s="31"/>
      <c r="C41" s="31"/>
      <c r="D41" s="202" t="str">
        <f t="shared" si="0"/>
        <v/>
      </c>
      <c r="E41" s="30" t="str">
        <f t="shared" si="1"/>
        <v/>
      </c>
      <c r="F41" s="203"/>
      <c r="G41" s="204"/>
      <c r="H41" s="198"/>
    </row>
    <row r="42" spans="1:8" x14ac:dyDescent="0.35">
      <c r="A42" s="201"/>
      <c r="B42" s="31"/>
      <c r="C42" s="31"/>
      <c r="D42" s="202" t="str">
        <f t="shared" si="0"/>
        <v/>
      </c>
      <c r="E42" s="30" t="str">
        <f t="shared" si="1"/>
        <v/>
      </c>
      <c r="F42" s="203"/>
      <c r="G42" s="204"/>
      <c r="H42" s="198"/>
    </row>
    <row r="43" spans="1:8" x14ac:dyDescent="0.35">
      <c r="A43" s="208"/>
      <c r="B43" s="209"/>
      <c r="C43" s="209"/>
      <c r="D43" s="202" t="str">
        <f t="shared" si="0"/>
        <v/>
      </c>
      <c r="E43" s="30" t="str">
        <f t="shared" si="1"/>
        <v/>
      </c>
      <c r="F43" s="210"/>
      <c r="G43" s="204"/>
      <c r="H43" s="198"/>
    </row>
    <row r="44" spans="1:8" x14ac:dyDescent="0.35">
      <c r="A44" s="208"/>
      <c r="B44" s="209"/>
      <c r="C44" s="209"/>
      <c r="D44" s="202" t="str">
        <f t="shared" si="0"/>
        <v/>
      </c>
      <c r="E44" s="30" t="str">
        <f t="shared" si="1"/>
        <v/>
      </c>
      <c r="F44" s="210"/>
      <c r="G44" s="204"/>
      <c r="H44" s="198"/>
    </row>
    <row r="45" spans="1:8" x14ac:dyDescent="0.35">
      <c r="A45" s="208"/>
      <c r="B45" s="209"/>
      <c r="C45" s="209"/>
      <c r="D45" s="202" t="str">
        <f t="shared" si="0"/>
        <v/>
      </c>
      <c r="E45" s="30" t="str">
        <f t="shared" si="1"/>
        <v/>
      </c>
      <c r="F45" s="211"/>
      <c r="G45" s="204"/>
      <c r="H45" s="198"/>
    </row>
    <row r="46" spans="1:8" x14ac:dyDescent="0.35">
      <c r="A46" s="201"/>
      <c r="B46" s="31"/>
      <c r="C46" s="31"/>
      <c r="D46" s="202" t="str">
        <f t="shared" si="0"/>
        <v/>
      </c>
      <c r="E46" s="30" t="str">
        <f t="shared" si="1"/>
        <v/>
      </c>
      <c r="F46" s="203"/>
      <c r="G46" s="204"/>
      <c r="H46" s="198"/>
    </row>
    <row r="47" spans="1:8" x14ac:dyDescent="0.35">
      <c r="A47" s="201"/>
      <c r="B47" s="31"/>
      <c r="C47" s="31"/>
      <c r="D47" s="202" t="str">
        <f t="shared" si="0"/>
        <v/>
      </c>
      <c r="E47" s="30" t="str">
        <f t="shared" si="1"/>
        <v/>
      </c>
      <c r="F47" s="203"/>
      <c r="G47" s="204"/>
      <c r="H47" s="198"/>
    </row>
    <row r="48" spans="1:8" x14ac:dyDescent="0.35">
      <c r="A48" s="208"/>
      <c r="B48" s="209"/>
      <c r="C48" s="209"/>
      <c r="D48" s="202" t="str">
        <f>IF(((C48="")*AND(B48="")),"",(C48-B48))</f>
        <v/>
      </c>
      <c r="E48" s="30" t="str">
        <f>IF(D48="","",IF(D48&lt;60,"Pass","Fail"))</f>
        <v/>
      </c>
      <c r="F48" s="211"/>
      <c r="G48" s="204"/>
      <c r="H48" s="198"/>
    </row>
    <row r="49" spans="1:8" x14ac:dyDescent="0.35">
      <c r="A49" s="208"/>
      <c r="B49" s="209"/>
      <c r="C49" s="209"/>
      <c r="D49" s="202" t="str">
        <f t="shared" si="0"/>
        <v/>
      </c>
      <c r="E49" s="30" t="str">
        <f t="shared" si="1"/>
        <v/>
      </c>
      <c r="F49" s="211"/>
      <c r="G49" s="204"/>
      <c r="H49" s="198"/>
    </row>
    <row r="50" spans="1:8" x14ac:dyDescent="0.35">
      <c r="A50" s="201"/>
      <c r="B50" s="31"/>
      <c r="C50" s="31"/>
      <c r="D50" s="202" t="str">
        <f>IF(((C50="")*AND(B50="")),"",(C50-B50))</f>
        <v/>
      </c>
      <c r="E50" s="30" t="str">
        <f>IF(D50="","",IF(D50&lt;60,"Pass","Fail"))</f>
        <v/>
      </c>
      <c r="F50" s="203"/>
      <c r="G50" s="204"/>
      <c r="H50" s="198"/>
    </row>
    <row r="51" spans="1:8" x14ac:dyDescent="0.35">
      <c r="A51" s="201"/>
      <c r="B51" s="31"/>
      <c r="C51" s="31"/>
      <c r="D51" s="202" t="str">
        <f>IF(((C51="")*AND(B51="")),"",(C51-B51))</f>
        <v/>
      </c>
      <c r="E51" s="30" t="str">
        <f>IF(D51="","",IF(D51&lt;60,"Pass","Fail"))</f>
        <v/>
      </c>
      <c r="F51" s="203"/>
      <c r="G51" s="204"/>
      <c r="H51" s="198"/>
    </row>
    <row r="52" spans="1:8" x14ac:dyDescent="0.35">
      <c r="A52" s="201"/>
      <c r="B52" s="31"/>
      <c r="C52" s="31"/>
      <c r="D52" s="202" t="str">
        <f t="shared" ref="D52:D84" si="2">IF(((C52="")*AND(B52="")),"",(C52-B52))</f>
        <v/>
      </c>
      <c r="E52" s="30" t="str">
        <f t="shared" ref="E52:E84" si="3">IF(D52="","",IF(D52&lt;60,"Pass","Fail"))</f>
        <v/>
      </c>
      <c r="F52" s="203"/>
      <c r="G52" s="204"/>
      <c r="H52" s="198"/>
    </row>
    <row r="53" spans="1:8" x14ac:dyDescent="0.35">
      <c r="A53" s="201"/>
      <c r="B53" s="31"/>
      <c r="C53" s="31"/>
      <c r="D53" s="202" t="str">
        <f t="shared" si="2"/>
        <v/>
      </c>
      <c r="E53" s="30" t="str">
        <f t="shared" si="3"/>
        <v/>
      </c>
      <c r="F53" s="203"/>
      <c r="G53" s="204"/>
      <c r="H53" s="198"/>
    </row>
    <row r="54" spans="1:8" x14ac:dyDescent="0.35">
      <c r="A54" s="201"/>
      <c r="B54" s="31"/>
      <c r="C54" s="31"/>
      <c r="D54" s="202" t="str">
        <f t="shared" si="2"/>
        <v/>
      </c>
      <c r="E54" s="30" t="str">
        <f t="shared" si="3"/>
        <v/>
      </c>
      <c r="F54" s="203"/>
      <c r="G54" s="204"/>
      <c r="H54" s="198"/>
    </row>
    <row r="55" spans="1:8" x14ac:dyDescent="0.35">
      <c r="A55" s="201"/>
      <c r="B55" s="31"/>
      <c r="C55" s="31"/>
      <c r="D55" s="202" t="str">
        <f t="shared" si="2"/>
        <v/>
      </c>
      <c r="E55" s="30" t="str">
        <f t="shared" si="3"/>
        <v/>
      </c>
      <c r="F55" s="203"/>
      <c r="G55" s="204"/>
      <c r="H55" s="198"/>
    </row>
    <row r="56" spans="1:8" x14ac:dyDescent="0.35">
      <c r="A56" s="201"/>
      <c r="B56" s="31"/>
      <c r="C56" s="31"/>
      <c r="D56" s="202" t="str">
        <f t="shared" si="2"/>
        <v/>
      </c>
      <c r="E56" s="30" t="str">
        <f t="shared" si="3"/>
        <v/>
      </c>
      <c r="F56" s="203"/>
      <c r="G56" s="204"/>
      <c r="H56" s="198"/>
    </row>
    <row r="57" spans="1:8" x14ac:dyDescent="0.35">
      <c r="A57" s="201"/>
      <c r="B57" s="31"/>
      <c r="C57" s="31"/>
      <c r="D57" s="202" t="str">
        <f t="shared" si="2"/>
        <v/>
      </c>
      <c r="E57" s="30" t="str">
        <f t="shared" si="3"/>
        <v/>
      </c>
      <c r="F57" s="203"/>
      <c r="G57" s="204"/>
      <c r="H57" s="198"/>
    </row>
    <row r="58" spans="1:8" x14ac:dyDescent="0.35">
      <c r="A58" s="201"/>
      <c r="B58" s="31"/>
      <c r="C58" s="31"/>
      <c r="D58" s="202" t="str">
        <f t="shared" si="2"/>
        <v/>
      </c>
      <c r="E58" s="30" t="str">
        <f t="shared" si="3"/>
        <v/>
      </c>
      <c r="F58" s="203"/>
      <c r="G58" s="204"/>
      <c r="H58" s="198"/>
    </row>
    <row r="59" spans="1:8" x14ac:dyDescent="0.35">
      <c r="A59" s="201"/>
      <c r="B59" s="31"/>
      <c r="C59" s="31"/>
      <c r="D59" s="202" t="str">
        <f t="shared" si="2"/>
        <v/>
      </c>
      <c r="E59" s="30" t="str">
        <f t="shared" si="3"/>
        <v/>
      </c>
      <c r="F59" s="203"/>
      <c r="G59" s="204"/>
      <c r="H59" s="198"/>
    </row>
    <row r="60" spans="1:8" x14ac:dyDescent="0.35">
      <c r="A60" s="212"/>
      <c r="B60" s="209"/>
      <c r="C60" s="209"/>
      <c r="D60" s="202" t="str">
        <f t="shared" si="2"/>
        <v/>
      </c>
      <c r="E60" s="30" t="str">
        <f t="shared" si="3"/>
        <v/>
      </c>
      <c r="F60" s="211"/>
      <c r="G60" s="213"/>
      <c r="H60" s="198"/>
    </row>
    <row r="61" spans="1:8" x14ac:dyDescent="0.35">
      <c r="A61" s="212"/>
      <c r="B61" s="209"/>
      <c r="C61" s="209"/>
      <c r="D61" s="202" t="str">
        <f t="shared" si="2"/>
        <v/>
      </c>
      <c r="E61" s="30" t="str">
        <f t="shared" si="3"/>
        <v/>
      </c>
      <c r="F61" s="211"/>
      <c r="G61" s="213"/>
      <c r="H61" s="198"/>
    </row>
    <row r="62" spans="1:8" x14ac:dyDescent="0.35">
      <c r="A62" s="214"/>
      <c r="B62" s="31"/>
      <c r="C62" s="31"/>
      <c r="D62" s="202" t="str">
        <f t="shared" si="2"/>
        <v/>
      </c>
      <c r="E62" s="30" t="str">
        <f t="shared" si="3"/>
        <v/>
      </c>
      <c r="F62" s="203"/>
      <c r="G62" s="204"/>
      <c r="H62" s="198"/>
    </row>
    <row r="63" spans="1:8" x14ac:dyDescent="0.35">
      <c r="A63" s="214"/>
      <c r="B63" s="31"/>
      <c r="C63" s="31"/>
      <c r="D63" s="202" t="str">
        <f t="shared" si="2"/>
        <v/>
      </c>
      <c r="E63" s="30" t="str">
        <f t="shared" si="3"/>
        <v/>
      </c>
      <c r="F63" s="203"/>
      <c r="G63" s="204"/>
      <c r="H63" s="198"/>
    </row>
    <row r="64" spans="1:8" x14ac:dyDescent="0.35">
      <c r="A64" s="214"/>
      <c r="B64" s="31"/>
      <c r="C64" s="31"/>
      <c r="D64" s="215" t="str">
        <f t="shared" si="2"/>
        <v/>
      </c>
      <c r="E64" s="216" t="str">
        <f t="shared" si="3"/>
        <v/>
      </c>
      <c r="F64" s="203"/>
      <c r="G64" s="204"/>
      <c r="H64" s="198"/>
    </row>
    <row r="65" spans="1:8" x14ac:dyDescent="0.35">
      <c r="A65" s="214"/>
      <c r="B65" s="31"/>
      <c r="C65" s="31"/>
      <c r="D65" s="202" t="str">
        <f t="shared" si="2"/>
        <v/>
      </c>
      <c r="E65" s="30" t="str">
        <f t="shared" si="3"/>
        <v/>
      </c>
      <c r="F65" s="203"/>
      <c r="G65" s="204"/>
      <c r="H65" s="198"/>
    </row>
    <row r="66" spans="1:8" x14ac:dyDescent="0.35">
      <c r="A66" s="214"/>
      <c r="B66" s="31"/>
      <c r="C66" s="31"/>
      <c r="D66" s="202" t="str">
        <f t="shared" si="2"/>
        <v/>
      </c>
      <c r="E66" s="30" t="str">
        <f t="shared" si="3"/>
        <v/>
      </c>
      <c r="F66" s="203"/>
      <c r="G66" s="204"/>
      <c r="H66" s="198"/>
    </row>
    <row r="67" spans="1:8" x14ac:dyDescent="0.35">
      <c r="A67" s="214"/>
      <c r="B67" s="31"/>
      <c r="C67" s="31"/>
      <c r="D67" s="202" t="str">
        <f t="shared" si="2"/>
        <v/>
      </c>
      <c r="E67" s="30" t="str">
        <f t="shared" si="3"/>
        <v/>
      </c>
      <c r="F67" s="203"/>
      <c r="G67" s="204"/>
      <c r="H67" s="198"/>
    </row>
    <row r="68" spans="1:8" x14ac:dyDescent="0.35">
      <c r="A68" s="214"/>
      <c r="B68" s="31"/>
      <c r="C68" s="31"/>
      <c r="D68" s="202" t="str">
        <f t="shared" si="2"/>
        <v/>
      </c>
      <c r="E68" s="30" t="str">
        <f t="shared" si="3"/>
        <v/>
      </c>
      <c r="F68" s="203"/>
      <c r="G68" s="204"/>
      <c r="H68" s="198"/>
    </row>
    <row r="69" spans="1:8" x14ac:dyDescent="0.35">
      <c r="A69" s="214"/>
      <c r="B69" s="31"/>
      <c r="C69" s="31"/>
      <c r="D69" s="202" t="str">
        <f t="shared" si="2"/>
        <v/>
      </c>
      <c r="E69" s="30" t="str">
        <f t="shared" si="3"/>
        <v/>
      </c>
      <c r="F69" s="203"/>
      <c r="G69" s="204"/>
      <c r="H69" s="198"/>
    </row>
    <row r="70" spans="1:8" x14ac:dyDescent="0.35">
      <c r="A70" s="214"/>
      <c r="B70" s="31"/>
      <c r="C70" s="31"/>
      <c r="D70" s="202" t="str">
        <f t="shared" si="2"/>
        <v/>
      </c>
      <c r="E70" s="30" t="str">
        <f t="shared" si="3"/>
        <v/>
      </c>
      <c r="F70" s="203"/>
      <c r="G70" s="204"/>
      <c r="H70" s="198"/>
    </row>
    <row r="71" spans="1:8" x14ac:dyDescent="0.35">
      <c r="A71" s="214"/>
      <c r="B71" s="31"/>
      <c r="C71" s="31"/>
      <c r="D71" s="202" t="str">
        <f t="shared" si="2"/>
        <v/>
      </c>
      <c r="E71" s="30" t="str">
        <f t="shared" si="3"/>
        <v/>
      </c>
      <c r="F71" s="203"/>
      <c r="G71" s="204"/>
      <c r="H71" s="198"/>
    </row>
    <row r="72" spans="1:8" x14ac:dyDescent="0.35">
      <c r="A72" s="201"/>
      <c r="B72" s="31"/>
      <c r="C72" s="31"/>
      <c r="D72" s="202" t="str">
        <f t="shared" si="2"/>
        <v/>
      </c>
      <c r="E72" s="30" t="str">
        <f t="shared" si="3"/>
        <v/>
      </c>
      <c r="F72" s="203"/>
      <c r="G72" s="204"/>
      <c r="H72" s="198"/>
    </row>
    <row r="73" spans="1:8" x14ac:dyDescent="0.35">
      <c r="A73" s="201"/>
      <c r="B73" s="31"/>
      <c r="C73" s="31"/>
      <c r="D73" s="202" t="str">
        <f t="shared" si="2"/>
        <v/>
      </c>
      <c r="E73" s="30" t="str">
        <f t="shared" si="3"/>
        <v/>
      </c>
      <c r="F73" s="203"/>
      <c r="G73" s="204"/>
      <c r="H73" s="198"/>
    </row>
    <row r="74" spans="1:8" x14ac:dyDescent="0.35">
      <c r="A74" s="201"/>
      <c r="B74" s="32"/>
      <c r="C74" s="32"/>
      <c r="D74" s="202" t="str">
        <f t="shared" si="2"/>
        <v/>
      </c>
      <c r="E74" s="30" t="str">
        <f t="shared" si="3"/>
        <v/>
      </c>
      <c r="F74" s="217"/>
      <c r="G74" s="218"/>
      <c r="H74" s="198"/>
    </row>
    <row r="75" spans="1:8" x14ac:dyDescent="0.35">
      <c r="A75" s="201"/>
      <c r="B75" s="31"/>
      <c r="C75" s="206"/>
      <c r="D75" s="202" t="str">
        <f t="shared" si="2"/>
        <v/>
      </c>
      <c r="E75" s="30" t="str">
        <f t="shared" si="3"/>
        <v/>
      </c>
      <c r="F75" s="203"/>
      <c r="G75" s="218"/>
      <c r="H75" s="198"/>
    </row>
    <row r="76" spans="1:8" x14ac:dyDescent="0.35">
      <c r="A76" s="201"/>
      <c r="B76" s="32"/>
      <c r="C76" s="32"/>
      <c r="D76" s="202" t="str">
        <f t="shared" si="2"/>
        <v/>
      </c>
      <c r="E76" s="30" t="str">
        <f t="shared" si="3"/>
        <v/>
      </c>
      <c r="F76" s="217"/>
      <c r="G76" s="219"/>
      <c r="H76" s="198"/>
    </row>
    <row r="77" spans="1:8" x14ac:dyDescent="0.35">
      <c r="A77" s="201"/>
      <c r="B77" s="32"/>
      <c r="C77" s="32"/>
      <c r="D77" s="202" t="str">
        <f t="shared" si="2"/>
        <v/>
      </c>
      <c r="E77" s="30" t="str">
        <f t="shared" si="3"/>
        <v/>
      </c>
      <c r="F77" s="217"/>
      <c r="G77" s="219"/>
      <c r="H77" s="198"/>
    </row>
    <row r="78" spans="1:8" x14ac:dyDescent="0.35">
      <c r="A78" s="201"/>
      <c r="B78" s="32"/>
      <c r="C78" s="32"/>
      <c r="D78" s="202" t="str">
        <f t="shared" si="2"/>
        <v/>
      </c>
      <c r="E78" s="30" t="str">
        <f t="shared" si="3"/>
        <v/>
      </c>
      <c r="F78" s="217"/>
      <c r="G78" s="219"/>
      <c r="H78" s="198"/>
    </row>
    <row r="79" spans="1:8" x14ac:dyDescent="0.35">
      <c r="A79" s="201"/>
      <c r="B79" s="32"/>
      <c r="C79" s="32"/>
      <c r="D79" s="202" t="str">
        <f t="shared" si="2"/>
        <v/>
      </c>
      <c r="E79" s="30" t="str">
        <f t="shared" si="3"/>
        <v/>
      </c>
      <c r="F79" s="217"/>
      <c r="G79" s="219"/>
      <c r="H79" s="198"/>
    </row>
    <row r="80" spans="1:8" x14ac:dyDescent="0.35">
      <c r="A80" s="201"/>
      <c r="B80" s="32"/>
      <c r="C80" s="32"/>
      <c r="D80" s="202" t="str">
        <f t="shared" si="2"/>
        <v/>
      </c>
      <c r="E80" s="30" t="str">
        <f t="shared" si="3"/>
        <v/>
      </c>
      <c r="F80" s="217"/>
      <c r="G80" s="219"/>
      <c r="H80" s="198"/>
    </row>
    <row r="81" spans="1:8" x14ac:dyDescent="0.35">
      <c r="A81" s="201"/>
      <c r="B81" s="32"/>
      <c r="C81" s="32"/>
      <c r="D81" s="202" t="str">
        <f t="shared" si="2"/>
        <v/>
      </c>
      <c r="E81" s="30" t="str">
        <f t="shared" si="3"/>
        <v/>
      </c>
      <c r="F81" s="217"/>
      <c r="G81" s="219"/>
      <c r="H81" s="198"/>
    </row>
    <row r="82" spans="1:8" x14ac:dyDescent="0.35">
      <c r="A82" s="201"/>
      <c r="B82" s="32"/>
      <c r="C82" s="32"/>
      <c r="D82" s="202" t="str">
        <f t="shared" si="2"/>
        <v/>
      </c>
      <c r="E82" s="30" t="str">
        <f t="shared" si="3"/>
        <v/>
      </c>
      <c r="F82" s="217"/>
      <c r="G82" s="219"/>
      <c r="H82" s="198"/>
    </row>
    <row r="83" spans="1:8" x14ac:dyDescent="0.35">
      <c r="A83" s="201"/>
      <c r="B83" s="32"/>
      <c r="C83" s="32"/>
      <c r="D83" s="202" t="str">
        <f t="shared" si="2"/>
        <v/>
      </c>
      <c r="E83" s="30" t="str">
        <f t="shared" si="3"/>
        <v/>
      </c>
      <c r="F83" s="217"/>
      <c r="G83" s="219"/>
      <c r="H83" s="198"/>
    </row>
    <row r="84" spans="1:8" x14ac:dyDescent="0.35">
      <c r="A84" s="201"/>
      <c r="B84" s="32"/>
      <c r="C84" s="32"/>
      <c r="D84" s="202" t="str">
        <f t="shared" si="2"/>
        <v/>
      </c>
      <c r="E84" s="30" t="str">
        <f t="shared" si="3"/>
        <v/>
      </c>
      <c r="F84" s="217"/>
      <c r="G84" s="219"/>
      <c r="H84" s="198"/>
    </row>
    <row r="85" spans="1:8" x14ac:dyDescent="0.35">
      <c r="A85" s="201"/>
      <c r="B85" s="32"/>
      <c r="C85" s="32"/>
      <c r="D85" s="32"/>
      <c r="E85" s="26"/>
      <c r="F85" s="217"/>
      <c r="G85" s="219"/>
      <c r="H85" s="198"/>
    </row>
    <row r="86" spans="1:8" x14ac:dyDescent="0.35">
      <c r="A86" s="201"/>
      <c r="B86" s="32"/>
      <c r="C86" s="32"/>
      <c r="D86" s="32"/>
      <c r="E86" s="26"/>
      <c r="F86" s="217"/>
      <c r="G86" s="219"/>
      <c r="H86" s="198"/>
    </row>
    <row r="87" spans="1:8" x14ac:dyDescent="0.35">
      <c r="A87" s="201"/>
      <c r="B87" s="32"/>
      <c r="C87" s="32"/>
      <c r="D87" s="32"/>
      <c r="E87" s="26"/>
      <c r="F87" s="217"/>
      <c r="G87" s="219"/>
      <c r="H87" s="198"/>
    </row>
    <row r="88" spans="1:8" x14ac:dyDescent="0.35">
      <c r="A88" s="201"/>
      <c r="B88" s="32"/>
      <c r="C88" s="32"/>
      <c r="D88" s="32"/>
      <c r="E88" s="26"/>
      <c r="F88" s="217"/>
      <c r="G88" s="219"/>
      <c r="H88" s="198"/>
    </row>
    <row r="89" spans="1:8" x14ac:dyDescent="0.35">
      <c r="A89" s="201"/>
      <c r="B89" s="32"/>
      <c r="C89" s="32"/>
      <c r="D89" s="32"/>
      <c r="E89" s="26"/>
      <c r="F89" s="217"/>
      <c r="G89" s="219"/>
      <c r="H89" s="198"/>
    </row>
    <row r="90" spans="1:8" x14ac:dyDescent="0.35">
      <c r="A90" s="201"/>
      <c r="B90" s="32"/>
      <c r="C90" s="32"/>
      <c r="D90" s="32"/>
      <c r="E90" s="26"/>
      <c r="F90" s="217"/>
      <c r="G90" s="219"/>
      <c r="H90" s="198"/>
    </row>
    <row r="91" spans="1:8" x14ac:dyDescent="0.35">
      <c r="A91" s="201"/>
      <c r="B91" s="32"/>
      <c r="C91" s="32"/>
      <c r="D91" s="32"/>
      <c r="E91" s="26"/>
      <c r="F91" s="217"/>
      <c r="G91" s="219"/>
      <c r="H91" s="198"/>
    </row>
    <row r="92" spans="1:8" x14ac:dyDescent="0.35">
      <c r="A92" s="201"/>
      <c r="B92" s="32"/>
      <c r="C92" s="32"/>
      <c r="D92" s="32"/>
      <c r="E92" s="26"/>
      <c r="F92" s="217"/>
      <c r="G92" s="219"/>
      <c r="H92" s="198"/>
    </row>
    <row r="93" spans="1:8" x14ac:dyDescent="0.35">
      <c r="A93" s="201"/>
      <c r="B93" s="32"/>
      <c r="C93" s="32"/>
      <c r="D93" s="32"/>
      <c r="E93" s="26"/>
      <c r="F93" s="217"/>
      <c r="G93" s="219"/>
      <c r="H93" s="198"/>
    </row>
    <row r="94" spans="1:8" x14ac:dyDescent="0.35">
      <c r="A94" s="201"/>
      <c r="B94" s="32"/>
      <c r="C94" s="32"/>
      <c r="D94" s="32"/>
      <c r="E94" s="26"/>
      <c r="F94" s="217"/>
      <c r="G94" s="219"/>
      <c r="H94" s="198"/>
    </row>
    <row r="95" spans="1:8" x14ac:dyDescent="0.35">
      <c r="A95" s="201"/>
      <c r="B95" s="32"/>
      <c r="C95" s="32"/>
      <c r="D95" s="32"/>
      <c r="E95" s="26"/>
      <c r="F95" s="217"/>
      <c r="G95" s="219"/>
      <c r="H95" s="198"/>
    </row>
    <row r="96" spans="1:8" x14ac:dyDescent="0.35">
      <c r="A96" s="201"/>
      <c r="B96" s="32"/>
      <c r="C96" s="32"/>
      <c r="D96" s="32"/>
      <c r="E96" s="26"/>
      <c r="F96" s="217"/>
      <c r="G96" s="219"/>
      <c r="H96" s="198"/>
    </row>
    <row r="97" spans="1:8" x14ac:dyDescent="0.35">
      <c r="A97" s="201"/>
      <c r="B97" s="32"/>
      <c r="C97" s="32"/>
      <c r="D97" s="32"/>
      <c r="E97" s="26"/>
      <c r="F97" s="217"/>
      <c r="G97" s="219"/>
      <c r="H97" s="198"/>
    </row>
    <row r="98" spans="1:8" x14ac:dyDescent="0.35">
      <c r="A98" s="201"/>
      <c r="B98" s="32"/>
      <c r="C98" s="32"/>
      <c r="D98" s="32"/>
      <c r="E98" s="26"/>
      <c r="F98" s="217"/>
      <c r="G98" s="219"/>
      <c r="H98" s="198"/>
    </row>
    <row r="99" spans="1:8" x14ac:dyDescent="0.35">
      <c r="A99" s="201"/>
      <c r="B99" s="32"/>
      <c r="C99" s="32"/>
      <c r="D99" s="32"/>
      <c r="E99" s="26"/>
      <c r="F99" s="217"/>
      <c r="G99" s="219"/>
      <c r="H99" s="198"/>
    </row>
    <row r="100" spans="1:8" x14ac:dyDescent="0.35">
      <c r="A100" s="201"/>
      <c r="B100" s="32"/>
      <c r="C100" s="32"/>
      <c r="D100" s="32"/>
      <c r="E100" s="26"/>
      <c r="F100" s="217"/>
      <c r="G100" s="219"/>
      <c r="H100" s="198"/>
    </row>
    <row r="101" spans="1:8" x14ac:dyDescent="0.35">
      <c r="A101" s="201"/>
      <c r="B101" s="32"/>
      <c r="C101" s="32"/>
      <c r="D101" s="32"/>
      <c r="E101" s="26"/>
      <c r="F101" s="217"/>
      <c r="G101" s="219"/>
      <c r="H101" s="198"/>
    </row>
    <row r="102" spans="1:8" x14ac:dyDescent="0.35">
      <c r="A102" s="201"/>
      <c r="B102" s="32"/>
      <c r="C102" s="32"/>
      <c r="D102" s="32"/>
      <c r="E102" s="26"/>
      <c r="F102" s="217"/>
      <c r="G102" s="219"/>
      <c r="H102" s="198"/>
    </row>
    <row r="103" spans="1:8" x14ac:dyDescent="0.35">
      <c r="A103" s="201"/>
      <c r="B103" s="32"/>
      <c r="C103" s="32"/>
      <c r="D103" s="32"/>
      <c r="E103" s="26"/>
      <c r="F103" s="217"/>
      <c r="G103" s="219"/>
      <c r="H103" s="198"/>
    </row>
    <row r="104" spans="1:8" x14ac:dyDescent="0.35">
      <c r="A104" s="201"/>
      <c r="B104" s="32"/>
      <c r="C104" s="32"/>
      <c r="D104" s="32"/>
      <c r="E104" s="26"/>
      <c r="F104" s="217"/>
      <c r="G104" s="219"/>
      <c r="H104" s="198"/>
    </row>
    <row r="105" spans="1:8" x14ac:dyDescent="0.35">
      <c r="A105" s="201"/>
      <c r="B105" s="32"/>
      <c r="C105" s="32"/>
      <c r="D105" s="32"/>
      <c r="E105" s="26"/>
      <c r="F105" s="217"/>
      <c r="G105" s="219"/>
      <c r="H105" s="198"/>
    </row>
    <row r="106" spans="1:8" x14ac:dyDescent="0.35">
      <c r="A106" s="201"/>
      <c r="B106" s="32"/>
      <c r="C106" s="32"/>
      <c r="D106" s="32"/>
      <c r="E106" s="26"/>
      <c r="F106" s="217"/>
      <c r="G106" s="219"/>
      <c r="H106" s="198"/>
    </row>
    <row r="107" spans="1:8" x14ac:dyDescent="0.35">
      <c r="A107" s="201"/>
      <c r="B107" s="32"/>
      <c r="C107" s="32"/>
      <c r="D107" s="32"/>
      <c r="E107" s="26"/>
      <c r="F107" s="217"/>
      <c r="G107" s="219"/>
      <c r="H107" s="198"/>
    </row>
    <row r="108" spans="1:8" x14ac:dyDescent="0.35">
      <c r="A108" s="201"/>
      <c r="B108" s="32"/>
      <c r="C108" s="32"/>
      <c r="D108" s="32"/>
      <c r="E108" s="26"/>
      <c r="F108" s="217"/>
      <c r="G108" s="219"/>
      <c r="H108" s="198"/>
    </row>
    <row r="109" spans="1:8" x14ac:dyDescent="0.35">
      <c r="A109" s="201"/>
      <c r="B109" s="32"/>
      <c r="C109" s="32"/>
      <c r="D109" s="32"/>
      <c r="E109" s="26"/>
      <c r="F109" s="217"/>
      <c r="G109" s="219"/>
      <c r="H109" s="198"/>
    </row>
    <row r="110" spans="1:8" x14ac:dyDescent="0.35">
      <c r="A110" s="201"/>
      <c r="B110" s="32"/>
      <c r="C110" s="32"/>
      <c r="D110" s="32"/>
      <c r="E110" s="26"/>
      <c r="F110" s="217"/>
      <c r="G110" s="219"/>
      <c r="H110" s="198"/>
    </row>
    <row r="111" spans="1:8" x14ac:dyDescent="0.35">
      <c r="A111" s="201"/>
      <c r="B111" s="32"/>
      <c r="C111" s="32"/>
      <c r="D111" s="32"/>
      <c r="E111" s="26"/>
      <c r="F111" s="217"/>
      <c r="G111" s="219"/>
      <c r="H111" s="198"/>
    </row>
    <row r="112" spans="1:8" x14ac:dyDescent="0.35">
      <c r="A112" s="201"/>
      <c r="B112" s="31"/>
      <c r="C112" s="31"/>
      <c r="D112" s="31"/>
      <c r="E112" s="30"/>
      <c r="F112" s="217"/>
      <c r="G112" s="219"/>
      <c r="H112" s="198"/>
    </row>
    <row r="113" spans="1:8" x14ac:dyDescent="0.35">
      <c r="A113" s="201"/>
      <c r="B113" s="31"/>
      <c r="C113" s="31"/>
      <c r="D113" s="31"/>
      <c r="E113" s="30"/>
      <c r="F113" s="217"/>
      <c r="G113" s="219"/>
      <c r="H113" s="198"/>
    </row>
    <row r="114" spans="1:8" x14ac:dyDescent="0.35">
      <c r="A114" s="201"/>
      <c r="B114" s="31"/>
      <c r="C114" s="31"/>
      <c r="D114" s="31"/>
      <c r="E114" s="30"/>
      <c r="F114" s="217"/>
      <c r="G114" s="219"/>
      <c r="H114" s="198"/>
    </row>
    <row r="115" spans="1:8" x14ac:dyDescent="0.35">
      <c r="A115" s="201"/>
      <c r="B115" s="31"/>
      <c r="C115" s="31"/>
      <c r="D115" s="31"/>
      <c r="E115" s="30"/>
      <c r="F115" s="217"/>
      <c r="G115" s="219"/>
      <c r="H115" s="198"/>
    </row>
    <row r="116" spans="1:8" x14ac:dyDescent="0.35">
      <c r="A116" s="201"/>
      <c r="B116" s="31"/>
      <c r="C116" s="31"/>
      <c r="D116" s="31"/>
      <c r="E116" s="30"/>
      <c r="F116" s="217"/>
      <c r="G116" s="219"/>
      <c r="H116" s="198"/>
    </row>
    <row r="117" spans="1:8" x14ac:dyDescent="0.35">
      <c r="A117" s="201"/>
      <c r="B117" s="31"/>
      <c r="C117" s="31"/>
      <c r="D117" s="31"/>
      <c r="E117" s="30"/>
      <c r="F117" s="217"/>
      <c r="G117" s="219"/>
      <c r="H117" s="198"/>
    </row>
    <row r="118" spans="1:8" x14ac:dyDescent="0.35">
      <c r="A118" s="201"/>
      <c r="B118" s="31"/>
      <c r="C118" s="31"/>
      <c r="D118" s="31"/>
      <c r="E118" s="30"/>
      <c r="F118" s="220"/>
      <c r="G118" s="219"/>
      <c r="H118" s="198"/>
    </row>
    <row r="119" spans="1:8" x14ac:dyDescent="0.35">
      <c r="A119" s="201"/>
      <c r="B119" s="31"/>
      <c r="C119" s="31"/>
      <c r="D119" s="31"/>
      <c r="E119" s="30"/>
      <c r="F119" s="220"/>
      <c r="G119" s="219"/>
      <c r="H119" s="198"/>
    </row>
    <row r="120" spans="1:8" x14ac:dyDescent="0.35">
      <c r="A120" s="201"/>
      <c r="B120" s="31"/>
      <c r="C120" s="31"/>
      <c r="D120" s="31"/>
      <c r="E120" s="30"/>
      <c r="F120" s="220"/>
      <c r="G120" s="219"/>
      <c r="H120" s="198"/>
    </row>
    <row r="121" spans="1:8" x14ac:dyDescent="0.35">
      <c r="A121" s="201"/>
      <c r="B121" s="31"/>
      <c r="C121" s="31"/>
      <c r="D121" s="31"/>
      <c r="E121" s="30"/>
      <c r="F121" s="220"/>
      <c r="G121" s="219"/>
      <c r="H121" s="198"/>
    </row>
    <row r="122" spans="1:8" x14ac:dyDescent="0.35">
      <c r="A122" s="201"/>
      <c r="B122" s="31"/>
      <c r="C122" s="31"/>
      <c r="D122" s="31"/>
      <c r="E122" s="30"/>
      <c r="F122" s="220"/>
      <c r="G122" s="219"/>
      <c r="H122" s="198"/>
    </row>
    <row r="123" spans="1:8" x14ac:dyDescent="0.35">
      <c r="A123" s="201"/>
      <c r="B123" s="31"/>
      <c r="C123" s="31"/>
      <c r="D123" s="31"/>
      <c r="E123" s="30"/>
      <c r="F123" s="220"/>
      <c r="G123" s="219"/>
      <c r="H123" s="198"/>
    </row>
    <row r="124" spans="1:8" x14ac:dyDescent="0.35">
      <c r="A124" s="201"/>
      <c r="B124" s="206"/>
      <c r="C124" s="206"/>
      <c r="D124" s="206"/>
      <c r="E124" s="30"/>
      <c r="F124" s="221"/>
      <c r="G124" s="219"/>
      <c r="H124" s="198"/>
    </row>
    <row r="125" spans="1:8" x14ac:dyDescent="0.35">
      <c r="A125" s="201"/>
      <c r="B125" s="206"/>
      <c r="C125" s="206"/>
      <c r="D125" s="206"/>
      <c r="E125" s="30"/>
      <c r="F125" s="221"/>
      <c r="G125" s="219"/>
      <c r="H125" s="198"/>
    </row>
    <row r="126" spans="1:8" x14ac:dyDescent="0.35">
      <c r="A126" s="201"/>
      <c r="B126" s="206"/>
      <c r="C126" s="206"/>
      <c r="D126" s="206"/>
      <c r="E126" s="30"/>
      <c r="F126" s="221"/>
      <c r="G126" s="219"/>
      <c r="H126" s="198"/>
    </row>
    <row r="127" spans="1:8" x14ac:dyDescent="0.35">
      <c r="A127" s="201"/>
      <c r="B127" s="206"/>
      <c r="C127" s="206"/>
      <c r="D127" s="206"/>
      <c r="E127" s="30"/>
      <c r="F127" s="221"/>
      <c r="G127" s="219"/>
      <c r="H127" s="198"/>
    </row>
    <row r="128" spans="1:8" x14ac:dyDescent="0.35">
      <c r="A128" s="201"/>
      <c r="B128" s="206"/>
      <c r="C128" s="206"/>
      <c r="D128" s="206"/>
      <c r="E128" s="30"/>
      <c r="F128" s="221"/>
      <c r="G128" s="219"/>
      <c r="H128" s="198"/>
    </row>
    <row r="129" spans="1:8" x14ac:dyDescent="0.35">
      <c r="A129" s="201"/>
      <c r="B129" s="206"/>
      <c r="C129" s="206"/>
      <c r="D129" s="206"/>
      <c r="E129" s="30"/>
      <c r="F129" s="221"/>
      <c r="G129" s="219"/>
      <c r="H129" s="198"/>
    </row>
    <row r="130" spans="1:8" x14ac:dyDescent="0.35">
      <c r="A130" s="201"/>
      <c r="B130" s="206"/>
      <c r="C130" s="206"/>
      <c r="D130" s="206"/>
      <c r="E130" s="30"/>
      <c r="F130" s="221"/>
      <c r="G130" s="219"/>
      <c r="H130" s="198"/>
    </row>
    <row r="131" spans="1:8" x14ac:dyDescent="0.35">
      <c r="A131" s="201"/>
      <c r="B131" s="206"/>
      <c r="C131" s="206"/>
      <c r="D131" s="206"/>
      <c r="E131" s="30"/>
      <c r="F131" s="221"/>
      <c r="G131" s="219"/>
      <c r="H131" s="198"/>
    </row>
    <row r="132" spans="1:8" x14ac:dyDescent="0.35">
      <c r="A132" s="201"/>
      <c r="B132" s="206"/>
      <c r="C132" s="206"/>
      <c r="D132" s="206"/>
      <c r="E132" s="30"/>
      <c r="F132" s="221"/>
      <c r="G132" s="219"/>
      <c r="H132" s="198"/>
    </row>
    <row r="133" spans="1:8" x14ac:dyDescent="0.35">
      <c r="A133" s="201"/>
      <c r="B133" s="206"/>
      <c r="C133" s="206"/>
      <c r="D133" s="206"/>
      <c r="E133" s="30"/>
      <c r="F133" s="221"/>
      <c r="G133" s="219"/>
      <c r="H133" s="198"/>
    </row>
    <row r="134" spans="1:8" x14ac:dyDescent="0.35">
      <c r="A134" s="201"/>
      <c r="B134" s="206"/>
      <c r="C134" s="206"/>
      <c r="D134" s="206"/>
      <c r="E134" s="30"/>
      <c r="F134" s="221"/>
      <c r="G134" s="219"/>
      <c r="H134" s="198"/>
    </row>
    <row r="135" spans="1:8" x14ac:dyDescent="0.35">
      <c r="A135" s="201"/>
      <c r="B135" s="206"/>
      <c r="C135" s="206"/>
      <c r="D135" s="206"/>
      <c r="E135" s="30"/>
      <c r="F135" s="221"/>
      <c r="G135" s="219"/>
      <c r="H135" s="198"/>
    </row>
    <row r="136" spans="1:8" x14ac:dyDescent="0.35">
      <c r="A136" s="201"/>
      <c r="B136" s="206"/>
      <c r="C136" s="206"/>
      <c r="D136" s="206"/>
      <c r="E136" s="30"/>
      <c r="F136" s="221"/>
      <c r="G136" s="219"/>
      <c r="H136" s="198"/>
    </row>
    <row r="137" spans="1:8" x14ac:dyDescent="0.35">
      <c r="A137" s="201"/>
      <c r="B137" s="206"/>
      <c r="C137" s="206"/>
      <c r="D137" s="206"/>
      <c r="E137" s="30"/>
      <c r="F137" s="221"/>
      <c r="G137" s="219"/>
      <c r="H137" s="198"/>
    </row>
    <row r="138" spans="1:8" x14ac:dyDescent="0.35">
      <c r="A138" s="201"/>
      <c r="B138" s="206"/>
      <c r="C138" s="206"/>
      <c r="D138" s="206"/>
      <c r="E138" s="30"/>
      <c r="F138" s="221"/>
      <c r="G138" s="219"/>
      <c r="H138" s="198"/>
    </row>
    <row r="139" spans="1:8" x14ac:dyDescent="0.35">
      <c r="A139" s="201"/>
      <c r="B139" s="206"/>
      <c r="C139" s="206"/>
      <c r="D139" s="206"/>
      <c r="E139" s="30"/>
      <c r="F139" s="221"/>
      <c r="G139" s="219"/>
      <c r="H139" s="198"/>
    </row>
    <row r="140" spans="1:8" x14ac:dyDescent="0.35">
      <c r="A140" s="201"/>
      <c r="B140" s="206"/>
      <c r="C140" s="206"/>
      <c r="D140" s="206"/>
      <c r="E140" s="30"/>
      <c r="F140" s="221"/>
      <c r="G140" s="219"/>
      <c r="H140" s="198"/>
    </row>
    <row r="141" spans="1:8" x14ac:dyDescent="0.35">
      <c r="A141" s="201"/>
      <c r="B141" s="206"/>
      <c r="C141" s="206"/>
      <c r="D141" s="206"/>
      <c r="E141" s="30"/>
      <c r="F141" s="221"/>
      <c r="G141" s="219"/>
      <c r="H141" s="198"/>
    </row>
    <row r="142" spans="1:8" x14ac:dyDescent="0.35">
      <c r="A142" s="201"/>
      <c r="B142" s="206"/>
      <c r="C142" s="206"/>
      <c r="D142" s="206"/>
      <c r="E142" s="30"/>
      <c r="F142" s="221"/>
      <c r="G142" s="219"/>
      <c r="H142" s="198"/>
    </row>
    <row r="143" spans="1:8" x14ac:dyDescent="0.35">
      <c r="A143" s="201"/>
      <c r="B143" s="206"/>
      <c r="C143" s="206"/>
      <c r="D143" s="206"/>
      <c r="E143" s="30"/>
      <c r="F143" s="221"/>
      <c r="G143" s="219"/>
      <c r="H143" s="198"/>
    </row>
    <row r="144" spans="1:8" x14ac:dyDescent="0.35">
      <c r="A144" s="201"/>
      <c r="B144" s="206"/>
      <c r="C144" s="206"/>
      <c r="D144" s="206"/>
      <c r="E144" s="30"/>
      <c r="F144" s="221"/>
      <c r="G144" s="219"/>
      <c r="H144" s="198"/>
    </row>
    <row r="145" spans="1:8" x14ac:dyDescent="0.35">
      <c r="A145" s="201"/>
      <c r="B145" s="206"/>
      <c r="C145" s="206"/>
      <c r="D145" s="206"/>
      <c r="E145" s="30"/>
      <c r="F145" s="221"/>
      <c r="G145" s="219"/>
      <c r="H145" s="198"/>
    </row>
    <row r="146" spans="1:8" x14ac:dyDescent="0.35">
      <c r="A146" s="201"/>
      <c r="B146" s="206"/>
      <c r="C146" s="206"/>
      <c r="D146" s="206"/>
      <c r="E146" s="30"/>
      <c r="F146" s="221"/>
      <c r="G146" s="219"/>
      <c r="H146" s="198"/>
    </row>
    <row r="147" spans="1:8" x14ac:dyDescent="0.35">
      <c r="A147" s="201"/>
      <c r="B147" s="206"/>
      <c r="C147" s="206"/>
      <c r="D147" s="206"/>
      <c r="E147" s="30"/>
      <c r="F147" s="221"/>
      <c r="G147" s="219"/>
      <c r="H147" s="198"/>
    </row>
    <row r="148" spans="1:8" x14ac:dyDescent="0.35">
      <c r="A148" s="201"/>
      <c r="B148" s="206"/>
      <c r="C148" s="206"/>
      <c r="D148" s="206"/>
      <c r="E148" s="30"/>
      <c r="F148" s="221"/>
      <c r="G148" s="219"/>
      <c r="H148" s="198"/>
    </row>
    <row r="149" spans="1:8" x14ac:dyDescent="0.35">
      <c r="A149" s="201"/>
      <c r="B149" s="206"/>
      <c r="C149" s="206"/>
      <c r="D149" s="206"/>
      <c r="E149" s="30"/>
      <c r="F149" s="221"/>
      <c r="G149" s="219"/>
      <c r="H149" s="198"/>
    </row>
    <row r="150" spans="1:8" x14ac:dyDescent="0.35">
      <c r="A150" s="201"/>
      <c r="B150" s="206"/>
      <c r="C150" s="206"/>
      <c r="D150" s="215"/>
      <c r="E150" s="30"/>
      <c r="F150" s="221"/>
      <c r="G150" s="219"/>
      <c r="H150" s="198"/>
    </row>
    <row r="151" spans="1:8" x14ac:dyDescent="0.35">
      <c r="A151" s="201"/>
      <c r="B151" s="206"/>
      <c r="C151" s="206"/>
      <c r="D151" s="215"/>
      <c r="E151" s="30"/>
      <c r="F151" s="221"/>
      <c r="G151" s="219"/>
      <c r="H151" s="198"/>
    </row>
    <row r="152" spans="1:8" x14ac:dyDescent="0.35">
      <c r="A152" s="222"/>
      <c r="B152" s="223"/>
      <c r="C152" s="223"/>
      <c r="D152" s="215"/>
      <c r="E152" s="224"/>
      <c r="F152" s="225"/>
      <c r="G152" s="219"/>
      <c r="H152" s="198"/>
    </row>
    <row r="153" spans="1:8" x14ac:dyDescent="0.35">
      <c r="A153" s="201"/>
      <c r="B153" s="206"/>
      <c r="C153" s="206"/>
      <c r="D153" s="202"/>
      <c r="E153" s="30"/>
      <c r="F153" s="221"/>
      <c r="G153" s="219"/>
      <c r="H153" s="198"/>
    </row>
    <row r="154" spans="1:8" x14ac:dyDescent="0.35">
      <c r="A154" s="201"/>
      <c r="B154" s="206"/>
      <c r="C154" s="206"/>
      <c r="D154" s="202"/>
      <c r="E154" s="30"/>
      <c r="F154" s="221"/>
      <c r="G154" s="219"/>
      <c r="H154" s="198"/>
    </row>
    <row r="155" spans="1:8" x14ac:dyDescent="0.35">
      <c r="A155" s="201"/>
      <c r="B155" s="206"/>
      <c r="C155" s="206"/>
      <c r="D155" s="202"/>
      <c r="E155" s="30"/>
      <c r="F155" s="221"/>
      <c r="G155" s="219"/>
      <c r="H155" s="198"/>
    </row>
    <row r="156" spans="1:8" x14ac:dyDescent="0.35">
      <c r="A156" s="201"/>
      <c r="B156" s="206"/>
      <c r="C156" s="206"/>
      <c r="D156" s="202"/>
      <c r="E156" s="30"/>
      <c r="F156" s="221"/>
      <c r="G156" s="219"/>
      <c r="H156" s="198"/>
    </row>
    <row r="157" spans="1:8" x14ac:dyDescent="0.35">
      <c r="A157" s="201"/>
      <c r="B157" s="206"/>
      <c r="C157" s="206"/>
      <c r="D157" s="202"/>
      <c r="E157" s="30"/>
      <c r="F157" s="221"/>
      <c r="G157" s="219"/>
      <c r="H157" s="198"/>
    </row>
    <row r="158" spans="1:8" x14ac:dyDescent="0.35">
      <c r="A158" s="201"/>
      <c r="B158" s="206"/>
      <c r="C158" s="206"/>
      <c r="D158" s="202"/>
      <c r="E158" s="30"/>
      <c r="F158" s="221"/>
      <c r="G158" s="219"/>
      <c r="H158" s="198"/>
    </row>
    <row r="159" spans="1:8" x14ac:dyDescent="0.35">
      <c r="A159" s="201"/>
      <c r="B159" s="206"/>
      <c r="C159" s="206"/>
      <c r="D159" s="206"/>
      <c r="E159" s="30"/>
      <c r="F159" s="221"/>
      <c r="G159" s="219"/>
      <c r="H159" s="198"/>
    </row>
    <row r="160" spans="1:8" x14ac:dyDescent="0.35">
      <c r="A160" s="201"/>
      <c r="B160" s="206"/>
      <c r="C160" s="206"/>
      <c r="D160" s="206"/>
      <c r="E160" s="30"/>
      <c r="F160" s="221"/>
      <c r="G160" s="219"/>
      <c r="H160" s="198"/>
    </row>
    <row r="161" spans="1:8" x14ac:dyDescent="0.35">
      <c r="A161" s="201"/>
      <c r="B161" s="206"/>
      <c r="C161" s="206"/>
      <c r="D161" s="206"/>
      <c r="E161" s="30"/>
      <c r="F161" s="221"/>
      <c r="G161" s="219"/>
      <c r="H161" s="198"/>
    </row>
    <row r="162" spans="1:8" x14ac:dyDescent="0.35">
      <c r="A162" s="226"/>
      <c r="B162" s="202"/>
      <c r="C162" s="202"/>
      <c r="D162" s="202"/>
      <c r="E162" s="216"/>
      <c r="F162" s="210"/>
      <c r="G162" s="219"/>
      <c r="H162" s="198"/>
    </row>
    <row r="163" spans="1:8" x14ac:dyDescent="0.35">
      <c r="A163" s="208"/>
      <c r="B163" s="202"/>
      <c r="C163" s="202"/>
      <c r="D163" s="202"/>
      <c r="E163" s="216"/>
      <c r="F163" s="210"/>
      <c r="G163" s="219"/>
      <c r="H163" s="198"/>
    </row>
    <row r="164" spans="1:8" x14ac:dyDescent="0.35">
      <c r="A164" s="208"/>
      <c r="B164" s="202"/>
      <c r="C164" s="202"/>
      <c r="D164" s="202"/>
      <c r="E164" s="30"/>
      <c r="F164" s="203"/>
      <c r="G164" s="219"/>
      <c r="H164" s="198"/>
    </row>
    <row r="165" spans="1:8" x14ac:dyDescent="0.35">
      <c r="A165" s="208"/>
      <c r="B165" s="202"/>
      <c r="C165" s="202"/>
      <c r="D165" s="202"/>
      <c r="E165" s="30"/>
      <c r="F165" s="203"/>
      <c r="G165" s="219"/>
      <c r="H165" s="198"/>
    </row>
    <row r="166" spans="1:8" x14ac:dyDescent="0.35">
      <c r="A166" s="208"/>
      <c r="B166" s="202"/>
      <c r="C166" s="202"/>
      <c r="D166" s="202"/>
      <c r="E166" s="30"/>
      <c r="F166" s="203"/>
      <c r="G166" s="219"/>
      <c r="H166" s="198"/>
    </row>
    <row r="167" spans="1:8" x14ac:dyDescent="0.35">
      <c r="A167" s="208"/>
      <c r="B167" s="202"/>
      <c r="C167" s="202"/>
      <c r="D167" s="202"/>
      <c r="E167" s="30"/>
      <c r="F167" s="203"/>
      <c r="G167" s="219"/>
      <c r="H167" s="198"/>
    </row>
    <row r="168" spans="1:8" x14ac:dyDescent="0.35">
      <c r="A168" s="208"/>
      <c r="B168" s="202"/>
      <c r="C168" s="202"/>
      <c r="D168" s="202"/>
      <c r="E168" s="30"/>
      <c r="F168" s="203"/>
      <c r="G168" s="219"/>
      <c r="H168" s="198"/>
    </row>
    <row r="169" spans="1:8" x14ac:dyDescent="0.35">
      <c r="A169" s="208"/>
      <c r="B169" s="202"/>
      <c r="C169" s="202"/>
      <c r="D169" s="202"/>
      <c r="E169" s="30"/>
      <c r="F169" s="203"/>
      <c r="G169" s="219"/>
      <c r="H169" s="198"/>
    </row>
    <row r="170" spans="1:8" x14ac:dyDescent="0.35">
      <c r="A170" s="214"/>
      <c r="B170" s="202"/>
      <c r="C170" s="202"/>
      <c r="D170" s="202"/>
      <c r="E170" s="30"/>
      <c r="F170" s="203"/>
      <c r="G170" s="219"/>
      <c r="H170" s="198"/>
    </row>
    <row r="171" spans="1:8" x14ac:dyDescent="0.35">
      <c r="A171" s="214"/>
      <c r="B171" s="202"/>
      <c r="C171" s="202"/>
      <c r="D171" s="202"/>
      <c r="E171" s="30"/>
      <c r="F171" s="203"/>
      <c r="G171" s="219"/>
      <c r="H171" s="198"/>
    </row>
    <row r="172" spans="1:8" x14ac:dyDescent="0.35">
      <c r="A172" s="214"/>
      <c r="B172" s="202"/>
      <c r="C172" s="202"/>
      <c r="D172" s="202"/>
      <c r="E172" s="30"/>
      <c r="F172" s="203"/>
      <c r="G172" s="219"/>
      <c r="H172" s="198"/>
    </row>
    <row r="173" spans="1:8" x14ac:dyDescent="0.35">
      <c r="A173" s="208"/>
      <c r="B173" s="202"/>
      <c r="C173" s="202"/>
      <c r="D173" s="202"/>
      <c r="E173" s="30"/>
      <c r="F173" s="203"/>
      <c r="G173" s="219"/>
      <c r="H173" s="198"/>
    </row>
    <row r="174" spans="1:8" x14ac:dyDescent="0.35">
      <c r="A174" s="214"/>
      <c r="B174" s="202"/>
      <c r="C174" s="202"/>
      <c r="D174" s="202"/>
      <c r="E174" s="30"/>
      <c r="F174" s="203"/>
      <c r="G174" s="219"/>
      <c r="H174" s="198"/>
    </row>
    <row r="175" spans="1:8" x14ac:dyDescent="0.35">
      <c r="A175" s="201"/>
      <c r="B175" s="202"/>
      <c r="C175" s="202"/>
      <c r="D175" s="202"/>
      <c r="E175" s="30"/>
      <c r="F175" s="203"/>
      <c r="G175" s="219"/>
      <c r="H175" s="198"/>
    </row>
    <row r="176" spans="1:8" x14ac:dyDescent="0.35">
      <c r="A176" s="201"/>
      <c r="B176" s="202"/>
      <c r="C176" s="202"/>
      <c r="D176" s="202"/>
      <c r="E176" s="30"/>
      <c r="F176" s="203"/>
      <c r="G176" s="219"/>
      <c r="H176" s="198"/>
    </row>
    <row r="177" spans="1:8" x14ac:dyDescent="0.35">
      <c r="A177" s="201"/>
      <c r="B177" s="202"/>
      <c r="C177" s="202"/>
      <c r="D177" s="202"/>
      <c r="E177" s="30"/>
      <c r="F177" s="203"/>
      <c r="G177" s="219"/>
      <c r="H177" s="198"/>
    </row>
    <row r="178" spans="1:8" x14ac:dyDescent="0.35">
      <c r="A178" s="201"/>
      <c r="B178" s="202"/>
      <c r="C178" s="202"/>
      <c r="D178" s="202"/>
      <c r="E178" s="30"/>
      <c r="F178" s="203"/>
      <c r="G178" s="219"/>
      <c r="H178" s="198"/>
    </row>
    <row r="179" spans="1:8" x14ac:dyDescent="0.35">
      <c r="A179" s="201"/>
      <c r="B179" s="202"/>
      <c r="C179" s="202"/>
      <c r="D179" s="202"/>
      <c r="E179" s="30"/>
      <c r="F179" s="203"/>
      <c r="G179" s="219"/>
      <c r="H179" s="198"/>
    </row>
    <row r="180" spans="1:8" x14ac:dyDescent="0.35">
      <c r="A180" s="201"/>
      <c r="B180" s="202"/>
      <c r="C180" s="202"/>
      <c r="D180" s="202"/>
      <c r="E180" s="30"/>
      <c r="F180" s="203"/>
      <c r="G180" s="219"/>
      <c r="H180" s="198"/>
    </row>
    <row r="181" spans="1:8" x14ac:dyDescent="0.35">
      <c r="A181" s="201"/>
      <c r="B181" s="202"/>
      <c r="C181" s="202"/>
      <c r="D181" s="202"/>
      <c r="E181" s="30"/>
      <c r="F181" s="203"/>
      <c r="G181" s="219"/>
      <c r="H181" s="198"/>
    </row>
    <row r="182" spans="1:8" x14ac:dyDescent="0.35">
      <c r="A182" s="201"/>
      <c r="B182" s="202"/>
      <c r="C182" s="202"/>
      <c r="D182" s="202"/>
      <c r="E182" s="30"/>
      <c r="F182" s="203"/>
      <c r="G182" s="219"/>
      <c r="H182" s="198"/>
    </row>
    <row r="183" spans="1:8" x14ac:dyDescent="0.35">
      <c r="A183" s="201"/>
      <c r="B183" s="202"/>
      <c r="C183" s="202"/>
      <c r="D183" s="202"/>
      <c r="E183" s="30"/>
      <c r="F183" s="203"/>
      <c r="G183" s="219"/>
      <c r="H183" s="198"/>
    </row>
    <row r="184" spans="1:8" x14ac:dyDescent="0.35">
      <c r="A184" s="201"/>
      <c r="B184" s="202"/>
      <c r="C184" s="202"/>
      <c r="D184" s="202"/>
      <c r="E184" s="30"/>
      <c r="F184" s="203"/>
      <c r="G184" s="219"/>
      <c r="H184" s="198"/>
    </row>
    <row r="185" spans="1:8" x14ac:dyDescent="0.35">
      <c r="A185" s="201"/>
      <c r="B185" s="202"/>
      <c r="C185" s="202"/>
      <c r="D185" s="202"/>
      <c r="E185" s="30"/>
      <c r="F185" s="203"/>
      <c r="G185" s="219"/>
      <c r="H185" s="198"/>
    </row>
    <row r="186" spans="1:8" x14ac:dyDescent="0.35">
      <c r="A186" s="201"/>
      <c r="B186" s="202"/>
      <c r="C186" s="202"/>
      <c r="D186" s="202"/>
      <c r="E186" s="30"/>
      <c r="F186" s="203"/>
      <c r="G186" s="219"/>
      <c r="H186" s="198"/>
    </row>
    <row r="187" spans="1:8" x14ac:dyDescent="0.35">
      <c r="A187" s="201"/>
      <c r="B187" s="202"/>
      <c r="C187" s="202"/>
      <c r="D187" s="202"/>
      <c r="E187" s="30"/>
      <c r="F187" s="203"/>
      <c r="G187" s="219"/>
      <c r="H187" s="198"/>
    </row>
    <row r="188" spans="1:8" x14ac:dyDescent="0.35">
      <c r="A188" s="201"/>
      <c r="B188" s="202"/>
      <c r="C188" s="202"/>
      <c r="D188" s="202"/>
      <c r="E188" s="30"/>
      <c r="F188" s="203"/>
      <c r="G188" s="219"/>
      <c r="H188" s="198"/>
    </row>
    <row r="189" spans="1:8" x14ac:dyDescent="0.35">
      <c r="A189" s="201"/>
      <c r="B189" s="202"/>
      <c r="C189" s="202"/>
      <c r="D189" s="202"/>
      <c r="E189" s="30"/>
      <c r="F189" s="220"/>
      <c r="G189" s="219"/>
      <c r="H189" s="198"/>
    </row>
    <row r="190" spans="1:8" x14ac:dyDescent="0.35">
      <c r="A190" s="201"/>
      <c r="B190" s="202"/>
      <c r="C190" s="202"/>
      <c r="D190" s="202"/>
      <c r="E190" s="30"/>
      <c r="F190" s="220"/>
      <c r="G190" s="219"/>
      <c r="H190" s="198"/>
    </row>
    <row r="191" spans="1:8" x14ac:dyDescent="0.35">
      <c r="A191" s="201"/>
      <c r="B191" s="202"/>
      <c r="C191" s="202"/>
      <c r="D191" s="202"/>
      <c r="E191" s="30"/>
      <c r="F191" s="203"/>
      <c r="G191" s="219"/>
      <c r="H191" s="198"/>
    </row>
    <row r="192" spans="1:8" x14ac:dyDescent="0.35">
      <c r="A192" s="201"/>
      <c r="B192" s="202"/>
      <c r="C192" s="202"/>
      <c r="D192" s="202"/>
      <c r="E192" s="30"/>
      <c r="F192" s="203"/>
      <c r="G192" s="219"/>
      <c r="H192" s="198"/>
    </row>
    <row r="193" spans="1:8" x14ac:dyDescent="0.35">
      <c r="A193" s="201"/>
      <c r="B193" s="202"/>
      <c r="C193" s="202"/>
      <c r="D193" s="202"/>
      <c r="E193" s="30"/>
      <c r="F193" s="203"/>
      <c r="G193" s="219"/>
      <c r="H193" s="198"/>
    </row>
    <row r="194" spans="1:8" x14ac:dyDescent="0.35">
      <c r="A194" s="201"/>
      <c r="B194" s="202"/>
      <c r="C194" s="202"/>
      <c r="D194" s="202"/>
      <c r="E194" s="30"/>
      <c r="F194" s="203"/>
      <c r="G194" s="219"/>
      <c r="H194" s="198"/>
    </row>
    <row r="195" spans="1:8" x14ac:dyDescent="0.35">
      <c r="A195" s="201"/>
      <c r="B195" s="202"/>
      <c r="C195" s="202"/>
      <c r="D195" s="202"/>
      <c r="E195" s="30"/>
      <c r="F195" s="203"/>
      <c r="G195" s="219"/>
      <c r="H195" s="198"/>
    </row>
    <row r="196" spans="1:8" x14ac:dyDescent="0.35">
      <c r="A196" s="201"/>
      <c r="B196" s="202"/>
      <c r="C196" s="202"/>
      <c r="D196" s="202"/>
      <c r="E196" s="30"/>
      <c r="F196" s="203"/>
      <c r="G196" s="219"/>
      <c r="H196" s="198"/>
    </row>
    <row r="197" spans="1:8" x14ac:dyDescent="0.35">
      <c r="A197" s="201"/>
      <c r="B197" s="202"/>
      <c r="C197" s="202"/>
      <c r="D197" s="202"/>
      <c r="E197" s="30"/>
      <c r="F197" s="203"/>
      <c r="G197" s="219"/>
      <c r="H197" s="198"/>
    </row>
    <row r="198" spans="1:8" x14ac:dyDescent="0.35">
      <c r="A198" s="201"/>
      <c r="B198" s="202"/>
      <c r="C198" s="202"/>
      <c r="D198" s="202"/>
      <c r="E198" s="30"/>
      <c r="F198" s="203"/>
      <c r="G198" s="219"/>
      <c r="H198" s="198"/>
    </row>
    <row r="199" spans="1:8" x14ac:dyDescent="0.35">
      <c r="A199" s="201"/>
      <c r="B199" s="202"/>
      <c r="C199" s="202"/>
      <c r="D199" s="202"/>
      <c r="E199" s="30"/>
      <c r="F199" s="203"/>
      <c r="G199" s="219"/>
      <c r="H199" s="198"/>
    </row>
    <row r="200" spans="1:8" x14ac:dyDescent="0.35">
      <c r="A200" s="201"/>
      <c r="B200" s="202"/>
      <c r="C200" s="202"/>
      <c r="D200" s="202"/>
      <c r="E200" s="30"/>
      <c r="F200" s="203"/>
      <c r="G200" s="219"/>
      <c r="H200" s="198"/>
    </row>
    <row r="201" spans="1:8" x14ac:dyDescent="0.35">
      <c r="A201" s="201"/>
      <c r="B201" s="202"/>
      <c r="C201" s="202"/>
      <c r="D201" s="202"/>
      <c r="E201" s="30"/>
      <c r="F201" s="203"/>
      <c r="G201" s="219"/>
      <c r="H201" s="198"/>
    </row>
    <row r="202" spans="1:8" x14ac:dyDescent="0.35">
      <c r="A202" s="201"/>
      <c r="B202" s="202"/>
      <c r="C202" s="202"/>
      <c r="D202" s="202"/>
      <c r="E202" s="30"/>
      <c r="F202" s="203"/>
      <c r="G202" s="219"/>
      <c r="H202" s="198"/>
    </row>
    <row r="203" spans="1:8" x14ac:dyDescent="0.35">
      <c r="A203" s="201"/>
      <c r="B203" s="202"/>
      <c r="C203" s="202"/>
      <c r="D203" s="202"/>
      <c r="E203" s="30"/>
      <c r="F203" s="203"/>
      <c r="G203" s="219"/>
      <c r="H203" s="198"/>
    </row>
    <row r="204" spans="1:8" x14ac:dyDescent="0.35">
      <c r="A204" s="201"/>
      <c r="B204" s="202"/>
      <c r="C204" s="202"/>
      <c r="D204" s="202"/>
      <c r="E204" s="30"/>
      <c r="F204" s="203"/>
      <c r="G204" s="219"/>
      <c r="H204" s="198"/>
    </row>
    <row r="205" spans="1:8" x14ac:dyDescent="0.35">
      <c r="A205" s="201"/>
      <c r="B205" s="202"/>
      <c r="C205" s="202"/>
      <c r="D205" s="202"/>
      <c r="E205" s="30"/>
      <c r="F205" s="203"/>
      <c r="G205" s="219"/>
      <c r="H205" s="198"/>
    </row>
    <row r="206" spans="1:8" x14ac:dyDescent="0.35">
      <c r="A206" s="201"/>
      <c r="B206" s="202"/>
      <c r="C206" s="202"/>
      <c r="D206" s="202"/>
      <c r="E206" s="30"/>
      <c r="F206" s="203"/>
      <c r="G206" s="219"/>
      <c r="H206" s="198"/>
    </row>
    <row r="207" spans="1:8" x14ac:dyDescent="0.35">
      <c r="A207" s="201"/>
      <c r="B207" s="202"/>
      <c r="C207" s="202"/>
      <c r="D207" s="202"/>
      <c r="E207" s="30"/>
      <c r="F207" s="203"/>
      <c r="G207" s="219"/>
      <c r="H207" s="198"/>
    </row>
    <row r="208" spans="1:8" x14ac:dyDescent="0.35">
      <c r="A208" s="201"/>
      <c r="B208" s="202"/>
      <c r="C208" s="202"/>
      <c r="D208" s="202"/>
      <c r="E208" s="30"/>
      <c r="F208" s="203"/>
      <c r="G208" s="219"/>
      <c r="H208" s="198"/>
    </row>
    <row r="209" spans="1:8" x14ac:dyDescent="0.35">
      <c r="A209" s="201"/>
      <c r="B209" s="202"/>
      <c r="C209" s="202"/>
      <c r="D209" s="202"/>
      <c r="E209" s="30"/>
      <c r="F209" s="203"/>
      <c r="G209" s="219"/>
      <c r="H209" s="198"/>
    </row>
    <row r="210" spans="1:8" x14ac:dyDescent="0.35">
      <c r="A210" s="201"/>
      <c r="B210" s="202"/>
      <c r="C210" s="202"/>
      <c r="D210" s="202"/>
      <c r="E210" s="30"/>
      <c r="F210" s="203"/>
      <c r="G210" s="219"/>
      <c r="H210" s="198"/>
    </row>
    <row r="211" spans="1:8" x14ac:dyDescent="0.35">
      <c r="A211" s="201"/>
      <c r="B211" s="202"/>
      <c r="C211" s="202"/>
      <c r="D211" s="202"/>
      <c r="E211" s="30"/>
      <c r="F211" s="203"/>
      <c r="G211" s="219"/>
      <c r="H211" s="198"/>
    </row>
    <row r="212" spans="1:8" x14ac:dyDescent="0.35">
      <c r="A212" s="201"/>
      <c r="B212" s="202"/>
      <c r="C212" s="202"/>
      <c r="D212" s="202"/>
      <c r="E212" s="30"/>
      <c r="F212" s="203"/>
      <c r="G212" s="219"/>
      <c r="H212" s="198"/>
    </row>
    <row r="213" spans="1:8" x14ac:dyDescent="0.35">
      <c r="A213" s="201"/>
      <c r="B213" s="202"/>
      <c r="C213" s="202"/>
      <c r="D213" s="202"/>
      <c r="E213" s="30"/>
      <c r="F213" s="203"/>
      <c r="G213" s="219"/>
      <c r="H213" s="198"/>
    </row>
    <row r="214" spans="1:8" x14ac:dyDescent="0.35">
      <c r="A214" s="201"/>
      <c r="B214" s="202"/>
      <c r="C214" s="202"/>
      <c r="D214" s="202"/>
      <c r="E214" s="30"/>
      <c r="F214" s="220"/>
      <c r="G214" s="219"/>
      <c r="H214" s="198"/>
    </row>
    <row r="215" spans="1:8" x14ac:dyDescent="0.35">
      <c r="A215" s="201"/>
      <c r="B215" s="202"/>
      <c r="C215" s="202"/>
      <c r="D215" s="202"/>
      <c r="E215" s="30"/>
      <c r="F215" s="203"/>
      <c r="G215" s="219"/>
      <c r="H215" s="198"/>
    </row>
    <row r="216" spans="1:8" x14ac:dyDescent="0.35">
      <c r="A216" s="201"/>
      <c r="B216" s="202"/>
      <c r="C216" s="202"/>
      <c r="D216" s="202"/>
      <c r="E216" s="30"/>
      <c r="F216" s="203"/>
      <c r="G216" s="219"/>
      <c r="H216" s="198"/>
    </row>
    <row r="217" spans="1:8" x14ac:dyDescent="0.35">
      <c r="A217" s="201"/>
      <c r="B217" s="202"/>
      <c r="C217" s="202"/>
      <c r="D217" s="202"/>
      <c r="E217" s="30"/>
      <c r="F217" s="203"/>
      <c r="G217" s="219"/>
      <c r="H217" s="198"/>
    </row>
    <row r="218" spans="1:8" x14ac:dyDescent="0.35">
      <c r="A218" s="201"/>
      <c r="B218" s="202"/>
      <c r="C218" s="202"/>
      <c r="D218" s="202"/>
      <c r="E218" s="30"/>
      <c r="F218" s="203"/>
      <c r="G218" s="219"/>
      <c r="H218" s="198"/>
    </row>
    <row r="219" spans="1:8" x14ac:dyDescent="0.35">
      <c r="A219" s="201"/>
      <c r="B219" s="202"/>
      <c r="C219" s="202"/>
      <c r="D219" s="202"/>
      <c r="E219" s="30"/>
      <c r="F219" s="203"/>
      <c r="G219" s="219"/>
      <c r="H219" s="198"/>
    </row>
    <row r="220" spans="1:8" x14ac:dyDescent="0.35">
      <c r="A220" s="201"/>
      <c r="B220" s="202"/>
      <c r="C220" s="202"/>
      <c r="D220" s="202"/>
      <c r="E220" s="30"/>
      <c r="F220" s="203"/>
      <c r="G220" s="219"/>
      <c r="H220" s="198"/>
    </row>
    <row r="221" spans="1:8" x14ac:dyDescent="0.35">
      <c r="A221" s="201"/>
      <c r="B221" s="202"/>
      <c r="C221" s="202"/>
      <c r="D221" s="202"/>
      <c r="E221" s="30"/>
      <c r="F221" s="203"/>
      <c r="G221" s="219"/>
      <c r="H221" s="198"/>
    </row>
    <row r="222" spans="1:8" x14ac:dyDescent="0.35">
      <c r="A222" s="201"/>
      <c r="B222" s="202"/>
      <c r="C222" s="202"/>
      <c r="D222" s="202"/>
      <c r="E222" s="30"/>
      <c r="F222" s="203"/>
      <c r="G222" s="219"/>
      <c r="H222" s="198"/>
    </row>
    <row r="223" spans="1:8" x14ac:dyDescent="0.35">
      <c r="A223" s="201"/>
      <c r="B223" s="202"/>
      <c r="C223" s="202"/>
      <c r="D223" s="202"/>
      <c r="E223" s="30"/>
      <c r="F223" s="203"/>
      <c r="G223" s="219"/>
      <c r="H223" s="198"/>
    </row>
    <row r="224" spans="1:8" x14ac:dyDescent="0.35">
      <c r="A224" s="201"/>
      <c r="B224" s="202"/>
      <c r="C224" s="202"/>
      <c r="D224" s="202"/>
      <c r="E224" s="30"/>
      <c r="F224" s="203"/>
      <c r="G224" s="219"/>
      <c r="H224" s="198"/>
    </row>
    <row r="225" spans="1:8" x14ac:dyDescent="0.35">
      <c r="A225" s="201"/>
      <c r="B225" s="202"/>
      <c r="C225" s="202"/>
      <c r="D225" s="202"/>
      <c r="E225" s="30"/>
      <c r="F225" s="203"/>
      <c r="G225" s="219"/>
      <c r="H225" s="198"/>
    </row>
    <row r="226" spans="1:8" x14ac:dyDescent="0.35">
      <c r="A226" s="201"/>
      <c r="B226" s="202"/>
      <c r="C226" s="202"/>
      <c r="D226" s="202"/>
      <c r="E226" s="30"/>
      <c r="F226" s="203"/>
      <c r="G226" s="219"/>
      <c r="H226" s="198"/>
    </row>
    <row r="227" spans="1:8" x14ac:dyDescent="0.35">
      <c r="A227" s="201"/>
      <c r="B227" s="202"/>
      <c r="C227" s="202"/>
      <c r="D227" s="202"/>
      <c r="E227" s="30"/>
      <c r="F227" s="203"/>
      <c r="G227" s="219"/>
      <c r="H227" s="198"/>
    </row>
    <row r="228" spans="1:8" x14ac:dyDescent="0.35">
      <c r="A228" s="201"/>
      <c r="B228" s="202"/>
      <c r="C228" s="202"/>
      <c r="D228" s="202"/>
      <c r="E228" s="30"/>
      <c r="F228" s="203"/>
      <c r="G228" s="219"/>
      <c r="H228" s="198"/>
    </row>
    <row r="229" spans="1:8" x14ac:dyDescent="0.35">
      <c r="A229" s="201"/>
      <c r="B229" s="202"/>
      <c r="C229" s="202"/>
      <c r="D229" s="202"/>
      <c r="E229" s="30"/>
      <c r="F229" s="203"/>
      <c r="G229" s="219"/>
      <c r="H229" s="198"/>
    </row>
    <row r="230" spans="1:8" x14ac:dyDescent="0.35">
      <c r="A230" s="201"/>
      <c r="B230" s="202"/>
      <c r="C230" s="202"/>
      <c r="D230" s="202"/>
      <c r="E230" s="30"/>
      <c r="F230" s="203"/>
      <c r="G230" s="219"/>
      <c r="H230" s="198"/>
    </row>
    <row r="231" spans="1:8" x14ac:dyDescent="0.35">
      <c r="A231" s="201"/>
      <c r="B231" s="202"/>
      <c r="C231" s="202"/>
      <c r="D231" s="202"/>
      <c r="E231" s="30"/>
      <c r="F231" s="203"/>
      <c r="H231" s="198"/>
    </row>
    <row r="232" spans="1:8" x14ac:dyDescent="0.35">
      <c r="A232" s="201"/>
      <c r="B232" s="202"/>
      <c r="C232" s="202"/>
      <c r="D232" s="202"/>
      <c r="E232" s="30"/>
      <c r="F232" s="203"/>
      <c r="H232" s="198"/>
    </row>
    <row r="233" spans="1:8" x14ac:dyDescent="0.35">
      <c r="A233" s="201"/>
      <c r="B233" s="215"/>
      <c r="C233" s="215"/>
      <c r="D233" s="215"/>
      <c r="E233" s="216"/>
      <c r="F233" s="210"/>
      <c r="H233" s="198"/>
    </row>
    <row r="234" spans="1:8" x14ac:dyDescent="0.35">
      <c r="A234" s="201"/>
      <c r="B234" s="202"/>
      <c r="C234" s="202"/>
      <c r="D234" s="202"/>
      <c r="E234" s="30"/>
      <c r="F234" s="203"/>
      <c r="G234" s="219"/>
      <c r="H234" s="198"/>
    </row>
    <row r="235" spans="1:8" x14ac:dyDescent="0.35">
      <c r="A235" s="201"/>
      <c r="B235" s="202"/>
      <c r="C235" s="202"/>
      <c r="D235" s="202"/>
      <c r="E235" s="30"/>
      <c r="F235" s="203"/>
      <c r="G235" s="219"/>
      <c r="H235" s="198"/>
    </row>
    <row r="236" spans="1:8" x14ac:dyDescent="0.35">
      <c r="A236" s="201"/>
      <c r="B236" s="202"/>
      <c r="C236" s="202"/>
      <c r="D236" s="202"/>
      <c r="E236" s="30"/>
      <c r="F236" s="203"/>
      <c r="G236" s="219"/>
      <c r="H236" s="198"/>
    </row>
    <row r="237" spans="1:8" x14ac:dyDescent="0.35">
      <c r="A237" s="201"/>
      <c r="B237" s="202"/>
      <c r="C237" s="202"/>
      <c r="D237" s="202"/>
      <c r="E237" s="30"/>
      <c r="F237" s="203"/>
      <c r="G237" s="219"/>
      <c r="H237" s="198"/>
    </row>
    <row r="238" spans="1:8" x14ac:dyDescent="0.35">
      <c r="A238" s="201"/>
      <c r="B238" s="202"/>
      <c r="C238" s="202"/>
      <c r="D238" s="202"/>
      <c r="E238" s="30"/>
      <c r="F238" s="203"/>
      <c r="G238" s="219"/>
      <c r="H238" s="198"/>
    </row>
    <row r="239" spans="1:8" x14ac:dyDescent="0.35">
      <c r="A239" s="201"/>
      <c r="B239" s="202"/>
      <c r="C239" s="202"/>
      <c r="D239" s="202"/>
      <c r="E239" s="30"/>
      <c r="F239" s="203"/>
      <c r="G239" s="219"/>
      <c r="H239" s="198"/>
    </row>
    <row r="240" spans="1:8" x14ac:dyDescent="0.35">
      <c r="A240" s="201"/>
      <c r="B240" s="202"/>
      <c r="C240" s="202"/>
      <c r="D240" s="202"/>
      <c r="E240" s="30"/>
      <c r="F240" s="203"/>
      <c r="G240" s="219"/>
      <c r="H240" s="198"/>
    </row>
    <row r="241" spans="1:8" x14ac:dyDescent="0.35">
      <c r="A241" s="201"/>
      <c r="B241" s="202"/>
      <c r="C241" s="202"/>
      <c r="D241" s="202"/>
      <c r="E241" s="30"/>
      <c r="F241" s="221"/>
      <c r="H241" s="198"/>
    </row>
    <row r="242" spans="1:8" x14ac:dyDescent="0.35">
      <c r="A242" s="201"/>
      <c r="B242" s="202"/>
      <c r="C242" s="202"/>
      <c r="D242" s="202"/>
      <c r="E242" s="30"/>
      <c r="F242" s="221"/>
      <c r="H242" s="198"/>
    </row>
    <row r="243" spans="1:8" x14ac:dyDescent="0.35">
      <c r="A243" s="201"/>
      <c r="B243" s="202"/>
      <c r="C243" s="202"/>
      <c r="D243" s="202"/>
      <c r="E243" s="30"/>
      <c r="F243" s="221"/>
      <c r="H243" s="198"/>
    </row>
    <row r="244" spans="1:8" x14ac:dyDescent="0.35">
      <c r="A244" s="201"/>
      <c r="B244" s="202"/>
      <c r="C244" s="202"/>
      <c r="D244" s="202"/>
      <c r="E244" s="30"/>
      <c r="F244" s="221"/>
      <c r="H244" s="198"/>
    </row>
    <row r="245" spans="1:8" x14ac:dyDescent="0.35">
      <c r="A245" s="201"/>
      <c r="B245" s="202"/>
      <c r="C245" s="202"/>
      <c r="D245" s="202"/>
      <c r="E245" s="30"/>
      <c r="F245" s="221"/>
      <c r="H245" s="198"/>
    </row>
    <row r="246" spans="1:8" x14ac:dyDescent="0.35">
      <c r="A246" s="201"/>
      <c r="B246" s="202"/>
      <c r="C246" s="202"/>
      <c r="D246" s="202"/>
      <c r="E246" s="30"/>
      <c r="F246" s="221"/>
      <c r="H246" s="198"/>
    </row>
    <row r="247" spans="1:8" x14ac:dyDescent="0.35">
      <c r="A247" s="201"/>
      <c r="B247" s="202"/>
      <c r="C247" s="202"/>
      <c r="D247" s="202"/>
      <c r="E247" s="30"/>
      <c r="F247" s="221"/>
      <c r="H247" s="198"/>
    </row>
    <row r="248" spans="1:8" x14ac:dyDescent="0.35">
      <c r="A248" s="201">
        <v>43299</v>
      </c>
      <c r="B248" s="202">
        <v>8</v>
      </c>
      <c r="C248" s="202">
        <v>54</v>
      </c>
      <c r="D248" s="202">
        <f t="shared" ref="D248:D257" si="4">IF(((C248="")*AND(B248="")),"",(C248-B248))</f>
        <v>46</v>
      </c>
      <c r="E248" s="30" t="str">
        <f t="shared" ref="E248:E257" si="5">IF(D248="","",IF(D248&lt;60,"Pass","Fail"))</f>
        <v>Pass</v>
      </c>
      <c r="F248" s="221">
        <v>1159</v>
      </c>
      <c r="H248" s="198"/>
    </row>
    <row r="249" spans="1:8" x14ac:dyDescent="0.35">
      <c r="A249" s="201">
        <v>43300</v>
      </c>
      <c r="B249" s="202">
        <v>10</v>
      </c>
      <c r="C249" s="202">
        <v>68</v>
      </c>
      <c r="D249" s="202">
        <f t="shared" si="4"/>
        <v>58</v>
      </c>
      <c r="E249" s="30" t="str">
        <f t="shared" si="5"/>
        <v>Pass</v>
      </c>
      <c r="F249" s="221">
        <v>1335</v>
      </c>
      <c r="H249" s="198"/>
    </row>
    <row r="250" spans="1:8" x14ac:dyDescent="0.35">
      <c r="A250" s="201"/>
      <c r="B250" s="202"/>
      <c r="C250" s="202"/>
      <c r="D250" s="202" t="str">
        <f t="shared" si="4"/>
        <v/>
      </c>
      <c r="E250" s="30" t="str">
        <f t="shared" si="5"/>
        <v/>
      </c>
      <c r="F250" s="221"/>
      <c r="H250" s="198"/>
    </row>
    <row r="251" spans="1:8" x14ac:dyDescent="0.35">
      <c r="A251" s="201"/>
      <c r="B251" s="202"/>
      <c r="C251" s="202"/>
      <c r="D251" s="202" t="str">
        <f t="shared" si="4"/>
        <v/>
      </c>
      <c r="E251" s="30" t="str">
        <f t="shared" si="5"/>
        <v/>
      </c>
      <c r="F251" s="221"/>
      <c r="H251" s="198"/>
    </row>
    <row r="252" spans="1:8" x14ac:dyDescent="0.35">
      <c r="A252" s="201"/>
      <c r="B252" s="202"/>
      <c r="C252" s="202"/>
      <c r="D252" s="202" t="str">
        <f t="shared" si="4"/>
        <v/>
      </c>
      <c r="E252" s="30" t="str">
        <f t="shared" si="5"/>
        <v/>
      </c>
      <c r="F252" s="221"/>
      <c r="H252" s="198"/>
    </row>
    <row r="253" spans="1:8" x14ac:dyDescent="0.35">
      <c r="A253" s="201"/>
      <c r="B253" s="202"/>
      <c r="C253" s="202"/>
      <c r="D253" s="202" t="str">
        <f t="shared" si="4"/>
        <v/>
      </c>
      <c r="E253" s="30" t="str">
        <f t="shared" si="5"/>
        <v/>
      </c>
      <c r="F253" s="221"/>
      <c r="H253" s="198"/>
    </row>
    <row r="254" spans="1:8" x14ac:dyDescent="0.35">
      <c r="A254" s="201"/>
      <c r="B254" s="202"/>
      <c r="C254" s="202"/>
      <c r="D254" s="202" t="str">
        <f t="shared" si="4"/>
        <v/>
      </c>
      <c r="E254" s="30" t="str">
        <f t="shared" si="5"/>
        <v/>
      </c>
      <c r="F254" s="221"/>
      <c r="H254" s="198"/>
    </row>
    <row r="255" spans="1:8" x14ac:dyDescent="0.35">
      <c r="A255" s="201"/>
      <c r="B255" s="202"/>
      <c r="C255" s="202"/>
      <c r="D255" s="202" t="str">
        <f t="shared" si="4"/>
        <v/>
      </c>
      <c r="E255" s="30" t="str">
        <f t="shared" si="5"/>
        <v/>
      </c>
      <c r="F255" s="221"/>
      <c r="H255" s="198"/>
    </row>
    <row r="256" spans="1:8" x14ac:dyDescent="0.35">
      <c r="A256" s="201"/>
      <c r="B256" s="202"/>
      <c r="C256" s="202"/>
      <c r="D256" s="202" t="str">
        <f t="shared" si="4"/>
        <v/>
      </c>
      <c r="E256" s="30" t="str">
        <f t="shared" si="5"/>
        <v/>
      </c>
      <c r="F256" s="221"/>
      <c r="H256" s="198"/>
    </row>
    <row r="257" spans="1:8" x14ac:dyDescent="0.35">
      <c r="A257" s="201"/>
      <c r="B257" s="202"/>
      <c r="C257" s="202"/>
      <c r="D257" s="202" t="str">
        <f t="shared" si="4"/>
        <v/>
      </c>
      <c r="E257" s="30" t="str">
        <f t="shared" si="5"/>
        <v/>
      </c>
      <c r="F257" s="221"/>
      <c r="H257" s="198"/>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7"/>
  <sheetViews>
    <sheetView workbookViewId="0">
      <selection activeCell="J18" sqref="J18"/>
    </sheetView>
  </sheetViews>
  <sheetFormatPr defaultColWidth="9" defaultRowHeight="12.75" x14ac:dyDescent="0.25"/>
  <cols>
    <col min="1" max="1" width="9" style="33"/>
    <col min="2" max="2" width="12.08984375" style="33" customWidth="1"/>
    <col min="3" max="6" width="9" style="33"/>
    <col min="7" max="7" width="14.90625" style="33" bestFit="1" customWidth="1"/>
    <col min="8" max="8" width="12.36328125" style="33" bestFit="1" customWidth="1"/>
    <col min="9" max="16384" width="9" style="33"/>
  </cols>
  <sheetData>
    <row r="1" spans="1:10" x14ac:dyDescent="0.25">
      <c r="A1" s="33" t="s">
        <v>134</v>
      </c>
      <c r="B1" s="33" t="s">
        <v>135</v>
      </c>
      <c r="C1" s="33" t="s">
        <v>136</v>
      </c>
      <c r="D1" s="33" t="s">
        <v>137</v>
      </c>
      <c r="E1" s="33" t="s">
        <v>138</v>
      </c>
      <c r="F1" s="33" t="s">
        <v>139</v>
      </c>
      <c r="G1" s="33" t="s">
        <v>140</v>
      </c>
      <c r="H1" s="33" t="s">
        <v>141</v>
      </c>
      <c r="I1" s="33" t="s">
        <v>75</v>
      </c>
      <c r="J1" s="33" t="s">
        <v>142</v>
      </c>
    </row>
    <row r="2" spans="1:10" x14ac:dyDescent="0.25">
      <c r="A2" s="33">
        <v>856</v>
      </c>
      <c r="B2" s="231">
        <v>42980</v>
      </c>
      <c r="C2" s="232">
        <v>0.75953703703703701</v>
      </c>
      <c r="D2" s="33">
        <v>5</v>
      </c>
      <c r="E2" s="33" t="s">
        <v>143</v>
      </c>
      <c r="F2" s="33">
        <v>2</v>
      </c>
      <c r="G2" s="33" t="s">
        <v>144</v>
      </c>
      <c r="H2" s="33" t="s">
        <v>145</v>
      </c>
      <c r="I2" s="33">
        <v>1</v>
      </c>
      <c r="J2" s="33">
        <v>2805.63</v>
      </c>
    </row>
    <row r="3" spans="1:10" x14ac:dyDescent="0.25">
      <c r="A3" s="33">
        <v>856</v>
      </c>
      <c r="B3" s="231">
        <v>42980</v>
      </c>
      <c r="C3" s="232">
        <v>0.75953703703703701</v>
      </c>
      <c r="D3" s="33">
        <v>5</v>
      </c>
      <c r="E3" s="33" t="s">
        <v>143</v>
      </c>
      <c r="F3" s="33">
        <v>2</v>
      </c>
      <c r="G3" s="33" t="s">
        <v>144</v>
      </c>
      <c r="H3" s="33" t="s">
        <v>145</v>
      </c>
      <c r="I3" s="33">
        <v>2</v>
      </c>
      <c r="J3" s="33">
        <v>2756.13</v>
      </c>
    </row>
    <row r="4" spans="1:10" x14ac:dyDescent="0.25">
      <c r="A4" s="33">
        <v>856</v>
      </c>
      <c r="B4" s="231">
        <v>42980</v>
      </c>
      <c r="C4" s="232">
        <v>0.75953703703703701</v>
      </c>
      <c r="D4" s="33">
        <v>5</v>
      </c>
      <c r="E4" s="33" t="s">
        <v>143</v>
      </c>
      <c r="F4" s="33">
        <v>2</v>
      </c>
      <c r="G4" s="33" t="s">
        <v>144</v>
      </c>
      <c r="H4" s="33" t="s">
        <v>145</v>
      </c>
      <c r="I4" s="33">
        <v>3</v>
      </c>
      <c r="J4" s="33">
        <v>2730.44</v>
      </c>
    </row>
    <row r="5" spans="1:10" x14ac:dyDescent="0.25">
      <c r="A5" s="33">
        <v>856</v>
      </c>
      <c r="B5" s="231">
        <v>42980</v>
      </c>
      <c r="C5" s="232">
        <v>0.75953703703703701</v>
      </c>
      <c r="D5" s="33">
        <v>5</v>
      </c>
      <c r="E5" s="33" t="s">
        <v>143</v>
      </c>
      <c r="F5" s="33">
        <v>2</v>
      </c>
      <c r="G5" s="33" t="s">
        <v>144</v>
      </c>
      <c r="H5" s="33" t="s">
        <v>145</v>
      </c>
      <c r="I5" s="33">
        <v>4</v>
      </c>
      <c r="J5" s="33">
        <v>2724.88</v>
      </c>
    </row>
    <row r="6" spans="1:10" x14ac:dyDescent="0.25">
      <c r="A6" s="33">
        <v>856</v>
      </c>
      <c r="B6" s="231">
        <v>42980</v>
      </c>
      <c r="C6" s="232">
        <v>0.75953703703703701</v>
      </c>
      <c r="D6" s="33">
        <v>5</v>
      </c>
      <c r="E6" s="33" t="s">
        <v>143</v>
      </c>
      <c r="F6" s="33">
        <v>2</v>
      </c>
      <c r="G6" s="33" t="s">
        <v>144</v>
      </c>
      <c r="H6" s="33" t="s">
        <v>145</v>
      </c>
      <c r="I6" s="33">
        <v>5</v>
      </c>
      <c r="J6" s="33">
        <v>2739.28</v>
      </c>
    </row>
    <row r="7" spans="1:10" x14ac:dyDescent="0.25">
      <c r="A7" s="33">
        <v>856</v>
      </c>
      <c r="B7" s="231">
        <v>42980</v>
      </c>
      <c r="C7" s="232">
        <v>0.75953703703703701</v>
      </c>
      <c r="D7" s="33">
        <v>5</v>
      </c>
      <c r="E7" s="33" t="s">
        <v>143</v>
      </c>
      <c r="F7" s="33">
        <v>2</v>
      </c>
      <c r="G7" s="33" t="s">
        <v>144</v>
      </c>
      <c r="H7" s="33" t="s">
        <v>145</v>
      </c>
      <c r="I7" s="33">
        <v>6</v>
      </c>
      <c r="J7" s="33">
        <v>2773.58</v>
      </c>
    </row>
    <row r="8" spans="1:10" x14ac:dyDescent="0.25">
      <c r="A8" s="33">
        <v>856</v>
      </c>
      <c r="B8" s="231">
        <v>42980</v>
      </c>
      <c r="C8" s="232">
        <v>0.75953703703703701</v>
      </c>
      <c r="D8" s="33">
        <v>5</v>
      </c>
      <c r="E8" s="33" t="s">
        <v>143</v>
      </c>
      <c r="F8" s="33">
        <v>2</v>
      </c>
      <c r="G8" s="33" t="s">
        <v>144</v>
      </c>
      <c r="H8" s="33" t="s">
        <v>145</v>
      </c>
      <c r="I8" s="33">
        <v>7</v>
      </c>
      <c r="J8" s="33">
        <v>2831.02</v>
      </c>
    </row>
    <row r="9" spans="1:10" x14ac:dyDescent="0.25">
      <c r="A9" s="33">
        <v>856</v>
      </c>
      <c r="B9" s="231">
        <v>42980</v>
      </c>
      <c r="C9" s="232">
        <v>0.75953703703703701</v>
      </c>
      <c r="D9" s="33">
        <v>5</v>
      </c>
      <c r="E9" s="33" t="s">
        <v>143</v>
      </c>
      <c r="F9" s="33">
        <v>2</v>
      </c>
      <c r="G9" s="33" t="s">
        <v>144</v>
      </c>
      <c r="H9" s="33" t="s">
        <v>145</v>
      </c>
      <c r="I9" s="33">
        <v>8</v>
      </c>
      <c r="J9" s="33">
        <v>2817.79</v>
      </c>
    </row>
    <row r="10" spans="1:10" x14ac:dyDescent="0.25">
      <c r="A10" s="33">
        <v>856</v>
      </c>
      <c r="B10" s="231">
        <v>42980</v>
      </c>
      <c r="C10" s="232">
        <v>0.75953703703703701</v>
      </c>
      <c r="D10" s="33">
        <v>5</v>
      </c>
      <c r="E10" s="33" t="s">
        <v>143</v>
      </c>
      <c r="F10" s="33">
        <v>2</v>
      </c>
      <c r="G10" s="33" t="s">
        <v>144</v>
      </c>
      <c r="H10" s="33" t="s">
        <v>145</v>
      </c>
      <c r="I10" s="33">
        <v>9</v>
      </c>
      <c r="J10" s="33">
        <v>2755.32</v>
      </c>
    </row>
    <row r="11" spans="1:10" x14ac:dyDescent="0.25">
      <c r="A11" s="33">
        <v>856</v>
      </c>
      <c r="B11" s="231">
        <v>42980</v>
      </c>
      <c r="C11" s="232">
        <v>0.75953703703703701</v>
      </c>
      <c r="D11" s="33">
        <v>5</v>
      </c>
      <c r="E11" s="33" t="s">
        <v>143</v>
      </c>
      <c r="F11" s="33">
        <v>2</v>
      </c>
      <c r="G11" s="33" t="s">
        <v>144</v>
      </c>
      <c r="H11" s="33" t="s">
        <v>145</v>
      </c>
      <c r="I11" s="33">
        <v>10</v>
      </c>
      <c r="J11" s="33">
        <v>2725.93</v>
      </c>
    </row>
    <row r="12" spans="1:10" x14ac:dyDescent="0.25">
      <c r="A12" s="33">
        <v>856</v>
      </c>
      <c r="B12" s="231">
        <v>42980</v>
      </c>
      <c r="C12" s="232">
        <v>0.75953703703703701</v>
      </c>
      <c r="D12" s="33">
        <v>5</v>
      </c>
      <c r="E12" s="33" t="s">
        <v>143</v>
      </c>
      <c r="F12" s="33">
        <v>2</v>
      </c>
      <c r="G12" s="33" t="s">
        <v>144</v>
      </c>
      <c r="H12" s="33" t="s">
        <v>145</v>
      </c>
      <c r="I12" s="33">
        <v>11</v>
      </c>
      <c r="J12" s="33">
        <v>2750.01</v>
      </c>
    </row>
    <row r="13" spans="1:10" x14ac:dyDescent="0.25">
      <c r="A13" s="33">
        <v>856</v>
      </c>
      <c r="B13" s="231">
        <v>42980</v>
      </c>
      <c r="C13" s="232">
        <v>0.75953703703703701</v>
      </c>
      <c r="D13" s="33">
        <v>5</v>
      </c>
      <c r="E13" s="33" t="s">
        <v>143</v>
      </c>
      <c r="F13" s="33">
        <v>2</v>
      </c>
      <c r="G13" s="33" t="s">
        <v>144</v>
      </c>
      <c r="H13" s="33" t="s">
        <v>145</v>
      </c>
      <c r="I13" s="33">
        <v>12</v>
      </c>
      <c r="J13" s="33">
        <v>2796.03</v>
      </c>
    </row>
    <row r="14" spans="1:10" x14ac:dyDescent="0.25">
      <c r="A14" s="33">
        <v>856</v>
      </c>
      <c r="B14" s="231">
        <v>42980</v>
      </c>
      <c r="C14" s="232">
        <v>0.75953703703703701</v>
      </c>
      <c r="D14" s="33">
        <v>5</v>
      </c>
      <c r="E14" s="33" t="s">
        <v>143</v>
      </c>
      <c r="F14" s="33">
        <v>2</v>
      </c>
      <c r="G14" s="33" t="s">
        <v>144</v>
      </c>
      <c r="H14" s="33" t="s">
        <v>145</v>
      </c>
      <c r="I14" s="33">
        <v>13</v>
      </c>
      <c r="J14" s="33">
        <v>2873.84</v>
      </c>
    </row>
    <row r="15" spans="1:10" x14ac:dyDescent="0.25">
      <c r="A15" s="33">
        <v>857</v>
      </c>
      <c r="B15" s="231">
        <v>42980</v>
      </c>
      <c r="C15" s="232">
        <v>0.80120370370370375</v>
      </c>
      <c r="D15" s="33">
        <v>5</v>
      </c>
      <c r="E15" s="33" t="s">
        <v>143</v>
      </c>
      <c r="F15" s="33">
        <v>2</v>
      </c>
      <c r="G15" s="33" t="s">
        <v>144</v>
      </c>
      <c r="H15" s="33" t="s">
        <v>145</v>
      </c>
      <c r="I15" s="33">
        <v>1</v>
      </c>
      <c r="J15" s="33">
        <v>1794.39</v>
      </c>
    </row>
    <row r="16" spans="1:10" x14ac:dyDescent="0.25">
      <c r="A16" s="33">
        <v>857</v>
      </c>
      <c r="B16" s="231">
        <v>42980</v>
      </c>
      <c r="C16" s="232">
        <v>0.80120370370370375</v>
      </c>
      <c r="D16" s="33">
        <v>5</v>
      </c>
      <c r="E16" s="33" t="s">
        <v>143</v>
      </c>
      <c r="F16" s="33">
        <v>2</v>
      </c>
      <c r="G16" s="33" t="s">
        <v>144</v>
      </c>
      <c r="H16" s="33" t="s">
        <v>145</v>
      </c>
      <c r="I16" s="33">
        <v>2</v>
      </c>
      <c r="J16" s="33">
        <v>1777.48</v>
      </c>
    </row>
    <row r="17" spans="1:10" x14ac:dyDescent="0.25">
      <c r="A17" s="33">
        <v>857</v>
      </c>
      <c r="B17" s="231">
        <v>42980</v>
      </c>
      <c r="C17" s="232">
        <v>0.80120370370370375</v>
      </c>
      <c r="D17" s="33">
        <v>5</v>
      </c>
      <c r="E17" s="33" t="s">
        <v>143</v>
      </c>
      <c r="F17" s="33">
        <v>2</v>
      </c>
      <c r="G17" s="33" t="s">
        <v>144</v>
      </c>
      <c r="H17" s="33" t="s">
        <v>145</v>
      </c>
      <c r="I17" s="33">
        <v>3</v>
      </c>
      <c r="J17" s="33">
        <v>1772.35</v>
      </c>
    </row>
    <row r="18" spans="1:10" x14ac:dyDescent="0.25">
      <c r="A18" s="33">
        <v>857</v>
      </c>
      <c r="B18" s="231">
        <v>42980</v>
      </c>
      <c r="C18" s="232">
        <v>0.80120370370370375</v>
      </c>
      <c r="D18" s="33">
        <v>5</v>
      </c>
      <c r="E18" s="33" t="s">
        <v>143</v>
      </c>
      <c r="F18" s="33">
        <v>2</v>
      </c>
      <c r="G18" s="33" t="s">
        <v>144</v>
      </c>
      <c r="H18" s="33" t="s">
        <v>145</v>
      </c>
      <c r="I18" s="33">
        <v>4</v>
      </c>
      <c r="J18" s="33">
        <v>1775.2</v>
      </c>
    </row>
    <row r="19" spans="1:10" x14ac:dyDescent="0.25">
      <c r="A19" s="33">
        <v>857</v>
      </c>
      <c r="B19" s="231">
        <v>42980</v>
      </c>
      <c r="C19" s="232">
        <v>0.80120370370370375</v>
      </c>
      <c r="D19" s="33">
        <v>5</v>
      </c>
      <c r="E19" s="33" t="s">
        <v>143</v>
      </c>
      <c r="F19" s="33">
        <v>2</v>
      </c>
      <c r="G19" s="33" t="s">
        <v>144</v>
      </c>
      <c r="H19" s="33" t="s">
        <v>145</v>
      </c>
      <c r="I19" s="33">
        <v>5</v>
      </c>
      <c r="J19" s="33">
        <v>1794.23</v>
      </c>
    </row>
    <row r="20" spans="1:10" x14ac:dyDescent="0.25">
      <c r="A20" s="33">
        <v>857</v>
      </c>
      <c r="B20" s="231">
        <v>42980</v>
      </c>
      <c r="C20" s="232">
        <v>0.80120370370370375</v>
      </c>
      <c r="D20" s="33">
        <v>5</v>
      </c>
      <c r="E20" s="33" t="s">
        <v>143</v>
      </c>
      <c r="F20" s="33">
        <v>2</v>
      </c>
      <c r="G20" s="33" t="s">
        <v>144</v>
      </c>
      <c r="H20" s="33" t="s">
        <v>145</v>
      </c>
      <c r="I20" s="33">
        <v>6</v>
      </c>
      <c r="J20" s="33">
        <v>1829.62</v>
      </c>
    </row>
    <row r="21" spans="1:10" x14ac:dyDescent="0.25">
      <c r="A21" s="33">
        <v>857</v>
      </c>
      <c r="B21" s="231">
        <v>42980</v>
      </c>
      <c r="C21" s="232">
        <v>0.80120370370370375</v>
      </c>
      <c r="D21" s="33">
        <v>5</v>
      </c>
      <c r="E21" s="33" t="s">
        <v>143</v>
      </c>
      <c r="F21" s="33">
        <v>2</v>
      </c>
      <c r="G21" s="33" t="s">
        <v>144</v>
      </c>
      <c r="H21" s="33" t="s">
        <v>145</v>
      </c>
      <c r="I21" s="33">
        <v>7</v>
      </c>
      <c r="J21" s="33">
        <v>1872.56</v>
      </c>
    </row>
    <row r="22" spans="1:10" x14ac:dyDescent="0.25">
      <c r="A22" s="33">
        <v>857</v>
      </c>
      <c r="B22" s="231">
        <v>42980</v>
      </c>
      <c r="C22" s="232">
        <v>0.80120370370370375</v>
      </c>
      <c r="D22" s="33">
        <v>5</v>
      </c>
      <c r="E22" s="33" t="s">
        <v>143</v>
      </c>
      <c r="F22" s="33">
        <v>2</v>
      </c>
      <c r="G22" s="33" t="s">
        <v>144</v>
      </c>
      <c r="H22" s="33" t="s">
        <v>145</v>
      </c>
      <c r="I22" s="33">
        <v>8</v>
      </c>
      <c r="J22" s="33">
        <v>1852.08</v>
      </c>
    </row>
    <row r="23" spans="1:10" x14ac:dyDescent="0.25">
      <c r="A23" s="33">
        <v>857</v>
      </c>
      <c r="B23" s="231">
        <v>42980</v>
      </c>
      <c r="C23" s="232">
        <v>0.80120370370370375</v>
      </c>
      <c r="D23" s="33">
        <v>5</v>
      </c>
      <c r="E23" s="33" t="s">
        <v>143</v>
      </c>
      <c r="F23" s="33">
        <v>2</v>
      </c>
      <c r="G23" s="33" t="s">
        <v>144</v>
      </c>
      <c r="H23" s="33" t="s">
        <v>145</v>
      </c>
      <c r="I23" s="33">
        <v>9</v>
      </c>
      <c r="J23" s="33">
        <v>1800.53</v>
      </c>
    </row>
    <row r="24" spans="1:10" x14ac:dyDescent="0.25">
      <c r="A24" s="33">
        <v>857</v>
      </c>
      <c r="B24" s="231">
        <v>42980</v>
      </c>
      <c r="C24" s="232">
        <v>0.80120370370370375</v>
      </c>
      <c r="D24" s="33">
        <v>5</v>
      </c>
      <c r="E24" s="33" t="s">
        <v>143</v>
      </c>
      <c r="F24" s="33">
        <v>2</v>
      </c>
      <c r="G24" s="33" t="s">
        <v>144</v>
      </c>
      <c r="H24" s="33" t="s">
        <v>145</v>
      </c>
      <c r="I24" s="33">
        <v>10</v>
      </c>
      <c r="J24" s="33">
        <v>1778.93</v>
      </c>
    </row>
    <row r="25" spans="1:10" x14ac:dyDescent="0.25">
      <c r="A25" s="33">
        <v>857</v>
      </c>
      <c r="B25" s="231">
        <v>42980</v>
      </c>
      <c r="C25" s="232">
        <v>0.80120370370370375</v>
      </c>
      <c r="D25" s="33">
        <v>5</v>
      </c>
      <c r="E25" s="33" t="s">
        <v>143</v>
      </c>
      <c r="F25" s="33">
        <v>2</v>
      </c>
      <c r="G25" s="33" t="s">
        <v>144</v>
      </c>
      <c r="H25" s="33" t="s">
        <v>145</v>
      </c>
      <c r="I25" s="33">
        <v>11</v>
      </c>
      <c r="J25" s="33">
        <v>1791.77</v>
      </c>
    </row>
    <row r="26" spans="1:10" x14ac:dyDescent="0.25">
      <c r="A26" s="33">
        <v>857</v>
      </c>
      <c r="B26" s="231">
        <v>42980</v>
      </c>
      <c r="C26" s="232">
        <v>0.80120370370370375</v>
      </c>
      <c r="D26" s="33">
        <v>5</v>
      </c>
      <c r="E26" s="33" t="s">
        <v>143</v>
      </c>
      <c r="F26" s="33">
        <v>2</v>
      </c>
      <c r="G26" s="33" t="s">
        <v>144</v>
      </c>
      <c r="H26" s="33" t="s">
        <v>145</v>
      </c>
      <c r="I26" s="33">
        <v>12</v>
      </c>
      <c r="J26" s="33">
        <v>1826.17</v>
      </c>
    </row>
    <row r="27" spans="1:10" x14ac:dyDescent="0.25">
      <c r="A27" s="33">
        <v>857</v>
      </c>
      <c r="B27" s="231">
        <v>42980</v>
      </c>
      <c r="C27" s="232">
        <v>0.80120370370370375</v>
      </c>
      <c r="D27" s="33">
        <v>5</v>
      </c>
      <c r="E27" s="33" t="s">
        <v>143</v>
      </c>
      <c r="F27" s="33">
        <v>2</v>
      </c>
      <c r="G27" s="33" t="s">
        <v>144</v>
      </c>
      <c r="H27" s="33" t="s">
        <v>145</v>
      </c>
      <c r="I27" s="33">
        <v>13</v>
      </c>
      <c r="J27" s="33">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X17"/>
  <sheetViews>
    <sheetView topLeftCell="F1" workbookViewId="0">
      <selection activeCell="R24" sqref="R23:R24"/>
    </sheetView>
  </sheetViews>
  <sheetFormatPr defaultColWidth="9" defaultRowHeight="12.75" x14ac:dyDescent="0.25"/>
  <cols>
    <col min="1" max="16384" width="9" style="33"/>
  </cols>
  <sheetData>
    <row r="2" spans="2:24" ht="25.5" x14ac:dyDescent="0.25">
      <c r="B2" s="366" t="s">
        <v>146</v>
      </c>
      <c r="C2" s="367"/>
      <c r="D2" s="367"/>
      <c r="E2" s="367"/>
      <c r="F2" s="236"/>
      <c r="G2" s="236"/>
      <c r="H2" s="236"/>
      <c r="I2" s="367" t="s">
        <v>147</v>
      </c>
      <c r="J2" s="367"/>
      <c r="K2" s="367"/>
      <c r="L2" s="236" t="s">
        <v>148</v>
      </c>
      <c r="M2" s="236"/>
      <c r="N2" s="236"/>
      <c r="O2" s="236"/>
      <c r="P2" s="236"/>
      <c r="Q2" s="236"/>
      <c r="R2" s="236"/>
      <c r="S2" s="237"/>
      <c r="T2" s="238" t="s">
        <v>66</v>
      </c>
      <c r="U2" s="239" t="s">
        <v>67</v>
      </c>
      <c r="V2" s="239" t="s">
        <v>68</v>
      </c>
      <c r="W2" s="233" t="s">
        <v>149</v>
      </c>
      <c r="X2" s="239" t="s">
        <v>70</v>
      </c>
    </row>
    <row r="3" spans="2:24" x14ac:dyDescent="0.25">
      <c r="B3" s="240" t="s">
        <v>77</v>
      </c>
      <c r="C3" s="241">
        <v>5398.28</v>
      </c>
      <c r="D3" s="241">
        <v>5371.04</v>
      </c>
      <c r="E3" s="241">
        <v>5361.96</v>
      </c>
      <c r="F3" s="241">
        <v>5358.02</v>
      </c>
      <c r="G3" s="241">
        <v>5347.2</v>
      </c>
      <c r="H3" s="241">
        <v>5361.21</v>
      </c>
      <c r="I3" s="241">
        <v>5378.31</v>
      </c>
      <c r="J3" s="241">
        <v>5381.54</v>
      </c>
      <c r="K3" s="241">
        <v>5407.2</v>
      </c>
      <c r="L3" s="241">
        <v>5496.21</v>
      </c>
      <c r="M3" s="241">
        <v>5373.56</v>
      </c>
      <c r="N3" s="241">
        <v>5350.6</v>
      </c>
      <c r="O3" s="241">
        <v>5378.62</v>
      </c>
      <c r="P3" s="241">
        <v>5356.5</v>
      </c>
      <c r="Q3" s="241">
        <v>5381.21</v>
      </c>
      <c r="R3" s="241">
        <v>5412.73</v>
      </c>
      <c r="S3" s="241">
        <v>5478.34</v>
      </c>
      <c r="T3" s="242">
        <f>IF((S4=""),"",MAX(C5:S5))</f>
        <v>65.460000000000946</v>
      </c>
      <c r="U3" s="242">
        <f>IF(S4="","",MIN(C5:S5))</f>
        <v>10.840000000000146</v>
      </c>
      <c r="V3" s="242">
        <f>IF((S5=""),"",AVERAGE(C5:S5))</f>
        <v>42.016470588235549</v>
      </c>
      <c r="W3" s="243">
        <f>STDEV(C5:S5)</f>
        <v>15.692974917608829</v>
      </c>
      <c r="X3" s="242">
        <f>IF((S4=""),"",((T3-U3)/(T3+U3))*100)</f>
        <v>71.585845347313253</v>
      </c>
    </row>
    <row r="4" spans="2:24" x14ac:dyDescent="0.25">
      <c r="B4" s="244" t="s">
        <v>78</v>
      </c>
      <c r="C4" s="243">
        <v>5377.54</v>
      </c>
      <c r="D4" s="243">
        <v>5345.49</v>
      </c>
      <c r="E4" s="243">
        <v>5337.53</v>
      </c>
      <c r="F4" s="243">
        <v>5341.5</v>
      </c>
      <c r="G4" s="243">
        <v>5332.54</v>
      </c>
      <c r="H4" s="243">
        <v>5342.18</v>
      </c>
      <c r="I4" s="243">
        <v>5345.58</v>
      </c>
      <c r="J4" s="243">
        <v>5352.19</v>
      </c>
      <c r="K4" s="243">
        <v>5379.43</v>
      </c>
      <c r="L4" s="243">
        <v>5477.23</v>
      </c>
      <c r="M4" s="243">
        <v>5354.78</v>
      </c>
      <c r="N4" s="243">
        <v>5334.36</v>
      </c>
      <c r="O4" s="243">
        <v>5348.17</v>
      </c>
      <c r="P4" s="243">
        <v>5351.08</v>
      </c>
      <c r="Q4" s="243">
        <v>5368.96</v>
      </c>
      <c r="R4" s="243">
        <v>5380.8</v>
      </c>
      <c r="S4" s="243">
        <v>5466.03</v>
      </c>
      <c r="T4" s="245"/>
      <c r="U4" s="245"/>
      <c r="V4" s="245"/>
      <c r="W4" s="245"/>
      <c r="X4" s="245"/>
    </row>
    <row r="5" spans="2:24" ht="50.95" x14ac:dyDescent="0.25">
      <c r="B5" s="244" t="s">
        <v>79</v>
      </c>
      <c r="C5" s="246">
        <f t="shared" ref="C5:S5" si="0">IF(((C3="")*AND(C4="")),"",(C3-C4)*2)</f>
        <v>41.479999999999563</v>
      </c>
      <c r="D5" s="246">
        <f t="shared" si="0"/>
        <v>51.100000000000364</v>
      </c>
      <c r="E5" s="246">
        <f t="shared" si="0"/>
        <v>48.860000000000582</v>
      </c>
      <c r="F5" s="246">
        <f t="shared" si="0"/>
        <v>33.040000000000873</v>
      </c>
      <c r="G5" s="246">
        <f t="shared" si="0"/>
        <v>29.319999999999709</v>
      </c>
      <c r="H5" s="246">
        <f t="shared" si="0"/>
        <v>38.059999999999491</v>
      </c>
      <c r="I5" s="246">
        <f t="shared" si="0"/>
        <v>65.460000000000946</v>
      </c>
      <c r="J5" s="246">
        <f t="shared" si="0"/>
        <v>58.700000000000728</v>
      </c>
      <c r="K5" s="246">
        <f t="shared" si="0"/>
        <v>55.539999999999054</v>
      </c>
      <c r="L5" s="246">
        <f t="shared" si="0"/>
        <v>37.960000000000946</v>
      </c>
      <c r="M5" s="246">
        <f t="shared" si="0"/>
        <v>37.56000000000131</v>
      </c>
      <c r="N5" s="246">
        <f t="shared" si="0"/>
        <v>32.480000000001382</v>
      </c>
      <c r="O5" s="246">
        <f t="shared" si="0"/>
        <v>60.899999999999636</v>
      </c>
      <c r="P5" s="246">
        <f t="shared" si="0"/>
        <v>10.840000000000146</v>
      </c>
      <c r="Q5" s="246">
        <f t="shared" si="0"/>
        <v>24.5</v>
      </c>
      <c r="R5" s="246">
        <f t="shared" si="0"/>
        <v>63.859999999998763</v>
      </c>
      <c r="S5" s="246">
        <f t="shared" si="0"/>
        <v>24.6200000000008</v>
      </c>
      <c r="T5" s="245"/>
      <c r="U5" s="245"/>
      <c r="V5" s="245"/>
      <c r="W5" s="247"/>
      <c r="X5" s="245"/>
    </row>
    <row r="6" spans="2:24" x14ac:dyDescent="0.25">
      <c r="B6" s="248"/>
      <c r="C6" s="248"/>
      <c r="D6" s="248"/>
      <c r="E6" s="248"/>
      <c r="F6" s="248"/>
      <c r="G6" s="248"/>
      <c r="H6" s="248"/>
      <c r="I6" s="248"/>
      <c r="J6" s="248"/>
      <c r="K6" s="248"/>
      <c r="L6" s="248"/>
      <c r="M6" s="248"/>
      <c r="N6" s="248"/>
      <c r="O6" s="248"/>
      <c r="P6" s="248"/>
      <c r="Q6" s="248"/>
      <c r="R6" s="248"/>
      <c r="S6" s="248"/>
      <c r="T6" s="248"/>
      <c r="U6" s="248"/>
      <c r="V6" s="248"/>
      <c r="W6" s="248"/>
      <c r="X6" s="248"/>
    </row>
    <row r="7" spans="2:24" x14ac:dyDescent="0.25">
      <c r="B7" s="248"/>
      <c r="C7" s="248"/>
      <c r="D7" s="248"/>
      <c r="E7" s="248"/>
      <c r="F7" s="248"/>
      <c r="G7" s="248"/>
      <c r="H7" s="248"/>
      <c r="I7" s="248"/>
      <c r="J7" s="248"/>
      <c r="K7" s="248"/>
      <c r="L7" s="248"/>
      <c r="M7" s="248"/>
      <c r="N7" s="248"/>
      <c r="O7" s="248"/>
      <c r="P7" s="248"/>
      <c r="Q7" s="248"/>
      <c r="R7" s="248"/>
      <c r="S7" s="248"/>
      <c r="T7" s="248"/>
      <c r="U7" s="248"/>
      <c r="V7" s="248"/>
      <c r="W7" s="248"/>
      <c r="X7" s="248"/>
    </row>
    <row r="8" spans="2:24" ht="25.5" x14ac:dyDescent="0.25">
      <c r="B8" s="368" t="s">
        <v>150</v>
      </c>
      <c r="C8" s="369"/>
      <c r="D8" s="369"/>
      <c r="E8" s="369"/>
      <c r="F8" s="249"/>
      <c r="G8" s="249"/>
      <c r="H8" s="249"/>
      <c r="I8" s="370" t="s">
        <v>147</v>
      </c>
      <c r="J8" s="370"/>
      <c r="K8" s="370"/>
      <c r="L8" s="249" t="s">
        <v>151</v>
      </c>
      <c r="M8" s="249"/>
      <c r="N8" s="249"/>
      <c r="O8" s="249"/>
      <c r="P8" s="249"/>
      <c r="Q8" s="249"/>
      <c r="R8" s="249"/>
      <c r="S8" s="250"/>
      <c r="T8" s="251" t="s">
        <v>66</v>
      </c>
      <c r="U8" s="252" t="s">
        <v>67</v>
      </c>
      <c r="V8" s="252" t="s">
        <v>68</v>
      </c>
      <c r="W8" s="234" t="s">
        <v>149</v>
      </c>
      <c r="X8" s="252" t="s">
        <v>70</v>
      </c>
    </row>
    <row r="9" spans="2:24" x14ac:dyDescent="0.25">
      <c r="B9" s="253" t="s">
        <v>77</v>
      </c>
      <c r="C9" s="254">
        <v>5415.12</v>
      </c>
      <c r="D9" s="254">
        <v>5385.04</v>
      </c>
      <c r="E9" s="254">
        <v>5364.78</v>
      </c>
      <c r="F9" s="254">
        <v>5369.05</v>
      </c>
      <c r="G9" s="254">
        <v>5369.37</v>
      </c>
      <c r="H9" s="254">
        <v>5375.24</v>
      </c>
      <c r="I9" s="254">
        <v>5393.56</v>
      </c>
      <c r="J9" s="254">
        <v>5404.92</v>
      </c>
      <c r="K9" s="254">
        <v>5453.96</v>
      </c>
      <c r="L9" s="254">
        <v>5485.66</v>
      </c>
      <c r="M9" s="254">
        <v>5375.42</v>
      </c>
      <c r="N9" s="254">
        <v>5372.72</v>
      </c>
      <c r="O9" s="254">
        <v>5390.21</v>
      </c>
      <c r="P9" s="254">
        <v>5376.99</v>
      </c>
      <c r="Q9" s="254">
        <v>5404.93</v>
      </c>
      <c r="R9" s="254">
        <v>5423.68</v>
      </c>
      <c r="S9" s="254">
        <v>5490.02</v>
      </c>
      <c r="T9" s="255">
        <f>IF((S10=""),"",MAX(C11:S11))</f>
        <v>75.5</v>
      </c>
      <c r="U9" s="255">
        <f>IF(S10="","",MIN(C11:S11))</f>
        <v>36.659999999999854</v>
      </c>
      <c r="V9" s="255">
        <f>IF((S11=""),"",AVERAGE(C11:S11))</f>
        <v>52.010588235294243</v>
      </c>
      <c r="W9" s="254">
        <f>STDEV(C11:S11)</f>
        <v>10.415551155956939</v>
      </c>
      <c r="X9" s="255">
        <f>IF((S10=""),"",((T9-U9)/(T9+U9))*100)</f>
        <v>34.629101283880345</v>
      </c>
    </row>
    <row r="10" spans="2:24" x14ac:dyDescent="0.25">
      <c r="B10" s="256" t="s">
        <v>78</v>
      </c>
      <c r="C10" s="254">
        <v>5377.37</v>
      </c>
      <c r="D10" s="254">
        <v>5361.14</v>
      </c>
      <c r="E10" s="254">
        <v>5339.68</v>
      </c>
      <c r="F10" s="254">
        <v>5345.21</v>
      </c>
      <c r="G10" s="254">
        <v>5346.05</v>
      </c>
      <c r="H10" s="254">
        <v>5349.72</v>
      </c>
      <c r="I10" s="254">
        <v>5370.12</v>
      </c>
      <c r="J10" s="254">
        <v>5375.71</v>
      </c>
      <c r="K10" s="254">
        <v>5433.2</v>
      </c>
      <c r="L10" s="254">
        <v>5458.46</v>
      </c>
      <c r="M10" s="254">
        <v>5347.42</v>
      </c>
      <c r="N10" s="254">
        <v>5353.96</v>
      </c>
      <c r="O10" s="254">
        <v>5371.88</v>
      </c>
      <c r="P10" s="254">
        <v>5351.95</v>
      </c>
      <c r="Q10" s="254">
        <v>5370.54</v>
      </c>
      <c r="R10" s="254">
        <v>5390.98</v>
      </c>
      <c r="S10" s="254">
        <v>5465.19</v>
      </c>
      <c r="T10" s="245"/>
      <c r="U10" s="245"/>
      <c r="V10" s="245"/>
      <c r="W10" s="245"/>
      <c r="X10" s="245"/>
    </row>
    <row r="11" spans="2:24" ht="50.95" x14ac:dyDescent="0.25">
      <c r="B11" s="256" t="s">
        <v>79</v>
      </c>
      <c r="C11" s="257">
        <f t="shared" ref="C11:S11" si="1">IF(((C9="")*AND(C10="")),"",(C9-C10)*2)</f>
        <v>75.5</v>
      </c>
      <c r="D11" s="257">
        <f t="shared" si="1"/>
        <v>47.799999999999272</v>
      </c>
      <c r="E11" s="257">
        <f t="shared" si="1"/>
        <v>50.199999999998909</v>
      </c>
      <c r="F11" s="257">
        <f t="shared" si="1"/>
        <v>47.680000000000291</v>
      </c>
      <c r="G11" s="257">
        <f t="shared" si="1"/>
        <v>46.639999999999418</v>
      </c>
      <c r="H11" s="257">
        <f t="shared" si="1"/>
        <v>51.039999999999054</v>
      </c>
      <c r="I11" s="257">
        <f t="shared" si="1"/>
        <v>46.880000000001019</v>
      </c>
      <c r="J11" s="257">
        <f t="shared" si="1"/>
        <v>58.420000000000073</v>
      </c>
      <c r="K11" s="257">
        <f t="shared" si="1"/>
        <v>41.520000000000437</v>
      </c>
      <c r="L11" s="257">
        <f t="shared" si="1"/>
        <v>54.399999999999636</v>
      </c>
      <c r="M11" s="257">
        <f t="shared" si="1"/>
        <v>56</v>
      </c>
      <c r="N11" s="257">
        <f t="shared" si="1"/>
        <v>37.520000000000437</v>
      </c>
      <c r="O11" s="257">
        <f t="shared" si="1"/>
        <v>36.659999999999854</v>
      </c>
      <c r="P11" s="257">
        <f t="shared" si="1"/>
        <v>50.079999999999927</v>
      </c>
      <c r="Q11" s="257">
        <f t="shared" si="1"/>
        <v>68.780000000000655</v>
      </c>
      <c r="R11" s="257">
        <f t="shared" si="1"/>
        <v>65.400000000001455</v>
      </c>
      <c r="S11" s="257">
        <f t="shared" si="1"/>
        <v>49.660000000001673</v>
      </c>
      <c r="T11" s="245"/>
      <c r="U11" s="245"/>
      <c r="V11" s="245"/>
      <c r="W11" s="247"/>
      <c r="X11" s="245"/>
    </row>
    <row r="12" spans="2:24" x14ac:dyDescent="0.25">
      <c r="B12" s="248"/>
      <c r="C12" s="248"/>
      <c r="D12" s="248"/>
      <c r="E12" s="248"/>
      <c r="F12" s="248"/>
      <c r="G12" s="248"/>
      <c r="H12" s="248"/>
      <c r="I12" s="248"/>
      <c r="J12" s="248"/>
      <c r="K12" s="248"/>
      <c r="L12" s="248"/>
      <c r="M12" s="248"/>
      <c r="N12" s="248"/>
      <c r="O12" s="248"/>
      <c r="P12" s="248"/>
      <c r="Q12" s="248"/>
      <c r="R12" s="248"/>
      <c r="S12" s="248"/>
      <c r="T12" s="248"/>
      <c r="U12" s="248"/>
      <c r="V12" s="248"/>
      <c r="W12" s="248"/>
      <c r="X12" s="248"/>
    </row>
    <row r="13" spans="2:24" x14ac:dyDescent="0.25">
      <c r="B13" s="248"/>
      <c r="C13" s="248"/>
      <c r="D13" s="248"/>
      <c r="E13" s="248"/>
      <c r="F13" s="248"/>
      <c r="G13" s="248"/>
      <c r="H13" s="248"/>
      <c r="I13" s="248"/>
      <c r="J13" s="248"/>
      <c r="K13" s="248"/>
      <c r="L13" s="248"/>
      <c r="M13" s="248"/>
      <c r="N13" s="248"/>
      <c r="O13" s="248"/>
      <c r="P13" s="248"/>
      <c r="Q13" s="248"/>
      <c r="R13" s="248"/>
      <c r="S13" s="248"/>
      <c r="T13" s="248"/>
      <c r="U13" s="248"/>
      <c r="V13" s="248"/>
      <c r="W13" s="248"/>
      <c r="X13" s="248"/>
    </row>
    <row r="14" spans="2:24" ht="25.5" x14ac:dyDescent="0.25">
      <c r="B14" s="371" t="s">
        <v>152</v>
      </c>
      <c r="C14" s="372"/>
      <c r="D14" s="258"/>
      <c r="E14" s="258"/>
      <c r="F14" s="258"/>
      <c r="G14" s="258"/>
      <c r="H14" s="258"/>
      <c r="I14" s="258"/>
      <c r="J14" s="258"/>
      <c r="K14" s="258"/>
      <c r="L14" s="258"/>
      <c r="M14" s="258"/>
      <c r="N14" s="258"/>
      <c r="O14" s="258"/>
      <c r="P14" s="258"/>
      <c r="Q14" s="258"/>
      <c r="R14" s="258"/>
      <c r="S14" s="259"/>
      <c r="T14" s="260" t="s">
        <v>66</v>
      </c>
      <c r="U14" s="260" t="s">
        <v>67</v>
      </c>
      <c r="V14" s="260" t="s">
        <v>68</v>
      </c>
      <c r="W14" s="235" t="s">
        <v>149</v>
      </c>
      <c r="X14" s="260" t="s">
        <v>70</v>
      </c>
    </row>
    <row r="15" spans="2:24" x14ac:dyDescent="0.25">
      <c r="B15" s="261" t="s">
        <v>77</v>
      </c>
      <c r="C15" s="262">
        <v>5450.22</v>
      </c>
      <c r="D15" s="262">
        <v>5415.37</v>
      </c>
      <c r="E15" s="262">
        <v>5403.37</v>
      </c>
      <c r="F15" s="262">
        <v>5387.48</v>
      </c>
      <c r="G15" s="262">
        <v>5378.9</v>
      </c>
      <c r="H15" s="262">
        <v>5381.85</v>
      </c>
      <c r="I15" s="262">
        <v>5384.28</v>
      </c>
      <c r="J15" s="262">
        <v>5383.3</v>
      </c>
      <c r="K15" s="262">
        <v>5412.4</v>
      </c>
      <c r="L15" s="262">
        <v>5485.84</v>
      </c>
      <c r="M15" s="262">
        <v>5392.61</v>
      </c>
      <c r="N15" s="262">
        <v>5381.13</v>
      </c>
      <c r="O15" s="262">
        <v>5403.68</v>
      </c>
      <c r="P15" s="262">
        <v>5383.16</v>
      </c>
      <c r="Q15" s="262">
        <v>5405.58</v>
      </c>
      <c r="R15" s="262">
        <v>5422.1</v>
      </c>
      <c r="S15" s="262">
        <v>5499.05</v>
      </c>
      <c r="T15" s="263">
        <f>IF((S16=""),"",MAX(C17:S17))</f>
        <v>2250.0599999999995</v>
      </c>
      <c r="U15" s="263">
        <f>IF(S16="","",MIN(C17:S17))</f>
        <v>2138.9400000000005</v>
      </c>
      <c r="V15" s="263">
        <f>IF((S17=""),"",AVERAGE(C17:S17))</f>
        <v>2171.4035294117657</v>
      </c>
      <c r="W15" s="262">
        <f>STDEV(C17:S17)</f>
        <v>27.430177938990919</v>
      </c>
      <c r="X15" s="263">
        <f>IF((S16=""),"",((T15-U15)/(T15+U15))*100)</f>
        <v>2.5317840054681926</v>
      </c>
    </row>
    <row r="16" spans="2:24" x14ac:dyDescent="0.25">
      <c r="B16" s="264" t="s">
        <v>78</v>
      </c>
      <c r="C16" s="262">
        <v>4365.16</v>
      </c>
      <c r="D16" s="262">
        <v>4345.05</v>
      </c>
      <c r="E16" s="262">
        <v>4331.76</v>
      </c>
      <c r="F16" s="262">
        <v>4315.78</v>
      </c>
      <c r="G16" s="262">
        <v>4302.0600000000004</v>
      </c>
      <c r="H16" s="262">
        <v>4304.9399999999996</v>
      </c>
      <c r="I16" s="262">
        <v>4298.7299999999996</v>
      </c>
      <c r="J16" s="262">
        <v>4292.5200000000004</v>
      </c>
      <c r="K16" s="262">
        <v>4287.37</v>
      </c>
      <c r="L16" s="262">
        <v>4393.3900000000003</v>
      </c>
      <c r="M16" s="262">
        <v>4299.07</v>
      </c>
      <c r="N16" s="262">
        <v>4284.59</v>
      </c>
      <c r="O16" s="262">
        <v>4334.21</v>
      </c>
      <c r="P16" s="262">
        <v>4296.4799999999996</v>
      </c>
      <c r="Q16" s="262">
        <v>4323.7</v>
      </c>
      <c r="R16" s="262">
        <v>4337.29</v>
      </c>
      <c r="S16" s="262">
        <v>4401.29</v>
      </c>
      <c r="T16" s="245"/>
      <c r="U16" s="245"/>
      <c r="V16" s="245"/>
      <c r="W16" s="245"/>
      <c r="X16" s="245"/>
    </row>
    <row r="17" spans="2:24" ht="50.95" x14ac:dyDescent="0.25">
      <c r="B17" s="264" t="s">
        <v>79</v>
      </c>
      <c r="C17" s="265">
        <f t="shared" ref="C17:S17" si="2">IF(((C15="")*AND(C16="")),"",(C15-C16)*2)</f>
        <v>2170.1200000000008</v>
      </c>
      <c r="D17" s="265">
        <f t="shared" si="2"/>
        <v>2140.6399999999994</v>
      </c>
      <c r="E17" s="265">
        <f t="shared" si="2"/>
        <v>2143.2199999999993</v>
      </c>
      <c r="F17" s="265">
        <f t="shared" si="2"/>
        <v>2143.3999999999996</v>
      </c>
      <c r="G17" s="265">
        <f t="shared" si="2"/>
        <v>2153.6799999999985</v>
      </c>
      <c r="H17" s="265">
        <f t="shared" si="2"/>
        <v>2153.8200000000015</v>
      </c>
      <c r="I17" s="265">
        <f t="shared" si="2"/>
        <v>2171.1000000000004</v>
      </c>
      <c r="J17" s="265">
        <f t="shared" si="2"/>
        <v>2181.5599999999995</v>
      </c>
      <c r="K17" s="265">
        <f t="shared" si="2"/>
        <v>2250.0599999999995</v>
      </c>
      <c r="L17" s="265">
        <f t="shared" si="2"/>
        <v>2184.8999999999996</v>
      </c>
      <c r="M17" s="265">
        <f t="shared" si="2"/>
        <v>2187.08</v>
      </c>
      <c r="N17" s="265">
        <f t="shared" si="2"/>
        <v>2193.08</v>
      </c>
      <c r="O17" s="265">
        <f t="shared" si="2"/>
        <v>2138.9400000000005</v>
      </c>
      <c r="P17" s="265">
        <f t="shared" si="2"/>
        <v>2173.3600000000006</v>
      </c>
      <c r="Q17" s="265">
        <f t="shared" si="2"/>
        <v>2163.7600000000002</v>
      </c>
      <c r="R17" s="265">
        <f t="shared" si="2"/>
        <v>2169.6200000000008</v>
      </c>
      <c r="S17" s="265">
        <f t="shared" si="2"/>
        <v>2195.5200000000004</v>
      </c>
      <c r="T17" s="245"/>
      <c r="U17" s="245"/>
      <c r="V17" s="245"/>
      <c r="W17" s="247"/>
      <c r="X17" s="245"/>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Sheet6</vt:lpstr>
      <vt:lpstr>Sheet7</vt:lpstr>
      <vt:lpstr>Sheet6!SIN0902_</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2019-05-19T09:19:19Z</dcterms:modified>
</cp:coreProperties>
</file>